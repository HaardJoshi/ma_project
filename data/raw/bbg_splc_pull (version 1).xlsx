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2512658\hardjoshi-ma\data\raw\"/>
    </mc:Choice>
  </mc:AlternateContent>
  <xr:revisionPtr revIDLastSave="0" documentId="8_{CB4295EC-C10E-4FA7-B5C5-E284C5FCE9AA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SPLC_1" sheetId="1" r:id="rId1"/>
    <sheet name="SPLC_2" sheetId="2" r:id="rId2"/>
    <sheet name="SPLC_3" sheetId="3" r:id="rId3"/>
    <sheet name="SPLC_4" sheetId="4" r:id="rId4"/>
    <sheet name="SPLC_5" sheetId="5" r:id="rId5"/>
    <sheet name="SPLC_6" sheetId="6" r:id="rId6"/>
    <sheet name="SPLC_7" sheetId="7" r:id="rId7"/>
    <sheet name="SPLC_8" sheetId="8" r:id="rId8"/>
    <sheet name="SPLC_9" sheetId="9" r:id="rId9"/>
    <sheet name="SPLC_10" sheetId="10" r:id="rId10"/>
    <sheet name="SPLC_11" sheetId="11" r:id="rId11"/>
    <sheet name="SPLC_12" sheetId="12" r:id="rId12"/>
    <sheet name="SPLC_13" sheetId="13" r:id="rId13"/>
    <sheet name="SPLC_14" sheetId="14" r:id="rId14"/>
    <sheet name="SPLC_15" sheetId="15" r:id="rId15"/>
    <sheet name="SPLC_16" sheetId="16" r:id="rId16"/>
    <sheet name="SPLC_17" sheetId="17" r:id="rId17"/>
    <sheet name="SPLC_18" sheetId="18" r:id="rId18"/>
    <sheet name="SPLC_19" sheetId="19" r:id="rId19"/>
    <sheet name="SPLC_20" sheetId="20" r:id="rId20"/>
    <sheet name="SPLC_21" sheetId="21" r:id="rId21"/>
    <sheet name="SPLC_22" sheetId="22" r:id="rId22"/>
    <sheet name="SPLC_23" sheetId="23" r:id="rId23"/>
    <sheet name="SPLC_24" sheetId="24" r:id="rId24"/>
    <sheet name="SPLC_25" sheetId="25" r:id="rId25"/>
    <sheet name="SPLC_26" sheetId="26" r:id="rId26"/>
    <sheet name="SPLC_27" sheetId="27" r:id="rId27"/>
    <sheet name="SPLC_28" sheetId="28" r:id="rId28"/>
    <sheet name="SPLC_29" sheetId="29" r:id="rId29"/>
    <sheet name="SPLC_30" sheetId="30" r:id="rId30"/>
    <sheet name="SPLC_31" sheetId="31" r:id="rId31"/>
    <sheet name="SPLC_32" sheetId="32" r:id="rId32"/>
    <sheet name="SPLC_33" sheetId="33" r:id="rId33"/>
    <sheet name="SPLC_34" sheetId="34" r:id="rId34"/>
    <sheet name="SPLC_35" sheetId="35" r:id="rId35"/>
    <sheet name="SPLC_36" sheetId="36" r:id="rId36"/>
    <sheet name="SPLC_37" sheetId="37" r:id="rId37"/>
    <sheet name="SPLC_38" sheetId="38" r:id="rId38"/>
    <sheet name="SPLC_39" sheetId="39" r:id="rId39"/>
    <sheet name="SPLC_40" sheetId="40" r:id="rId40"/>
    <sheet name="SPLC_41" sheetId="41" r:id="rId41"/>
    <sheet name="SPLC_42" sheetId="42" r:id="rId42"/>
    <sheet name="SPLC_43" sheetId="43" r:id="rId43"/>
    <sheet name="SPLC_44" sheetId="44" r:id="rId44"/>
    <sheet name="SPLC_45" sheetId="45" r:id="rId45"/>
    <sheet name="SPLC_46" sheetId="46" r:id="rId46"/>
    <sheet name="SPLC_47" sheetId="47" r:id="rId47"/>
    <sheet name="SPLC_48" sheetId="48" r:id="rId48"/>
    <sheet name="SPLC_49" sheetId="49" r:id="rId49"/>
    <sheet name="SPLC_50" sheetId="50" r:id="rId50"/>
    <sheet name="SPLC_51" sheetId="51" r:id="rId51"/>
    <sheet name="SPLC_52" sheetId="52" r:id="rId52"/>
    <sheet name="SPLC_53" sheetId="53" r:id="rId53"/>
    <sheet name="SPLC_54" sheetId="54" r:id="rId54"/>
    <sheet name="SPLC_55" sheetId="55" r:id="rId55"/>
    <sheet name="SPLC_56" sheetId="56" r:id="rId56"/>
    <sheet name="SPLC_57" sheetId="57" r:id="rId57"/>
    <sheet name="SPLC_58" sheetId="58" r:id="rId58"/>
    <sheet name="SPLC_59" sheetId="59" r:id="rId59"/>
    <sheet name="SPLC_60" sheetId="60" r:id="rId60"/>
    <sheet name="SPLC_61" sheetId="61" r:id="rId61"/>
    <sheet name="SPLC_62" sheetId="62" r:id="rId62"/>
    <sheet name="SPLC_63" sheetId="63" r:id="rId63"/>
    <sheet name="SPLC_64" sheetId="64" r:id="rId64"/>
    <sheet name="SPLC_65" sheetId="65" r:id="rId65"/>
    <sheet name="SPLC_66" sheetId="66" r:id="rId66"/>
    <sheet name="SPLC_67" sheetId="67" r:id="rId67"/>
    <sheet name="SPLC_68" sheetId="68" r:id="rId68"/>
    <sheet name="SPLC_69" sheetId="69" r:id="rId69"/>
    <sheet name="SPLC_70" sheetId="70" r:id="rId70"/>
    <sheet name="SPLC_71" sheetId="71" r:id="rId71"/>
    <sheet name="SPLC_72" sheetId="72" r:id="rId72"/>
    <sheet name="SPLC_73" sheetId="73" r:id="rId73"/>
    <sheet name="SPLC_74" sheetId="74" r:id="rId74"/>
    <sheet name="SPLC_75" sheetId="75" r:id="rId75"/>
    <sheet name="SPLC_76" sheetId="76" r:id="rId76"/>
    <sheet name="SPLC_77" sheetId="77" r:id="rId77"/>
    <sheet name="SPLC_78" sheetId="78" r:id="rId78"/>
    <sheet name="SPLC_79" sheetId="79" r:id="rId79"/>
    <sheet name="SPLC_80" sheetId="80" r:id="rId80"/>
    <sheet name="SPLC_81" sheetId="81" r:id="rId81"/>
    <sheet name="SPLC_82" sheetId="82" r:id="rId82"/>
    <sheet name="SPLC_83" sheetId="83" r:id="rId83"/>
    <sheet name="SPLC_84" sheetId="84" r:id="rId84"/>
    <sheet name="SPLC_85" sheetId="85" r:id="rId85"/>
    <sheet name="SPLC_86" sheetId="86" r:id="rId86"/>
    <sheet name="SPLC_87" sheetId="87" r:id="rId87"/>
    <sheet name="SPLC_88" sheetId="88" r:id="rId88"/>
    <sheet name="SPLC_89" sheetId="89" r:id="rId89"/>
    <sheet name="SPLC_90" sheetId="90" r:id="rId90"/>
    <sheet name="SPLC_91" sheetId="91" r:id="rId91"/>
    <sheet name="SPLC_92" sheetId="92" r:id="rId92"/>
    <sheet name="SPLC_93" sheetId="93" r:id="rId93"/>
    <sheet name="SPLC_94" sheetId="94" r:id="rId94"/>
    <sheet name="SPLC_95" sheetId="95" r:id="rId95"/>
    <sheet name="SPLC_96" sheetId="96" r:id="rId96"/>
    <sheet name="SPLC_97" sheetId="97" r:id="rId97"/>
    <sheet name="SPLC_98" sheetId="98" r:id="rId98"/>
    <sheet name="SPLC_99" sheetId="99" r:id="rId99"/>
    <sheet name="SPLC_100" sheetId="100" r:id="rId100"/>
    <sheet name="SPLC_101" sheetId="101" r:id="rId101"/>
    <sheet name="SPLC_102" sheetId="102" r:id="rId102"/>
    <sheet name="SPLC_103" sheetId="103" r:id="rId103"/>
    <sheet name="SPLC_104" sheetId="104" r:id="rId104"/>
    <sheet name="SPLC_105" sheetId="105" r:id="rId105"/>
    <sheet name="SPLC_106" sheetId="106" r:id="rId106"/>
    <sheet name="SPLC_107" sheetId="107" r:id="rId107"/>
    <sheet name="SPLC_108" sheetId="108" r:id="rId108"/>
    <sheet name="SPLC_109" sheetId="109" r:id="rId109"/>
    <sheet name="SPLC_110" sheetId="110" r:id="rId110"/>
    <sheet name="SPLC_111" sheetId="111" r:id="rId111"/>
    <sheet name="SPLC_112" sheetId="112" r:id="rId112"/>
    <sheet name="SPLC_113" sheetId="113" r:id="rId113"/>
    <sheet name="SPLC_114" sheetId="114" r:id="rId114"/>
    <sheet name="SPLC_115" sheetId="115" r:id="rId115"/>
    <sheet name="SPLC_116" sheetId="116" r:id="rId116"/>
    <sheet name="SPLC_117" sheetId="117" r:id="rId117"/>
    <sheet name="SPLC_118" sheetId="118" r:id="rId118"/>
    <sheet name="SPLC_119" sheetId="119" r:id="rId119"/>
    <sheet name="SPLC_120" sheetId="120" r:id="rId120"/>
    <sheet name="SPLC_121" sheetId="121" r:id="rId121"/>
    <sheet name="SPLC_122" sheetId="122" r:id="rId122"/>
    <sheet name="SPLC_123" sheetId="123" r:id="rId123"/>
    <sheet name="SPLC_124" sheetId="124" r:id="rId124"/>
    <sheet name="SPLC_125" sheetId="125" r:id="rId12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5" l="1"/>
  <c r="K5" i="5"/>
  <c r="F5" i="3"/>
  <c r="A5" i="3"/>
  <c r="IQ5" i="2"/>
  <c r="MC5" i="2"/>
  <c r="DQ5" i="5"/>
  <c r="AO5" i="1"/>
  <c r="CC5" i="7"/>
  <c r="BI5" i="5"/>
  <c r="U5" i="6"/>
  <c r="FY5" i="2"/>
  <c r="EZ5" i="15"/>
  <c r="LD5" i="13"/>
  <c r="LS5" i="7"/>
  <c r="HH5" i="1"/>
  <c r="MM5" i="7"/>
  <c r="DV5" i="1"/>
  <c r="BN5" i="4"/>
  <c r="FE5" i="2"/>
  <c r="OA5" i="6"/>
  <c r="HM5" i="2"/>
  <c r="EZ5" i="4"/>
  <c r="DQ5" i="3"/>
  <c r="GS5" i="8"/>
  <c r="FO5" i="7"/>
  <c r="JK5" i="6"/>
  <c r="JK5" i="4"/>
  <c r="P5" i="1"/>
  <c r="EU5" i="5"/>
  <c r="IB5" i="4"/>
  <c r="KY5" i="10"/>
  <c r="NV5" i="1"/>
  <c r="IQ5" i="4"/>
  <c r="AO5" i="2"/>
  <c r="HM5" i="3"/>
  <c r="GS5" i="6"/>
  <c r="BS5" i="2"/>
  <c r="K5" i="11"/>
  <c r="A5" i="4"/>
  <c r="LS5" i="5"/>
  <c r="KT5" i="5"/>
  <c r="NB5" i="3"/>
  <c r="U5" i="1"/>
  <c r="IG5" i="5"/>
  <c r="MW5" i="4"/>
  <c r="DG5" i="6"/>
  <c r="DG5" i="8"/>
  <c r="KO5" i="1"/>
  <c r="IB5" i="7"/>
  <c r="Z5" i="5"/>
  <c r="AO5" i="8"/>
  <c r="AE5" i="3"/>
  <c r="GD5" i="3"/>
  <c r="AT5" i="4"/>
  <c r="DL5" i="10"/>
  <c r="AT5" i="2"/>
  <c r="GI5" i="3"/>
  <c r="Z5" i="10"/>
  <c r="DB5" i="11"/>
  <c r="GN5" i="8"/>
  <c r="JA5" i="7"/>
  <c r="BN5" i="9"/>
  <c r="FY5" i="4"/>
  <c r="CM5" i="4"/>
  <c r="CR5" i="3"/>
  <c r="IL5" i="4"/>
  <c r="LI5" i="11"/>
  <c r="GI5" i="1"/>
  <c r="IL5" i="9"/>
  <c r="DB5" i="1"/>
  <c r="GD5" i="8"/>
  <c r="EP5" i="7"/>
  <c r="CH5" i="6"/>
  <c r="P5" i="8"/>
  <c r="MM5" i="1"/>
  <c r="CW5" i="3"/>
  <c r="NV5" i="8"/>
  <c r="MR5" i="6"/>
  <c r="MM5" i="9"/>
  <c r="AT5" i="7"/>
  <c r="GI5" i="25"/>
  <c r="LN5" i="7"/>
  <c r="MC5" i="4"/>
  <c r="FT5" i="6"/>
  <c r="MW5" i="1"/>
  <c r="JP5" i="1"/>
  <c r="JF5" i="6"/>
  <c r="NQ5" i="10"/>
  <c r="HW5" i="10"/>
  <c r="HW5" i="2"/>
  <c r="JZ5" i="8"/>
  <c r="AE5" i="12"/>
  <c r="DB5" i="8"/>
  <c r="EK5" i="2"/>
  <c r="K5" i="3"/>
  <c r="KO5" i="8"/>
  <c r="LX5" i="9"/>
  <c r="EU5" i="7"/>
  <c r="LI5" i="2"/>
  <c r="Z5" i="11"/>
  <c r="FE5" i="4"/>
  <c r="OF5" i="14"/>
  <c r="NQ5" i="3"/>
  <c r="JU5" i="3"/>
  <c r="FY5" i="6"/>
  <c r="BS5" i="4"/>
  <c r="AE5" i="5"/>
  <c r="DQ5" i="11"/>
  <c r="HM5" i="5"/>
  <c r="MW5" i="6"/>
  <c r="EK5" i="10"/>
  <c r="A5" i="6"/>
  <c r="EU5" i="12"/>
  <c r="IG5" i="7"/>
  <c r="OA5" i="8"/>
  <c r="HR5" i="11"/>
  <c r="JK5" i="12"/>
  <c r="IV5" i="22"/>
  <c r="KY5" i="5"/>
  <c r="U5" i="8"/>
  <c r="BS5" i="10"/>
  <c r="BI5" i="7"/>
  <c r="MH5" i="4"/>
  <c r="BN5" i="12"/>
  <c r="HR5" i="7"/>
  <c r="CW5" i="16"/>
  <c r="FO5" i="9"/>
  <c r="GX5" i="2"/>
  <c r="AO5" i="10"/>
  <c r="IV5" i="10"/>
  <c r="IB5" i="14"/>
  <c r="AY5" i="21"/>
  <c r="DQ5" i="2"/>
  <c r="JA5" i="9"/>
  <c r="IG5" i="3"/>
  <c r="BX5" i="6"/>
  <c r="CC5" i="9"/>
  <c r="DG5" i="22"/>
  <c r="A5" i="13"/>
  <c r="NG5" i="17"/>
  <c r="JU5" i="18"/>
  <c r="LS5" i="10"/>
  <c r="LN5" i="15"/>
  <c r="KT5" i="16"/>
  <c r="DV5" i="7"/>
  <c r="DQ5" i="17"/>
  <c r="MW5" i="19"/>
  <c r="EZ5" i="9"/>
  <c r="EZ5" i="13"/>
  <c r="FT5" i="3"/>
  <c r="JK5" i="11"/>
  <c r="F5" i="1"/>
  <c r="BS5" i="8"/>
  <c r="GS5" i="27"/>
  <c r="IV5" i="23"/>
  <c r="BX5" i="14"/>
  <c r="MR5" i="13"/>
  <c r="MW5" i="3"/>
  <c r="IQ5" i="8"/>
  <c r="DG5" i="1"/>
  <c r="LI5" i="6"/>
  <c r="HW5" i="8"/>
  <c r="MR5" i="3"/>
  <c r="KO5" i="29"/>
  <c r="A5" i="10"/>
  <c r="JZ5" i="3"/>
  <c r="DQ5" i="9"/>
  <c r="CW5" i="7"/>
  <c r="DB5" i="3"/>
  <c r="IB5" i="2"/>
  <c r="K5" i="7"/>
  <c r="CM5" i="2"/>
  <c r="LX5" i="10"/>
  <c r="F5" i="8"/>
  <c r="LN5" i="4"/>
  <c r="OF5" i="2"/>
  <c r="MM5" i="5"/>
  <c r="JZ5" i="5"/>
  <c r="JA5" i="1"/>
  <c r="NB5" i="8"/>
  <c r="CW5" i="1"/>
  <c r="Z5" i="1"/>
  <c r="FY5" i="1"/>
  <c r="BD5" i="2"/>
  <c r="GS5" i="11"/>
  <c r="JK5" i="1"/>
  <c r="IB5" i="11"/>
  <c r="FJ5" i="6"/>
  <c r="CM5" i="3"/>
  <c r="FY5" i="3"/>
  <c r="FJ5" i="4"/>
  <c r="DL5" i="5"/>
  <c r="P5" i="3"/>
  <c r="OF5" i="5"/>
  <c r="GN5" i="1"/>
  <c r="HR5" i="2"/>
  <c r="NB5" i="1"/>
  <c r="KT5" i="8"/>
  <c r="LD5" i="2"/>
  <c r="AO5" i="5"/>
  <c r="MC5" i="23"/>
  <c r="IG5" i="14"/>
  <c r="BN5" i="7"/>
  <c r="LS5" i="15"/>
  <c r="GD5" i="1"/>
  <c r="AJ5" i="5"/>
  <c r="FE5" i="15"/>
  <c r="JP5" i="3"/>
  <c r="GX5" i="5"/>
  <c r="JP5" i="6"/>
  <c r="JF5" i="9"/>
  <c r="HR5" i="5"/>
  <c r="LX5" i="4"/>
  <c r="F5" i="6"/>
  <c r="GD5" i="6"/>
  <c r="NV5" i="3"/>
  <c r="LS5" i="11"/>
  <c r="Z5" i="8"/>
  <c r="DV5" i="5"/>
  <c r="EP5" i="2"/>
  <c r="BX5" i="4"/>
  <c r="GX5" i="8"/>
  <c r="IL5" i="7"/>
  <c r="GN5" i="3"/>
  <c r="LN5" i="2"/>
  <c r="IV5" i="4"/>
  <c r="LX5" i="7"/>
  <c r="LI5" i="13"/>
  <c r="CH5" i="9"/>
  <c r="DL5" i="8"/>
  <c r="DG5" i="21"/>
  <c r="NB5" i="6"/>
  <c r="EZ5" i="7"/>
  <c r="AT5" i="10"/>
  <c r="U5" i="13"/>
  <c r="LD5" i="5"/>
  <c r="MR5" i="9"/>
  <c r="HW5" i="11"/>
  <c r="IB5" i="10"/>
  <c r="AE5" i="13"/>
  <c r="AE5" i="11"/>
  <c r="EP5" i="10"/>
  <c r="JU5" i="6"/>
  <c r="DV5" i="16"/>
  <c r="EZ5" i="12"/>
  <c r="F5" i="30"/>
  <c r="CC5" i="14"/>
  <c r="DV5" i="11"/>
  <c r="EK5" i="5"/>
  <c r="OF5" i="8"/>
  <c r="FT5" i="9"/>
  <c r="AJ5" i="12"/>
  <c r="MM5" i="4"/>
  <c r="NL5" i="17"/>
  <c r="EU5" i="17"/>
  <c r="OA5" i="19"/>
  <c r="A5" i="15"/>
  <c r="JP5" i="12"/>
  <c r="GI5" i="6"/>
  <c r="LI5" i="8"/>
  <c r="EU5" i="2"/>
  <c r="BD5" i="21"/>
  <c r="FO5" i="4"/>
  <c r="JP5" i="25"/>
  <c r="FO5" i="17"/>
  <c r="FE5" i="13"/>
  <c r="CM5" i="9"/>
  <c r="MR5" i="15"/>
  <c r="JA5" i="4"/>
  <c r="IQ5" i="7"/>
  <c r="KY5" i="16"/>
  <c r="MC5" i="11"/>
  <c r="FJ5" i="22"/>
  <c r="AE5" i="8"/>
  <c r="BS5" i="7"/>
  <c r="K5" i="6"/>
  <c r="HW5" i="5"/>
  <c r="CW5" i="6"/>
  <c r="KT5" i="18"/>
  <c r="LI5" i="5"/>
  <c r="FE5" i="7"/>
  <c r="BI5" i="10"/>
  <c r="DQ5" i="8"/>
  <c r="A5" i="9"/>
  <c r="KY5" i="8"/>
  <c r="MC5" i="7"/>
  <c r="AO5" i="12"/>
  <c r="FY5" i="9"/>
  <c r="HM5" i="8"/>
  <c r="NQ5" i="6"/>
  <c r="JU5" i="12"/>
  <c r="JK5" i="9"/>
  <c r="AJ5" i="11"/>
  <c r="FE5" i="12"/>
  <c r="JA5" i="14"/>
  <c r="MC5" i="13"/>
  <c r="OF5" i="3"/>
  <c r="IG5" i="10"/>
  <c r="MW5" i="9"/>
  <c r="CC5" i="4"/>
  <c r="EK5" i="11"/>
  <c r="MC5" i="10"/>
  <c r="MM5" i="23"/>
  <c r="DG5" i="3"/>
  <c r="KO5" i="3"/>
  <c r="GN5" i="22"/>
  <c r="CW5" i="14"/>
  <c r="U5" i="15"/>
  <c r="EU5" i="10"/>
  <c r="FY5" i="13"/>
  <c r="EK5" i="6"/>
  <c r="EF5" i="16"/>
  <c r="GX5" i="10"/>
  <c r="AO5" i="13"/>
  <c r="FE5" i="17"/>
  <c r="LD5" i="16"/>
  <c r="OF5" i="19"/>
  <c r="K5" i="1"/>
  <c r="MH5" i="1"/>
  <c r="JU5" i="25"/>
  <c r="K5" i="30"/>
  <c r="LS5" i="18"/>
  <c r="AT5" i="11"/>
  <c r="FT5" i="11"/>
  <c r="FE5" i="10"/>
  <c r="KT5" i="11"/>
  <c r="FY5" i="15"/>
  <c r="K5" i="9"/>
  <c r="OA5" i="3"/>
  <c r="CC5" i="5"/>
  <c r="MM5" i="11"/>
  <c r="F5" i="18"/>
  <c r="DQ5" i="1"/>
  <c r="Z5" i="3"/>
  <c r="NQ5" i="7"/>
  <c r="AJ5" i="2"/>
  <c r="DB5" i="5"/>
  <c r="KY5" i="9"/>
  <c r="BN5" i="2"/>
  <c r="AE5" i="1"/>
  <c r="BI5" i="2"/>
  <c r="JF5" i="1"/>
  <c r="CR5" i="1"/>
  <c r="BI5" i="4"/>
  <c r="BX5" i="7"/>
  <c r="GS5" i="1"/>
  <c r="CM5" i="10"/>
  <c r="U5" i="3"/>
  <c r="FJ5" i="7"/>
  <c r="NV5" i="6"/>
  <c r="NL5" i="1"/>
  <c r="JK5" i="3"/>
  <c r="GS5" i="3"/>
  <c r="CR5" i="9"/>
  <c r="NV5" i="9"/>
  <c r="DL5" i="1"/>
  <c r="AJ5" i="1"/>
  <c r="MH5" i="11"/>
  <c r="KY5" i="2"/>
  <c r="FT5" i="4"/>
  <c r="IL5" i="2"/>
  <c r="LS5" i="2"/>
  <c r="IG5" i="2"/>
  <c r="P5" i="6"/>
  <c r="MR5" i="4"/>
  <c r="EZ5" i="2"/>
  <c r="IG5" i="11"/>
  <c r="GX5" i="3"/>
  <c r="JF5" i="4"/>
  <c r="KT5" i="3"/>
  <c r="GX5" i="1"/>
  <c r="FJ5" i="17"/>
  <c r="MR5" i="7"/>
  <c r="NQ5" i="1"/>
  <c r="LX5" i="2"/>
  <c r="F5" i="9"/>
  <c r="JZ5" i="12"/>
  <c r="IL5" i="5"/>
  <c r="KO5" i="6"/>
  <c r="NB5" i="9"/>
  <c r="AE5" i="15"/>
  <c r="IQ5" i="10"/>
  <c r="AT5" i="5"/>
  <c r="DV5" i="8"/>
  <c r="LD5" i="8"/>
  <c r="GS5" i="13"/>
  <c r="BN5" i="10"/>
  <c r="HW5" i="3"/>
  <c r="IB5" i="5"/>
  <c r="EP5" i="5"/>
  <c r="IV5" i="7"/>
  <c r="DL5" i="3"/>
  <c r="FO5" i="12"/>
  <c r="AJ5" i="8"/>
  <c r="HR5" i="3"/>
  <c r="DB5" i="6"/>
  <c r="HR5" i="8"/>
  <c r="MH5" i="7"/>
  <c r="CH5" i="4"/>
  <c r="LN5" i="5"/>
  <c r="GN5" i="6"/>
  <c r="JZ5" i="6"/>
  <c r="GD5" i="9"/>
  <c r="JP5" i="9"/>
  <c r="MH5" i="10"/>
  <c r="GN5" i="15"/>
  <c r="EZ5" i="10"/>
  <c r="BI5" i="18"/>
  <c r="AO5" i="11"/>
  <c r="EP5" i="11"/>
  <c r="NB5" i="15"/>
  <c r="JP5" i="4"/>
  <c r="IV5" i="2"/>
  <c r="BX5" i="2"/>
  <c r="EA5" i="30"/>
  <c r="AJ5" i="13"/>
  <c r="DG5" i="14"/>
  <c r="EZ5" i="11"/>
  <c r="MM5" i="13"/>
  <c r="DL5" i="6"/>
  <c r="CH5" i="20"/>
  <c r="GI5" i="13"/>
  <c r="AT5" i="12"/>
  <c r="GD5" i="12"/>
  <c r="GS5" i="22"/>
  <c r="DV5" i="3"/>
  <c r="EK5" i="21"/>
  <c r="AJ5" i="3"/>
  <c r="EK5" i="16"/>
  <c r="P5" i="18"/>
  <c r="MC5" i="16"/>
  <c r="BD5" i="20"/>
  <c r="P5" i="9"/>
  <c r="JK5" i="14"/>
  <c r="FJ5" i="2"/>
  <c r="AJ5" i="24"/>
  <c r="BX5" i="26"/>
  <c r="KT5" i="1"/>
  <c r="FT5" i="7"/>
  <c r="LX5" i="18"/>
  <c r="IB5" i="8"/>
  <c r="MR5" i="10"/>
  <c r="LN5" i="8"/>
  <c r="FO5" i="16"/>
  <c r="AT5" i="1"/>
  <c r="DL5" i="14"/>
  <c r="F5" i="28"/>
  <c r="NL5" i="25"/>
  <c r="FJ5" i="10"/>
  <c r="DQ5" i="14"/>
  <c r="JF5" i="7"/>
  <c r="AO5" i="15"/>
  <c r="AO5" i="24"/>
  <c r="NQ5" i="25"/>
  <c r="CW5" i="4"/>
  <c r="FE5" i="5"/>
  <c r="KY5" i="12"/>
  <c r="IV5" i="11"/>
  <c r="AT5" i="13"/>
  <c r="GX5" i="15"/>
  <c r="U5" i="19"/>
  <c r="MM5" i="2"/>
  <c r="MW5" i="13"/>
  <c r="GS5" i="17"/>
  <c r="HM5" i="6"/>
  <c r="NQ5" i="16"/>
  <c r="BS5" i="12"/>
  <c r="JU5" i="14"/>
  <c r="BI5" i="11"/>
  <c r="IG5" i="30"/>
  <c r="MR5" i="11"/>
  <c r="GS5" i="21"/>
  <c r="AE5" i="18"/>
  <c r="KE5" i="22"/>
  <c r="EA5" i="24"/>
  <c r="GS5" i="15"/>
  <c r="DL5" i="28"/>
  <c r="NL5" i="15"/>
  <c r="F5" i="4"/>
  <c r="GX5" i="6"/>
  <c r="JF5" i="2"/>
  <c r="BX5" i="10"/>
  <c r="K5" i="28"/>
  <c r="BX5" i="12"/>
  <c r="NB5" i="4"/>
  <c r="EF5" i="1"/>
  <c r="BN5" i="5"/>
  <c r="MH5" i="2"/>
  <c r="CR5" i="4"/>
  <c r="EF5" i="30"/>
  <c r="LS5" i="8"/>
  <c r="GD5" i="4"/>
  <c r="JA5" i="2"/>
  <c r="GS5" i="9"/>
  <c r="DB5" i="4"/>
  <c r="LX5" i="5"/>
  <c r="Z5" i="6"/>
  <c r="EZ5" i="5"/>
  <c r="CH5" i="7"/>
  <c r="EP5" i="8"/>
  <c r="DQ5" i="6"/>
  <c r="OA5" i="1"/>
  <c r="HM5" i="1"/>
  <c r="NG5" i="15"/>
  <c r="JZ5" i="9"/>
  <c r="GI5" i="4"/>
  <c r="JU5" i="4"/>
  <c r="OF5" i="6"/>
  <c r="KY5" i="1"/>
  <c r="NQ5" i="4"/>
  <c r="AT5" i="8"/>
  <c r="JA5" i="10"/>
  <c r="LI5" i="3"/>
  <c r="BD5" i="1"/>
  <c r="DB5" i="9"/>
  <c r="KY5" i="6"/>
  <c r="CC5" i="2"/>
  <c r="AO5" i="3"/>
  <c r="OA5" i="9"/>
  <c r="HR5" i="6"/>
  <c r="EK5" i="3"/>
  <c r="GN5" i="9"/>
  <c r="K5" i="4"/>
  <c r="FO5" i="11"/>
  <c r="MW5" i="7"/>
  <c r="OF5" i="1"/>
  <c r="AE5" i="6"/>
  <c r="MC5" i="5"/>
  <c r="A5" i="7"/>
  <c r="HR5" i="1"/>
  <c r="BN5" i="13"/>
  <c r="FY5" i="7"/>
  <c r="JK5" i="7"/>
  <c r="EU5" i="8"/>
  <c r="FO5" i="2"/>
  <c r="BS5" i="5"/>
  <c r="MW5" i="11"/>
  <c r="CM5" i="7"/>
  <c r="IQ5" i="5"/>
  <c r="CC5" i="10"/>
  <c r="IG5" i="8"/>
  <c r="AJ5" i="6"/>
  <c r="JF5" i="10"/>
  <c r="KO5" i="9"/>
  <c r="HW5" i="13"/>
  <c r="KJ5" i="22"/>
  <c r="FO5" i="10"/>
  <c r="U5" i="9"/>
  <c r="EP5" i="14"/>
  <c r="FY5" i="12"/>
  <c r="HW5" i="1"/>
  <c r="DG5" i="9"/>
  <c r="DQ5" i="28"/>
  <c r="FT5" i="16"/>
  <c r="BN5" i="18"/>
  <c r="EK5" i="8"/>
  <c r="BI5" i="8"/>
  <c r="KT5" i="14"/>
  <c r="BN5" i="11"/>
  <c r="HR5" i="13"/>
  <c r="FE5" i="11"/>
  <c r="JA5" i="11"/>
  <c r="MW5" i="10"/>
  <c r="NV5" i="13"/>
  <c r="GX5" i="17"/>
  <c r="HW5" i="21"/>
  <c r="GI5" i="12"/>
  <c r="IL5" i="30"/>
  <c r="JP5" i="14"/>
  <c r="GN5" i="4"/>
  <c r="BN5" i="15"/>
  <c r="LD5" i="12"/>
  <c r="LN5" i="3"/>
  <c r="AE5" i="19"/>
  <c r="OA5" i="16"/>
  <c r="A5" i="16"/>
  <c r="HW5" i="15"/>
  <c r="NV5" i="22"/>
  <c r="EP5" i="20"/>
  <c r="MR5" i="2"/>
  <c r="MH5" i="5"/>
  <c r="EU5" i="11"/>
  <c r="IB5" i="3"/>
  <c r="JZ5" i="4"/>
  <c r="EF5" i="24"/>
  <c r="NV5" i="4"/>
  <c r="AT5" i="3"/>
  <c r="FT5" i="2"/>
  <c r="P5" i="4"/>
  <c r="FJ5" i="5"/>
  <c r="EP5" i="3"/>
  <c r="BX5" i="5"/>
  <c r="LD5" i="1"/>
  <c r="F5" i="7"/>
  <c r="CH5" i="2"/>
  <c r="KT5" i="9"/>
  <c r="LX5" i="8"/>
  <c r="CR5" i="7"/>
  <c r="A5" i="2"/>
  <c r="BS5" i="11"/>
  <c r="IL5" i="8"/>
  <c r="DV5" i="6"/>
  <c r="JF5" i="11"/>
  <c r="BN5" i="8"/>
  <c r="NG5" i="30"/>
  <c r="HR5" i="28"/>
  <c r="FT5" i="26"/>
  <c r="LD5" i="6"/>
  <c r="JP5" i="7"/>
  <c r="IB5" i="17"/>
  <c r="BS5" i="13"/>
  <c r="NB5" i="7"/>
  <c r="EZ5" i="8"/>
  <c r="IV5" i="5"/>
  <c r="CC5" i="12"/>
  <c r="NB5" i="11"/>
  <c r="CH5" i="10"/>
  <c r="KY5" i="14"/>
  <c r="GI5" i="16"/>
  <c r="Z5" i="9"/>
  <c r="GD5" i="7"/>
  <c r="BN5" i="1"/>
  <c r="JK5" i="10"/>
  <c r="OF5" i="9"/>
  <c r="OA5" i="13"/>
  <c r="FT5" i="10"/>
  <c r="IB5" i="21"/>
  <c r="LI5" i="12"/>
  <c r="GN5" i="12"/>
  <c r="DL5" i="9"/>
  <c r="GX5" i="9"/>
  <c r="LS5" i="3"/>
  <c r="MM5" i="28"/>
  <c r="EP5" i="16"/>
  <c r="F5" i="16"/>
  <c r="EU5" i="14"/>
  <c r="NB5" i="10"/>
  <c r="BS5" i="15"/>
  <c r="MM5" i="22"/>
  <c r="CH5" i="19"/>
  <c r="BX5" i="8"/>
  <c r="CR5" i="18"/>
  <c r="OF5" i="16"/>
  <c r="NQ5" i="22"/>
  <c r="MW5" i="5"/>
  <c r="IB5" i="15"/>
  <c r="A5" i="5"/>
  <c r="IL5" i="17"/>
  <c r="JZ5" i="7"/>
  <c r="FO5" i="20"/>
  <c r="HR5" i="24"/>
  <c r="LS5" i="1"/>
  <c r="IB5" i="28"/>
  <c r="MM5" i="10"/>
  <c r="FO5" i="26"/>
  <c r="HM5" i="24"/>
  <c r="CC5" i="31"/>
  <c r="FT5" i="20"/>
  <c r="CW5" i="12"/>
  <c r="KJ5" i="21"/>
  <c r="LD5" i="9"/>
  <c r="DB5" i="7"/>
  <c r="IB5" i="20"/>
  <c r="LI5" i="21"/>
  <c r="CC5" i="13"/>
  <c r="FE5" i="3"/>
  <c r="DG5" i="18"/>
  <c r="DL5" i="19"/>
  <c r="MC5" i="3"/>
  <c r="KO5" i="7"/>
  <c r="FJ5" i="8"/>
  <c r="GX5" i="12"/>
  <c r="U5" i="7"/>
  <c r="CR5" i="10"/>
  <c r="IV5" i="8"/>
  <c r="GN5" i="7"/>
  <c r="KY5" i="24"/>
  <c r="JP5" i="26"/>
  <c r="NV5" i="7"/>
  <c r="GS5" i="31"/>
  <c r="AJ5" i="9"/>
  <c r="MH5" i="8"/>
  <c r="NV5" i="11"/>
  <c r="F5" i="10"/>
  <c r="P5" i="7"/>
  <c r="FE5" i="1"/>
  <c r="NV5" i="10"/>
  <c r="GD5" i="10"/>
  <c r="JU5" i="2"/>
  <c r="DQ5" i="4"/>
  <c r="JU5" i="15"/>
  <c r="HR5" i="9"/>
  <c r="HM5" i="16"/>
  <c r="JU5" i="10"/>
  <c r="BX5" i="1"/>
  <c r="JP5" i="11"/>
  <c r="EU5" i="6"/>
  <c r="DQ5" i="19"/>
  <c r="CC5" i="11"/>
  <c r="FY5" i="11"/>
  <c r="IL5" i="1"/>
  <c r="CC5" i="15"/>
  <c r="A5" i="14"/>
  <c r="IG5" i="13"/>
  <c r="DV5" i="9"/>
  <c r="MM5" i="12"/>
  <c r="P5" i="2"/>
  <c r="HM5" i="4"/>
  <c r="LI5" i="14"/>
  <c r="FE5" i="14"/>
  <c r="DQ5" i="18"/>
  <c r="IQ5" i="17"/>
  <c r="JK5" i="5"/>
  <c r="HR5" i="12"/>
  <c r="AO5" i="16"/>
  <c r="NQ5" i="2"/>
  <c r="IQ5" i="3"/>
  <c r="EZ5" i="14"/>
  <c r="AE5" i="4"/>
  <c r="P5" i="16"/>
  <c r="MR5" i="12"/>
  <c r="AE5" i="17"/>
  <c r="IL5" i="15"/>
  <c r="MC5" i="14"/>
  <c r="FY5" i="5"/>
  <c r="GI5" i="2"/>
  <c r="CW5" i="2"/>
  <c r="CM5" i="5"/>
  <c r="KY5" i="4"/>
  <c r="A5" i="17"/>
  <c r="GS5" i="7"/>
  <c r="HW5" i="9"/>
  <c r="BI5" i="6"/>
  <c r="LS5" i="6"/>
  <c r="BS5" i="3"/>
  <c r="JZ5" i="10"/>
  <c r="GX5" i="4"/>
  <c r="MM5" i="8"/>
  <c r="FO5" i="8"/>
  <c r="LI5" i="9"/>
  <c r="IV5" i="17"/>
  <c r="U5" i="14"/>
  <c r="DG5" i="7"/>
  <c r="CW5" i="13"/>
  <c r="JA5" i="20"/>
  <c r="GI5" i="9"/>
  <c r="EK5" i="9"/>
  <c r="JA5" i="8"/>
  <c r="CW5" i="10"/>
  <c r="BI5" i="3"/>
  <c r="OA5" i="11"/>
  <c r="AJ5" i="17"/>
  <c r="OA5" i="7"/>
  <c r="HR5" i="16"/>
  <c r="CM5" i="11"/>
  <c r="AO5" i="6"/>
  <c r="OA5" i="10"/>
  <c r="GS5" i="4"/>
  <c r="CC5" i="8"/>
  <c r="FT5" i="19"/>
  <c r="EU5" i="18"/>
  <c r="GD5" i="11"/>
  <c r="JU5" i="11"/>
  <c r="K5" i="10"/>
  <c r="AO5" i="9"/>
  <c r="DB5" i="12"/>
  <c r="JK5" i="15"/>
  <c r="FY5" i="14"/>
  <c r="LN5" i="21"/>
  <c r="CW5" i="15"/>
  <c r="AO5" i="23"/>
  <c r="LD5" i="24"/>
  <c r="JA5" i="13"/>
  <c r="NQ5" i="11"/>
  <c r="JU5" i="26"/>
  <c r="LD5" i="31"/>
  <c r="KT5" i="7"/>
  <c r="OF5" i="13"/>
  <c r="IB5" i="1"/>
  <c r="EP5" i="6"/>
  <c r="JK5" i="2"/>
  <c r="LX5" i="3"/>
  <c r="AE5" i="14"/>
  <c r="GN5" i="13"/>
  <c r="FT5" i="5"/>
  <c r="Z5" i="7"/>
  <c r="MR5" i="28"/>
  <c r="CC5" i="1"/>
  <c r="DL5" i="7"/>
  <c r="EP5" i="9"/>
  <c r="JP5" i="10"/>
  <c r="CW5" i="9"/>
  <c r="EP5" i="21"/>
  <c r="IB5" i="13"/>
  <c r="BX5" i="13"/>
  <c r="IG5" i="15"/>
  <c r="AE5" i="9"/>
  <c r="FT5" i="8"/>
  <c r="BX5" i="15"/>
  <c r="K5" i="16"/>
  <c r="MC5" i="12"/>
  <c r="GN5" i="2"/>
  <c r="BN5" i="6"/>
  <c r="HC5" i="16"/>
  <c r="MC5" i="6"/>
  <c r="JK5" i="13"/>
  <c r="LD5" i="14"/>
  <c r="IB5" i="9"/>
  <c r="BX5" i="3"/>
  <c r="GX5" i="7"/>
  <c r="CH5" i="8"/>
  <c r="CR5" i="11"/>
  <c r="OF5" i="7"/>
  <c r="AT5" i="9"/>
  <c r="KT5" i="10"/>
  <c r="MR5" i="8"/>
  <c r="IQ5" i="1"/>
  <c r="LX5" i="6"/>
  <c r="Z5" i="4"/>
  <c r="IL5" i="3"/>
  <c r="OF5" i="11"/>
  <c r="IB5" i="6"/>
  <c r="JK5" i="20"/>
  <c r="U5" i="2"/>
  <c r="EZ5" i="18"/>
  <c r="KO5" i="10"/>
  <c r="EZ5" i="3"/>
  <c r="P5" i="10"/>
  <c r="EZ5" i="6"/>
  <c r="DB5" i="10"/>
  <c r="IG5" i="1"/>
  <c r="OF5" i="18"/>
  <c r="OA5" i="2"/>
  <c r="LN5" i="9"/>
  <c r="JZ5" i="11"/>
  <c r="A5" i="25"/>
  <c r="OF5" i="10"/>
  <c r="NV5" i="21"/>
  <c r="HW5" i="16"/>
  <c r="JF5" i="8"/>
  <c r="HW5" i="12"/>
  <c r="KY5" i="3"/>
  <c r="DG5" i="12"/>
  <c r="GI5" i="11"/>
  <c r="GI5" i="14"/>
  <c r="DG5" i="15"/>
  <c r="DG5" i="13"/>
  <c r="MM5" i="14"/>
  <c r="MW5" i="12"/>
  <c r="AY5" i="16"/>
  <c r="JZ5" i="17"/>
  <c r="EU5" i="1"/>
  <c r="HC5" i="19"/>
  <c r="DG5" i="2"/>
  <c r="BI5" i="29"/>
  <c r="DG5" i="4"/>
  <c r="JU5" i="7"/>
  <c r="LN5" i="1"/>
  <c r="BS5" i="23"/>
  <c r="JP5" i="2"/>
  <c r="AJ5" i="32"/>
  <c r="IQ5" i="11"/>
  <c r="KT5" i="4"/>
  <c r="GD5" i="2"/>
  <c r="EZ5" i="1"/>
  <c r="NQ5" i="26"/>
  <c r="BN5" i="3"/>
  <c r="OF5" i="4"/>
  <c r="DB5" i="2"/>
  <c r="HH5" i="19"/>
  <c r="MW5" i="2"/>
  <c r="FO5" i="5"/>
  <c r="NB5" i="2"/>
  <c r="DV5" i="4"/>
  <c r="CR5" i="2"/>
  <c r="K5" i="2"/>
  <c r="F5" i="2"/>
  <c r="JF5" i="5"/>
  <c r="BS5" i="1"/>
  <c r="F5" i="5"/>
  <c r="IV5" i="1"/>
  <c r="IV5" i="3"/>
  <c r="FJ5" i="1"/>
  <c r="CH5" i="5"/>
  <c r="AT5" i="6"/>
  <c r="DL5" i="4"/>
  <c r="A5" i="1"/>
  <c r="MR5" i="5"/>
  <c r="NV5" i="2"/>
  <c r="JZ5" i="2"/>
  <c r="FJ5" i="3"/>
  <c r="MC5" i="1"/>
  <c r="CC5" i="3"/>
  <c r="LN5" i="6"/>
  <c r="HR5" i="4"/>
  <c r="MH5" i="3"/>
  <c r="AJ5" i="4"/>
  <c r="KO5" i="2"/>
  <c r="JP5" i="5"/>
  <c r="FO5" i="1"/>
  <c r="CH5" i="1"/>
  <c r="NB5" i="5"/>
  <c r="GS5" i="2"/>
  <c r="MW5" i="8"/>
  <c r="LX5" i="1"/>
  <c r="GD5" i="5"/>
  <c r="LD5" i="4"/>
  <c r="MM5" i="3"/>
  <c r="Z5" i="2"/>
  <c r="FE5" i="6"/>
  <c r="LI5" i="4"/>
  <c r="JA5" i="3"/>
  <c r="JU5" i="5"/>
  <c r="EK5" i="4"/>
  <c r="CR5" i="5"/>
  <c r="HW5" i="4"/>
  <c r="FY5" i="8"/>
  <c r="FO5" i="3"/>
  <c r="LS5" i="9"/>
  <c r="AE5" i="7"/>
  <c r="GS5" i="10"/>
  <c r="DG5" i="10"/>
  <c r="AE5" i="2"/>
  <c r="EU5" i="9"/>
  <c r="DQ5" i="7"/>
  <c r="EU5" i="3"/>
  <c r="HM5" i="7"/>
  <c r="IG5" i="12"/>
  <c r="CW5" i="5"/>
  <c r="CM5" i="8"/>
  <c r="AO5" i="4"/>
  <c r="GI5" i="5"/>
  <c r="IG5" i="9"/>
  <c r="BI5" i="9"/>
  <c r="LD5" i="3"/>
  <c r="DL5" i="12"/>
  <c r="A5" i="11"/>
  <c r="BS5" i="6"/>
  <c r="U5" i="10"/>
  <c r="FT5" i="1"/>
  <c r="JK5" i="8"/>
  <c r="KO5" i="11"/>
  <c r="DL5" i="13"/>
  <c r="JA5" i="16"/>
  <c r="KY5" i="7"/>
  <c r="NQ5" i="5"/>
  <c r="A5" i="12"/>
  <c r="CC5" i="20"/>
  <c r="NV5" i="12"/>
  <c r="A5" i="8"/>
  <c r="GN5" i="11"/>
  <c r="JP5" i="13"/>
  <c r="FE5" i="23"/>
  <c r="GS5" i="14"/>
  <c r="U5" i="5"/>
  <c r="CW5" i="11"/>
  <c r="NB5" i="12"/>
  <c r="KE5" i="17"/>
  <c r="IB5" i="12"/>
  <c r="MR5" i="14"/>
  <c r="GN5" i="14"/>
  <c r="BD5" i="16"/>
  <c r="JZ5" i="15"/>
  <c r="K5" i="22"/>
  <c r="LN5" i="20"/>
  <c r="GI5" i="18"/>
  <c r="DL5" i="15"/>
  <c r="JU5" i="13"/>
  <c r="AJ5" i="14"/>
  <c r="BX5" i="17"/>
  <c r="BN5" i="29"/>
  <c r="F5" i="25"/>
  <c r="IV5" i="16"/>
  <c r="CH5" i="3"/>
  <c r="DQ5" i="13"/>
  <c r="DQ5" i="12"/>
  <c r="NV5" i="26"/>
  <c r="BX5" i="23"/>
  <c r="DQ5" i="15"/>
  <c r="EP5" i="32"/>
  <c r="MW5" i="14"/>
  <c r="JK5" i="19"/>
  <c r="JF5" i="3"/>
  <c r="CC5" i="17"/>
  <c r="LD5" i="7"/>
  <c r="CM5" i="25"/>
  <c r="AJ5" i="7"/>
  <c r="MR5" i="20"/>
  <c r="K5" i="12"/>
  <c r="DQ5" i="10"/>
  <c r="EP5" i="4"/>
  <c r="KO5" i="4"/>
  <c r="LI5" i="17"/>
  <c r="CH5" i="27"/>
  <c r="HH5" i="18"/>
  <c r="AJ5" i="15"/>
  <c r="KT5" i="6"/>
  <c r="BI5" i="16"/>
  <c r="DG5" i="5"/>
  <c r="AO5" i="14"/>
  <c r="KE5" i="15"/>
  <c r="NV5" i="5"/>
  <c r="P5" i="22"/>
  <c r="FO5" i="29"/>
  <c r="NQ5" i="9"/>
  <c r="GN5" i="5"/>
  <c r="JK5" i="32"/>
  <c r="BX5" i="11"/>
  <c r="MH5" i="6"/>
  <c r="EU5" i="4"/>
  <c r="GS5" i="12"/>
  <c r="KT5" i="2"/>
  <c r="KO5" i="5"/>
  <c r="IG5" i="4"/>
  <c r="HW5" i="7"/>
  <c r="K5" i="8"/>
  <c r="LI5" i="7"/>
  <c r="AE5" i="10"/>
  <c r="JP5" i="8"/>
  <c r="FE5" i="9"/>
  <c r="CC5" i="6"/>
  <c r="BS5" i="9"/>
  <c r="OA5" i="5"/>
  <c r="GS5" i="5"/>
  <c r="JA5" i="12"/>
  <c r="AO5" i="7"/>
  <c r="CR5" i="8"/>
  <c r="NQ5" i="8"/>
  <c r="GI5" i="8"/>
  <c r="CW5" i="8"/>
  <c r="FO5" i="6"/>
  <c r="MM5" i="6"/>
  <c r="LS5" i="4"/>
  <c r="MC5" i="9"/>
  <c r="JA5" i="6"/>
  <c r="JU5" i="8"/>
  <c r="HM5" i="10"/>
  <c r="NV5" i="14"/>
  <c r="EP5" i="13"/>
  <c r="P5" i="11"/>
  <c r="LD5" i="15"/>
  <c r="EK5" i="7"/>
  <c r="BI5" i="1"/>
  <c r="GX5" i="11"/>
  <c r="JP5" i="16"/>
  <c r="CH5" i="17"/>
  <c r="LD5" i="10"/>
  <c r="FJ5" i="9"/>
  <c r="IQ5" i="9"/>
  <c r="U5" i="12"/>
  <c r="DV5" i="12"/>
  <c r="U5" i="4"/>
  <c r="OA5" i="12"/>
  <c r="EP5" i="15"/>
  <c r="KY5" i="11"/>
  <c r="LS5" i="17"/>
  <c r="KT5" i="13"/>
  <c r="DG5" i="11"/>
  <c r="CH5" i="16"/>
  <c r="HR5" i="14"/>
  <c r="JA5" i="5"/>
  <c r="BN5" i="14"/>
  <c r="GI5" i="29"/>
  <c r="OA5" i="4"/>
  <c r="IG5" i="18"/>
  <c r="KO5" i="19"/>
  <c r="BX5" i="22"/>
  <c r="KJ5" i="29"/>
  <c r="EU5" i="15"/>
  <c r="MR5" i="1"/>
  <c r="CM5" i="1"/>
  <c r="MM5" i="16"/>
  <c r="CM5" i="27"/>
  <c r="NQ5" i="32"/>
  <c r="KY5" i="13"/>
  <c r="HM5" i="9"/>
  <c r="JU5" i="9"/>
  <c r="KT5" i="12"/>
  <c r="F5" i="12"/>
  <c r="MW5" i="20"/>
  <c r="AJ5" i="10"/>
  <c r="HM5" i="11"/>
  <c r="HW5" i="6"/>
  <c r="GI5" i="7"/>
  <c r="FJ5" i="23"/>
  <c r="LD5" i="11"/>
  <c r="KJ5" i="16"/>
  <c r="CM5" i="33"/>
  <c r="HW5" i="14"/>
  <c r="CR5" i="25"/>
  <c r="F5" i="13"/>
  <c r="HR5" i="10"/>
  <c r="CM5" i="12"/>
  <c r="LN5" i="12"/>
  <c r="CM5" i="16"/>
  <c r="KE5" i="20"/>
  <c r="MC5" i="17"/>
  <c r="FE5" i="8"/>
  <c r="CH5" i="12"/>
  <c r="JF5" i="12"/>
  <c r="IV5" i="9"/>
  <c r="Z5" i="12"/>
  <c r="LI5" i="1"/>
  <c r="FY5" i="10"/>
  <c r="FJ5" i="11"/>
  <c r="DV5" i="2"/>
  <c r="BX5" i="9"/>
  <c r="F5" i="11"/>
  <c r="DL5" i="2"/>
  <c r="MC5" i="8"/>
  <c r="LI5" i="10"/>
  <c r="DV5" i="10"/>
  <c r="OA5" i="14"/>
  <c r="U5" i="11"/>
  <c r="DL5" i="11"/>
  <c r="OF5" i="12"/>
  <c r="BS5" i="14"/>
  <c r="IQ5" i="23"/>
  <c r="EU5" i="13"/>
  <c r="MH5" i="9"/>
  <c r="EP5" i="12"/>
  <c r="DL5" i="17"/>
  <c r="LX5" i="15"/>
  <c r="LI5" i="15"/>
  <c r="EF5" i="17"/>
  <c r="LI5" i="19"/>
  <c r="NG5" i="23"/>
  <c r="IG5" i="24"/>
  <c r="KO5" i="25"/>
  <c r="GN5" i="27"/>
  <c r="EU5" i="24"/>
  <c r="KT5" i="19"/>
  <c r="P5" i="21"/>
  <c r="CW5" i="22"/>
  <c r="IQ5" i="15"/>
  <c r="CH5" i="11"/>
  <c r="FY5" i="25"/>
  <c r="IL5" i="10"/>
  <c r="IL5" i="18"/>
  <c r="LN5" i="10"/>
  <c r="FJ5" i="12"/>
  <c r="U5" i="16"/>
  <c r="OA5" i="17"/>
  <c r="IL5" i="11"/>
  <c r="CH5" i="14"/>
  <c r="LN5" i="11"/>
  <c r="IL5" i="12"/>
  <c r="F5" i="14"/>
  <c r="FJ5" i="13"/>
  <c r="FJ5" i="14"/>
  <c r="JA5" i="18"/>
  <c r="IL5" i="14"/>
  <c r="LN5" i="14"/>
  <c r="AY5" i="19"/>
  <c r="JU5" i="16"/>
  <c r="CH5" i="15"/>
  <c r="GN5" i="16"/>
  <c r="NQ5" i="20"/>
  <c r="LN5" i="13"/>
  <c r="CH5" i="29"/>
  <c r="LI5" i="29"/>
  <c r="GN5" i="20"/>
  <c r="F5" i="15"/>
  <c r="IL5" i="13"/>
  <c r="CH5" i="13"/>
  <c r="IQ5" i="28"/>
  <c r="CM5" i="23"/>
  <c r="FO5" i="18"/>
  <c r="DG5" i="16"/>
  <c r="AY5" i="17"/>
  <c r="HM5" i="17"/>
  <c r="NB5" i="16"/>
  <c r="FJ5" i="15"/>
  <c r="LS5" i="24"/>
  <c r="JP5" i="23"/>
  <c r="FY5" i="23"/>
  <c r="LS5" i="12"/>
  <c r="IQ5" i="21"/>
  <c r="CW5" i="20"/>
  <c r="MR5" i="18"/>
  <c r="EK5" i="19"/>
  <c r="FE5" i="21"/>
  <c r="HC5" i="25"/>
  <c r="HW5" i="19"/>
  <c r="KY5" i="22"/>
  <c r="BS5" i="21"/>
  <c r="KT5" i="17"/>
  <c r="LN5" i="27"/>
  <c r="MC5" i="47"/>
  <c r="CC5" i="18"/>
  <c r="AJ5" i="22"/>
  <c r="K5" i="20"/>
  <c r="EA5" i="22"/>
  <c r="MC5" i="21"/>
  <c r="HM5" i="22"/>
  <c r="DL5" i="27"/>
  <c r="A5" i="23"/>
  <c r="HM5" i="31"/>
  <c r="CR5" i="26"/>
  <c r="HM5" i="27"/>
  <c r="NL5" i="28"/>
  <c r="A5" i="26"/>
  <c r="DL5" i="25"/>
  <c r="U5" i="25"/>
  <c r="FT5" i="46"/>
  <c r="AO5" i="30"/>
  <c r="DG5" i="20"/>
  <c r="BI5" i="24"/>
  <c r="KO5" i="26"/>
  <c r="F5" i="27"/>
  <c r="FJ5" i="32"/>
  <c r="HC5" i="29"/>
  <c r="K5" i="35"/>
  <c r="LS5" i="31"/>
  <c r="GN5" i="26"/>
  <c r="EK5" i="1"/>
  <c r="JP5" i="30"/>
  <c r="K5" i="15"/>
  <c r="EZ5" i="30"/>
  <c r="AJ5" i="28"/>
  <c r="IQ5" i="14"/>
  <c r="EF5" i="35"/>
  <c r="A5" i="33"/>
  <c r="NV5" i="30"/>
  <c r="IQ5" i="12"/>
  <c r="HM5" i="36"/>
  <c r="KO5" i="34"/>
  <c r="DG5" i="31"/>
  <c r="DQ5" i="33"/>
  <c r="FE5" i="41"/>
  <c r="KE5" i="32"/>
  <c r="AE5" i="16"/>
  <c r="CM5" i="36"/>
  <c r="BD5" i="32"/>
  <c r="GI5" i="34"/>
  <c r="MR5" i="33"/>
  <c r="IB5" i="33"/>
  <c r="BN5" i="34"/>
  <c r="K5" i="14"/>
  <c r="IG5" i="33"/>
  <c r="NL5" i="35"/>
  <c r="BI5" i="32"/>
  <c r="IL5" i="35"/>
  <c r="Z5" i="43"/>
  <c r="P5" i="14"/>
  <c r="KE5" i="38"/>
  <c r="CH5" i="37"/>
  <c r="LS5" i="14"/>
  <c r="AO5" i="22"/>
  <c r="MR5" i="37"/>
  <c r="HH5" i="37"/>
  <c r="KJ5" i="39"/>
  <c r="CH5" i="39"/>
  <c r="CW5" i="38"/>
  <c r="CM5" i="13"/>
  <c r="EA5" i="40"/>
  <c r="IV5" i="15"/>
  <c r="AO5" i="44"/>
  <c r="MH5" i="36"/>
  <c r="FO5" i="14"/>
  <c r="DB5" i="45"/>
  <c r="CM5" i="15"/>
  <c r="AY5" i="52"/>
  <c r="MH5" i="40"/>
  <c r="K5" i="27"/>
  <c r="K5" i="13"/>
  <c r="MW5" i="33"/>
  <c r="IQ5" i="13"/>
  <c r="KY5" i="17"/>
  <c r="MC5" i="15"/>
  <c r="MW5" i="37"/>
  <c r="LS5" i="13"/>
  <c r="IB5" i="19"/>
  <c r="JZ5" i="16"/>
  <c r="FO5" i="15"/>
  <c r="JK5" i="18"/>
  <c r="FO5" i="13"/>
  <c r="BD5" i="19"/>
  <c r="MW5" i="18"/>
  <c r="CM5" i="14"/>
  <c r="DL5" i="16"/>
  <c r="FT5" i="18"/>
  <c r="HR5" i="17"/>
  <c r="GS5" i="16"/>
  <c r="EP5" i="19"/>
  <c r="GS5" i="20"/>
  <c r="NG5" i="16"/>
  <c r="CH5" i="18"/>
  <c r="BD5" i="17"/>
  <c r="EK5" i="17"/>
  <c r="IG5" i="6"/>
  <c r="EF5" i="22"/>
  <c r="LN5" i="19"/>
  <c r="OF5" i="17"/>
  <c r="LD5" i="22"/>
  <c r="HH5" i="25"/>
  <c r="P5" i="20"/>
  <c r="FJ5" i="21"/>
  <c r="EZ5" i="24"/>
  <c r="KJ5" i="20"/>
  <c r="GI5" i="23"/>
  <c r="BX5" i="21"/>
  <c r="KT5" i="25"/>
  <c r="HR5" i="22"/>
  <c r="CW5" i="26"/>
  <c r="JU5" i="23"/>
  <c r="NV5" i="20"/>
  <c r="IV5" i="21"/>
  <c r="F5" i="23"/>
  <c r="FO5" i="32"/>
  <c r="LX5" i="24"/>
  <c r="F5" i="26"/>
  <c r="DQ5" i="31"/>
  <c r="NQ5" i="35"/>
  <c r="BN5" i="24"/>
  <c r="MM5" i="21"/>
  <c r="NL5" i="23"/>
  <c r="AE5" i="25"/>
  <c r="CM5" i="39"/>
  <c r="IL5" i="24"/>
  <c r="DQ5" i="27"/>
  <c r="EK5" i="35"/>
  <c r="DQ5" i="16"/>
  <c r="GS5" i="26"/>
  <c r="HR5" i="27"/>
  <c r="AO5" i="28"/>
  <c r="KT5" i="26"/>
  <c r="CR5" i="23"/>
  <c r="OF5" i="30"/>
  <c r="CM5" i="29"/>
  <c r="JK5" i="28"/>
  <c r="JU5" i="30"/>
  <c r="NQ5" i="28"/>
  <c r="FE5" i="30"/>
  <c r="AE5" i="35"/>
  <c r="LN5" i="29"/>
  <c r="DQ5" i="25"/>
  <c r="AY5" i="30"/>
  <c r="HR5" i="31"/>
  <c r="DL5" i="31"/>
  <c r="LS5" i="27"/>
  <c r="F5" i="33"/>
  <c r="IB5" i="37"/>
  <c r="HH5" i="29"/>
  <c r="HM5" i="25"/>
  <c r="IV5" i="12"/>
  <c r="LX5" i="13"/>
  <c r="BX5" i="34"/>
  <c r="CR5" i="36"/>
  <c r="MM5" i="31"/>
  <c r="U5" i="20"/>
  <c r="DL5" i="38"/>
  <c r="EA5" i="33"/>
  <c r="IQ5" i="35"/>
  <c r="FT5" i="13"/>
  <c r="MR5" i="40"/>
  <c r="LS5" i="19"/>
  <c r="CC5" i="42"/>
  <c r="GN5" i="34"/>
  <c r="FO5" i="30"/>
  <c r="HC5" i="26"/>
  <c r="KJ5" i="32"/>
  <c r="LX5" i="14"/>
  <c r="FY5" i="41"/>
  <c r="HW5" i="36"/>
  <c r="LS5" i="39"/>
  <c r="MC5" i="24"/>
  <c r="EK5" i="40"/>
  <c r="KT5" i="34"/>
  <c r="MR5" i="36"/>
  <c r="EZ5" i="28"/>
  <c r="HW5" i="17"/>
  <c r="P5" i="12"/>
  <c r="FO5" i="21"/>
  <c r="CM5" i="37"/>
  <c r="DV5" i="45"/>
  <c r="KJ5" i="38"/>
  <c r="IG5" i="52"/>
  <c r="CR5" i="12"/>
  <c r="MM5" i="29"/>
  <c r="CR5" i="14"/>
  <c r="FT5" i="12"/>
  <c r="LX5" i="12"/>
  <c r="FE5" i="24"/>
  <c r="CR5" i="13"/>
  <c r="BD5" i="44"/>
  <c r="NL5" i="16"/>
  <c r="AT5" i="43"/>
  <c r="IV5" i="14"/>
  <c r="LX5" i="11"/>
  <c r="A5" i="48"/>
  <c r="DL5" i="20"/>
  <c r="P5" i="13"/>
  <c r="EP5" i="1"/>
  <c r="P5" i="15"/>
  <c r="CR5" i="15"/>
  <c r="GN5" i="46"/>
  <c r="EK5" i="22"/>
  <c r="EU5" i="19"/>
  <c r="FT5" i="15"/>
  <c r="KE5" i="16"/>
  <c r="MM5" i="15"/>
  <c r="JA5" i="15"/>
  <c r="EP5" i="17"/>
  <c r="IL5" i="6"/>
  <c r="IV5" i="13"/>
  <c r="FY5" i="18"/>
  <c r="KO5" i="20"/>
  <c r="AJ5" i="16"/>
  <c r="FT5" i="14"/>
  <c r="JP5" i="18"/>
  <c r="AY5" i="22"/>
  <c r="GX5" i="16"/>
  <c r="CM5" i="18"/>
  <c r="BI5" i="19"/>
  <c r="HC5" i="20"/>
  <c r="LD5" i="17"/>
  <c r="A5" i="18"/>
  <c r="OA5" i="20"/>
  <c r="JA5" i="21"/>
  <c r="NG5" i="18"/>
  <c r="IG5" i="19"/>
  <c r="CC5" i="21"/>
  <c r="GN5" i="23"/>
  <c r="HW5" i="22"/>
  <c r="DG5" i="23"/>
  <c r="K5" i="23"/>
  <c r="LI5" i="22"/>
  <c r="NQ5" i="23"/>
  <c r="MR5" i="21"/>
  <c r="LD5" i="25"/>
  <c r="KE5" i="30"/>
  <c r="KE5" i="23"/>
  <c r="U5" i="53"/>
  <c r="K5" i="26"/>
  <c r="BS5" i="43"/>
  <c r="BN5" i="32"/>
  <c r="BS5" i="24"/>
  <c r="CW5" i="23"/>
  <c r="NV5" i="28"/>
  <c r="LD5" i="26"/>
  <c r="AJ5" i="25"/>
  <c r="EA5" i="25"/>
  <c r="IQ5" i="24"/>
  <c r="KO5" i="38"/>
  <c r="DG5" i="26"/>
  <c r="U5" i="27"/>
  <c r="GI5" i="32"/>
  <c r="NV5" i="23"/>
  <c r="DQ5" i="38"/>
  <c r="LS5" i="29"/>
  <c r="HM5" i="29"/>
  <c r="FJ5" i="30"/>
  <c r="AY5" i="28"/>
  <c r="EP5" i="35"/>
  <c r="MW5" i="40"/>
  <c r="KO5" i="32"/>
  <c r="MC5" i="27"/>
  <c r="A5" i="31"/>
  <c r="IB5" i="27"/>
  <c r="JP5" i="28"/>
  <c r="GS5" i="34"/>
  <c r="NG5" i="33"/>
  <c r="EA5" i="27"/>
  <c r="DG5" i="29"/>
  <c r="K5" i="33"/>
  <c r="IG5" i="37"/>
  <c r="EA5" i="31"/>
  <c r="HH5" i="41"/>
  <c r="NV5" i="35"/>
  <c r="IB5" i="31"/>
  <c r="BD5" i="30"/>
  <c r="MR5" i="31"/>
  <c r="IL5" i="33"/>
  <c r="HH5" i="46"/>
  <c r="IB5" i="36"/>
  <c r="JK5" i="35"/>
  <c r="GN5" i="32"/>
  <c r="EF5" i="33"/>
  <c r="NL5" i="18"/>
  <c r="CR5" i="37"/>
  <c r="AJ5" i="35"/>
  <c r="CC5" i="34"/>
  <c r="DL5" i="39"/>
  <c r="MW5" i="31"/>
  <c r="JF5" i="46"/>
  <c r="GX5" i="53"/>
  <c r="NL5" i="37"/>
  <c r="LD5" i="34"/>
  <c r="CW5" i="36"/>
  <c r="BN5" i="19"/>
  <c r="JK5" i="21"/>
  <c r="LX5" i="19"/>
  <c r="MW5" i="36"/>
  <c r="FE5" i="45"/>
  <c r="AE5" i="20"/>
  <c r="EU5" i="40"/>
  <c r="DL5" i="42"/>
  <c r="P5" i="23"/>
  <c r="LX5" i="39"/>
  <c r="CR5" i="44"/>
  <c r="HH5" i="20"/>
  <c r="IL5" i="19"/>
  <c r="EZ5" i="19"/>
  <c r="BD5" i="48"/>
  <c r="OF5" i="20"/>
  <c r="IG5" i="31"/>
  <c r="KJ5" i="30"/>
  <c r="FJ5" i="24"/>
  <c r="MW5" i="21"/>
  <c r="GS5" i="23"/>
  <c r="CH5" i="21"/>
  <c r="EF5" i="25"/>
  <c r="BD5" i="22"/>
  <c r="EP5" i="22"/>
  <c r="HH5" i="26"/>
  <c r="LI5" i="25"/>
  <c r="FT5" i="21"/>
  <c r="KT5" i="20"/>
  <c r="AO5" i="25"/>
  <c r="GI5" i="15"/>
  <c r="DQ5" i="20"/>
  <c r="LN5" i="22"/>
  <c r="KJ5" i="23"/>
  <c r="IB5" i="22"/>
  <c r="BX5" i="24"/>
  <c r="F5" i="31"/>
  <c r="DL5" i="26"/>
  <c r="DQ5" i="26"/>
  <c r="NQ5" i="37"/>
  <c r="DV5" i="38"/>
  <c r="HR5" i="25"/>
  <c r="P5" i="26"/>
  <c r="JU5" i="28"/>
  <c r="LI5" i="34"/>
  <c r="MM5" i="27"/>
  <c r="BX5" i="32"/>
  <c r="IV5" i="24"/>
  <c r="KT5" i="32"/>
  <c r="AE5" i="27"/>
  <c r="AO5" i="35"/>
  <c r="MM5" i="24"/>
  <c r="CW5" i="37"/>
  <c r="BI5" i="30"/>
  <c r="IG5" i="27"/>
  <c r="FE5" i="28"/>
  <c r="LI5" i="26"/>
  <c r="DV5" i="36"/>
  <c r="IQ5" i="33"/>
  <c r="EF5" i="27"/>
  <c r="DL5" i="29"/>
  <c r="HR5" i="29"/>
  <c r="BD5" i="28"/>
  <c r="OF5" i="28"/>
  <c r="AE5" i="33"/>
  <c r="IG5" i="36"/>
  <c r="NQ5" i="36"/>
  <c r="KT5" i="38"/>
  <c r="CH5" i="34"/>
  <c r="OA5" i="23"/>
  <c r="BI5" i="22"/>
  <c r="NL5" i="33"/>
  <c r="EZ5" i="35"/>
  <c r="GS5" i="45"/>
  <c r="JP5" i="35"/>
  <c r="OA5" i="35"/>
  <c r="HC5" i="34"/>
  <c r="EK5" i="33"/>
  <c r="LN5" i="17"/>
  <c r="EA5" i="16"/>
  <c r="EP5" i="39"/>
  <c r="IG5" i="17"/>
  <c r="DB5" i="15"/>
  <c r="EA5" i="44"/>
  <c r="NQ5" i="40"/>
  <c r="MH5" i="12"/>
  <c r="FE5" i="40"/>
  <c r="Z5" i="15"/>
  <c r="DB5" i="43"/>
  <c r="Z5" i="13"/>
  <c r="IL5" i="37"/>
  <c r="FJ5" i="40"/>
  <c r="EP5" i="33"/>
  <c r="Z5" i="14"/>
  <c r="HM5" i="41"/>
  <c r="CW5" i="48"/>
  <c r="MH5" i="39"/>
  <c r="EU5" i="22"/>
  <c r="JP5" i="15"/>
  <c r="EA5" i="42"/>
  <c r="HH5" i="16"/>
  <c r="DB5" i="13"/>
  <c r="JF5" i="14"/>
  <c r="DB5" i="14"/>
  <c r="KE5" i="18"/>
  <c r="HW5" i="25"/>
  <c r="MH5" i="14"/>
  <c r="GD5" i="13"/>
  <c r="KO5" i="16"/>
  <c r="GD5" i="14"/>
  <c r="HM5" i="20"/>
  <c r="MW5" i="15"/>
  <c r="JF5" i="13"/>
  <c r="MH5" i="13"/>
  <c r="JP5" i="21"/>
  <c r="CM5" i="21"/>
  <c r="KO5" i="23"/>
  <c r="K5" i="18"/>
  <c r="AT5" i="16"/>
  <c r="MC5" i="19"/>
  <c r="BS5" i="19"/>
  <c r="NV5" i="16"/>
  <c r="KY5" i="20"/>
  <c r="EA5" i="20"/>
  <c r="BS5" i="17"/>
  <c r="CW5" i="18"/>
  <c r="AJ5" i="20"/>
  <c r="FE5" i="19"/>
  <c r="EZ5" i="17"/>
  <c r="NQ5" i="18"/>
  <c r="JK5" i="24"/>
  <c r="GN5" i="18"/>
  <c r="LS5" i="22"/>
  <c r="LN5" i="25"/>
  <c r="IL5" i="27"/>
  <c r="IG5" i="22"/>
  <c r="A5" i="21"/>
  <c r="NG5" i="21"/>
  <c r="EF5" i="31"/>
  <c r="IL5" i="31"/>
  <c r="DL5" i="23"/>
  <c r="FY5" i="21"/>
  <c r="U5" i="26"/>
  <c r="MR5" i="27"/>
  <c r="JK5" i="33"/>
  <c r="FJ5" i="28"/>
  <c r="EA5" i="38"/>
  <c r="FE5" i="44"/>
  <c r="FO5" i="24"/>
  <c r="BI5" i="28"/>
  <c r="U5" i="23"/>
  <c r="MR5" i="24"/>
  <c r="CC5" i="24"/>
  <c r="HC5" i="23"/>
  <c r="BN5" i="30"/>
  <c r="JA5" i="24"/>
  <c r="CM5" i="34"/>
  <c r="LN5" i="26"/>
  <c r="AY5" i="25"/>
  <c r="EK5" i="27"/>
  <c r="KE5" i="28"/>
  <c r="DQ5" i="29"/>
  <c r="AJ5" i="27"/>
  <c r="EA5" i="36"/>
  <c r="IB5" i="29"/>
  <c r="KO5" i="30"/>
  <c r="MR5" i="29"/>
  <c r="HM5" i="26"/>
  <c r="NV5" i="36"/>
  <c r="LD5" i="20"/>
  <c r="CC5" i="32"/>
  <c r="NV5" i="18"/>
  <c r="GS5" i="32"/>
  <c r="JF5" i="37"/>
  <c r="A5" i="29"/>
  <c r="AJ5" i="33"/>
  <c r="K5" i="31"/>
  <c r="JU5" i="35"/>
  <c r="HH5" i="34"/>
  <c r="LD5" i="32"/>
  <c r="NQ5" i="33"/>
  <c r="NG5" i="31"/>
  <c r="GI5" i="30"/>
  <c r="U5" i="41"/>
  <c r="DV5" i="43"/>
  <c r="FE5" i="35"/>
  <c r="JZ5" i="46"/>
  <c r="LS5" i="38"/>
  <c r="LN5" i="34"/>
  <c r="EF5" i="42"/>
  <c r="A5" i="36"/>
  <c r="IL5" i="36"/>
  <c r="IV5" i="37"/>
  <c r="AY5" i="35"/>
  <c r="MW5" i="27"/>
  <c r="JU5" i="21"/>
  <c r="EU5" i="39"/>
  <c r="MR5" i="39"/>
  <c r="FE5" i="48"/>
  <c r="DQ5" i="37"/>
  <c r="EU5" i="42"/>
  <c r="HR5" i="20"/>
  <c r="IG5" i="41"/>
  <c r="BX5" i="19"/>
  <c r="EZ5" i="22"/>
  <c r="GD5" i="40"/>
  <c r="AE5" i="31"/>
  <c r="AO5" i="20"/>
  <c r="NV5" i="37"/>
  <c r="EK5" i="31"/>
  <c r="CC5" i="19"/>
  <c r="IQ5" i="19"/>
  <c r="GS5" i="18"/>
  <c r="MW5" i="29"/>
  <c r="NL5" i="53"/>
  <c r="HH5" i="23"/>
  <c r="FJ5" i="35"/>
  <c r="AE5" i="26"/>
  <c r="KJ5" i="18"/>
  <c r="F5" i="21"/>
  <c r="MM5" i="19"/>
  <c r="EF5" i="20"/>
  <c r="CR5" i="21"/>
  <c r="HR5" i="26"/>
  <c r="HH5" i="45"/>
  <c r="LX5" i="22"/>
  <c r="OF5" i="23"/>
  <c r="GI5" i="21"/>
  <c r="IV5" i="36"/>
  <c r="BD5" i="35"/>
  <c r="LS5" i="25"/>
  <c r="LS5" i="34"/>
  <c r="BN5" i="22"/>
  <c r="FJ5" i="19"/>
  <c r="DQ5" i="23"/>
  <c r="IG5" i="29"/>
  <c r="LI5" i="20"/>
  <c r="IL5" i="22"/>
  <c r="AE5" i="23"/>
  <c r="KT5" i="23"/>
  <c r="CH5" i="24"/>
  <c r="MW5" i="24"/>
  <c r="LS5" i="26"/>
  <c r="EA5" i="26"/>
  <c r="NL5" i="21"/>
  <c r="AO5" i="27"/>
  <c r="FT5" i="24"/>
  <c r="CH5" i="32"/>
  <c r="BD5" i="25"/>
  <c r="IB5" i="25"/>
  <c r="KE5" i="35"/>
  <c r="EP5" i="27"/>
  <c r="KJ5" i="28"/>
  <c r="F5" i="29"/>
  <c r="FO5" i="28"/>
  <c r="DG5" i="34"/>
  <c r="LI5" i="32"/>
  <c r="BN5" i="28"/>
  <c r="IQ5" i="27"/>
  <c r="KT5" i="30"/>
  <c r="JP5" i="33"/>
  <c r="JA5" i="27"/>
  <c r="EZ5" i="33"/>
  <c r="NL5" i="31"/>
  <c r="AO5" i="33"/>
  <c r="EA5" i="29"/>
  <c r="EF5" i="36"/>
  <c r="NV5" i="33"/>
  <c r="OA5" i="36"/>
  <c r="IQ5" i="31"/>
  <c r="HC5" i="32"/>
  <c r="BX5" i="30"/>
  <c r="GN5" i="30"/>
  <c r="JA5" i="19"/>
  <c r="EU5" i="38"/>
  <c r="LX5" i="17"/>
  <c r="MW5" i="39"/>
  <c r="HW5" i="20"/>
  <c r="HM5" i="34"/>
  <c r="Z5" i="41"/>
  <c r="JA5" i="37"/>
  <c r="IL5" i="41"/>
  <c r="F5" i="36"/>
  <c r="EK5" i="43"/>
  <c r="NB5" i="38"/>
  <c r="FY5" i="44"/>
  <c r="DV5" i="37"/>
  <c r="KO5" i="46"/>
  <c r="HH5" i="48"/>
  <c r="HM5" i="23"/>
  <c r="EA5" i="23"/>
  <c r="FT5" i="54"/>
  <c r="KO5" i="18"/>
  <c r="HC5" i="18"/>
  <c r="K5" i="38"/>
  <c r="NQ5" i="21"/>
  <c r="DL5" i="18"/>
  <c r="U5" i="18"/>
  <c r="K5" i="21"/>
  <c r="EF5" i="26"/>
  <c r="FJ5" i="39"/>
  <c r="OA5" i="18"/>
  <c r="IL5" i="45"/>
  <c r="MW5" i="54"/>
  <c r="EK5" i="20"/>
  <c r="FO5" i="19"/>
  <c r="GN5" i="21"/>
  <c r="FE5" i="22"/>
  <c r="FY5" i="24"/>
  <c r="EZ5" i="38"/>
  <c r="HH5" i="32"/>
  <c r="AY5" i="20"/>
  <c r="KY5" i="23"/>
  <c r="BS5" i="22"/>
  <c r="AJ5" i="23"/>
  <c r="FO5" i="35"/>
  <c r="JA5" i="36"/>
  <c r="MR5" i="19"/>
  <c r="NG5" i="27"/>
  <c r="CM5" i="24"/>
  <c r="NG5" i="29"/>
  <c r="MM5" i="34"/>
  <c r="BI5" i="25"/>
  <c r="NG5" i="24"/>
  <c r="KE5" i="21"/>
  <c r="CW5" i="21"/>
  <c r="MC5" i="22"/>
  <c r="EF5" i="29"/>
  <c r="IQ5" i="22"/>
  <c r="IG5" i="25"/>
  <c r="AJ5" i="26"/>
  <c r="EU5" i="25"/>
  <c r="KO5" i="28"/>
  <c r="JP5" i="24"/>
  <c r="LX5" i="25"/>
  <c r="BI5" i="35"/>
  <c r="NG5" i="19"/>
  <c r="A5" i="24"/>
  <c r="IB5" i="26"/>
  <c r="IL5" i="29"/>
  <c r="AY5" i="27"/>
  <c r="EZ5" i="27"/>
  <c r="MC5" i="26"/>
  <c r="CC5" i="30"/>
  <c r="FE5" i="33"/>
  <c r="BX5" i="28"/>
  <c r="AJ5" i="31"/>
  <c r="JP5" i="45"/>
  <c r="GS5" i="30"/>
  <c r="EA5" i="37"/>
  <c r="BN5" i="25"/>
  <c r="IB5" i="34"/>
  <c r="EU5" i="20"/>
  <c r="LD5" i="30"/>
  <c r="OF5" i="33"/>
  <c r="HM5" i="32"/>
  <c r="LN5" i="32"/>
  <c r="CM5" i="32"/>
  <c r="GI5" i="28"/>
  <c r="JU5" i="33"/>
  <c r="K5" i="29"/>
  <c r="AY5" i="33"/>
  <c r="K5" i="36"/>
  <c r="HR5" i="23"/>
  <c r="KJ5" i="35"/>
  <c r="EP5" i="31"/>
  <c r="A5" i="37"/>
  <c r="EP5" i="36"/>
  <c r="JK5" i="31"/>
  <c r="NQ5" i="31"/>
  <c r="NL5" i="29"/>
  <c r="DL5" i="34"/>
  <c r="HR5" i="34"/>
  <c r="NL5" i="24"/>
  <c r="FO5" i="43"/>
  <c r="MC5" i="46"/>
  <c r="AT5" i="41"/>
  <c r="AO5" i="41"/>
  <c r="JP5" i="31"/>
  <c r="JP5" i="37"/>
  <c r="NB5" i="39"/>
  <c r="NG5" i="38"/>
  <c r="FO5" i="39"/>
  <c r="GI5" i="24"/>
  <c r="F5" i="24"/>
  <c r="EK5" i="26"/>
  <c r="GX5" i="14"/>
  <c r="FT5" i="42"/>
  <c r="GX5" i="44"/>
  <c r="CC5" i="28"/>
  <c r="BD5" i="33"/>
  <c r="IL5" i="25"/>
  <c r="HM5" i="40"/>
  <c r="FJ5" i="33"/>
  <c r="EZ5" i="31"/>
  <c r="MM5" i="26"/>
  <c r="EF5" i="23"/>
  <c r="BD5" i="27"/>
  <c r="IV5" i="41"/>
  <c r="CR5" i="24"/>
  <c r="AE5" i="29"/>
  <c r="LD5" i="23"/>
  <c r="LI5" i="48"/>
  <c r="AO5" i="26"/>
  <c r="JK5" i="27"/>
  <c r="AY5" i="26"/>
  <c r="F5" i="34"/>
  <c r="HC5" i="30"/>
  <c r="NV5" i="31"/>
  <c r="JU5" i="24"/>
  <c r="OA5" i="39"/>
  <c r="NL5" i="27"/>
  <c r="MC5" i="25"/>
  <c r="IG5" i="26"/>
  <c r="P5" i="36"/>
  <c r="EZ5" i="25"/>
  <c r="EK5" i="29"/>
  <c r="LS5" i="32"/>
  <c r="KT5" i="28"/>
  <c r="JZ5" i="13"/>
  <c r="KE5" i="33"/>
  <c r="LI5" i="30"/>
  <c r="IQ5" i="29"/>
  <c r="GN5" i="28"/>
  <c r="AO5" i="31"/>
  <c r="HC5" i="42"/>
  <c r="A5" i="34"/>
  <c r="EU5" i="37"/>
  <c r="CH5" i="30"/>
  <c r="BN5" i="35"/>
  <c r="MR5" i="34"/>
  <c r="DG5" i="32"/>
  <c r="DQ5" i="34"/>
  <c r="GX5" i="43"/>
  <c r="JF5" i="36"/>
  <c r="GI5" i="35"/>
  <c r="EU5" i="36"/>
  <c r="P5" i="38"/>
  <c r="FY5" i="38"/>
  <c r="EA5" i="55"/>
  <c r="NQ5" i="38"/>
  <c r="F5" i="37"/>
  <c r="LI5" i="45"/>
  <c r="KO5" i="35"/>
  <c r="HW5" i="40"/>
  <c r="IV5" i="44"/>
  <c r="NB5" i="13"/>
  <c r="JU5" i="41"/>
  <c r="DV5" i="13"/>
  <c r="AT5" i="15"/>
  <c r="FT5" i="39"/>
  <c r="DV5" i="15"/>
  <c r="GX5" i="13"/>
  <c r="DV5" i="14"/>
  <c r="AT5" i="14"/>
  <c r="JA5" i="17"/>
  <c r="EP5" i="26"/>
  <c r="CM5" i="17"/>
  <c r="F5" i="17"/>
  <c r="DL5" i="21"/>
  <c r="NL5" i="48"/>
  <c r="MR5" i="26"/>
  <c r="KJ5" i="15"/>
  <c r="NB5" i="14"/>
  <c r="NL5" i="46"/>
  <c r="HC5" i="8"/>
  <c r="EA5" i="18"/>
  <c r="A5" i="19"/>
  <c r="BN5" i="16"/>
  <c r="NQ5" i="15"/>
  <c r="AJ5" i="18"/>
  <c r="HM5" i="18"/>
  <c r="IB5" i="16"/>
  <c r="FT5" i="17"/>
  <c r="EU5" i="16"/>
  <c r="HC5" i="15"/>
  <c r="FY5" i="19"/>
  <c r="CM5" i="19"/>
  <c r="LI5" i="16"/>
  <c r="JZ5" i="14"/>
  <c r="MR5" i="22"/>
  <c r="MM5" i="17"/>
  <c r="FE5" i="25"/>
  <c r="EK5" i="23"/>
  <c r="KY5" i="18"/>
  <c r="BI5" i="20"/>
  <c r="LI5" i="23"/>
  <c r="LS5" i="20"/>
  <c r="CC5" i="22"/>
  <c r="IG5" i="20"/>
  <c r="JP5" i="19"/>
  <c r="FO5" i="22"/>
  <c r="K5" i="24"/>
  <c r="BS5" i="25"/>
  <c r="U5" i="21"/>
  <c r="IG5" i="34"/>
  <c r="HW5" i="23"/>
  <c r="OA5" i="21"/>
  <c r="JU5" i="31"/>
  <c r="JP5" i="27"/>
  <c r="KO5" i="21"/>
  <c r="NQ5" i="24"/>
  <c r="AY5" i="23"/>
  <c r="HC5" i="21"/>
  <c r="JA5" i="22"/>
  <c r="BI5" i="27"/>
  <c r="CW5" i="24"/>
  <c r="NQ5" i="27"/>
  <c r="IL5" i="26"/>
  <c r="GN5" i="24"/>
  <c r="IQ5" i="25"/>
  <c r="KE5" i="24"/>
  <c r="CH5" i="28"/>
  <c r="NQ5" i="29"/>
  <c r="LD5" i="28"/>
  <c r="FJ5" i="27"/>
  <c r="KJ5" i="1"/>
  <c r="DL5" i="32"/>
  <c r="JK5" i="29"/>
  <c r="AJ5" i="29"/>
  <c r="HH5" i="30"/>
  <c r="GS5" i="28"/>
  <c r="MM5" i="25"/>
  <c r="HC5" i="4"/>
  <c r="AY5" i="31"/>
  <c r="AY5" i="5"/>
  <c r="LN5" i="30"/>
  <c r="EA5" i="4"/>
  <c r="EP5" i="29"/>
  <c r="FO5" i="33"/>
  <c r="FE5" i="31"/>
  <c r="KJ5" i="33"/>
  <c r="OF5" i="31"/>
  <c r="EA5" i="34"/>
  <c r="NG5" i="1"/>
  <c r="MM5" i="32"/>
  <c r="CM5" i="30"/>
  <c r="HR5" i="32"/>
  <c r="NV5" i="38"/>
  <c r="MW5" i="34"/>
  <c r="BI5" i="33"/>
  <c r="BX5" i="35"/>
  <c r="EZ5" i="37"/>
  <c r="JP5" i="36"/>
  <c r="IL5" i="40"/>
  <c r="GD5" i="38"/>
  <c r="LI5" i="55"/>
  <c r="K5" i="37"/>
  <c r="CM5" i="6"/>
  <c r="JU5" i="1"/>
  <c r="MC5" i="45"/>
  <c r="HW5" i="42"/>
  <c r="HC5" i="6"/>
  <c r="AY5" i="41"/>
  <c r="KE5" i="37"/>
  <c r="NG5" i="3"/>
  <c r="AO5" i="36"/>
  <c r="Z5" i="40"/>
  <c r="CR5" i="49"/>
  <c r="HM5" i="43"/>
  <c r="EZ5" i="36"/>
  <c r="AY5" i="1"/>
  <c r="Z5" i="38"/>
  <c r="KE5" i="2"/>
  <c r="KT5" i="35"/>
  <c r="EA5" i="2"/>
  <c r="EA5" i="1"/>
  <c r="GN5" i="35"/>
  <c r="FY5" i="39"/>
  <c r="LI5" i="41"/>
  <c r="JP5" i="44"/>
  <c r="F5" i="47"/>
  <c r="HC5" i="2"/>
  <c r="EA5" i="3"/>
  <c r="NG5" i="4"/>
  <c r="HC5" i="1"/>
  <c r="KE5" i="3"/>
  <c r="HC5" i="5"/>
  <c r="EA5" i="8"/>
  <c r="KE5" i="8"/>
  <c r="AY5" i="3"/>
  <c r="NG5" i="5"/>
  <c r="HC5" i="3"/>
  <c r="EA5" i="5"/>
  <c r="NG5" i="2"/>
  <c r="HC5" i="7"/>
  <c r="AY5" i="2"/>
  <c r="FE5" i="27"/>
  <c r="KE5" i="1"/>
  <c r="EA5" i="7"/>
  <c r="NG5" i="6"/>
  <c r="KE5" i="5"/>
  <c r="EA5" i="6"/>
  <c r="KE5" i="13"/>
  <c r="AY5" i="10"/>
  <c r="KE5" i="12"/>
  <c r="JK5" i="17"/>
  <c r="KE5" i="6"/>
  <c r="EA5" i="11"/>
  <c r="GI5" i="10"/>
  <c r="EA5" i="9"/>
  <c r="AY5" i="6"/>
  <c r="AY5" i="7"/>
  <c r="HC5" i="13"/>
  <c r="AY5" i="4"/>
  <c r="NG5" i="13"/>
  <c r="KE5" i="4"/>
  <c r="NG5" i="9"/>
  <c r="AY5" i="13"/>
  <c r="NV5" i="15"/>
  <c r="KE5" i="7"/>
  <c r="NG5" i="10"/>
  <c r="EA5" i="10"/>
  <c r="NG5" i="8"/>
  <c r="DG5" i="24"/>
  <c r="NG5" i="7"/>
  <c r="AY5" i="12"/>
  <c r="KE5" i="10"/>
  <c r="KE5" i="14"/>
  <c r="NG5" i="11"/>
  <c r="BD5" i="23"/>
  <c r="HC5" i="10"/>
  <c r="HC5" i="9"/>
  <c r="KJ5" i="7"/>
  <c r="AY5" i="8"/>
  <c r="GS5" i="35"/>
  <c r="AY5" i="9"/>
  <c r="BD5" i="9"/>
  <c r="JU5" i="19"/>
  <c r="KO5" i="15"/>
  <c r="AY5" i="11"/>
  <c r="IG5" i="16"/>
  <c r="AY5" i="14"/>
  <c r="EA5" i="12"/>
  <c r="HC5" i="12"/>
  <c r="NG5" i="12"/>
  <c r="KE5" i="9"/>
  <c r="KE5" i="11"/>
  <c r="HC5" i="14"/>
  <c r="KJ5" i="3"/>
  <c r="NG5" i="14"/>
  <c r="EA5" i="13"/>
  <c r="HC5" i="11"/>
  <c r="NL5" i="19"/>
  <c r="LN5" i="23"/>
  <c r="FJ5" i="25"/>
  <c r="AY5" i="15"/>
  <c r="HH5" i="15"/>
  <c r="DQ5" i="32"/>
  <c r="LD5" i="18"/>
  <c r="BX5" i="16"/>
  <c r="BS5" i="16"/>
  <c r="EP5" i="23"/>
  <c r="EA5" i="14"/>
  <c r="AO5" i="18"/>
  <c r="EZ5" i="16"/>
  <c r="AJ5" i="40"/>
  <c r="CR5" i="19"/>
  <c r="EA5" i="15"/>
  <c r="K5" i="17"/>
  <c r="DQ5" i="21"/>
  <c r="AE5" i="21"/>
  <c r="CH5" i="22"/>
  <c r="LN5" i="16"/>
  <c r="LI5" i="28"/>
  <c r="F5" i="19"/>
  <c r="EZ5" i="20"/>
  <c r="EF5" i="18"/>
  <c r="GI5" i="19"/>
  <c r="FY5" i="17"/>
  <c r="HR5" i="18"/>
  <c r="EF5" i="2"/>
  <c r="BX5" i="25"/>
  <c r="CR5" i="17"/>
  <c r="OF5" i="21"/>
  <c r="MR5" i="17"/>
  <c r="BN5" i="20"/>
  <c r="FT5" i="22"/>
  <c r="KO5" i="33"/>
  <c r="IQ5" i="26"/>
  <c r="BD5" i="26"/>
  <c r="KT5" i="21"/>
  <c r="HH5" i="21"/>
  <c r="CM5" i="28"/>
  <c r="LX5" i="20"/>
  <c r="GX5" i="39"/>
  <c r="IL5" i="20"/>
  <c r="P5" i="24"/>
  <c r="JU5" i="27"/>
  <c r="NV5" i="27"/>
  <c r="NV5" i="24"/>
  <c r="KJ5" i="24"/>
  <c r="JK5" i="22"/>
  <c r="MW5" i="26"/>
  <c r="JP5" i="29"/>
  <c r="GS5" i="24"/>
  <c r="IB5" i="23"/>
  <c r="MW5" i="22"/>
  <c r="EZ5" i="26"/>
  <c r="IV5" i="25"/>
  <c r="HH5" i="14"/>
  <c r="MR5" i="25"/>
  <c r="FE5" i="20"/>
  <c r="HC5" i="28"/>
  <c r="DG5" i="30"/>
  <c r="NV5" i="29"/>
  <c r="EZ5" i="29"/>
  <c r="A5" i="32"/>
  <c r="FJ5" i="31"/>
  <c r="BN5" i="27"/>
  <c r="FO5" i="27"/>
  <c r="AO5" i="29"/>
  <c r="BD5" i="31"/>
  <c r="LS5" i="30"/>
  <c r="OA5" i="38"/>
  <c r="MR5" i="32"/>
  <c r="GI5" i="33"/>
  <c r="K5" i="34"/>
  <c r="HM5" i="30"/>
  <c r="KE5" i="31"/>
  <c r="IB5" i="32"/>
  <c r="LD5" i="35"/>
  <c r="BN5" i="33"/>
  <c r="EF5" i="34"/>
  <c r="KJ5" i="2"/>
  <c r="IL5" i="34"/>
  <c r="AJ5" i="38"/>
  <c r="IQ5" i="40"/>
  <c r="GS5" i="38"/>
  <c r="NG5" i="34"/>
  <c r="KJ5" i="36"/>
  <c r="EF5" i="13"/>
  <c r="FE5" i="36"/>
  <c r="BD5" i="5"/>
  <c r="EF5" i="8"/>
  <c r="NL5" i="8"/>
  <c r="KJ5" i="5"/>
  <c r="LX5" i="41"/>
  <c r="KJ5" i="37"/>
  <c r="CC5" i="35"/>
  <c r="FE5" i="37"/>
  <c r="MW5" i="45"/>
  <c r="BD5" i="41"/>
  <c r="EF5" i="4"/>
  <c r="EF5" i="14"/>
  <c r="EF5" i="7"/>
  <c r="AT5" i="36"/>
  <c r="JA5" i="26"/>
  <c r="P5" i="37"/>
  <c r="FY5" i="27"/>
  <c r="HH5" i="4"/>
  <c r="EF5" i="3"/>
  <c r="IL5" i="43"/>
  <c r="HH5" i="3"/>
  <c r="FE5" i="49"/>
  <c r="EF5" i="5"/>
  <c r="HH5" i="2"/>
  <c r="KE5" i="44"/>
  <c r="NL5" i="2"/>
  <c r="NL5" i="4"/>
  <c r="NL5" i="5"/>
  <c r="NL5" i="11"/>
  <c r="IQ5" i="42"/>
  <c r="Z5" i="47"/>
  <c r="BD5" i="4"/>
  <c r="CW5" i="56"/>
  <c r="NL5" i="3"/>
  <c r="LI5" i="18"/>
  <c r="HW5" i="18"/>
  <c r="KJ5" i="6"/>
  <c r="GN5" i="10"/>
  <c r="JP5" i="22"/>
  <c r="BD5" i="3"/>
  <c r="KJ5" i="4"/>
  <c r="KJ5" i="9"/>
  <c r="CW5" i="17"/>
  <c r="EF5" i="10"/>
  <c r="HH5" i="5"/>
  <c r="BD5" i="6"/>
  <c r="CR5" i="6"/>
  <c r="JZ5" i="1"/>
  <c r="HH5" i="6"/>
  <c r="IG5" i="23"/>
  <c r="HH5" i="7"/>
  <c r="EF5" i="11"/>
  <c r="BD5" i="7"/>
  <c r="NL5" i="6"/>
  <c r="EF5" i="6"/>
  <c r="BD5" i="10"/>
  <c r="NL5" i="12"/>
  <c r="NL5" i="14"/>
  <c r="EF5" i="9"/>
  <c r="KJ5" i="11"/>
  <c r="HH5" i="8"/>
  <c r="KJ5" i="8"/>
  <c r="NL5" i="9"/>
  <c r="BD5" i="11"/>
  <c r="HH5" i="11"/>
  <c r="BD5" i="15"/>
  <c r="NL5" i="7"/>
  <c r="BD5" i="8"/>
  <c r="NL5" i="10"/>
  <c r="KJ5" i="14"/>
  <c r="HH5" i="10"/>
  <c r="NL5" i="13"/>
  <c r="BD5" i="12"/>
  <c r="HH5" i="9"/>
  <c r="EF5" i="12"/>
  <c r="HH5" i="13"/>
  <c r="KJ5" i="10"/>
  <c r="HM5" i="15"/>
  <c r="KJ5" i="12"/>
  <c r="EF5" i="15"/>
  <c r="KJ5" i="13"/>
  <c r="EK5" i="18"/>
  <c r="LS5" i="16"/>
  <c r="FE5" i="16"/>
  <c r="MW5" i="17"/>
  <c r="OA5" i="15"/>
  <c r="HH5" i="12"/>
  <c r="BD5" i="14"/>
  <c r="KE5" i="19"/>
  <c r="JP5" i="17"/>
  <c r="FY5" i="22"/>
  <c r="BD5" i="13"/>
  <c r="GN5" i="19"/>
  <c r="AJ5" i="21"/>
  <c r="IL5" i="16"/>
  <c r="P5" i="17"/>
  <c r="GI5" i="17"/>
  <c r="IQ5" i="6"/>
  <c r="IQ5" i="20"/>
  <c r="AY5" i="18"/>
  <c r="A5" i="22"/>
  <c r="KT5" i="15"/>
  <c r="EA5" i="21"/>
  <c r="CW5" i="19"/>
  <c r="CM5" i="22"/>
  <c r="LN5" i="44"/>
  <c r="MC5" i="20"/>
  <c r="BS5" i="20"/>
  <c r="KY5" i="21"/>
  <c r="BI5" i="31"/>
  <c r="HM5" i="21"/>
  <c r="NQ5" i="19"/>
  <c r="U5" i="24"/>
  <c r="NG5" i="26"/>
  <c r="LS5" i="23"/>
  <c r="IQ5" i="34"/>
  <c r="KE5" i="27"/>
  <c r="BI5" i="23"/>
  <c r="NQ5" i="13"/>
  <c r="DL5" i="24"/>
  <c r="KO5" i="36"/>
  <c r="JA5" i="25"/>
  <c r="NG5" i="22"/>
  <c r="OA5" i="24"/>
  <c r="EU5" i="23"/>
  <c r="HM5" i="12"/>
  <c r="MW5" i="25"/>
  <c r="FO5" i="25"/>
  <c r="HC5" i="24"/>
  <c r="AO5" i="38"/>
  <c r="KO5" i="24"/>
  <c r="CC5" i="25"/>
  <c r="CW5" i="28"/>
  <c r="EK5" i="34"/>
  <c r="FO5" i="37"/>
  <c r="EA5" i="32"/>
  <c r="BX5" i="27"/>
  <c r="BI5" i="26"/>
  <c r="MM5" i="30"/>
  <c r="FE5" i="26"/>
  <c r="GN5" i="33"/>
  <c r="AY5" i="29"/>
  <c r="OF5" i="27"/>
  <c r="DL5" i="30"/>
  <c r="MW5" i="32"/>
  <c r="LN5" i="28"/>
  <c r="F5" i="32"/>
  <c r="KT5" i="33"/>
  <c r="HH5" i="28"/>
  <c r="JP5" i="43"/>
  <c r="FE5" i="29"/>
  <c r="IG5" i="32"/>
  <c r="IG5" i="39"/>
  <c r="BX5" i="33"/>
  <c r="HR5" i="30"/>
  <c r="AE5" i="34"/>
  <c r="EK5" i="12"/>
  <c r="JU5" i="29"/>
  <c r="A5" i="39"/>
  <c r="AY5" i="36"/>
  <c r="AJ5" i="37"/>
  <c r="OF5" i="29"/>
  <c r="KJ5" i="31"/>
  <c r="BX5" i="31"/>
  <c r="CH5" i="35"/>
  <c r="FO5" i="31"/>
  <c r="NL5" i="34"/>
  <c r="EK5" i="14"/>
  <c r="GX5" i="38"/>
  <c r="NB5" i="17"/>
  <c r="LI5" i="35"/>
  <c r="MC5" i="41"/>
  <c r="FO5" i="36"/>
  <c r="IB5" i="30"/>
  <c r="KO5" i="14"/>
  <c r="KO5" i="37"/>
  <c r="AO5" i="21"/>
  <c r="IV5" i="40"/>
  <c r="HC5" i="35"/>
  <c r="BD5" i="18"/>
  <c r="BI5" i="12"/>
  <c r="EZ5" i="23"/>
  <c r="OF5" i="24"/>
  <c r="AT5" i="40"/>
  <c r="NQ5" i="45"/>
  <c r="DG5" i="17"/>
  <c r="AY5" i="47"/>
  <c r="JP5" i="42"/>
  <c r="HR5" i="15"/>
  <c r="JZ5" i="56"/>
  <c r="NQ5" i="14"/>
  <c r="KO5" i="13"/>
  <c r="BI5" i="13"/>
  <c r="CH5" i="41"/>
  <c r="GS5" i="19"/>
  <c r="EK5" i="13"/>
  <c r="KY5" i="15"/>
  <c r="JU5" i="49"/>
  <c r="NQ5" i="12"/>
  <c r="BI5" i="14"/>
  <c r="HM5" i="13"/>
  <c r="BI5" i="15"/>
  <c r="FJ5" i="16"/>
  <c r="EK5" i="15"/>
  <c r="HM5" i="14"/>
  <c r="KO5" i="12"/>
  <c r="CC5" i="16"/>
  <c r="LX5" i="16"/>
  <c r="IB5" i="18"/>
  <c r="IV5" i="20"/>
  <c r="IV5" i="6"/>
  <c r="U5" i="17"/>
  <c r="GN5" i="17"/>
  <c r="IQ5" i="16"/>
  <c r="EP5" i="18"/>
  <c r="KJ5" i="19"/>
  <c r="OF5" i="15"/>
  <c r="NV5" i="19"/>
  <c r="LN5" i="18"/>
  <c r="BN5" i="23"/>
  <c r="F5" i="22"/>
  <c r="K5" i="32"/>
  <c r="DG5" i="19"/>
  <c r="GI5" i="22"/>
  <c r="LX5" i="23"/>
  <c r="AE5" i="24"/>
  <c r="FJ5" i="20"/>
  <c r="JU5" i="17"/>
  <c r="MM5" i="20"/>
  <c r="HR5" i="21"/>
  <c r="JU5" i="22"/>
  <c r="IL5" i="23"/>
  <c r="BN5" i="26"/>
  <c r="CR5" i="22"/>
  <c r="HH5" i="24"/>
  <c r="LI5" i="37"/>
  <c r="EF5" i="21"/>
  <c r="LD5" i="21"/>
  <c r="BX5" i="20"/>
  <c r="DG5" i="28"/>
  <c r="FT5" i="25"/>
  <c r="KJ5" i="27"/>
  <c r="NL5" i="22"/>
  <c r="DQ5" i="24"/>
  <c r="EF5" i="32"/>
  <c r="NG5" i="25"/>
  <c r="CH5" i="25"/>
  <c r="KT5" i="24"/>
  <c r="CC5" i="27"/>
  <c r="BD5" i="29"/>
  <c r="JK5" i="25"/>
  <c r="A5" i="30"/>
  <c r="FJ5" i="29"/>
  <c r="NL5" i="26"/>
  <c r="A5" i="28"/>
  <c r="AY5" i="46"/>
  <c r="LX5" i="43"/>
  <c r="CC5" i="33"/>
  <c r="KY5" i="42"/>
  <c r="NG5" i="32"/>
  <c r="FJ5" i="26"/>
  <c r="GI5" i="27"/>
  <c r="MR5" i="41"/>
  <c r="MC5" i="57"/>
  <c r="GI5" i="31"/>
  <c r="LS5" i="28"/>
  <c r="JK5" i="26"/>
  <c r="LD5" i="33"/>
  <c r="EP5" i="34"/>
  <c r="FE5" i="34"/>
  <c r="MR5" i="30"/>
  <c r="GN5" i="29"/>
  <c r="BN5" i="31"/>
  <c r="KE5" i="29"/>
  <c r="FT5" i="36"/>
  <c r="HM5" i="28"/>
  <c r="NQ5" i="34"/>
  <c r="DQ5" i="30"/>
  <c r="HH5" i="35"/>
  <c r="GS5" i="33"/>
  <c r="AJ5" i="34"/>
  <c r="KT5" i="36"/>
  <c r="IL5" i="32"/>
  <c r="JA5" i="40"/>
  <c r="U5" i="39"/>
  <c r="BI5" i="36"/>
  <c r="KO5" i="31"/>
  <c r="JK5" i="34"/>
  <c r="IL5" i="39"/>
  <c r="LN5" i="35"/>
  <c r="AJ5" i="46"/>
  <c r="AT5" i="38"/>
  <c r="GN5" i="31"/>
  <c r="HC5" i="38"/>
  <c r="DQ5" i="41"/>
  <c r="AY5" i="40"/>
  <c r="MC5" i="49"/>
  <c r="MW5" i="30"/>
  <c r="KY5" i="43"/>
  <c r="AO5" i="37"/>
  <c r="KT5" i="31"/>
  <c r="CW5" i="47"/>
  <c r="BD5" i="40"/>
  <c r="FT5" i="37"/>
  <c r="LS5" i="42"/>
  <c r="LS5" i="35"/>
  <c r="HR5" i="35"/>
  <c r="MR5" i="35"/>
  <c r="CW5" i="57"/>
  <c r="CH5" i="33"/>
  <c r="NL5" i="32"/>
  <c r="AE5" i="32"/>
  <c r="FY5" i="36"/>
  <c r="NB5" i="44"/>
  <c r="IQ5" i="32"/>
  <c r="LI5" i="33"/>
  <c r="EZ5" i="34"/>
  <c r="DG5" i="35"/>
  <c r="AT5" i="37"/>
  <c r="AO5" i="34"/>
  <c r="GD5" i="36"/>
  <c r="JP5" i="34"/>
  <c r="NV5" i="34"/>
  <c r="FY5" i="37"/>
  <c r="DV5" i="50"/>
  <c r="BN5" i="38"/>
  <c r="LN5" i="33"/>
  <c r="EK5" i="32"/>
  <c r="LD5" i="36"/>
  <c r="HM5" i="35"/>
  <c r="JK5" i="16"/>
  <c r="DV5" i="41"/>
  <c r="JA5" i="39"/>
  <c r="LN5" i="37"/>
  <c r="HC5" i="33"/>
  <c r="JZ5" i="40"/>
  <c r="AJ5" i="19"/>
  <c r="CC5" i="46"/>
  <c r="BD5" i="39"/>
  <c r="IV5" i="39"/>
  <c r="MR5" i="43"/>
  <c r="BS5" i="36"/>
  <c r="KY5" i="19"/>
  <c r="MH5" i="42"/>
  <c r="NQ5" i="44"/>
  <c r="BN5" i="36"/>
  <c r="OF5" i="34"/>
  <c r="LN5" i="40"/>
  <c r="EK5" i="47"/>
  <c r="AO5" i="17"/>
  <c r="CR5" i="16"/>
  <c r="AY5" i="34"/>
  <c r="HH5" i="38"/>
  <c r="NL5" i="41"/>
  <c r="JU5" i="34"/>
  <c r="HH5" i="33"/>
  <c r="DL5" i="35"/>
  <c r="LI5" i="36"/>
  <c r="HM5" i="58"/>
  <c r="BS5" i="38"/>
  <c r="BN5" i="37"/>
  <c r="IG5" i="38"/>
  <c r="GD5" i="37"/>
  <c r="HC5" i="17"/>
  <c r="P5" i="45"/>
  <c r="BI5" i="40"/>
  <c r="LS5" i="37"/>
  <c r="NQ5" i="17"/>
  <c r="BI5" i="39"/>
  <c r="EF5" i="41"/>
  <c r="FE5" i="18"/>
  <c r="NG5" i="20"/>
  <c r="IL5" i="21"/>
  <c r="JP5" i="32"/>
  <c r="DQ5" i="35"/>
  <c r="FY5" i="16"/>
  <c r="MW5" i="23"/>
  <c r="BS5" i="18"/>
  <c r="U5" i="22"/>
  <c r="P5" i="42"/>
  <c r="KJ5" i="17"/>
  <c r="LI5" i="31"/>
  <c r="KJ5" i="50"/>
  <c r="FY5" i="20"/>
  <c r="MR5" i="16"/>
  <c r="FY5" i="47"/>
  <c r="MC5" i="18"/>
  <c r="IG5" i="21"/>
  <c r="CM5" i="20"/>
  <c r="IQ5" i="18"/>
  <c r="LX5" i="21"/>
  <c r="AY5" i="24"/>
  <c r="MW5" i="28"/>
  <c r="DV5" i="17"/>
  <c r="JP5" i="20"/>
  <c r="LI5" i="24"/>
  <c r="EA5" i="19"/>
  <c r="A5" i="20"/>
  <c r="EU5" i="21"/>
  <c r="HW5" i="24"/>
  <c r="CC5" i="23"/>
  <c r="GN5" i="25"/>
  <c r="JA5" i="23"/>
  <c r="BI5" i="21"/>
  <c r="HC5" i="22"/>
  <c r="OA5" i="22"/>
  <c r="EZ5" i="32"/>
  <c r="HM5" i="19"/>
  <c r="EK5" i="24"/>
  <c r="BS5" i="37"/>
  <c r="DL5" i="22"/>
  <c r="KE5" i="25"/>
  <c r="OF5" i="26"/>
  <c r="KO5" i="22"/>
  <c r="FO5" i="23"/>
  <c r="LS5" i="21"/>
  <c r="CW5" i="25"/>
  <c r="MR5" i="23"/>
  <c r="NV5" i="25"/>
  <c r="KE5" i="26"/>
  <c r="FY5" i="26"/>
  <c r="U5" i="28"/>
  <c r="CW5" i="27"/>
  <c r="IQ5" i="30"/>
  <c r="HC5" i="27"/>
  <c r="EK5" i="30"/>
  <c r="BX5" i="29"/>
  <c r="IG5" i="28"/>
  <c r="KT5" i="29"/>
  <c r="NL5" i="30"/>
  <c r="EA5" i="28"/>
  <c r="CH5" i="31"/>
  <c r="HC5" i="31"/>
  <c r="LD5" i="27"/>
  <c r="AE5" i="30"/>
  <c r="KE5" i="34"/>
  <c r="IB5" i="35"/>
  <c r="HM5" i="33"/>
  <c r="AT5" i="17"/>
  <c r="JU5" i="20"/>
  <c r="DG5" i="33"/>
  <c r="NV5" i="32"/>
  <c r="JF5" i="39"/>
  <c r="MC5" i="37"/>
  <c r="FJ5" i="34"/>
  <c r="CM5" i="40"/>
  <c r="A5" i="35"/>
  <c r="CM5" i="38"/>
  <c r="AO5" i="32"/>
  <c r="BX5" i="36"/>
  <c r="BS5" i="39"/>
  <c r="AJ5" i="42"/>
  <c r="BD5" i="34"/>
  <c r="HC5" i="36"/>
  <c r="LN5" i="36"/>
  <c r="MW5" i="35"/>
  <c r="HH5" i="17"/>
  <c r="LS5" i="40"/>
  <c r="FT5" i="23"/>
  <c r="DB5" i="46"/>
  <c r="GX5" i="37"/>
  <c r="EA5" i="17"/>
  <c r="LS5" i="33"/>
  <c r="JP5" i="38"/>
  <c r="DL5" i="59"/>
  <c r="IV5" i="18"/>
  <c r="JZ5" i="47"/>
  <c r="NL5" i="43"/>
  <c r="NG5" i="42"/>
  <c r="AO5" i="45"/>
  <c r="GI5" i="20"/>
  <c r="CR5" i="51"/>
  <c r="EZ5" i="21"/>
  <c r="MW5" i="16"/>
  <c r="EP5" i="24"/>
  <c r="IB5" i="24"/>
  <c r="MH5" i="37"/>
  <c r="MM5" i="18"/>
  <c r="CR5" i="20"/>
  <c r="KO5" i="17"/>
  <c r="AO5" i="19"/>
  <c r="EK5" i="41"/>
  <c r="DQ5" i="22"/>
  <c r="LD5" i="19"/>
  <c r="NV5" i="17"/>
  <c r="IG5" i="47"/>
  <c r="EF5" i="19"/>
  <c r="FJ5" i="18"/>
  <c r="F5" i="20"/>
  <c r="NL5" i="20"/>
  <c r="HH5" i="22"/>
  <c r="OF5" i="22"/>
  <c r="HR5" i="19"/>
  <c r="LN5" i="24"/>
  <c r="BX5" i="18"/>
  <c r="KT5" i="22"/>
  <c r="IL5" i="28"/>
  <c r="CH5" i="23"/>
  <c r="NG5" i="28"/>
  <c r="JK5" i="23"/>
  <c r="AE5" i="22"/>
  <c r="HH5" i="31"/>
  <c r="A5" i="27"/>
  <c r="AJ5" i="43"/>
  <c r="GS5" i="25"/>
  <c r="BN5" i="21"/>
  <c r="HH5" i="27"/>
  <c r="GS5" i="29"/>
  <c r="DG5" i="27"/>
  <c r="BD5" i="24"/>
  <c r="KJ5" i="26"/>
  <c r="CM5" i="26"/>
  <c r="DG5" i="25"/>
  <c r="LI5" i="27"/>
  <c r="EF5" i="28"/>
  <c r="KJ5" i="25"/>
  <c r="AY5" i="32"/>
  <c r="KJ5" i="47"/>
  <c r="FE5" i="32"/>
  <c r="OF5" i="25"/>
  <c r="AE5" i="28"/>
  <c r="GI5" i="26"/>
  <c r="LS5" i="36"/>
  <c r="EP5" i="30"/>
  <c r="LD5" i="29"/>
  <c r="CC5" i="29"/>
  <c r="JK5" i="30"/>
  <c r="F5" i="35"/>
  <c r="EA5" i="43"/>
  <c r="AJ5" i="30"/>
  <c r="CM5" i="31"/>
  <c r="EF5" i="54"/>
  <c r="JU5" i="32"/>
  <c r="LI5" i="49"/>
  <c r="DV5" i="40"/>
  <c r="NQ5" i="30"/>
  <c r="EA5" i="35"/>
  <c r="BX5" i="37"/>
  <c r="MM5" i="33"/>
  <c r="NB5" i="35"/>
  <c r="HR5" i="33"/>
  <c r="CR5" i="38"/>
  <c r="U5" i="44"/>
  <c r="CC5" i="39"/>
  <c r="KJ5" i="34"/>
  <c r="DL5" i="33"/>
  <c r="LN5" i="31"/>
  <c r="HC5" i="37"/>
  <c r="FO5" i="34"/>
  <c r="IG5" i="35"/>
  <c r="OF5" i="32"/>
  <c r="BD5" i="46"/>
  <c r="AJ5" i="60"/>
  <c r="JU5" i="44"/>
  <c r="LX5" i="42"/>
  <c r="JU5" i="38"/>
  <c r="EU5" i="41"/>
  <c r="K5" i="19"/>
  <c r="BI5" i="34"/>
  <c r="JZ5" i="44"/>
  <c r="EK5" i="46"/>
  <c r="CH5" i="36"/>
  <c r="CH5" i="45"/>
  <c r="K5" i="43"/>
  <c r="HH5" i="36"/>
  <c r="AO5" i="42"/>
  <c r="GX5" i="48"/>
  <c r="A5" i="45"/>
  <c r="JU5" i="51"/>
  <c r="LI5" i="60"/>
  <c r="EA5" i="47"/>
  <c r="P5" i="47"/>
  <c r="JP5" i="39"/>
  <c r="DL5" i="45"/>
  <c r="HW5" i="43"/>
  <c r="FJ5" i="44"/>
  <c r="AT5" i="44"/>
  <c r="MC5" i="40"/>
  <c r="KE5" i="46"/>
  <c r="MH5" i="45"/>
  <c r="MC5" i="43"/>
  <c r="MC5" i="42"/>
  <c r="BS5" i="67"/>
  <c r="EF5" i="64"/>
  <c r="IG5" i="42"/>
  <c r="HM5" i="45"/>
  <c r="FY5" i="46"/>
  <c r="LX5" i="54"/>
  <c r="AT5" i="48"/>
  <c r="NB5" i="48"/>
  <c r="DQ5" i="50"/>
  <c r="NB5" i="53"/>
  <c r="AO5" i="52"/>
  <c r="CW5" i="50"/>
  <c r="HC5" i="52"/>
  <c r="A5" i="60"/>
  <c r="KJ5" i="62"/>
  <c r="BD5" i="51"/>
  <c r="JA5" i="56"/>
  <c r="IV5" i="51"/>
  <c r="A5" i="53"/>
  <c r="EA5" i="49"/>
  <c r="JZ5" i="50"/>
  <c r="BD5" i="57"/>
  <c r="AO5" i="43"/>
  <c r="FY5" i="53"/>
  <c r="KE5" i="55"/>
  <c r="DQ5" i="55"/>
  <c r="IL5" i="42"/>
  <c r="CC5" i="56"/>
  <c r="CR5" i="56"/>
  <c r="KO5" i="57"/>
  <c r="EU5" i="28"/>
  <c r="MH5" i="43"/>
  <c r="F5" i="45"/>
  <c r="KJ5" i="46"/>
  <c r="FT5" i="44"/>
  <c r="MW5" i="70"/>
  <c r="AY5" i="44"/>
  <c r="MR5" i="76"/>
  <c r="HC5" i="48"/>
  <c r="BS5" i="32"/>
  <c r="FO5" i="58"/>
  <c r="GX5" i="58"/>
  <c r="MH5" i="41"/>
  <c r="CH5" i="59"/>
  <c r="EF5" i="43"/>
  <c r="KJ5" i="61"/>
  <c r="EK5" i="42"/>
  <c r="IG5" i="43"/>
  <c r="NG5" i="48"/>
  <c r="IQ5" i="41"/>
  <c r="IG5" i="45"/>
  <c r="U5" i="47"/>
  <c r="AT5" i="42"/>
  <c r="KE5" i="47"/>
  <c r="LX5" i="49"/>
  <c r="MR5" i="45"/>
  <c r="AT5" i="52"/>
  <c r="JA5" i="51"/>
  <c r="BI5" i="46"/>
  <c r="EF5" i="47"/>
  <c r="KE5" i="50"/>
  <c r="AY5" i="48"/>
  <c r="FE5" i="54"/>
  <c r="DQ5" i="45"/>
  <c r="KJ5" i="55"/>
  <c r="HH5" i="52"/>
  <c r="CC5" i="51"/>
  <c r="P5" i="53"/>
  <c r="BS5" i="31"/>
  <c r="KY5" i="57"/>
  <c r="EF5" i="49"/>
  <c r="GD5" i="46"/>
  <c r="EK5" i="64"/>
  <c r="GS5" i="53"/>
  <c r="MR5" i="60"/>
  <c r="NG5" i="53"/>
  <c r="DV5" i="55"/>
  <c r="MW5" i="76"/>
  <c r="MC5" i="54"/>
  <c r="BS5" i="27"/>
  <c r="BS5" i="26"/>
  <c r="JU5" i="56"/>
  <c r="DG5" i="59"/>
  <c r="BS5" i="30"/>
  <c r="CH5" i="57"/>
  <c r="CR5" i="67"/>
  <c r="JU5" i="39"/>
  <c r="BS5" i="29"/>
  <c r="FJ5" i="36"/>
  <c r="F5" i="39"/>
  <c r="IQ5" i="58"/>
  <c r="KT5" i="61"/>
  <c r="F5" i="60"/>
  <c r="GS5" i="46"/>
  <c r="OA5" i="25"/>
  <c r="NB5" i="60"/>
  <c r="MM5" i="62"/>
  <c r="CC5" i="36"/>
  <c r="OA5" i="30"/>
  <c r="NG5" i="62"/>
  <c r="HW5" i="30"/>
  <c r="KJ5" i="44"/>
  <c r="JU5" i="77"/>
  <c r="BI5" i="48"/>
  <c r="KY5" i="29"/>
  <c r="OA5" i="26"/>
  <c r="JZ5" i="64"/>
  <c r="HM5" i="38"/>
  <c r="AY5" i="38"/>
  <c r="EU5" i="27"/>
  <c r="KY5" i="27"/>
  <c r="HW5" i="26"/>
  <c r="MW5" i="41"/>
  <c r="U5" i="37"/>
  <c r="BS5" i="28"/>
  <c r="U5" i="71"/>
  <c r="NB5" i="61"/>
  <c r="EU5" i="31"/>
  <c r="HW5" i="67"/>
  <c r="GX5" i="71"/>
  <c r="KY5" i="26"/>
  <c r="KY5" i="25"/>
  <c r="HW5" i="28"/>
  <c r="KY5" i="28"/>
  <c r="EU5" i="26"/>
  <c r="OA5" i="28"/>
  <c r="HW5" i="29"/>
  <c r="EU5" i="32"/>
  <c r="EU5" i="30"/>
  <c r="HW5" i="27"/>
  <c r="EU5" i="35"/>
  <c r="JF5" i="40"/>
  <c r="OA5" i="27"/>
  <c r="EF5" i="38"/>
  <c r="EA5" i="50"/>
  <c r="HW5" i="32"/>
  <c r="OA5" i="33"/>
  <c r="IQ5" i="36"/>
  <c r="NG5" i="39"/>
  <c r="EU5" i="29"/>
  <c r="CR5" i="39"/>
  <c r="FJ5" i="41"/>
  <c r="BS5" i="33"/>
  <c r="OA5" i="29"/>
  <c r="EU5" i="34"/>
  <c r="KY5" i="30"/>
  <c r="HW5" i="33"/>
  <c r="EU5" i="33"/>
  <c r="OA5" i="31"/>
  <c r="HW5" i="34"/>
  <c r="HW5" i="31"/>
  <c r="KY5" i="31"/>
  <c r="BS5" i="35"/>
  <c r="KY5" i="34"/>
  <c r="KY5" i="32"/>
  <c r="AY5" i="43"/>
  <c r="OF5" i="35"/>
  <c r="NB5" i="37"/>
  <c r="OA5" i="32"/>
  <c r="EF5" i="45"/>
  <c r="NB5" i="45"/>
  <c r="KY5" i="33"/>
  <c r="MW5" i="57"/>
  <c r="IV5" i="42"/>
  <c r="BS5" i="40"/>
  <c r="FY5" i="54"/>
  <c r="IV5" i="52"/>
  <c r="BS5" i="34"/>
  <c r="LX5" i="55"/>
  <c r="OA5" i="34"/>
  <c r="FE5" i="42"/>
  <c r="KY5" i="38"/>
  <c r="DB5" i="37"/>
  <c r="LI5" i="50"/>
  <c r="NB5" i="54"/>
  <c r="HW5" i="35"/>
  <c r="KY5" i="35"/>
  <c r="LX5" i="36"/>
  <c r="BI5" i="41"/>
  <c r="GN5" i="37"/>
  <c r="AO5" i="53"/>
  <c r="BI5" i="44"/>
  <c r="JA5" i="41"/>
  <c r="MW5" i="43"/>
  <c r="JU5" i="37"/>
  <c r="FO5" i="40"/>
  <c r="NB5" i="40"/>
  <c r="IV5" i="43"/>
  <c r="GD5" i="39"/>
  <c r="U5" i="45"/>
  <c r="KO5" i="44"/>
  <c r="MR5" i="42"/>
  <c r="NB5" i="57"/>
  <c r="EA5" i="45"/>
  <c r="EU5" i="43"/>
  <c r="MW5" i="49"/>
  <c r="KO5" i="47"/>
  <c r="BI5" i="38"/>
  <c r="HC5" i="53"/>
  <c r="FT5" i="49"/>
  <c r="A5" i="54"/>
  <c r="CH5" i="46"/>
  <c r="K5" i="39"/>
  <c r="NQ5" i="48"/>
  <c r="LI5" i="46"/>
  <c r="FE5" i="47"/>
  <c r="BD5" i="52"/>
  <c r="AJ5" i="47"/>
  <c r="IV5" i="45"/>
  <c r="GD5" i="44"/>
  <c r="HM5" i="48"/>
  <c r="KE5" i="56"/>
  <c r="JZ5" i="51"/>
  <c r="EF5" i="55"/>
  <c r="FJ5" i="42"/>
  <c r="CW5" i="51"/>
  <c r="DQ5" i="56"/>
  <c r="A5" i="61"/>
  <c r="BD5" i="38"/>
  <c r="EF5" i="59"/>
  <c r="KE5" i="64"/>
  <c r="DG5" i="57"/>
  <c r="HR5" i="58"/>
  <c r="HC5" i="71"/>
  <c r="DL5" i="37"/>
  <c r="IV5" i="67"/>
  <c r="NL5" i="62"/>
  <c r="MC5" i="36"/>
  <c r="JA5" i="52"/>
  <c r="GS5" i="37"/>
  <c r="NQ5" i="61"/>
  <c r="LI5" i="38"/>
  <c r="FT5" i="55"/>
  <c r="Z5" i="37"/>
  <c r="JA5" i="43"/>
  <c r="AT5" i="60"/>
  <c r="JZ5" i="37"/>
  <c r="JF5" i="41"/>
  <c r="Z5" i="45"/>
  <c r="CC5" i="40"/>
  <c r="NG5" i="37"/>
  <c r="HR5" i="38"/>
  <c r="BD5" i="72"/>
  <c r="CC5" i="60"/>
  <c r="CW5" i="39"/>
  <c r="FJ5" i="47"/>
  <c r="KE5" i="77"/>
  <c r="GN5" i="39"/>
  <c r="EK5" i="38"/>
  <c r="JZ5" i="39"/>
  <c r="NL5" i="39"/>
  <c r="LN5" i="46"/>
  <c r="NG5" i="40"/>
  <c r="HH5" i="53"/>
  <c r="FT5" i="40"/>
  <c r="BS5" i="41"/>
  <c r="JA5" i="42"/>
  <c r="MW5" i="42"/>
  <c r="JP5" i="41"/>
  <c r="NB5" i="43"/>
  <c r="FO5" i="41"/>
  <c r="NG5" i="45"/>
  <c r="JA5" i="45"/>
  <c r="FE5" i="43"/>
  <c r="KE5" i="39"/>
  <c r="EP5" i="59"/>
  <c r="NQ5" i="39"/>
  <c r="CC5" i="44"/>
  <c r="GX5" i="46"/>
  <c r="GN5" i="44"/>
  <c r="IG5" i="48"/>
  <c r="LX5" i="50"/>
  <c r="FY5" i="40"/>
  <c r="OA5" i="67"/>
  <c r="CW5" i="46"/>
  <c r="NB5" i="41"/>
  <c r="U5" i="49"/>
  <c r="BI5" i="42"/>
  <c r="CR5" i="46"/>
  <c r="DV5" i="56"/>
  <c r="BD5" i="43"/>
  <c r="AT5" i="53"/>
  <c r="GX5" i="49"/>
  <c r="GS5" i="54"/>
  <c r="KE5" i="51"/>
  <c r="HW5" i="38"/>
  <c r="CC5" i="48"/>
  <c r="EA5" i="57"/>
  <c r="LI5" i="47"/>
  <c r="EF5" i="50"/>
  <c r="FY5" i="49"/>
  <c r="NB5" i="49"/>
  <c r="AO5" i="47"/>
  <c r="P5" i="54"/>
  <c r="NG5" i="54"/>
  <c r="A5" i="49"/>
  <c r="FE5" i="55"/>
  <c r="KJ5" i="56"/>
  <c r="NV5" i="61"/>
  <c r="DB5" i="39"/>
  <c r="DQ5" i="51"/>
  <c r="JF5" i="42"/>
  <c r="AT5" i="47"/>
  <c r="EP5" i="38"/>
  <c r="GS5" i="49"/>
  <c r="CC5" i="41"/>
  <c r="CC5" i="52"/>
  <c r="CH5" i="40"/>
  <c r="P5" i="39"/>
  <c r="AE5" i="65"/>
  <c r="KT5" i="78"/>
  <c r="MC5" i="55"/>
  <c r="GS5" i="39"/>
  <c r="LN5" i="38"/>
  <c r="NG5" i="49"/>
  <c r="P5" i="63"/>
  <c r="AJ5" i="61"/>
  <c r="NG5" i="43"/>
  <c r="BS5" i="42"/>
  <c r="JU5" i="40"/>
  <c r="NB5" i="55"/>
  <c r="EF5" i="57"/>
  <c r="JF5" i="43"/>
  <c r="NL5" i="40"/>
  <c r="BI5" i="43"/>
  <c r="LI5" i="44"/>
  <c r="LX5" i="56"/>
  <c r="AJ5" i="45"/>
  <c r="NG5" i="41"/>
  <c r="FO5" i="42"/>
  <c r="CH5" i="44"/>
  <c r="IV5" i="48"/>
  <c r="FT5" i="41"/>
  <c r="IG5" i="53"/>
  <c r="NL5" i="45"/>
  <c r="IL5" i="38"/>
  <c r="NB5" i="42"/>
  <c r="NL5" i="49"/>
  <c r="JF5" i="45"/>
  <c r="HC5" i="46"/>
  <c r="LX5" i="46"/>
  <c r="EA5" i="56"/>
  <c r="NQ5" i="43"/>
  <c r="KJ5" i="51"/>
  <c r="FJ5" i="43"/>
  <c r="GI5" i="59"/>
  <c r="LX5" i="47"/>
  <c r="GX5" i="54"/>
  <c r="GS5" i="44"/>
  <c r="AY5" i="53"/>
  <c r="NQ5" i="41"/>
  <c r="CR5" i="48"/>
  <c r="A5" i="46"/>
  <c r="JZ5" i="52"/>
  <c r="MC5" i="50"/>
  <c r="CW5" i="52"/>
  <c r="EF5" i="56"/>
  <c r="A5" i="55"/>
  <c r="BI5" i="61"/>
  <c r="NV5" i="57"/>
  <c r="P5" i="49"/>
  <c r="KE5" i="52"/>
  <c r="JA5" i="58"/>
  <c r="FT5" i="47"/>
  <c r="CR5" i="52"/>
  <c r="DV5" i="51"/>
  <c r="JU5" i="52"/>
  <c r="JA5" i="48"/>
  <c r="AO5" i="61"/>
  <c r="U5" i="54"/>
  <c r="FT5" i="68"/>
  <c r="FE5" i="50"/>
  <c r="FY5" i="55"/>
  <c r="JU5" i="42"/>
  <c r="NL5" i="54"/>
  <c r="LI5" i="56"/>
  <c r="AO5" i="65"/>
  <c r="MW5" i="55"/>
  <c r="JZ5" i="41"/>
  <c r="P5" i="68"/>
  <c r="BD5" i="53"/>
  <c r="AO5" i="63"/>
  <c r="LI5" i="78"/>
  <c r="NG5" i="55"/>
  <c r="Z5" i="39"/>
  <c r="DG5" i="60"/>
  <c r="EA5" i="51"/>
  <c r="AE5" i="62"/>
  <c r="FT5" i="65"/>
  <c r="EK5" i="57"/>
  <c r="MH5" i="72"/>
  <c r="FT5" i="50"/>
  <c r="LI5" i="51"/>
  <c r="BI5" i="72"/>
  <c r="GX5" i="59"/>
  <c r="OF5" i="57"/>
  <c r="AO5" i="49"/>
  <c r="FT5" i="28"/>
  <c r="BS5" i="63"/>
  <c r="DL5" i="60"/>
  <c r="EU5" i="65"/>
  <c r="AO5" i="54"/>
  <c r="JU5" i="43"/>
  <c r="MW5" i="50"/>
  <c r="HC5" i="54"/>
  <c r="A5" i="40"/>
  <c r="DL5" i="46"/>
  <c r="JU5" i="48"/>
  <c r="IV5" i="53"/>
  <c r="AT5" i="62"/>
  <c r="OF5" i="79"/>
  <c r="CR5" i="40"/>
  <c r="A5" i="50"/>
  <c r="GN5" i="40"/>
  <c r="LX5" i="38"/>
  <c r="KJ5" i="58"/>
  <c r="KO5" i="39"/>
  <c r="HC5" i="39"/>
  <c r="GD5" i="41"/>
  <c r="HH5" i="54"/>
  <c r="HM5" i="46"/>
  <c r="CH5" i="42"/>
  <c r="FY5" i="42"/>
  <c r="IV5" i="34"/>
  <c r="LX5" i="44"/>
  <c r="FO5" i="57"/>
  <c r="OA5" i="40"/>
  <c r="DQ5" i="39"/>
  <c r="KE5" i="40"/>
  <c r="FT5" i="34"/>
  <c r="IV5" i="35"/>
  <c r="AJ5" i="39"/>
  <c r="JU5" i="45"/>
  <c r="MC5" i="32"/>
  <c r="FT5" i="43"/>
  <c r="HC5" i="44"/>
  <c r="CW5" i="32"/>
  <c r="CM5" i="41"/>
  <c r="CC5" i="43"/>
  <c r="NL5" i="42"/>
  <c r="FJ5" i="45"/>
  <c r="AT5" i="45"/>
  <c r="IV5" i="33"/>
  <c r="MC5" i="56"/>
  <c r="KY5" i="58"/>
  <c r="FE5" i="56"/>
  <c r="NB5" i="50"/>
  <c r="DQ5" i="48"/>
  <c r="GS5" i="55"/>
  <c r="LX5" i="35"/>
  <c r="MW5" i="47"/>
  <c r="CW5" i="44"/>
  <c r="CC5" i="53"/>
  <c r="FT5" i="35"/>
  <c r="KJ5" i="40"/>
  <c r="EF5" i="51"/>
  <c r="MM5" i="72"/>
  <c r="HC5" i="49"/>
  <c r="AE5" i="58"/>
  <c r="MH5" i="46"/>
  <c r="BD5" i="47"/>
  <c r="GS5" i="47"/>
  <c r="IV5" i="31"/>
  <c r="CC5" i="62"/>
  <c r="IV5" i="30"/>
  <c r="AT5" i="54"/>
  <c r="FY5" i="50"/>
  <c r="FT5" i="27"/>
  <c r="KE5" i="41"/>
  <c r="IV5" i="32"/>
  <c r="CR5" i="27"/>
  <c r="DQ5" i="52"/>
  <c r="P5" i="55"/>
  <c r="HC5" i="59"/>
  <c r="LX5" i="51"/>
  <c r="JA5" i="53"/>
  <c r="LX5" i="28"/>
  <c r="LX5" i="26"/>
  <c r="EF5" i="60"/>
  <c r="LX5" i="27"/>
  <c r="P5" i="80"/>
  <c r="CR5" i="28"/>
  <c r="DQ5" i="63"/>
  <c r="CR5" i="29"/>
  <c r="P5" i="28"/>
  <c r="BS5" i="61"/>
  <c r="IV5" i="27"/>
  <c r="CR5" i="33"/>
  <c r="IV5" i="26"/>
  <c r="FT5" i="31"/>
  <c r="P5" i="30"/>
  <c r="GS5" i="68"/>
  <c r="FT5" i="30"/>
  <c r="P5" i="27"/>
  <c r="P5" i="31"/>
  <c r="FT5" i="29"/>
  <c r="P5" i="32"/>
  <c r="IV5" i="28"/>
  <c r="P5" i="29"/>
  <c r="CR5" i="31"/>
  <c r="KJ5" i="52"/>
  <c r="IV5" i="29"/>
  <c r="P5" i="33"/>
  <c r="FT5" i="32"/>
  <c r="LX5" i="30"/>
  <c r="FE5" i="38"/>
  <c r="LX5" i="29"/>
  <c r="CW5" i="35"/>
  <c r="LX5" i="32"/>
  <c r="CR5" i="30"/>
  <c r="GI5" i="57"/>
  <c r="CR5" i="34"/>
  <c r="DB5" i="36"/>
  <c r="GN5" i="36"/>
  <c r="FT5" i="45"/>
  <c r="AY5" i="37"/>
  <c r="U5" i="35"/>
  <c r="LX5" i="31"/>
  <c r="LX5" i="33"/>
  <c r="CR5" i="32"/>
  <c r="P5" i="35"/>
  <c r="U5" i="36"/>
  <c r="JA5" i="30"/>
  <c r="FT5" i="33"/>
  <c r="IQ5" i="38"/>
  <c r="MC5" i="38"/>
  <c r="P5" i="34"/>
  <c r="BX5" i="38"/>
  <c r="GS5" i="40"/>
  <c r="EF5" i="37"/>
  <c r="JU5" i="36"/>
  <c r="MC5" i="31"/>
  <c r="EA5" i="39"/>
  <c r="GX5" i="47"/>
  <c r="CW5" i="40"/>
  <c r="KY5" i="39"/>
  <c r="CM5" i="42"/>
  <c r="NB5" i="36"/>
  <c r="GN5" i="41"/>
  <c r="HW5" i="59"/>
  <c r="LX5" i="34"/>
  <c r="DB5" i="44"/>
  <c r="HM5" i="37"/>
  <c r="JZ5" i="48"/>
  <c r="FY5" i="30"/>
  <c r="JZ5" i="42"/>
  <c r="HH5" i="39"/>
  <c r="KT5" i="39"/>
  <c r="DV5" i="39"/>
  <c r="CR5" i="53"/>
  <c r="F5" i="40"/>
  <c r="A5" i="41"/>
  <c r="JZ5" i="45"/>
  <c r="JF5" i="26"/>
  <c r="KT5" i="37"/>
  <c r="LI5" i="58"/>
  <c r="AY5" i="45"/>
  <c r="CR5" i="41"/>
  <c r="OA5" i="41"/>
  <c r="NQ5" i="42"/>
  <c r="GD5" i="42"/>
  <c r="MR5" i="46"/>
  <c r="DQ5" i="62"/>
  <c r="F5" i="46"/>
  <c r="OA5" i="43"/>
  <c r="CH5" i="43"/>
  <c r="FY5" i="43"/>
  <c r="AT5" i="49"/>
  <c r="MC5" i="44"/>
  <c r="FE5" i="51"/>
  <c r="P5" i="50"/>
  <c r="GS5" i="50"/>
  <c r="DQ5" i="46"/>
  <c r="IG5" i="46"/>
  <c r="JZ5" i="43"/>
  <c r="DV5" i="63"/>
  <c r="DV5" i="48"/>
  <c r="NL5" i="55"/>
  <c r="HH5" i="44"/>
  <c r="U5" i="55"/>
  <c r="NG5" i="50"/>
  <c r="MH5" i="38"/>
  <c r="MW5" i="56"/>
  <c r="DV5" i="52"/>
  <c r="CC5" i="26"/>
  <c r="KO5" i="40"/>
  <c r="BI5" i="47"/>
  <c r="JA5" i="28"/>
  <c r="AY5" i="54"/>
  <c r="NB5" i="47"/>
  <c r="CW5" i="34"/>
  <c r="HR5" i="37"/>
  <c r="MC5" i="58"/>
  <c r="IG5" i="54"/>
  <c r="FY5" i="31"/>
  <c r="MH5" i="15"/>
  <c r="IL5" i="59"/>
  <c r="HH5" i="49"/>
  <c r="JU5" i="53"/>
  <c r="GX5" i="55"/>
  <c r="FT5" i="56"/>
  <c r="JZ5" i="36"/>
  <c r="FJ5" i="38"/>
  <c r="DB5" i="40"/>
  <c r="U5" i="32"/>
  <c r="MC5" i="51"/>
  <c r="FY5" i="28"/>
  <c r="DV5" i="61"/>
  <c r="EP5" i="60"/>
  <c r="JA5" i="35"/>
  <c r="U5" i="33"/>
  <c r="FY5" i="29"/>
  <c r="KO5" i="65"/>
  <c r="EA5" i="81"/>
  <c r="NG5" i="68"/>
  <c r="AT5" i="58"/>
  <c r="IL5" i="73"/>
  <c r="U5" i="29"/>
  <c r="CW5" i="29"/>
  <c r="MC5" i="28"/>
  <c r="JA5" i="31"/>
  <c r="FY5" i="34"/>
  <c r="MC5" i="29"/>
  <c r="MC5" i="30"/>
  <c r="EK5" i="61"/>
  <c r="FY5" i="32"/>
  <c r="JA5" i="32"/>
  <c r="CW5" i="30"/>
  <c r="NG5" i="36"/>
  <c r="MC5" i="34"/>
  <c r="IV5" i="54"/>
  <c r="U5" i="30"/>
  <c r="A5" i="44"/>
  <c r="CW5" i="31"/>
  <c r="U5" i="31"/>
  <c r="U5" i="34"/>
  <c r="CC5" i="38"/>
  <c r="JA5" i="34"/>
  <c r="MC5" i="33"/>
  <c r="DB5" i="16"/>
  <c r="GD5" i="21"/>
  <c r="EP5" i="81"/>
  <c r="JA5" i="33"/>
  <c r="BI5" i="17"/>
  <c r="OA5" i="42"/>
  <c r="CW5" i="33"/>
  <c r="DL5" i="44"/>
  <c r="GS5" i="36"/>
  <c r="FY5" i="35"/>
  <c r="F5" i="38"/>
  <c r="OF5" i="37"/>
  <c r="FY5" i="33"/>
  <c r="K5" i="40"/>
  <c r="GS5" i="41"/>
  <c r="GD5" i="43"/>
  <c r="BD5" i="37"/>
  <c r="DL5" i="36"/>
  <c r="EK5" i="37"/>
  <c r="MC5" i="35"/>
  <c r="HM5" i="44"/>
  <c r="IG5" i="49"/>
  <c r="KY5" i="37"/>
  <c r="Z5" i="36"/>
  <c r="EA5" i="52"/>
  <c r="IV5" i="38"/>
  <c r="KJ5" i="41"/>
  <c r="KE5" i="43"/>
  <c r="MW5" i="46"/>
  <c r="CM5" i="43"/>
  <c r="HM5" i="39"/>
  <c r="GX5" i="40"/>
  <c r="MH5" i="28"/>
  <c r="AO5" i="39"/>
  <c r="AY5" i="58"/>
  <c r="NG5" i="47"/>
  <c r="FT5" i="51"/>
  <c r="CR5" i="42"/>
  <c r="KT5" i="65"/>
  <c r="A5" i="42"/>
  <c r="CW5" i="41"/>
  <c r="FY5" i="45"/>
  <c r="F5" i="41"/>
  <c r="GX5" i="50"/>
  <c r="MH5" i="19"/>
  <c r="MW5" i="51"/>
  <c r="GD5" i="24"/>
  <c r="MH5" i="17"/>
  <c r="Z5" i="18"/>
  <c r="BD5" i="54"/>
  <c r="MH5" i="44"/>
  <c r="HC5" i="55"/>
  <c r="KE5" i="42"/>
  <c r="GN5" i="42"/>
  <c r="CC5" i="47"/>
  <c r="U5" i="50"/>
  <c r="NB5" i="56"/>
  <c r="EA5" i="48"/>
  <c r="P5" i="46"/>
  <c r="A5" i="56"/>
  <c r="DV5" i="46"/>
  <c r="DV5" i="62"/>
  <c r="NL5" i="50"/>
  <c r="Z5" i="20"/>
  <c r="BD5" i="45"/>
  <c r="JF5" i="24"/>
  <c r="AO5" i="55"/>
  <c r="IL5" i="46"/>
  <c r="KE5" i="45"/>
  <c r="KE5" i="48"/>
  <c r="LI5" i="52"/>
  <c r="FT5" i="63"/>
  <c r="AY5" i="49"/>
  <c r="HC5" i="47"/>
  <c r="CW5" i="53"/>
  <c r="FY5" i="56"/>
  <c r="DB5" i="33"/>
  <c r="JZ5" i="53"/>
  <c r="GN5" i="43"/>
  <c r="Z5" i="23"/>
  <c r="MH5" i="22"/>
  <c r="JF5" i="25"/>
  <c r="GD5" i="19"/>
  <c r="NL5" i="68"/>
  <c r="IV5" i="73"/>
  <c r="GD5" i="17"/>
  <c r="JF5" i="15"/>
  <c r="JF5" i="18"/>
  <c r="DB5" i="17"/>
  <c r="Z5" i="33"/>
  <c r="GD5" i="15"/>
  <c r="DB5" i="19"/>
  <c r="Z5" i="16"/>
  <c r="DB5" i="32"/>
  <c r="DB5" i="18"/>
  <c r="Z5" i="24"/>
  <c r="GN5" i="57"/>
  <c r="DB5" i="20"/>
  <c r="JF5" i="16"/>
  <c r="Z5" i="17"/>
  <c r="GN5" i="60"/>
  <c r="GD5" i="16"/>
  <c r="GD5" i="22"/>
  <c r="DB5" i="29"/>
  <c r="JF5" i="23"/>
  <c r="MH5" i="16"/>
  <c r="MH5" i="18"/>
  <c r="DB5" i="28"/>
  <c r="GD5" i="18"/>
  <c r="Z5" i="19"/>
  <c r="Z5" i="22"/>
  <c r="JF5" i="17"/>
  <c r="JF5" i="22"/>
  <c r="DB5" i="26"/>
  <c r="GD5" i="28"/>
  <c r="GD5" i="27"/>
  <c r="GD5" i="20"/>
  <c r="JF5" i="19"/>
  <c r="Z5" i="29"/>
  <c r="DB5" i="23"/>
  <c r="JF5" i="20"/>
  <c r="JF5" i="28"/>
  <c r="AT5" i="39"/>
  <c r="CH5" i="38"/>
  <c r="MH5" i="23"/>
  <c r="Z5" i="21"/>
  <c r="MH5" i="21"/>
  <c r="MH5" i="20"/>
  <c r="GD5" i="23"/>
  <c r="DB5" i="21"/>
  <c r="JF5" i="21"/>
  <c r="JF5" i="27"/>
  <c r="GD5" i="26"/>
  <c r="JF5" i="30"/>
  <c r="GD5" i="29"/>
  <c r="Z5" i="26"/>
  <c r="MH5" i="24"/>
  <c r="DB5" i="22"/>
  <c r="MH5" i="34"/>
  <c r="Z5" i="25"/>
  <c r="MH5" i="33"/>
  <c r="Z5" i="28"/>
  <c r="MH5" i="26"/>
  <c r="Z5" i="32"/>
  <c r="MH5" i="25"/>
  <c r="Z5" i="27"/>
  <c r="DB5" i="30"/>
  <c r="DB5" i="24"/>
  <c r="DB5" i="25"/>
  <c r="BN5" i="17"/>
  <c r="JF5" i="33"/>
  <c r="MH5" i="27"/>
  <c r="GD5" i="25"/>
  <c r="LI5" i="39"/>
  <c r="MH5" i="30"/>
  <c r="DB5" i="31"/>
  <c r="GD5" i="35"/>
  <c r="GD5" i="30"/>
  <c r="DB5" i="27"/>
  <c r="Z5" i="30"/>
  <c r="GD5" i="32"/>
  <c r="DQ5" i="36"/>
  <c r="U5" i="46"/>
  <c r="GD5" i="34"/>
  <c r="MH5" i="31"/>
  <c r="Z5" i="31"/>
  <c r="MH5" i="29"/>
  <c r="DL5" i="40"/>
  <c r="JF5" i="32"/>
  <c r="DB5" i="34"/>
  <c r="GD5" i="31"/>
  <c r="JF5" i="31"/>
  <c r="BI5" i="37"/>
  <c r="GD5" i="33"/>
  <c r="MH5" i="32"/>
  <c r="LD5" i="37"/>
  <c r="DB5" i="35"/>
  <c r="EF5" i="39"/>
  <c r="GX5" i="36"/>
  <c r="JF5" i="35"/>
  <c r="Z5" i="34"/>
  <c r="Z5" i="35"/>
  <c r="HW5" i="37"/>
  <c r="P5" i="40"/>
  <c r="NL5" i="36"/>
  <c r="JA5" i="38"/>
  <c r="MH5" i="35"/>
  <c r="EP5" i="37"/>
  <c r="K5" i="41"/>
  <c r="HC5" i="40"/>
  <c r="KO5" i="59"/>
  <c r="KE5" i="36"/>
  <c r="AJ5" i="36"/>
  <c r="JF5" i="34"/>
  <c r="A5" i="38"/>
  <c r="OA5" i="37"/>
  <c r="KO5" i="41"/>
  <c r="DB5" i="41"/>
  <c r="HM5" i="47"/>
  <c r="EA5" i="46"/>
  <c r="GX5" i="41"/>
  <c r="HR5" i="39"/>
  <c r="GS5" i="42"/>
  <c r="DQ5" i="44"/>
  <c r="MR5" i="44"/>
  <c r="KY5" i="40"/>
  <c r="BI5" i="45"/>
  <c r="EU5" i="74"/>
  <c r="FO5" i="38"/>
  <c r="HH5" i="47"/>
  <c r="EF5" i="48"/>
  <c r="KJ5" i="42"/>
  <c r="IV5" i="49"/>
  <c r="MR5" i="38"/>
  <c r="A5" i="43"/>
  <c r="F5" i="42"/>
  <c r="CR5" i="43"/>
  <c r="EP5" i="61"/>
  <c r="KJ5" i="43"/>
  <c r="DB5" i="42"/>
  <c r="CH5" i="47"/>
  <c r="BD5" i="49"/>
  <c r="GD5" i="45"/>
  <c r="IG5" i="44"/>
  <c r="IV5" i="46"/>
  <c r="F5" i="44"/>
  <c r="NB5" i="46"/>
  <c r="CW5" i="42"/>
  <c r="AO5" i="50"/>
  <c r="AT5" i="55"/>
  <c r="NL5" i="47"/>
  <c r="NG5" i="56"/>
  <c r="NB5" i="51"/>
  <c r="A5" i="51"/>
  <c r="KJ5" i="48"/>
  <c r="KJ5" i="45"/>
  <c r="DQ5" i="40"/>
  <c r="KE5" i="53"/>
  <c r="FY5" i="51"/>
  <c r="P5" i="56"/>
  <c r="JA5" i="54"/>
  <c r="MW5" i="38"/>
  <c r="EF5" i="52"/>
  <c r="KO5" i="45"/>
  <c r="CC5" i="54"/>
  <c r="Z5" i="46"/>
  <c r="LN5" i="39"/>
  <c r="HH5" i="57"/>
  <c r="DQ5" i="53"/>
  <c r="HH5" i="55"/>
  <c r="JZ5" i="59"/>
  <c r="LX5" i="52"/>
  <c r="JA5" i="46"/>
  <c r="HC5" i="60"/>
  <c r="AY5" i="39"/>
  <c r="HM5" i="63"/>
  <c r="BS5" i="58"/>
  <c r="HH5" i="40"/>
  <c r="EP5" i="62"/>
  <c r="CR5" i="45"/>
  <c r="HC5" i="56"/>
  <c r="LN5" i="41"/>
  <c r="MR5" i="58"/>
  <c r="EU5" i="69"/>
  <c r="AY5" i="66"/>
  <c r="JF5" i="38"/>
  <c r="F5" i="43"/>
  <c r="HW5" i="39"/>
  <c r="EK5" i="39"/>
  <c r="DV5" i="44"/>
  <c r="KO5" i="42"/>
  <c r="U5" i="40"/>
  <c r="K5" i="83"/>
  <c r="HC5" i="41"/>
  <c r="CW5" i="43"/>
  <c r="LI5" i="42"/>
  <c r="IV5" i="63"/>
  <c r="GX5" i="42"/>
  <c r="FT5" i="38"/>
  <c r="P5" i="44"/>
  <c r="EK5" i="48"/>
  <c r="KY5" i="41"/>
  <c r="HM5" i="57"/>
  <c r="EF5" i="46"/>
  <c r="A5" i="57"/>
  <c r="K5" i="42"/>
  <c r="GS5" i="43"/>
  <c r="AO5" i="56"/>
  <c r="LI5" i="40"/>
  <c r="NG5" i="51"/>
  <c r="P5" i="41"/>
  <c r="CC5" i="45"/>
  <c r="DL5" i="41"/>
  <c r="CC5" i="49"/>
  <c r="MW5" i="44"/>
  <c r="GN5" i="45"/>
  <c r="IL5" i="44"/>
  <c r="KO5" i="48"/>
  <c r="P5" i="51"/>
  <c r="NQ5" i="47"/>
  <c r="DV5" i="53"/>
  <c r="NG5" i="46"/>
  <c r="KO5" i="43"/>
  <c r="KJ5" i="53"/>
  <c r="AY5" i="55"/>
  <c r="MC5" i="52"/>
  <c r="CC5" i="55"/>
  <c r="MW5" i="52"/>
  <c r="JA5" i="49"/>
  <c r="AT5" i="50"/>
  <c r="CR5" i="54"/>
  <c r="CR5" i="47"/>
  <c r="JU5" i="54"/>
  <c r="CC5" i="58"/>
  <c r="EZ5" i="69"/>
  <c r="U5" i="56"/>
  <c r="GS5" i="51"/>
  <c r="JZ5" i="54"/>
  <c r="AY5" i="50"/>
  <c r="LX5" i="69"/>
  <c r="NV5" i="58"/>
  <c r="Z5" i="83"/>
  <c r="AT5" i="19"/>
  <c r="GI5" i="61"/>
  <c r="HH5" i="60"/>
  <c r="FE5" i="62"/>
  <c r="EZ5" i="74"/>
  <c r="BD5" i="66"/>
  <c r="FE5" i="52"/>
  <c r="IG5" i="50"/>
  <c r="GX5" i="51"/>
  <c r="IV5" i="55"/>
  <c r="F5" i="59"/>
  <c r="CW5" i="54"/>
  <c r="DL5" i="43"/>
  <c r="HR5" i="57"/>
  <c r="JK5" i="63"/>
  <c r="LI5" i="53"/>
  <c r="NL5" i="51"/>
  <c r="U5" i="51"/>
  <c r="HH5" i="42"/>
  <c r="EA5" i="53"/>
  <c r="NB5" i="28"/>
  <c r="IG5" i="60"/>
  <c r="KE5" i="54"/>
  <c r="JA5" i="44"/>
  <c r="FT5" i="52"/>
  <c r="DL5" i="58"/>
  <c r="GX5" i="24"/>
  <c r="P5" i="57"/>
  <c r="GS5" i="61"/>
  <c r="KT5" i="59"/>
  <c r="DQ5" i="42"/>
  <c r="AO5" i="46"/>
  <c r="AT5" i="18"/>
  <c r="GS5" i="66"/>
  <c r="CR5" i="85"/>
  <c r="BD5" i="55"/>
  <c r="AY5" i="75"/>
  <c r="U5" i="42"/>
  <c r="HH5" i="62"/>
  <c r="GX5" i="45"/>
  <c r="FE5" i="46"/>
  <c r="NB5" i="19"/>
  <c r="LI5" i="43"/>
  <c r="HC5" i="43"/>
  <c r="AT5" i="21"/>
  <c r="JZ5" i="19"/>
  <c r="JZ5" i="49"/>
  <c r="Z5" i="44"/>
  <c r="DQ5" i="85"/>
  <c r="DV5" i="19"/>
  <c r="DQ5" i="54"/>
  <c r="FT5" i="48"/>
  <c r="LN5" i="45"/>
  <c r="P5" i="43"/>
  <c r="K5" i="59"/>
  <c r="HH5" i="56"/>
  <c r="AO5" i="51"/>
  <c r="CW5" i="49"/>
  <c r="JP5" i="46"/>
  <c r="P5" i="48"/>
  <c r="KT5" i="27"/>
  <c r="NG5" i="44"/>
  <c r="EF5" i="44"/>
  <c r="LX5" i="48"/>
  <c r="HC5" i="51"/>
  <c r="DL5" i="47"/>
  <c r="GX5" i="19"/>
  <c r="HW5" i="61"/>
  <c r="NQ5" i="46"/>
  <c r="IV5" i="47"/>
  <c r="DV5" i="25"/>
  <c r="NG5" i="63"/>
  <c r="IV5" i="50"/>
  <c r="JZ5" i="18"/>
  <c r="AT5" i="56"/>
  <c r="NB5" i="52"/>
  <c r="EF5" i="53"/>
  <c r="BD5" i="50"/>
  <c r="EA5" i="58"/>
  <c r="GX5" i="34"/>
  <c r="A5" i="52"/>
  <c r="LX5" i="53"/>
  <c r="JA5" i="55"/>
  <c r="NB5" i="27"/>
  <c r="IV5" i="57"/>
  <c r="LS5" i="59"/>
  <c r="DV5" i="21"/>
  <c r="FY5" i="52"/>
  <c r="DV5" i="22"/>
  <c r="GX5" i="22"/>
  <c r="U5" i="57"/>
  <c r="IV5" i="19"/>
  <c r="GX5" i="18"/>
  <c r="GX5" i="20"/>
  <c r="IV5" i="60"/>
  <c r="JZ5" i="22"/>
  <c r="AT5" i="25"/>
  <c r="DV5" i="18"/>
  <c r="NB5" i="25"/>
  <c r="DV5" i="33"/>
  <c r="HW5" i="62"/>
  <c r="DV5" i="28"/>
  <c r="JZ5" i="21"/>
  <c r="DQ5" i="75"/>
  <c r="NB5" i="69"/>
  <c r="GX5" i="66"/>
  <c r="AT5" i="20"/>
  <c r="AT5" i="30"/>
  <c r="NB5" i="33"/>
  <c r="NB5" i="18"/>
  <c r="JZ5" i="29"/>
  <c r="NB5" i="30"/>
  <c r="DV5" i="20"/>
  <c r="JZ5" i="20"/>
  <c r="GX5" i="27"/>
  <c r="GX5" i="21"/>
  <c r="NB5" i="20"/>
  <c r="GX5" i="32"/>
  <c r="NB5" i="21"/>
  <c r="GX5" i="30"/>
  <c r="DV5" i="23"/>
  <c r="AT5" i="24"/>
  <c r="DV5" i="26"/>
  <c r="AT5" i="22"/>
  <c r="JZ5" i="23"/>
  <c r="JZ5" i="25"/>
  <c r="NB5" i="22"/>
  <c r="NB5" i="23"/>
  <c r="AT5" i="27"/>
  <c r="AT5" i="23"/>
  <c r="DV5" i="24"/>
  <c r="GX5" i="23"/>
  <c r="NB5" i="26"/>
  <c r="GX5" i="25"/>
  <c r="NB5" i="24"/>
  <c r="GX5" i="26"/>
  <c r="AT5" i="28"/>
  <c r="JZ5" i="26"/>
  <c r="JZ5" i="30"/>
  <c r="AJ5" i="41"/>
  <c r="JZ5" i="24"/>
  <c r="KY5" i="36"/>
  <c r="JZ5" i="27"/>
  <c r="GX5" i="29"/>
  <c r="AT5" i="26"/>
  <c r="Z5" i="42"/>
  <c r="NB5" i="31"/>
  <c r="AT5" i="33"/>
  <c r="DV5" i="31"/>
  <c r="FJ5" i="37"/>
  <c r="EF5" i="58"/>
  <c r="IQ5" i="37"/>
  <c r="GX5" i="28"/>
  <c r="LS5" i="41"/>
  <c r="JZ5" i="28"/>
  <c r="DV5" i="27"/>
  <c r="OF5" i="36"/>
  <c r="AT5" i="29"/>
  <c r="DV5" i="34"/>
  <c r="DV5" i="29"/>
  <c r="AT5" i="31"/>
  <c r="DV5" i="32"/>
  <c r="DV5" i="30"/>
  <c r="NB5" i="32"/>
  <c r="NB5" i="29"/>
  <c r="JZ5" i="35"/>
  <c r="GX5" i="31"/>
  <c r="GX5" i="35"/>
  <c r="CC5" i="37"/>
  <c r="MC5" i="39"/>
  <c r="DB5" i="38"/>
  <c r="JZ5" i="32"/>
  <c r="U5" i="38"/>
  <c r="GN5" i="38"/>
  <c r="JZ5" i="38"/>
  <c r="AT5" i="34"/>
  <c r="JZ5" i="31"/>
  <c r="AT5" i="32"/>
  <c r="HC5" i="45"/>
  <c r="AT5" i="35"/>
  <c r="NB5" i="34"/>
  <c r="LX5" i="66"/>
  <c r="JZ5" i="34"/>
  <c r="GX5" i="33"/>
  <c r="EK5" i="36"/>
  <c r="JZ5" i="33"/>
  <c r="BD5" i="36"/>
  <c r="U5" i="48"/>
  <c r="HR5" i="36"/>
  <c r="AJ5" i="44"/>
  <c r="P5" i="52"/>
  <c r="KJ5" i="60"/>
  <c r="DQ5" i="43"/>
  <c r="DV5" i="35"/>
  <c r="MW5" i="53"/>
  <c r="HM5" i="42"/>
  <c r="NQ5" i="59"/>
  <c r="IQ5" i="39"/>
  <c r="IG5" i="62"/>
  <c r="AT5" i="61"/>
  <c r="NV5" i="63"/>
  <c r="HW5" i="41"/>
  <c r="NG5" i="35"/>
  <c r="FE5" i="39"/>
  <c r="AO5" i="40"/>
  <c r="MH5" i="54"/>
  <c r="EF5" i="40"/>
  <c r="AY5" i="56"/>
  <c r="BN5" i="39"/>
  <c r="NL5" i="38"/>
  <c r="JF5" i="44"/>
  <c r="EA5" i="41"/>
  <c r="HH5" i="43"/>
  <c r="DV5" i="42"/>
  <c r="LX5" i="37"/>
  <c r="U5" i="43"/>
  <c r="FY5" i="48"/>
  <c r="MH5" i="47"/>
  <c r="IG5" i="40"/>
  <c r="EK5" i="44"/>
  <c r="LX5" i="40"/>
  <c r="NG5" i="52"/>
  <c r="JP5" i="57"/>
  <c r="AE5" i="76"/>
  <c r="GS5" i="52"/>
  <c r="LN5" i="42"/>
  <c r="JA5" i="47"/>
  <c r="FT5" i="53"/>
  <c r="CC5" i="50"/>
  <c r="A5" i="47"/>
  <c r="LX5" i="45"/>
  <c r="KJ5" i="54"/>
  <c r="CW5" i="45"/>
  <c r="FJ5" i="46"/>
  <c r="AT5" i="51"/>
  <c r="NL5" i="44"/>
  <c r="GS5" i="48"/>
  <c r="AT5" i="46"/>
  <c r="JU5" i="46"/>
  <c r="LN5" i="43"/>
  <c r="MC5" i="48"/>
  <c r="DQ5" i="47"/>
  <c r="JU5" i="55"/>
  <c r="DQ5" i="49"/>
  <c r="JU5" i="47"/>
  <c r="DV5" i="54"/>
  <c r="MC5" i="53"/>
  <c r="CR5" i="55"/>
  <c r="JA5" i="50"/>
  <c r="AO5" i="59"/>
  <c r="IG5" i="51"/>
  <c r="GD5" i="47"/>
  <c r="AT5" i="57"/>
  <c r="FE5" i="53"/>
  <c r="CR5" i="50"/>
  <c r="KY5" i="60"/>
  <c r="HH5" i="51"/>
  <c r="FJ5" i="70"/>
  <c r="GX5" i="52"/>
  <c r="MM5" i="59"/>
  <c r="JU5" i="50"/>
  <c r="JZ5" i="55"/>
  <c r="JK5" i="61"/>
  <c r="IG5" i="56"/>
  <c r="DV5" i="47"/>
  <c r="KJ5" i="88"/>
  <c r="U5" i="52"/>
  <c r="AO5" i="48"/>
  <c r="MW5" i="48"/>
  <c r="IV5" i="56"/>
  <c r="DV5" i="49"/>
  <c r="AY5" i="51"/>
  <c r="JK5" i="47"/>
  <c r="CW5" i="55"/>
  <c r="MW5" i="66"/>
  <c r="JF5" i="55"/>
  <c r="MH5" i="48"/>
  <c r="NL5" i="52"/>
  <c r="Z5" i="71"/>
  <c r="AY5" i="59"/>
  <c r="GI5" i="42"/>
  <c r="KY5" i="59"/>
  <c r="GS5" i="56"/>
  <c r="FE5" i="58"/>
  <c r="JU5" i="61"/>
  <c r="BD5" i="56"/>
  <c r="GD5" i="49"/>
  <c r="MH5" i="49"/>
  <c r="FT5" i="70"/>
  <c r="JF5" i="50"/>
  <c r="EA5" i="54"/>
  <c r="Z5" i="53"/>
  <c r="MM5" i="40"/>
  <c r="DB5" i="47"/>
  <c r="Z5" i="48"/>
  <c r="LI5" i="54"/>
  <c r="JU5" i="57"/>
  <c r="DB5" i="56"/>
  <c r="AY5" i="57"/>
  <c r="GD5" i="48"/>
  <c r="JP5" i="61"/>
  <c r="GS5" i="57"/>
  <c r="MM5" i="66"/>
  <c r="AJ5" i="76"/>
  <c r="K5" i="60"/>
  <c r="DB5" i="55"/>
  <c r="JF5" i="48"/>
  <c r="NQ5" i="62"/>
  <c r="OA5" i="63"/>
  <c r="Z5" i="51"/>
  <c r="NG5" i="76"/>
  <c r="JZ5" i="62"/>
  <c r="DB5" i="48"/>
  <c r="JF5" i="49"/>
  <c r="NV5" i="88"/>
  <c r="DB5" i="49"/>
  <c r="JF5" i="47"/>
  <c r="Z5" i="50"/>
  <c r="Z5" i="49"/>
  <c r="DB5" i="51"/>
  <c r="MH5" i="50"/>
  <c r="DB5" i="50"/>
  <c r="Z5" i="52"/>
  <c r="JF5" i="51"/>
  <c r="GD5" i="51"/>
  <c r="MH5" i="51"/>
  <c r="MH5" i="52"/>
  <c r="GD5" i="50"/>
  <c r="GD5" i="52"/>
  <c r="AE5" i="57"/>
  <c r="JF5" i="54"/>
  <c r="JF5" i="52"/>
  <c r="DB5" i="54"/>
  <c r="GD5" i="54"/>
  <c r="DB5" i="53"/>
  <c r="JF5" i="53"/>
  <c r="JZ5" i="57"/>
  <c r="Z5" i="55"/>
  <c r="MH5" i="53"/>
  <c r="JF5" i="56"/>
  <c r="DB5" i="52"/>
  <c r="GD5" i="56"/>
  <c r="HW5" i="58"/>
  <c r="DQ5" i="59"/>
  <c r="GD5" i="53"/>
  <c r="MH5" i="56"/>
  <c r="Z5" i="54"/>
  <c r="EA5" i="63"/>
  <c r="BD5" i="58"/>
  <c r="DQ5" i="67"/>
  <c r="EK5" i="58"/>
  <c r="P5" i="59"/>
  <c r="Z5" i="56"/>
  <c r="GD5" i="55"/>
  <c r="AT5" i="65"/>
  <c r="MH5" i="55"/>
  <c r="JK5" i="44"/>
  <c r="HH5" i="59"/>
  <c r="AE5" i="49"/>
  <c r="P5" i="64"/>
  <c r="HM5" i="60"/>
  <c r="BS5" i="72"/>
  <c r="DL5" i="57"/>
  <c r="EU5" i="61"/>
  <c r="OA5" i="61"/>
  <c r="LN5" i="58"/>
  <c r="EA5" i="62"/>
  <c r="IV5" i="62"/>
  <c r="EP5" i="64"/>
  <c r="JU5" i="67"/>
  <c r="EK5" i="28"/>
  <c r="MR5" i="72"/>
  <c r="JU5" i="63"/>
  <c r="DQ5" i="60"/>
  <c r="LS5" i="60"/>
  <c r="AO5" i="68"/>
  <c r="HH5" i="71"/>
  <c r="MM5" i="35"/>
  <c r="HC5" i="66"/>
  <c r="JK5" i="39"/>
  <c r="MM5" i="36"/>
  <c r="KJ5" i="64"/>
  <c r="MM5" i="50"/>
  <c r="GI5" i="65"/>
  <c r="KY5" i="65"/>
  <c r="MM5" i="46"/>
  <c r="MM5" i="39"/>
  <c r="BI5" i="66"/>
  <c r="GI5" i="36"/>
  <c r="GX5" i="68"/>
  <c r="AE5" i="38"/>
  <c r="AY5" i="83"/>
  <c r="AE5" i="44"/>
  <c r="NQ5" i="68"/>
  <c r="OA5" i="69"/>
  <c r="JA5" i="73"/>
  <c r="EU5" i="81"/>
  <c r="MM5" i="38"/>
  <c r="FY5" i="70"/>
  <c r="FE5" i="69"/>
  <c r="AO5" i="76"/>
  <c r="AE5" i="36"/>
  <c r="U5" i="80"/>
  <c r="KJ5" i="77"/>
  <c r="LS5" i="78"/>
  <c r="EA5" i="75"/>
  <c r="DG5" i="39"/>
  <c r="HW5" i="74"/>
  <c r="OA5" i="88"/>
  <c r="GI5" i="38"/>
  <c r="JK5" i="36"/>
  <c r="GI5" i="40"/>
  <c r="DV5" i="85"/>
  <c r="AE5" i="40"/>
  <c r="MM5" i="43"/>
  <c r="JK5" i="43"/>
  <c r="GI5" i="37"/>
  <c r="DG5" i="38"/>
  <c r="GI5" i="39"/>
  <c r="GI5" i="52"/>
  <c r="DG5" i="37"/>
  <c r="AE5" i="41"/>
  <c r="AE5" i="37"/>
  <c r="JK5" i="37"/>
  <c r="JK5" i="38"/>
  <c r="GS5" i="65"/>
  <c r="DG5" i="36"/>
  <c r="MM5" i="41"/>
  <c r="DG5" i="41"/>
  <c r="AE5" i="39"/>
  <c r="MM5" i="37"/>
  <c r="DG5" i="40"/>
  <c r="GI5" i="41"/>
  <c r="AE5" i="55"/>
  <c r="AE5" i="43"/>
  <c r="DG5" i="54"/>
  <c r="AE5" i="42"/>
  <c r="MM5" i="48"/>
  <c r="JK5" i="41"/>
  <c r="GI5" i="47"/>
  <c r="GI5" i="44"/>
  <c r="JK5" i="42"/>
  <c r="DG5" i="47"/>
  <c r="MM5" i="42"/>
  <c r="GI5" i="43"/>
  <c r="DG5" i="43"/>
  <c r="GI5" i="46"/>
  <c r="DG5" i="42"/>
  <c r="DG5" i="44"/>
  <c r="GI5" i="45"/>
  <c r="JK5" i="49"/>
  <c r="AE5" i="46"/>
  <c r="LX5" i="60"/>
  <c r="AE5" i="51"/>
  <c r="MM5" i="44"/>
  <c r="AE5" i="50"/>
  <c r="DG5" i="46"/>
  <c r="DG5" i="48"/>
  <c r="MM5" i="45"/>
  <c r="DG5" i="45"/>
  <c r="AE5" i="47"/>
  <c r="JK5" i="50"/>
  <c r="JK5" i="46"/>
  <c r="GI5" i="50"/>
  <c r="GI5" i="49"/>
  <c r="MM5" i="55"/>
  <c r="DG5" i="49"/>
  <c r="AE5" i="45"/>
  <c r="JK5" i="45"/>
  <c r="JK5" i="56"/>
  <c r="AE5" i="48"/>
  <c r="AE5" i="54"/>
  <c r="GI5" i="48"/>
  <c r="JK5" i="48"/>
  <c r="MM5" i="47"/>
  <c r="MM5" i="49"/>
  <c r="DG5" i="50"/>
  <c r="GI5" i="51"/>
  <c r="GI5" i="55"/>
  <c r="DG5" i="51"/>
  <c r="JK5" i="53"/>
  <c r="AE5" i="52"/>
  <c r="AE5" i="59"/>
  <c r="DV5" i="60"/>
  <c r="GX5" i="57"/>
  <c r="MM5" i="51"/>
  <c r="JK5" i="52"/>
  <c r="BN5" i="66"/>
  <c r="AE5" i="56"/>
  <c r="DG5" i="55"/>
  <c r="JK5" i="51"/>
  <c r="GI5" i="53"/>
  <c r="EA5" i="60"/>
  <c r="DG5" i="56"/>
  <c r="MM5" i="52"/>
  <c r="AE5" i="53"/>
  <c r="EP5" i="58"/>
  <c r="GI5" i="54"/>
  <c r="JZ5" i="61"/>
  <c r="JK5" i="54"/>
  <c r="MM5" i="54"/>
  <c r="GX5" i="65"/>
  <c r="HM5" i="59"/>
  <c r="DG5" i="53"/>
  <c r="MM5" i="53"/>
  <c r="DQ5" i="57"/>
  <c r="HH5" i="66"/>
  <c r="AJ5" i="57"/>
  <c r="GI5" i="56"/>
  <c r="EF5" i="62"/>
  <c r="HR5" i="60"/>
  <c r="LI5" i="59"/>
  <c r="LS5" i="58"/>
  <c r="P5" i="60"/>
  <c r="MM5" i="56"/>
  <c r="JP5" i="47"/>
  <c r="AY5" i="61"/>
  <c r="EU5" i="72"/>
  <c r="CM5" i="35"/>
  <c r="JK5" i="55"/>
  <c r="MC5" i="78"/>
  <c r="NL5" i="66"/>
  <c r="MR5" i="51"/>
  <c r="JK5" i="62"/>
  <c r="JZ5" i="67"/>
  <c r="EP5" i="28"/>
  <c r="KE5" i="57"/>
  <c r="AE5" i="64"/>
  <c r="BI5" i="58"/>
  <c r="LX5" i="65"/>
  <c r="A5" i="62"/>
  <c r="EU5" i="64"/>
  <c r="IG5" i="58"/>
  <c r="AY5" i="65"/>
  <c r="JZ5" i="63"/>
  <c r="DV5" i="59"/>
  <c r="NV5" i="62"/>
  <c r="EF5" i="63"/>
  <c r="DV5" i="67"/>
  <c r="KO5" i="64"/>
  <c r="FE5" i="61"/>
  <c r="JP5" i="71"/>
  <c r="HC5" i="68"/>
  <c r="GD5" i="70"/>
  <c r="GN5" i="69"/>
  <c r="NV5" i="68"/>
  <c r="EF5" i="75"/>
  <c r="OF5" i="69"/>
  <c r="HC5" i="57"/>
  <c r="BX5" i="72"/>
  <c r="AE5" i="71"/>
  <c r="NB5" i="66"/>
  <c r="IB5" i="74"/>
  <c r="NL5" i="76"/>
  <c r="MW5" i="72"/>
  <c r="GN5" i="90"/>
  <c r="MR5" i="50"/>
  <c r="NL5" i="77"/>
  <c r="EK5" i="85"/>
  <c r="GN5" i="47"/>
  <c r="AT5" i="68"/>
  <c r="GN5" i="53"/>
  <c r="GN5" i="48"/>
  <c r="AY5" i="76"/>
  <c r="JP5" i="48"/>
  <c r="MR5" i="56"/>
  <c r="JP5" i="50"/>
  <c r="FE5" i="81"/>
  <c r="BS5" i="83"/>
  <c r="BD5" i="61"/>
  <c r="AJ5" i="48"/>
  <c r="KE5" i="67"/>
  <c r="LX5" i="73"/>
  <c r="MR5" i="47"/>
  <c r="JP5" i="55"/>
  <c r="AJ5" i="50"/>
  <c r="DL5" i="48"/>
  <c r="AO5" i="80"/>
  <c r="AJ5" i="51"/>
  <c r="MR5" i="48"/>
  <c r="AJ5" i="59"/>
  <c r="GN5" i="50"/>
  <c r="AJ5" i="49"/>
  <c r="GN5" i="49"/>
  <c r="DL5" i="49"/>
  <c r="JP5" i="49"/>
  <c r="GN5" i="51"/>
  <c r="DL5" i="50"/>
  <c r="MR5" i="49"/>
  <c r="AJ5" i="56"/>
  <c r="JP5" i="53"/>
  <c r="DL5" i="51"/>
  <c r="AJ5" i="54"/>
  <c r="EA5" i="59"/>
  <c r="EF5" i="76"/>
  <c r="KE5" i="61"/>
  <c r="BI5" i="65"/>
  <c r="GN5" i="55"/>
  <c r="AJ5" i="53"/>
  <c r="JP5" i="52"/>
  <c r="JP5" i="54"/>
  <c r="MR5" i="54"/>
  <c r="IL5" i="58"/>
  <c r="GN5" i="52"/>
  <c r="AO5" i="64"/>
  <c r="GN5" i="54"/>
  <c r="MR5" i="52"/>
  <c r="JP5" i="51"/>
  <c r="AJ5" i="55"/>
  <c r="CR5" i="66"/>
  <c r="AJ5" i="52"/>
  <c r="AJ5" i="71"/>
  <c r="AT5" i="79"/>
  <c r="DL5" i="53"/>
  <c r="DV5" i="57"/>
  <c r="BI5" i="92"/>
  <c r="JP5" i="56"/>
  <c r="HW5" i="66"/>
  <c r="HW5" i="60"/>
  <c r="GN5" i="56"/>
  <c r="AE5" i="63"/>
  <c r="MR5" i="53"/>
  <c r="DL5" i="56"/>
  <c r="OA5" i="62"/>
  <c r="AO5" i="57"/>
  <c r="AT5" i="59"/>
  <c r="DL5" i="54"/>
  <c r="AE5" i="60"/>
  <c r="DL5" i="55"/>
  <c r="MR5" i="55"/>
  <c r="EU5" i="58"/>
  <c r="LN5" i="59"/>
  <c r="HR5" i="59"/>
  <c r="LX5" i="58"/>
  <c r="NQ5" i="57"/>
  <c r="KJ5" i="57"/>
  <c r="EK5" i="62"/>
  <c r="KE5" i="63"/>
  <c r="MM5" i="60"/>
  <c r="FT5" i="64"/>
  <c r="BN5" i="58"/>
  <c r="FT5" i="61"/>
  <c r="P5" i="62"/>
  <c r="AY5" i="68"/>
  <c r="JU5" i="62"/>
  <c r="GI5" i="70"/>
  <c r="KT5" i="64"/>
  <c r="MM5" i="65"/>
  <c r="EA5" i="67"/>
  <c r="MW5" i="60"/>
  <c r="JU5" i="71"/>
  <c r="BD5" i="65"/>
  <c r="OA5" i="68"/>
  <c r="OF5" i="77"/>
  <c r="HM5" i="66"/>
  <c r="EK5" i="63"/>
  <c r="GI5" i="63"/>
  <c r="IV5" i="74"/>
  <c r="CC5" i="72"/>
  <c r="HM5" i="69"/>
  <c r="HH5" i="68"/>
  <c r="KO5" i="67"/>
  <c r="A5" i="70"/>
  <c r="BS5" i="66"/>
  <c r="HC5" i="90"/>
  <c r="NG5" i="66"/>
  <c r="AT5" i="64"/>
  <c r="IV5" i="58"/>
  <c r="EK5" i="75"/>
  <c r="IG5" i="74"/>
  <c r="KJ5" i="63"/>
  <c r="HM5" i="68"/>
  <c r="BD5" i="77"/>
  <c r="BD5" i="76"/>
  <c r="EP5" i="63"/>
  <c r="IQ5" i="83"/>
  <c r="MW5" i="65"/>
  <c r="OA5" i="77"/>
  <c r="BD5" i="68"/>
  <c r="AJ5" i="79"/>
  <c r="AJ5" i="73"/>
  <c r="KE5" i="62"/>
  <c r="EK5" i="60"/>
  <c r="NQ5" i="66"/>
  <c r="MC5" i="73"/>
  <c r="Z5" i="69"/>
  <c r="HC5" i="65"/>
  <c r="EA5" i="80"/>
  <c r="AO5" i="73"/>
  <c r="HW5" i="83"/>
  <c r="MH5" i="85"/>
  <c r="HR5" i="66"/>
  <c r="JZ5" i="71"/>
  <c r="JP5" i="81"/>
  <c r="KJ5" i="67"/>
  <c r="EU5" i="75"/>
  <c r="AO5" i="60"/>
  <c r="KY5" i="64"/>
  <c r="MH5" i="73"/>
  <c r="IL5" i="74"/>
  <c r="GI5" i="64"/>
  <c r="EF5" i="67"/>
  <c r="F5" i="70"/>
  <c r="HR5" i="69"/>
  <c r="AO5" i="71"/>
  <c r="IL5" i="70"/>
  <c r="LX5" i="64"/>
  <c r="DG5" i="66"/>
  <c r="BD5" i="64"/>
  <c r="BS5" i="77"/>
  <c r="GN5" i="61"/>
  <c r="JU5" i="81"/>
  <c r="AO5" i="79"/>
  <c r="MM5" i="58"/>
  <c r="KT5" i="57"/>
  <c r="EF5" i="80"/>
  <c r="MW5" i="85"/>
  <c r="IQ5" i="60"/>
  <c r="EK5" i="59"/>
  <c r="IG5" i="59"/>
  <c r="FJ5" i="58"/>
  <c r="BX5" i="58"/>
  <c r="IL5" i="90"/>
  <c r="EU5" i="63"/>
  <c r="OA5" i="57"/>
  <c r="P5" i="70"/>
  <c r="EU5" i="62"/>
  <c r="BN5" i="61"/>
  <c r="KO5" i="61"/>
  <c r="AY5" i="64"/>
  <c r="AY5" i="69"/>
  <c r="IQ5" i="59"/>
  <c r="BD5" i="69"/>
  <c r="KO5" i="63"/>
  <c r="BD5" i="79"/>
  <c r="LX5" i="59"/>
  <c r="EP5" i="80"/>
  <c r="BN5" i="40"/>
  <c r="BI5" i="57"/>
  <c r="DQ5" i="66"/>
  <c r="NV5" i="66"/>
  <c r="HM5" i="75"/>
  <c r="HH5" i="65"/>
  <c r="BN5" i="65"/>
  <c r="AO5" i="62"/>
  <c r="EZ5" i="72"/>
  <c r="CR5" i="35"/>
  <c r="HR5" i="68"/>
  <c r="NV5" i="85"/>
  <c r="BX5" i="77"/>
  <c r="AT5" i="71"/>
  <c r="DV5" i="66"/>
  <c r="GS5" i="64"/>
  <c r="EK5" i="67"/>
  <c r="NL5" i="56"/>
  <c r="JK5" i="83"/>
  <c r="HW5" i="69"/>
  <c r="NB5" i="65"/>
  <c r="FE5" i="72"/>
  <c r="MM5" i="73"/>
  <c r="AY5" i="73"/>
  <c r="EU5" i="76"/>
  <c r="JK5" i="60"/>
  <c r="KT5" i="67"/>
  <c r="BI5" i="68"/>
  <c r="BD5" i="73"/>
  <c r="A5" i="78"/>
  <c r="CC5" i="77"/>
  <c r="KE5" i="71"/>
  <c r="EZ5" i="80"/>
  <c r="IV5" i="68"/>
  <c r="BD5" i="60"/>
  <c r="HR5" i="65"/>
  <c r="BD5" i="62"/>
  <c r="IG5" i="69"/>
  <c r="KO5" i="81"/>
  <c r="IV5" i="70"/>
  <c r="IV5" i="83"/>
  <c r="EP5" i="67"/>
  <c r="MM5" i="64"/>
  <c r="HW5" i="75"/>
  <c r="U5" i="70"/>
  <c r="EP5" i="41"/>
  <c r="GX5" i="64"/>
  <c r="KT5" i="63"/>
  <c r="IV5" i="66"/>
  <c r="NG5" i="65"/>
  <c r="CH5" i="77"/>
  <c r="JA5" i="70"/>
  <c r="BS5" i="65"/>
  <c r="HM5" i="65"/>
  <c r="LD5" i="57"/>
  <c r="DB5" i="71"/>
  <c r="EZ5" i="76"/>
  <c r="HW5" i="57"/>
  <c r="BN5" i="68"/>
  <c r="EU5" i="59"/>
  <c r="A5" i="58"/>
  <c r="IB5" i="69"/>
  <c r="MR5" i="73"/>
  <c r="EP5" i="57"/>
  <c r="KO5" i="62"/>
  <c r="Z5" i="86"/>
  <c r="LN5" i="74"/>
  <c r="BX5" i="92"/>
  <c r="HC5" i="64"/>
  <c r="JK5" i="58"/>
  <c r="LI5" i="81"/>
  <c r="KJ5" i="71"/>
  <c r="F5" i="78"/>
  <c r="MW5" i="58"/>
  <c r="EU5" i="60"/>
  <c r="GX5" i="61"/>
  <c r="BI5" i="64"/>
  <c r="CH5" i="58"/>
  <c r="AT5" i="82"/>
  <c r="AY5" i="60"/>
  <c r="MR5" i="59"/>
  <c r="BI5" i="73"/>
  <c r="AO5" i="84"/>
  <c r="FT5" i="62"/>
  <c r="JK5" i="66"/>
  <c r="EU5" i="67"/>
  <c r="AY5" i="62"/>
  <c r="NQ5" i="53"/>
  <c r="MW5" i="64"/>
  <c r="FT5" i="58"/>
  <c r="BD5" i="59"/>
  <c r="KY5" i="61"/>
  <c r="AT5" i="63"/>
  <c r="CC5" i="61"/>
  <c r="NG5" i="60"/>
  <c r="KT5" i="41"/>
  <c r="NL5" i="65"/>
  <c r="GD5" i="92"/>
  <c r="AY5" i="70"/>
  <c r="OA5" i="66"/>
  <c r="CR5" i="65"/>
  <c r="KY5" i="67"/>
  <c r="KO5" i="71"/>
  <c r="NQ5" i="51"/>
  <c r="FY5" i="58"/>
  <c r="BI5" i="69"/>
  <c r="KY5" i="63"/>
  <c r="EZ5" i="79"/>
  <c r="DG5" i="71"/>
  <c r="FE5" i="76"/>
  <c r="BS5" i="68"/>
  <c r="FJ5" i="72"/>
  <c r="KO5" i="54"/>
  <c r="JU5" i="68"/>
  <c r="AE5" i="74"/>
  <c r="KO5" i="50"/>
  <c r="IB5" i="75"/>
  <c r="LX5" i="74"/>
  <c r="CH5" i="78"/>
  <c r="IQ5" i="80"/>
  <c r="BI5" i="49"/>
  <c r="JF5" i="70"/>
  <c r="JP5" i="58"/>
  <c r="BI5" i="51"/>
  <c r="EU5" i="57"/>
  <c r="KO5" i="52"/>
  <c r="EK5" i="51"/>
  <c r="FE5" i="60"/>
  <c r="KO5" i="51"/>
  <c r="NQ5" i="55"/>
  <c r="IV5" i="86"/>
  <c r="EK5" i="53"/>
  <c r="BN5" i="57"/>
  <c r="EK5" i="49"/>
  <c r="KT5" i="62"/>
  <c r="EK5" i="50"/>
  <c r="AJ5" i="74"/>
  <c r="IB5" i="57"/>
  <c r="BI5" i="50"/>
  <c r="HM5" i="49"/>
  <c r="HM5" i="52"/>
  <c r="NQ5" i="52"/>
  <c r="NQ5" i="50"/>
  <c r="HM5" i="51"/>
  <c r="NQ5" i="49"/>
  <c r="EK5" i="52"/>
  <c r="KO5" i="49"/>
  <c r="BI5" i="52"/>
  <c r="HM5" i="53"/>
  <c r="HM5" i="50"/>
  <c r="BI5" i="54"/>
  <c r="BI5" i="53"/>
  <c r="HM5" i="55"/>
  <c r="KO5" i="53"/>
  <c r="HM5" i="54"/>
  <c r="NQ5" i="54"/>
  <c r="K5" i="58"/>
  <c r="BI5" i="55"/>
  <c r="CM5" i="58"/>
  <c r="FE5" i="79"/>
  <c r="GI5" i="62"/>
  <c r="BN5" i="44"/>
  <c r="EA5" i="66"/>
  <c r="KO5" i="55"/>
  <c r="IV5" i="59"/>
  <c r="AY5" i="63"/>
  <c r="EK5" i="54"/>
  <c r="NQ5" i="56"/>
  <c r="GS5" i="63"/>
  <c r="EK5" i="56"/>
  <c r="HM5" i="56"/>
  <c r="BI5" i="59"/>
  <c r="JZ5" i="86"/>
  <c r="BI5" i="56"/>
  <c r="EK5" i="55"/>
  <c r="NL5" i="60"/>
  <c r="KO5" i="56"/>
  <c r="FE5" i="59"/>
  <c r="KT5" i="47"/>
  <c r="NB5" i="58"/>
  <c r="F5" i="58"/>
  <c r="HW5" i="65"/>
  <c r="HR5" i="43"/>
  <c r="EP5" i="42"/>
  <c r="MW5" i="59"/>
  <c r="LI5" i="57"/>
  <c r="HR5" i="46"/>
  <c r="KT5" i="44"/>
  <c r="MW5" i="71"/>
  <c r="BN5" i="64"/>
  <c r="BN5" i="41"/>
  <c r="HC5" i="61"/>
  <c r="AT5" i="84"/>
  <c r="HH5" i="64"/>
  <c r="CR5" i="61"/>
  <c r="FT5" i="67"/>
  <c r="JP5" i="60"/>
  <c r="EP5" i="40"/>
  <c r="IG5" i="75"/>
  <c r="LI5" i="61"/>
  <c r="LX5" i="63"/>
  <c r="DG5" i="65"/>
  <c r="NQ5" i="65"/>
  <c r="EP5" i="55"/>
  <c r="NB5" i="64"/>
  <c r="IL5" i="69"/>
  <c r="BX5" i="70"/>
  <c r="BN5" i="69"/>
  <c r="EF5" i="73"/>
  <c r="CR5" i="68"/>
  <c r="IV5" i="80"/>
  <c r="JZ5" i="68"/>
  <c r="LX5" i="67"/>
  <c r="DL5" i="71"/>
  <c r="FO5" i="60"/>
  <c r="HR5" i="41"/>
  <c r="BD5" i="82"/>
  <c r="CH5" i="26"/>
  <c r="KT5" i="40"/>
  <c r="NV5" i="50"/>
  <c r="P5" i="67"/>
  <c r="JU5" i="66"/>
  <c r="HR5" i="40"/>
  <c r="MC5" i="74"/>
  <c r="HR5" i="42"/>
  <c r="FJ5" i="76"/>
  <c r="CR5" i="78"/>
  <c r="JK5" i="70"/>
  <c r="FJ5" i="77"/>
  <c r="NV5" i="45"/>
  <c r="EP5" i="43"/>
  <c r="BN5" i="42"/>
  <c r="BN5" i="43"/>
  <c r="NV5" i="40"/>
  <c r="MW5" i="93"/>
  <c r="NV5" i="39"/>
  <c r="NV5" i="44"/>
  <c r="EP5" i="52"/>
  <c r="IG5" i="57"/>
  <c r="EP5" i="47"/>
  <c r="NV5" i="43"/>
  <c r="KT5" i="42"/>
  <c r="HR5" i="45"/>
  <c r="HR5" i="44"/>
  <c r="NV5" i="46"/>
  <c r="KT5" i="43"/>
  <c r="BN5" i="49"/>
  <c r="NV5" i="41"/>
  <c r="KT5" i="46"/>
  <c r="BN5" i="48"/>
  <c r="HR5" i="49"/>
  <c r="BN5" i="51"/>
  <c r="EP5" i="50"/>
  <c r="NV5" i="42"/>
  <c r="BN5" i="45"/>
  <c r="KT5" i="45"/>
  <c r="EP5" i="44"/>
  <c r="LN5" i="57"/>
  <c r="KE5" i="68"/>
  <c r="GX5" i="63"/>
  <c r="BN5" i="46"/>
  <c r="DG5" i="61"/>
  <c r="EP5" i="48"/>
  <c r="HR5" i="47"/>
  <c r="HR5" i="48"/>
  <c r="NV5" i="48"/>
  <c r="EP5" i="46"/>
  <c r="NV5" i="49"/>
  <c r="KT5" i="51"/>
  <c r="BN5" i="47"/>
  <c r="KT5" i="50"/>
  <c r="NV5" i="47"/>
  <c r="KT5" i="49"/>
  <c r="BN5" i="50"/>
  <c r="EP5" i="51"/>
  <c r="EP5" i="49"/>
  <c r="KT5" i="48"/>
  <c r="NV5" i="52"/>
  <c r="NV5" i="53"/>
  <c r="KT5" i="52"/>
  <c r="BN5" i="53"/>
  <c r="HR5" i="51"/>
  <c r="BN5" i="52"/>
  <c r="NV5" i="51"/>
  <c r="NV5" i="56"/>
  <c r="BN5" i="59"/>
  <c r="HR5" i="50"/>
  <c r="HR5" i="53"/>
  <c r="EP5" i="53"/>
  <c r="KT5" i="53"/>
  <c r="HR5" i="52"/>
  <c r="BS5" i="57"/>
  <c r="NV5" i="55"/>
  <c r="KT5" i="54"/>
  <c r="JK5" i="59"/>
  <c r="EP5" i="56"/>
  <c r="NG5" i="58"/>
  <c r="BN5" i="55"/>
  <c r="OA5" i="55"/>
  <c r="CR5" i="58"/>
  <c r="KT5" i="55"/>
  <c r="IV5" i="65"/>
  <c r="HR5" i="54"/>
  <c r="BN5" i="54"/>
  <c r="GI5" i="58"/>
  <c r="KT5" i="56"/>
  <c r="NB5" i="59"/>
  <c r="EP5" i="54"/>
  <c r="BN5" i="56"/>
  <c r="NV5" i="54"/>
  <c r="NV5" i="65"/>
  <c r="HR5" i="55"/>
  <c r="HW5" i="55"/>
  <c r="BS5" i="44"/>
  <c r="BS5" i="47"/>
  <c r="NL5" i="58"/>
  <c r="BS5" i="64"/>
  <c r="KY5" i="52"/>
  <c r="FJ5" i="59"/>
  <c r="EU5" i="51"/>
  <c r="JU5" i="58"/>
  <c r="OA5" i="49"/>
  <c r="EZ5" i="57"/>
  <c r="HR5" i="56"/>
  <c r="AO5" i="67"/>
  <c r="KY5" i="62"/>
  <c r="AO5" i="74"/>
  <c r="HH5" i="61"/>
  <c r="GS5" i="62"/>
  <c r="BI5" i="60"/>
  <c r="BD5" i="63"/>
  <c r="CC5" i="70"/>
  <c r="JA5" i="29"/>
  <c r="JU5" i="60"/>
  <c r="JZ5" i="66"/>
  <c r="BS5" i="69"/>
  <c r="NQ5" i="60"/>
  <c r="OA5" i="44"/>
  <c r="NG5" i="64"/>
  <c r="BI5" i="62"/>
  <c r="MW5" i="67"/>
  <c r="JP5" i="70"/>
  <c r="CW5" i="94"/>
  <c r="EF5" i="66"/>
  <c r="MM5" i="63"/>
  <c r="MH5" i="74"/>
  <c r="LX5" i="61"/>
  <c r="BN5" i="60"/>
  <c r="IG5" i="72"/>
  <c r="NB5" i="71"/>
  <c r="IL5" i="75"/>
  <c r="BS5" i="45"/>
  <c r="JU5" i="69"/>
  <c r="GS5" i="67"/>
  <c r="HM5" i="64"/>
  <c r="DQ5" i="65"/>
  <c r="EK5" i="73"/>
  <c r="EU5" i="48"/>
  <c r="DQ5" i="71"/>
  <c r="DQ5" i="68"/>
  <c r="KY5" i="47"/>
  <c r="IL5" i="76"/>
  <c r="JK5" i="80"/>
  <c r="OA5" i="46"/>
  <c r="KY5" i="44"/>
  <c r="CC5" i="82"/>
  <c r="MW5" i="63"/>
  <c r="BS5" i="59"/>
  <c r="EU5" i="45"/>
  <c r="DV5" i="65"/>
  <c r="FY5" i="79"/>
  <c r="NG5" i="71"/>
  <c r="HW5" i="46"/>
  <c r="KT5" i="86"/>
  <c r="CW5" i="78"/>
  <c r="EU5" i="44"/>
  <c r="KY5" i="46"/>
  <c r="AY5" i="84"/>
  <c r="HW5" i="47"/>
  <c r="FT5" i="77"/>
  <c r="EU5" i="47"/>
  <c r="KY5" i="48"/>
  <c r="EU5" i="46"/>
  <c r="HW5" i="44"/>
  <c r="HW5" i="45"/>
  <c r="KY5" i="45"/>
  <c r="HW5" i="48"/>
  <c r="OA5" i="47"/>
  <c r="HW5" i="49"/>
  <c r="BS5" i="48"/>
  <c r="BS5" i="51"/>
  <c r="OA5" i="51"/>
  <c r="HC5" i="50"/>
  <c r="OA5" i="45"/>
  <c r="NB5" i="67"/>
  <c r="BS5" i="46"/>
  <c r="EU5" i="49"/>
  <c r="HM5" i="61"/>
  <c r="EU5" i="52"/>
  <c r="HW5" i="51"/>
  <c r="KY5" i="49"/>
  <c r="HW5" i="52"/>
  <c r="KY5" i="50"/>
  <c r="HW5" i="50"/>
  <c r="IG5" i="55"/>
  <c r="OA5" i="50"/>
  <c r="BS5" i="49"/>
  <c r="OA5" i="48"/>
  <c r="BS5" i="52"/>
  <c r="JZ5" i="58"/>
  <c r="HW5" i="54"/>
  <c r="KY5" i="51"/>
  <c r="EK5" i="25"/>
  <c r="BS5" i="50"/>
  <c r="OA5" i="52"/>
  <c r="OA5" i="54"/>
  <c r="EU5" i="50"/>
  <c r="KY5" i="54"/>
  <c r="KY5" i="53"/>
  <c r="KY5" i="55"/>
  <c r="BI5" i="63"/>
  <c r="BS5" i="54"/>
  <c r="BS5" i="53"/>
  <c r="EU5" i="54"/>
  <c r="OA5" i="53"/>
  <c r="IL5" i="57"/>
  <c r="EZ5" i="47"/>
  <c r="FY5" i="77"/>
  <c r="HW5" i="56"/>
  <c r="EU5" i="53"/>
  <c r="BN5" i="62"/>
  <c r="OF5" i="39"/>
  <c r="OF5" i="41"/>
  <c r="JZ5" i="60"/>
  <c r="HW5" i="53"/>
  <c r="BS5" i="56"/>
  <c r="BX5" i="57"/>
  <c r="KY5" i="56"/>
  <c r="EU5" i="56"/>
  <c r="GN5" i="58"/>
  <c r="DG5" i="78"/>
  <c r="OA5" i="56"/>
  <c r="BS5" i="55"/>
  <c r="P5" i="58"/>
  <c r="EU5" i="55"/>
  <c r="EZ5" i="55"/>
  <c r="EZ5" i="50"/>
  <c r="IB5" i="39"/>
  <c r="LS5" i="57"/>
  <c r="FO5" i="59"/>
  <c r="DL5" i="61"/>
  <c r="HC5" i="63"/>
  <c r="JP5" i="59"/>
  <c r="FT5" i="60"/>
  <c r="BX5" i="84"/>
  <c r="NL5" i="64"/>
  <c r="CW5" i="58"/>
  <c r="JK5" i="65"/>
  <c r="LI5" i="62"/>
  <c r="EK5" i="66"/>
  <c r="NG5" i="59"/>
  <c r="GX5" i="62"/>
  <c r="CR5" i="64"/>
  <c r="IL5" i="72"/>
  <c r="HR5" i="64"/>
  <c r="LN5" i="75"/>
  <c r="OA5" i="65"/>
  <c r="NV5" i="60"/>
  <c r="IB5" i="51"/>
  <c r="MM5" i="61"/>
  <c r="DV5" i="71"/>
  <c r="GX5" i="67"/>
  <c r="MM5" i="74"/>
  <c r="DV5" i="68"/>
  <c r="LD5" i="48"/>
  <c r="BX5" i="69"/>
  <c r="KT5" i="69"/>
  <c r="CH5" i="70"/>
  <c r="JF5" i="29"/>
  <c r="HC5" i="62"/>
  <c r="IV5" i="76"/>
  <c r="AT5" i="67"/>
  <c r="OF5" i="44"/>
  <c r="KE5" i="66"/>
  <c r="EU5" i="73"/>
  <c r="AY5" i="74"/>
  <c r="OF5" i="49"/>
  <c r="GI5" i="79"/>
  <c r="KJ5" i="68"/>
  <c r="BX5" i="55"/>
  <c r="LX5" i="70"/>
  <c r="DB5" i="94"/>
  <c r="DG5" i="82"/>
  <c r="LX5" i="86"/>
  <c r="LD5" i="38"/>
  <c r="LD5" i="46"/>
  <c r="OF5" i="38"/>
  <c r="OF5" i="40"/>
  <c r="EZ5" i="39"/>
  <c r="BX5" i="39"/>
  <c r="IB5" i="38"/>
  <c r="LD5" i="47"/>
  <c r="BX5" i="40"/>
  <c r="LD5" i="39"/>
  <c r="KE5" i="80"/>
  <c r="BX5" i="42"/>
  <c r="EZ5" i="46"/>
  <c r="MW5" i="61"/>
  <c r="EZ5" i="42"/>
  <c r="NB5" i="63"/>
  <c r="LD5" i="40"/>
  <c r="LD5" i="41"/>
  <c r="IB5" i="45"/>
  <c r="BX5" i="44"/>
  <c r="IB5" i="42"/>
  <c r="BX5" i="41"/>
  <c r="EZ5" i="40"/>
  <c r="EZ5" i="41"/>
  <c r="P5" i="19"/>
  <c r="LD5" i="42"/>
  <c r="IB5" i="43"/>
  <c r="BX5" i="43"/>
  <c r="IB5" i="40"/>
  <c r="OF5" i="42"/>
  <c r="IB5" i="50"/>
  <c r="OF5" i="43"/>
  <c r="HH5" i="50"/>
  <c r="OF5" i="45"/>
  <c r="IB5" i="41"/>
  <c r="LD5" i="44"/>
  <c r="IB5" i="48"/>
  <c r="IB5" i="44"/>
  <c r="EZ5" i="49"/>
  <c r="BX5" i="46"/>
  <c r="EZ5" i="43"/>
  <c r="LD5" i="50"/>
  <c r="EZ5" i="45"/>
  <c r="BX5" i="54"/>
  <c r="LD5" i="45"/>
  <c r="LD5" i="52"/>
  <c r="EZ5" i="48"/>
  <c r="LD5" i="53"/>
  <c r="LN5" i="56"/>
  <c r="LD5" i="43"/>
  <c r="DQ5" i="61"/>
  <c r="EZ5" i="44"/>
  <c r="BX5" i="45"/>
  <c r="OF5" i="48"/>
  <c r="BX5" i="56"/>
  <c r="LD5" i="49"/>
  <c r="KE5" i="60"/>
  <c r="IB5" i="46"/>
  <c r="IB5" i="47"/>
  <c r="OF5" i="46"/>
  <c r="BX5" i="47"/>
  <c r="BX5" i="49"/>
  <c r="OF5" i="47"/>
  <c r="IB5" i="49"/>
  <c r="IB5" i="55"/>
  <c r="BX5" i="50"/>
  <c r="EP5" i="25"/>
  <c r="LD5" i="51"/>
  <c r="BX5" i="48"/>
  <c r="EZ5" i="51"/>
  <c r="LD5" i="54"/>
  <c r="OF5" i="52"/>
  <c r="BX5" i="52"/>
  <c r="IB5" i="52"/>
  <c r="BX5" i="53"/>
  <c r="AE5" i="66"/>
  <c r="BX5" i="51"/>
  <c r="IB5" i="54"/>
  <c r="Z5" i="75"/>
  <c r="EZ5" i="52"/>
  <c r="LN5" i="51"/>
  <c r="LD5" i="55"/>
  <c r="OF5" i="51"/>
  <c r="NL5" i="59"/>
  <c r="OF5" i="54"/>
  <c r="OF5" i="53"/>
  <c r="EZ5" i="54"/>
  <c r="DG5" i="64"/>
  <c r="EZ5" i="53"/>
  <c r="IB5" i="56"/>
  <c r="EZ5" i="56"/>
  <c r="CC5" i="57"/>
  <c r="OF5" i="56"/>
  <c r="FT5" i="59"/>
  <c r="IB5" i="53"/>
  <c r="LD5" i="56"/>
  <c r="IQ5" i="57"/>
  <c r="LX5" i="57"/>
  <c r="HH5" i="63"/>
  <c r="BN5" i="63"/>
  <c r="CC5" i="59"/>
  <c r="JU5" i="65"/>
  <c r="JU5" i="59"/>
  <c r="OF5" i="55"/>
  <c r="NQ5" i="58"/>
  <c r="OA5" i="60"/>
  <c r="GS5" i="58"/>
  <c r="U5" i="58"/>
  <c r="KE5" i="58"/>
  <c r="DG5" i="58"/>
  <c r="HR5" i="61"/>
  <c r="GI5" i="60"/>
  <c r="BS5" i="60"/>
  <c r="BS5" i="62"/>
  <c r="EA5" i="71"/>
  <c r="LX5" i="62"/>
  <c r="KY5" i="69"/>
  <c r="EA5" i="65"/>
  <c r="P5" i="66"/>
  <c r="NQ5" i="64"/>
  <c r="HC5" i="67"/>
  <c r="HW5" i="64"/>
  <c r="GN5" i="78"/>
  <c r="EP5" i="66"/>
  <c r="EA5" i="68"/>
  <c r="KJ5" i="66"/>
  <c r="MC5" i="70"/>
  <c r="AY5" i="67"/>
  <c r="NG5" i="67"/>
  <c r="LX5" i="75"/>
  <c r="JA5" i="76"/>
  <c r="HW5" i="84"/>
  <c r="KO5" i="68"/>
  <c r="JU5" i="79"/>
  <c r="EZ5" i="73"/>
  <c r="IV5" i="72"/>
  <c r="NL5" i="71"/>
  <c r="IL5" i="53"/>
  <c r="GD5" i="77"/>
  <c r="CR5" i="70"/>
  <c r="DG5" i="69"/>
  <c r="HR5" i="82"/>
  <c r="BD5" i="74"/>
  <c r="NV5" i="80"/>
  <c r="HH5" i="87"/>
  <c r="LD5" i="69"/>
  <c r="NL5" i="67"/>
  <c r="DQ5" i="96"/>
  <c r="GI5" i="71"/>
  <c r="NV5" i="64"/>
  <c r="HM5" i="87"/>
  <c r="EU5" i="66"/>
  <c r="EF5" i="65"/>
  <c r="KT5" i="68"/>
  <c r="JZ5" i="65"/>
  <c r="CH5" i="53"/>
  <c r="DQ5" i="64"/>
  <c r="CW5" i="70"/>
  <c r="IL5" i="48"/>
  <c r="NQ5" i="71"/>
  <c r="KO5" i="66"/>
  <c r="F5" i="48"/>
  <c r="EF5" i="68"/>
  <c r="OA5" i="80"/>
  <c r="EP5" i="96"/>
  <c r="EF5" i="69"/>
  <c r="HH5" i="67"/>
  <c r="IV5" i="64"/>
  <c r="F5" i="49"/>
  <c r="GI5" i="77"/>
  <c r="IB5" i="82"/>
  <c r="MH5" i="70"/>
  <c r="IL5" i="47"/>
  <c r="JF5" i="76"/>
  <c r="FE5" i="73"/>
  <c r="GS5" i="60"/>
  <c r="BD5" i="67"/>
  <c r="MC5" i="75"/>
  <c r="AE5" i="75"/>
  <c r="KE5" i="79"/>
  <c r="JA5" i="72"/>
  <c r="F5" i="54"/>
  <c r="KE5" i="59"/>
  <c r="LN5" i="49"/>
  <c r="FJ5" i="48"/>
  <c r="MC5" i="68"/>
  <c r="IQ5" i="84"/>
  <c r="JK5" i="64"/>
  <c r="IL5" i="51"/>
  <c r="EA5" i="74"/>
  <c r="F5" i="52"/>
  <c r="CH5" i="55"/>
  <c r="IL5" i="49"/>
  <c r="F5" i="53"/>
  <c r="GS5" i="78"/>
  <c r="HM5" i="62"/>
  <c r="CH5" i="49"/>
  <c r="IL5" i="52"/>
  <c r="FJ5" i="54"/>
  <c r="IL5" i="50"/>
  <c r="F5" i="50"/>
  <c r="FJ5" i="50"/>
  <c r="MM5" i="57"/>
  <c r="LN5" i="47"/>
  <c r="HR5" i="63"/>
  <c r="CH5" i="48"/>
  <c r="NG5" i="61"/>
  <c r="LN5" i="48"/>
  <c r="CH5" i="51"/>
  <c r="OA5" i="58"/>
  <c r="DB5" i="70"/>
  <c r="FJ5" i="51"/>
  <c r="JK5" i="84"/>
  <c r="KO5" i="58"/>
  <c r="CH5" i="50"/>
  <c r="FJ5" i="49"/>
  <c r="KJ5" i="79"/>
  <c r="F5" i="57"/>
  <c r="CH5" i="52"/>
  <c r="LN5" i="50"/>
  <c r="LN5" i="53"/>
  <c r="KE5" i="65"/>
  <c r="CM5" i="44"/>
  <c r="IQ5" i="43"/>
  <c r="IL5" i="55"/>
  <c r="OF5" i="50"/>
  <c r="F5" i="51"/>
  <c r="EF5" i="74"/>
  <c r="LN5" i="52"/>
  <c r="F5" i="55"/>
  <c r="FJ5" i="56"/>
  <c r="IL5" i="54"/>
  <c r="FJ5" i="52"/>
  <c r="IL5" i="56"/>
  <c r="FJ5" i="53"/>
  <c r="HC5" i="58"/>
  <c r="LN5" i="55"/>
  <c r="F5" i="56"/>
  <c r="FT5" i="57"/>
  <c r="CH5" i="54"/>
  <c r="LN5" i="54"/>
  <c r="A5" i="81"/>
  <c r="CM5" i="57"/>
  <c r="CM5" i="60"/>
  <c r="FJ5" i="55"/>
  <c r="JA5" i="57"/>
  <c r="AJ5" i="58"/>
  <c r="DQ5" i="58"/>
  <c r="P5" i="61"/>
  <c r="CH5" i="56"/>
  <c r="GN5" i="59"/>
  <c r="IG5" i="61"/>
  <c r="EA5" i="61"/>
  <c r="CM5" i="59"/>
  <c r="NV5" i="59"/>
  <c r="HM5" i="67"/>
  <c r="KO5" i="60"/>
  <c r="KT5" i="66"/>
  <c r="LI5" i="69"/>
  <c r="AY5" i="42"/>
  <c r="CR5" i="63"/>
  <c r="NL5" i="63"/>
  <c r="DQ5" i="100"/>
  <c r="LS5" i="44"/>
  <c r="DV5" i="64"/>
  <c r="NQ5" i="67"/>
  <c r="AO5" i="66"/>
  <c r="EK5" i="65"/>
  <c r="CM5" i="50"/>
  <c r="MW5" i="62"/>
  <c r="K5" i="47"/>
  <c r="AJ5" i="75"/>
  <c r="CR5" i="62"/>
  <c r="FT5" i="66"/>
  <c r="FO5" i="47"/>
  <c r="IQ5" i="48"/>
  <c r="EK5" i="68"/>
  <c r="OA5" i="64"/>
  <c r="EK5" i="69"/>
  <c r="LS5" i="46"/>
  <c r="FO5" i="50"/>
  <c r="OA5" i="71"/>
  <c r="GN5" i="71"/>
  <c r="GX5" i="78"/>
  <c r="JK5" i="82"/>
  <c r="MH5" i="75"/>
  <c r="LS5" i="50"/>
  <c r="K5" i="45"/>
  <c r="BI5" i="67"/>
  <c r="CM5" i="46"/>
  <c r="K5" i="44"/>
  <c r="IB5" i="73"/>
  <c r="JK5" i="77"/>
  <c r="FO5" i="46"/>
  <c r="MM5" i="70"/>
  <c r="LS5" i="49"/>
  <c r="DL5" i="65"/>
  <c r="KO5" i="27"/>
  <c r="K5" i="48"/>
  <c r="JF5" i="72"/>
  <c r="IG5" i="87"/>
  <c r="LS5" i="43"/>
  <c r="JK5" i="76"/>
  <c r="FO5" i="44"/>
  <c r="CM5" i="51"/>
  <c r="CM5" i="45"/>
  <c r="GS5" i="59"/>
  <c r="FO5" i="45"/>
  <c r="LS5" i="52"/>
  <c r="FO5" i="49"/>
  <c r="LS5" i="45"/>
  <c r="K5" i="46"/>
  <c r="IQ5" i="44"/>
  <c r="LS5" i="55"/>
  <c r="CR5" i="57"/>
  <c r="NB5" i="68"/>
  <c r="DG5" i="63"/>
  <c r="KJ5" i="59"/>
  <c r="LS5" i="48"/>
  <c r="IQ5" i="47"/>
  <c r="IQ5" i="45"/>
  <c r="LS5" i="47"/>
  <c r="CM5" i="47"/>
  <c r="GS5" i="71"/>
  <c r="IQ5" i="50"/>
  <c r="DL5" i="63"/>
  <c r="K5" i="49"/>
  <c r="CM5" i="48"/>
  <c r="FO5" i="48"/>
  <c r="AJ5" i="65"/>
  <c r="FO5" i="51"/>
  <c r="K5" i="50"/>
  <c r="JP5" i="65"/>
  <c r="IQ5" i="46"/>
  <c r="IQ5" i="49"/>
  <c r="K5" i="51"/>
  <c r="K5" i="54"/>
  <c r="CM5" i="52"/>
  <c r="CM5" i="54"/>
  <c r="CM5" i="49"/>
  <c r="CM5" i="53"/>
  <c r="IQ5" i="52"/>
  <c r="FO5" i="52"/>
  <c r="KT5" i="60"/>
  <c r="K5" i="55"/>
  <c r="K5" i="52"/>
  <c r="IQ5" i="51"/>
  <c r="K5" i="53"/>
  <c r="IV5" i="61"/>
  <c r="GX5" i="60"/>
  <c r="HW5" i="63"/>
  <c r="AE5" i="61"/>
  <c r="LI5" i="85"/>
  <c r="LI5" i="87"/>
  <c r="LS5" i="51"/>
  <c r="MC5" i="76"/>
  <c r="FO5" i="54"/>
  <c r="IQ5" i="53"/>
  <c r="FO5" i="53"/>
  <c r="CR5" i="59"/>
  <c r="IQ5" i="54"/>
  <c r="K5" i="56"/>
  <c r="LS5" i="54"/>
  <c r="MC5" i="72"/>
  <c r="OA5" i="59"/>
  <c r="LS5" i="56"/>
  <c r="CM5" i="56"/>
  <c r="FO5" i="56"/>
  <c r="LS5" i="53"/>
  <c r="NQ5" i="63"/>
  <c r="IQ5" i="55"/>
  <c r="EF5" i="61"/>
  <c r="EA5" i="64"/>
  <c r="AO5" i="58"/>
  <c r="CM5" i="55"/>
  <c r="GN5" i="62"/>
  <c r="NL5" i="61"/>
  <c r="IQ5" i="56"/>
  <c r="KY5" i="66"/>
  <c r="FO5" i="55"/>
  <c r="CR5" i="60"/>
  <c r="DG5" i="62"/>
  <c r="HH5" i="58"/>
  <c r="HR5" i="67"/>
  <c r="HR5" i="62"/>
  <c r="GD5" i="71"/>
  <c r="FY5" i="57"/>
  <c r="MR5" i="57"/>
  <c r="K5" i="57"/>
  <c r="DV5" i="58"/>
  <c r="JK5" i="57"/>
  <c r="EP5" i="65"/>
  <c r="MM5" i="75"/>
  <c r="MR5" i="65"/>
  <c r="A5" i="59"/>
  <c r="NB5" i="62"/>
  <c r="DL5" i="82"/>
  <c r="P5" i="65"/>
  <c r="P5" i="81"/>
  <c r="KO5" i="79"/>
  <c r="KT5" i="58"/>
  <c r="BN5" i="67"/>
  <c r="JU5" i="64"/>
  <c r="HM5" i="78"/>
  <c r="KJ5" i="65"/>
  <c r="AT5" i="66"/>
  <c r="KE5" i="82"/>
  <c r="KY5" i="84"/>
  <c r="GI5" i="66"/>
  <c r="MR5" i="61"/>
  <c r="EA5" i="100"/>
  <c r="EP5" i="69"/>
  <c r="FE5" i="70"/>
  <c r="MR5" i="70"/>
  <c r="AY5" i="72"/>
  <c r="EP5" i="68"/>
  <c r="NV5" i="67"/>
  <c r="AO5" i="75"/>
  <c r="AJ5" i="66"/>
  <c r="MM5" i="76"/>
  <c r="MR5" i="62"/>
  <c r="JP5" i="77"/>
  <c r="Z5" i="74"/>
  <c r="GN5" i="66"/>
  <c r="LN5" i="69"/>
  <c r="BD5" i="42"/>
  <c r="EK5" i="74"/>
  <c r="KT5" i="79"/>
  <c r="IG5" i="73"/>
  <c r="GN5" i="63"/>
  <c r="AJ5" i="62"/>
  <c r="GN5" i="68"/>
  <c r="AJ5" i="63"/>
  <c r="HW5" i="72"/>
  <c r="DL5" i="62"/>
  <c r="JP5" i="62"/>
  <c r="AJ5" i="67"/>
  <c r="DL5" i="64"/>
  <c r="MR5" i="63"/>
  <c r="JP5" i="64"/>
  <c r="EZ5" i="70"/>
  <c r="JP5" i="63"/>
  <c r="AE5" i="82"/>
  <c r="AJ5" i="64"/>
  <c r="LN5" i="72"/>
  <c r="GN5" i="64"/>
  <c r="MR5" i="64"/>
  <c r="HH5" i="69"/>
  <c r="MR5" i="67"/>
  <c r="P5" i="75"/>
  <c r="AJ5" i="68"/>
  <c r="JP5" i="67"/>
  <c r="GN5" i="65"/>
  <c r="MR5" i="66"/>
  <c r="JP5" i="68"/>
  <c r="DL5" i="68"/>
  <c r="JP5" i="66"/>
  <c r="GN5" i="67"/>
  <c r="DL5" i="67"/>
  <c r="NV5" i="69"/>
  <c r="AT5" i="69"/>
  <c r="DL5" i="66"/>
  <c r="MW5" i="68"/>
  <c r="GI5" i="92"/>
  <c r="BS5" i="70"/>
  <c r="Z5" i="73"/>
  <c r="IG5" i="70"/>
  <c r="EF5" i="72"/>
  <c r="P5" i="71"/>
  <c r="LN5" i="70"/>
  <c r="KO5" i="69"/>
  <c r="EA5" i="69"/>
  <c r="CW5" i="71"/>
  <c r="MR5" i="71"/>
  <c r="P5" i="78"/>
  <c r="HC5" i="82"/>
  <c r="U5" i="76"/>
  <c r="JK5" i="71"/>
  <c r="AO5" i="77"/>
  <c r="AE5" i="73"/>
  <c r="HH5" i="74"/>
  <c r="GD5" i="99"/>
  <c r="DQ5" i="80"/>
  <c r="JF5" i="77"/>
  <c r="LD5" i="74"/>
  <c r="HM5" i="73"/>
  <c r="LI5" i="73"/>
  <c r="MW5" i="95"/>
  <c r="EZ5" i="58"/>
  <c r="DQ5" i="73"/>
  <c r="DG5" i="75"/>
  <c r="AT5" i="72"/>
  <c r="BX5" i="78"/>
  <c r="HC5" i="75"/>
  <c r="KE5" i="78"/>
  <c r="EF5" i="79"/>
  <c r="JA5" i="77"/>
  <c r="LD5" i="75"/>
  <c r="U5" i="74"/>
  <c r="NL5" i="80"/>
  <c r="MR5" i="91"/>
  <c r="GD5" i="78"/>
  <c r="EZ5" i="77"/>
  <c r="AT5" i="85"/>
  <c r="DQ5" i="76"/>
  <c r="IB5" i="80"/>
  <c r="MW5" i="77"/>
  <c r="GI5" i="78"/>
  <c r="IB5" i="76"/>
  <c r="NV5" i="79"/>
  <c r="JK5" i="79"/>
  <c r="JA5" i="81"/>
  <c r="P5" i="84"/>
  <c r="U5" i="79"/>
  <c r="IB5" i="72"/>
  <c r="EF5" i="87"/>
  <c r="CM5" i="90"/>
  <c r="HH5" i="86"/>
  <c r="HM5" i="84"/>
  <c r="LX5" i="72"/>
  <c r="DB5" i="81"/>
  <c r="EA5" i="76"/>
  <c r="GI5" i="83"/>
  <c r="OA5" i="79"/>
  <c r="A5" i="83"/>
  <c r="Z5" i="76"/>
  <c r="LI5" i="74"/>
  <c r="LN5" i="73"/>
  <c r="IV5" i="88"/>
  <c r="EK5" i="72"/>
  <c r="HM5" i="74"/>
  <c r="MC5" i="93"/>
  <c r="DQ5" i="74"/>
  <c r="OF5" i="58"/>
  <c r="U5" i="75"/>
  <c r="DL5" i="75"/>
  <c r="Z5" i="79"/>
  <c r="HM5" i="82"/>
  <c r="LI5" i="75"/>
  <c r="NG5" i="77"/>
  <c r="FE5" i="77"/>
  <c r="BI5" i="85"/>
  <c r="EA5" i="73"/>
  <c r="HW5" i="73"/>
  <c r="IG5" i="76"/>
  <c r="JP5" i="88"/>
  <c r="U5" i="81"/>
  <c r="AY5" i="77"/>
  <c r="GX5" i="83"/>
  <c r="HH5" i="75"/>
  <c r="MH5" i="76"/>
  <c r="DB5" i="82"/>
  <c r="AY5" i="79"/>
  <c r="JP5" i="79"/>
  <c r="CC5" i="78"/>
  <c r="BI5" i="84"/>
  <c r="MH5" i="93"/>
  <c r="P5" i="86"/>
  <c r="GN5" i="87"/>
  <c r="DG5" i="81"/>
  <c r="DV5" i="80"/>
  <c r="MR5" i="86"/>
  <c r="EK5" i="79"/>
  <c r="AJ5" i="80"/>
  <c r="AO5" i="82"/>
  <c r="LS5" i="85"/>
  <c r="NQ5" i="80"/>
  <c r="JF5" i="83"/>
  <c r="JF5" i="81"/>
  <c r="KO5" i="78"/>
  <c r="GD5" i="79"/>
  <c r="BD5" i="92"/>
  <c r="K5" i="89"/>
  <c r="DB5" i="78"/>
  <c r="HR5" i="84"/>
  <c r="AJ5" i="84"/>
  <c r="A5" i="96"/>
  <c r="CH5" i="72"/>
  <c r="HW5" i="86"/>
  <c r="IG5" i="80"/>
  <c r="HR5" i="92"/>
  <c r="DB5" i="89"/>
  <c r="DB5" i="90"/>
  <c r="EZ5" i="81"/>
  <c r="GD5" i="96"/>
  <c r="BD5" i="101"/>
  <c r="HH5" i="78"/>
  <c r="DQ5" i="94"/>
  <c r="KJ5" i="87"/>
  <c r="BN5" i="83"/>
  <c r="K5" i="81"/>
  <c r="LX5" i="90"/>
  <c r="HH5" i="99"/>
  <c r="JP5" i="80"/>
  <c r="LD5" i="81"/>
  <c r="KJ5" i="84"/>
  <c r="LX5" i="78"/>
  <c r="BD5" i="71"/>
  <c r="EU5" i="80"/>
  <c r="EU5" i="68"/>
  <c r="KY5" i="86"/>
  <c r="CW5" i="101"/>
  <c r="IG5" i="94"/>
  <c r="KY5" i="68"/>
  <c r="MR5" i="75"/>
  <c r="JZ5" i="82"/>
  <c r="EA5" i="85"/>
  <c r="JU5" i="70"/>
  <c r="MC5" i="90"/>
  <c r="Z5" i="70"/>
  <c r="KT5" i="71"/>
  <c r="KY5" i="79"/>
  <c r="LS5" i="81"/>
  <c r="NL5" i="96"/>
  <c r="GN5" i="70"/>
  <c r="JU5" i="83"/>
  <c r="FT5" i="76"/>
  <c r="FY5" i="72"/>
  <c r="JF5" i="73"/>
  <c r="NG5" i="70"/>
  <c r="BX5" i="83"/>
  <c r="AY5" i="71"/>
  <c r="HW5" i="68"/>
  <c r="OF5" i="68"/>
  <c r="HM5" i="71"/>
  <c r="FJ5" i="69"/>
  <c r="CC5" i="69"/>
  <c r="IV5" i="69"/>
  <c r="EF5" i="71"/>
  <c r="MR5" i="74"/>
  <c r="MC5" i="69"/>
  <c r="U5" i="102"/>
  <c r="DG5" i="70"/>
  <c r="NQ5" i="96"/>
  <c r="NB5" i="70"/>
  <c r="OF5" i="71"/>
  <c r="JK5" i="72"/>
  <c r="EZ5" i="75"/>
  <c r="KY5" i="77"/>
  <c r="BD5" i="75"/>
  <c r="NG5" i="72"/>
  <c r="BD5" i="86"/>
  <c r="CR5" i="77"/>
  <c r="LI5" i="84"/>
  <c r="JA5" i="74"/>
  <c r="FE5" i="74"/>
  <c r="IB5" i="64"/>
  <c r="FJ5" i="73"/>
  <c r="MW5" i="73"/>
  <c r="IV5" i="75"/>
  <c r="IB5" i="61"/>
  <c r="DL5" i="78"/>
  <c r="BS5" i="73"/>
  <c r="OA5" i="76"/>
  <c r="BI5" i="74"/>
  <c r="GN5" i="77"/>
  <c r="MM5" i="78"/>
  <c r="IB5" i="67"/>
  <c r="BS5" i="76"/>
  <c r="GN5" i="79"/>
  <c r="IB5" i="78"/>
  <c r="JP5" i="76"/>
  <c r="DG5" i="84"/>
  <c r="LD5" i="65"/>
  <c r="JF5" i="94"/>
  <c r="FE5" i="80"/>
  <c r="AT5" i="80"/>
  <c r="IB5" i="59"/>
  <c r="KJ5" i="82"/>
  <c r="LI5" i="92"/>
  <c r="BX5" i="60"/>
  <c r="A5" i="67"/>
  <c r="MR5" i="90"/>
  <c r="OF5" i="62"/>
  <c r="LD5" i="58"/>
  <c r="BS5" i="79"/>
  <c r="KJ5" i="80"/>
  <c r="LS5" i="87"/>
  <c r="FT5" i="81"/>
  <c r="FE5" i="85"/>
  <c r="AY5" i="102"/>
  <c r="LD5" i="64"/>
  <c r="IB5" i="58"/>
  <c r="LN5" i="92"/>
  <c r="MH5" i="69"/>
  <c r="BX5" i="62"/>
  <c r="BX5" i="63"/>
  <c r="EZ5" i="63"/>
  <c r="EZ5" i="59"/>
  <c r="OF5" i="63"/>
  <c r="DG5" i="89"/>
  <c r="AO5" i="86"/>
  <c r="OF5" i="59"/>
  <c r="CR5" i="72"/>
  <c r="IB5" i="68"/>
  <c r="GS5" i="70"/>
  <c r="IB5" i="60"/>
  <c r="IB5" i="63"/>
  <c r="OF5" i="61"/>
  <c r="A5" i="69"/>
  <c r="OF5" i="96"/>
  <c r="EZ5" i="60"/>
  <c r="BX5" i="64"/>
  <c r="EZ5" i="64"/>
  <c r="IB5" i="62"/>
  <c r="DQ5" i="78"/>
  <c r="BX5" i="59"/>
  <c r="FO5" i="80"/>
  <c r="BX5" i="79"/>
  <c r="LD5" i="61"/>
  <c r="EZ5" i="62"/>
  <c r="LD5" i="62"/>
  <c r="LD5" i="59"/>
  <c r="GX5" i="56"/>
  <c r="OF5" i="64"/>
  <c r="BX5" i="61"/>
  <c r="EZ5" i="61"/>
  <c r="LD5" i="60"/>
  <c r="KY5" i="71"/>
  <c r="OF5" i="60"/>
  <c r="BX5" i="66"/>
  <c r="EZ5" i="65"/>
  <c r="EZ5" i="67"/>
  <c r="LD5" i="68"/>
  <c r="GD5" i="72"/>
  <c r="FT5" i="69"/>
  <c r="OF5" i="65"/>
  <c r="OF5" i="67"/>
  <c r="EZ5" i="66"/>
  <c r="GS5" i="77"/>
  <c r="LD5" i="63"/>
  <c r="MR5" i="87"/>
  <c r="IB5" i="66"/>
  <c r="LI5" i="66"/>
  <c r="OF5" i="66"/>
  <c r="BX5" i="65"/>
  <c r="LD5" i="66"/>
  <c r="DL5" i="70"/>
  <c r="JU5" i="76"/>
  <c r="IB5" i="65"/>
  <c r="JA5" i="69"/>
  <c r="EZ5" i="68"/>
  <c r="BX5" i="68"/>
  <c r="FY5" i="76"/>
  <c r="NL5" i="72"/>
  <c r="AE5" i="70"/>
  <c r="CH5" i="69"/>
  <c r="LD5" i="67"/>
  <c r="BX5" i="67"/>
  <c r="HR5" i="71"/>
  <c r="A5" i="72"/>
  <c r="FJ5" i="74"/>
  <c r="EK5" i="71"/>
  <c r="CC5" i="68"/>
  <c r="LS5" i="84"/>
  <c r="KO5" i="82"/>
  <c r="BS5" i="74"/>
  <c r="MR5" i="78"/>
  <c r="A5" i="63"/>
  <c r="KJ5" i="83"/>
  <c r="NG5" i="73"/>
  <c r="BX5" i="76"/>
  <c r="BX5" i="73"/>
  <c r="JF5" i="74"/>
  <c r="JZ5" i="70"/>
  <c r="JP5" i="72"/>
  <c r="JA5" i="75"/>
  <c r="FY5" i="73"/>
  <c r="A5" i="66"/>
  <c r="MW5" i="74"/>
  <c r="BI5" i="75"/>
  <c r="AY5" i="91"/>
  <c r="AY5" i="80"/>
  <c r="FT5" i="73"/>
  <c r="LD5" i="77"/>
  <c r="LI5" i="63"/>
  <c r="OF5" i="76"/>
  <c r="U5" i="78"/>
  <c r="JK5" i="73"/>
  <c r="CC5" i="65"/>
  <c r="FY5" i="103"/>
  <c r="FE5" i="75"/>
  <c r="MW5" i="75"/>
  <c r="GX5" i="79"/>
  <c r="CW5" i="77"/>
  <c r="FY5" i="81"/>
  <c r="LS5" i="79"/>
  <c r="LI5" i="65"/>
  <c r="Z5" i="81"/>
  <c r="A5" i="64"/>
  <c r="IG5" i="78"/>
  <c r="KO5" i="80"/>
  <c r="DV5" i="84"/>
  <c r="FY5" i="69"/>
  <c r="CC5" i="66"/>
  <c r="IQ5" i="78"/>
  <c r="LI5" i="67"/>
  <c r="IG5" i="64"/>
  <c r="NL5" i="73"/>
  <c r="DQ5" i="70"/>
  <c r="A5" i="68"/>
  <c r="GX5" i="70"/>
  <c r="FE5" i="65"/>
  <c r="FE5" i="63"/>
  <c r="NQ5" i="86"/>
  <c r="CC5" i="67"/>
  <c r="LI5" i="77"/>
  <c r="CC5" i="83"/>
  <c r="JU5" i="94"/>
  <c r="EP5" i="71"/>
  <c r="LX5" i="81"/>
  <c r="DQ5" i="82"/>
  <c r="NL5" i="70"/>
  <c r="CC5" i="76"/>
  <c r="LI5" i="64"/>
  <c r="EP5" i="89"/>
  <c r="FE5" i="64"/>
  <c r="GN5" i="85"/>
  <c r="F5" i="69"/>
  <c r="CC5" i="64"/>
  <c r="NG5" i="75"/>
  <c r="JK5" i="74"/>
  <c r="HW5" i="71"/>
  <c r="CC5" i="63"/>
  <c r="MW5" i="78"/>
  <c r="IG5" i="63"/>
  <c r="BS5" i="75"/>
  <c r="IG5" i="65"/>
  <c r="K5" i="87"/>
  <c r="NQ5" i="72"/>
  <c r="CM5" i="63"/>
  <c r="GI5" i="72"/>
  <c r="A5" i="65"/>
  <c r="BI5" i="71"/>
  <c r="JU5" i="72"/>
  <c r="FE5" i="67"/>
  <c r="JF5" i="75"/>
  <c r="AE5" i="78"/>
  <c r="LI5" i="68"/>
  <c r="A5" i="88"/>
  <c r="FE5" i="66"/>
  <c r="LD5" i="71"/>
  <c r="MM5" i="81"/>
  <c r="JF5" i="69"/>
  <c r="KE5" i="70"/>
  <c r="IG5" i="68"/>
  <c r="MM5" i="69"/>
  <c r="FE5" i="68"/>
  <c r="FT5" i="74"/>
  <c r="IG5" i="67"/>
  <c r="AJ5" i="70"/>
  <c r="CR5" i="69"/>
  <c r="CW5" i="72"/>
  <c r="JP5" i="73"/>
  <c r="F5" i="72"/>
  <c r="LN5" i="60"/>
  <c r="KY5" i="82"/>
  <c r="EA5" i="78"/>
  <c r="NG5" i="74"/>
  <c r="CC5" i="73"/>
  <c r="OA5" i="72"/>
  <c r="A5" i="77"/>
  <c r="CM5" i="86"/>
  <c r="F5" i="63"/>
  <c r="KE5" i="76"/>
  <c r="JK5" i="69"/>
  <c r="KT5" i="80"/>
  <c r="FJ5" i="60"/>
  <c r="MR5" i="92"/>
  <c r="GD5" i="76"/>
  <c r="CR5" i="83"/>
  <c r="FJ5" i="75"/>
  <c r="DB5" i="77"/>
  <c r="HH5" i="77"/>
  <c r="AJ5" i="88"/>
  <c r="IL5" i="63"/>
  <c r="BX5" i="74"/>
  <c r="BI5" i="80"/>
  <c r="IL5" i="64"/>
  <c r="CH5" i="64"/>
  <c r="HC5" i="77"/>
  <c r="CM5" i="62"/>
  <c r="Z5" i="78"/>
  <c r="EA5" i="84"/>
  <c r="GD5" i="80"/>
  <c r="LX5" i="79"/>
  <c r="CH5" i="65"/>
  <c r="OA5" i="94"/>
  <c r="LN5" i="66"/>
  <c r="GI5" i="81"/>
  <c r="LI5" i="83"/>
  <c r="FJ5" i="61"/>
  <c r="LN5" i="63"/>
  <c r="CR5" i="79"/>
  <c r="HH5" i="85"/>
  <c r="IL5" i="67"/>
  <c r="LX5" i="84"/>
  <c r="HC5" i="79"/>
  <c r="AT5" i="81"/>
  <c r="CH5" i="68"/>
  <c r="F5" i="62"/>
  <c r="F5" i="61"/>
  <c r="LN5" i="62"/>
  <c r="GN5" i="97"/>
  <c r="EA5" i="82"/>
  <c r="LN5" i="67"/>
  <c r="CH5" i="60"/>
  <c r="F5" i="64"/>
  <c r="GS5" i="103"/>
  <c r="IL5" i="60"/>
  <c r="BD5" i="91"/>
  <c r="IL5" i="62"/>
  <c r="IB5" i="89"/>
  <c r="LN5" i="61"/>
  <c r="CH5" i="62"/>
  <c r="FJ5" i="62"/>
  <c r="CH5" i="61"/>
  <c r="F5" i="65"/>
  <c r="FJ5" i="65"/>
  <c r="IL5" i="61"/>
  <c r="LN5" i="64"/>
  <c r="CH5" i="66"/>
  <c r="BN5" i="71"/>
  <c r="F5" i="67"/>
  <c r="F5" i="66"/>
  <c r="FJ5" i="63"/>
  <c r="P5" i="69"/>
  <c r="IL5" i="65"/>
  <c r="CH5" i="63"/>
  <c r="P5" i="72"/>
  <c r="FJ5" i="64"/>
  <c r="FJ5" i="66"/>
  <c r="DV5" i="70"/>
  <c r="CH5" i="67"/>
  <c r="LN5" i="65"/>
  <c r="F5" i="68"/>
  <c r="IL5" i="68"/>
  <c r="LN5" i="68"/>
  <c r="NQ5" i="70"/>
  <c r="FJ5" i="68"/>
  <c r="MR5" i="69"/>
  <c r="FJ5" i="67"/>
  <c r="CH5" i="76"/>
  <c r="HC5" i="70"/>
  <c r="IB5" i="71"/>
  <c r="KJ5" i="70"/>
  <c r="GD5" i="69"/>
  <c r="CW5" i="69"/>
  <c r="JU5" i="73"/>
  <c r="DB5" i="72"/>
  <c r="NQ5" i="73"/>
  <c r="AO5" i="70"/>
  <c r="LI5" i="71"/>
  <c r="KE5" i="72"/>
  <c r="CC5" i="74"/>
  <c r="GD5" i="73"/>
  <c r="EU5" i="71"/>
  <c r="LN5" i="77"/>
  <c r="NL5" i="74"/>
  <c r="F5" i="77"/>
  <c r="AO5" i="105"/>
  <c r="DG5" i="77"/>
  <c r="CW5" i="79"/>
  <c r="JK5" i="75"/>
  <c r="GI5" i="76"/>
  <c r="FT5" i="75"/>
  <c r="DL5" i="83"/>
  <c r="KJ5" i="76"/>
  <c r="CH5" i="73"/>
  <c r="GN5" i="72"/>
  <c r="GI5" i="80"/>
  <c r="CC5" i="91"/>
  <c r="NL5" i="75"/>
  <c r="IV5" i="78"/>
  <c r="BX5" i="75"/>
  <c r="EF5" i="78"/>
  <c r="JP5" i="74"/>
  <c r="FY5" i="74"/>
  <c r="HH5" i="79"/>
  <c r="GN5" i="81"/>
  <c r="CM5" i="61"/>
  <c r="MM5" i="79"/>
  <c r="LD5" i="82"/>
  <c r="DB5" i="69"/>
  <c r="EF5" i="82"/>
  <c r="NB5" i="78"/>
  <c r="IQ5" i="61"/>
  <c r="MR5" i="81"/>
  <c r="LD5" i="80"/>
  <c r="EF5" i="84"/>
  <c r="BN5" i="80"/>
  <c r="K5" i="61"/>
  <c r="DL5" i="86"/>
  <c r="K5" i="67"/>
  <c r="FO5" i="62"/>
  <c r="IG5" i="89"/>
  <c r="MM5" i="84"/>
  <c r="BI5" i="81"/>
  <c r="IQ5" i="63"/>
  <c r="CM5" i="67"/>
  <c r="IQ5" i="67"/>
  <c r="K5" i="95"/>
  <c r="K5" i="65"/>
  <c r="FO5" i="68"/>
  <c r="HM5" i="85"/>
  <c r="P5" i="87"/>
  <c r="DL5" i="77"/>
  <c r="IG5" i="71"/>
  <c r="HR5" i="85"/>
  <c r="FO5" i="63"/>
  <c r="FO5" i="61"/>
  <c r="K5" i="62"/>
  <c r="IQ5" i="62"/>
  <c r="LS5" i="61"/>
  <c r="BS5" i="93"/>
  <c r="IQ5" i="97"/>
  <c r="IQ5" i="64"/>
  <c r="IQ5" i="66"/>
  <c r="LS5" i="63"/>
  <c r="IQ5" i="65"/>
  <c r="K5" i="64"/>
  <c r="FO5" i="65"/>
  <c r="AT5" i="70"/>
  <c r="CM5" i="64"/>
  <c r="K5" i="63"/>
  <c r="FO5" i="67"/>
  <c r="LS5" i="62"/>
  <c r="LX5" i="77"/>
  <c r="K5" i="66"/>
  <c r="CM5" i="65"/>
  <c r="JP5" i="75"/>
  <c r="LS5" i="66"/>
  <c r="LN5" i="71"/>
  <c r="CC5" i="75"/>
  <c r="CM5" i="66"/>
  <c r="U5" i="65"/>
  <c r="DL5" i="72"/>
  <c r="IQ5" i="68"/>
  <c r="FO5" i="64"/>
  <c r="IV5" i="89"/>
  <c r="EZ5" i="83"/>
  <c r="EK5" i="83"/>
  <c r="P5" i="98"/>
  <c r="OF5" i="72"/>
  <c r="LS5" i="64"/>
  <c r="Z5" i="72"/>
  <c r="CW5" i="76"/>
  <c r="JP5" i="69"/>
  <c r="K5" i="68"/>
  <c r="LS5" i="65"/>
  <c r="LS5" i="67"/>
  <c r="FO5" i="66"/>
  <c r="LX5" i="68"/>
  <c r="U5" i="69"/>
  <c r="GI5" i="69"/>
  <c r="NV5" i="70"/>
  <c r="GS5" i="72"/>
  <c r="CM5" i="68"/>
  <c r="MW5" i="69"/>
  <c r="EZ5" i="71"/>
  <c r="DB5" i="79"/>
  <c r="EA5" i="70"/>
  <c r="CR5" i="73"/>
  <c r="KO5" i="70"/>
  <c r="IG5" i="66"/>
  <c r="DQ5" i="86"/>
  <c r="DG5" i="72"/>
  <c r="BS5" i="71"/>
  <c r="HH5" i="70"/>
  <c r="KJ5" i="72"/>
  <c r="CH5" i="74"/>
  <c r="OA5" i="73"/>
  <c r="MM5" i="83"/>
  <c r="OA5" i="75"/>
  <c r="GI5" i="73"/>
  <c r="NG5" i="57"/>
  <c r="U5" i="72"/>
  <c r="HM5" i="79"/>
  <c r="AY5" i="95"/>
  <c r="U5" i="59"/>
  <c r="FY5" i="75"/>
  <c r="AJ5" i="78"/>
  <c r="EU5" i="78"/>
  <c r="KY5" i="76"/>
  <c r="KE5" i="73"/>
  <c r="GD5" i="74"/>
  <c r="NB5" i="81"/>
  <c r="HW5" i="77"/>
  <c r="JU5" i="74"/>
  <c r="NQ5" i="74"/>
  <c r="A5" i="73"/>
  <c r="AO5" i="88"/>
  <c r="P5" i="77"/>
  <c r="JF5" i="78"/>
  <c r="AJ5" i="87"/>
  <c r="GN5" i="76"/>
  <c r="CR5" i="76"/>
  <c r="MR5" i="79"/>
  <c r="NG5" i="78"/>
  <c r="GX5" i="80"/>
  <c r="LS5" i="82"/>
  <c r="BN5" i="81"/>
  <c r="NB5" i="84"/>
  <c r="KE5" i="74"/>
  <c r="HH5" i="81"/>
  <c r="BS5" i="80"/>
  <c r="GX5" i="72"/>
  <c r="OA5" i="70"/>
  <c r="LI5" i="80"/>
  <c r="EF5" i="86"/>
  <c r="CW5" i="73"/>
  <c r="LD5" i="76"/>
  <c r="GD5" i="91"/>
  <c r="BX5" i="93"/>
  <c r="EP5" i="82"/>
  <c r="HM5" i="70"/>
  <c r="EK5" i="84"/>
  <c r="CR5" i="74"/>
  <c r="BX5" i="71"/>
  <c r="BX5" i="80"/>
  <c r="MW5" i="79"/>
  <c r="KT5" i="70"/>
  <c r="IL5" i="66"/>
  <c r="GI5" i="74"/>
  <c r="MH5" i="58"/>
  <c r="GS5" i="76"/>
  <c r="BD5" i="105"/>
  <c r="KO5" i="72"/>
  <c r="JU5" i="75"/>
  <c r="EF5" i="70"/>
  <c r="OA5" i="74"/>
  <c r="CH5" i="75"/>
  <c r="GD5" i="75"/>
  <c r="FE5" i="71"/>
  <c r="GN5" i="73"/>
  <c r="NL5" i="57"/>
  <c r="AO5" i="78"/>
  <c r="IL5" i="71"/>
  <c r="JA5" i="65"/>
  <c r="FY5" i="68"/>
  <c r="KJ5" i="73"/>
  <c r="OF5" i="75"/>
  <c r="OF5" i="73"/>
  <c r="LS5" i="80"/>
  <c r="HC5" i="80"/>
  <c r="U5" i="77"/>
  <c r="U5" i="61"/>
  <c r="HW5" i="81"/>
  <c r="MC5" i="77"/>
  <c r="NV5" i="78"/>
  <c r="EZ5" i="78"/>
  <c r="JK5" i="78"/>
  <c r="CW5" i="59"/>
  <c r="DQ5" i="77"/>
  <c r="OA5" i="81"/>
  <c r="IB5" i="77"/>
  <c r="FT5" i="82"/>
  <c r="BS5" i="81"/>
  <c r="FE5" i="95"/>
  <c r="JA5" i="59"/>
  <c r="HR5" i="79"/>
  <c r="DG5" i="79"/>
  <c r="FY5" i="62"/>
  <c r="FY5" i="59"/>
  <c r="MR5" i="83"/>
  <c r="CW5" i="60"/>
  <c r="EU5" i="84"/>
  <c r="IG5" i="85"/>
  <c r="OF5" i="74"/>
  <c r="CC5" i="87"/>
  <c r="MW5" i="82"/>
  <c r="CW5" i="67"/>
  <c r="OF5" i="70"/>
  <c r="MM5" i="89"/>
  <c r="MC5" i="59"/>
  <c r="AY5" i="87"/>
  <c r="MC5" i="60"/>
  <c r="GI5" i="91"/>
  <c r="HC5" i="72"/>
  <c r="U5" i="60"/>
  <c r="OA5" i="84"/>
  <c r="BD5" i="88"/>
  <c r="JA5" i="60"/>
  <c r="AJ5" i="98"/>
  <c r="CW5" i="61"/>
  <c r="CM5" i="93"/>
  <c r="FY5" i="66"/>
  <c r="JA5" i="61"/>
  <c r="DV5" i="107"/>
  <c r="JA5" i="67"/>
  <c r="FY5" i="61"/>
  <c r="JA5" i="62"/>
  <c r="CW5" i="62"/>
  <c r="U5" i="62"/>
  <c r="MC5" i="62"/>
  <c r="MC5" i="61"/>
  <c r="JA5" i="64"/>
  <c r="CW5" i="64"/>
  <c r="AE5" i="69"/>
  <c r="JA5" i="66"/>
  <c r="CW5" i="63"/>
  <c r="FY5" i="60"/>
  <c r="FE5" i="78"/>
  <c r="MC5" i="64"/>
  <c r="FY5" i="63"/>
  <c r="FY5" i="65"/>
  <c r="U5" i="67"/>
  <c r="MC5" i="65"/>
  <c r="MC5" i="63"/>
  <c r="JA5" i="63"/>
  <c r="U5" i="63"/>
  <c r="U5" i="64"/>
  <c r="U5" i="66"/>
  <c r="Z5" i="60"/>
  <c r="NG5" i="69"/>
  <c r="FY5" i="67"/>
  <c r="DL5" i="69"/>
  <c r="CC5" i="71"/>
  <c r="U5" i="68"/>
  <c r="CW5" i="65"/>
  <c r="EK5" i="70"/>
  <c r="MC5" i="67"/>
  <c r="BD5" i="70"/>
  <c r="JA5" i="68"/>
  <c r="GS5" i="73"/>
  <c r="CW5" i="68"/>
  <c r="MC5" i="66"/>
  <c r="IV5" i="71"/>
  <c r="JZ5" i="69"/>
  <c r="MH5" i="68"/>
  <c r="CW5" i="66"/>
  <c r="HR5" i="70"/>
  <c r="KY5" i="70"/>
  <c r="DQ5" i="72"/>
  <c r="GS5" i="69"/>
  <c r="FJ5" i="71"/>
  <c r="MC5" i="71"/>
  <c r="AE5" i="72"/>
  <c r="GI5" i="75"/>
  <c r="DB5" i="73"/>
  <c r="F5" i="73"/>
  <c r="A5" i="74"/>
  <c r="LI5" i="76"/>
  <c r="FE5" i="83"/>
  <c r="NB5" i="79"/>
  <c r="CW5" i="74"/>
  <c r="DB5" i="76"/>
  <c r="GN5" i="74"/>
  <c r="BX5" i="81"/>
  <c r="KY5" i="72"/>
  <c r="KE5" i="75"/>
  <c r="KO5" i="73"/>
  <c r="KJ5" i="74"/>
  <c r="MW5" i="89"/>
  <c r="A5" i="76"/>
  <c r="IG5" i="77"/>
  <c r="GN5" i="82"/>
  <c r="GD5" i="58"/>
  <c r="DQ5" i="79"/>
  <c r="IG5" i="79"/>
  <c r="MH5" i="77"/>
  <c r="EA5" i="77"/>
  <c r="CR5" i="75"/>
  <c r="Z5" i="77"/>
  <c r="LX5" i="80"/>
  <c r="HC5" i="76"/>
  <c r="DV5" i="72"/>
  <c r="Z5" i="64"/>
  <c r="DB5" i="62"/>
  <c r="CC5" i="80"/>
  <c r="HH5" i="80"/>
  <c r="FO5" i="84"/>
  <c r="A5" i="71"/>
  <c r="GD5" i="93"/>
  <c r="HC5" i="91"/>
  <c r="K5" i="82"/>
  <c r="MW5" i="83"/>
  <c r="AY5" i="78"/>
  <c r="JF5" i="57"/>
  <c r="NL5" i="82"/>
  <c r="OA5" i="78"/>
  <c r="EU5" i="86"/>
  <c r="JP5" i="78"/>
  <c r="Z5" i="59"/>
  <c r="Z5" i="85"/>
  <c r="IB5" i="81"/>
  <c r="FY5" i="95"/>
  <c r="JF5" i="85"/>
  <c r="Z5" i="58"/>
  <c r="GD5" i="57"/>
  <c r="DB5" i="57"/>
  <c r="EK5" i="88"/>
  <c r="Z5" i="57"/>
  <c r="DB5" i="61"/>
  <c r="GS5" i="74"/>
  <c r="DB5" i="58"/>
  <c r="MH5" i="60"/>
  <c r="JF5" i="61"/>
  <c r="DB5" i="59"/>
  <c r="GD5" i="59"/>
  <c r="FE5" i="107"/>
  <c r="HH5" i="73"/>
  <c r="JP5" i="40"/>
  <c r="IL5" i="77"/>
  <c r="GD5" i="65"/>
  <c r="MH5" i="57"/>
  <c r="JF5" i="59"/>
  <c r="JF5" i="58"/>
  <c r="DB5" i="98"/>
  <c r="LD5" i="70"/>
  <c r="JF5" i="62"/>
  <c r="Z5" i="61"/>
  <c r="GD5" i="60"/>
  <c r="Z5" i="65"/>
  <c r="DB5" i="60"/>
  <c r="JU5" i="78"/>
  <c r="MH5" i="59"/>
  <c r="GD5" i="62"/>
  <c r="MH5" i="64"/>
  <c r="GD5" i="63"/>
  <c r="MH5" i="61"/>
  <c r="GD5" i="61"/>
  <c r="JF5" i="60"/>
  <c r="Z5" i="62"/>
  <c r="JF5" i="64"/>
  <c r="MH5" i="63"/>
  <c r="Z5" i="63"/>
  <c r="DB5" i="67"/>
  <c r="Z5" i="66"/>
  <c r="LX5" i="71"/>
  <c r="GD5" i="64"/>
  <c r="P5" i="25"/>
  <c r="JF5" i="67"/>
  <c r="GN5" i="75"/>
  <c r="MH5" i="67"/>
  <c r="DB5" i="63"/>
  <c r="MH5" i="62"/>
  <c r="HC5" i="73"/>
  <c r="JK5" i="40"/>
  <c r="JA5" i="71"/>
  <c r="KY5" i="73"/>
  <c r="BD5" i="78"/>
  <c r="JF5" i="63"/>
  <c r="DB5" i="64"/>
  <c r="GD5" i="66"/>
  <c r="NL5" i="69"/>
  <c r="DB5" i="66"/>
  <c r="GD5" i="67"/>
  <c r="MH5" i="66"/>
  <c r="FO5" i="78"/>
  <c r="Z5" i="67"/>
  <c r="KJ5" i="75"/>
  <c r="DB5" i="65"/>
  <c r="JF5" i="68"/>
  <c r="JF5" i="66"/>
  <c r="JF5" i="65"/>
  <c r="MH5" i="65"/>
  <c r="GS5" i="82"/>
  <c r="DB5" i="68"/>
  <c r="BI5" i="70"/>
  <c r="GD5" i="68"/>
  <c r="MM5" i="68"/>
  <c r="GX5" i="69"/>
  <c r="AJ5" i="69"/>
  <c r="DQ5" i="69"/>
  <c r="HH5" i="72"/>
  <c r="MH5" i="71"/>
  <c r="HM5" i="80"/>
  <c r="FT5" i="71"/>
  <c r="KE5" i="69"/>
  <c r="Z5" i="68"/>
  <c r="F5" i="74"/>
  <c r="AJ5" i="72"/>
  <c r="F5" i="76"/>
  <c r="A5" i="75"/>
  <c r="DG5" i="73"/>
  <c r="LD5" i="72"/>
  <c r="CH5" i="71"/>
  <c r="EP5" i="70"/>
  <c r="DG5" i="76"/>
  <c r="DB5" i="74"/>
  <c r="P5" i="73"/>
  <c r="CW5" i="75"/>
  <c r="AJ5" i="85"/>
  <c r="OF5" i="89"/>
  <c r="LN5" i="76"/>
  <c r="EF5" i="77"/>
  <c r="JZ5" i="78"/>
  <c r="U5" i="73"/>
  <c r="JK5" i="67"/>
  <c r="IG5" i="81"/>
  <c r="GI5" i="86"/>
  <c r="IQ5" i="79"/>
  <c r="KO5" i="74"/>
  <c r="MM5" i="77"/>
  <c r="HH5" i="76"/>
  <c r="NQ5" i="82"/>
  <c r="NQ5" i="79"/>
  <c r="CR5" i="81"/>
  <c r="KJ5" i="98"/>
  <c r="BN5" i="91"/>
  <c r="CW5" i="80"/>
  <c r="Z5" i="87"/>
  <c r="P5" i="82"/>
  <c r="AE5" i="77"/>
  <c r="DL5" i="87"/>
  <c r="NL5" i="79"/>
  <c r="MC5" i="80"/>
  <c r="KT5" i="91"/>
  <c r="JK5" i="68"/>
  <c r="MR5" i="68"/>
  <c r="BN5" i="70"/>
  <c r="K5" i="79"/>
  <c r="AE5" i="85"/>
  <c r="EP5" i="88"/>
  <c r="LI5" i="72"/>
  <c r="FO5" i="71"/>
  <c r="GS5" i="84"/>
  <c r="DV5" i="79"/>
  <c r="KE5" i="85"/>
  <c r="CM5" i="81"/>
  <c r="KJ5" i="69"/>
  <c r="HC5" i="86"/>
  <c r="GS5" i="110"/>
  <c r="GI5" i="93"/>
  <c r="GI5" i="68"/>
  <c r="DB5" i="75"/>
  <c r="NG5" i="83"/>
  <c r="FY5" i="71"/>
  <c r="FO5" i="83"/>
  <c r="DG5" i="67"/>
  <c r="AE5" i="68"/>
  <c r="AE5" i="67"/>
  <c r="MM5" i="67"/>
  <c r="MW5" i="80"/>
  <c r="HC5" i="69"/>
  <c r="F5" i="71"/>
  <c r="AJ5" i="77"/>
  <c r="EU5" i="70"/>
  <c r="CM5" i="69"/>
  <c r="LD5" i="73"/>
  <c r="HM5" i="95"/>
  <c r="BS5" i="78"/>
  <c r="NQ5" i="69"/>
  <c r="DV5" i="69"/>
  <c r="P5" i="74"/>
  <c r="GI5" i="67"/>
  <c r="AO5" i="69"/>
  <c r="KY5" i="75"/>
  <c r="DG5" i="68"/>
  <c r="CR5" i="71"/>
  <c r="HM5" i="72"/>
  <c r="LI5" i="70"/>
  <c r="DL5" i="73"/>
  <c r="GS5" i="75"/>
  <c r="EA5" i="72"/>
  <c r="JF5" i="71"/>
  <c r="F5" i="75"/>
  <c r="MM5" i="71"/>
  <c r="P5" i="76"/>
  <c r="AO5" i="72"/>
  <c r="LX5" i="76"/>
  <c r="LS5" i="86"/>
  <c r="HC5" i="74"/>
  <c r="HW5" i="76"/>
  <c r="CH5" i="90"/>
  <c r="EU5" i="77"/>
  <c r="DG5" i="94"/>
  <c r="MC5" i="98"/>
  <c r="KY5" i="74"/>
  <c r="FY5" i="78"/>
  <c r="KY5" i="85"/>
  <c r="HW5" i="80"/>
  <c r="P5" i="79"/>
  <c r="EA5" i="79"/>
  <c r="JF5" i="79"/>
  <c r="IV5" i="77"/>
  <c r="LX5" i="95"/>
  <c r="MR5" i="77"/>
  <c r="DL5" i="76"/>
  <c r="DV5" i="86"/>
  <c r="DB5" i="80"/>
  <c r="JA5" i="110"/>
  <c r="NV5" i="82"/>
  <c r="FT5" i="83"/>
  <c r="NV5" i="83"/>
  <c r="GX5" i="82"/>
  <c r="Z5" i="82"/>
  <c r="IQ5" i="81"/>
  <c r="HH5" i="84"/>
  <c r="DQ5" i="87"/>
  <c r="EU5" i="88"/>
  <c r="FO5" i="88"/>
  <c r="AT5" i="88"/>
  <c r="KY5" i="91"/>
  <c r="IL5" i="89"/>
  <c r="HM5" i="86"/>
  <c r="LX5" i="98"/>
  <c r="LI5" i="86"/>
  <c r="OF5" i="88"/>
  <c r="AE5" i="86"/>
  <c r="CR5" i="90"/>
  <c r="EF5" i="89"/>
  <c r="LS5" i="91"/>
  <c r="IG5" i="93"/>
  <c r="BN5" i="92"/>
  <c r="HR5" i="87"/>
  <c r="GN5" i="91"/>
  <c r="HM5" i="90"/>
  <c r="MH5" i="90"/>
  <c r="NG5" i="89"/>
  <c r="JU5" i="88"/>
  <c r="LX5" i="87"/>
  <c r="DV5" i="87"/>
  <c r="HH5" i="92"/>
  <c r="MM5" i="93"/>
  <c r="LS5" i="92"/>
  <c r="HC5" i="95"/>
  <c r="K5" i="69"/>
  <c r="GS5" i="97"/>
  <c r="BN5" i="98"/>
  <c r="NV5" i="96"/>
  <c r="AJ5" i="95"/>
  <c r="HH5" i="93"/>
  <c r="EF5" i="100"/>
  <c r="OA5" i="95"/>
  <c r="CC5" i="93"/>
  <c r="CM5" i="71"/>
  <c r="IQ5" i="99"/>
  <c r="FY5" i="107"/>
  <c r="LS5" i="68"/>
  <c r="IQ5" i="71"/>
  <c r="K5" i="71"/>
  <c r="K5" i="75"/>
  <c r="BS5" i="105"/>
  <c r="IQ5" i="70"/>
  <c r="LS5" i="77"/>
  <c r="BD5" i="80"/>
  <c r="CC5" i="102"/>
  <c r="HR5" i="80"/>
  <c r="MH5" i="84"/>
  <c r="IQ5" i="74"/>
  <c r="CM5" i="83"/>
  <c r="BD5" i="84"/>
  <c r="AE5" i="87"/>
  <c r="GX5" i="103"/>
  <c r="JU5" i="110"/>
  <c r="FO5" i="69"/>
  <c r="FO5" i="76"/>
  <c r="FT5" i="96"/>
  <c r="CM5" i="70"/>
  <c r="DQ5" i="101"/>
  <c r="LS5" i="71"/>
  <c r="FY5" i="64"/>
  <c r="K5" i="25"/>
  <c r="FO5" i="70"/>
  <c r="LS5" i="69"/>
  <c r="K5" i="70"/>
  <c r="IQ5" i="69"/>
  <c r="LS5" i="70"/>
  <c r="IQ5" i="72"/>
  <c r="FO5" i="74"/>
  <c r="K5" i="73"/>
  <c r="LS5" i="75"/>
  <c r="LS5" i="72"/>
  <c r="LS5" i="73"/>
  <c r="CM5" i="73"/>
  <c r="IQ5" i="73"/>
  <c r="CM5" i="72"/>
  <c r="LS5" i="74"/>
  <c r="K5" i="72"/>
  <c r="CM5" i="77"/>
  <c r="IQ5" i="76"/>
  <c r="FO5" i="75"/>
  <c r="IQ5" i="75"/>
  <c r="CM5" i="75"/>
  <c r="JZ5" i="79"/>
  <c r="FO5" i="73"/>
  <c r="K5" i="74"/>
  <c r="IQ5" i="77"/>
  <c r="JA5" i="78"/>
  <c r="NG5" i="79"/>
  <c r="CM5" i="76"/>
  <c r="AJ5" i="86"/>
  <c r="DL5" i="79"/>
  <c r="EA5" i="101"/>
  <c r="CM5" i="74"/>
  <c r="MM5" i="90"/>
  <c r="FT5" i="78"/>
  <c r="FO5" i="77"/>
  <c r="K5" i="77"/>
  <c r="AT5" i="86"/>
  <c r="HH5" i="82"/>
  <c r="GS5" i="79"/>
  <c r="K5" i="78"/>
  <c r="K5" i="76"/>
  <c r="CM5" i="78"/>
  <c r="FT5" i="88"/>
  <c r="AE5" i="79"/>
  <c r="LS5" i="76"/>
  <c r="KY5" i="80"/>
  <c r="AJ5" i="82"/>
  <c r="MH5" i="81"/>
  <c r="OF5" i="80"/>
  <c r="GD5" i="83"/>
  <c r="KT5" i="82"/>
  <c r="IV5" i="81"/>
  <c r="JP5" i="83"/>
  <c r="AY5" i="88"/>
  <c r="CC5" i="81"/>
  <c r="MH5" i="78"/>
  <c r="NB5" i="83"/>
  <c r="EK5" i="89"/>
  <c r="EK5" i="80"/>
  <c r="EP5" i="84"/>
  <c r="EF5" i="85"/>
  <c r="IG5" i="84"/>
  <c r="DV5" i="82"/>
  <c r="FO5" i="81"/>
  <c r="OA5" i="89"/>
  <c r="AO5" i="85"/>
  <c r="LX5" i="85"/>
  <c r="EA5" i="86"/>
  <c r="HH5" i="95"/>
  <c r="HR5" i="86"/>
  <c r="KE5" i="88"/>
  <c r="EA5" i="87"/>
  <c r="A5" i="89"/>
  <c r="MM5" i="87"/>
  <c r="HM5" i="93"/>
  <c r="HM5" i="92"/>
  <c r="HR5" i="90"/>
  <c r="NL5" i="83"/>
  <c r="LX5" i="91"/>
  <c r="HW5" i="87"/>
  <c r="FE5" i="88"/>
  <c r="GS5" i="91"/>
  <c r="BX5" i="91"/>
  <c r="MH5" i="98"/>
  <c r="CW5" i="90"/>
  <c r="IQ5" i="89"/>
  <c r="EF5" i="101"/>
  <c r="CW5" i="98"/>
  <c r="IQ5" i="90"/>
  <c r="DL5" i="94"/>
  <c r="HH5" i="103"/>
  <c r="CH5" i="93"/>
  <c r="CC5" i="92"/>
  <c r="MR5" i="85"/>
  <c r="NV5" i="98"/>
  <c r="MR5" i="93"/>
  <c r="GN5" i="83"/>
  <c r="BS5" i="92"/>
  <c r="OF5" i="95"/>
  <c r="OA5" i="96"/>
  <c r="BD5" i="85"/>
  <c r="HR5" i="97"/>
  <c r="AO5" i="97"/>
  <c r="BN5" i="88"/>
  <c r="CW5" i="93"/>
  <c r="IV5" i="84"/>
  <c r="AO5" i="95"/>
  <c r="U5" i="89"/>
  <c r="GN5" i="100"/>
  <c r="HW5" i="92"/>
  <c r="GS5" i="107"/>
  <c r="FY5" i="96"/>
  <c r="LX5" i="92"/>
  <c r="CC5" i="105"/>
  <c r="FJ5" i="57"/>
  <c r="EF5" i="102"/>
  <c r="JU5" i="99"/>
  <c r="FO5" i="100"/>
  <c r="MR5" i="98"/>
  <c r="EK5" i="102"/>
  <c r="DB5" i="83"/>
  <c r="AY5" i="85"/>
  <c r="MW5" i="87"/>
  <c r="MW5" i="107"/>
  <c r="JA5" i="111"/>
  <c r="KE5" i="110"/>
  <c r="KO5" i="88"/>
  <c r="DG5" i="90"/>
  <c r="JZ5" i="83"/>
  <c r="EK5" i="86"/>
  <c r="BN5" i="84"/>
  <c r="KE5" i="99"/>
  <c r="EZ5" i="84"/>
  <c r="EP5" i="85"/>
  <c r="HW5" i="105"/>
  <c r="MH5" i="103"/>
  <c r="IQ5" i="87"/>
  <c r="IG5" i="86"/>
  <c r="AO5" i="87"/>
  <c r="MR5" i="84"/>
  <c r="EK5" i="87"/>
  <c r="IQ5" i="85"/>
  <c r="BI5" i="88"/>
  <c r="MM5" i="85"/>
  <c r="A5" i="90"/>
  <c r="EU5" i="89"/>
  <c r="MW5" i="91"/>
  <c r="MW5" i="90"/>
  <c r="CW5" i="91"/>
  <c r="IL5" i="93"/>
  <c r="CR5" i="93"/>
  <c r="MH5" i="86"/>
  <c r="P5" i="97"/>
  <c r="HH5" i="91"/>
  <c r="DG5" i="83"/>
  <c r="BD5" i="95"/>
  <c r="F5" i="96"/>
  <c r="KJ5" i="99"/>
  <c r="MW5" i="92"/>
  <c r="EP5" i="102"/>
  <c r="JF5" i="89"/>
  <c r="EA5" i="94"/>
  <c r="HR5" i="95"/>
  <c r="NV5" i="93"/>
  <c r="DL5" i="98"/>
  <c r="IV5" i="85"/>
  <c r="JU5" i="97"/>
  <c r="AY5" i="82"/>
  <c r="GN5" i="96"/>
  <c r="MW5" i="103"/>
  <c r="JA5" i="105"/>
  <c r="KE5" i="94"/>
  <c r="GD5" i="81"/>
  <c r="LI5" i="82"/>
  <c r="HW5" i="82"/>
  <c r="K5" i="108"/>
  <c r="MW5" i="81"/>
  <c r="JK5" i="81"/>
  <c r="IB5" i="100"/>
  <c r="LN5" i="111"/>
  <c r="EK5" i="82"/>
  <c r="NB5" i="87"/>
  <c r="FE5" i="101"/>
  <c r="FE5" i="84"/>
  <c r="P5" i="83"/>
  <c r="EU5" i="85"/>
  <c r="CW5" i="81"/>
  <c r="F5" i="90"/>
  <c r="GS5" i="83"/>
  <c r="EP5" i="86"/>
  <c r="NG5" i="90"/>
  <c r="MW5" i="84"/>
  <c r="NQ5" i="83"/>
  <c r="KE5" i="83"/>
  <c r="JF5" i="84"/>
  <c r="AY5" i="86"/>
  <c r="EZ5" i="102"/>
  <c r="AT5" i="87"/>
  <c r="MM5" i="86"/>
  <c r="BS5" i="84"/>
  <c r="IV5" i="87"/>
  <c r="KT5" i="88"/>
  <c r="EZ5" i="89"/>
  <c r="DG5" i="91"/>
  <c r="MC5" i="111"/>
  <c r="BI5" i="95"/>
  <c r="GN5" i="88"/>
  <c r="DQ5" i="90"/>
  <c r="IQ5" i="86"/>
  <c r="Z5" i="89"/>
  <c r="P5" i="94"/>
  <c r="EZ5" i="94"/>
  <c r="EF5" i="94"/>
  <c r="HM5" i="91"/>
  <c r="DB5" i="91"/>
  <c r="Z5" i="108"/>
  <c r="JU5" i="108"/>
  <c r="EP5" i="87"/>
  <c r="K5" i="96"/>
  <c r="HW5" i="95"/>
  <c r="CW5" i="92"/>
  <c r="NG5" i="91"/>
  <c r="IV5" i="90"/>
  <c r="IQ5" i="93"/>
  <c r="NV5" i="92"/>
  <c r="JP5" i="89"/>
  <c r="FE5" i="89"/>
  <c r="JK5" i="87"/>
  <c r="EU5" i="87"/>
  <c r="KJ5" i="94"/>
  <c r="IB5" i="92"/>
  <c r="K5" i="94"/>
  <c r="NB5" i="103"/>
  <c r="GS5" i="96"/>
  <c r="KO5" i="94"/>
  <c r="P5" i="99"/>
  <c r="KE5" i="97"/>
  <c r="DQ5" i="98"/>
  <c r="IL5" i="100"/>
  <c r="GX5" i="101"/>
  <c r="JZ5" i="105"/>
  <c r="IG5" i="92"/>
  <c r="NL5" i="91"/>
  <c r="NG5" i="87"/>
  <c r="BS5" i="88"/>
  <c r="K5" i="90"/>
  <c r="BD5" i="89"/>
  <c r="AY5" i="89"/>
  <c r="DB5" i="93"/>
  <c r="KY5" i="88"/>
  <c r="EF5" i="90"/>
  <c r="HR5" i="91"/>
  <c r="JU5" i="102"/>
  <c r="NQ5" i="90"/>
  <c r="GX5" i="88"/>
  <c r="GS5" i="88"/>
  <c r="HW5" i="79"/>
  <c r="DB5" i="92"/>
  <c r="IV5" i="93"/>
  <c r="P5" i="96"/>
  <c r="HW5" i="102"/>
  <c r="LX5" i="99"/>
  <c r="FO5" i="85"/>
  <c r="OA5" i="92"/>
  <c r="JA5" i="90"/>
  <c r="HM5" i="96"/>
  <c r="KJ5" i="97"/>
  <c r="IG5" i="101"/>
  <c r="EA5" i="98"/>
  <c r="NG5" i="103"/>
  <c r="AY5" i="99"/>
  <c r="IQ5" i="100"/>
  <c r="BN5" i="95"/>
  <c r="KO5" i="83"/>
  <c r="IB5" i="95"/>
  <c r="MW5" i="111"/>
  <c r="DQ5" i="83"/>
  <c r="BS5" i="97"/>
  <c r="OA5" i="83"/>
  <c r="HC5" i="83"/>
  <c r="IG5" i="82"/>
  <c r="BI5" i="82"/>
  <c r="NG5" i="81"/>
  <c r="FJ5" i="89"/>
  <c r="NG5" i="84"/>
  <c r="JF5" i="86"/>
  <c r="LX5" i="82"/>
  <c r="JP5" i="84"/>
  <c r="KJ5" i="105"/>
  <c r="AE5" i="83"/>
  <c r="AT5" i="108"/>
  <c r="EU5" i="82"/>
  <c r="OA5" i="90"/>
  <c r="FT5" i="84"/>
  <c r="NB5" i="85"/>
  <c r="CC5" i="84"/>
  <c r="BD5" i="87"/>
  <c r="BI5" i="86"/>
  <c r="BN5" i="85"/>
  <c r="JK5" i="85"/>
  <c r="KT5" i="89"/>
  <c r="FE5" i="86"/>
  <c r="JP5" i="87"/>
  <c r="IL5" i="91"/>
  <c r="MW5" i="86"/>
  <c r="FE5" i="87"/>
  <c r="LD5" i="88"/>
  <c r="NL5" i="87"/>
  <c r="OF5" i="92"/>
  <c r="CC5" i="88"/>
  <c r="EA5" i="93"/>
  <c r="P5" i="90"/>
  <c r="EK5" i="90"/>
  <c r="FY5" i="94"/>
  <c r="IL5" i="92"/>
  <c r="DL5" i="91"/>
  <c r="JA5" i="93"/>
  <c r="MW5" i="99"/>
  <c r="JZ5" i="75"/>
  <c r="EA5" i="92"/>
  <c r="Z5" i="96"/>
  <c r="IL5" i="95"/>
  <c r="JF5" i="90"/>
  <c r="BX5" i="95"/>
  <c r="KT5" i="94"/>
  <c r="NQ5" i="91"/>
  <c r="BD5" i="99"/>
  <c r="KT5" i="97"/>
  <c r="BX5" i="97"/>
  <c r="IL5" i="96"/>
  <c r="JZ5" i="81"/>
  <c r="U5" i="94"/>
  <c r="MH5" i="80"/>
  <c r="IL5" i="101"/>
  <c r="LD5" i="79"/>
  <c r="EZ5" i="98"/>
  <c r="BI5" i="79"/>
  <c r="IV5" i="100"/>
  <c r="BD5" i="106"/>
  <c r="GS5" i="81"/>
  <c r="CM5" i="104"/>
  <c r="NQ5" i="87"/>
  <c r="AE5" i="81"/>
  <c r="EP5" i="79"/>
  <c r="JA5" i="80"/>
  <c r="BN5" i="86"/>
  <c r="BX5" i="113"/>
  <c r="BN5" i="82"/>
  <c r="IQ5" i="82"/>
  <c r="DL5" i="81"/>
  <c r="CM5" i="80"/>
  <c r="DV5" i="83"/>
  <c r="NL5" i="78"/>
  <c r="JP5" i="85"/>
  <c r="A5" i="80"/>
  <c r="FT5" i="80"/>
  <c r="CW5" i="113"/>
  <c r="GD5" i="84"/>
  <c r="OF5" i="83"/>
  <c r="BI5" i="87"/>
  <c r="NB5" i="86"/>
  <c r="EZ5" i="82"/>
  <c r="KT5" i="83"/>
  <c r="HH5" i="83"/>
  <c r="NL5" i="81"/>
  <c r="NG5" i="85"/>
  <c r="JK5" i="86"/>
  <c r="AJ5" i="83"/>
  <c r="FO5" i="87"/>
  <c r="EF5" i="92"/>
  <c r="IQ5" i="92"/>
  <c r="MH5" i="82"/>
  <c r="FT5" i="85"/>
  <c r="CM5" i="84"/>
  <c r="JF5" i="95"/>
  <c r="JU5" i="84"/>
  <c r="BD5" i="96"/>
  <c r="BS5" i="85"/>
  <c r="NV5" i="91"/>
  <c r="BI5" i="89"/>
  <c r="JK5" i="90"/>
  <c r="NL5" i="84"/>
  <c r="KY5" i="95"/>
  <c r="OA5" i="97"/>
  <c r="FY5" i="98"/>
  <c r="LN5" i="88"/>
  <c r="FO5" i="89"/>
  <c r="EF5" i="95"/>
  <c r="DQ5" i="91"/>
  <c r="CM5" i="88"/>
  <c r="U5" i="90"/>
  <c r="NQ5" i="77"/>
  <c r="JU5" i="87"/>
  <c r="LI5" i="79"/>
  <c r="CR5" i="95"/>
  <c r="EZ5" i="92"/>
  <c r="A5" i="93"/>
  <c r="KY5" i="89"/>
  <c r="HC5" i="88"/>
  <c r="JF5" i="93"/>
  <c r="GI5" i="84"/>
  <c r="KJ5" i="85"/>
  <c r="KY5" i="97"/>
  <c r="DV5" i="75"/>
  <c r="BN5" i="99"/>
  <c r="JZ5" i="72"/>
  <c r="BN5" i="79"/>
  <c r="OF5" i="90"/>
  <c r="IQ5" i="91"/>
  <c r="FE5" i="90"/>
  <c r="LN5" i="94"/>
  <c r="JP5" i="96"/>
  <c r="AT5" i="74"/>
  <c r="EA5" i="83"/>
  <c r="NB5" i="75"/>
  <c r="Z5" i="94"/>
  <c r="GI5" i="94"/>
  <c r="NB5" i="74"/>
  <c r="EF5" i="93"/>
  <c r="F5" i="100"/>
  <c r="JA5" i="101"/>
  <c r="AT5" i="73"/>
  <c r="GD5" i="94"/>
  <c r="CM5" i="106"/>
  <c r="CH5" i="97"/>
  <c r="JZ5" i="102"/>
  <c r="KE5" i="108"/>
  <c r="NB5" i="72"/>
  <c r="GX5" i="74"/>
  <c r="CW5" i="104"/>
  <c r="DV5" i="73"/>
  <c r="AT5" i="78"/>
  <c r="GX5" i="77"/>
  <c r="NB5" i="73"/>
  <c r="JZ5" i="100"/>
  <c r="JZ5" i="73"/>
  <c r="GX5" i="76"/>
  <c r="GX5" i="75"/>
  <c r="NB5" i="76"/>
  <c r="JZ5" i="74"/>
  <c r="GX5" i="73"/>
  <c r="DV5" i="76"/>
  <c r="JZ5" i="76"/>
  <c r="DV5" i="74"/>
  <c r="JZ5" i="77"/>
  <c r="AT5" i="77"/>
  <c r="AT5" i="76"/>
  <c r="NB5" i="77"/>
  <c r="BX5" i="82"/>
  <c r="AT5" i="75"/>
  <c r="DV5" i="77"/>
  <c r="HC5" i="78"/>
  <c r="DQ5" i="81"/>
  <c r="K5" i="80"/>
  <c r="FY5" i="80"/>
  <c r="DQ5" i="95"/>
  <c r="A5" i="84"/>
  <c r="DV5" i="78"/>
  <c r="MM5" i="94"/>
  <c r="NQ5" i="81"/>
  <c r="BS5" i="82"/>
  <c r="NQ5" i="78"/>
  <c r="KJ5" i="78"/>
  <c r="LD5" i="89"/>
  <c r="JP5" i="86"/>
  <c r="EU5" i="79"/>
  <c r="CR5" i="80"/>
  <c r="MM5" i="80"/>
  <c r="JF5" i="80"/>
  <c r="AJ5" i="81"/>
  <c r="JU5" i="85"/>
  <c r="FE5" i="82"/>
  <c r="GX5" i="81"/>
  <c r="HM5" i="83"/>
  <c r="MM5" i="82"/>
  <c r="IB5" i="79"/>
  <c r="FJ5" i="90"/>
  <c r="NQ5" i="84"/>
  <c r="KY5" i="83"/>
  <c r="BN5" i="87"/>
  <c r="KE5" i="81"/>
  <c r="JZ5" i="84"/>
  <c r="IV5" i="82"/>
  <c r="AO5" i="83"/>
  <c r="GD5" i="85"/>
  <c r="BS5" i="86"/>
  <c r="NL5" i="85"/>
  <c r="JK5" i="91"/>
  <c r="CR5" i="84"/>
  <c r="LX5" i="88"/>
  <c r="NG5" i="86"/>
  <c r="JK5" i="92"/>
  <c r="FT5" i="87"/>
  <c r="CC5" i="85"/>
  <c r="BN5" i="89"/>
  <c r="DQ5" i="106"/>
  <c r="JP5" i="90"/>
  <c r="Z5" i="90"/>
  <c r="CR5" i="88"/>
  <c r="EA5" i="91"/>
  <c r="NV5" i="87"/>
  <c r="JZ5" i="87"/>
  <c r="FY5" i="89"/>
  <c r="BS5" i="89"/>
  <c r="F5" i="93"/>
  <c r="HH5" i="88"/>
  <c r="CM5" i="97"/>
  <c r="EZ5" i="93"/>
  <c r="MR5" i="82"/>
  <c r="KO5" i="95"/>
  <c r="BX5" i="99"/>
  <c r="P5" i="91"/>
  <c r="KJ5" i="81"/>
  <c r="CC5" i="96"/>
  <c r="EK5" i="92"/>
  <c r="HH5" i="98"/>
  <c r="JU5" i="96"/>
  <c r="OA5" i="91"/>
  <c r="LS5" i="97"/>
  <c r="EF5" i="83"/>
  <c r="JF5" i="101"/>
  <c r="JK5" i="93"/>
  <c r="AE5" i="94"/>
  <c r="MR5" i="80"/>
  <c r="DB5" i="84"/>
  <c r="JU5" i="86"/>
  <c r="HR5" i="83"/>
  <c r="KJ5" i="102"/>
  <c r="DQ5" i="104"/>
  <c r="LI5" i="100"/>
  <c r="EF5" i="113"/>
  <c r="FO5" i="82"/>
  <c r="K5" i="100"/>
  <c r="LD5" i="83"/>
  <c r="JF5" i="82"/>
  <c r="AO5" i="81"/>
  <c r="K5" i="84"/>
  <c r="HC5" i="81"/>
  <c r="AT5" i="83"/>
  <c r="KJ5" i="108"/>
  <c r="NV5" i="81"/>
  <c r="CC5" i="86"/>
  <c r="DV5" i="81"/>
  <c r="OA5" i="87"/>
  <c r="CM5" i="85"/>
  <c r="NV5" i="84"/>
  <c r="KE5" i="84"/>
  <c r="NL5" i="86"/>
  <c r="GI5" i="87"/>
  <c r="GD5" i="86"/>
  <c r="GI5" i="85"/>
  <c r="JZ5" i="85"/>
  <c r="GI5" i="89"/>
  <c r="MC5" i="88"/>
  <c r="KE5" i="87"/>
  <c r="OF5" i="91"/>
  <c r="BS5" i="87"/>
  <c r="DV5" i="104"/>
  <c r="GN5" i="84"/>
  <c r="NQ5" i="85"/>
  <c r="JU5" i="90"/>
  <c r="HM5" i="88"/>
  <c r="AJ5" i="90"/>
  <c r="EF5" i="91"/>
  <c r="JP5" i="93"/>
  <c r="LI5" i="89"/>
  <c r="FO5" i="90"/>
  <c r="JP5" i="91"/>
  <c r="MR5" i="97"/>
  <c r="JP5" i="92"/>
  <c r="DL5" i="88"/>
  <c r="HR5" i="78"/>
  <c r="K5" i="93"/>
  <c r="EP5" i="92"/>
  <c r="GN5" i="94"/>
  <c r="FE5" i="93"/>
  <c r="MR5" i="94"/>
  <c r="AJ5" i="94"/>
  <c r="FT5" i="90"/>
  <c r="KY5" i="102"/>
  <c r="U5" i="91"/>
  <c r="CW5" i="99"/>
  <c r="LN5" i="89"/>
  <c r="CH5" i="96"/>
  <c r="EA5" i="95"/>
  <c r="DL5" i="84"/>
  <c r="HR5" i="98"/>
  <c r="MW5" i="94"/>
  <c r="KO5" i="93"/>
  <c r="MC5" i="101"/>
  <c r="KY5" i="101"/>
  <c r="P5" i="100"/>
  <c r="BX5" i="89"/>
  <c r="KT5" i="95"/>
  <c r="NG5" i="100"/>
  <c r="EK5" i="77"/>
  <c r="AY5" i="90"/>
  <c r="KE5" i="96"/>
  <c r="BI5" i="78"/>
  <c r="CR5" i="97"/>
  <c r="GN5" i="89"/>
  <c r="FO5" i="79"/>
  <c r="NB5" i="108"/>
  <c r="HR5" i="88"/>
  <c r="CM5" i="82"/>
  <c r="DQ5" i="88"/>
  <c r="MW5" i="88"/>
  <c r="HH5" i="113"/>
  <c r="EU5" i="92"/>
  <c r="MW5" i="100"/>
  <c r="MC5" i="79"/>
  <c r="AO5" i="94"/>
  <c r="P5" i="92"/>
  <c r="KO5" i="92"/>
  <c r="P5" i="93"/>
  <c r="IL5" i="109"/>
  <c r="FJ5" i="93"/>
  <c r="EA5" i="106"/>
  <c r="EK5" i="91"/>
  <c r="Z5" i="91"/>
  <c r="BN5" i="78"/>
  <c r="JU5" i="91"/>
  <c r="KJ5" i="90"/>
  <c r="HM5" i="76"/>
  <c r="CM5" i="96"/>
  <c r="KJ5" i="96"/>
  <c r="U5" i="100"/>
  <c r="KO5" i="75"/>
  <c r="DL5" i="97"/>
  <c r="CC5" i="79"/>
  <c r="EA5" i="99"/>
  <c r="OF5" i="78"/>
  <c r="IB5" i="98"/>
  <c r="KE5" i="106"/>
  <c r="JF5" i="104"/>
  <c r="Z5" i="80"/>
  <c r="NQ5" i="75"/>
  <c r="GS5" i="115"/>
  <c r="NB5" i="80"/>
  <c r="AO5" i="103"/>
  <c r="EK5" i="78"/>
  <c r="IG5" i="109"/>
  <c r="NQ5" i="76"/>
  <c r="KO5" i="76"/>
  <c r="JU5" i="80"/>
  <c r="BI5" i="76"/>
  <c r="EK5" i="76"/>
  <c r="BI5" i="77"/>
  <c r="HM5" i="77"/>
  <c r="GN5" i="80"/>
  <c r="IV5" i="79"/>
  <c r="AY5" i="81"/>
  <c r="KO5" i="77"/>
  <c r="OF5" i="81"/>
  <c r="HM5" i="81"/>
  <c r="KT5" i="81"/>
  <c r="NB5" i="82"/>
  <c r="DG5" i="80"/>
  <c r="EF5" i="81"/>
  <c r="KY5" i="78"/>
  <c r="KT5" i="90"/>
  <c r="JP5" i="82"/>
  <c r="DB5" i="85"/>
  <c r="NV5" i="71"/>
  <c r="GD5" i="82"/>
  <c r="EP5" i="83"/>
  <c r="IB5" i="83"/>
  <c r="LS5" i="83"/>
  <c r="CR5" i="86"/>
  <c r="BD5" i="83"/>
  <c r="NV5" i="86"/>
  <c r="EU5" i="91"/>
  <c r="KO5" i="84"/>
  <c r="EP5" i="77"/>
  <c r="HM5" i="89"/>
  <c r="U5" i="92"/>
  <c r="LD5" i="95"/>
  <c r="CM5" i="87"/>
  <c r="Z5" i="84"/>
  <c r="A5" i="85"/>
  <c r="BN5" i="75"/>
  <c r="KE5" i="86"/>
  <c r="GS5" i="87"/>
  <c r="OA5" i="85"/>
  <c r="GX5" i="84"/>
  <c r="GS5" i="85"/>
  <c r="IL5" i="98"/>
  <c r="NG5" i="88"/>
  <c r="HW5" i="88"/>
  <c r="LS5" i="89"/>
  <c r="BD5" i="90"/>
  <c r="NV5" i="101"/>
  <c r="BN5" i="73"/>
  <c r="GN5" i="86"/>
  <c r="DV5" i="88"/>
  <c r="JU5" i="104"/>
  <c r="NV5" i="72"/>
  <c r="CC5" i="89"/>
  <c r="AY5" i="94"/>
  <c r="DG5" i="52"/>
  <c r="FY5" i="90"/>
  <c r="AE5" i="91"/>
  <c r="K5" i="88"/>
  <c r="KO5" i="87"/>
  <c r="CR5" i="96"/>
  <c r="KT5" i="92"/>
  <c r="NG5" i="115"/>
  <c r="EK5" i="95"/>
  <c r="NG5" i="94"/>
  <c r="OF5" i="97"/>
  <c r="EP5" i="75"/>
  <c r="KE5" i="91"/>
  <c r="FO5" i="93"/>
  <c r="LN5" i="93"/>
  <c r="U5" i="93"/>
  <c r="FO5" i="99"/>
  <c r="AY5" i="100"/>
  <c r="KO5" i="96"/>
  <c r="EP5" i="97"/>
  <c r="HC5" i="94"/>
  <c r="HR5" i="72"/>
  <c r="AT5" i="103"/>
  <c r="BN5" i="72"/>
  <c r="EP5" i="72"/>
  <c r="EP5" i="73"/>
  <c r="LN5" i="106"/>
  <c r="NG5" i="82"/>
  <c r="NV5" i="74"/>
  <c r="DL5" i="85"/>
  <c r="KT5" i="74"/>
  <c r="HR5" i="77"/>
  <c r="CH5" i="89"/>
  <c r="NV5" i="75"/>
  <c r="NV5" i="73"/>
  <c r="AY5" i="103"/>
  <c r="NL5" i="100"/>
  <c r="HR5" i="73"/>
  <c r="HR5" i="74"/>
  <c r="BN5" i="77"/>
  <c r="KT5" i="73"/>
  <c r="BN5" i="74"/>
  <c r="HR5" i="75"/>
  <c r="KT5" i="72"/>
  <c r="KT5" i="76"/>
  <c r="KT5" i="77"/>
  <c r="JZ5" i="80"/>
  <c r="NG5" i="80"/>
  <c r="EP5" i="76"/>
  <c r="HR5" i="76"/>
  <c r="CM5" i="79"/>
  <c r="EP5" i="74"/>
  <c r="A5" i="82"/>
  <c r="KT5" i="84"/>
  <c r="KT5" i="75"/>
  <c r="A5" i="79"/>
  <c r="BN5" i="76"/>
  <c r="JA5" i="79"/>
  <c r="HW5" i="78"/>
  <c r="MH5" i="79"/>
  <c r="FT5" i="79"/>
  <c r="GS5" i="80"/>
  <c r="EP5" i="78"/>
  <c r="NV5" i="77"/>
  <c r="GX5" i="87"/>
  <c r="NV5" i="76"/>
  <c r="LD5" i="78"/>
  <c r="DL5" i="80"/>
  <c r="EK5" i="81"/>
  <c r="LX5" i="83"/>
  <c r="EU5" i="83"/>
  <c r="BI5" i="83"/>
  <c r="JU5" i="82"/>
  <c r="GI5" i="82"/>
  <c r="DQ5" i="84"/>
  <c r="HR5" i="81"/>
  <c r="BD5" i="81"/>
  <c r="AE5" i="80"/>
  <c r="OA5" i="86"/>
  <c r="GS5" i="86"/>
  <c r="DB5" i="86"/>
  <c r="K5" i="86"/>
  <c r="HC5" i="84"/>
  <c r="K5" i="85"/>
  <c r="FE5" i="91"/>
  <c r="GX5" i="85"/>
  <c r="DG5" i="85"/>
  <c r="GD5" i="90"/>
  <c r="AE5" i="88"/>
  <c r="CR5" i="82"/>
  <c r="KY5" i="81"/>
  <c r="EA5" i="88"/>
  <c r="NL5" i="88"/>
  <c r="KY5" i="92"/>
  <c r="JZ5" i="101"/>
  <c r="CH5" i="105"/>
  <c r="A5" i="86"/>
  <c r="AJ5" i="91"/>
  <c r="CR5" i="87"/>
  <c r="KJ5" i="86"/>
  <c r="IG5" i="83"/>
  <c r="IG5" i="88"/>
  <c r="FT5" i="93"/>
  <c r="EF5" i="88"/>
  <c r="P5" i="88"/>
  <c r="AE5" i="84"/>
  <c r="LI5" i="95"/>
  <c r="KO5" i="85"/>
  <c r="HR5" i="89"/>
  <c r="BX5" i="90"/>
  <c r="FT5" i="99"/>
  <c r="LX5" i="89"/>
  <c r="KT5" i="87"/>
  <c r="KJ5" i="91"/>
  <c r="JZ5" i="104"/>
  <c r="FE5" i="92"/>
  <c r="LD5" i="96"/>
  <c r="HH5" i="94"/>
  <c r="AO5" i="93"/>
  <c r="FT5" i="97"/>
  <c r="KY5" i="90"/>
  <c r="F5" i="98"/>
  <c r="CW5" i="96"/>
  <c r="AO5" i="92"/>
  <c r="LS5" i="93"/>
  <c r="FO5" i="116"/>
  <c r="CH5" i="100"/>
  <c r="BS5" i="94"/>
  <c r="OF5" i="101"/>
  <c r="NV5" i="100"/>
  <c r="LD5" i="92"/>
  <c r="LD5" i="109"/>
  <c r="NL5" i="94"/>
  <c r="IQ5" i="98"/>
  <c r="EP5" i="95"/>
  <c r="A5" i="87"/>
  <c r="P5" i="85"/>
  <c r="MH5" i="106"/>
  <c r="EU5" i="95"/>
  <c r="CR5" i="89"/>
  <c r="MC5" i="89"/>
  <c r="GX5" i="86"/>
  <c r="KY5" i="87"/>
  <c r="DG5" i="86"/>
  <c r="HC5" i="85"/>
  <c r="AY5" i="92"/>
  <c r="DB5" i="96"/>
  <c r="HC5" i="87"/>
  <c r="FJ5" i="91"/>
  <c r="LX5" i="93"/>
  <c r="DG5" i="87"/>
  <c r="KO5" i="86"/>
  <c r="CC5" i="90"/>
  <c r="KT5" i="85"/>
  <c r="HW5" i="89"/>
  <c r="DL5" i="100"/>
  <c r="AO5" i="91"/>
  <c r="IQ5" i="88"/>
  <c r="LS5" i="90"/>
  <c r="GI5" i="90"/>
  <c r="AY5" i="93"/>
  <c r="NQ5" i="88"/>
  <c r="EP5" i="100"/>
  <c r="JF5" i="98"/>
  <c r="MC5" i="96"/>
  <c r="HM5" i="94"/>
  <c r="KO5" i="91"/>
  <c r="LN5" i="95"/>
  <c r="EA5" i="117"/>
  <c r="FY5" i="93"/>
  <c r="FJ5" i="92"/>
  <c r="FY5" i="99"/>
  <c r="JA5" i="100"/>
  <c r="LN5" i="109"/>
  <c r="NB5" i="106"/>
  <c r="CR5" i="94"/>
  <c r="F5" i="102"/>
  <c r="LD5" i="105"/>
  <c r="CH5" i="99"/>
  <c r="KE5" i="104"/>
  <c r="OA5" i="100"/>
  <c r="LI5" i="102"/>
  <c r="KT5" i="96"/>
  <c r="LD5" i="99"/>
  <c r="NQ5" i="94"/>
  <c r="EK5" i="101"/>
  <c r="MH5" i="116"/>
  <c r="K5" i="98"/>
  <c r="GN5" i="99"/>
  <c r="Z5" i="101"/>
  <c r="NL5" i="103"/>
  <c r="EZ5" i="100"/>
  <c r="BD5" i="103"/>
  <c r="NL5" i="106"/>
  <c r="MW5" i="98"/>
  <c r="HW5" i="103"/>
  <c r="KJ5" i="104"/>
  <c r="Z5" i="100"/>
  <c r="BS5" i="103"/>
  <c r="EU5" i="106"/>
  <c r="AY5" i="108"/>
  <c r="Z5" i="102"/>
  <c r="OA5" i="103"/>
  <c r="IB5" i="113"/>
  <c r="LD5" i="97"/>
  <c r="EF5" i="104"/>
  <c r="IV5" i="98"/>
  <c r="FE5" i="102"/>
  <c r="NL5" i="108"/>
  <c r="U5" i="98"/>
  <c r="JF5" i="100"/>
  <c r="HC5" i="96"/>
  <c r="NL5" i="111"/>
  <c r="HC5" i="107"/>
  <c r="A5" i="107"/>
  <c r="CM5" i="99"/>
  <c r="A5" i="101"/>
  <c r="EF5" i="98"/>
  <c r="NG5" i="98"/>
  <c r="NV5" i="94"/>
  <c r="EP5" i="98"/>
  <c r="GS5" i="99"/>
  <c r="LN5" i="97"/>
  <c r="LD5" i="110"/>
  <c r="MC5" i="109"/>
  <c r="FY5" i="102"/>
  <c r="CW5" i="97"/>
  <c r="LN5" i="99"/>
  <c r="HC5" i="97"/>
  <c r="F5" i="97"/>
  <c r="EP5" i="91"/>
  <c r="BD5" i="100"/>
  <c r="KE5" i="101"/>
  <c r="HH5" i="107"/>
  <c r="IG5" i="103"/>
  <c r="EZ5" i="106"/>
  <c r="LN5" i="102"/>
  <c r="KY5" i="104"/>
  <c r="EU5" i="104"/>
  <c r="HH5" i="97"/>
  <c r="FO5" i="102"/>
  <c r="AY5" i="112"/>
  <c r="MW5" i="117"/>
  <c r="AJ5" i="100"/>
  <c r="BX5" i="103"/>
  <c r="CM5" i="105"/>
  <c r="K5" i="97"/>
  <c r="AO5" i="102"/>
  <c r="EP5" i="101"/>
  <c r="OA5" i="106"/>
  <c r="BD5" i="108"/>
  <c r="LS5" i="95"/>
  <c r="OF5" i="108"/>
  <c r="DL5" i="96"/>
  <c r="IG5" i="95"/>
  <c r="NL5" i="110"/>
  <c r="BS5" i="95"/>
  <c r="JA5" i="98"/>
  <c r="MW5" i="109"/>
  <c r="Z5" i="98"/>
  <c r="LS5" i="102"/>
  <c r="CR5" i="99"/>
  <c r="EZ5" i="95"/>
  <c r="LS5" i="99"/>
  <c r="HC5" i="99"/>
  <c r="U5" i="96"/>
  <c r="AO5" i="100"/>
  <c r="KY5" i="96"/>
  <c r="OF5" i="103"/>
  <c r="HH5" i="96"/>
  <c r="DB5" i="97"/>
  <c r="FJ5" i="100"/>
  <c r="JU5" i="100"/>
  <c r="AT5" i="102"/>
  <c r="KO5" i="101"/>
  <c r="BX5" i="108"/>
  <c r="OF5" i="106"/>
  <c r="CM5" i="103"/>
  <c r="HW5" i="107"/>
  <c r="FE5" i="106"/>
  <c r="GS5" i="102"/>
  <c r="EU5" i="101"/>
  <c r="OF5" i="110"/>
  <c r="NL5" i="98"/>
  <c r="CW5" i="105"/>
  <c r="LN5" i="104"/>
  <c r="IL5" i="103"/>
  <c r="NB5" i="109"/>
  <c r="FE5" i="104"/>
  <c r="IQ5" i="103"/>
  <c r="CH5" i="103"/>
  <c r="K5" i="101"/>
  <c r="LS5" i="105"/>
  <c r="BX5" i="88"/>
  <c r="FO5" i="118"/>
  <c r="NB5" i="113"/>
  <c r="F5" i="109"/>
  <c r="BS5" i="108"/>
  <c r="F5" i="89"/>
  <c r="K5" i="109"/>
  <c r="MH5" i="89"/>
  <c r="FJ5" i="104"/>
  <c r="F5" i="104"/>
  <c r="OF5" i="86"/>
  <c r="DB5" i="105"/>
  <c r="LD5" i="84"/>
  <c r="FJ5" i="106"/>
  <c r="CM5" i="112"/>
  <c r="BS5" i="112"/>
  <c r="IB5" i="84"/>
  <c r="AT5" i="101"/>
  <c r="LI5" i="88"/>
  <c r="Z5" i="110"/>
  <c r="LS5" i="104"/>
  <c r="KO5" i="100"/>
  <c r="MC5" i="102"/>
  <c r="F5" i="111"/>
  <c r="NL5" i="113"/>
  <c r="NG5" i="118"/>
  <c r="EZ5" i="87"/>
  <c r="EZ5" i="88"/>
  <c r="BX5" i="86"/>
  <c r="IB5" i="107"/>
  <c r="OF5" i="84"/>
  <c r="EZ5" i="85"/>
  <c r="CM5" i="89"/>
  <c r="IB5" i="85"/>
  <c r="MH5" i="83"/>
  <c r="KJ5" i="49"/>
  <c r="LD5" i="85"/>
  <c r="BX5" i="85"/>
  <c r="OF5" i="85"/>
  <c r="EZ5" i="86"/>
  <c r="LD5" i="86"/>
  <c r="BX5" i="87"/>
  <c r="OF5" i="87"/>
  <c r="BI5" i="91"/>
  <c r="LI5" i="101"/>
  <c r="IB5" i="88"/>
  <c r="EA5" i="96"/>
  <c r="A5" i="92"/>
  <c r="DL5" i="90"/>
  <c r="U5" i="97"/>
  <c r="IB5" i="86"/>
  <c r="AE5" i="90"/>
  <c r="FT5" i="89"/>
  <c r="IB5" i="87"/>
  <c r="JA5" i="89"/>
  <c r="GS5" i="90"/>
  <c r="LD5" i="87"/>
  <c r="DG5" i="93"/>
  <c r="CC5" i="109"/>
  <c r="KE5" i="90"/>
  <c r="HW5" i="91"/>
  <c r="AY5" i="98"/>
  <c r="NL5" i="90"/>
  <c r="IV5" i="92"/>
  <c r="MC5" i="92"/>
  <c r="LD5" i="91"/>
  <c r="FO5" i="92"/>
  <c r="OF5" i="94"/>
  <c r="LN5" i="96"/>
  <c r="Z5" i="93"/>
  <c r="GN5" i="93"/>
  <c r="HW5" i="94"/>
  <c r="BD5" i="94"/>
  <c r="DL5" i="52"/>
  <c r="IQ5" i="95"/>
  <c r="HR5" i="99"/>
  <c r="FJ5" i="101"/>
  <c r="CH5" i="92"/>
  <c r="EK5" i="94"/>
  <c r="HR5" i="94"/>
  <c r="JU5" i="93"/>
  <c r="FJ5" i="95"/>
  <c r="EA5" i="108"/>
  <c r="MH5" i="95"/>
  <c r="GS5" i="112"/>
  <c r="NG5" i="93"/>
  <c r="CM5" i="109"/>
  <c r="HW5" i="97"/>
  <c r="DV5" i="105"/>
  <c r="HR5" i="96"/>
  <c r="MC5" i="99"/>
  <c r="KY5" i="94"/>
  <c r="MC5" i="97"/>
  <c r="LX5" i="97"/>
  <c r="MC5" i="95"/>
  <c r="DB5" i="99"/>
  <c r="AO5" i="98"/>
  <c r="CC5" i="95"/>
  <c r="AJ5" i="96"/>
  <c r="AO5" i="101"/>
  <c r="FT5" i="100"/>
  <c r="KJ5" i="100"/>
  <c r="HC5" i="102"/>
  <c r="DQ5" i="97"/>
  <c r="BI5" i="102"/>
  <c r="OF5" i="98"/>
  <c r="MH5" i="102"/>
  <c r="FJ5" i="98"/>
  <c r="MC5" i="105"/>
  <c r="JP5" i="98"/>
  <c r="FO5" i="104"/>
  <c r="DB5" i="103"/>
  <c r="K5" i="104"/>
  <c r="FO5" i="106"/>
  <c r="IG5" i="107"/>
  <c r="MH5" i="104"/>
  <c r="JA5" i="103"/>
  <c r="F5" i="107"/>
  <c r="F5" i="92"/>
  <c r="DQ5" i="112"/>
  <c r="LS5" i="96"/>
  <c r="BN5" i="100"/>
  <c r="FT5" i="92"/>
  <c r="AT5" i="110"/>
  <c r="IB5" i="91"/>
  <c r="Z5" i="111"/>
  <c r="LN5" i="82"/>
  <c r="EP5" i="94"/>
  <c r="GX5" i="119"/>
  <c r="Z5" i="114"/>
  <c r="JA5" i="92"/>
  <c r="AE5" i="93"/>
  <c r="F5" i="81"/>
  <c r="IB5" i="99"/>
  <c r="CM5" i="92"/>
  <c r="FJ5" i="85"/>
  <c r="CH5" i="95"/>
  <c r="KE5" i="93"/>
  <c r="MH5" i="92"/>
  <c r="A5" i="95"/>
  <c r="EA5" i="97"/>
  <c r="DL5" i="93"/>
  <c r="IV5" i="95"/>
  <c r="FY5" i="100"/>
  <c r="FO5" i="95"/>
  <c r="BI5" i="94"/>
  <c r="NL5" i="93"/>
  <c r="LI5" i="91"/>
  <c r="GS5" i="93"/>
  <c r="DL5" i="99"/>
  <c r="HW5" i="96"/>
  <c r="Z5" i="97"/>
  <c r="IB5" i="97"/>
  <c r="LD5" i="94"/>
  <c r="AO5" i="96"/>
  <c r="Z5" i="104"/>
  <c r="NB5" i="104"/>
  <c r="BN5" i="102"/>
  <c r="MH5" i="99"/>
  <c r="FO5" i="98"/>
  <c r="EF5" i="96"/>
  <c r="FY5" i="101"/>
  <c r="JF5" i="103"/>
  <c r="F5" i="99"/>
  <c r="NL5" i="105"/>
  <c r="HC5" i="106"/>
  <c r="HM5" i="102"/>
  <c r="LN5" i="101"/>
  <c r="NB5" i="102"/>
  <c r="JU5" i="98"/>
  <c r="DV5" i="103"/>
  <c r="FY5" i="104"/>
  <c r="F5" i="84"/>
  <c r="AT5" i="107"/>
  <c r="EU5" i="105"/>
  <c r="FJ5" i="82"/>
  <c r="JU5" i="107"/>
  <c r="FJ5" i="80"/>
  <c r="MR5" i="89"/>
  <c r="EU5" i="108"/>
  <c r="BD5" i="110"/>
  <c r="DB5" i="114"/>
  <c r="IB5" i="96"/>
  <c r="CM5" i="111"/>
  <c r="FJ5" i="78"/>
  <c r="LN5" i="80"/>
  <c r="CH5" i="81"/>
  <c r="IL5" i="78"/>
  <c r="LN5" i="79"/>
  <c r="F5" i="80"/>
  <c r="F5" i="79"/>
  <c r="DQ5" i="120"/>
  <c r="CH5" i="79"/>
  <c r="IL5" i="79"/>
  <c r="FJ5" i="79"/>
  <c r="LN5" i="85"/>
  <c r="NV5" i="90"/>
  <c r="IL5" i="81"/>
  <c r="CW5" i="89"/>
  <c r="EA5" i="90"/>
  <c r="LN5" i="78"/>
  <c r="F5" i="86"/>
  <c r="F5" i="82"/>
  <c r="CW5" i="82"/>
  <c r="IL5" i="82"/>
  <c r="IL5" i="80"/>
  <c r="CH5" i="80"/>
  <c r="CH5" i="82"/>
  <c r="BI5" i="104"/>
  <c r="CH5" i="83"/>
  <c r="F5" i="83"/>
  <c r="BX5" i="110"/>
  <c r="CM5" i="102"/>
  <c r="FJ5" i="81"/>
  <c r="MM5" i="92"/>
  <c r="CH5" i="84"/>
  <c r="CH5" i="85"/>
  <c r="LN5" i="81"/>
  <c r="FJ5" i="86"/>
  <c r="FJ5" i="87"/>
  <c r="IL5" i="84"/>
  <c r="K5" i="92"/>
  <c r="FJ5" i="83"/>
  <c r="IL5" i="83"/>
  <c r="F5" i="85"/>
  <c r="LN5" i="83"/>
  <c r="CH5" i="86"/>
  <c r="P5" i="89"/>
  <c r="IG5" i="91"/>
  <c r="LN5" i="84"/>
  <c r="CH5" i="87"/>
  <c r="IL5" i="85"/>
  <c r="FJ5" i="84"/>
  <c r="LN5" i="86"/>
  <c r="EF5" i="103"/>
  <c r="CR5" i="92"/>
  <c r="IL5" i="86"/>
  <c r="IB5" i="94"/>
  <c r="JK5" i="89"/>
  <c r="DQ5" i="93"/>
  <c r="EK5" i="45"/>
  <c r="F5" i="87"/>
  <c r="HH5" i="90"/>
  <c r="GD5" i="89"/>
  <c r="CH5" i="88"/>
  <c r="LN5" i="87"/>
  <c r="IL5" i="88"/>
  <c r="BS5" i="91"/>
  <c r="F5" i="88"/>
  <c r="KO5" i="90"/>
  <c r="IL5" i="87"/>
  <c r="CM5" i="95"/>
  <c r="FJ5" i="88"/>
  <c r="EU5" i="94"/>
  <c r="AO5" i="90"/>
  <c r="EF5" i="97"/>
  <c r="LS5" i="88"/>
  <c r="KJ5" i="93"/>
  <c r="JF5" i="92"/>
  <c r="IL5" i="97"/>
  <c r="MR5" i="99"/>
  <c r="BD5" i="98"/>
  <c r="IL5" i="99"/>
  <c r="FY5" i="92"/>
  <c r="EZ5" i="91"/>
  <c r="AJ5" i="97"/>
  <c r="LN5" i="91"/>
  <c r="GS5" i="100"/>
  <c r="AY5" i="96"/>
  <c r="F5" i="95"/>
  <c r="AJ5" i="93"/>
  <c r="BN5" i="94"/>
  <c r="NQ5" i="93"/>
  <c r="FT5" i="98"/>
  <c r="HR5" i="102"/>
  <c r="LX5" i="96"/>
  <c r="MR5" i="95"/>
  <c r="LD5" i="107"/>
  <c r="DV5" i="114"/>
  <c r="IB5" i="106"/>
  <c r="HC5" i="93"/>
  <c r="DQ5" i="99"/>
  <c r="LI5" i="94"/>
  <c r="MH5" i="97"/>
  <c r="LS5" i="101"/>
  <c r="FT5" i="95"/>
  <c r="GD5" i="101"/>
  <c r="KE5" i="98"/>
  <c r="JA5" i="95"/>
  <c r="K5" i="99"/>
  <c r="EK5" i="96"/>
  <c r="JZ5" i="103"/>
  <c r="BS5" i="107"/>
  <c r="GD5" i="100"/>
  <c r="GD5" i="104"/>
  <c r="KY5" i="100"/>
  <c r="BX5" i="100"/>
  <c r="AT5" i="104"/>
  <c r="FJ5" i="105"/>
  <c r="AO5" i="121"/>
  <c r="AY5" i="101"/>
  <c r="NG5" i="102"/>
  <c r="BX5" i="102"/>
  <c r="NL5" i="104"/>
  <c r="KJ5" i="107"/>
  <c r="FO5" i="114"/>
  <c r="LS5" i="94"/>
  <c r="DB5" i="111"/>
  <c r="GD5" i="97"/>
  <c r="GX5" i="104"/>
  <c r="EU5" i="96"/>
  <c r="BD5" i="104"/>
  <c r="FE5" i="108"/>
  <c r="DV5" i="109"/>
  <c r="JA5" i="88"/>
  <c r="FJ5" i="108"/>
  <c r="NQ5" i="104"/>
  <c r="IV5" i="97"/>
  <c r="NQ5" i="102"/>
  <c r="EK5" i="103"/>
  <c r="A5" i="106"/>
  <c r="CW5" i="85"/>
  <c r="MH5" i="96"/>
  <c r="EF5" i="99"/>
  <c r="BI5" i="96"/>
  <c r="DB5" i="109"/>
  <c r="FY5" i="87"/>
  <c r="FY5" i="105"/>
  <c r="K5" i="106"/>
  <c r="HC5" i="112"/>
  <c r="OA5" i="93"/>
  <c r="IL5" i="94"/>
  <c r="HW5" i="112"/>
  <c r="KT5" i="98"/>
  <c r="JA5" i="87"/>
  <c r="IL5" i="106"/>
  <c r="DV5" i="111"/>
  <c r="CC5" i="110"/>
  <c r="CC5" i="107"/>
  <c r="KE5" i="103"/>
  <c r="MW5" i="121"/>
  <c r="BX5" i="94"/>
  <c r="KT5" i="93"/>
  <c r="CW5" i="95"/>
  <c r="AY5" i="97"/>
  <c r="GD5" i="98"/>
  <c r="NG5" i="95"/>
  <c r="FE5" i="94"/>
  <c r="GD5" i="95"/>
  <c r="JP5" i="95"/>
  <c r="FY5" i="83"/>
  <c r="U5" i="99"/>
  <c r="BX5" i="98"/>
  <c r="EU5" i="97"/>
  <c r="NG5" i="99"/>
  <c r="IQ5" i="96"/>
  <c r="DG5" i="74"/>
  <c r="MW5" i="97"/>
  <c r="BN5" i="90"/>
  <c r="U5" i="95"/>
  <c r="DG5" i="92"/>
  <c r="P5" i="95"/>
  <c r="MH5" i="101"/>
  <c r="CH5" i="98"/>
  <c r="GS5" i="105"/>
  <c r="OA5" i="104"/>
  <c r="IQ5" i="114"/>
  <c r="LS5" i="100"/>
  <c r="HH5" i="101"/>
  <c r="BN5" i="101"/>
  <c r="U5" i="85"/>
  <c r="LN5" i="107"/>
  <c r="IB5" i="102"/>
  <c r="U5" i="83"/>
  <c r="JA5" i="106"/>
  <c r="EU5" i="111"/>
  <c r="U5" i="84"/>
  <c r="OA5" i="102"/>
  <c r="IV5" i="99"/>
  <c r="MC5" i="81"/>
  <c r="FO5" i="108"/>
  <c r="EU5" i="103"/>
  <c r="CM5" i="107"/>
  <c r="EU5" i="110"/>
  <c r="EA5" i="109"/>
  <c r="HM5" i="104"/>
  <c r="KO5" i="103"/>
  <c r="U5" i="86"/>
  <c r="Z5" i="106"/>
  <c r="JA5" i="86"/>
  <c r="JA5" i="83"/>
  <c r="CW5" i="83"/>
  <c r="JA5" i="112"/>
  <c r="U5" i="82"/>
  <c r="FY5" i="82"/>
  <c r="CW5" i="84"/>
  <c r="JA5" i="82"/>
  <c r="JU5" i="122"/>
  <c r="HW5" i="85"/>
  <c r="MC5" i="83"/>
  <c r="KE5" i="49"/>
  <c r="JA5" i="84"/>
  <c r="MC5" i="82"/>
  <c r="JA5" i="85"/>
  <c r="MC5" i="84"/>
  <c r="U5" i="87"/>
  <c r="FY5" i="84"/>
  <c r="CW5" i="86"/>
  <c r="DL5" i="89"/>
  <c r="JA5" i="97"/>
  <c r="BI5" i="90"/>
  <c r="GN5" i="95"/>
  <c r="BD5" i="97"/>
  <c r="IV5" i="96"/>
  <c r="DL5" i="74"/>
  <c r="BI5" i="93"/>
  <c r="KE5" i="89"/>
  <c r="FY5" i="86"/>
  <c r="FY5" i="85"/>
  <c r="MC5" i="85"/>
  <c r="BD5" i="93"/>
  <c r="NL5" i="89"/>
  <c r="NG5" i="97"/>
  <c r="MH5" i="88"/>
  <c r="FY5" i="88"/>
  <c r="IG5" i="102"/>
  <c r="HW5" i="90"/>
  <c r="MC5" i="86"/>
  <c r="IV5" i="91"/>
  <c r="AE5" i="89"/>
  <c r="MC5" i="91"/>
  <c r="CW5" i="87"/>
  <c r="NL5" i="99"/>
  <c r="CW5" i="88"/>
  <c r="IQ5" i="94"/>
  <c r="LD5" i="90"/>
  <c r="JU5" i="92"/>
  <c r="GS5" i="89"/>
  <c r="EP5" i="90"/>
  <c r="U5" i="88"/>
  <c r="MC5" i="87"/>
  <c r="CH5" i="91"/>
  <c r="KY5" i="93"/>
  <c r="FO5" i="91"/>
  <c r="A5" i="91"/>
  <c r="OF5" i="93"/>
  <c r="NG5" i="92"/>
  <c r="BN5" i="96"/>
  <c r="GI5" i="95"/>
  <c r="EK5" i="93"/>
  <c r="HR5" i="93"/>
  <c r="FJ5" i="94"/>
  <c r="NL5" i="95"/>
  <c r="GN5" i="92"/>
  <c r="EP5" i="99"/>
  <c r="Z5" i="92"/>
  <c r="CC5" i="94"/>
  <c r="JU5" i="95"/>
  <c r="LX5" i="94"/>
  <c r="HC5" i="100"/>
  <c r="MR5" i="96"/>
  <c r="EZ5" i="97"/>
  <c r="EZ5" i="103"/>
  <c r="DB5" i="95"/>
  <c r="GN5" i="98"/>
  <c r="CW5" i="107"/>
  <c r="EZ5" i="96"/>
  <c r="LD5" i="98"/>
  <c r="Z5" i="99"/>
  <c r="JA5" i="99"/>
  <c r="BS5" i="101"/>
  <c r="HR5" i="101"/>
  <c r="MC5" i="112"/>
  <c r="DB5" i="102"/>
  <c r="KY5" i="103"/>
  <c r="HC5" i="111"/>
  <c r="A5" i="103"/>
  <c r="HW5" i="104"/>
  <c r="LX5" i="100"/>
  <c r="DB5" i="87"/>
  <c r="NB5" i="101"/>
  <c r="GS5" i="109"/>
  <c r="FO5" i="94"/>
  <c r="KE5" i="92"/>
  <c r="DB5" i="88"/>
  <c r="KY5" i="114"/>
  <c r="GX5" i="105"/>
  <c r="AO5" i="106"/>
  <c r="LS5" i="107"/>
  <c r="GD5" i="88"/>
  <c r="Z5" i="103"/>
  <c r="FE5" i="110"/>
  <c r="CM5" i="91"/>
  <c r="NL5" i="92"/>
  <c r="BS5" i="104"/>
  <c r="OF5" i="104"/>
  <c r="DB5" i="100"/>
  <c r="GS5" i="123"/>
  <c r="F5" i="91"/>
  <c r="JF5" i="106"/>
  <c r="GD5" i="87"/>
  <c r="JP5" i="97"/>
  <c r="FY5" i="108"/>
  <c r="MH5" i="87"/>
  <c r="KY5" i="98"/>
  <c r="HW5" i="99"/>
  <c r="IB5" i="90"/>
  <c r="JF5" i="88"/>
  <c r="EU5" i="90"/>
  <c r="AJ5" i="89"/>
  <c r="DL5" i="92"/>
  <c r="MM5" i="88"/>
  <c r="NQ5" i="89"/>
  <c r="JA5" i="91"/>
  <c r="HC5" i="89"/>
  <c r="LI5" i="97"/>
  <c r="IV5" i="94"/>
  <c r="DQ5" i="89"/>
  <c r="AE5" i="92"/>
  <c r="KJ5" i="89"/>
  <c r="JF5" i="87"/>
  <c r="FT5" i="91"/>
  <c r="Z5" i="88"/>
  <c r="Z5" i="95"/>
  <c r="DG5" i="95"/>
  <c r="MH5" i="91"/>
  <c r="A5" i="94"/>
  <c r="GS5" i="92"/>
  <c r="LI5" i="90"/>
  <c r="LI5" i="103"/>
  <c r="EZ5" i="99"/>
  <c r="KE5" i="95"/>
  <c r="NV5" i="99"/>
  <c r="LD5" i="93"/>
  <c r="JA5" i="96"/>
  <c r="HW5" i="93"/>
  <c r="BS5" i="96"/>
  <c r="EP5" i="93"/>
  <c r="MC5" i="94"/>
  <c r="CH5" i="94"/>
  <c r="NQ5" i="95"/>
  <c r="FJ5" i="96"/>
  <c r="BI5" i="97"/>
  <c r="CW5" i="100"/>
  <c r="FJ5" i="97"/>
  <c r="FT5" i="86"/>
  <c r="DV5" i="102"/>
  <c r="GS5" i="98"/>
  <c r="HW5" i="101"/>
  <c r="JF5" i="97"/>
  <c r="LN5" i="98"/>
  <c r="CC5" i="101"/>
  <c r="AJ5" i="99"/>
  <c r="JF5" i="99"/>
  <c r="NL5" i="97"/>
  <c r="HC5" i="105"/>
  <c r="MW5" i="96"/>
  <c r="KJ5" i="92"/>
  <c r="IQ5" i="102"/>
  <c r="HH5" i="100"/>
  <c r="BX5" i="104"/>
  <c r="DB5" i="107"/>
  <c r="CM5" i="98"/>
  <c r="JU5" i="106"/>
  <c r="IL5" i="108"/>
  <c r="FO5" i="110"/>
  <c r="MW5" i="112"/>
  <c r="HC5" i="109"/>
  <c r="AT5" i="106"/>
  <c r="A5" i="105"/>
  <c r="IG5" i="104"/>
  <c r="K5" i="103"/>
  <c r="NG5" i="101"/>
  <c r="MR5" i="88"/>
  <c r="MC5" i="100"/>
  <c r="JZ5" i="106"/>
  <c r="IB5" i="93"/>
  <c r="JF5" i="91"/>
  <c r="JA5" i="94"/>
  <c r="IG5" i="90"/>
  <c r="KO5" i="89"/>
  <c r="DQ5" i="124"/>
  <c r="MH5" i="94"/>
  <c r="MC5" i="107"/>
  <c r="U5" i="115"/>
  <c r="HW5" i="111"/>
  <c r="FE5" i="103"/>
  <c r="DG5" i="88"/>
  <c r="LN5" i="90"/>
  <c r="JA5" i="102"/>
  <c r="KT5" i="101"/>
  <c r="JK5" i="88"/>
  <c r="HH5" i="89"/>
  <c r="BS5" i="98"/>
  <c r="EZ5" i="90"/>
  <c r="BS5" i="90"/>
  <c r="DQ5" i="92"/>
  <c r="AO5" i="89"/>
  <c r="CR5" i="98"/>
  <c r="BN5" i="97"/>
  <c r="EA5" i="89"/>
  <c r="GI5" i="88"/>
  <c r="CR5" i="91"/>
  <c r="K5" i="91"/>
  <c r="NV5" i="89"/>
  <c r="MM5" i="91"/>
  <c r="FY5" i="91"/>
  <c r="AJ5" i="92"/>
  <c r="FO5" i="97"/>
  <c r="CM5" i="94"/>
  <c r="HC5" i="92"/>
  <c r="KJ5" i="95"/>
  <c r="AY5" i="106"/>
  <c r="NG5" i="96"/>
  <c r="BN5" i="93"/>
  <c r="MH5" i="100"/>
  <c r="F5" i="94"/>
  <c r="LI5" i="93"/>
  <c r="DL5" i="95"/>
  <c r="NQ5" i="92"/>
  <c r="BX5" i="96"/>
  <c r="EU5" i="93"/>
  <c r="FT5" i="94"/>
  <c r="FO5" i="96"/>
  <c r="JF5" i="96"/>
  <c r="HC5" i="98"/>
  <c r="NV5" i="95"/>
  <c r="FJ5" i="99"/>
  <c r="GS5" i="95"/>
  <c r="AE5" i="95"/>
  <c r="CH5" i="101"/>
  <c r="IB5" i="101"/>
  <c r="OF5" i="112"/>
  <c r="LS5" i="98"/>
  <c r="CC5" i="104"/>
  <c r="AO5" i="99"/>
  <c r="OF5" i="99"/>
  <c r="NV5" i="97"/>
  <c r="FO5" i="103"/>
  <c r="HR5" i="100"/>
  <c r="FE5" i="57"/>
  <c r="EA5" i="102"/>
  <c r="IQ5" i="104"/>
  <c r="LS5" i="103"/>
  <c r="JP5" i="99"/>
  <c r="NQ5" i="101"/>
  <c r="HW5" i="109"/>
  <c r="MH5" i="107"/>
  <c r="DQ5" i="107"/>
  <c r="KY5" i="99"/>
  <c r="CW5" i="115"/>
  <c r="JA5" i="108"/>
  <c r="GD5" i="110"/>
  <c r="HH5" i="105"/>
  <c r="AO5" i="125"/>
  <c r="K5" i="105"/>
  <c r="U5" i="108"/>
  <c r="EU5" i="98"/>
  <c r="OA5" i="98"/>
  <c r="DQ5" i="103"/>
  <c r="JU5" i="119"/>
  <c r="GX5" i="115"/>
  <c r="OA5" i="99"/>
  <c r="HW5" i="98"/>
  <c r="EU5" i="99"/>
  <c r="GS5" i="118"/>
  <c r="F5" i="101"/>
  <c r="BS5" i="99"/>
  <c r="IG5" i="111"/>
  <c r="KY5" i="105"/>
  <c r="JF5" i="110"/>
  <c r="IQ5" i="106"/>
  <c r="EU5" i="100"/>
  <c r="KO5" i="102"/>
  <c r="DB5" i="101"/>
  <c r="HC5" i="124"/>
  <c r="BD5" i="112"/>
  <c r="F5" i="103"/>
  <c r="BI5" i="105"/>
  <c r="HC5" i="101"/>
  <c r="DQ5" i="114"/>
  <c r="K5" i="116"/>
  <c r="F5" i="106"/>
  <c r="A5" i="97"/>
  <c r="LN5" i="103"/>
  <c r="LD5" i="100"/>
  <c r="A5" i="102"/>
  <c r="HH5" i="111"/>
  <c r="HH5" i="112"/>
  <c r="GD5" i="107"/>
  <c r="CW5" i="102"/>
  <c r="BS5" i="100"/>
  <c r="NG5" i="108"/>
  <c r="AO5" i="104"/>
  <c r="HW5" i="100"/>
  <c r="U5" i="101"/>
  <c r="HM5" i="103"/>
  <c r="IL5" i="104"/>
  <c r="IQ5" i="108"/>
  <c r="DV5" i="106"/>
  <c r="EK5" i="104"/>
  <c r="MW5" i="104"/>
  <c r="GX5" i="102"/>
  <c r="MW5" i="106"/>
  <c r="BX5" i="107"/>
  <c r="KY5" i="107"/>
  <c r="DV5" i="120"/>
  <c r="HC5" i="115"/>
  <c r="AO5" i="110"/>
  <c r="CH5" i="109"/>
  <c r="OA5" i="110"/>
  <c r="MH5" i="112"/>
  <c r="CW5" i="111"/>
  <c r="FO5" i="105"/>
  <c r="KE5" i="105"/>
  <c r="NG5" i="113"/>
  <c r="EF5" i="108"/>
  <c r="LI5" i="109"/>
  <c r="IG5" i="106"/>
  <c r="LS5" i="111"/>
  <c r="MW5" i="116"/>
  <c r="EZ5" i="110"/>
  <c r="GX5" i="109"/>
  <c r="HW5" i="113"/>
  <c r="CM5" i="113"/>
  <c r="JA5" i="114"/>
  <c r="AT5" i="121"/>
  <c r="FY5" i="116"/>
  <c r="GX5" i="112"/>
  <c r="HH5" i="119"/>
  <c r="NB5" i="117"/>
  <c r="NL5" i="115"/>
  <c r="AT5" i="125"/>
  <c r="JZ5" i="122"/>
  <c r="HC5" i="119"/>
  <c r="FO5" i="117"/>
  <c r="NL5" i="118"/>
  <c r="AO5" i="115"/>
  <c r="Z5" i="115"/>
  <c r="DV5" i="124"/>
  <c r="EF5" i="117"/>
  <c r="A5" i="98"/>
  <c r="FY5" i="118"/>
  <c r="CC5" i="98"/>
  <c r="JF5" i="114"/>
  <c r="NG5" i="117"/>
  <c r="NB5" i="121"/>
  <c r="K5" i="119"/>
  <c r="GX5" i="123"/>
  <c r="FE5" i="96"/>
  <c r="KE5" i="122"/>
  <c r="AY5" i="121"/>
  <c r="AY5" i="125"/>
  <c r="EA5" i="120"/>
  <c r="LN5" i="100"/>
  <c r="FE5" i="98"/>
  <c r="CC5" i="97"/>
  <c r="NG5" i="121"/>
  <c r="EA5" i="124"/>
  <c r="HC5" i="123"/>
  <c r="NB5" i="116"/>
  <c r="LI5" i="96"/>
  <c r="GD5" i="116"/>
  <c r="CC5" i="99"/>
  <c r="IG5" i="99"/>
  <c r="IG5" i="96"/>
  <c r="IG5" i="98"/>
  <c r="GD5" i="105"/>
  <c r="IG5" i="97"/>
  <c r="LI5" i="99"/>
  <c r="HM5" i="101"/>
  <c r="EF5" i="106"/>
  <c r="FE5" i="99"/>
  <c r="FE5" i="97"/>
  <c r="FO5" i="86"/>
  <c r="IQ5" i="113"/>
  <c r="DQ5" i="102"/>
  <c r="A5" i="100"/>
  <c r="FE5" i="100"/>
  <c r="HH5" i="109"/>
  <c r="A5" i="99"/>
  <c r="LI5" i="98"/>
  <c r="LD5" i="101"/>
  <c r="JA5" i="118"/>
  <c r="U5" i="106"/>
  <c r="JA5" i="104"/>
  <c r="GS5" i="120"/>
  <c r="DV5" i="101"/>
  <c r="AY5" i="104"/>
  <c r="MW5" i="122"/>
  <c r="IB5" i="103"/>
  <c r="IG5" i="100"/>
  <c r="CC5" i="100"/>
  <c r="OA5" i="82"/>
  <c r="K5" i="117"/>
  <c r="EA5" i="103"/>
  <c r="BD5" i="125"/>
  <c r="AO5" i="108"/>
  <c r="HH5" i="102"/>
  <c r="LD5" i="102"/>
  <c r="K5" i="102"/>
  <c r="BX5" i="105"/>
  <c r="MH5" i="111"/>
  <c r="DQ5" i="121"/>
  <c r="NG5" i="104"/>
  <c r="EZ5" i="104"/>
  <c r="BX5" i="112"/>
  <c r="NL5" i="121"/>
  <c r="U5" i="103"/>
  <c r="HH5" i="116"/>
  <c r="CH5" i="107"/>
  <c r="MC5" i="103"/>
  <c r="NG5" i="106"/>
  <c r="JZ5" i="110"/>
  <c r="A5" i="109"/>
  <c r="DQ5" i="111"/>
  <c r="GX5" i="107"/>
  <c r="U5" i="116"/>
  <c r="EZ5" i="108"/>
  <c r="CW5" i="109"/>
  <c r="OA5" i="108"/>
  <c r="JF5" i="113"/>
  <c r="AY5" i="110"/>
  <c r="EA5" i="114"/>
  <c r="A5" i="111"/>
  <c r="LI5" i="107"/>
  <c r="JF5" i="108"/>
  <c r="OA5" i="113"/>
  <c r="DQ5" i="113"/>
  <c r="DB5" i="113"/>
  <c r="LS5" i="109"/>
  <c r="GS5" i="116"/>
  <c r="AT5" i="115"/>
  <c r="JA5" i="113"/>
  <c r="NB5" i="112"/>
  <c r="HH5" i="115"/>
  <c r="FJ5" i="110"/>
  <c r="IB5" i="111"/>
  <c r="JU5" i="114"/>
  <c r="FY5" i="117"/>
  <c r="NG5" i="116"/>
  <c r="BD5" i="121"/>
  <c r="NG5" i="112"/>
  <c r="KJ5" i="122"/>
  <c r="EF5" i="120"/>
  <c r="EF5" i="124"/>
  <c r="U5" i="119"/>
  <c r="AO5" i="122"/>
  <c r="GX5" i="118"/>
  <c r="IL5" i="111"/>
  <c r="GS5" i="124"/>
  <c r="NL5" i="117"/>
  <c r="DV5" i="121"/>
  <c r="JZ5" i="108"/>
  <c r="CW5" i="112"/>
  <c r="EF5" i="114"/>
  <c r="JA5" i="119"/>
  <c r="NB5" i="111"/>
  <c r="NL5" i="116"/>
  <c r="AY5" i="115"/>
  <c r="JF5" i="115"/>
  <c r="JZ5" i="114"/>
  <c r="HH5" i="123"/>
  <c r="HC5" i="118"/>
  <c r="DV5" i="113"/>
  <c r="IQ5" i="115"/>
  <c r="GX5" i="116"/>
  <c r="EU5" i="114"/>
  <c r="GS5" i="117"/>
  <c r="EA5" i="121"/>
  <c r="AO5" i="116"/>
  <c r="AY5" i="119"/>
  <c r="IQ5" i="111"/>
  <c r="K5" i="118"/>
  <c r="OF5" i="113"/>
  <c r="AO5" i="119"/>
  <c r="NL5" i="112"/>
  <c r="Z5" i="116"/>
  <c r="JU5" i="123"/>
  <c r="DQ5" i="125"/>
  <c r="IB5" i="109"/>
  <c r="DQ5" i="109"/>
  <c r="BD5" i="122"/>
  <c r="BD5" i="119"/>
  <c r="MH5" i="109"/>
  <c r="BS5" i="110"/>
  <c r="EA5" i="111"/>
  <c r="FY5" i="110"/>
  <c r="IQ5" i="112"/>
  <c r="K5" i="111"/>
  <c r="IB5" i="112"/>
  <c r="NG5" i="111"/>
  <c r="K5" i="114"/>
  <c r="KJ5" i="110"/>
  <c r="JZ5" i="119"/>
  <c r="GX5" i="124"/>
  <c r="BD5" i="115"/>
  <c r="GX5" i="117"/>
  <c r="HC5" i="116"/>
  <c r="EA5" i="113"/>
  <c r="HH5" i="118"/>
  <c r="AY5" i="122"/>
  <c r="DB5" i="112"/>
  <c r="AT5" i="122"/>
  <c r="KE5" i="114"/>
  <c r="JA5" i="115"/>
  <c r="GX5" i="120"/>
  <c r="AT5" i="119"/>
  <c r="OA5" i="112"/>
  <c r="EF5" i="111"/>
  <c r="JZ5" i="123"/>
  <c r="U5" i="111"/>
  <c r="U5" i="118"/>
  <c r="DV5" i="125"/>
  <c r="HH5" i="120"/>
  <c r="EZ5" i="114"/>
  <c r="EA5" i="125"/>
  <c r="NB5" i="122"/>
  <c r="U5" i="117"/>
  <c r="AE5" i="96"/>
  <c r="KY5" i="110"/>
  <c r="KJ5" i="114"/>
  <c r="AO5" i="118"/>
  <c r="CM5" i="115"/>
  <c r="U5" i="114"/>
  <c r="HC5" i="117"/>
  <c r="AT5" i="116"/>
  <c r="IQ5" i="118"/>
  <c r="KE5" i="119"/>
  <c r="AO5" i="114"/>
  <c r="IQ5" i="116"/>
  <c r="HH5" i="117"/>
  <c r="JU5" i="115"/>
  <c r="KE5" i="123"/>
  <c r="HC5" i="120"/>
  <c r="FY5" i="106"/>
  <c r="KJ5" i="123"/>
  <c r="AT5" i="118"/>
  <c r="JK5" i="96"/>
  <c r="NG5" i="122"/>
  <c r="U5" i="109"/>
  <c r="EF5" i="121"/>
  <c r="MM5" i="99"/>
  <c r="JF5" i="112"/>
  <c r="FY5" i="114"/>
  <c r="JU5" i="124"/>
  <c r="AE5" i="99"/>
  <c r="KJ5" i="119"/>
  <c r="AT5" i="111"/>
  <c r="LI5" i="110"/>
  <c r="DB5" i="115"/>
  <c r="EF5" i="125"/>
  <c r="GI5" i="96"/>
  <c r="AE5" i="100"/>
  <c r="HH5" i="124"/>
  <c r="GX5" i="110"/>
  <c r="AY5" i="116"/>
  <c r="Z5" i="117"/>
  <c r="DV5" i="112"/>
  <c r="IQ5" i="109"/>
  <c r="K5" i="113"/>
  <c r="OA5" i="111"/>
  <c r="GS5" i="108"/>
  <c r="JF5" i="111"/>
  <c r="NG5" i="109"/>
  <c r="NL5" i="122"/>
  <c r="CH5" i="110"/>
  <c r="AO5" i="111"/>
  <c r="GD5" i="108"/>
  <c r="EZ5" i="111"/>
  <c r="EF5" i="109"/>
  <c r="KY5" i="108"/>
  <c r="JU5" i="120"/>
  <c r="EU5" i="113"/>
  <c r="GS5" i="121"/>
  <c r="KE5" i="113"/>
  <c r="JK5" i="95"/>
  <c r="BD5" i="102"/>
  <c r="AY5" i="118"/>
  <c r="IQ5" i="117"/>
  <c r="BD5" i="116"/>
  <c r="LS5" i="114"/>
  <c r="JU5" i="118"/>
  <c r="EU5" i="102"/>
  <c r="JA5" i="116"/>
  <c r="DQ5" i="122"/>
  <c r="NB5" i="100"/>
  <c r="MM5" i="97"/>
  <c r="HC5" i="110"/>
  <c r="DG5" i="97"/>
  <c r="JZ5" i="115"/>
  <c r="GX5" i="125"/>
  <c r="MW5" i="119"/>
  <c r="MM5" i="96"/>
  <c r="IG5" i="105"/>
  <c r="MW5" i="123"/>
  <c r="K5" i="107"/>
  <c r="NB5" i="107"/>
  <c r="AO5" i="117"/>
  <c r="AE5" i="97"/>
  <c r="MM5" i="98"/>
  <c r="JU5" i="111"/>
  <c r="MM5" i="95"/>
  <c r="GS5" i="125"/>
  <c r="CM5" i="119"/>
  <c r="GD5" i="106"/>
  <c r="JK5" i="99"/>
  <c r="JK5" i="97"/>
  <c r="AO5" i="123"/>
  <c r="IL5" i="102"/>
  <c r="NL5" i="109"/>
  <c r="CC5" i="108"/>
  <c r="GI5" i="97"/>
  <c r="GI5" i="99"/>
  <c r="DG5" i="98"/>
  <c r="BI5" i="103"/>
  <c r="AE5" i="98"/>
  <c r="DG5" i="100"/>
  <c r="DG5" i="96"/>
  <c r="JK5" i="98"/>
  <c r="JK5" i="100"/>
  <c r="DG5" i="99"/>
  <c r="GI5" i="98"/>
  <c r="MW5" i="101"/>
  <c r="FJ5" i="103"/>
  <c r="EZ5" i="101"/>
  <c r="NQ5" i="103"/>
  <c r="GI5" i="100"/>
  <c r="MW5" i="102"/>
  <c r="IB5" i="105"/>
  <c r="JA5" i="109"/>
  <c r="BI5" i="101"/>
  <c r="CH5" i="104"/>
  <c r="JU5" i="103"/>
  <c r="FY5" i="97"/>
  <c r="GS5" i="104"/>
  <c r="IQ5" i="101"/>
  <c r="DQ5" i="105"/>
  <c r="KO5" i="104"/>
  <c r="MH5" i="105"/>
  <c r="F5" i="105"/>
  <c r="EA5" i="107"/>
  <c r="BS5" i="106"/>
  <c r="GX5" i="121"/>
  <c r="JZ5" i="124"/>
  <c r="LN5" i="110"/>
  <c r="IL5" i="107"/>
  <c r="Z5" i="109"/>
  <c r="EA5" i="112"/>
  <c r="KJ5" i="106"/>
  <c r="JU5" i="112"/>
  <c r="LD5" i="108"/>
  <c r="CM5" i="110"/>
  <c r="CM5" i="116"/>
  <c r="AT5" i="117"/>
  <c r="EU5" i="109"/>
  <c r="FE5" i="111"/>
  <c r="OF5" i="111"/>
  <c r="U5" i="107"/>
  <c r="U5" i="113"/>
  <c r="AT5" i="114"/>
  <c r="DV5" i="122"/>
  <c r="EZ5" i="113"/>
  <c r="CW5" i="110"/>
  <c r="FJ5" i="109"/>
  <c r="JF5" i="116"/>
  <c r="GD5" i="114"/>
  <c r="NB5" i="119"/>
  <c r="MC5" i="114"/>
  <c r="HC5" i="121"/>
  <c r="JA5" i="117"/>
  <c r="AT5" i="123"/>
  <c r="JZ5" i="118"/>
  <c r="JF5" i="109"/>
  <c r="BD5" i="118"/>
  <c r="CW5" i="119"/>
  <c r="KJ5" i="113"/>
  <c r="Z5" i="113"/>
  <c r="KE5" i="115"/>
  <c r="BD5" i="117"/>
  <c r="KY5" i="106"/>
  <c r="CM5" i="118"/>
  <c r="NB5" i="123"/>
  <c r="MH5" i="114"/>
  <c r="AY5" i="114"/>
  <c r="MW5" i="105"/>
  <c r="IQ5" i="107"/>
  <c r="AY5" i="111"/>
  <c r="BX5" i="106"/>
  <c r="GX5" i="108"/>
  <c r="EF5" i="107"/>
  <c r="JZ5" i="120"/>
  <c r="EZ5" i="109"/>
  <c r="JZ5" i="112"/>
  <c r="LI5" i="108"/>
  <c r="NG5" i="107"/>
  <c r="CH5" i="108"/>
  <c r="AO5" i="109"/>
  <c r="A5" i="112"/>
  <c r="FJ5" i="111"/>
  <c r="OA5" i="109"/>
  <c r="HH5" i="110"/>
  <c r="LS5" i="110"/>
  <c r="JZ5" i="111"/>
  <c r="EF5" i="112"/>
  <c r="FO5" i="113"/>
  <c r="KY5" i="113"/>
  <c r="LI5" i="105"/>
  <c r="KE5" i="124"/>
  <c r="GS5" i="114"/>
  <c r="KJ5" i="115"/>
  <c r="JU5" i="116"/>
  <c r="HC5" i="104"/>
  <c r="NG5" i="119"/>
  <c r="CW5" i="116"/>
  <c r="OF5" i="109"/>
  <c r="KE5" i="120"/>
  <c r="DQ5" i="119"/>
  <c r="AY5" i="117"/>
  <c r="HC5" i="125"/>
  <c r="EA5" i="122"/>
  <c r="AY5" i="123"/>
  <c r="NG5" i="123"/>
  <c r="IL5" i="105"/>
  <c r="HH5" i="121"/>
  <c r="NL5" i="107"/>
  <c r="BD5" i="111"/>
  <c r="KE5" i="118"/>
  <c r="JU5" i="117"/>
  <c r="LD5" i="104"/>
  <c r="JA5" i="107"/>
  <c r="EA5" i="105"/>
  <c r="GS5" i="106"/>
  <c r="CC5" i="106"/>
  <c r="CM5" i="108"/>
  <c r="LD5" i="106"/>
  <c r="U5" i="105"/>
  <c r="EU5" i="107"/>
  <c r="AT5" i="109"/>
  <c r="NB5" i="105"/>
  <c r="GX5" i="92"/>
  <c r="DB5" i="110"/>
  <c r="JU5" i="109"/>
  <c r="Z5" i="107"/>
  <c r="KE5" i="116"/>
  <c r="MC5" i="110"/>
  <c r="HC5" i="108"/>
  <c r="HW5" i="110"/>
  <c r="KE5" i="111"/>
  <c r="DV5" i="119"/>
  <c r="LS5" i="115"/>
  <c r="FO5" i="111"/>
  <c r="LN5" i="108"/>
  <c r="FE5" i="109"/>
  <c r="KE5" i="112"/>
  <c r="GX5" i="91"/>
  <c r="JZ5" i="88"/>
  <c r="AO5" i="113"/>
  <c r="K5" i="112"/>
  <c r="JZ5" i="116"/>
  <c r="GX5" i="90"/>
  <c r="JZ5" i="95"/>
  <c r="NB5" i="92"/>
  <c r="NB5" i="89"/>
  <c r="LD5" i="113"/>
  <c r="LN5" i="105"/>
  <c r="GX5" i="114"/>
  <c r="MW5" i="114"/>
  <c r="DV5" i="99"/>
  <c r="JZ5" i="90"/>
  <c r="NB5" i="114"/>
  <c r="BD5" i="114"/>
  <c r="EA5" i="115"/>
  <c r="CW5" i="117"/>
  <c r="EU5" i="112"/>
  <c r="KJ5" i="112"/>
  <c r="DB5" i="116"/>
  <c r="GX5" i="98"/>
  <c r="AT5" i="99"/>
  <c r="AT5" i="98"/>
  <c r="KJ5" i="118"/>
  <c r="JZ5" i="93"/>
  <c r="KJ5" i="124"/>
  <c r="MC5" i="115"/>
  <c r="NL5" i="119"/>
  <c r="FY5" i="113"/>
  <c r="BD5" i="123"/>
  <c r="DV5" i="89"/>
  <c r="JZ5" i="117"/>
  <c r="KJ5" i="120"/>
  <c r="NL5" i="123"/>
  <c r="DV5" i="90"/>
  <c r="NB5" i="97"/>
  <c r="EF5" i="122"/>
  <c r="GX5" i="106"/>
  <c r="CW5" i="118"/>
  <c r="HH5" i="125"/>
  <c r="NB5" i="88"/>
  <c r="GX5" i="89"/>
  <c r="AT5" i="90"/>
  <c r="AT5" i="96"/>
  <c r="AT5" i="91"/>
  <c r="NB5" i="99"/>
  <c r="DV5" i="98"/>
  <c r="JZ5" i="92"/>
  <c r="NB5" i="91"/>
  <c r="GX5" i="93"/>
  <c r="DV5" i="91"/>
  <c r="NB5" i="90"/>
  <c r="DV5" i="92"/>
  <c r="JZ5" i="91"/>
  <c r="AT5" i="89"/>
  <c r="NB5" i="94"/>
  <c r="GX5" i="95"/>
  <c r="JZ5" i="94"/>
  <c r="NB5" i="93"/>
  <c r="DV5" i="94"/>
  <c r="AT5" i="92"/>
  <c r="NB5" i="96"/>
  <c r="AT5" i="94"/>
  <c r="NL5" i="102"/>
  <c r="JZ5" i="97"/>
  <c r="BS5" i="102"/>
  <c r="NB5" i="95"/>
  <c r="KE5" i="100"/>
  <c r="AT5" i="93"/>
  <c r="DV5" i="93"/>
  <c r="EP5" i="45"/>
  <c r="IB5" i="110"/>
  <c r="CM5" i="117"/>
  <c r="DV5" i="116"/>
  <c r="OF5" i="107"/>
  <c r="DV5" i="96"/>
  <c r="DV5" i="97"/>
  <c r="JZ5" i="99"/>
  <c r="GX5" i="99"/>
  <c r="NQ5" i="100"/>
  <c r="JZ5" i="96"/>
  <c r="AT5" i="95"/>
  <c r="JU5" i="121"/>
  <c r="AT5" i="97"/>
  <c r="GX5" i="97"/>
  <c r="DV5" i="95"/>
  <c r="JZ5" i="98"/>
  <c r="FO5" i="101"/>
  <c r="NB5" i="98"/>
  <c r="GX5" i="96"/>
  <c r="BX5" i="114"/>
  <c r="AO5" i="124"/>
  <c r="LS5" i="108"/>
  <c r="KJ5" i="103"/>
  <c r="AT5" i="100"/>
  <c r="GX5" i="100"/>
  <c r="DV5" i="100"/>
  <c r="LS5" i="118"/>
  <c r="AY5" i="109"/>
  <c r="GD5" i="103"/>
  <c r="BX5" i="101"/>
  <c r="JU5" i="101"/>
  <c r="AO5" i="107"/>
  <c r="CW5" i="108"/>
  <c r="JF5" i="102"/>
  <c r="FJ5" i="102"/>
  <c r="Z5" i="105"/>
  <c r="NG5" i="105"/>
  <c r="HH5" i="104"/>
  <c r="U5" i="112"/>
  <c r="NL5" i="101"/>
  <c r="A5" i="110"/>
  <c r="HH5" i="108"/>
  <c r="EA5" i="119"/>
  <c r="DQ5" i="110"/>
  <c r="EZ5" i="107"/>
  <c r="AY5" i="113"/>
  <c r="NQ5" i="99"/>
  <c r="DB5" i="104"/>
  <c r="CC5" i="103"/>
  <c r="EF5" i="105"/>
  <c r="LI5" i="106"/>
  <c r="DQ5" i="118"/>
  <c r="A5" i="104"/>
  <c r="CH5" i="106"/>
  <c r="IQ5" i="105"/>
  <c r="CM5" i="114"/>
  <c r="LI5" i="104"/>
  <c r="JF5" i="107"/>
  <c r="EZ5" i="112"/>
  <c r="KJ5" i="111"/>
  <c r="FY5" i="111"/>
  <c r="OA5" i="107"/>
  <c r="MH5" i="110"/>
  <c r="BS5" i="111"/>
  <c r="GD5" i="113"/>
  <c r="LS5" i="113"/>
  <c r="JZ5" i="109"/>
  <c r="NG5" i="114"/>
  <c r="BS5" i="114"/>
  <c r="HC5" i="114"/>
  <c r="EF5" i="115"/>
  <c r="DQ5" i="116"/>
  <c r="GX5" i="122"/>
  <c r="HW5" i="108"/>
  <c r="MW5" i="120"/>
  <c r="GD5" i="111"/>
  <c r="AT5" i="113"/>
  <c r="AO5" i="120"/>
  <c r="GS5" i="122"/>
  <c r="DQ5" i="123"/>
  <c r="KE5" i="117"/>
  <c r="JZ5" i="125"/>
  <c r="MW5" i="124"/>
  <c r="JU5" i="125"/>
  <c r="EU5" i="116"/>
  <c r="MC5" i="108"/>
  <c r="BD5" i="109"/>
  <c r="F5" i="110"/>
  <c r="DB5" i="108"/>
  <c r="AT5" i="105"/>
  <c r="IG5" i="110"/>
  <c r="DV5" i="110"/>
  <c r="FO5" i="109"/>
  <c r="FO5" i="112"/>
  <c r="EA5" i="110"/>
  <c r="BX5" i="111"/>
  <c r="MW5" i="115"/>
  <c r="MC5" i="113"/>
  <c r="A5" i="108"/>
  <c r="FO5" i="115"/>
  <c r="KE5" i="109"/>
  <c r="KY5" i="112"/>
  <c r="HH5" i="114"/>
  <c r="GS5" i="113"/>
  <c r="MW5" i="110"/>
  <c r="Z5" i="112"/>
  <c r="DQ5" i="117"/>
  <c r="EF5" i="119"/>
  <c r="MH5" i="115"/>
  <c r="OA5" i="101"/>
  <c r="JZ5" i="107"/>
  <c r="IL5" i="110"/>
  <c r="LD5" i="111"/>
  <c r="KY5" i="111"/>
  <c r="HM5" i="97"/>
  <c r="CC5" i="111"/>
  <c r="NB5" i="124"/>
  <c r="AT5" i="124"/>
  <c r="KJ5" i="117"/>
  <c r="JF5" i="105"/>
  <c r="DQ5" i="108"/>
  <c r="GS5" i="111"/>
  <c r="LS5" i="116"/>
  <c r="FE5" i="105"/>
  <c r="EA5" i="123"/>
  <c r="MC5" i="118"/>
  <c r="BS5" i="109"/>
  <c r="NB5" i="120"/>
  <c r="AT5" i="120"/>
  <c r="FY5" i="112"/>
  <c r="KE5" i="121"/>
  <c r="DV5" i="123"/>
  <c r="FY5" i="115"/>
  <c r="KJ5" i="116"/>
  <c r="DV5" i="118"/>
  <c r="EZ5" i="105"/>
  <c r="OA5" i="105"/>
  <c r="CW5" i="106"/>
  <c r="HH5" i="106"/>
  <c r="LS5" i="106"/>
  <c r="NB5" i="110"/>
  <c r="JZ5" i="121"/>
  <c r="K5" i="110"/>
  <c r="IB5" i="108"/>
  <c r="KJ5" i="101"/>
  <c r="FY5" i="119"/>
  <c r="MW5" i="118"/>
  <c r="FY5" i="109"/>
  <c r="AY5" i="107"/>
  <c r="KJ5" i="109"/>
  <c r="KT5" i="100"/>
  <c r="AO5" i="112"/>
  <c r="FJ5" i="107"/>
  <c r="HW5" i="122"/>
  <c r="DV5" i="108"/>
  <c r="HW5" i="115"/>
  <c r="MH5" i="108"/>
  <c r="EK5" i="98"/>
  <c r="GX5" i="113"/>
  <c r="AY5" i="120"/>
  <c r="LD5" i="112"/>
  <c r="NQ5" i="98"/>
  <c r="MH5" i="113"/>
  <c r="HW5" i="114"/>
  <c r="NL5" i="114"/>
  <c r="NG5" i="124"/>
  <c r="AY5" i="124"/>
  <c r="EK5" i="97"/>
  <c r="KE5" i="102"/>
  <c r="KY5" i="109"/>
  <c r="EA5" i="116"/>
  <c r="EK5" i="99"/>
  <c r="EA5" i="118"/>
  <c r="BX5" i="109"/>
  <c r="BD5" i="113"/>
  <c r="EU5" i="118"/>
  <c r="EU5" i="119"/>
  <c r="IB5" i="104"/>
  <c r="LS5" i="117"/>
  <c r="KE5" i="125"/>
  <c r="JU5" i="105"/>
  <c r="GD5" i="109"/>
  <c r="KO5" i="97"/>
  <c r="HM5" i="98"/>
  <c r="NQ5" i="97"/>
  <c r="NG5" i="120"/>
  <c r="HC5" i="122"/>
  <c r="CM5" i="101"/>
  <c r="BI5" i="99"/>
  <c r="NG5" i="110"/>
  <c r="HM5" i="99"/>
  <c r="EK5" i="100"/>
  <c r="OF5" i="118"/>
  <c r="HC5" i="103"/>
  <c r="BI5" i="100"/>
  <c r="OA5" i="119"/>
  <c r="CW5" i="114"/>
  <c r="MC5" i="116"/>
  <c r="HM5" i="100"/>
  <c r="BI5" i="98"/>
  <c r="OA5" i="115"/>
  <c r="HW5" i="119"/>
  <c r="U5" i="104"/>
  <c r="GD5" i="102"/>
  <c r="BS5" i="121"/>
  <c r="LD5" i="103"/>
  <c r="OF5" i="100"/>
  <c r="GS5" i="101"/>
  <c r="KO5" i="98"/>
  <c r="OF5" i="102"/>
  <c r="CH5" i="102"/>
  <c r="CW5" i="103"/>
  <c r="MC5" i="104"/>
  <c r="EA5" i="104"/>
  <c r="AY5" i="105"/>
  <c r="OF5" i="105"/>
  <c r="FO5" i="107"/>
  <c r="DV5" i="117"/>
  <c r="DB5" i="106"/>
  <c r="HW5" i="120"/>
  <c r="IB5" i="114"/>
  <c r="MC5" i="106"/>
  <c r="MW5" i="108"/>
  <c r="BD5" i="107"/>
  <c r="BD5" i="124"/>
  <c r="HW5" i="106"/>
  <c r="IG5" i="108"/>
  <c r="KE5" i="107"/>
  <c r="F5" i="108"/>
  <c r="GS5" i="119"/>
  <c r="BS5" i="115"/>
  <c r="EF5" i="110"/>
  <c r="IQ5" i="110"/>
  <c r="U5" i="110"/>
  <c r="AT5" i="112"/>
  <c r="CH5" i="111"/>
  <c r="LI5" i="111"/>
  <c r="HC5" i="113"/>
  <c r="GX5" i="111"/>
  <c r="MW5" i="113"/>
  <c r="LS5" i="112"/>
  <c r="BS5" i="113"/>
  <c r="GD5" i="112"/>
  <c r="BD5" i="120"/>
  <c r="NB5" i="118"/>
  <c r="GD5" i="115"/>
  <c r="K5" i="115"/>
  <c r="NB5" i="115"/>
  <c r="EF5" i="116"/>
  <c r="MC5" i="117"/>
  <c r="EF5" i="118"/>
  <c r="KJ5" i="121"/>
  <c r="NL5" i="124"/>
  <c r="NL5" i="120"/>
  <c r="OA5" i="114"/>
  <c r="HH5" i="122"/>
  <c r="EU5" i="115"/>
  <c r="KJ5" i="125"/>
  <c r="EF5" i="123"/>
  <c r="KY5" i="118"/>
  <c r="LD5" i="115"/>
  <c r="BS5" i="119"/>
  <c r="KY5" i="122"/>
  <c r="KY5" i="115"/>
  <c r="BS5" i="116"/>
  <c r="HW5" i="116"/>
  <c r="EU5" i="117"/>
  <c r="KY5" i="117"/>
  <c r="OA5" i="116"/>
  <c r="BS5" i="117"/>
  <c r="BS5" i="118"/>
  <c r="HW5" i="117"/>
  <c r="OA5" i="117"/>
  <c r="OA5" i="121"/>
  <c r="HW5" i="118"/>
  <c r="OA5" i="118"/>
  <c r="KY5" i="119"/>
  <c r="BS5" i="120"/>
  <c r="EU5" i="122"/>
  <c r="KY5" i="116"/>
  <c r="KY5" i="120"/>
  <c r="HW5" i="121"/>
  <c r="EU5" i="120"/>
  <c r="OA5" i="120"/>
  <c r="KY5" i="123"/>
  <c r="EU5" i="123"/>
  <c r="KY5" i="121"/>
  <c r="OA5" i="122"/>
  <c r="EU5" i="121"/>
  <c r="BS5" i="122"/>
  <c r="BS5" i="123"/>
  <c r="HW5" i="123"/>
  <c r="OA5" i="123"/>
  <c r="CC5" i="123"/>
  <c r="KY5" i="124"/>
  <c r="BS5" i="124"/>
  <c r="OA5" i="124"/>
  <c r="EU5" i="124"/>
  <c r="EU5" i="125"/>
  <c r="BS5" i="125"/>
  <c r="HW5" i="124"/>
  <c r="KY5" i="125"/>
  <c r="OF5" i="114"/>
  <c r="HW5" i="125"/>
  <c r="FJ5" i="117"/>
  <c r="BX5" i="115"/>
  <c r="LD5" i="116"/>
  <c r="IB5" i="117"/>
  <c r="EZ5" i="117"/>
  <c r="EZ5" i="115"/>
  <c r="IB5" i="118"/>
  <c r="LD5" i="114"/>
  <c r="IB5" i="115"/>
  <c r="BX5" i="116"/>
  <c r="OF5" i="115"/>
  <c r="IB5" i="116"/>
  <c r="EZ5" i="116"/>
  <c r="BX5" i="122"/>
  <c r="FE5" i="112"/>
  <c r="F5" i="120"/>
  <c r="OF5" i="116"/>
  <c r="BX5" i="117"/>
  <c r="CC5" i="116"/>
  <c r="EZ5" i="118"/>
  <c r="OF5" i="117"/>
  <c r="LD5" i="117"/>
  <c r="IB5" i="119"/>
  <c r="LD5" i="118"/>
  <c r="BX5" i="118"/>
  <c r="IB5" i="120"/>
  <c r="BX5" i="119"/>
  <c r="BX5" i="120"/>
  <c r="IB5" i="124"/>
  <c r="EZ5" i="119"/>
  <c r="LD5" i="119"/>
  <c r="EZ5" i="120"/>
  <c r="OF5" i="120"/>
  <c r="OF5" i="119"/>
  <c r="LI5" i="114"/>
  <c r="FE5" i="116"/>
  <c r="LD5" i="120"/>
  <c r="CC5" i="113"/>
  <c r="EZ5" i="124"/>
  <c r="IB5" i="121"/>
  <c r="EZ5" i="121"/>
  <c r="LD5" i="121"/>
  <c r="BX5" i="121"/>
  <c r="IB5" i="122"/>
  <c r="LD5" i="122"/>
  <c r="BX5" i="123"/>
  <c r="EZ5" i="123"/>
  <c r="OF5" i="122"/>
  <c r="LD5" i="123"/>
  <c r="OF5" i="123"/>
  <c r="OF5" i="124"/>
  <c r="OF5" i="121"/>
  <c r="IB5" i="123"/>
  <c r="LN5" i="116"/>
  <c r="BX5" i="124"/>
  <c r="FJ5" i="114"/>
  <c r="FE5" i="124"/>
  <c r="LD5" i="124"/>
  <c r="EZ5" i="122"/>
  <c r="IG5" i="116"/>
  <c r="BX5" i="125"/>
  <c r="CH5" i="120"/>
  <c r="EZ5" i="125"/>
  <c r="IG5" i="122"/>
  <c r="LD5" i="125"/>
  <c r="IB5" i="125"/>
  <c r="F5" i="117"/>
  <c r="A5" i="113"/>
  <c r="CC5" i="112"/>
  <c r="FE5" i="113"/>
  <c r="CC5" i="114"/>
  <c r="IG5" i="113"/>
  <c r="IG5" i="112"/>
  <c r="LI5" i="112"/>
  <c r="A5" i="114"/>
  <c r="IG5" i="114"/>
  <c r="FE5" i="117"/>
  <c r="LI5" i="113"/>
  <c r="FE5" i="114"/>
  <c r="FE5" i="115"/>
  <c r="A5" i="115"/>
  <c r="IG5" i="115"/>
  <c r="CC5" i="119"/>
  <c r="CC5" i="115"/>
  <c r="A5" i="116"/>
  <c r="IG5" i="119"/>
  <c r="LI5" i="116"/>
  <c r="IG5" i="117"/>
  <c r="FE5" i="118"/>
  <c r="A5" i="118"/>
  <c r="A5" i="117"/>
  <c r="LI5" i="119"/>
  <c r="CC5" i="118"/>
  <c r="JU5" i="89"/>
  <c r="LI5" i="117"/>
  <c r="JU5" i="113"/>
  <c r="CM5" i="100"/>
  <c r="LI5" i="115"/>
  <c r="CC5" i="121"/>
  <c r="A5" i="119"/>
  <c r="A5" i="124"/>
  <c r="IG5" i="121"/>
  <c r="IQ5" i="124"/>
  <c r="A5" i="122"/>
  <c r="FE5" i="119"/>
  <c r="FJ5" i="112"/>
  <c r="FE5" i="121"/>
  <c r="CC5" i="117"/>
  <c r="FO5" i="122"/>
  <c r="JZ5" i="89"/>
  <c r="LN5" i="117"/>
  <c r="JZ5" i="113"/>
  <c r="CR5" i="100"/>
  <c r="FE5" i="120"/>
  <c r="LI5" i="120"/>
  <c r="LI5" i="125"/>
  <c r="A5" i="120"/>
  <c r="IG5" i="120"/>
  <c r="CC5" i="120"/>
  <c r="LI5" i="123"/>
  <c r="FE5" i="123"/>
  <c r="A5" i="121"/>
  <c r="FJ5" i="113"/>
  <c r="CC5" i="122"/>
  <c r="CH5" i="116"/>
  <c r="IG5" i="118"/>
  <c r="LI5" i="118"/>
  <c r="LI5" i="121"/>
  <c r="LS5" i="119"/>
  <c r="FE5" i="122"/>
  <c r="LI5" i="122"/>
  <c r="CH5" i="113"/>
  <c r="A5" i="123"/>
  <c r="LI5" i="124"/>
  <c r="IG5" i="123"/>
  <c r="CC5" i="124"/>
  <c r="IV5" i="102"/>
  <c r="A5" i="125"/>
  <c r="F5" i="116"/>
  <c r="IG5" i="124"/>
  <c r="LN5" i="114"/>
  <c r="CC5" i="125"/>
  <c r="CH5" i="115"/>
  <c r="FE5" i="125"/>
  <c r="IG5" i="125"/>
  <c r="F5" i="112"/>
  <c r="CH5" i="112"/>
  <c r="IL5" i="112"/>
  <c r="IL5" i="117"/>
  <c r="F5" i="119"/>
  <c r="LN5" i="112"/>
  <c r="F5" i="113"/>
  <c r="CH5" i="114"/>
  <c r="F5" i="114"/>
  <c r="IQ5" i="121"/>
  <c r="LN5" i="113"/>
  <c r="IL5" i="113"/>
  <c r="FJ5" i="120"/>
  <c r="IL5" i="115"/>
  <c r="F5" i="115"/>
  <c r="FJ5" i="115"/>
  <c r="IL5" i="114"/>
  <c r="IL5" i="118"/>
  <c r="CH5" i="121"/>
  <c r="LN5" i="115"/>
  <c r="F5" i="118"/>
  <c r="FJ5" i="116"/>
  <c r="IL5" i="116"/>
  <c r="LN5" i="120"/>
  <c r="K5" i="124"/>
  <c r="P5" i="101"/>
  <c r="CH5" i="117"/>
  <c r="FJ5" i="118"/>
  <c r="CH5" i="118"/>
  <c r="CH5" i="119"/>
  <c r="IV5" i="105"/>
  <c r="K5" i="122"/>
  <c r="LN5" i="118"/>
  <c r="LN5" i="119"/>
  <c r="FJ5" i="119"/>
  <c r="IL5" i="119"/>
  <c r="IL5" i="120"/>
  <c r="CR5" i="106"/>
  <c r="LX5" i="101"/>
  <c r="FJ5" i="122"/>
  <c r="FT5" i="101"/>
  <c r="LN5" i="123"/>
  <c r="F5" i="124"/>
  <c r="F5" i="121"/>
  <c r="FJ5" i="121"/>
  <c r="IL5" i="121"/>
  <c r="CH5" i="123"/>
  <c r="LN5" i="125"/>
  <c r="IV5" i="104"/>
  <c r="LN5" i="121"/>
  <c r="F5" i="122"/>
  <c r="FJ5" i="124"/>
  <c r="LX5" i="107"/>
  <c r="LX5" i="114"/>
  <c r="IV5" i="115"/>
  <c r="IQ5" i="122"/>
  <c r="LX5" i="111"/>
  <c r="FT5" i="109"/>
  <c r="IQ5" i="125"/>
  <c r="LN5" i="122"/>
  <c r="IL5" i="122"/>
  <c r="F5" i="123"/>
  <c r="CH5" i="122"/>
  <c r="FJ5" i="123"/>
  <c r="IL5" i="123"/>
  <c r="CH5" i="124"/>
  <c r="IL5" i="124"/>
  <c r="F5" i="125"/>
  <c r="CH5" i="125"/>
  <c r="LN5" i="124"/>
  <c r="IL5" i="125"/>
  <c r="FJ5" i="125"/>
  <c r="FO5" i="119"/>
  <c r="IQ5" i="119"/>
  <c r="CM5" i="120"/>
  <c r="K5" i="123"/>
  <c r="LS5" i="120"/>
  <c r="K5" i="121"/>
  <c r="CM5" i="125"/>
  <c r="IQ5" i="120"/>
  <c r="CM5" i="121"/>
  <c r="CM5" i="122"/>
  <c r="LS5" i="121"/>
  <c r="FT5" i="107"/>
  <c r="FO5" i="121"/>
  <c r="LX5" i="102"/>
  <c r="K5" i="120"/>
  <c r="LS5" i="122"/>
  <c r="IQ5" i="123"/>
  <c r="CR5" i="114"/>
  <c r="JA5" i="124"/>
  <c r="CM5" i="123"/>
  <c r="FO5" i="123"/>
  <c r="FO5" i="120"/>
  <c r="LS5" i="123"/>
  <c r="CM5" i="124"/>
  <c r="K5" i="125"/>
  <c r="FO5" i="124"/>
  <c r="LS5" i="124"/>
  <c r="FO5" i="125"/>
  <c r="CR5" i="101"/>
  <c r="LS5" i="125"/>
  <c r="IV5" i="101"/>
  <c r="FT5" i="102"/>
  <c r="LX5" i="103"/>
  <c r="CR5" i="102"/>
  <c r="P5" i="102"/>
  <c r="P5" i="103"/>
  <c r="IV5" i="103"/>
  <c r="FT5" i="103"/>
  <c r="IV5" i="107"/>
  <c r="CR5" i="103"/>
  <c r="CR5" i="107"/>
  <c r="FT5" i="104"/>
  <c r="P5" i="104"/>
  <c r="CR5" i="104"/>
  <c r="CR5" i="105"/>
  <c r="LX5" i="105"/>
  <c r="FT5" i="105"/>
  <c r="IV5" i="106"/>
  <c r="P5" i="106"/>
  <c r="P5" i="105"/>
  <c r="FT5" i="106"/>
  <c r="FT5" i="110"/>
  <c r="U5" i="122"/>
  <c r="LX5" i="104"/>
  <c r="P5" i="116"/>
  <c r="LX5" i="106"/>
  <c r="P5" i="107"/>
  <c r="LX5" i="108"/>
  <c r="P5" i="108"/>
  <c r="P5" i="110"/>
  <c r="FT5" i="108"/>
  <c r="CR5" i="108"/>
  <c r="IV5" i="109"/>
  <c r="IV5" i="108"/>
  <c r="LX5" i="109"/>
  <c r="CR5" i="109"/>
  <c r="P5" i="109"/>
  <c r="CR5" i="115"/>
  <c r="IV5" i="122"/>
  <c r="LX5" i="113"/>
  <c r="P5" i="112"/>
  <c r="CR5" i="111"/>
  <c r="IV5" i="111"/>
  <c r="CR5" i="110"/>
  <c r="IV5" i="110"/>
  <c r="LX5" i="110"/>
  <c r="FT5" i="111"/>
  <c r="P5" i="111"/>
  <c r="CW5" i="125"/>
  <c r="IV5" i="113"/>
  <c r="FT5" i="112"/>
  <c r="IV5" i="112"/>
  <c r="LX5" i="112"/>
  <c r="CR5" i="112"/>
  <c r="P5" i="113"/>
  <c r="IV5" i="114"/>
  <c r="FT5" i="113"/>
  <c r="GD5" i="123"/>
  <c r="P5" i="114"/>
  <c r="CR5" i="113"/>
  <c r="FT5" i="114"/>
  <c r="JK5" i="108"/>
  <c r="MC5" i="122"/>
  <c r="FY5" i="122"/>
  <c r="FT5" i="124"/>
  <c r="IV5" i="124"/>
  <c r="P5" i="115"/>
  <c r="MC5" i="125"/>
  <c r="JA5" i="123"/>
  <c r="FT5" i="115"/>
  <c r="LX5" i="115"/>
  <c r="FT5" i="116"/>
  <c r="CW5" i="122"/>
  <c r="LX5" i="116"/>
  <c r="CR5" i="116"/>
  <c r="FT5" i="117"/>
  <c r="IV5" i="117"/>
  <c r="OF5" i="82"/>
  <c r="P5" i="117"/>
  <c r="LX5" i="121"/>
  <c r="IV5" i="116"/>
  <c r="IV5" i="121"/>
  <c r="CR5" i="117"/>
  <c r="Z5" i="122"/>
  <c r="CR5" i="118"/>
  <c r="LX5" i="117"/>
  <c r="FT5" i="118"/>
  <c r="P5" i="118"/>
  <c r="IV5" i="118"/>
  <c r="LX5" i="118"/>
  <c r="P5" i="119"/>
  <c r="FT5" i="125"/>
  <c r="Z5" i="119"/>
  <c r="LX5" i="120"/>
  <c r="FT5" i="119"/>
  <c r="FT5" i="120"/>
  <c r="IV5" i="119"/>
  <c r="P5" i="120"/>
  <c r="CR5" i="120"/>
  <c r="CR5" i="119"/>
  <c r="LX5" i="119"/>
  <c r="IV5" i="120"/>
  <c r="CR5" i="122"/>
  <c r="P5" i="124"/>
  <c r="CR5" i="121"/>
  <c r="FT5" i="122"/>
  <c r="P5" i="122"/>
  <c r="LX5" i="122"/>
  <c r="CR5" i="123"/>
  <c r="P5" i="123"/>
  <c r="GD5" i="119"/>
  <c r="FT5" i="123"/>
  <c r="P5" i="121"/>
  <c r="CR5" i="124"/>
  <c r="CW5" i="120"/>
  <c r="U5" i="121"/>
  <c r="JF5" i="118"/>
  <c r="FT5" i="121"/>
  <c r="P5" i="125"/>
  <c r="DB5" i="118"/>
  <c r="LX5" i="124"/>
  <c r="DB5" i="121"/>
  <c r="GD5" i="122"/>
  <c r="MC5" i="121"/>
  <c r="MC5" i="119"/>
  <c r="GD5" i="117"/>
  <c r="MC5" i="120"/>
  <c r="LX5" i="125"/>
  <c r="IV5" i="125"/>
  <c r="IV5" i="123"/>
  <c r="U5" i="123"/>
  <c r="U5" i="120"/>
  <c r="CW5" i="123"/>
  <c r="LX5" i="123"/>
  <c r="JA5" i="121"/>
  <c r="FY5" i="121"/>
  <c r="CW5" i="121"/>
  <c r="MH5" i="119"/>
  <c r="CR5" i="125"/>
  <c r="FY5" i="123"/>
  <c r="JA5" i="122"/>
  <c r="FY5" i="120"/>
  <c r="JA5" i="120"/>
  <c r="CW5" i="124"/>
  <c r="U5" i="124"/>
  <c r="KO5" i="99"/>
  <c r="FY5" i="124"/>
  <c r="MC5" i="123"/>
  <c r="MC5" i="124"/>
  <c r="DG5" i="106"/>
  <c r="MH5" i="123"/>
  <c r="GD5" i="118"/>
  <c r="U5" i="125"/>
  <c r="FY5" i="125"/>
  <c r="DG5" i="103"/>
  <c r="MM5" i="119"/>
  <c r="MM5" i="110"/>
  <c r="DB5" i="117"/>
  <c r="AE5" i="102"/>
  <c r="GI5" i="105"/>
  <c r="JA5" i="125"/>
  <c r="DG5" i="101"/>
  <c r="JP5" i="110"/>
  <c r="MH5" i="117"/>
  <c r="JF5" i="117"/>
  <c r="MH5" i="118"/>
  <c r="Z5" i="118"/>
  <c r="JF5" i="119"/>
  <c r="DB5" i="119"/>
  <c r="Z5" i="120"/>
  <c r="DB5" i="120"/>
  <c r="MH5" i="120"/>
  <c r="GD5" i="120"/>
  <c r="JF5" i="120"/>
  <c r="Z5" i="121"/>
  <c r="GD5" i="121"/>
  <c r="MM5" i="103"/>
  <c r="JK5" i="109"/>
  <c r="JF5" i="121"/>
  <c r="MH5" i="121"/>
  <c r="DB5" i="122"/>
  <c r="JK5" i="103"/>
  <c r="GN5" i="103"/>
  <c r="JF5" i="122"/>
  <c r="MH5" i="122"/>
  <c r="AE5" i="103"/>
  <c r="AE5" i="107"/>
  <c r="Z5" i="123"/>
  <c r="Z5" i="124"/>
  <c r="JF5" i="123"/>
  <c r="DB5" i="123"/>
  <c r="JK5" i="107"/>
  <c r="DB5" i="125"/>
  <c r="Z5" i="125"/>
  <c r="DG5" i="108"/>
  <c r="JP5" i="105"/>
  <c r="DG5" i="110"/>
  <c r="DB5" i="124"/>
  <c r="KT5" i="99"/>
  <c r="GD5" i="124"/>
  <c r="JF5" i="124"/>
  <c r="DG5" i="114"/>
  <c r="AE5" i="114"/>
  <c r="MH5" i="124"/>
  <c r="GD5" i="125"/>
  <c r="JK5" i="122"/>
  <c r="GI5" i="101"/>
  <c r="JK5" i="101"/>
  <c r="JF5" i="125"/>
  <c r="MM5" i="100"/>
  <c r="MH5" i="125"/>
  <c r="AE5" i="101"/>
  <c r="GI5" i="102"/>
  <c r="MM5" i="101"/>
  <c r="DG5" i="102"/>
  <c r="JK5" i="102"/>
  <c r="MM5" i="102"/>
  <c r="AE5" i="104"/>
  <c r="AE5" i="109"/>
  <c r="GI5" i="103"/>
  <c r="JK5" i="115"/>
  <c r="GI5" i="104"/>
  <c r="JK5" i="104"/>
  <c r="MM5" i="115"/>
  <c r="MM5" i="104"/>
  <c r="MM5" i="107"/>
  <c r="GI5" i="110"/>
  <c r="AE5" i="105"/>
  <c r="DG5" i="105"/>
  <c r="AE5" i="112"/>
  <c r="MM5" i="106"/>
  <c r="JK5" i="105"/>
  <c r="MM5" i="105"/>
  <c r="AE5" i="115"/>
  <c r="DL5" i="117"/>
  <c r="AE5" i="106"/>
  <c r="MM5" i="109"/>
  <c r="DG5" i="104"/>
  <c r="JK5" i="106"/>
  <c r="GI5" i="106"/>
  <c r="DG5" i="107"/>
  <c r="GI5" i="107"/>
  <c r="AE5" i="108"/>
  <c r="GI5" i="108"/>
  <c r="DQ5" i="115"/>
  <c r="MM5" i="108"/>
  <c r="GI5" i="112"/>
  <c r="JK5" i="113"/>
  <c r="DG5" i="109"/>
  <c r="DG5" i="115"/>
  <c r="AE5" i="110"/>
  <c r="DG5" i="112"/>
  <c r="DG5" i="111"/>
  <c r="AE5" i="111"/>
  <c r="JP5" i="108"/>
  <c r="JK5" i="110"/>
  <c r="AJ5" i="102"/>
  <c r="AE5" i="120"/>
  <c r="GI5" i="113"/>
  <c r="GI5" i="111"/>
  <c r="JK5" i="112"/>
  <c r="MM5" i="111"/>
  <c r="JK5" i="111"/>
  <c r="MM5" i="112"/>
  <c r="GI5" i="109"/>
  <c r="MM5" i="113"/>
  <c r="AE5" i="113"/>
  <c r="JK5" i="114"/>
  <c r="GI5" i="114"/>
  <c r="DG5" i="113"/>
  <c r="MM5" i="116"/>
  <c r="MM5" i="114"/>
  <c r="GI5" i="115"/>
  <c r="GI5" i="116"/>
  <c r="JK5" i="116"/>
  <c r="AE5" i="116"/>
  <c r="DG5" i="117"/>
  <c r="JK5" i="117"/>
  <c r="AE5" i="123"/>
  <c r="DG5" i="116"/>
  <c r="GI5" i="117"/>
  <c r="AE5" i="117"/>
  <c r="MM5" i="118"/>
  <c r="MM5" i="117"/>
  <c r="GI5" i="120"/>
  <c r="AE5" i="118"/>
  <c r="JK5" i="124"/>
  <c r="DG5" i="118"/>
  <c r="GI5" i="118"/>
  <c r="HW5" i="70"/>
  <c r="JK5" i="118"/>
  <c r="JP5" i="122"/>
  <c r="AE5" i="124"/>
  <c r="GI5" i="119"/>
  <c r="AE5" i="119"/>
  <c r="DG5" i="119"/>
  <c r="FO5" i="72"/>
  <c r="MM5" i="121"/>
  <c r="GS5" i="94"/>
  <c r="JK5" i="119"/>
  <c r="AE5" i="121"/>
  <c r="AJ5" i="103"/>
  <c r="GI5" i="125"/>
  <c r="DG5" i="121"/>
  <c r="DG5" i="123"/>
  <c r="DG5" i="124"/>
  <c r="MM5" i="125"/>
  <c r="GN5" i="101"/>
  <c r="JK5" i="120"/>
  <c r="JP5" i="100"/>
  <c r="DG5" i="120"/>
  <c r="MM5" i="120"/>
  <c r="AE5" i="122"/>
  <c r="GI5" i="121"/>
  <c r="DG5" i="122"/>
  <c r="GI5" i="122"/>
  <c r="MM5" i="122"/>
  <c r="JP5" i="101"/>
  <c r="GI5" i="123"/>
  <c r="AJ5" i="101"/>
  <c r="JK5" i="121"/>
  <c r="BI5" i="110"/>
  <c r="MR5" i="100"/>
  <c r="DL5" i="102"/>
  <c r="MM5" i="123"/>
  <c r="DG5" i="125"/>
  <c r="MM5" i="124"/>
  <c r="GI5" i="124"/>
  <c r="GN5" i="102"/>
  <c r="DL5" i="103"/>
  <c r="GN5" i="111"/>
  <c r="AE5" i="125"/>
  <c r="AJ5" i="107"/>
  <c r="MR5" i="103"/>
  <c r="JK5" i="125"/>
  <c r="JK5" i="123"/>
  <c r="DV5" i="115"/>
  <c r="MR5" i="108"/>
  <c r="MR5" i="106"/>
  <c r="MR5" i="101"/>
  <c r="DL5" i="104"/>
  <c r="DL5" i="101"/>
  <c r="GN5" i="104"/>
  <c r="MR5" i="102"/>
  <c r="JP5" i="102"/>
  <c r="AJ5" i="104"/>
  <c r="JP5" i="103"/>
  <c r="JP5" i="104"/>
  <c r="GN5" i="110"/>
  <c r="MR5" i="107"/>
  <c r="MR5" i="115"/>
  <c r="EK5" i="107"/>
  <c r="JP5" i="119"/>
  <c r="AJ5" i="105"/>
  <c r="DL5" i="106"/>
  <c r="MR5" i="104"/>
  <c r="DL5" i="105"/>
  <c r="DL5" i="109"/>
  <c r="GN5" i="105"/>
  <c r="MR5" i="105"/>
  <c r="JP5" i="115"/>
  <c r="DL5" i="114"/>
  <c r="JP5" i="106"/>
  <c r="NQ5" i="107"/>
  <c r="DL5" i="121"/>
  <c r="JP5" i="112"/>
  <c r="AJ5" i="106"/>
  <c r="DL5" i="113"/>
  <c r="JP5" i="120"/>
  <c r="GN5" i="106"/>
  <c r="DL5" i="107"/>
  <c r="AJ5" i="111"/>
  <c r="GN5" i="120"/>
  <c r="GN5" i="107"/>
  <c r="AJ5" i="116"/>
  <c r="JP5" i="107"/>
  <c r="AJ5" i="122"/>
  <c r="HM5" i="108"/>
  <c r="DL5" i="108"/>
  <c r="AJ5" i="108"/>
  <c r="GN5" i="108"/>
  <c r="AJ5" i="109"/>
  <c r="MR5" i="117"/>
  <c r="GN5" i="109"/>
  <c r="JP5" i="109"/>
  <c r="MR5" i="109"/>
  <c r="AJ5" i="110"/>
  <c r="DL5" i="110"/>
  <c r="MR5" i="110"/>
  <c r="DL5" i="111"/>
  <c r="GN5" i="113"/>
  <c r="JP5" i="111"/>
  <c r="AJ5" i="112"/>
  <c r="MR5" i="111"/>
  <c r="DL5" i="112"/>
  <c r="GN5" i="112"/>
  <c r="AJ5" i="113"/>
  <c r="MR5" i="112"/>
  <c r="JP5" i="113"/>
  <c r="MR5" i="113"/>
  <c r="AJ5" i="114"/>
  <c r="GN5" i="114"/>
  <c r="JP5" i="114"/>
  <c r="MR5" i="116"/>
  <c r="MR5" i="118"/>
  <c r="MR5" i="114"/>
  <c r="DL5" i="115"/>
  <c r="AJ5" i="115"/>
  <c r="GN5" i="115"/>
  <c r="GN5" i="117"/>
  <c r="AJ5" i="120"/>
  <c r="DL5" i="116"/>
  <c r="JP5" i="116"/>
  <c r="GN5" i="116"/>
  <c r="KO5" i="106"/>
  <c r="AJ5" i="117"/>
  <c r="MR5" i="120"/>
  <c r="KO5" i="107"/>
  <c r="GN5" i="119"/>
  <c r="GN5" i="118"/>
  <c r="AJ5" i="118"/>
  <c r="HM5" i="109"/>
  <c r="AJ5" i="119"/>
  <c r="IB5" i="70"/>
  <c r="JP5" i="118"/>
  <c r="GN5" i="123"/>
  <c r="DL5" i="119"/>
  <c r="JP5" i="117"/>
  <c r="MR5" i="121"/>
  <c r="GX5" i="94"/>
  <c r="FT5" i="72"/>
  <c r="MR5" i="119"/>
  <c r="AJ5" i="124"/>
  <c r="AJ5" i="121"/>
  <c r="DL5" i="120"/>
  <c r="DL5" i="118"/>
  <c r="AJ5" i="123"/>
  <c r="MR5" i="123"/>
  <c r="NQ5" i="105"/>
  <c r="JP5" i="123"/>
  <c r="MR5" i="122"/>
  <c r="DL5" i="123"/>
  <c r="KO5" i="105"/>
  <c r="DL5" i="122"/>
  <c r="GN5" i="122"/>
  <c r="DL5" i="125"/>
  <c r="DL5" i="124"/>
  <c r="JP5" i="121"/>
  <c r="GN5" i="121"/>
  <c r="AJ5" i="125"/>
  <c r="GN5" i="124"/>
  <c r="MR5" i="124"/>
  <c r="GN5" i="125"/>
  <c r="MW5" i="125"/>
  <c r="JP5" i="125"/>
  <c r="MR5" i="125"/>
  <c r="BI5" i="108"/>
  <c r="NL5" i="125"/>
  <c r="NB5" i="125"/>
  <c r="HM5" i="105"/>
  <c r="BI5" i="106"/>
  <c r="NG5" i="125"/>
  <c r="EK5" i="105"/>
  <c r="NQ5" i="113"/>
  <c r="HM5" i="114"/>
  <c r="JP5" i="124"/>
  <c r="HM5" i="106"/>
  <c r="KO5" i="116"/>
  <c r="EK5" i="106"/>
  <c r="NQ5" i="112"/>
  <c r="KO5" i="119"/>
  <c r="BI5" i="107"/>
  <c r="NQ5" i="106"/>
  <c r="KO5" i="113"/>
  <c r="EK5" i="119"/>
  <c r="KO5" i="120"/>
  <c r="HM5" i="110"/>
  <c r="HM5" i="107"/>
  <c r="EK5" i="108"/>
  <c r="EK5" i="110"/>
  <c r="KO5" i="109"/>
  <c r="BI5" i="111"/>
  <c r="KO5" i="108"/>
  <c r="BI5" i="109"/>
  <c r="NQ5" i="109"/>
  <c r="NQ5" i="108"/>
  <c r="EK5" i="109"/>
  <c r="EK5" i="111"/>
  <c r="NQ5" i="110"/>
  <c r="NQ5" i="111"/>
  <c r="BI5" i="112"/>
  <c r="KO5" i="110"/>
  <c r="KO5" i="111"/>
  <c r="HM5" i="111"/>
  <c r="NQ5" i="114"/>
  <c r="HM5" i="112"/>
  <c r="HM5" i="113"/>
  <c r="KO5" i="112"/>
  <c r="EK5" i="114"/>
  <c r="BI5" i="113"/>
  <c r="KO5" i="114"/>
  <c r="EK5" i="113"/>
  <c r="HM5" i="115"/>
  <c r="JK5" i="94"/>
  <c r="BI5" i="115"/>
  <c r="EK5" i="115"/>
  <c r="BI5" i="114"/>
  <c r="EK5" i="112"/>
  <c r="HM5" i="117"/>
  <c r="NQ5" i="115"/>
  <c r="NQ5" i="116"/>
  <c r="HM5" i="116"/>
  <c r="BI5" i="116"/>
  <c r="EK5" i="116"/>
  <c r="KO5" i="115"/>
  <c r="EK5" i="117"/>
  <c r="HM5" i="118"/>
  <c r="NQ5" i="117"/>
  <c r="HM5" i="119"/>
  <c r="BI5" i="118"/>
  <c r="BI5" i="119"/>
  <c r="KO5" i="117"/>
  <c r="BI5" i="117"/>
  <c r="EK5" i="118"/>
  <c r="BI5" i="120"/>
  <c r="KO5" i="118"/>
  <c r="NQ5" i="118"/>
  <c r="KO5" i="122"/>
  <c r="BI5" i="123"/>
  <c r="HM5" i="120"/>
  <c r="KO5" i="121"/>
  <c r="NQ5" i="119"/>
  <c r="BI5" i="121"/>
  <c r="NQ5" i="120"/>
  <c r="EK5" i="122"/>
  <c r="NQ5" i="121"/>
  <c r="HM5" i="121"/>
  <c r="NQ5" i="124"/>
  <c r="BI5" i="122"/>
  <c r="EP5" i="107"/>
  <c r="NV5" i="103"/>
  <c r="EK5" i="121"/>
  <c r="HM5" i="122"/>
  <c r="KO5" i="123"/>
  <c r="EK5" i="125"/>
  <c r="NV5" i="119"/>
  <c r="KT5" i="102"/>
  <c r="EK5" i="120"/>
  <c r="EK5" i="123"/>
  <c r="BI5" i="124"/>
  <c r="NQ5" i="123"/>
  <c r="KT5" i="103"/>
  <c r="NQ5" i="122"/>
  <c r="EK5" i="124"/>
  <c r="HM5" i="123"/>
  <c r="KO5" i="124"/>
  <c r="EP5" i="109"/>
  <c r="NV5" i="105"/>
  <c r="KO5" i="125"/>
  <c r="EP5" i="106"/>
  <c r="BN5" i="107"/>
  <c r="EP5" i="103"/>
  <c r="NV5" i="102"/>
  <c r="HR5" i="103"/>
  <c r="NV5" i="123"/>
  <c r="BN5" i="103"/>
  <c r="EP5" i="112"/>
  <c r="NV5" i="114"/>
  <c r="HM5" i="124"/>
  <c r="KT5" i="105"/>
  <c r="HR5" i="104"/>
  <c r="BN5" i="110"/>
  <c r="HR5" i="113"/>
  <c r="KT5" i="117"/>
  <c r="HR5" i="106"/>
  <c r="KT5" i="121"/>
  <c r="KT5" i="106"/>
  <c r="EP5" i="116"/>
  <c r="BN5" i="106"/>
  <c r="KT5" i="104"/>
  <c r="BN5" i="122"/>
  <c r="HM5" i="125"/>
  <c r="BI5" i="125"/>
  <c r="HR5" i="105"/>
  <c r="NQ5" i="125"/>
  <c r="NV5" i="104"/>
  <c r="EP5" i="108"/>
  <c r="BN5" i="105"/>
  <c r="NV5" i="106"/>
  <c r="EP5" i="104"/>
  <c r="BN5" i="104"/>
  <c r="HR5" i="110"/>
  <c r="KT5" i="113"/>
  <c r="KT5" i="107"/>
  <c r="EP5" i="105"/>
  <c r="NV5" i="111"/>
  <c r="NV5" i="107"/>
  <c r="HR5" i="108"/>
  <c r="NV5" i="109"/>
  <c r="HR5" i="114"/>
  <c r="BN5" i="109"/>
  <c r="HR5" i="109"/>
  <c r="KT5" i="108"/>
  <c r="HR5" i="111"/>
  <c r="KT5" i="109"/>
  <c r="EP5" i="110"/>
  <c r="HR5" i="107"/>
  <c r="BN5" i="108"/>
  <c r="EP5" i="111"/>
  <c r="BN5" i="111"/>
  <c r="BN5" i="113"/>
  <c r="BN5" i="114"/>
  <c r="BN5" i="123"/>
  <c r="KT5" i="120"/>
  <c r="NV5" i="110"/>
  <c r="KT5" i="111"/>
  <c r="BN5" i="112"/>
  <c r="HR5" i="112"/>
  <c r="NV5" i="108"/>
  <c r="KT5" i="112"/>
  <c r="EP5" i="113"/>
  <c r="NV5" i="112"/>
  <c r="KT5" i="110"/>
  <c r="NV5" i="113"/>
  <c r="EP5" i="124"/>
  <c r="NV5" i="115"/>
  <c r="EP5" i="114"/>
  <c r="KT5" i="114"/>
  <c r="EP5" i="117"/>
  <c r="EP5" i="115"/>
  <c r="HR5" i="115"/>
  <c r="JP5" i="94"/>
  <c r="BN5" i="115"/>
  <c r="HR5" i="117"/>
  <c r="KT5" i="115"/>
  <c r="NV5" i="116"/>
  <c r="HR5" i="119"/>
  <c r="KT5" i="116"/>
  <c r="NV5" i="117"/>
  <c r="HR5" i="116"/>
  <c r="BN5" i="119"/>
  <c r="KT5" i="119"/>
  <c r="EP5" i="118"/>
  <c r="BN5" i="116"/>
  <c r="NV5" i="118"/>
  <c r="KT5" i="125"/>
  <c r="EP5" i="119"/>
  <c r="BN5" i="121"/>
  <c r="NV5" i="124"/>
  <c r="HR5" i="125"/>
  <c r="HR5" i="124"/>
  <c r="KT5" i="123"/>
  <c r="NV5" i="120"/>
  <c r="EP5" i="125"/>
  <c r="EP5" i="123"/>
  <c r="NV5" i="121"/>
  <c r="BN5" i="117"/>
  <c r="EP5" i="122"/>
  <c r="BN5" i="120"/>
  <c r="EP5" i="120"/>
  <c r="HR5" i="120"/>
  <c r="NV5" i="125"/>
  <c r="KT5" i="124"/>
  <c r="HR5" i="123"/>
  <c r="HR5" i="118"/>
  <c r="BN5" i="118"/>
  <c r="BN5" i="124"/>
  <c r="HR5" i="121"/>
  <c r="BN5" i="125"/>
  <c r="KT5" i="122"/>
  <c r="NV5" i="122"/>
  <c r="KT5" i="118"/>
  <c r="EP5" i="121"/>
  <c r="HR5" i="122"/>
</calcChain>
</file>

<file path=xl/sharedStrings.xml><?xml version="1.0" encoding="utf-8"?>
<sst xmlns="http://schemas.openxmlformats.org/spreadsheetml/2006/main" count="39188" uniqueCount="13314">
  <si>
    <t>Deal 1</t>
  </si>
  <si>
    <t>Deal 2</t>
  </si>
  <si>
    <t>Deal 3</t>
  </si>
  <si>
    <t>Deal 4</t>
  </si>
  <si>
    <t>Deal 5</t>
  </si>
  <si>
    <t>Deal 6</t>
  </si>
  <si>
    <t>Deal 7</t>
  </si>
  <si>
    <t>Deal 8</t>
  </si>
  <si>
    <t>Deal 9</t>
  </si>
  <si>
    <t>Deal 10</t>
  </si>
  <si>
    <t>Deal 11</t>
  </si>
  <si>
    <t>Deal 12</t>
  </si>
  <si>
    <t>Deal 13</t>
  </si>
  <si>
    <t>Deal 14</t>
  </si>
  <si>
    <t>Deal 15</t>
  </si>
  <si>
    <t>Deal 16</t>
  </si>
  <si>
    <t>Deal 17</t>
  </si>
  <si>
    <t>Deal 18</t>
  </si>
  <si>
    <t>Deal 19</t>
  </si>
  <si>
    <t>Deal 20</t>
  </si>
  <si>
    <t>Deal 21</t>
  </si>
  <si>
    <t>Deal 22</t>
  </si>
  <si>
    <t>Deal 23</t>
  </si>
  <si>
    <t>Deal 24</t>
  </si>
  <si>
    <t>Deal 25</t>
  </si>
  <si>
    <t>Deal 26</t>
  </si>
  <si>
    <t>Deal 27</t>
  </si>
  <si>
    <t>Deal 28</t>
  </si>
  <si>
    <t>Deal 29</t>
  </si>
  <si>
    <t>Deal 30</t>
  </si>
  <si>
    <t>Deal 31</t>
  </si>
  <si>
    <t>Deal 32</t>
  </si>
  <si>
    <t>Deal 33</t>
  </si>
  <si>
    <t>Deal 34</t>
  </si>
  <si>
    <t>Deal 35</t>
  </si>
  <si>
    <t>Deal 36</t>
  </si>
  <si>
    <t>Deal 37</t>
  </si>
  <si>
    <t>Deal 38</t>
  </si>
  <si>
    <t>Deal 39</t>
  </si>
  <si>
    <t>Deal 40</t>
  </si>
  <si>
    <t>TWX US Equity</t>
  </si>
  <si>
    <t>T US Equity</t>
  </si>
  <si>
    <t>RTX US Equity</t>
  </si>
  <si>
    <t>BMY US Equity</t>
  </si>
  <si>
    <t>PFE US Equity</t>
  </si>
  <si>
    <t>ABBV US Equity</t>
  </si>
  <si>
    <t>DIS US Equity</t>
  </si>
  <si>
    <t>XOM US Equity</t>
  </si>
  <si>
    <t>9876540D US Equity</t>
  </si>
  <si>
    <t>VZ US Equity</t>
  </si>
  <si>
    <t>C US Equity</t>
  </si>
  <si>
    <t>CI US Equity</t>
  </si>
  <si>
    <t>CVS US Equity</t>
  </si>
  <si>
    <t>TMUS US Equity</t>
  </si>
  <si>
    <t>DD US Equity</t>
  </si>
  <si>
    <t>AGN US Equity</t>
  </si>
  <si>
    <t>ET US Equity</t>
  </si>
  <si>
    <t>BAC US Equity</t>
  </si>
  <si>
    <t>PG US Equity</t>
  </si>
  <si>
    <t>653707Q US Equity</t>
  </si>
  <si>
    <t>OXY US Equity</t>
  </si>
  <si>
    <t>JPM US Equity</t>
  </si>
  <si>
    <t>ETP US Equity</t>
  </si>
  <si>
    <t>KMI US Equity</t>
  </si>
  <si>
    <t>nan Equity</t>
  </si>
  <si>
    <t>MRK US Equity</t>
  </si>
  <si>
    <t>MDT US Equity</t>
  </si>
  <si>
    <t>0772031D US Equity</t>
  </si>
  <si>
    <t>CVX US Equity</t>
  </si>
  <si>
    <t>SPGI US Equity</t>
  </si>
  <si>
    <t>0848680D US Equity</t>
  </si>
  <si>
    <t>FIS US Equity</t>
  </si>
  <si>
    <t>Ann: 2000-01-10</t>
  </si>
  <si>
    <t>Ann: 2016-10-22</t>
  </si>
  <si>
    <t>Ann: 2019-06-09</t>
  </si>
  <si>
    <t>Ann: 2019-01-03</t>
  </si>
  <si>
    <t>Ann: 1999-11-04</t>
  </si>
  <si>
    <t>Ann: 2019-06-25</t>
  </si>
  <si>
    <t>Ann: 2017-12-14</t>
  </si>
  <si>
    <t>Ann: 2006-03-05</t>
  </si>
  <si>
    <t>Ann: 1998-12-01</t>
  </si>
  <si>
    <t>Ann: 2015-05-26</t>
  </si>
  <si>
    <t>Ann: 1998-07-28</t>
  </si>
  <si>
    <t>Ann: 1998-04-06</t>
  </si>
  <si>
    <t>Ann: 2018-03-08</t>
  </si>
  <si>
    <t>Ann: 2017-12-03</t>
  </si>
  <si>
    <t>Ann: 2018-04-29</t>
  </si>
  <si>
    <t>Ann: 1998-05-11</t>
  </si>
  <si>
    <t>Ann: 2014-05-18</t>
  </si>
  <si>
    <t>Ann: 2015-12-11</t>
  </si>
  <si>
    <t>Ann: 2014-11-17</t>
  </si>
  <si>
    <t>Ann: 2002-07-15</t>
  </si>
  <si>
    <t>Ann: 2009-01-26</t>
  </si>
  <si>
    <t>Ann: 2018-08-01</t>
  </si>
  <si>
    <t>Ann: 1998-01-13</t>
  </si>
  <si>
    <t>Ann: 2005-01-28</t>
  </si>
  <si>
    <t>Ann: 1999-04-22</t>
  </si>
  <si>
    <t>Ann: 2019-05-09</t>
  </si>
  <si>
    <t>Ann: 2004-01-14</t>
  </si>
  <si>
    <t>Ann: 2016-11-21</t>
  </si>
  <si>
    <t>Ann: 2014-08-10</t>
  </si>
  <si>
    <t>Ann: 2007-02-26</t>
  </si>
  <si>
    <t>Ann: 2003-10-27</t>
  </si>
  <si>
    <t>Ann: 2009-03-09</t>
  </si>
  <si>
    <t>Ann: 2014-06-15</t>
  </si>
  <si>
    <t>Ann: 1999-06-14</t>
  </si>
  <si>
    <t>Ann: 2000-10-16</t>
  </si>
  <si>
    <t>Ann: 2020-11-30</t>
  </si>
  <si>
    <t>Ann: 2004-12-15</t>
  </si>
  <si>
    <t>Ann: 2009-12-14</t>
  </si>
  <si>
    <t>Ann: 2019-03-18</t>
  </si>
  <si>
    <t>Ann: 2008-09-15</t>
  </si>
  <si>
    <t>Suppliers</t>
  </si>
  <si>
    <t>Customers</t>
  </si>
  <si>
    <t>Deal 41</t>
  </si>
  <si>
    <t>Deal 42</t>
  </si>
  <si>
    <t>Deal 43</t>
  </si>
  <si>
    <t>Deal 44</t>
  </si>
  <si>
    <t>Deal 45</t>
  </si>
  <si>
    <t>Deal 46</t>
  </si>
  <si>
    <t>Deal 47</t>
  </si>
  <si>
    <t>Deal 48</t>
  </si>
  <si>
    <t>Deal 49</t>
  </si>
  <si>
    <t>Deal 50</t>
  </si>
  <si>
    <t>Deal 51</t>
  </si>
  <si>
    <t>Deal 52</t>
  </si>
  <si>
    <t>Deal 53</t>
  </si>
  <si>
    <t>Deal 54</t>
  </si>
  <si>
    <t>Deal 55</t>
  </si>
  <si>
    <t>Deal 56</t>
  </si>
  <si>
    <t>Deal 57</t>
  </si>
  <si>
    <t>Deal 58</t>
  </si>
  <si>
    <t>Deal 59</t>
  </si>
  <si>
    <t>Deal 60</t>
  </si>
  <si>
    <t>Deal 61</t>
  </si>
  <si>
    <t>Deal 62</t>
  </si>
  <si>
    <t>Deal 63</t>
  </si>
  <si>
    <t>Deal 64</t>
  </si>
  <si>
    <t>Deal 65</t>
  </si>
  <si>
    <t>Deal 66</t>
  </si>
  <si>
    <t>Deal 67</t>
  </si>
  <si>
    <t>Deal 68</t>
  </si>
  <si>
    <t>Deal 69</t>
  </si>
  <si>
    <t>Deal 70</t>
  </si>
  <si>
    <t>Deal 71</t>
  </si>
  <si>
    <t>Deal 72</t>
  </si>
  <si>
    <t>Deal 73</t>
  </si>
  <si>
    <t>Deal 74</t>
  </si>
  <si>
    <t>Deal 75</t>
  </si>
  <si>
    <t>Deal 76</t>
  </si>
  <si>
    <t>Deal 77</t>
  </si>
  <si>
    <t>Deal 78</t>
  </si>
  <si>
    <t>Deal 79</t>
  </si>
  <si>
    <t>Deal 80</t>
  </si>
  <si>
    <t>FISV US Equity</t>
  </si>
  <si>
    <t>VIAV US Equity</t>
  </si>
  <si>
    <t>COP US Equity</t>
  </si>
  <si>
    <t>WCOEQ US Equity</t>
  </si>
  <si>
    <t>BRK/A US Equity</t>
  </si>
  <si>
    <t>ESRX US Equity</t>
  </si>
  <si>
    <t>PARA US Equity</t>
  </si>
  <si>
    <t>BX US Equity</t>
  </si>
  <si>
    <t>AMD US Equity</t>
  </si>
  <si>
    <t>WPZ US Equity</t>
  </si>
  <si>
    <t>LUMN US Equity</t>
  </si>
  <si>
    <t>IBM US Equity</t>
  </si>
  <si>
    <t>WFC US Equity</t>
  </si>
  <si>
    <t>ABT US Equity</t>
  </si>
  <si>
    <t>SCHW US Equity</t>
  </si>
  <si>
    <t>3621240Q US Equity</t>
  </si>
  <si>
    <t>MPC US Equity</t>
  </si>
  <si>
    <t>ORCL US Equity</t>
  </si>
  <si>
    <t>CB US Equity</t>
  </si>
  <si>
    <t>JCI US Equity</t>
  </si>
  <si>
    <t>CZR US Equity</t>
  </si>
  <si>
    <t>TFC US Equity</t>
  </si>
  <si>
    <t>RAI US Equity</t>
  </si>
  <si>
    <t>PLD US Equity</t>
  </si>
  <si>
    <t>Ann: 1998-06-24</t>
  </si>
  <si>
    <t>Ann: 2019-01-16</t>
  </si>
  <si>
    <t>Ann: 2011-10-16</t>
  </si>
  <si>
    <t>Ann: 2000-07-10</t>
  </si>
  <si>
    <t>Ann: 2005-12-12</t>
  </si>
  <si>
    <t>Ann: 1997-10-01</t>
  </si>
  <si>
    <t>Ann: 2009-11-03</t>
  </si>
  <si>
    <t>Ann: 2015-08-10</t>
  </si>
  <si>
    <t>Ann: 2005-06-30</t>
  </si>
  <si>
    <t>Ann: 2000-01-18</t>
  </si>
  <si>
    <t>Ann: 2011-07-21</t>
  </si>
  <si>
    <t>Ann: 1999-09-07</t>
  </si>
  <si>
    <t>Ann: 2006-11-20</t>
  </si>
  <si>
    <t>Ann: 2020-10-27</t>
  </si>
  <si>
    <t>Ann: 2014-10-26</t>
  </si>
  <si>
    <t>Ann: 2016-10-31</t>
  </si>
  <si>
    <t>Ann: 2000-09-13</t>
  </si>
  <si>
    <t>Ann: 2006-07-24</t>
  </si>
  <si>
    <t>Ann: 2018-10-28</t>
  </si>
  <si>
    <t>Ann: 1998-06-08</t>
  </si>
  <si>
    <t>Ann: 2010-03-08</t>
  </si>
  <si>
    <t>Ann: 2000-09-06</t>
  </si>
  <si>
    <t>Ann: 2016-04-28</t>
  </si>
  <si>
    <t>Ann: 2019-11-25</t>
  </si>
  <si>
    <t>Ann: 1998-04-13</t>
  </si>
  <si>
    <t>Ann: 2017-09-05</t>
  </si>
  <si>
    <t>Ann: 2018-04-30</t>
  </si>
  <si>
    <t>Ann: 2021-12-20</t>
  </si>
  <si>
    <t>Ann: 2015-07-01</t>
  </si>
  <si>
    <t>Ann: 2016-01-25</t>
  </si>
  <si>
    <t>Ann: 2019-06-24</t>
  </si>
  <si>
    <t>Ann: 2019-02-07</t>
  </si>
  <si>
    <t>Ann: 2013-02-14</t>
  </si>
  <si>
    <t>Ann: 2007-04-02</t>
  </si>
  <si>
    <t>Ann: 2006-05-29</t>
  </si>
  <si>
    <t>Ann: 2006-10-02</t>
  </si>
  <si>
    <t>Ann: 2007-05-21</t>
  </si>
  <si>
    <t>Ann: 2014-07-15</t>
  </si>
  <si>
    <t>Ann: 2022-06-13</t>
  </si>
  <si>
    <t>Ann: 2007-07-03</t>
  </si>
  <si>
    <t>Deal 81</t>
  </si>
  <si>
    <t>Deal 82</t>
  </si>
  <si>
    <t>Deal 83</t>
  </si>
  <si>
    <t>Deal 84</t>
  </si>
  <si>
    <t>Deal 85</t>
  </si>
  <si>
    <t>Deal 86</t>
  </si>
  <si>
    <t>Deal 87</t>
  </si>
  <si>
    <t>Deal 88</t>
  </si>
  <si>
    <t>Deal 89</t>
  </si>
  <si>
    <t>Deal 90</t>
  </si>
  <si>
    <t>Deal 91</t>
  </si>
  <si>
    <t>Deal 92</t>
  </si>
  <si>
    <t>Deal 93</t>
  </si>
  <si>
    <t>Deal 94</t>
  </si>
  <si>
    <t>Deal 95</t>
  </si>
  <si>
    <t>Deal 96</t>
  </si>
  <si>
    <t>Deal 97</t>
  </si>
  <si>
    <t>Deal 98</t>
  </si>
  <si>
    <t>Deal 99</t>
  </si>
  <si>
    <t>Deal 100</t>
  </si>
  <si>
    <t>Deal 101</t>
  </si>
  <si>
    <t>Deal 102</t>
  </si>
  <si>
    <t>Deal 103</t>
  </si>
  <si>
    <t>Deal 104</t>
  </si>
  <si>
    <t>Deal 105</t>
  </si>
  <si>
    <t>Deal 106</t>
  </si>
  <si>
    <t>Deal 107</t>
  </si>
  <si>
    <t>Deal 108</t>
  </si>
  <si>
    <t>Deal 109</t>
  </si>
  <si>
    <t>Deal 110</t>
  </si>
  <si>
    <t>Deal 111</t>
  </si>
  <si>
    <t>Deal 112</t>
  </si>
  <si>
    <t>Deal 113</t>
  </si>
  <si>
    <t>Deal 114</t>
  </si>
  <si>
    <t>Deal 115</t>
  </si>
  <si>
    <t>Deal 116</t>
  </si>
  <si>
    <t>Deal 117</t>
  </si>
  <si>
    <t>Deal 118</t>
  </si>
  <si>
    <t>Deal 119</t>
  </si>
  <si>
    <t>Deal 120</t>
  </si>
  <si>
    <t>8375930Q US Equity</t>
  </si>
  <si>
    <t>CRM US Equity</t>
  </si>
  <si>
    <t>DUK US Equity</t>
  </si>
  <si>
    <t>HPQ US Equity</t>
  </si>
  <si>
    <t>BSX US Equity</t>
  </si>
  <si>
    <t>748957Q US Equity</t>
  </si>
  <si>
    <t>GPN US Equity</t>
  </si>
  <si>
    <t>1255173D US Equity</t>
  </si>
  <si>
    <t>MSFT US Equity</t>
  </si>
  <si>
    <t>BDX US Equity</t>
  </si>
  <si>
    <t>AIG US Equity</t>
  </si>
  <si>
    <t>FCX US Equity</t>
  </si>
  <si>
    <t>USB US Equity</t>
  </si>
  <si>
    <t>2968900Q US Equity</t>
  </si>
  <si>
    <t>TMO US Equity</t>
  </si>
  <si>
    <t>ADI US Equity</t>
  </si>
  <si>
    <t>LHX US Equity</t>
  </si>
  <si>
    <t>GILD US Equity</t>
  </si>
  <si>
    <t>WM US Equity</t>
  </si>
  <si>
    <t>MO US Equity</t>
  </si>
  <si>
    <t>APC US Equity</t>
  </si>
  <si>
    <t>AVGO US Equity</t>
  </si>
  <si>
    <t>NWL US Equity</t>
  </si>
  <si>
    <t>RIG US Equity</t>
  </si>
  <si>
    <t>9876456D US Equity</t>
  </si>
  <si>
    <t>OKE US Equity</t>
  </si>
  <si>
    <t>Ann: 2001-11-18</t>
  </si>
  <si>
    <t>Ann: 2020-12-01</t>
  </si>
  <si>
    <t>Ann: 2011-01-10</t>
  </si>
  <si>
    <t>Ann: 2001-09-04</t>
  </si>
  <si>
    <t>Ann: 2005-12-05</t>
  </si>
  <si>
    <t>Ann: 1999-12-19</t>
  </si>
  <si>
    <t>Ann: 2019-05-28</t>
  </si>
  <si>
    <t>Ann: 2006-05-07</t>
  </si>
  <si>
    <t>Ann: 2016-06-13</t>
  </si>
  <si>
    <t>Ann: 2017-04-23</t>
  </si>
  <si>
    <t>Ann: 2001-04-03</t>
  </si>
  <si>
    <t>Ann: 2006-11-19</t>
  </si>
  <si>
    <t>Ann: 2005-01-31</t>
  </si>
  <si>
    <t>Ann: 2010-04-22</t>
  </si>
  <si>
    <t>Ann: 2019-08-13</t>
  </si>
  <si>
    <t>Ann: 2000-10-04</t>
  </si>
  <si>
    <t>Ann: 2006-11-01</t>
  </si>
  <si>
    <t>Ann: 2014-02-18</t>
  </si>
  <si>
    <t>Ann: 1999-10-04</t>
  </si>
  <si>
    <t>Ann: 2021-04-15</t>
  </si>
  <si>
    <t>Ann: 2005-04-04</t>
  </si>
  <si>
    <t>Ann: 2007-05-29</t>
  </si>
  <si>
    <t>Ann: 2015-03-04</t>
  </si>
  <si>
    <t>Ann: 2020-07-13</t>
  </si>
  <si>
    <t>Ann: 1998-08-20</t>
  </si>
  <si>
    <t>Ann: 2018-10-14</t>
  </si>
  <si>
    <t>Ann: 1995-07-31</t>
  </si>
  <si>
    <t>Ann: 2020-09-13</t>
  </si>
  <si>
    <t>Ann: 1998-03-11</t>
  </si>
  <si>
    <t>Ann: 2008-07-10</t>
  </si>
  <si>
    <t>Ann: 2000-06-25</t>
  </si>
  <si>
    <t>Ann: 2006-06-23</t>
  </si>
  <si>
    <t>Ann: 2018-07-11</t>
  </si>
  <si>
    <t>Ann: 2011-09-21</t>
  </si>
  <si>
    <t>Ann: 2015-12-14</t>
  </si>
  <si>
    <t>Ann: 1998-06-19</t>
  </si>
  <si>
    <t>Ann: 2007-07-23</t>
  </si>
  <si>
    <t>Ann: 2015-01-26</t>
  </si>
  <si>
    <t>Ann: 2017-02-01</t>
  </si>
  <si>
    <t>Ann: 2021-04-12</t>
  </si>
  <si>
    <t>Deal 121</t>
  </si>
  <si>
    <t>Deal 122</t>
  </si>
  <si>
    <t>Deal 123</t>
  </si>
  <si>
    <t>Deal 124</t>
  </si>
  <si>
    <t>Deal 125</t>
  </si>
  <si>
    <t>Deal 126</t>
  </si>
  <si>
    <t>Deal 127</t>
  </si>
  <si>
    <t>Deal 128</t>
  </si>
  <si>
    <t>Deal 129</t>
  </si>
  <si>
    <t>Deal 130</t>
  </si>
  <si>
    <t>Deal 131</t>
  </si>
  <si>
    <t>Deal 132</t>
  </si>
  <si>
    <t>Deal 133</t>
  </si>
  <si>
    <t>Deal 134</t>
  </si>
  <si>
    <t>Deal 135</t>
  </si>
  <si>
    <t>Deal 136</t>
  </si>
  <si>
    <t>Deal 137</t>
  </si>
  <si>
    <t>Deal 138</t>
  </si>
  <si>
    <t>Deal 139</t>
  </si>
  <si>
    <t>Deal 140</t>
  </si>
  <si>
    <t>Deal 141</t>
  </si>
  <si>
    <t>Deal 142</t>
  </si>
  <si>
    <t>Deal 143</t>
  </si>
  <si>
    <t>Deal 144</t>
  </si>
  <si>
    <t>Deal 145</t>
  </si>
  <si>
    <t>Deal 146</t>
  </si>
  <si>
    <t>Deal 147</t>
  </si>
  <si>
    <t>Deal 148</t>
  </si>
  <si>
    <t>Deal 149</t>
  </si>
  <si>
    <t>Deal 150</t>
  </si>
  <si>
    <t>Deal 151</t>
  </si>
  <si>
    <t>Deal 152</t>
  </si>
  <si>
    <t>Deal 153</t>
  </si>
  <si>
    <t>Deal 154</t>
  </si>
  <si>
    <t>Deal 155</t>
  </si>
  <si>
    <t>Deal 156</t>
  </si>
  <si>
    <t>Deal 157</t>
  </si>
  <si>
    <t>Deal 158</t>
  </si>
  <si>
    <t>Deal 159</t>
  </si>
  <si>
    <t>Deal 160</t>
  </si>
  <si>
    <t>M US Equity</t>
  </si>
  <si>
    <t>BK US Equity</t>
  </si>
  <si>
    <t>O US Equity</t>
  </si>
  <si>
    <t>3153670Q US Equity</t>
  </si>
  <si>
    <t>JNJ US Equity</t>
  </si>
  <si>
    <t>TRV US Equity</t>
  </si>
  <si>
    <t>VRSN US Equity</t>
  </si>
  <si>
    <t>HON US Equity</t>
  </si>
  <si>
    <t>VICI US Equity</t>
  </si>
  <si>
    <t>FBF US Equity</t>
  </si>
  <si>
    <t>MAR US Equity</t>
  </si>
  <si>
    <t>SLB US Equity</t>
  </si>
  <si>
    <t>1996074D US Equity</t>
  </si>
  <si>
    <t>WBD US Equity</t>
  </si>
  <si>
    <t>PEP US Equity</t>
  </si>
  <si>
    <t>ELV US Equity</t>
  </si>
  <si>
    <t>COF US Equity</t>
  </si>
  <si>
    <t>MS US Equity</t>
  </si>
  <si>
    <t>D US Equity</t>
  </si>
  <si>
    <t>INTC US Equity</t>
  </si>
  <si>
    <t>WDC US Equity</t>
  </si>
  <si>
    <t>MCK US Equity</t>
  </si>
  <si>
    <t>WAMUQ US Equity</t>
  </si>
  <si>
    <t>DHR US Equity</t>
  </si>
  <si>
    <t>NOC US Equity</t>
  </si>
  <si>
    <t>MPLX US Equity</t>
  </si>
  <si>
    <t>GEN US Equity</t>
  </si>
  <si>
    <t>Ann: 2015-02-05</t>
  </si>
  <si>
    <t>Ann: 2005-02-28</t>
  </si>
  <si>
    <t>Ann: 2006-12-04</t>
  </si>
  <si>
    <t>Ann: 2011-01-31</t>
  </si>
  <si>
    <t>Ann: 2021-04-29</t>
  </si>
  <si>
    <t>Ann: 2000-03-29</t>
  </si>
  <si>
    <t>Ann: 2022-11-01</t>
  </si>
  <si>
    <t>Ann: 2006-09-15</t>
  </si>
  <si>
    <t>Ann: 2003-11-17</t>
  </si>
  <si>
    <t>Ann: 2000-03-07</t>
  </si>
  <si>
    <t>Ann: 2006-01-23</t>
  </si>
  <si>
    <t>Ann: 1999-06-07</t>
  </si>
  <si>
    <t>Ann: 2021-08-04</t>
  </si>
  <si>
    <t>Ann: 2022-03-29</t>
  </si>
  <si>
    <t>Ann: 2013-04-15</t>
  </si>
  <si>
    <t>Ann: 1999-03-15</t>
  </si>
  <si>
    <t>Ann: 2015-11-16</t>
  </si>
  <si>
    <t>Ann: 2015-08-26</t>
  </si>
  <si>
    <t>Ann: 2017-07-31</t>
  </si>
  <si>
    <t>Ann: 2000-12-04</t>
  </si>
  <si>
    <t>Ann: 2008-10-03</t>
  </si>
  <si>
    <t>Ann: 2006-03-12</t>
  </si>
  <si>
    <t>Ann: 2020-02-20</t>
  </si>
  <si>
    <t>Ann: 2018-01-03</t>
  </si>
  <si>
    <t>Ann: 2015-06-01</t>
  </si>
  <si>
    <t>Ann: 2015-10-21</t>
  </si>
  <si>
    <t>Ann: 2017-03-13</t>
  </si>
  <si>
    <t>Ann: 2004-06-21</t>
  </si>
  <si>
    <t>Ann: 2019-06-10</t>
  </si>
  <si>
    <t>Ann: 2015-12-07</t>
  </si>
  <si>
    <t>Ann: 1998-10-19</t>
  </si>
  <si>
    <t>Ann: 2001-06-25</t>
  </si>
  <si>
    <t>Ann: 2015-05-13</t>
  </si>
  <si>
    <t>Ann: 2002-02-22</t>
  </si>
  <si>
    <t>Ann: 2005-05-09</t>
  </si>
  <si>
    <t>Ann: 2016-08-22</t>
  </si>
  <si>
    <t>Ann: 2015-07-13</t>
  </si>
  <si>
    <t>Ann: 2004-12-16</t>
  </si>
  <si>
    <t>Deal 161</t>
  </si>
  <si>
    <t>Deal 162</t>
  </si>
  <si>
    <t>Deal 163</t>
  </si>
  <si>
    <t>Deal 164</t>
  </si>
  <si>
    <t>Deal 165</t>
  </si>
  <si>
    <t>Deal 166</t>
  </si>
  <si>
    <t>Deal 167</t>
  </si>
  <si>
    <t>Deal 168</t>
  </si>
  <si>
    <t>Deal 169</t>
  </si>
  <si>
    <t>Deal 170</t>
  </si>
  <si>
    <t>Deal 171</t>
  </si>
  <si>
    <t>Deal 172</t>
  </si>
  <si>
    <t>Deal 173</t>
  </si>
  <si>
    <t>Deal 174</t>
  </si>
  <si>
    <t>Deal 175</t>
  </si>
  <si>
    <t>Deal 176</t>
  </si>
  <si>
    <t>Deal 177</t>
  </si>
  <si>
    <t>Deal 178</t>
  </si>
  <si>
    <t>Deal 179</t>
  </si>
  <si>
    <t>Deal 180</t>
  </si>
  <si>
    <t>Deal 181</t>
  </si>
  <si>
    <t>Deal 182</t>
  </si>
  <si>
    <t>Deal 183</t>
  </si>
  <si>
    <t>Deal 184</t>
  </si>
  <si>
    <t>Deal 185</t>
  </si>
  <si>
    <t>Deal 186</t>
  </si>
  <si>
    <t>Deal 187</t>
  </si>
  <si>
    <t>Deal 188</t>
  </si>
  <si>
    <t>Deal 189</t>
  </si>
  <si>
    <t>Deal 190</t>
  </si>
  <si>
    <t>Deal 191</t>
  </si>
  <si>
    <t>Deal 192</t>
  </si>
  <si>
    <t>Deal 193</t>
  </si>
  <si>
    <t>Deal 194</t>
  </si>
  <si>
    <t>Deal 195</t>
  </si>
  <si>
    <t>Deal 196</t>
  </si>
  <si>
    <t>Deal 197</t>
  </si>
  <si>
    <t>Deal 198</t>
  </si>
  <si>
    <t>Deal 199</t>
  </si>
  <si>
    <t>Deal 200</t>
  </si>
  <si>
    <t>AMZN US Equity</t>
  </si>
  <si>
    <t>CNC US Equity</t>
  </si>
  <si>
    <t>BHC CN Equity</t>
  </si>
  <si>
    <t>UNH US Equity</t>
  </si>
  <si>
    <t>TDOC US Equity</t>
  </si>
  <si>
    <t>SHLDQ US Equity</t>
  </si>
  <si>
    <t>RSG US Equity</t>
  </si>
  <si>
    <t>ETN US Equity</t>
  </si>
  <si>
    <t>KR US Equity</t>
  </si>
  <si>
    <t>IQV US Equity</t>
  </si>
  <si>
    <t>1312089D US Equity</t>
  </si>
  <si>
    <t>EXC US Equity</t>
  </si>
  <si>
    <t>TTWO US Equity</t>
  </si>
  <si>
    <t>SO US Equity</t>
  </si>
  <si>
    <t>BAX US Equity</t>
  </si>
  <si>
    <t>WY US Equity</t>
  </si>
  <si>
    <t>TRGP US Equity</t>
  </si>
  <si>
    <t>BPYU US Equity</t>
  </si>
  <si>
    <t>SHW US Equity</t>
  </si>
  <si>
    <t>TWO US Equity</t>
  </si>
  <si>
    <t>TT US Equity</t>
  </si>
  <si>
    <t>Ann: 2022-03-21</t>
  </si>
  <si>
    <t>Ann: 2017-06-16</t>
  </si>
  <si>
    <t>Ann: 2001-04-16</t>
  </si>
  <si>
    <t>Ann: 2019-03-27</t>
  </si>
  <si>
    <t>Ann: 2015-02-22</t>
  </si>
  <si>
    <t>Ann: 2020-10-19</t>
  </si>
  <si>
    <t>Ann: 2015-03-30</t>
  </si>
  <si>
    <t>Ann: 2020-08-05</t>
  </si>
  <si>
    <t>Ann: 2004-11-17</t>
  </si>
  <si>
    <t>Ann: 2008-06-23</t>
  </si>
  <si>
    <t>Ann: 2008-05-13</t>
  </si>
  <si>
    <t>Ann: 2012-05-21</t>
  </si>
  <si>
    <t>Ann: 2016-07-26</t>
  </si>
  <si>
    <t>Ann: 2021-01-06</t>
  </si>
  <si>
    <t>Ann: 2022-04-19</t>
  </si>
  <si>
    <t>Ann: 2020-07-20</t>
  </si>
  <si>
    <t>Ann: 1998-10-18</t>
  </si>
  <si>
    <t>Ann: 2008-10-27</t>
  </si>
  <si>
    <t>Ann: 2016-05-03</t>
  </si>
  <si>
    <t>Ann: 1998-08-03</t>
  </si>
  <si>
    <t>Ann: 2010-02-21</t>
  </si>
  <si>
    <t>Ann: 2019-10-27</t>
  </si>
  <si>
    <t>Ann: 2014-04-30</t>
  </si>
  <si>
    <t>Ann: 2014-10-05</t>
  </si>
  <si>
    <t>Ann: 2022-01-10</t>
  </si>
  <si>
    <t>Ann: 2015-08-24</t>
  </si>
  <si>
    <t>Ann: 2021-09-02</t>
  </si>
  <si>
    <t>Ann: 2001-03-27</t>
  </si>
  <si>
    <t>Ann: 2008-09-08</t>
  </si>
  <si>
    <t>Ann: 2021-11-15</t>
  </si>
  <si>
    <t>Ann: 2006-12-18</t>
  </si>
  <si>
    <t>Ann: 2015-11-08</t>
  </si>
  <si>
    <t>Ann: 2015-11-03</t>
  </si>
  <si>
    <t>Ann: 2006-05-08</t>
  </si>
  <si>
    <t>Ann: 2004-08-20</t>
  </si>
  <si>
    <t>Ann: 2015-05-21</t>
  </si>
  <si>
    <t>Ann: 2016-03-20</t>
  </si>
  <si>
    <t>Ann: 2018-04-26</t>
  </si>
  <si>
    <t>Ann: 2007-12-17</t>
  </si>
  <si>
    <t>Deal 201</t>
  </si>
  <si>
    <t>Deal 202</t>
  </si>
  <si>
    <t>Deal 203</t>
  </si>
  <si>
    <t>Deal 204</t>
  </si>
  <si>
    <t>Deal 205</t>
  </si>
  <si>
    <t>Deal 206</t>
  </si>
  <si>
    <t>Deal 207</t>
  </si>
  <si>
    <t>Deal 208</t>
  </si>
  <si>
    <t>Deal 209</t>
  </si>
  <si>
    <t>Deal 210</t>
  </si>
  <si>
    <t>Deal 211</t>
  </si>
  <si>
    <t>Deal 212</t>
  </si>
  <si>
    <t>Deal 213</t>
  </si>
  <si>
    <t>Deal 214</t>
  </si>
  <si>
    <t>Deal 215</t>
  </si>
  <si>
    <t>Deal 216</t>
  </si>
  <si>
    <t>Deal 217</t>
  </si>
  <si>
    <t>Deal 218</t>
  </si>
  <si>
    <t>Deal 219</t>
  </si>
  <si>
    <t>Deal 220</t>
  </si>
  <si>
    <t>Deal 221</t>
  </si>
  <si>
    <t>Deal 222</t>
  </si>
  <si>
    <t>Deal 223</t>
  </si>
  <si>
    <t>Deal 224</t>
  </si>
  <si>
    <t>Deal 225</t>
  </si>
  <si>
    <t>Deal 226</t>
  </si>
  <si>
    <t>Deal 227</t>
  </si>
  <si>
    <t>Deal 228</t>
  </si>
  <si>
    <t>Deal 229</t>
  </si>
  <si>
    <t>Deal 230</t>
  </si>
  <si>
    <t>Deal 231</t>
  </si>
  <si>
    <t>Deal 232</t>
  </si>
  <si>
    <t>Deal 233</t>
  </si>
  <si>
    <t>Deal 234</t>
  </si>
  <si>
    <t>Deal 235</t>
  </si>
  <si>
    <t>Deal 236</t>
  </si>
  <si>
    <t>Deal 237</t>
  </si>
  <si>
    <t>Deal 238</t>
  </si>
  <si>
    <t>Deal 239</t>
  </si>
  <si>
    <t>Deal 240</t>
  </si>
  <si>
    <t>1825471D US Equity</t>
  </si>
  <si>
    <t>HD US Equity</t>
  </si>
  <si>
    <t>LBRDA US Equity</t>
  </si>
  <si>
    <t>FE US Equity</t>
  </si>
  <si>
    <t>CAG US Equity</t>
  </si>
  <si>
    <t>VST US Equity</t>
  </si>
  <si>
    <t>680884Q US Equity</t>
  </si>
  <si>
    <t>ICE US Equity</t>
  </si>
  <si>
    <t>355488Q US Equity</t>
  </si>
  <si>
    <t>ENLC US Equity</t>
  </si>
  <si>
    <t>RF US Equity</t>
  </si>
  <si>
    <t>DBRG US Equity</t>
  </si>
  <si>
    <t>1377Q US Equity</t>
  </si>
  <si>
    <t>WMB US Equity</t>
  </si>
  <si>
    <t>AW US Equity</t>
  </si>
  <si>
    <t>IP US Equity</t>
  </si>
  <si>
    <t>VER US Equity</t>
  </si>
  <si>
    <t>MCHP US Equity</t>
  </si>
  <si>
    <t>2499073D US Equity</t>
  </si>
  <si>
    <t>RHDCQ US Equity</t>
  </si>
  <si>
    <t>1813626D US Equity</t>
  </si>
  <si>
    <t>Ann: 2000-07-17</t>
  </si>
  <si>
    <t>Ann: 2020-11-16</t>
  </si>
  <si>
    <t>Ann: 1999-05-03</t>
  </si>
  <si>
    <t>Ann: 2020-10-05</t>
  </si>
  <si>
    <t>Ann: 2019-06-17</t>
  </si>
  <si>
    <t>Ann: 2021-09-30</t>
  </si>
  <si>
    <t>Ann: 2020-08-06</t>
  </si>
  <si>
    <t>Ann: 2000-08-08</t>
  </si>
  <si>
    <t>Ann: 2018-06-27</t>
  </si>
  <si>
    <t>Ann: 2011-11-21</t>
  </si>
  <si>
    <t>Ann: 2005-03-28</t>
  </si>
  <si>
    <t>Ann: 2017-10-30</t>
  </si>
  <si>
    <t>Ann: 1998-01-08</t>
  </si>
  <si>
    <t>Ann: 2022-05-10</t>
  </si>
  <si>
    <t>Ann: 1998-01-26</t>
  </si>
  <si>
    <t>Ann: 1997-02-05</t>
  </si>
  <si>
    <t>Ann: 2019-02-04</t>
  </si>
  <si>
    <t>Ann: 2013-05-29</t>
  </si>
  <si>
    <t>Ann: 2012-12-20</t>
  </si>
  <si>
    <t>Ann: 2004-01-23</t>
  </si>
  <si>
    <t>Ann: 2021-05-26</t>
  </si>
  <si>
    <t>Ann: 2018-10-22</t>
  </si>
  <si>
    <t>Ann: 2019-05-08</t>
  </si>
  <si>
    <t>Ann: 2012-12-05</t>
  </si>
  <si>
    <t>Ann: 2006-05-25</t>
  </si>
  <si>
    <t>Ann: 2011-04-28</t>
  </si>
  <si>
    <t>Ann: 2017-08-28</t>
  </si>
  <si>
    <t>Ann: 2016-06-03</t>
  </si>
  <si>
    <t>Ann: 2009-04-20</t>
  </si>
  <si>
    <t>Ann: 1994-08-30</t>
  </si>
  <si>
    <t>Ann: 2018-05-17</t>
  </si>
  <si>
    <t>Ann: 1999-03-08</t>
  </si>
  <si>
    <t>Ann: 2000-04-25</t>
  </si>
  <si>
    <t>Ann: 2013-10-23</t>
  </si>
  <si>
    <t>Ann: 2018-03-01</t>
  </si>
  <si>
    <t>Ann: 2016-03-21</t>
  </si>
  <si>
    <t>Ann: 2005-10-03</t>
  </si>
  <si>
    <t>Deal 241</t>
  </si>
  <si>
    <t>Deal 242</t>
  </si>
  <si>
    <t>Deal 243</t>
  </si>
  <si>
    <t>Deal 244</t>
  </si>
  <si>
    <t>Deal 245</t>
  </si>
  <si>
    <t>Deal 246</t>
  </si>
  <si>
    <t>Deal 247</t>
  </si>
  <si>
    <t>Deal 248</t>
  </si>
  <si>
    <t>Deal 249</t>
  </si>
  <si>
    <t>Deal 250</t>
  </si>
  <si>
    <t>Deal 251</t>
  </si>
  <si>
    <t>Deal 252</t>
  </si>
  <si>
    <t>Deal 253</t>
  </si>
  <si>
    <t>Deal 254</t>
  </si>
  <si>
    <t>Deal 255</t>
  </si>
  <si>
    <t>Deal 256</t>
  </si>
  <si>
    <t>Deal 257</t>
  </si>
  <si>
    <t>Deal 258</t>
  </si>
  <si>
    <t>Deal 259</t>
  </si>
  <si>
    <t>Deal 260</t>
  </si>
  <si>
    <t>Deal 261</t>
  </si>
  <si>
    <t>Deal 262</t>
  </si>
  <si>
    <t>Deal 263</t>
  </si>
  <si>
    <t>Deal 264</t>
  </si>
  <si>
    <t>Deal 265</t>
  </si>
  <si>
    <t>Deal 266</t>
  </si>
  <si>
    <t>Deal 267</t>
  </si>
  <si>
    <t>Deal 268</t>
  </si>
  <si>
    <t>Deal 269</t>
  </si>
  <si>
    <t>Deal 270</t>
  </si>
  <si>
    <t>Deal 271</t>
  </si>
  <si>
    <t>Deal 272</t>
  </si>
  <si>
    <t>Deal 273</t>
  </si>
  <si>
    <t>Deal 274</t>
  </si>
  <si>
    <t>Deal 275</t>
  </si>
  <si>
    <t>Deal 276</t>
  </si>
  <si>
    <t>Deal 277</t>
  </si>
  <si>
    <t>Deal 278</t>
  </si>
  <si>
    <t>Deal 279</t>
  </si>
  <si>
    <t>Deal 280</t>
  </si>
  <si>
    <t>GD US Equity</t>
  </si>
  <si>
    <t>CME US Equity</t>
  </si>
  <si>
    <t>MSI US Equity</t>
  </si>
  <si>
    <t>AMT US Equity</t>
  </si>
  <si>
    <t>HET US Equity</t>
  </si>
  <si>
    <t>WES US Equity</t>
  </si>
  <si>
    <t>LEN US Equity</t>
  </si>
  <si>
    <t>CXO US Equity</t>
  </si>
  <si>
    <t>FANG US Equity</t>
  </si>
  <si>
    <t>2370058D US Equity</t>
  </si>
  <si>
    <t>DLTR US Equity</t>
  </si>
  <si>
    <t>WEC US Equity</t>
  </si>
  <si>
    <t>EPD US Equity</t>
  </si>
  <si>
    <t>CTRA US Equity</t>
  </si>
  <si>
    <t>MRVL US Equity</t>
  </si>
  <si>
    <t>EVRG US Equity</t>
  </si>
  <si>
    <t>45950Q US Equity</t>
  </si>
  <si>
    <t>CAT US Equity</t>
  </si>
  <si>
    <t>AMGN US Equity</t>
  </si>
  <si>
    <t>NI US Equity</t>
  </si>
  <si>
    <t>TSN US Equity</t>
  </si>
  <si>
    <t>ANRZQ US Equity</t>
  </si>
  <si>
    <t>WTW US Equity</t>
  </si>
  <si>
    <t>HAL US Equity</t>
  </si>
  <si>
    <t>BN CN Equity</t>
  </si>
  <si>
    <t>2727195Q US Equity</t>
  </si>
  <si>
    <t>CNP US Equity</t>
  </si>
  <si>
    <t>Ann: 2018-02-12</t>
  </si>
  <si>
    <t>Ann: 2006-10-17</t>
  </si>
  <si>
    <t>Ann: 1999-09-15</t>
  </si>
  <si>
    <t>Ann: 2004-07-15</t>
  </si>
  <si>
    <t>Ann: 2018-11-08</t>
  </si>
  <si>
    <t>Ann: 2021-08-10</t>
  </si>
  <si>
    <t>Ann: 2011-06-16</t>
  </si>
  <si>
    <t>Ann: 2011-03-14</t>
  </si>
  <si>
    <t>Ann: 2010-02-11</t>
  </si>
  <si>
    <t>Ann: 2018-03-28</t>
  </si>
  <si>
    <t>Ann: 2018-08-14</t>
  </si>
  <si>
    <t>Ann: 1999-10-25</t>
  </si>
  <si>
    <t>Ann: 2019-07-01</t>
  </si>
  <si>
    <t>Ann: 1998-07-20</t>
  </si>
  <si>
    <t>Ann: 2014-07-28</t>
  </si>
  <si>
    <t>Ann: 2014-06-23</t>
  </si>
  <si>
    <t>Ann: 2010-09-07</t>
  </si>
  <si>
    <t>Ann: 2021-05-24</t>
  </si>
  <si>
    <t>Ann: 2020-10-29</t>
  </si>
  <si>
    <t>Ann: 2016-05-31</t>
  </si>
  <si>
    <t>Ann: 2006-12-17</t>
  </si>
  <si>
    <t>Ann: 2016-07-28</t>
  </si>
  <si>
    <t>Ann: 1999-05-27</t>
  </si>
  <si>
    <t>Ann: 2010-11-15</t>
  </si>
  <si>
    <t>Ann: 1998-03-17</t>
  </si>
  <si>
    <t>Ann: 2013-06-30</t>
  </si>
  <si>
    <t>Ann: 1999-02-22</t>
  </si>
  <si>
    <t>Ann: 2003-06-06</t>
  </si>
  <si>
    <t>Ann: 2014-05-29</t>
  </si>
  <si>
    <t>Ann: 2011-01-29</t>
  </si>
  <si>
    <t>Ann: 2014-12-08</t>
  </si>
  <si>
    <t>Ann: 2015-06-30</t>
  </si>
  <si>
    <t>Ann: 1998-02-26</t>
  </si>
  <si>
    <t>Ann: 2022-04-07</t>
  </si>
  <si>
    <t>Ann: 1998-04-07</t>
  </si>
  <si>
    <t>Ann: 2005-03-17</t>
  </si>
  <si>
    <t>Ann: 2018-04-23</t>
  </si>
  <si>
    <t>Deal 281</t>
  </si>
  <si>
    <t>Deal 282</t>
  </si>
  <si>
    <t>Deal 283</t>
  </si>
  <si>
    <t>Deal 284</t>
  </si>
  <si>
    <t>Deal 285</t>
  </si>
  <si>
    <t>Deal 286</t>
  </si>
  <si>
    <t>Deal 287</t>
  </si>
  <si>
    <t>Deal 288</t>
  </si>
  <si>
    <t>Deal 289</t>
  </si>
  <si>
    <t>Deal 290</t>
  </si>
  <si>
    <t>Deal 291</t>
  </si>
  <si>
    <t>Deal 292</t>
  </si>
  <si>
    <t>Deal 293</t>
  </si>
  <si>
    <t>Deal 294</t>
  </si>
  <si>
    <t>Deal 295</t>
  </si>
  <si>
    <t>Deal 296</t>
  </si>
  <si>
    <t>Deal 297</t>
  </si>
  <si>
    <t>Deal 298</t>
  </si>
  <si>
    <t>Deal 299</t>
  </si>
  <si>
    <t>Deal 300</t>
  </si>
  <si>
    <t>Deal 301</t>
  </si>
  <si>
    <t>Deal 302</t>
  </si>
  <si>
    <t>Deal 303</t>
  </si>
  <si>
    <t>Deal 304</t>
  </si>
  <si>
    <t>Deal 305</t>
  </si>
  <si>
    <t>Deal 306</t>
  </si>
  <si>
    <t>Deal 307</t>
  </si>
  <si>
    <t>Deal 308</t>
  </si>
  <si>
    <t>Deal 309</t>
  </si>
  <si>
    <t>Deal 310</t>
  </si>
  <si>
    <t>Deal 311</t>
  </si>
  <si>
    <t>Deal 312</t>
  </si>
  <si>
    <t>Deal 313</t>
  </si>
  <si>
    <t>Deal 314</t>
  </si>
  <si>
    <t>Deal 315</t>
  </si>
  <si>
    <t>Deal 316</t>
  </si>
  <si>
    <t>Deal 317</t>
  </si>
  <si>
    <t>Deal 318</t>
  </si>
  <si>
    <t>Deal 319</t>
  </si>
  <si>
    <t>Deal 320</t>
  </si>
  <si>
    <t>COL US Equity</t>
  </si>
  <si>
    <t>ECL US Equity</t>
  </si>
  <si>
    <t>NXST US Equity</t>
  </si>
  <si>
    <t>0961514D US Equity</t>
  </si>
  <si>
    <t>ALXN US Equity</t>
  </si>
  <si>
    <t>CELG US Equity</t>
  </si>
  <si>
    <t>GIS US Equity</t>
  </si>
  <si>
    <t>1260972D US Equity</t>
  </si>
  <si>
    <t>INVH US Equity</t>
  </si>
  <si>
    <t>VLO US Equity</t>
  </si>
  <si>
    <t>GMST US Equity</t>
  </si>
  <si>
    <t>MGM US Equity</t>
  </si>
  <si>
    <t>LNC US Equity</t>
  </si>
  <si>
    <t>TRB US Equity</t>
  </si>
  <si>
    <t>AMSG US Equity</t>
  </si>
  <si>
    <t>QDEL US Equity</t>
  </si>
  <si>
    <t>FDC US Equity</t>
  </si>
  <si>
    <t>PXD US Equity</t>
  </si>
  <si>
    <t>VISN US Equity</t>
  </si>
  <si>
    <t>APO US Equity</t>
  </si>
  <si>
    <t>LVLT US Equity</t>
  </si>
  <si>
    <t>COHR US Equity</t>
  </si>
  <si>
    <t>NOV US Equity</t>
  </si>
  <si>
    <t>Ann: 2016-10-23</t>
  </si>
  <si>
    <t>Ann: 2011-07-20</t>
  </si>
  <si>
    <t>Ann: 2018-12-03</t>
  </si>
  <si>
    <t>Ann: 1999-08-22</t>
  </si>
  <si>
    <t>Ann: 2015-05-06</t>
  </si>
  <si>
    <t>Ann: 2018-01-22</t>
  </si>
  <si>
    <t>Ann: 2018-02-23</t>
  </si>
  <si>
    <t>Ann: 1999-05-20</t>
  </si>
  <si>
    <t>Ann: 2017-08-10</t>
  </si>
  <si>
    <t>Ann: 2013-05-20</t>
  </si>
  <si>
    <t>Ann: 2005-04-25</t>
  </si>
  <si>
    <t>Ann: 2017-09-18</t>
  </si>
  <si>
    <t>Ann: 2000-11-06</t>
  </si>
  <si>
    <t>Ann: 2015-10-08</t>
  </si>
  <si>
    <t>Ann: 2004-06-04</t>
  </si>
  <si>
    <t>Ann: 2005-10-10</t>
  </si>
  <si>
    <t>Ann: 2008-03-17</t>
  </si>
  <si>
    <t>Ann: 2000-08-21</t>
  </si>
  <si>
    <t>Ann: 2016-02-01</t>
  </si>
  <si>
    <t>Ann: 2000-03-13</t>
  </si>
  <si>
    <t>Ann: 2016-06-15</t>
  </si>
  <si>
    <t>Ann: 2021-12-23</t>
  </si>
  <si>
    <t>Ann: 2003-04-02</t>
  </si>
  <si>
    <t>Ann: 2020-10-20</t>
  </si>
  <si>
    <t>Ann: 2000-10-02</t>
  </si>
  <si>
    <t>Ann: 2007-03-12</t>
  </si>
  <si>
    <t>Ann: 2021-03-08</t>
  </si>
  <si>
    <t>Ann: 2018-05-07</t>
  </si>
  <si>
    <t>Ann: 2014-06-16</t>
  </si>
  <si>
    <t>Ann: 1999-09-23</t>
  </si>
  <si>
    <t>Ann: 2007-10-12</t>
  </si>
  <si>
    <t>Ann: 2004-05-09</t>
  </si>
  <si>
    <t>Ann: 2017-05-15</t>
  </si>
  <si>
    <t>Ann: 2005-07-06</t>
  </si>
  <si>
    <t>Ann: 2021-03-25</t>
  </si>
  <si>
    <t>Ann: 2007-05-31</t>
  </si>
  <si>
    <t>Deal 321</t>
  </si>
  <si>
    <t>Deal 322</t>
  </si>
  <si>
    <t>Deal 323</t>
  </si>
  <si>
    <t>Deal 324</t>
  </si>
  <si>
    <t>Deal 325</t>
  </si>
  <si>
    <t>Deal 326</t>
  </si>
  <si>
    <t>Deal 327</t>
  </si>
  <si>
    <t>Deal 328</t>
  </si>
  <si>
    <t>Deal 329</t>
  </si>
  <si>
    <t>Deal 330</t>
  </si>
  <si>
    <t>Deal 331</t>
  </si>
  <si>
    <t>Deal 332</t>
  </si>
  <si>
    <t>Deal 333</t>
  </si>
  <si>
    <t>Deal 334</t>
  </si>
  <si>
    <t>Deal 335</t>
  </si>
  <si>
    <t>Deal 336</t>
  </si>
  <si>
    <t>Deal 337</t>
  </si>
  <si>
    <t>Deal 338</t>
  </si>
  <si>
    <t>Deal 339</t>
  </si>
  <si>
    <t>Deal 340</t>
  </si>
  <si>
    <t>Deal 341</t>
  </si>
  <si>
    <t>Deal 342</t>
  </si>
  <si>
    <t>Deal 343</t>
  </si>
  <si>
    <t>Deal 344</t>
  </si>
  <si>
    <t>Deal 345</t>
  </si>
  <si>
    <t>Deal 346</t>
  </si>
  <si>
    <t>Deal 347</t>
  </si>
  <si>
    <t>Deal 348</t>
  </si>
  <si>
    <t>Deal 349</t>
  </si>
  <si>
    <t>Deal 350</t>
  </si>
  <si>
    <t>Deal 351</t>
  </si>
  <si>
    <t>Deal 352</t>
  </si>
  <si>
    <t>Deal 353</t>
  </si>
  <si>
    <t>Deal 354</t>
  </si>
  <si>
    <t>Deal 355</t>
  </si>
  <si>
    <t>Deal 356</t>
  </si>
  <si>
    <t>Deal 357</t>
  </si>
  <si>
    <t>Deal 358</t>
  </si>
  <si>
    <t>Deal 359</t>
  </si>
  <si>
    <t>Deal 360</t>
  </si>
  <si>
    <t>LLY US Equity</t>
  </si>
  <si>
    <t>OVV US Equity</t>
  </si>
  <si>
    <t>ES US Equity</t>
  </si>
  <si>
    <t>GEC US Equity</t>
  </si>
  <si>
    <t>VTR US Equity</t>
  </si>
  <si>
    <t>CYH US Equity</t>
  </si>
  <si>
    <t>MNIQQ US Equity</t>
  </si>
  <si>
    <t>3133754Q US Equity</t>
  </si>
  <si>
    <t>4622869Z US Equity</t>
  </si>
  <si>
    <t>CNCEQ US Equity</t>
  </si>
  <si>
    <t>2860436Q US Equity</t>
  </si>
  <si>
    <t>TXN US Equity</t>
  </si>
  <si>
    <t>HR US Equity</t>
  </si>
  <si>
    <t>LYO US Equity</t>
  </si>
  <si>
    <t>EOP US Equity</t>
  </si>
  <si>
    <t>SPG US Equity</t>
  </si>
  <si>
    <t>2471693D US Equity</t>
  </si>
  <si>
    <t>ENTG US Equity</t>
  </si>
  <si>
    <t>EQT US Equity</t>
  </si>
  <si>
    <t>1255459D US Equity</t>
  </si>
  <si>
    <t>Ann: 2019-01-07</t>
  </si>
  <si>
    <t>Ann: 2011-02-07</t>
  </si>
  <si>
    <t>Ann: 1998-07-01</t>
  </si>
  <si>
    <t>Ann: 2022-05-11</t>
  </si>
  <si>
    <t>Ann: 2018-08-08</t>
  </si>
  <si>
    <t>Ann: 2014-09-29</t>
  </si>
  <si>
    <t>Ann: 2010-10-18</t>
  </si>
  <si>
    <t>Ann: 2000-08-09</t>
  </si>
  <si>
    <t>Ann: 2011-02-28</t>
  </si>
  <si>
    <t>Ann: 2021-02-17</t>
  </si>
  <si>
    <t>Ann: 1997-03-06</t>
  </si>
  <si>
    <t>Ann: 2012-04-30</t>
  </si>
  <si>
    <t>Ann: 2015-07-14</t>
  </si>
  <si>
    <t>Ann: 1998-01-05</t>
  </si>
  <si>
    <t>Ann: 2013-07-30</t>
  </si>
  <si>
    <t>Ann: 2006-03-13</t>
  </si>
  <si>
    <t>Ann: 2010-08-19</t>
  </si>
  <si>
    <t>Ann: 1999-06-01</t>
  </si>
  <si>
    <t>Ann: 2007-01-19</t>
  </si>
  <si>
    <t>Ann: 2006-06-05</t>
  </si>
  <si>
    <t>Ann: 2012-11-27</t>
  </si>
  <si>
    <t>Ann: 2005-02-14</t>
  </si>
  <si>
    <t>Ann: 2000-06-21</t>
  </si>
  <si>
    <t>Ann: 2022-02-28</t>
  </si>
  <si>
    <t>Ann: 2015-10-26</t>
  </si>
  <si>
    <t>Ann: 1998-06-18</t>
  </si>
  <si>
    <t>Ann: 2005-10-24</t>
  </si>
  <si>
    <t>Ann: 2000-04-03</t>
  </si>
  <si>
    <t>Ann: 2015-07-02</t>
  </si>
  <si>
    <t>Ann: 2001-02-23</t>
  </si>
  <si>
    <t>Ann: 2012-06-29</t>
  </si>
  <si>
    <t>Ann: 2020-02-10</t>
  </si>
  <si>
    <t>Ann: 2021-12-15</t>
  </si>
  <si>
    <t>Ann: 2005-09-27</t>
  </si>
  <si>
    <t>Ann: 2017-06-19</t>
  </si>
  <si>
    <t>Ann: 2008-06-12</t>
  </si>
  <si>
    <t>Ann: 2000-02-23</t>
  </si>
  <si>
    <t>Deal 361</t>
  </si>
  <si>
    <t>Deal 362</t>
  </si>
  <si>
    <t>Deal 363</t>
  </si>
  <si>
    <t>Deal 364</t>
  </si>
  <si>
    <t>Deal 365</t>
  </si>
  <si>
    <t>Deal 366</t>
  </si>
  <si>
    <t>Deal 367</t>
  </si>
  <si>
    <t>Deal 368</t>
  </si>
  <si>
    <t>Deal 369</t>
  </si>
  <si>
    <t>Deal 370</t>
  </si>
  <si>
    <t>Deal 371</t>
  </si>
  <si>
    <t>Deal 372</t>
  </si>
  <si>
    <t>Deal 373</t>
  </si>
  <si>
    <t>Deal 374</t>
  </si>
  <si>
    <t>Deal 375</t>
  </si>
  <si>
    <t>Deal 376</t>
  </si>
  <si>
    <t>Deal 377</t>
  </si>
  <si>
    <t>Deal 378</t>
  </si>
  <si>
    <t>Deal 379</t>
  </si>
  <si>
    <t>Deal 380</t>
  </si>
  <si>
    <t>Deal 381</t>
  </si>
  <si>
    <t>Deal 382</t>
  </si>
  <si>
    <t>Deal 383</t>
  </si>
  <si>
    <t>Deal 384</t>
  </si>
  <si>
    <t>Deal 385</t>
  </si>
  <si>
    <t>Deal 386</t>
  </si>
  <si>
    <t>Deal 387</t>
  </si>
  <si>
    <t>Deal 388</t>
  </si>
  <si>
    <t>Deal 389</t>
  </si>
  <si>
    <t>Deal 390</t>
  </si>
  <si>
    <t>Deal 391</t>
  </si>
  <si>
    <t>Deal 392</t>
  </si>
  <si>
    <t>Deal 393</t>
  </si>
  <si>
    <t>Deal 394</t>
  </si>
  <si>
    <t>Deal 395</t>
  </si>
  <si>
    <t>Deal 396</t>
  </si>
  <si>
    <t>Deal 397</t>
  </si>
  <si>
    <t>Deal 398</t>
  </si>
  <si>
    <t>Deal 399</t>
  </si>
  <si>
    <t>Deal 400</t>
  </si>
  <si>
    <t>DLR US Equity</t>
  </si>
  <si>
    <t>SSCCQ US Equity</t>
  </si>
  <si>
    <t>CSCO US Equity</t>
  </si>
  <si>
    <t>CAH US Equity</t>
  </si>
  <si>
    <t>DXC US Equity</t>
  </si>
  <si>
    <t>BIIB US Equity</t>
  </si>
  <si>
    <t>285939Q US Equity</t>
  </si>
  <si>
    <t>ACM US Equity</t>
  </si>
  <si>
    <t>1715651D US Equity</t>
  </si>
  <si>
    <t>MTCH US Equity</t>
  </si>
  <si>
    <t>NFB US Equity</t>
  </si>
  <si>
    <t>CPB US Equity</t>
  </si>
  <si>
    <t>WLL US Equity</t>
  </si>
  <si>
    <t>ALB US Equity</t>
  </si>
  <si>
    <t>TFCFA US Equity</t>
  </si>
  <si>
    <t>EMR US Equity</t>
  </si>
  <si>
    <t>DVN US Equity</t>
  </si>
  <si>
    <t>3692470Q US Equity</t>
  </si>
  <si>
    <t>ESS US Equity</t>
  </si>
  <si>
    <t>CG US Equity</t>
  </si>
  <si>
    <t>PNC US Equity</t>
  </si>
  <si>
    <t>REG US Equity</t>
  </si>
  <si>
    <t>ANDV US Equity</t>
  </si>
  <si>
    <t>WBS US Equity</t>
  </si>
  <si>
    <t>SITC US Equity</t>
  </si>
  <si>
    <t>BEN US Equity</t>
  </si>
  <si>
    <t>Ann: 2011-04-04</t>
  </si>
  <si>
    <t>Ann: 2007-03-19</t>
  </si>
  <si>
    <t>Ann: 2017-06-09</t>
  </si>
  <si>
    <t>Ann: 1998-11-24</t>
  </si>
  <si>
    <t>Ann: 1999-08-26</t>
  </si>
  <si>
    <t>Ann: 1999-03-13</t>
  </si>
  <si>
    <t>Ann: 1998-10-09</t>
  </si>
  <si>
    <t>Ann: 2022-02-23</t>
  </si>
  <si>
    <t>Ann: 2016-05-24</t>
  </si>
  <si>
    <t>Ann: 2003-06-23</t>
  </si>
  <si>
    <t>Ann: 1995-08-20</t>
  </si>
  <si>
    <t>Ann: 2014-07-13</t>
  </si>
  <si>
    <t>Ann: 2019-12-19</t>
  </si>
  <si>
    <t>Ann: 2004-02-16</t>
  </si>
  <si>
    <t>Ann: 2019-11-13</t>
  </si>
  <si>
    <t>Ann: 2017-12-18</t>
  </si>
  <si>
    <t>Ann: 1998-10-21</t>
  </si>
  <si>
    <t>Ann: 2008-10-06</t>
  </si>
  <si>
    <t>Ann: 2005-01-10</t>
  </si>
  <si>
    <t>Ann: 2021-10-11</t>
  </si>
  <si>
    <t>Ann: 2020-09-28</t>
  </si>
  <si>
    <t>Ann: 1998-03-16</t>
  </si>
  <si>
    <t>Ann: 2013-12-09</t>
  </si>
  <si>
    <t>Ann: 2007-07-02</t>
  </si>
  <si>
    <t>Ann: 2006-10-09</t>
  </si>
  <si>
    <t>Ann: 2007-05-01</t>
  </si>
  <si>
    <t>Ann: 2009-06-29</t>
  </si>
  <si>
    <t>Ann: 2016-11-14</t>
  </si>
  <si>
    <t>Ann: 2016-11-17</t>
  </si>
  <si>
    <t>Ann: 2021-04-19</t>
  </si>
  <si>
    <t>Ann: 2006-10-23</t>
  </si>
  <si>
    <t>Ann: 2020-02-18</t>
  </si>
  <si>
    <t>Deal 401</t>
  </si>
  <si>
    <t>Deal 402</t>
  </si>
  <si>
    <t>Deal 403</t>
  </si>
  <si>
    <t>Deal 404</t>
  </si>
  <si>
    <t>Deal 405</t>
  </si>
  <si>
    <t>Deal 406</t>
  </si>
  <si>
    <t>Deal 407</t>
  </si>
  <si>
    <t>Deal 408</t>
  </si>
  <si>
    <t>Deal 409</t>
  </si>
  <si>
    <t>Deal 410</t>
  </si>
  <si>
    <t>Deal 411</t>
  </si>
  <si>
    <t>Deal 412</t>
  </si>
  <si>
    <t>Deal 413</t>
  </si>
  <si>
    <t>Deal 414</t>
  </si>
  <si>
    <t>Deal 415</t>
  </si>
  <si>
    <t>Deal 416</t>
  </si>
  <si>
    <t>Deal 417</t>
  </si>
  <si>
    <t>Deal 418</t>
  </si>
  <si>
    <t>Deal 419</t>
  </si>
  <si>
    <t>Deal 420</t>
  </si>
  <si>
    <t>Deal 421</t>
  </si>
  <si>
    <t>Deal 422</t>
  </si>
  <si>
    <t>Deal 423</t>
  </si>
  <si>
    <t>Deal 424</t>
  </si>
  <si>
    <t>Deal 425</t>
  </si>
  <si>
    <t>Deal 426</t>
  </si>
  <si>
    <t>Deal 427</t>
  </si>
  <si>
    <t>Deal 428</t>
  </si>
  <si>
    <t>Deal 429</t>
  </si>
  <si>
    <t>Deal 430</t>
  </si>
  <si>
    <t>Deal 431</t>
  </si>
  <si>
    <t>Deal 432</t>
  </si>
  <si>
    <t>Deal 433</t>
  </si>
  <si>
    <t>Deal 434</t>
  </si>
  <si>
    <t>Deal 435</t>
  </si>
  <si>
    <t>Deal 436</t>
  </si>
  <si>
    <t>Deal 437</t>
  </si>
  <si>
    <t>Deal 438</t>
  </si>
  <si>
    <t>Deal 439</t>
  </si>
  <si>
    <t>Deal 440</t>
  </si>
  <si>
    <t>PENN US Equity</t>
  </si>
  <si>
    <t>PXP US Equity</t>
  </si>
  <si>
    <t>FSK US Equity</t>
  </si>
  <si>
    <t>HBAN US Equity</t>
  </si>
  <si>
    <t>GLPI US Equity</t>
  </si>
  <si>
    <t>CCI US Equity</t>
  </si>
  <si>
    <t>NLY US Equity</t>
  </si>
  <si>
    <t>1793839D US Equity</t>
  </si>
  <si>
    <t>9210611D US Equity</t>
  </si>
  <si>
    <t>HOLX US Equity</t>
  </si>
  <si>
    <t>AA US Equity</t>
  </si>
  <si>
    <t>BKR US Equity</t>
  </si>
  <si>
    <t>AET US Equity</t>
  </si>
  <si>
    <t>SSNC US Equity</t>
  </si>
  <si>
    <t>9980328D US Equity</t>
  </si>
  <si>
    <t>UNP US Equity</t>
  </si>
  <si>
    <t>KIM US Equity</t>
  </si>
  <si>
    <t>WPC US Equity</t>
  </si>
  <si>
    <t>MNKTQ US Equity</t>
  </si>
  <si>
    <t>Ann: 2006-01-24</t>
  </si>
  <si>
    <t>Ann: 2020-08-19</t>
  </si>
  <si>
    <t>Ann: 2015-09-13</t>
  </si>
  <si>
    <t>Ann: 2001-05-07</t>
  </si>
  <si>
    <t>Ann: 2007-07-17</t>
  </si>
  <si>
    <t>Ann: 2020-11-24</t>
  </si>
  <si>
    <t>Ann: 2020-12-13</t>
  </si>
  <si>
    <t>Ann: 2015-03-09</t>
  </si>
  <si>
    <t>Ann: 2019-12-17</t>
  </si>
  <si>
    <t>Ann: 2006-10-06</t>
  </si>
  <si>
    <t>Ann: 2018-05-02</t>
  </si>
  <si>
    <t>Ann: 2018-03-20</t>
  </si>
  <si>
    <t>Ann: 2013-10-10</t>
  </si>
  <si>
    <t>Ann: 2007-02-19</t>
  </si>
  <si>
    <t>Ann: 2007-05-20</t>
  </si>
  <si>
    <t>Ann: 1999-08-11</t>
  </si>
  <si>
    <t>Ann: 2021-03-15</t>
  </si>
  <si>
    <t>Ann: 2015-09-08</t>
  </si>
  <si>
    <t>Ann: 2006-06-30</t>
  </si>
  <si>
    <t>Ann: 2005-06-06</t>
  </si>
  <si>
    <t>Ann: 2012-08-20</t>
  </si>
  <si>
    <t>Ann: 2007-06-28</t>
  </si>
  <si>
    <t>Ann: 2018-01-11</t>
  </si>
  <si>
    <t>Ann: 2007-06-20</t>
  </si>
  <si>
    <t>Ann: 2014-11-03</t>
  </si>
  <si>
    <t>Ann: 1995-08-03</t>
  </si>
  <si>
    <t>Ann: 2016-11-02</t>
  </si>
  <si>
    <t>Ann: 2019-07-16</t>
  </si>
  <si>
    <t>Ann: 2009-08-31</t>
  </si>
  <si>
    <t>Ann: 2018-06-18</t>
  </si>
  <si>
    <t>Ann: 2007-05-18</t>
  </si>
  <si>
    <t>Ann: 2014-04-07</t>
  </si>
  <si>
    <t>Ann: 2002-05-21</t>
  </si>
  <si>
    <t>Ann: 2021-12-13</t>
  </si>
  <si>
    <t>Ann: 2021-06-07</t>
  </si>
  <si>
    <t>Deal 441</t>
  </si>
  <si>
    <t>Deal 442</t>
  </si>
  <si>
    <t>Deal 443</t>
  </si>
  <si>
    <t>Deal 444</t>
  </si>
  <si>
    <t>Deal 445</t>
  </si>
  <si>
    <t>Deal 446</t>
  </si>
  <si>
    <t>Deal 447</t>
  </si>
  <si>
    <t>Deal 448</t>
  </si>
  <si>
    <t>Deal 449</t>
  </si>
  <si>
    <t>Deal 450</t>
  </si>
  <si>
    <t>Deal 451</t>
  </si>
  <si>
    <t>Deal 452</t>
  </si>
  <si>
    <t>Deal 453</t>
  </si>
  <si>
    <t>Deal 454</t>
  </si>
  <si>
    <t>Deal 455</t>
  </si>
  <si>
    <t>Deal 456</t>
  </si>
  <si>
    <t>Deal 457</t>
  </si>
  <si>
    <t>Deal 458</t>
  </si>
  <si>
    <t>Deal 459</t>
  </si>
  <si>
    <t>Deal 460</t>
  </si>
  <si>
    <t>Deal 461</t>
  </si>
  <si>
    <t>Deal 462</t>
  </si>
  <si>
    <t>Deal 463</t>
  </si>
  <si>
    <t>Deal 464</t>
  </si>
  <si>
    <t>Deal 465</t>
  </si>
  <si>
    <t>Deal 466</t>
  </si>
  <si>
    <t>Deal 467</t>
  </si>
  <si>
    <t>Deal 468</t>
  </si>
  <si>
    <t>Deal 469</t>
  </si>
  <si>
    <t>Deal 470</t>
  </si>
  <si>
    <t>Deal 471</t>
  </si>
  <si>
    <t>Deal 472</t>
  </si>
  <si>
    <t>Deal 473</t>
  </si>
  <si>
    <t>Deal 474</t>
  </si>
  <si>
    <t>Deal 475</t>
  </si>
  <si>
    <t>Deal 476</t>
  </si>
  <si>
    <t>Deal 477</t>
  </si>
  <si>
    <t>Deal 478</t>
  </si>
  <si>
    <t>Deal 479</t>
  </si>
  <si>
    <t>Deal 480</t>
  </si>
  <si>
    <t>UGI US Equity</t>
  </si>
  <si>
    <t>1005945D US Equity</t>
  </si>
  <si>
    <t>CEQP US Equity</t>
  </si>
  <si>
    <t>TSLA US Equity</t>
  </si>
  <si>
    <t>MTB US Equity</t>
  </si>
  <si>
    <t>GE US Equity</t>
  </si>
  <si>
    <t>BKD US Equity</t>
  </si>
  <si>
    <t>ROH US Equity</t>
  </si>
  <si>
    <t>NGLS US Equity</t>
  </si>
  <si>
    <t>LNWO US Equity</t>
  </si>
  <si>
    <t>XRAY US Equity</t>
  </si>
  <si>
    <t>BPY-U CN Equity</t>
  </si>
  <si>
    <t>PEB US Equity</t>
  </si>
  <si>
    <t>SANM US Equity</t>
  </si>
  <si>
    <t>VAC US Equity</t>
  </si>
  <si>
    <t>119240Q US Equity</t>
  </si>
  <si>
    <t>CMCSA US Equity</t>
  </si>
  <si>
    <t>WRK US Equity</t>
  </si>
  <si>
    <t>SYK US Equity</t>
  </si>
  <si>
    <t>MAA US Equity</t>
  </si>
  <si>
    <t>1235274D US Equity</t>
  </si>
  <si>
    <t>SPB US Equity</t>
  </si>
  <si>
    <t>CMX US Equity</t>
  </si>
  <si>
    <t>Ann: 1999-05-17</t>
  </si>
  <si>
    <t>Ann: 2019-04-02</t>
  </si>
  <si>
    <t>Ann: 1996-09-16</t>
  </si>
  <si>
    <t>Ann: 2016-08-01</t>
  </si>
  <si>
    <t>Ann: 2012-08-27</t>
  </si>
  <si>
    <t>Ann: 2008-10-24</t>
  </si>
  <si>
    <t>Ann: 2001-07-30</t>
  </si>
  <si>
    <t>Ann: 2021-02-22</t>
  </si>
  <si>
    <t>Ann: 2005-11-18</t>
  </si>
  <si>
    <t>Ann: 2014-02-20</t>
  </si>
  <si>
    <t>Ann: 1999-02-01</t>
  </si>
  <si>
    <t>Ann: 2014-10-13</t>
  </si>
  <si>
    <t>Ann: 2000-12-21</t>
  </si>
  <si>
    <t>Ann: 2010-11-25</t>
  </si>
  <si>
    <t>Ann: 2014-08-01</t>
  </si>
  <si>
    <t>Ann: 2015-09-15</t>
  </si>
  <si>
    <t>Ann: 2013-09-30</t>
  </si>
  <si>
    <t>Ann: 2018-09-06</t>
  </si>
  <si>
    <t>Ann: 2001-07-16</t>
  </si>
  <si>
    <t>Ann: 2022-04-25</t>
  </si>
  <si>
    <t>Ann: 2001-02-12</t>
  </si>
  <si>
    <t>Ann: 2007-05-30</t>
  </si>
  <si>
    <t>Ann: 1999-08-09</t>
  </si>
  <si>
    <t>Ann: 2018-01-29</t>
  </si>
  <si>
    <t>Ann: 1998-10-08</t>
  </si>
  <si>
    <t>Ann: 2019-11-04</t>
  </si>
  <si>
    <t>Ann: 2010-11-09</t>
  </si>
  <si>
    <t>Ann: 2016-08-15</t>
  </si>
  <si>
    <t>Ann: 2015-04-07</t>
  </si>
  <si>
    <t>Ann: 2003-02-24</t>
  </si>
  <si>
    <t>Ann: 2001-12-15</t>
  </si>
  <si>
    <t>Ann: 1998-03-09</t>
  </si>
  <si>
    <t>Ann: 2001-09-27</t>
  </si>
  <si>
    <t>Ann: 2004-09-13</t>
  </si>
  <si>
    <t>Ann: 2018-02-26</t>
  </si>
  <si>
    <t>Ann: 2003-09-02</t>
  </si>
  <si>
    <t>Deal 481</t>
  </si>
  <si>
    <t>Deal 482</t>
  </si>
  <si>
    <t>Deal 483</t>
  </si>
  <si>
    <t>Deal 484</t>
  </si>
  <si>
    <t>Deal 485</t>
  </si>
  <si>
    <t>Deal 486</t>
  </si>
  <si>
    <t>Deal 487</t>
  </si>
  <si>
    <t>Deal 488</t>
  </si>
  <si>
    <t>Deal 489</t>
  </si>
  <si>
    <t>Deal 490</t>
  </si>
  <si>
    <t>Deal 491</t>
  </si>
  <si>
    <t>Deal 492</t>
  </si>
  <si>
    <t>Deal 493</t>
  </si>
  <si>
    <t>Deal 494</t>
  </si>
  <si>
    <t>Deal 495</t>
  </si>
  <si>
    <t>Deal 496</t>
  </si>
  <si>
    <t>Deal 497</t>
  </si>
  <si>
    <t>Deal 498</t>
  </si>
  <si>
    <t>Deal 499</t>
  </si>
  <si>
    <t>Deal 500</t>
  </si>
  <si>
    <t>Deal 501</t>
  </si>
  <si>
    <t>Deal 502</t>
  </si>
  <si>
    <t>Deal 503</t>
  </si>
  <si>
    <t>Deal 504</t>
  </si>
  <si>
    <t>Deal 505</t>
  </si>
  <si>
    <t>Deal 506</t>
  </si>
  <si>
    <t>Deal 507</t>
  </si>
  <si>
    <t>Deal 508</t>
  </si>
  <si>
    <t>Deal 509</t>
  </si>
  <si>
    <t>Deal 510</t>
  </si>
  <si>
    <t>Deal 511</t>
  </si>
  <si>
    <t>Deal 512</t>
  </si>
  <si>
    <t>Deal 513</t>
  </si>
  <si>
    <t>Deal 514</t>
  </si>
  <si>
    <t>Deal 515</t>
  </si>
  <si>
    <t>Deal 516</t>
  </si>
  <si>
    <t>Deal 517</t>
  </si>
  <si>
    <t>Deal 518</t>
  </si>
  <si>
    <t>Deal 519</t>
  </si>
  <si>
    <t>Deal 520</t>
  </si>
  <si>
    <t>166783Q US Equity</t>
  </si>
  <si>
    <t>ADELQ US Equity</t>
  </si>
  <si>
    <t>MRCHQ US Equity</t>
  </si>
  <si>
    <t>ATHMQ US Equity</t>
  </si>
  <si>
    <t>8394653Q US Equity</t>
  </si>
  <si>
    <t>XEL US Equity</t>
  </si>
  <si>
    <t>ATBA AV Equity</t>
  </si>
  <si>
    <t>AES US Equity</t>
  </si>
  <si>
    <t>PSA US Equity</t>
  </si>
  <si>
    <t>AMAT US Equity</t>
  </si>
  <si>
    <t>1051665D US Equity</t>
  </si>
  <si>
    <t>UNM US Equity</t>
  </si>
  <si>
    <t>EMN US Equity</t>
  </si>
  <si>
    <t>VMC US Equity</t>
  </si>
  <si>
    <t>FITB US Equity</t>
  </si>
  <si>
    <t>STT US Equity</t>
  </si>
  <si>
    <t>SWK US Equity</t>
  </si>
  <si>
    <t>PTVE US Equity</t>
  </si>
  <si>
    <t>LNCOQ US Equity</t>
  </si>
  <si>
    <t>Ann: 2000-08-27</t>
  </si>
  <si>
    <t>Ann: 1999-03-05</t>
  </si>
  <si>
    <t>Ann: 1999-12-13</t>
  </si>
  <si>
    <t>Ann: 2015-02-06</t>
  </si>
  <si>
    <t>Ann: 1999-01-19</t>
  </si>
  <si>
    <t>Ann: 1999-03-25</t>
  </si>
  <si>
    <t>Ann: 2021-06-01</t>
  </si>
  <si>
    <t>Ann: 2014-10-20</t>
  </si>
  <si>
    <t>Ann: 1999-04-01</t>
  </si>
  <si>
    <t>Ann: 2005-12-22</t>
  </si>
  <si>
    <t>Ann: 2011-04-20</t>
  </si>
  <si>
    <t>Ann: 2005-08-01</t>
  </si>
  <si>
    <t>Ann: 2022-08-08</t>
  </si>
  <si>
    <t>Ann: 2007-05-22</t>
  </si>
  <si>
    <t>Ann: 2014-10-01</t>
  </si>
  <si>
    <t>Ann: 2019-04-15</t>
  </si>
  <si>
    <t>Ann: 2011-05-04</t>
  </si>
  <si>
    <t>Ann: 2001-08-29</t>
  </si>
  <si>
    <t>Ann: 2012-07-09</t>
  </si>
  <si>
    <t>Ann: 1998-11-23</t>
  </si>
  <si>
    <t>Ann: 2007-06-29</t>
  </si>
  <si>
    <t>Ann: 2006-03-06</t>
  </si>
  <si>
    <t>Ann: 2012-01-27</t>
  </si>
  <si>
    <t>Ann: 2018-05-21</t>
  </si>
  <si>
    <t>Ann: 2000-02-29</t>
  </si>
  <si>
    <t>Ann: 2000-08-15</t>
  </si>
  <si>
    <t>Ann: 2016-05-16</t>
  </si>
  <si>
    <t>Ann: 2007-02-05</t>
  </si>
  <si>
    <t>Ann: 2006-07-25</t>
  </si>
  <si>
    <t>Ann: 1999-07-21</t>
  </si>
  <si>
    <t>Ann: 2020-10-08</t>
  </si>
  <si>
    <t>Ann: 2009-11-02</t>
  </si>
  <si>
    <t>Ann: 2011-06-14</t>
  </si>
  <si>
    <t>Ann: 2008-01-11</t>
  </si>
  <si>
    <t>Ann: 2019-07-09</t>
  </si>
  <si>
    <t>Ann: 2013-02-21</t>
  </si>
  <si>
    <t>Deal 521</t>
  </si>
  <si>
    <t>Deal 522</t>
  </si>
  <si>
    <t>Deal 523</t>
  </si>
  <si>
    <t>Deal 524</t>
  </si>
  <si>
    <t>Deal 525</t>
  </si>
  <si>
    <t>Deal 526</t>
  </si>
  <si>
    <t>Deal 527</t>
  </si>
  <si>
    <t>Deal 528</t>
  </si>
  <si>
    <t>Deal 529</t>
  </si>
  <si>
    <t>Deal 530</t>
  </si>
  <si>
    <t>Deal 531</t>
  </si>
  <si>
    <t>Deal 532</t>
  </si>
  <si>
    <t>Deal 533</t>
  </si>
  <si>
    <t>Deal 534</t>
  </si>
  <si>
    <t>Deal 535</t>
  </si>
  <si>
    <t>Deal 536</t>
  </si>
  <si>
    <t>Deal 537</t>
  </si>
  <si>
    <t>Deal 538</t>
  </si>
  <si>
    <t>Deal 539</t>
  </si>
  <si>
    <t>Deal 540</t>
  </si>
  <si>
    <t>Deal 541</t>
  </si>
  <si>
    <t>Deal 542</t>
  </si>
  <si>
    <t>Deal 543</t>
  </si>
  <si>
    <t>Deal 544</t>
  </si>
  <si>
    <t>Deal 545</t>
  </si>
  <si>
    <t>Deal 546</t>
  </si>
  <si>
    <t>Deal 547</t>
  </si>
  <si>
    <t>Deal 548</t>
  </si>
  <si>
    <t>Deal 549</t>
  </si>
  <si>
    <t>Deal 550</t>
  </si>
  <si>
    <t>Deal 551</t>
  </si>
  <si>
    <t>Deal 552</t>
  </si>
  <si>
    <t>Deal 553</t>
  </si>
  <si>
    <t>Deal 554</t>
  </si>
  <si>
    <t>Deal 555</t>
  </si>
  <si>
    <t>Deal 556</t>
  </si>
  <si>
    <t>Deal 557</t>
  </si>
  <si>
    <t>Deal 558</t>
  </si>
  <si>
    <t>Deal 559</t>
  </si>
  <si>
    <t>Deal 560</t>
  </si>
  <si>
    <t>PH US Equity</t>
  </si>
  <si>
    <t>RRC US Equity</t>
  </si>
  <si>
    <t>CF US Equity</t>
  </si>
  <si>
    <t>TCF US Equity</t>
  </si>
  <si>
    <t>0616747D US Equity</t>
  </si>
  <si>
    <t>DCNAQ US Equity</t>
  </si>
  <si>
    <t>NRG US Equity</t>
  </si>
  <si>
    <t>EXPE US Equity</t>
  </si>
  <si>
    <t>K US Equity</t>
  </si>
  <si>
    <t>OLN US Equity</t>
  </si>
  <si>
    <t>BA US Equity</t>
  </si>
  <si>
    <t>STE US Equity</t>
  </si>
  <si>
    <t>TDY US Equity</t>
  </si>
  <si>
    <t>WCC US Equity</t>
  </si>
  <si>
    <t>CCT CN Equity</t>
  </si>
  <si>
    <t>STRZ US Equity</t>
  </si>
  <si>
    <t>KMP US Equity</t>
  </si>
  <si>
    <t>196850Q US Equity</t>
  </si>
  <si>
    <t>DEN US Equity</t>
  </si>
  <si>
    <t>1023761D US Equity</t>
  </si>
  <si>
    <t>SBRA US Equity</t>
  </si>
  <si>
    <t>TGE US Equity</t>
  </si>
  <si>
    <t>KEY US Equity</t>
  </si>
  <si>
    <t>TDG US Equity</t>
  </si>
  <si>
    <t>Ann: 2016-12-01</t>
  </si>
  <si>
    <t>Ann: 2009-01-15</t>
  </si>
  <si>
    <t>Ann: 2009-04-01</t>
  </si>
  <si>
    <t>Ann: 1999-06-23</t>
  </si>
  <si>
    <t>Ann: 2011-06-06</t>
  </si>
  <si>
    <t>Ann: 2019-01-28</t>
  </si>
  <si>
    <t>Ann: 1998-08-27</t>
  </si>
  <si>
    <t>Ann: 1998-05-04</t>
  </si>
  <si>
    <t>Ann: 2020-03-02</t>
  </si>
  <si>
    <t>Ann: 2012-07-23</t>
  </si>
  <si>
    <t>Ann: 2019-04-16</t>
  </si>
  <si>
    <t>Ann: 2000-10-26</t>
  </si>
  <si>
    <t>Ann: 2015-03-27</t>
  </si>
  <si>
    <t>Ann: 2018-05-01</t>
  </si>
  <si>
    <t>Ann: 2021-01-12</t>
  </si>
  <si>
    <t>Ann: 2021-01-04</t>
  </si>
  <si>
    <t>Ann: 2020-01-13</t>
  </si>
  <si>
    <t>Ann: 2015-12-15</t>
  </si>
  <si>
    <t>Ann: 2012-04-18</t>
  </si>
  <si>
    <t>Ann: 2005-10-13</t>
  </si>
  <si>
    <t>Ann: 2016-06-30</t>
  </si>
  <si>
    <t>Ann: 2013-01-29</t>
  </si>
  <si>
    <t>Ann: 2003-12-15</t>
  </si>
  <si>
    <t>Ann: 2017-04-25</t>
  </si>
  <si>
    <t>Ann: 2016-08-26</t>
  </si>
  <si>
    <t>Ann: 2016-05-27</t>
  </si>
  <si>
    <t>Ann: 2009-11-01</t>
  </si>
  <si>
    <t>Ann: 2013-07-12</t>
  </si>
  <si>
    <t>Ann: 2013-05-28</t>
  </si>
  <si>
    <t>Ann: 2013-06-03</t>
  </si>
  <si>
    <t>Ann: 2017-05-08</t>
  </si>
  <si>
    <t>Ann: 2005-11-21</t>
  </si>
  <si>
    <t>Ann: 2015-05-12</t>
  </si>
  <si>
    <t>Ann: 2018-03-26</t>
  </si>
  <si>
    <t>Ann: 2007-08-02</t>
  </si>
  <si>
    <t>Ann: 2015-10-30</t>
  </si>
  <si>
    <t>Ann: 2018-10-10</t>
  </si>
  <si>
    <t>Ann: 2022-05-16</t>
  </si>
  <si>
    <t>Deal 561</t>
  </si>
  <si>
    <t>Deal 562</t>
  </si>
  <si>
    <t>Deal 563</t>
  </si>
  <si>
    <t>Deal 564</t>
  </si>
  <si>
    <t>Deal 565</t>
  </si>
  <si>
    <t>Deal 566</t>
  </si>
  <si>
    <t>Deal 567</t>
  </si>
  <si>
    <t>Deal 568</t>
  </si>
  <si>
    <t>Deal 569</t>
  </si>
  <si>
    <t>Deal 570</t>
  </si>
  <si>
    <t>Deal 571</t>
  </si>
  <si>
    <t>Deal 572</t>
  </si>
  <si>
    <t>Deal 573</t>
  </si>
  <si>
    <t>Deal 574</t>
  </si>
  <si>
    <t>Deal 575</t>
  </si>
  <si>
    <t>Deal 576</t>
  </si>
  <si>
    <t>Deal 577</t>
  </si>
  <si>
    <t>Deal 578</t>
  </si>
  <si>
    <t>Deal 579</t>
  </si>
  <si>
    <t>Deal 580</t>
  </si>
  <si>
    <t>Deal 581</t>
  </si>
  <si>
    <t>Deal 582</t>
  </si>
  <si>
    <t>Deal 583</t>
  </si>
  <si>
    <t>Deal 584</t>
  </si>
  <si>
    <t>Deal 585</t>
  </si>
  <si>
    <t>Deal 586</t>
  </si>
  <si>
    <t>Deal 587</t>
  </si>
  <si>
    <t>Deal 588</t>
  </si>
  <si>
    <t>Deal 589</t>
  </si>
  <si>
    <t>Deal 590</t>
  </si>
  <si>
    <t>Deal 591</t>
  </si>
  <si>
    <t>Deal 592</t>
  </si>
  <si>
    <t>Deal 593</t>
  </si>
  <si>
    <t>Deal 594</t>
  </si>
  <si>
    <t>Deal 595</t>
  </si>
  <si>
    <t>Deal 596</t>
  </si>
  <si>
    <t>Deal 597</t>
  </si>
  <si>
    <t>Deal 598</t>
  </si>
  <si>
    <t>Deal 599</t>
  </si>
  <si>
    <t>Deal 600</t>
  </si>
  <si>
    <t>AWE US Equity</t>
  </si>
  <si>
    <t>0910150D US Equity</t>
  </si>
  <si>
    <t>NBL US Equity</t>
  </si>
  <si>
    <t>ASFZ US Equity</t>
  </si>
  <si>
    <t>WPGGQ US Equity</t>
  </si>
  <si>
    <t>329802Q US Equity</t>
  </si>
  <si>
    <t>MAT US Equity</t>
  </si>
  <si>
    <t>4134807Q US Equity</t>
  </si>
  <si>
    <t>ITW US Equity</t>
  </si>
  <si>
    <t>9990302D US Equity</t>
  </si>
  <si>
    <t>DZA US Equity</t>
  </si>
  <si>
    <t>1431816D US Equity</t>
  </si>
  <si>
    <t>GTN US Equity</t>
  </si>
  <si>
    <t>COR US Equity</t>
  </si>
  <si>
    <t>FSH US Equity</t>
  </si>
  <si>
    <t>FHN US Equity</t>
  </si>
  <si>
    <t>COX US Equity</t>
  </si>
  <si>
    <t>Y US Equity</t>
  </si>
  <si>
    <t>OPITQ US Equity</t>
  </si>
  <si>
    <t>PCL US Equity</t>
  </si>
  <si>
    <t>Ann: 2001-10-08</t>
  </si>
  <si>
    <t>Ann: 2015-05-11</t>
  </si>
  <si>
    <t>Ann: 2005-09-12</t>
  </si>
  <si>
    <t>Ann: 2011-01-23</t>
  </si>
  <si>
    <t>Ann: 1998-08-11</t>
  </si>
  <si>
    <t>Ann: 2016-09-06</t>
  </si>
  <si>
    <t>Ann: 2014-09-16</t>
  </si>
  <si>
    <t>Ann: 2006-07-10</t>
  </si>
  <si>
    <t>Ann: 1998-08-12</t>
  </si>
  <si>
    <t>Ann: 2013-03-08</t>
  </si>
  <si>
    <t>Ann: 1998-12-14</t>
  </si>
  <si>
    <t>Ann: 2001-09-03</t>
  </si>
  <si>
    <t>Ann: 2007-07-27</t>
  </si>
  <si>
    <t>Ann: 2010-07-15</t>
  </si>
  <si>
    <t>Ann: 2011-10-24</t>
  </si>
  <si>
    <t>Ann: 1999-09-09</t>
  </si>
  <si>
    <t>Ann: 2010-04-15</t>
  </si>
  <si>
    <t>Ann: 1999-08-18</t>
  </si>
  <si>
    <t>Ann: 2010-10-25</t>
  </si>
  <si>
    <t>Ann: 2021-05-03</t>
  </si>
  <si>
    <t>Ann: 2001-03-19</t>
  </si>
  <si>
    <t>Ann: 2004-03-17</t>
  </si>
  <si>
    <t>Ann: 1999-05-12</t>
  </si>
  <si>
    <t>Ann: 2019-09-16</t>
  </si>
  <si>
    <t>Ann: 2000-09-05</t>
  </si>
  <si>
    <t>Ann: 2018-09-17</t>
  </si>
  <si>
    <t>Ann: 2000-07-18</t>
  </si>
  <si>
    <t>Deal 601</t>
  </si>
  <si>
    <t>Deal 602</t>
  </si>
  <si>
    <t>Deal 603</t>
  </si>
  <si>
    <t>Deal 604</t>
  </si>
  <si>
    <t>Deal 605</t>
  </si>
  <si>
    <t>Deal 606</t>
  </si>
  <si>
    <t>Deal 607</t>
  </si>
  <si>
    <t>Deal 608</t>
  </si>
  <si>
    <t>Deal 609</t>
  </si>
  <si>
    <t>Deal 610</t>
  </si>
  <si>
    <t>Deal 611</t>
  </si>
  <si>
    <t>Deal 612</t>
  </si>
  <si>
    <t>Deal 613</t>
  </si>
  <si>
    <t>Deal 614</t>
  </si>
  <si>
    <t>Deal 615</t>
  </si>
  <si>
    <t>Deal 616</t>
  </si>
  <si>
    <t>Deal 617</t>
  </si>
  <si>
    <t>Deal 618</t>
  </si>
  <si>
    <t>Deal 619</t>
  </si>
  <si>
    <t>Deal 620</t>
  </si>
  <si>
    <t>Deal 621</t>
  </si>
  <si>
    <t>Deal 622</t>
  </si>
  <si>
    <t>Deal 623</t>
  </si>
  <si>
    <t>Deal 624</t>
  </si>
  <si>
    <t>Deal 625</t>
  </si>
  <si>
    <t>Deal 626</t>
  </si>
  <si>
    <t>Deal 627</t>
  </si>
  <si>
    <t>Deal 628</t>
  </si>
  <si>
    <t>Deal 629</t>
  </si>
  <si>
    <t>Deal 630</t>
  </si>
  <si>
    <t>Deal 631</t>
  </si>
  <si>
    <t>Deal 632</t>
  </si>
  <si>
    <t>Deal 633</t>
  </si>
  <si>
    <t>Deal 634</t>
  </si>
  <si>
    <t>Deal 635</t>
  </si>
  <si>
    <t>Deal 636</t>
  </si>
  <si>
    <t>Deal 637</t>
  </si>
  <si>
    <t>Deal 638</t>
  </si>
  <si>
    <t>Deal 639</t>
  </si>
  <si>
    <t>Deal 640</t>
  </si>
  <si>
    <t>1293405D US Equity</t>
  </si>
  <si>
    <t>SOV US Equity</t>
  </si>
  <si>
    <t>ALL US Equity</t>
  </si>
  <si>
    <t>DTE US Equity</t>
  </si>
  <si>
    <t>CFG US Equity</t>
  </si>
  <si>
    <t>1683997D US Equity</t>
  </si>
  <si>
    <t>CUZ US Equity</t>
  </si>
  <si>
    <t>CMI US Equity</t>
  </si>
  <si>
    <t>582663Q US Equity</t>
  </si>
  <si>
    <t>MDRIQ US Equity</t>
  </si>
  <si>
    <t>WLK US Equity</t>
  </si>
  <si>
    <t>SLG US Equity</t>
  </si>
  <si>
    <t>CBOE US Equity</t>
  </si>
  <si>
    <t>ARCC US Equity</t>
  </si>
  <si>
    <t>WELL US Equity</t>
  </si>
  <si>
    <t>BRCM US Equity</t>
  </si>
  <si>
    <t>BDN US Equity</t>
  </si>
  <si>
    <t>0544749D US Equity</t>
  </si>
  <si>
    <t>Ann: 2005-05-04</t>
  </si>
  <si>
    <t>Ann: 2002-06-12</t>
  </si>
  <si>
    <t>Ann: 2006-09-19</t>
  </si>
  <si>
    <t>Ann: 2022-02-16</t>
  </si>
  <si>
    <t>Ann: 2002-04-29</t>
  </si>
  <si>
    <t>Ann: 2020-07-07</t>
  </si>
  <si>
    <t>Ann: 1999-10-05</t>
  </si>
  <si>
    <t>Ann: 2021-07-28</t>
  </si>
  <si>
    <t>Ann: 2009-09-21</t>
  </si>
  <si>
    <t>Ann: 2012-12-13</t>
  </si>
  <si>
    <t>Ann: 2014-06-09</t>
  </si>
  <si>
    <t>Ann: 2017-01-24</t>
  </si>
  <si>
    <t>Ann: 2016-04-29</t>
  </si>
  <si>
    <t>Ann: 2022-02-22</t>
  </si>
  <si>
    <t>Ann: 2005-01-18</t>
  </si>
  <si>
    <t>Ann: 2015-09-28</t>
  </si>
  <si>
    <t>Ann: 2018-07-23</t>
  </si>
  <si>
    <t>Ann: 2016-06-10</t>
  </si>
  <si>
    <t>Ann: 2006-08-03</t>
  </si>
  <si>
    <t>Ann: 2000-02-22</t>
  </si>
  <si>
    <t>Ann: 2007-01-29</t>
  </si>
  <si>
    <t>Ann: 2011-10-03</t>
  </si>
  <si>
    <t>Ann: 2006-06-25</t>
  </si>
  <si>
    <t>Ann: 2006-11-06</t>
  </si>
  <si>
    <t>Ann: 2006-01-10</t>
  </si>
  <si>
    <t>Ann: 2022-08-04</t>
  </si>
  <si>
    <t>Ann: 2016-09-26</t>
  </si>
  <si>
    <t>Ann: 2003-01-21</t>
  </si>
  <si>
    <t>Ann: 2016-05-23</t>
  </si>
  <si>
    <t>Ann: 2018-04-25</t>
  </si>
  <si>
    <t>Ann: 2000-11-20</t>
  </si>
  <si>
    <t>Ann: 2011-09-12</t>
  </si>
  <si>
    <t>Ann: 2004-04-07</t>
  </si>
  <si>
    <t>Ann: 2001-08-14</t>
  </si>
  <si>
    <t>Deal 641</t>
  </si>
  <si>
    <t>Deal 642</t>
  </si>
  <si>
    <t>Deal 643</t>
  </si>
  <si>
    <t>Deal 644</t>
  </si>
  <si>
    <t>Deal 645</t>
  </si>
  <si>
    <t>Deal 646</t>
  </si>
  <si>
    <t>Deal 647</t>
  </si>
  <si>
    <t>Deal 648</t>
  </si>
  <si>
    <t>Deal 649</t>
  </si>
  <si>
    <t>Deal 650</t>
  </si>
  <si>
    <t>Deal 651</t>
  </si>
  <si>
    <t>Deal 652</t>
  </si>
  <si>
    <t>Deal 653</t>
  </si>
  <si>
    <t>Deal 654</t>
  </si>
  <si>
    <t>Deal 655</t>
  </si>
  <si>
    <t>Deal 656</t>
  </si>
  <si>
    <t>Deal 657</t>
  </si>
  <si>
    <t>Deal 658</t>
  </si>
  <si>
    <t>Deal 659</t>
  </si>
  <si>
    <t>Deal 660</t>
  </si>
  <si>
    <t>Deal 661</t>
  </si>
  <si>
    <t>Deal 662</t>
  </si>
  <si>
    <t>Deal 663</t>
  </si>
  <si>
    <t>Deal 664</t>
  </si>
  <si>
    <t>Deal 665</t>
  </si>
  <si>
    <t>Deal 666</t>
  </si>
  <si>
    <t>Deal 667</t>
  </si>
  <si>
    <t>Deal 668</t>
  </si>
  <si>
    <t>Deal 669</t>
  </si>
  <si>
    <t>Deal 670</t>
  </si>
  <si>
    <t>Deal 671</t>
  </si>
  <si>
    <t>Deal 672</t>
  </si>
  <si>
    <t>Deal 673</t>
  </si>
  <si>
    <t>Deal 674</t>
  </si>
  <si>
    <t>Deal 675</t>
  </si>
  <si>
    <t>Deal 676</t>
  </si>
  <si>
    <t>Deal 677</t>
  </si>
  <si>
    <t>Deal 678</t>
  </si>
  <si>
    <t>Deal 679</t>
  </si>
  <si>
    <t>Deal 680</t>
  </si>
  <si>
    <t>1837572D US Equity</t>
  </si>
  <si>
    <t>THC US Equity</t>
  </si>
  <si>
    <t>ARI US Equity</t>
  </si>
  <si>
    <t>1704453D US Equity</t>
  </si>
  <si>
    <t>NS US Equity</t>
  </si>
  <si>
    <t>AMCC US Equity</t>
  </si>
  <si>
    <t>300583Q US Equity</t>
  </si>
  <si>
    <t>DYNIQ US Equity</t>
  </si>
  <si>
    <t>SSB US Equity</t>
  </si>
  <si>
    <t>IT US Equity</t>
  </si>
  <si>
    <t>LQI US Equity</t>
  </si>
  <si>
    <t>CHRD US Equity</t>
  </si>
  <si>
    <t>XRX US Equity</t>
  </si>
  <si>
    <t>HFC US Equity</t>
  </si>
  <si>
    <t>DCH US Equity</t>
  </si>
  <si>
    <t>STJ US Equity</t>
  </si>
  <si>
    <t>1810430D US Equity</t>
  </si>
  <si>
    <t>9876555D US Equity</t>
  </si>
  <si>
    <t>UAL US Equity</t>
  </si>
  <si>
    <t>CBI US Equity</t>
  </si>
  <si>
    <t>ADBE US Equity</t>
  </si>
  <si>
    <t>ARCH US Equity</t>
  </si>
  <si>
    <t>CAR US Equity</t>
  </si>
  <si>
    <t>MAXR US Equity</t>
  </si>
  <si>
    <t>Ann: 1999-08-10</t>
  </si>
  <si>
    <t>Ann: 1994-10-11</t>
  </si>
  <si>
    <t>Ann: 2016-02-26</t>
  </si>
  <si>
    <t>Ann: 1999-08-20</t>
  </si>
  <si>
    <t>Ann: 2007-03-13</t>
  </si>
  <si>
    <t>Ann: 1998-01-19</t>
  </si>
  <si>
    <t>Ann: 2004-11-01</t>
  </si>
  <si>
    <t>Ann: 2005-03-07</t>
  </si>
  <si>
    <t>Ann: 2010-10-12</t>
  </si>
  <si>
    <t>Ann: 2000-08-28</t>
  </si>
  <si>
    <t>Ann: 1999-01-28</t>
  </si>
  <si>
    <t>Ann: 2006-12-20</t>
  </si>
  <si>
    <t>Ann: 2020-01-27</t>
  </si>
  <si>
    <t>Ann: 2017-01-05</t>
  </si>
  <si>
    <t>Ann: 1998-01-04</t>
  </si>
  <si>
    <t>Ann: 2022-03-07</t>
  </si>
  <si>
    <t>Ann: 2013-04-08</t>
  </si>
  <si>
    <t>Ann: 2009-09-28</t>
  </si>
  <si>
    <t>Ann: 2017-10-19</t>
  </si>
  <si>
    <t>Ann: 2016-11-03</t>
  </si>
  <si>
    <t>Ann: 2010-08-09</t>
  </si>
  <si>
    <t>Ann: 2015-07-22</t>
  </si>
  <si>
    <t>Ann: 1998-11-30</t>
  </si>
  <si>
    <t>Ann: 2008-06-03</t>
  </si>
  <si>
    <t>Ann: 2017-01-09</t>
  </si>
  <si>
    <t>Ann: 2007-11-05</t>
  </si>
  <si>
    <t>Ann: 2010-05-03</t>
  </si>
  <si>
    <t>Ann: 2012-07-30</t>
  </si>
  <si>
    <t>Ann: 2005-06-14</t>
  </si>
  <si>
    <t>Ann: 2012-10-18</t>
  </si>
  <si>
    <t>Ann: 2005-04-18</t>
  </si>
  <si>
    <t>Ann: 2011-05-02</t>
  </si>
  <si>
    <t>Ann: 2001-06-18</t>
  </si>
  <si>
    <t>Ann: 2017-02-24</t>
  </si>
  <si>
    <t>Deal 681</t>
  </si>
  <si>
    <t>Deal 682</t>
  </si>
  <si>
    <t>Deal 683</t>
  </si>
  <si>
    <t>Deal 684</t>
  </si>
  <si>
    <t>Deal 685</t>
  </si>
  <si>
    <t>Deal 686</t>
  </si>
  <si>
    <t>Deal 687</t>
  </si>
  <si>
    <t>Deal 688</t>
  </si>
  <si>
    <t>Deal 689</t>
  </si>
  <si>
    <t>Deal 690</t>
  </si>
  <si>
    <t>Deal 691</t>
  </si>
  <si>
    <t>Deal 692</t>
  </si>
  <si>
    <t>Deal 693</t>
  </si>
  <si>
    <t>Deal 694</t>
  </si>
  <si>
    <t>Deal 695</t>
  </si>
  <si>
    <t>Deal 696</t>
  </si>
  <si>
    <t>Deal 697</t>
  </si>
  <si>
    <t>Deal 698</t>
  </si>
  <si>
    <t>Deal 699</t>
  </si>
  <si>
    <t>Deal 700</t>
  </si>
  <si>
    <t>Deal 701</t>
  </si>
  <si>
    <t>Deal 702</t>
  </si>
  <si>
    <t>Deal 703</t>
  </si>
  <si>
    <t>Deal 704</t>
  </si>
  <si>
    <t>Deal 705</t>
  </si>
  <si>
    <t>Deal 706</t>
  </si>
  <si>
    <t>Deal 707</t>
  </si>
  <si>
    <t>Deal 708</t>
  </si>
  <si>
    <t>Deal 709</t>
  </si>
  <si>
    <t>Deal 710</t>
  </si>
  <si>
    <t>Deal 711</t>
  </si>
  <si>
    <t>Deal 712</t>
  </si>
  <si>
    <t>Deal 713</t>
  </si>
  <si>
    <t>Deal 714</t>
  </si>
  <si>
    <t>Deal 715</t>
  </si>
  <si>
    <t>Deal 716</t>
  </si>
  <si>
    <t>Deal 717</t>
  </si>
  <si>
    <t>Deal 718</t>
  </si>
  <si>
    <t>Deal 719</t>
  </si>
  <si>
    <t>Deal 720</t>
  </si>
  <si>
    <t>GAS US Equity</t>
  </si>
  <si>
    <t>QCOM US Equity</t>
  </si>
  <si>
    <t>2326248D US Equity</t>
  </si>
  <si>
    <t>EXAS US Equity</t>
  </si>
  <si>
    <t>UNFI US Equity</t>
  </si>
  <si>
    <t>SWKH US Equity</t>
  </si>
  <si>
    <t>PHM US Equity</t>
  </si>
  <si>
    <t>1436513D US Equity</t>
  </si>
  <si>
    <t>AAL US Equity</t>
  </si>
  <si>
    <t>DDS US Equity</t>
  </si>
  <si>
    <t>AVTA US Equity</t>
  </si>
  <si>
    <t>CAA US Equity</t>
  </si>
  <si>
    <t>AM US Equity</t>
  </si>
  <si>
    <t>KG US Equity</t>
  </si>
  <si>
    <t>XPO US Equity</t>
  </si>
  <si>
    <t>SKS US Equity</t>
  </si>
  <si>
    <t>WSC US Equity</t>
  </si>
  <si>
    <t>TWC US Equity</t>
  </si>
  <si>
    <t>ILPT US Equity</t>
  </si>
  <si>
    <t>HZNP US Equity</t>
  </si>
  <si>
    <t>1719868D US Equity</t>
  </si>
  <si>
    <t>IEP US Equity</t>
  </si>
  <si>
    <t>OSK US Equity</t>
  </si>
  <si>
    <t>1284849D US Equity</t>
  </si>
  <si>
    <t>1920486D US Equity</t>
  </si>
  <si>
    <t>LEHMQ US Equity</t>
  </si>
  <si>
    <t>KRG US Equity</t>
  </si>
  <si>
    <t>Ann: 2010-12-07</t>
  </si>
  <si>
    <t>Ann: 2011-01-05</t>
  </si>
  <si>
    <t>Ann: 2000-02-14</t>
  </si>
  <si>
    <t>Ann: 2019-07-29</t>
  </si>
  <si>
    <t>Ann: 2018-07-26</t>
  </si>
  <si>
    <t>Ann: 2017-01-16</t>
  </si>
  <si>
    <t>Ann: 2004-03-05</t>
  </si>
  <si>
    <t>Ann: 2000-02-07</t>
  </si>
  <si>
    <t>Ann: 2009-04-08</t>
  </si>
  <si>
    <t>Ann: 2005-08-24</t>
  </si>
  <si>
    <t>Ann: 1999-03-29</t>
  </si>
  <si>
    <t>Ann: 2022-03-28</t>
  </si>
  <si>
    <t>Ann: 1998-05-18</t>
  </si>
  <si>
    <t>Ann: 2001-05-30</t>
  </si>
  <si>
    <t>Ann: 2000-07-26</t>
  </si>
  <si>
    <t>Ann: 2015-06-14</t>
  </si>
  <si>
    <t>Ann: 2018-10-09</t>
  </si>
  <si>
    <t>Ann: 2000-07-13</t>
  </si>
  <si>
    <t>Ann: 2015-09-09</t>
  </si>
  <si>
    <t>Ann: 2011-08-04</t>
  </si>
  <si>
    <t>Ann: 1998-07-05</t>
  </si>
  <si>
    <t>Ann: 2011-08-15</t>
  </si>
  <si>
    <t>Ann: 2021-11-05</t>
  </si>
  <si>
    <t>Ann: 2011-04-27</t>
  </si>
  <si>
    <t>Ann: 1998-10-15</t>
  </si>
  <si>
    <t>Ann: 2021-02-01</t>
  </si>
  <si>
    <t>Ann: 1998-06-10</t>
  </si>
  <si>
    <t>Ann: 2008-07-03</t>
  </si>
  <si>
    <t>Ann: 2006-10-16</t>
  </si>
  <si>
    <t>Ann: 2005-11-15</t>
  </si>
  <si>
    <t>Ann: 2005-06-02</t>
  </si>
  <si>
    <t>Ann: 2009-01-12</t>
  </si>
  <si>
    <t>Ann: 2005-11-09</t>
  </si>
  <si>
    <t>Ann: 2003-07-22</t>
  </si>
  <si>
    <t>Ann: 2021-07-19</t>
  </si>
  <si>
    <t>Deal 721</t>
  </si>
  <si>
    <t>Deal 722</t>
  </si>
  <si>
    <t>Deal 723</t>
  </si>
  <si>
    <t>Deal 724</t>
  </si>
  <si>
    <t>Deal 725</t>
  </si>
  <si>
    <t>Deal 726</t>
  </si>
  <si>
    <t>Deal 727</t>
  </si>
  <si>
    <t>Deal 728</t>
  </si>
  <si>
    <t>Deal 729</t>
  </si>
  <si>
    <t>Deal 730</t>
  </si>
  <si>
    <t>Deal 731</t>
  </si>
  <si>
    <t>Deal 732</t>
  </si>
  <si>
    <t>Deal 733</t>
  </si>
  <si>
    <t>Deal 734</t>
  </si>
  <si>
    <t>Deal 735</t>
  </si>
  <si>
    <t>Deal 736</t>
  </si>
  <si>
    <t>Deal 737</t>
  </si>
  <si>
    <t>Deal 738</t>
  </si>
  <si>
    <t>Deal 739</t>
  </si>
  <si>
    <t>Deal 740</t>
  </si>
  <si>
    <t>Deal 741</t>
  </si>
  <si>
    <t>Deal 742</t>
  </si>
  <si>
    <t>Deal 743</t>
  </si>
  <si>
    <t>Deal 744</t>
  </si>
  <si>
    <t>Deal 745</t>
  </si>
  <si>
    <t>Deal 746</t>
  </si>
  <si>
    <t>Deal 747</t>
  </si>
  <si>
    <t>Deal 748</t>
  </si>
  <si>
    <t>Deal 749</t>
  </si>
  <si>
    <t>Deal 750</t>
  </si>
  <si>
    <t>Deal 751</t>
  </si>
  <si>
    <t>Deal 752</t>
  </si>
  <si>
    <t>Deal 753</t>
  </si>
  <si>
    <t>Deal 754</t>
  </si>
  <si>
    <t>Deal 755</t>
  </si>
  <si>
    <t>Deal 756</t>
  </si>
  <si>
    <t>Deal 757</t>
  </si>
  <si>
    <t>Deal 758</t>
  </si>
  <si>
    <t>Deal 759</t>
  </si>
  <si>
    <t>Deal 760</t>
  </si>
  <si>
    <t>HPC US Equity</t>
  </si>
  <si>
    <t>CADE US Equity</t>
  </si>
  <si>
    <t>PCP US Equity</t>
  </si>
  <si>
    <t>RUN US Equity</t>
  </si>
  <si>
    <t>WEN US Equity</t>
  </si>
  <si>
    <t>VALPQ US Equity</t>
  </si>
  <si>
    <t>9990822D US Equity</t>
  </si>
  <si>
    <t>LRCX US Equity</t>
  </si>
  <si>
    <t>GXP US Equity</t>
  </si>
  <si>
    <t>PVH US Equity</t>
  </si>
  <si>
    <t>ASH US Equity</t>
  </si>
  <si>
    <t>TGNA US Equity</t>
  </si>
  <si>
    <t>HSH US Equity</t>
  </si>
  <si>
    <t>DAL US Equity</t>
  </si>
  <si>
    <t>PROXQ US Equity</t>
  </si>
  <si>
    <t>PFGC US Equity</t>
  </si>
  <si>
    <t>BLDR US Equity</t>
  </si>
  <si>
    <t>Ann: 2000-06-23</t>
  </si>
  <si>
    <t>Ann: 2004-07-21</t>
  </si>
  <si>
    <t>Ann: 1998-07-30</t>
  </si>
  <si>
    <t>Ann: 2012-11-09</t>
  </si>
  <si>
    <t>Ann: 2006-10-30</t>
  </si>
  <si>
    <t>Ann: 2022-06-03</t>
  </si>
  <si>
    <t>Ann: 2008-04-24</t>
  </si>
  <si>
    <t>Ann: 2018-10-08</t>
  </si>
  <si>
    <t>Ann: 2007-03-20</t>
  </si>
  <si>
    <t>Ann: 1998-11-02</t>
  </si>
  <si>
    <t>Ann: 2008-08-12</t>
  </si>
  <si>
    <t>Ann: 2011-12-14</t>
  </si>
  <si>
    <t>Ann: 2007-02-07</t>
  </si>
  <si>
    <t>Ann: 2007-11-19</t>
  </si>
  <si>
    <t>Ann: 2012-10-31</t>
  </si>
  <si>
    <t>Ann: 2008-07-11</t>
  </si>
  <si>
    <t>Ann: 2008-11-07</t>
  </si>
  <si>
    <t>Ann: 2007-10-15</t>
  </si>
  <si>
    <t>Ann: 2012-09-06</t>
  </si>
  <si>
    <t>Ann: 2000-05-26</t>
  </si>
  <si>
    <t>Ann: 2017-05-04</t>
  </si>
  <si>
    <t>Ann: 2000-06-28</t>
  </si>
  <si>
    <t>Ann: 2000-04-10</t>
  </si>
  <si>
    <t>Ann: 2016-06-01</t>
  </si>
  <si>
    <t>Ann: 2001-07-02</t>
  </si>
  <si>
    <t>Ann: 2008-04-14</t>
  </si>
  <si>
    <t>Ann: 2002-01-16</t>
  </si>
  <si>
    <t>Ann: 2014-09-11</t>
  </si>
  <si>
    <t>Ann: 2000-03-14</t>
  </si>
  <si>
    <t>Ann: 2010-06-30</t>
  </si>
  <si>
    <t>Ann: 2021-05-18</t>
  </si>
  <si>
    <t>Ann: 2007-03-01</t>
  </si>
  <si>
    <t>Ann: 2015-10-06</t>
  </si>
  <si>
    <t>Ann: 2020-08-27</t>
  </si>
  <si>
    <t>Deal 761</t>
  </si>
  <si>
    <t>Deal 762</t>
  </si>
  <si>
    <t>Deal 763</t>
  </si>
  <si>
    <t>Deal 764</t>
  </si>
  <si>
    <t>Deal 765</t>
  </si>
  <si>
    <t>Deal 766</t>
  </si>
  <si>
    <t>Deal 767</t>
  </si>
  <si>
    <t>Deal 768</t>
  </si>
  <si>
    <t>Deal 769</t>
  </si>
  <si>
    <t>Deal 770</t>
  </si>
  <si>
    <t>Deal 771</t>
  </si>
  <si>
    <t>Deal 772</t>
  </si>
  <si>
    <t>Deal 773</t>
  </si>
  <si>
    <t>Deal 774</t>
  </si>
  <si>
    <t>Deal 775</t>
  </si>
  <si>
    <t>Deal 776</t>
  </si>
  <si>
    <t>Deal 777</t>
  </si>
  <si>
    <t>Deal 778</t>
  </si>
  <si>
    <t>Deal 779</t>
  </si>
  <si>
    <t>Deal 780</t>
  </si>
  <si>
    <t>Deal 781</t>
  </si>
  <si>
    <t>Deal 782</t>
  </si>
  <si>
    <t>Deal 783</t>
  </si>
  <si>
    <t>Deal 784</t>
  </si>
  <si>
    <t>Deal 785</t>
  </si>
  <si>
    <t>Deal 786</t>
  </si>
  <si>
    <t>Deal 787</t>
  </si>
  <si>
    <t>Deal 788</t>
  </si>
  <si>
    <t>Deal 789</t>
  </si>
  <si>
    <t>Deal 790</t>
  </si>
  <si>
    <t>Deal 791</t>
  </si>
  <si>
    <t>Deal 792</t>
  </si>
  <si>
    <t>Deal 793</t>
  </si>
  <si>
    <t>Deal 794</t>
  </si>
  <si>
    <t>Deal 795</t>
  </si>
  <si>
    <t>Deal 796</t>
  </si>
  <si>
    <t>Deal 797</t>
  </si>
  <si>
    <t>Deal 798</t>
  </si>
  <si>
    <t>Deal 799</t>
  </si>
  <si>
    <t>Deal 800</t>
  </si>
  <si>
    <t>SNV US Equity</t>
  </si>
  <si>
    <t>9876567D US Equity</t>
  </si>
  <si>
    <t>ENDPQ US Equity</t>
  </si>
  <si>
    <t>3867693Z US Equity</t>
  </si>
  <si>
    <t>JEF US Equity</t>
  </si>
  <si>
    <t>EXDSQ US Equity</t>
  </si>
  <si>
    <t>FLG US Equity</t>
  </si>
  <si>
    <t>MLM US Equity</t>
  </si>
  <si>
    <t>1074528D US Equity</t>
  </si>
  <si>
    <t>1927294D US Equity</t>
  </si>
  <si>
    <t>GT US Equity</t>
  </si>
  <si>
    <t>URS US Equity</t>
  </si>
  <si>
    <t>OEI US Equity</t>
  </si>
  <si>
    <t>NCC US Equity</t>
  </si>
  <si>
    <t>PK US Equity</t>
  </si>
  <si>
    <t>ANDX US Equity</t>
  </si>
  <si>
    <t>TEG US Equity</t>
  </si>
  <si>
    <t>HC US Equity</t>
  </si>
  <si>
    <t>MDP US Equity</t>
  </si>
  <si>
    <t>9995522D US Equity</t>
  </si>
  <si>
    <t>ONB US Equity</t>
  </si>
  <si>
    <t>Ann: 2018-07-24</t>
  </si>
  <si>
    <t>Ann: 2012-12-21</t>
  </si>
  <si>
    <t>Ann: 2009-11-11</t>
  </si>
  <si>
    <t>Ann: 2011-04-11</t>
  </si>
  <si>
    <t>Ann: 2007-07-09</t>
  </si>
  <si>
    <t>Ann: 2005-08-15</t>
  </si>
  <si>
    <t>Ann: 1998-07-02</t>
  </si>
  <si>
    <t>Ann: 2007-05-08</t>
  </si>
  <si>
    <t>Ann: 2012-11-12</t>
  </si>
  <si>
    <t>Ann: 2004-04-15</t>
  </si>
  <si>
    <t>Ann: 2018-11-09</t>
  </si>
  <si>
    <t>Ann: 2007-03-15</t>
  </si>
  <si>
    <t>Ann: 2000-09-28</t>
  </si>
  <si>
    <t>Ann: 2021-04-26</t>
  </si>
  <si>
    <t>Ann: 2014-01-28</t>
  </si>
  <si>
    <t>Ann: 2007-06-27</t>
  </si>
  <si>
    <t>Ann: 2005-06-03</t>
  </si>
  <si>
    <t>Ann: 2011-02-22</t>
  </si>
  <si>
    <t>Ann: 2006-07-05</t>
  </si>
  <si>
    <t>Ann: 2017-08-29</t>
  </si>
  <si>
    <t>Ann: 2015-02-02</t>
  </si>
  <si>
    <t>Ann: 2001-11-08</t>
  </si>
  <si>
    <t>Ann: 1998-02-09</t>
  </si>
  <si>
    <t>Ann: 2010-10-28</t>
  </si>
  <si>
    <t>Ann: 2007-05-28</t>
  </si>
  <si>
    <t>Ann: 1998-11-25</t>
  </si>
  <si>
    <t>Ann: 2019-05-06</t>
  </si>
  <si>
    <t>Ann: 2017-07-21</t>
  </si>
  <si>
    <t>Ann: 2018-09-24</t>
  </si>
  <si>
    <t>Ann: 2015-01-12</t>
  </si>
  <si>
    <t>Ann: 2017-11-27</t>
  </si>
  <si>
    <t>Ann: 2015-03-02</t>
  </si>
  <si>
    <t>Deal 801</t>
  </si>
  <si>
    <t>Deal 802</t>
  </si>
  <si>
    <t>Deal 803</t>
  </si>
  <si>
    <t>Deal 804</t>
  </si>
  <si>
    <t>Deal 805</t>
  </si>
  <si>
    <t>Deal 806</t>
  </si>
  <si>
    <t>Deal 807</t>
  </si>
  <si>
    <t>Deal 808</t>
  </si>
  <si>
    <t>Deal 809</t>
  </si>
  <si>
    <t>Deal 810</t>
  </si>
  <si>
    <t>Deal 811</t>
  </si>
  <si>
    <t>Deal 812</t>
  </si>
  <si>
    <t>Deal 813</t>
  </si>
  <si>
    <t>Deal 814</t>
  </si>
  <si>
    <t>Deal 815</t>
  </si>
  <si>
    <t>Deal 816</t>
  </si>
  <si>
    <t>Deal 817</t>
  </si>
  <si>
    <t>Deal 818</t>
  </si>
  <si>
    <t>Deal 819</t>
  </si>
  <si>
    <t>Deal 820</t>
  </si>
  <si>
    <t>Deal 821</t>
  </si>
  <si>
    <t>Deal 822</t>
  </si>
  <si>
    <t>Deal 823</t>
  </si>
  <si>
    <t>Deal 824</t>
  </si>
  <si>
    <t>Deal 825</t>
  </si>
  <si>
    <t>Deal 826</t>
  </si>
  <si>
    <t>Deal 827</t>
  </si>
  <si>
    <t>Deal 828</t>
  </si>
  <si>
    <t>Deal 829</t>
  </si>
  <si>
    <t>Deal 830</t>
  </si>
  <si>
    <t>Deal 831</t>
  </si>
  <si>
    <t>Deal 832</t>
  </si>
  <si>
    <t>Deal 833</t>
  </si>
  <si>
    <t>Deal 834</t>
  </si>
  <si>
    <t>Deal 835</t>
  </si>
  <si>
    <t>Deal 836</t>
  </si>
  <si>
    <t>Deal 837</t>
  </si>
  <si>
    <t>Deal 838</t>
  </si>
  <si>
    <t>Deal 839</t>
  </si>
  <si>
    <t>Deal 840</t>
  </si>
  <si>
    <t>COV US Equity</t>
  </si>
  <si>
    <t>PZL US Equity</t>
  </si>
  <si>
    <t>KKR US Equity</t>
  </si>
  <si>
    <t>MHS US Equity</t>
  </si>
  <si>
    <t>RLJ US Equity</t>
  </si>
  <si>
    <t>1811934D US Equity</t>
  </si>
  <si>
    <t>WHR US Equity</t>
  </si>
  <si>
    <t>CPE US Equity</t>
  </si>
  <si>
    <t>PAA US Equity</t>
  </si>
  <si>
    <t>MSCC US Equity</t>
  </si>
  <si>
    <t>BKNG US Equity</t>
  </si>
  <si>
    <t>SAIC US Equity</t>
  </si>
  <si>
    <t>0574018D US Equity</t>
  </si>
  <si>
    <t>SAFE US Equity</t>
  </si>
  <si>
    <t>MMP US Equity</t>
  </si>
  <si>
    <t>TPR US Equity</t>
  </si>
  <si>
    <t>PSX US Equity</t>
  </si>
  <si>
    <t>667517Q US Equity</t>
  </si>
  <si>
    <t>PE US Equity</t>
  </si>
  <si>
    <t>SPXC US Equity</t>
  </si>
  <si>
    <t>CBRE US Equity</t>
  </si>
  <si>
    <t>Ann: 2006-02-21</t>
  </si>
  <si>
    <t>Ann: 2010-06-01</t>
  </si>
  <si>
    <t>Ann: 1998-04-15</t>
  </si>
  <si>
    <t>Ann: 2013-12-16</t>
  </si>
  <si>
    <t>Ann: 2007-07-30</t>
  </si>
  <si>
    <t>Ann: 2013-07-09</t>
  </si>
  <si>
    <t>Ann: 2005-02-23</t>
  </si>
  <si>
    <t>Ann: 2017-04-24</t>
  </si>
  <si>
    <t>Ann: 2014-03-21</t>
  </si>
  <si>
    <t>Ann: 2013-06-04</t>
  </si>
  <si>
    <t>Ann: 2005-07-17</t>
  </si>
  <si>
    <t>Ann: 2014-11-12</t>
  </si>
  <si>
    <t>Ann: 2019-07-15</t>
  </si>
  <si>
    <t>Ann: 2000-01-13</t>
  </si>
  <si>
    <t>Ann: 2006-06-12</t>
  </si>
  <si>
    <t>Ann: 2012-08-09</t>
  </si>
  <si>
    <t>Ann: 2000-03-21</t>
  </si>
  <si>
    <t>Ann: 2000-02-11</t>
  </si>
  <si>
    <t>Ann: 2015-10-20</t>
  </si>
  <si>
    <t>Ann: 1999-08-04</t>
  </si>
  <si>
    <t>Ann: 2019-12-09</t>
  </si>
  <si>
    <t>Ann: 2014-06-13</t>
  </si>
  <si>
    <t>Ann: 2018-09-10</t>
  </si>
  <si>
    <t>Ann: 2000-12-20</t>
  </si>
  <si>
    <t>Ann: 2001-09-10</t>
  </si>
  <si>
    <t>Ann: 2001-05-04</t>
  </si>
  <si>
    <t>Ann: 1999-06-16</t>
  </si>
  <si>
    <t>Ann: 2009-03-03</t>
  </si>
  <si>
    <t>Ann: 2006-11-16</t>
  </si>
  <si>
    <t>Ann: 2021-10-27</t>
  </si>
  <si>
    <t>Ann: 2019-10-14</t>
  </si>
  <si>
    <t>Ann: 2006-10-31</t>
  </si>
  <si>
    <t>Deal 841</t>
  </si>
  <si>
    <t>Deal 842</t>
  </si>
  <si>
    <t>Deal 843</t>
  </si>
  <si>
    <t>Deal 844</t>
  </si>
  <si>
    <t>Deal 845</t>
  </si>
  <si>
    <t>Deal 846</t>
  </si>
  <si>
    <t>Deal 847</t>
  </si>
  <si>
    <t>Deal 848</t>
  </si>
  <si>
    <t>Deal 849</t>
  </si>
  <si>
    <t>Deal 850</t>
  </si>
  <si>
    <t>Deal 851</t>
  </si>
  <si>
    <t>Deal 852</t>
  </si>
  <si>
    <t>Deal 853</t>
  </si>
  <si>
    <t>Deal 854</t>
  </si>
  <si>
    <t>Deal 855</t>
  </si>
  <si>
    <t>Deal 856</t>
  </si>
  <si>
    <t>Deal 857</t>
  </si>
  <si>
    <t>Deal 858</t>
  </si>
  <si>
    <t>Deal 859</t>
  </si>
  <si>
    <t>Deal 860</t>
  </si>
  <si>
    <t>Deal 861</t>
  </si>
  <si>
    <t>Deal 862</t>
  </si>
  <si>
    <t>Deal 863</t>
  </si>
  <si>
    <t>Deal 864</t>
  </si>
  <si>
    <t>Deal 865</t>
  </si>
  <si>
    <t>Deal 866</t>
  </si>
  <si>
    <t>Deal 867</t>
  </si>
  <si>
    <t>Deal 868</t>
  </si>
  <si>
    <t>Deal 869</t>
  </si>
  <si>
    <t>Deal 870</t>
  </si>
  <si>
    <t>Deal 871</t>
  </si>
  <si>
    <t>Deal 872</t>
  </si>
  <si>
    <t>Deal 873</t>
  </si>
  <si>
    <t>Deal 874</t>
  </si>
  <si>
    <t>Deal 875</t>
  </si>
  <si>
    <t>Deal 876</t>
  </si>
  <si>
    <t>Deal 877</t>
  </si>
  <si>
    <t>Deal 878</t>
  </si>
  <si>
    <t>Deal 879</t>
  </si>
  <si>
    <t>Deal 880</t>
  </si>
  <si>
    <t>AEE US Equity</t>
  </si>
  <si>
    <t>LEARQ US Equity</t>
  </si>
  <si>
    <t>MXIM US Equity</t>
  </si>
  <si>
    <t>EQM US Equity</t>
  </si>
  <si>
    <t>GPT US Equity</t>
  </si>
  <si>
    <t>2649Q US Equity</t>
  </si>
  <si>
    <t>ZG US Equity</t>
  </si>
  <si>
    <t>ROVI US Equity</t>
  </si>
  <si>
    <t>QVCGA US Equity</t>
  </si>
  <si>
    <t>HEROQ US Equity</t>
  </si>
  <si>
    <t>1465949D US Equity</t>
  </si>
  <si>
    <t>BFH US Equity</t>
  </si>
  <si>
    <t>BBEPQ US Equity</t>
  </si>
  <si>
    <t>PACW US Equity</t>
  </si>
  <si>
    <t>KNX US Equity</t>
  </si>
  <si>
    <t>ON US Equity</t>
  </si>
  <si>
    <t>DFODQ US Equity</t>
  </si>
  <si>
    <t>AGR US Equity</t>
  </si>
  <si>
    <t>IPG US Equity</t>
  </si>
  <si>
    <t>CLF US Equity</t>
  </si>
  <si>
    <t>OHI US Equity</t>
  </si>
  <si>
    <t>WINMQ US Equity</t>
  </si>
  <si>
    <t>Ann: 2017-02-13</t>
  </si>
  <si>
    <t>Ann: 2014-06-02</t>
  </si>
  <si>
    <t>Ann: 2003-02-10</t>
  </si>
  <si>
    <t>Ann: 2004-02-03</t>
  </si>
  <si>
    <t>Ann: 1999-03-17</t>
  </si>
  <si>
    <t>Ann: 2001-01-29</t>
  </si>
  <si>
    <t>Ann: 2007-12-07</t>
  </si>
  <si>
    <t>Ann: 1999-03-04</t>
  </si>
  <si>
    <t>Ann: 2017-04-04</t>
  </si>
  <si>
    <t>Ann: 2010-04-11</t>
  </si>
  <si>
    <t>Ann: 2000-03-27</t>
  </si>
  <si>
    <t>Ann: 2022-02-09</t>
  </si>
  <si>
    <t>Ann: 2009-10-13</t>
  </si>
  <si>
    <t>Ann: 2013-07-23</t>
  </si>
  <si>
    <t>Ann: 2004-03-29</t>
  </si>
  <si>
    <t>Ann: 2006-06-28</t>
  </si>
  <si>
    <t>Ann: 2012-06-14</t>
  </si>
  <si>
    <t>Ann: 2019-03-25</t>
  </si>
  <si>
    <t>Ann: 2014-07-24</t>
  </si>
  <si>
    <t>Ann: 2013-07-22</t>
  </si>
  <si>
    <t>Ann: 2017-04-10</t>
  </si>
  <si>
    <t>Ann: 2015-11-18</t>
  </si>
  <si>
    <t>Ann: 2001-04-05</t>
  </si>
  <si>
    <t>Ann: 2001-02-20</t>
  </si>
  <si>
    <t>Ann: 2014-09-17</t>
  </si>
  <si>
    <t>Ann: 2021-06-28</t>
  </si>
  <si>
    <t>Ann: 2019-12-03</t>
  </si>
  <si>
    <t>Ann: 2005-12-14</t>
  </si>
  <si>
    <t>Ann: 1998-03-04</t>
  </si>
  <si>
    <t>Ann: 2014-10-31</t>
  </si>
  <si>
    <t>Ann: 2011-08-01</t>
  </si>
  <si>
    <t>Deal 881</t>
  </si>
  <si>
    <t>Deal 882</t>
  </si>
  <si>
    <t>Deal 883</t>
  </si>
  <si>
    <t>Deal 884</t>
  </si>
  <si>
    <t>Deal 885</t>
  </si>
  <si>
    <t>Deal 886</t>
  </si>
  <si>
    <t>Deal 887</t>
  </si>
  <si>
    <t>Deal 888</t>
  </si>
  <si>
    <t>Deal 889</t>
  </si>
  <si>
    <t>Deal 890</t>
  </si>
  <si>
    <t>Deal 891</t>
  </si>
  <si>
    <t>Deal 892</t>
  </si>
  <si>
    <t>Deal 893</t>
  </si>
  <si>
    <t>Deal 894</t>
  </si>
  <si>
    <t>Deal 895</t>
  </si>
  <si>
    <t>Deal 896</t>
  </si>
  <si>
    <t>Deal 897</t>
  </si>
  <si>
    <t>Deal 898</t>
  </si>
  <si>
    <t>Deal 899</t>
  </si>
  <si>
    <t>Deal 900</t>
  </si>
  <si>
    <t>Deal 901</t>
  </si>
  <si>
    <t>Deal 902</t>
  </si>
  <si>
    <t>Deal 903</t>
  </si>
  <si>
    <t>Deal 904</t>
  </si>
  <si>
    <t>Deal 905</t>
  </si>
  <si>
    <t>Deal 906</t>
  </si>
  <si>
    <t>Deal 907</t>
  </si>
  <si>
    <t>Deal 908</t>
  </si>
  <si>
    <t>Deal 909</t>
  </si>
  <si>
    <t>Deal 910</t>
  </si>
  <si>
    <t>Deal 911</t>
  </si>
  <si>
    <t>Deal 912</t>
  </si>
  <si>
    <t>Deal 913</t>
  </si>
  <si>
    <t>Deal 914</t>
  </si>
  <si>
    <t>Deal 915</t>
  </si>
  <si>
    <t>Deal 916</t>
  </si>
  <si>
    <t>Deal 917</t>
  </si>
  <si>
    <t>Deal 918</t>
  </si>
  <si>
    <t>Deal 919</t>
  </si>
  <si>
    <t>Deal 920</t>
  </si>
  <si>
    <t>AKAM US Equity</t>
  </si>
  <si>
    <t>XOXOQ US Equity</t>
  </si>
  <si>
    <t>EXXIQ US Equity</t>
  </si>
  <si>
    <t>GR US Equity</t>
  </si>
  <si>
    <t>ALK US Equity</t>
  </si>
  <si>
    <t>STL US Equity</t>
  </si>
  <si>
    <t>HES US Equity</t>
  </si>
  <si>
    <t>TMHC US Equity</t>
  </si>
  <si>
    <t>ZAYO US Equity</t>
  </si>
  <si>
    <t>9990531D US Equity</t>
  </si>
  <si>
    <t>RC US Equity</t>
  </si>
  <si>
    <t>CTAS US Equity</t>
  </si>
  <si>
    <t>NXL US Equity</t>
  </si>
  <si>
    <t>AVB US Equity</t>
  </si>
  <si>
    <t>HIG US Equity</t>
  </si>
  <si>
    <t>LYB US Equity</t>
  </si>
  <si>
    <t>PRGNQ US Equity</t>
  </si>
  <si>
    <t>DIN US Equity</t>
  </si>
  <si>
    <t>2758954Q US Equity</t>
  </si>
  <si>
    <t>TYL US Equity</t>
  </si>
  <si>
    <t>Ann: 2020-12-21</t>
  </si>
  <si>
    <t>Ann: 2014-03-12</t>
  </si>
  <si>
    <t>Ann: 2012-02-16</t>
  </si>
  <si>
    <t>Ann: 2016-04-04</t>
  </si>
  <si>
    <t>Ann: 2017-03-07</t>
  </si>
  <si>
    <t>Ann: 2001-07-10</t>
  </si>
  <si>
    <t>Ann: 2019-11-06</t>
  </si>
  <si>
    <t>Ann: 2017-05-11</t>
  </si>
  <si>
    <t>Ann: 1999-12-20</t>
  </si>
  <si>
    <t>Ann: 2012-03-19</t>
  </si>
  <si>
    <t>Ann: 2004-03-04</t>
  </si>
  <si>
    <t>Ann: 2020-12-07</t>
  </si>
  <si>
    <t>Ann: 2016-08-16</t>
  </si>
  <si>
    <t>Ann: 2004-11-03</t>
  </si>
  <si>
    <t>Ann: 2001-03-30</t>
  </si>
  <si>
    <t>Ann: 2004-10-18</t>
  </si>
  <si>
    <t>Ann: 1998-05-14</t>
  </si>
  <si>
    <t>Ann: 2009-07-22</t>
  </si>
  <si>
    <t>Ann: 2010-08-23</t>
  </si>
  <si>
    <t>Ann: 2014-04-28</t>
  </si>
  <si>
    <t>Ann: 1998-03-08</t>
  </si>
  <si>
    <t>Ann: 2018-08-22</t>
  </si>
  <si>
    <t>Ann: 2018-02-15</t>
  </si>
  <si>
    <t>Ann: 2000-04-05</t>
  </si>
  <si>
    <t>Ann: 2010-12-13</t>
  </si>
  <si>
    <t>Ann: 2007-07-16</t>
  </si>
  <si>
    <t>Ann: 2015-08-17</t>
  </si>
  <si>
    <t>Ann: 2012-01-07</t>
  </si>
  <si>
    <t>Ann: 2000-10-19</t>
  </si>
  <si>
    <t>Ann: 2021-02-10</t>
  </si>
  <si>
    <t>Deal 921</t>
  </si>
  <si>
    <t>Deal 922</t>
  </si>
  <si>
    <t>Deal 923</t>
  </si>
  <si>
    <t>Deal 924</t>
  </si>
  <si>
    <t>Deal 925</t>
  </si>
  <si>
    <t>Deal 926</t>
  </si>
  <si>
    <t>Deal 927</t>
  </si>
  <si>
    <t>Deal 928</t>
  </si>
  <si>
    <t>Deal 929</t>
  </si>
  <si>
    <t>Deal 930</t>
  </si>
  <si>
    <t>Deal 931</t>
  </si>
  <si>
    <t>Deal 932</t>
  </si>
  <si>
    <t>Deal 933</t>
  </si>
  <si>
    <t>Deal 934</t>
  </si>
  <si>
    <t>Deal 935</t>
  </si>
  <si>
    <t>Deal 936</t>
  </si>
  <si>
    <t>Deal 937</t>
  </si>
  <si>
    <t>Deal 938</t>
  </si>
  <si>
    <t>Deal 939</t>
  </si>
  <si>
    <t>Deal 940</t>
  </si>
  <si>
    <t>Deal 941</t>
  </si>
  <si>
    <t>Deal 942</t>
  </si>
  <si>
    <t>Deal 943</t>
  </si>
  <si>
    <t>Deal 944</t>
  </si>
  <si>
    <t>Deal 945</t>
  </si>
  <si>
    <t>Deal 946</t>
  </si>
  <si>
    <t>Deal 947</t>
  </si>
  <si>
    <t>Deal 948</t>
  </si>
  <si>
    <t>Deal 949</t>
  </si>
  <si>
    <t>Deal 950</t>
  </si>
  <si>
    <t>Deal 951</t>
  </si>
  <si>
    <t>Deal 952</t>
  </si>
  <si>
    <t>Deal 953</t>
  </si>
  <si>
    <t>Deal 954</t>
  </si>
  <si>
    <t>Deal 955</t>
  </si>
  <si>
    <t>Deal 956</t>
  </si>
  <si>
    <t>Deal 957</t>
  </si>
  <si>
    <t>Deal 958</t>
  </si>
  <si>
    <t>Deal 959</t>
  </si>
  <si>
    <t>Deal 960</t>
  </si>
  <si>
    <t>2258717D US Equity</t>
  </si>
  <si>
    <t>PNFP US Equity</t>
  </si>
  <si>
    <t>FCNCA US Equity</t>
  </si>
  <si>
    <t>XEC US Equity</t>
  </si>
  <si>
    <t>ARWLQ US Equity</t>
  </si>
  <si>
    <t>PB US Equity</t>
  </si>
  <si>
    <t>2083Q US Equity</t>
  </si>
  <si>
    <t>STCN US Equity</t>
  </si>
  <si>
    <t>FIBK US Equity</t>
  </si>
  <si>
    <t>SLXP US Equity</t>
  </si>
  <si>
    <t>BKB US Equity</t>
  </si>
  <si>
    <t>ASNAQ US Equity</t>
  </si>
  <si>
    <t>EQR US Equity</t>
  </si>
  <si>
    <t>1816375D US Equity</t>
  </si>
  <si>
    <t>HI US Equity</t>
  </si>
  <si>
    <t>TFX US Equity</t>
  </si>
  <si>
    <t>PKG US Equity</t>
  </si>
  <si>
    <t>JLL US Equity</t>
  </si>
  <si>
    <t>BPO CN Equity</t>
  </si>
  <si>
    <t>1822785D US Equity</t>
  </si>
  <si>
    <t>MCLDQ US Equity</t>
  </si>
  <si>
    <t>VFC US Equity</t>
  </si>
  <si>
    <t>CLX US Equity</t>
  </si>
  <si>
    <t>EA US Equity</t>
  </si>
  <si>
    <t>GWR US Equity</t>
  </si>
  <si>
    <t>ETFC US Equity</t>
  </si>
  <si>
    <t>MRSH US Equity</t>
  </si>
  <si>
    <t>DRS US Equity</t>
  </si>
  <si>
    <t>X US Equity</t>
  </si>
  <si>
    <t>Ann: 2006-06-29</t>
  </si>
  <si>
    <t>Ann: 2017-01-22</t>
  </si>
  <si>
    <t>Ann: 2020-10-16</t>
  </si>
  <si>
    <t>Ann: 2005-01-26</t>
  </si>
  <si>
    <t>Ann: 1999-11-08</t>
  </si>
  <si>
    <t>Ann: 2013-06-13</t>
  </si>
  <si>
    <t>Ann: 1996-04-01</t>
  </si>
  <si>
    <t>Ann: 1999-06-29</t>
  </si>
  <si>
    <t>Ann: 2021-09-16</t>
  </si>
  <si>
    <t>Ann: 2013-11-07</t>
  </si>
  <si>
    <t>Ann: 2004-05-19</t>
  </si>
  <si>
    <t>Ann: 1995-12-12</t>
  </si>
  <si>
    <t>Ann: 2015-05-18</t>
  </si>
  <si>
    <t>Ann: 1998-07-08</t>
  </si>
  <si>
    <t>Ann: 2014-12-22</t>
  </si>
  <si>
    <t>Ann: 2006-05-01</t>
  </si>
  <si>
    <t>Ann: 2019-07-12</t>
  </si>
  <si>
    <t>Ann: 2013-09-16</t>
  </si>
  <si>
    <t>Ann: 2019-03-19</t>
  </si>
  <si>
    <t>Ann: 2013-04-25</t>
  </si>
  <si>
    <t>Ann: 2006-04-12</t>
  </si>
  <si>
    <t>Ann: 1998-02-23</t>
  </si>
  <si>
    <t>Ann: 2000-01-07</t>
  </si>
  <si>
    <t>Ann: 2009-06-01</t>
  </si>
  <si>
    <t>Ann: 2011-06-13</t>
  </si>
  <si>
    <t>Ann: 2004-02-17</t>
  </si>
  <si>
    <t>Ann: 2004-05-04</t>
  </si>
  <si>
    <t>Ann: 2021-02-08</t>
  </si>
  <si>
    <t>Ann: 2004-05-18</t>
  </si>
  <si>
    <t>Ann: 2005-09-22</t>
  </si>
  <si>
    <t>Ann: 2007-03-29</t>
  </si>
  <si>
    <t>Deal 961</t>
  </si>
  <si>
    <t>Deal 962</t>
  </si>
  <si>
    <t>Deal 963</t>
  </si>
  <si>
    <t>Deal 964</t>
  </si>
  <si>
    <t>Deal 965</t>
  </si>
  <si>
    <t>Deal 966</t>
  </si>
  <si>
    <t>Deal 967</t>
  </si>
  <si>
    <t>Deal 968</t>
  </si>
  <si>
    <t>Deal 969</t>
  </si>
  <si>
    <t>Deal 970</t>
  </si>
  <si>
    <t>Deal 971</t>
  </si>
  <si>
    <t>Deal 972</t>
  </si>
  <si>
    <t>Deal 973</t>
  </si>
  <si>
    <t>Deal 974</t>
  </si>
  <si>
    <t>Deal 975</t>
  </si>
  <si>
    <t>Deal 976</t>
  </si>
  <si>
    <t>Deal 977</t>
  </si>
  <si>
    <t>Deal 978</t>
  </si>
  <si>
    <t>Deal 979</t>
  </si>
  <si>
    <t>Deal 980</t>
  </si>
  <si>
    <t>Deal 981</t>
  </si>
  <si>
    <t>Deal 982</t>
  </si>
  <si>
    <t>Deal 983</t>
  </si>
  <si>
    <t>Deal 984</t>
  </si>
  <si>
    <t>Deal 985</t>
  </si>
  <si>
    <t>Deal 986</t>
  </si>
  <si>
    <t>Deal 987</t>
  </si>
  <si>
    <t>Deal 988</t>
  </si>
  <si>
    <t>Deal 989</t>
  </si>
  <si>
    <t>Deal 990</t>
  </si>
  <si>
    <t>Deal 991</t>
  </si>
  <si>
    <t>Deal 992</t>
  </si>
  <si>
    <t>Deal 993</t>
  </si>
  <si>
    <t>Deal 994</t>
  </si>
  <si>
    <t>Deal 995</t>
  </si>
  <si>
    <t>Deal 996</t>
  </si>
  <si>
    <t>Deal 997</t>
  </si>
  <si>
    <t>Deal 998</t>
  </si>
  <si>
    <t>Deal 999</t>
  </si>
  <si>
    <t>Deal 1000</t>
  </si>
  <si>
    <t>WLA US Equity</t>
  </si>
  <si>
    <t>SOCNQ US Equity</t>
  </si>
  <si>
    <t>CVH US Equity</t>
  </si>
  <si>
    <t>1041267D US Equity</t>
  </si>
  <si>
    <t>URI US Equity</t>
  </si>
  <si>
    <t>NVP US Equity</t>
  </si>
  <si>
    <t>2598Q US Equity</t>
  </si>
  <si>
    <t>EBAY US Equity</t>
  </si>
  <si>
    <t>LNCE US Equity</t>
  </si>
  <si>
    <t>SOGCQ US Equity</t>
  </si>
  <si>
    <t>0167866D US Equity</t>
  </si>
  <si>
    <t>DALRQ US Equity</t>
  </si>
  <si>
    <t>SRE US Equity</t>
  </si>
  <si>
    <t>UMPQ US Equity</t>
  </si>
  <si>
    <t>UNVR US Equity</t>
  </si>
  <si>
    <t>ETRN US Equity</t>
  </si>
  <si>
    <t>ADEA US Equity</t>
  </si>
  <si>
    <t>1893675D US Equity</t>
  </si>
  <si>
    <t>PBCT US Equity</t>
  </si>
  <si>
    <t>9213421D CN Equity</t>
  </si>
  <si>
    <t>TWLO US Equity</t>
  </si>
  <si>
    <t>9993232D US Equity</t>
  </si>
  <si>
    <t>CLDR US Equity</t>
  </si>
  <si>
    <t>SATS US Equity</t>
  </si>
  <si>
    <t>KND US Equity</t>
  </si>
  <si>
    <t>WNR US Equity</t>
  </si>
  <si>
    <t>CXW US Equity</t>
  </si>
  <si>
    <t>CPT US Equity</t>
  </si>
  <si>
    <t>Ann: 1999-01-26</t>
  </si>
  <si>
    <t>Ann: 1998-03-02</t>
  </si>
  <si>
    <t>Ann: 2004-10-14</t>
  </si>
  <si>
    <t>Ann: 2005-07-12</t>
  </si>
  <si>
    <t>Ann: 2011-12-16</t>
  </si>
  <si>
    <t>Ann: 1998-04-30</t>
  </si>
  <si>
    <t>Ann: 2011-03-28</t>
  </si>
  <si>
    <t>Ann: 2015-10-28</t>
  </si>
  <si>
    <t>Ann: 2016-09-19</t>
  </si>
  <si>
    <t>Ann: 2007-01-08</t>
  </si>
  <si>
    <t>Ann: 2006-04-21</t>
  </si>
  <si>
    <t>Ann: 1999-10-18</t>
  </si>
  <si>
    <t>Ann: 2021-10-26</t>
  </si>
  <si>
    <t>Ann: 2000-07-09</t>
  </si>
  <si>
    <t>Ann: 2018-10-18</t>
  </si>
  <si>
    <t>Ann: 2013-09-11</t>
  </si>
  <si>
    <t>Ann: 2020-02-27</t>
  </si>
  <si>
    <t>Ann: 2004-04-16</t>
  </si>
  <si>
    <t>Ann: 2012-02-09</t>
  </si>
  <si>
    <t>Ann: 2020-03-17</t>
  </si>
  <si>
    <t>Ann: 2018-10-15</t>
  </si>
  <si>
    <t>Ann: 2015-06-17</t>
  </si>
  <si>
    <t>Ann: 1999-05-28</t>
  </si>
  <si>
    <t>Ann: 2005-12-21</t>
  </si>
  <si>
    <t>Ann: 2015-04-10</t>
  </si>
  <si>
    <t>Ann: 2018-10-03</t>
  </si>
  <si>
    <t>Ann: 2011-02-14</t>
  </si>
  <si>
    <t>Ann: 1998-04-20</t>
  </si>
  <si>
    <t>Ann: 2012-10-25</t>
  </si>
  <si>
    <t>Ann: 2004-10-04</t>
  </si>
  <si>
    <t>Deal 1001</t>
  </si>
  <si>
    <t>Deal 1002</t>
  </si>
  <si>
    <t>Deal 1003</t>
  </si>
  <si>
    <t>Deal 1004</t>
  </si>
  <si>
    <t>Deal 1005</t>
  </si>
  <si>
    <t>Deal 1006</t>
  </si>
  <si>
    <t>Deal 1007</t>
  </si>
  <si>
    <t>Deal 1008</t>
  </si>
  <si>
    <t>Deal 1009</t>
  </si>
  <si>
    <t>Deal 1010</t>
  </si>
  <si>
    <t>Deal 1011</t>
  </si>
  <si>
    <t>Deal 1012</t>
  </si>
  <si>
    <t>Deal 1013</t>
  </si>
  <si>
    <t>Deal 1014</t>
  </si>
  <si>
    <t>Deal 1015</t>
  </si>
  <si>
    <t>Deal 1016</t>
  </si>
  <si>
    <t>Deal 1017</t>
  </si>
  <si>
    <t>Deal 1018</t>
  </si>
  <si>
    <t>Deal 1019</t>
  </si>
  <si>
    <t>Deal 1020</t>
  </si>
  <si>
    <t>Deal 1021</t>
  </si>
  <si>
    <t>Deal 1022</t>
  </si>
  <si>
    <t>Deal 1023</t>
  </si>
  <si>
    <t>Deal 1024</t>
  </si>
  <si>
    <t>Deal 1025</t>
  </si>
  <si>
    <t>Deal 1026</t>
  </si>
  <si>
    <t>Deal 1027</t>
  </si>
  <si>
    <t>Deal 1028</t>
  </si>
  <si>
    <t>Deal 1029</t>
  </si>
  <si>
    <t>Deal 1030</t>
  </si>
  <si>
    <t>Deal 1031</t>
  </si>
  <si>
    <t>Deal 1032</t>
  </si>
  <si>
    <t>Deal 1033</t>
  </si>
  <si>
    <t>Deal 1034</t>
  </si>
  <si>
    <t>Deal 1035</t>
  </si>
  <si>
    <t>Deal 1036</t>
  </si>
  <si>
    <t>Deal 1037</t>
  </si>
  <si>
    <t>Deal 1038</t>
  </si>
  <si>
    <t>Deal 1039</t>
  </si>
  <si>
    <t>Deal 1040</t>
  </si>
  <si>
    <t>OA US Equity</t>
  </si>
  <si>
    <t>CMLP US Equity</t>
  </si>
  <si>
    <t>V US Equity</t>
  </si>
  <si>
    <t>TDAY US Equity</t>
  </si>
  <si>
    <t>605555Q US Equity</t>
  </si>
  <si>
    <t>MER US Equity</t>
  </si>
  <si>
    <t>VMW US Equity</t>
  </si>
  <si>
    <t>EPC US Equity</t>
  </si>
  <si>
    <t>SWY US Equity</t>
  </si>
  <si>
    <t>COOP US Equity</t>
  </si>
  <si>
    <t>2641504Q US Equity</t>
  </si>
  <si>
    <t>3437127Q US Equity</t>
  </si>
  <si>
    <t>PDCE US Equity</t>
  </si>
  <si>
    <t>PSIXQ US Equity</t>
  </si>
  <si>
    <t>CEMJQ US Equity</t>
  </si>
  <si>
    <t>CMLS US Equity</t>
  </si>
  <si>
    <t>NCF US Equity</t>
  </si>
  <si>
    <t>ZTS US Equity</t>
  </si>
  <si>
    <t>DRE US Equity</t>
  </si>
  <si>
    <t>1910 HK Equity</t>
  </si>
  <si>
    <t>MTX US Equity</t>
  </si>
  <si>
    <t>FCH US Equity</t>
  </si>
  <si>
    <t>NDAQ US Equity</t>
  </si>
  <si>
    <t>CUBE US Equity</t>
  </si>
  <si>
    <t>MLKN US Equity</t>
  </si>
  <si>
    <t>OCR US Equity</t>
  </si>
  <si>
    <t>Ann: 2014-04-29</t>
  </si>
  <si>
    <t>Ann: 2013-05-06</t>
  </si>
  <si>
    <t>Ann: 2010-04-21</t>
  </si>
  <si>
    <t>Ann: 2000-05-12</t>
  </si>
  <si>
    <t>Ann: 2019-08-05</t>
  </si>
  <si>
    <t>Ann: 2002-05-13</t>
  </si>
  <si>
    <t>Ann: 2016-04-11</t>
  </si>
  <si>
    <t>Ann: 2019-08-22</t>
  </si>
  <si>
    <t>Ann: 2007-07-12</t>
  </si>
  <si>
    <t>Ann: 2017-07-06</t>
  </si>
  <si>
    <t>Ann: 1998-10-13</t>
  </si>
  <si>
    <t>Ann: 2018-02-13</t>
  </si>
  <si>
    <t>Ann: 2005-06-16</t>
  </si>
  <si>
    <t>Ann: 2013-02-04</t>
  </si>
  <si>
    <t>Ann: 2012-05-01</t>
  </si>
  <si>
    <t>Ann: 1999-09-13</t>
  </si>
  <si>
    <t>Ann: 2001-05-14</t>
  </si>
  <si>
    <t>Ann: 2001-12-06</t>
  </si>
  <si>
    <t>Ann: 2019-08-26</t>
  </si>
  <si>
    <t>Ann: 2011-01-27</t>
  </si>
  <si>
    <t>Ann: 2000-03-22</t>
  </si>
  <si>
    <t>Ann: 2008-05-15</t>
  </si>
  <si>
    <t>Ann: 2005-03-09</t>
  </si>
  <si>
    <t>Ann: 2010-12-17</t>
  </si>
  <si>
    <t>Ann: 2000-03-20</t>
  </si>
  <si>
    <t>Ann: 2018-05-16</t>
  </si>
  <si>
    <t>Ann: 1999-03-01</t>
  </si>
  <si>
    <t>Ann: 2005-09-15</t>
  </si>
  <si>
    <t>Ann: 2016-03-03</t>
  </si>
  <si>
    <t>Ann: 2001-05-01</t>
  </si>
  <si>
    <t>Ann: 2003-04-01</t>
  </si>
  <si>
    <t>Ann: 2014-02-14</t>
  </si>
  <si>
    <t>Ann: 1998-03-24</t>
  </si>
  <si>
    <t>Ann: 2005-04-22</t>
  </si>
  <si>
    <t>Ann: 2004-05-24</t>
  </si>
  <si>
    <t>Deal 1041</t>
  </si>
  <si>
    <t>Deal 1042</t>
  </si>
  <si>
    <t>Deal 1043</t>
  </si>
  <si>
    <t>Deal 1044</t>
  </si>
  <si>
    <t>Deal 1045</t>
  </si>
  <si>
    <t>Deal 1046</t>
  </si>
  <si>
    <t>Deal 1047</t>
  </si>
  <si>
    <t>Deal 1048</t>
  </si>
  <si>
    <t>Deal 1049</t>
  </si>
  <si>
    <t>Deal 1050</t>
  </si>
  <si>
    <t>Deal 1051</t>
  </si>
  <si>
    <t>Deal 1052</t>
  </si>
  <si>
    <t>Deal 1053</t>
  </si>
  <si>
    <t>Deal 1054</t>
  </si>
  <si>
    <t>Deal 1055</t>
  </si>
  <si>
    <t>Deal 1056</t>
  </si>
  <si>
    <t>Deal 1057</t>
  </si>
  <si>
    <t>Deal 1058</t>
  </si>
  <si>
    <t>Deal 1059</t>
  </si>
  <si>
    <t>Deal 1060</t>
  </si>
  <si>
    <t>Deal 1061</t>
  </si>
  <si>
    <t>Deal 1062</t>
  </si>
  <si>
    <t>Deal 1063</t>
  </si>
  <si>
    <t>Deal 1064</t>
  </si>
  <si>
    <t>Deal 1065</t>
  </si>
  <si>
    <t>Deal 1066</t>
  </si>
  <si>
    <t>Deal 1067</t>
  </si>
  <si>
    <t>Deal 1068</t>
  </si>
  <si>
    <t>Deal 1069</t>
  </si>
  <si>
    <t>Deal 1070</t>
  </si>
  <si>
    <t>Deal 1071</t>
  </si>
  <si>
    <t>Deal 1072</t>
  </si>
  <si>
    <t>Deal 1073</t>
  </si>
  <si>
    <t>Deal 1074</t>
  </si>
  <si>
    <t>Deal 1075</t>
  </si>
  <si>
    <t>Deal 1076</t>
  </si>
  <si>
    <t>Deal 1077</t>
  </si>
  <si>
    <t>Deal 1078</t>
  </si>
  <si>
    <t>Deal 1079</t>
  </si>
  <si>
    <t>Deal 1080</t>
  </si>
  <si>
    <t>KCI US Equity</t>
  </si>
  <si>
    <t>ARLP US Equity</t>
  </si>
  <si>
    <t>TALO US Equity</t>
  </si>
  <si>
    <t>ZION US Equity</t>
  </si>
  <si>
    <t>PDE US Equity</t>
  </si>
  <si>
    <t>MFW US Equity</t>
  </si>
  <si>
    <t>APH US Equity</t>
  </si>
  <si>
    <t>WP US Equity</t>
  </si>
  <si>
    <t>RNR US Equity</t>
  </si>
  <si>
    <t>CY US Equity</t>
  </si>
  <si>
    <t>NFS US Equity</t>
  </si>
  <si>
    <t>POST US Equity</t>
  </si>
  <si>
    <t>BPL US Equity</t>
  </si>
  <si>
    <t>GLW US Equity</t>
  </si>
  <si>
    <t>IDTI US Equity</t>
  </si>
  <si>
    <t>HLIT US Equity</t>
  </si>
  <si>
    <t>SPHR US Equity</t>
  </si>
  <si>
    <t>MTOR US Equity</t>
  </si>
  <si>
    <t>MFNXQ US Equity</t>
  </si>
  <si>
    <t>Ann: 2008-04-07</t>
  </si>
  <si>
    <t>Ann: 2008-04-30</t>
  </si>
  <si>
    <t>Ann: 2001-05-24</t>
  </si>
  <si>
    <t>Ann: 2010-09-20</t>
  </si>
  <si>
    <t>Ann: 2012-11-08</t>
  </si>
  <si>
    <t>Ann: 2020-12-09</t>
  </si>
  <si>
    <t>Ann: 2003-06-27</t>
  </si>
  <si>
    <t>Ann: 1998-10-05</t>
  </si>
  <si>
    <t>Ann: 2014-05-12</t>
  </si>
  <si>
    <t>Ann: 2014-11-24</t>
  </si>
  <si>
    <t>Ann: 2014-12-01</t>
  </si>
  <si>
    <t>Ann: 2013-06-24</t>
  </si>
  <si>
    <t>Ann: 2017-09-19</t>
  </si>
  <si>
    <t>Ann: 2010-06-11</t>
  </si>
  <si>
    <t>Ann: 2005-06-15</t>
  </si>
  <si>
    <t>Ann: 2021-03-04</t>
  </si>
  <si>
    <t>Ann: 1999-10-27</t>
  </si>
  <si>
    <t>Ann: 2006-08-21</t>
  </si>
  <si>
    <t>Ann: 2021-03-26</t>
  </si>
  <si>
    <t>Ann: 2015-02-12</t>
  </si>
  <si>
    <t>Ann: 2009-05-12</t>
  </si>
  <si>
    <t>Ann: 2000-04-06</t>
  </si>
  <si>
    <t>Ann: 1998-04-02</t>
  </si>
  <si>
    <t>Ann: 2000-10-10</t>
  </si>
  <si>
    <t>Ann: 2002-12-06</t>
  </si>
  <si>
    <t>Ann: 1999-04-13</t>
  </si>
  <si>
    <t>Ann: 1999-10-14</t>
  </si>
  <si>
    <t>Ann: 2008-06-19</t>
  </si>
  <si>
    <t>Ann: 1999-09-20</t>
  </si>
  <si>
    <t>Deal 1081</t>
  </si>
  <si>
    <t>Deal 1082</t>
  </si>
  <si>
    <t>Deal 1083</t>
  </si>
  <si>
    <t>Deal 1084</t>
  </si>
  <si>
    <t>Deal 1085</t>
  </si>
  <si>
    <t>Deal 1086</t>
  </si>
  <si>
    <t>Deal 1087</t>
  </si>
  <si>
    <t>Deal 1088</t>
  </si>
  <si>
    <t>Deal 1089</t>
  </si>
  <si>
    <t>Deal 1090</t>
  </si>
  <si>
    <t>Deal 1091</t>
  </si>
  <si>
    <t>Deal 1092</t>
  </si>
  <si>
    <t>Deal 1093</t>
  </si>
  <si>
    <t>Deal 1094</t>
  </si>
  <si>
    <t>Deal 1095</t>
  </si>
  <si>
    <t>Deal 1096</t>
  </si>
  <si>
    <t>Deal 1097</t>
  </si>
  <si>
    <t>Deal 1098</t>
  </si>
  <si>
    <t>Deal 1099</t>
  </si>
  <si>
    <t>Deal 1100</t>
  </si>
  <si>
    <t>Deal 1101</t>
  </si>
  <si>
    <t>Deal 1102</t>
  </si>
  <si>
    <t>Deal 1103</t>
  </si>
  <si>
    <t>Deal 1104</t>
  </si>
  <si>
    <t>Deal 1105</t>
  </si>
  <si>
    <t>Deal 1106</t>
  </si>
  <si>
    <t>Deal 1107</t>
  </si>
  <si>
    <t>Deal 1108</t>
  </si>
  <si>
    <t>Deal 1109</t>
  </si>
  <si>
    <t>Deal 1110</t>
  </si>
  <si>
    <t>Deal 1111</t>
  </si>
  <si>
    <t>Deal 1112</t>
  </si>
  <si>
    <t>Deal 1113</t>
  </si>
  <si>
    <t>Deal 1114</t>
  </si>
  <si>
    <t>Deal 1115</t>
  </si>
  <si>
    <t>Deal 1116</t>
  </si>
  <si>
    <t>Deal 1117</t>
  </si>
  <si>
    <t>Deal 1118</t>
  </si>
  <si>
    <t>Deal 1119</t>
  </si>
  <si>
    <t>Deal 1120</t>
  </si>
  <si>
    <t>BRCD US Equity</t>
  </si>
  <si>
    <t>SD US Equity</t>
  </si>
  <si>
    <t>KEYS US Equity</t>
  </si>
  <si>
    <t>ACH US Equity</t>
  </si>
  <si>
    <t>9876552D US Equity</t>
  </si>
  <si>
    <t>GMH US Equity</t>
  </si>
  <si>
    <t>LPNT US Equity</t>
  </si>
  <si>
    <t>BBWI US Equity</t>
  </si>
  <si>
    <t>ELNK US Equity</t>
  </si>
  <si>
    <t>2309719Q US Equity</t>
  </si>
  <si>
    <t>CCMP US Equity</t>
  </si>
  <si>
    <t>2556796D US Equity</t>
  </si>
  <si>
    <t>SVU US Equity</t>
  </si>
  <si>
    <t>PVR US Equity</t>
  </si>
  <si>
    <t>FNFG US Equity</t>
  </si>
  <si>
    <t>AF US Equity</t>
  </si>
  <si>
    <t>1859004D US Equity</t>
  </si>
  <si>
    <t>LEE US Equity</t>
  </si>
  <si>
    <t>MHK US Equity</t>
  </si>
  <si>
    <t>1986522D US Equity</t>
  </si>
  <si>
    <t>QTRN US Equity</t>
  </si>
  <si>
    <t>ITG US Equity</t>
  </si>
  <si>
    <t>L US Equity</t>
  </si>
  <si>
    <t>HSY US Equity</t>
  </si>
  <si>
    <t>GOOGL US Equity</t>
  </si>
  <si>
    <t>WSFS US Equity</t>
  </si>
  <si>
    <t>Ann: 2008-07-21</t>
  </si>
  <si>
    <t>Ann: 2010-04-04</t>
  </si>
  <si>
    <t>Ann: 2017-01-30</t>
  </si>
  <si>
    <t>Ann: 2009-09-15</t>
  </si>
  <si>
    <t>Ann: 2007-09-17</t>
  </si>
  <si>
    <t>Ann: 2004-08-16</t>
  </si>
  <si>
    <t>Ann: 2005-05-31</t>
  </si>
  <si>
    <t>Ann: 2002-02-04</t>
  </si>
  <si>
    <t>Ann: 2017-10-23</t>
  </si>
  <si>
    <t>Ann: 2001-11-06</t>
  </si>
  <si>
    <t>Ann: 2021-02-25</t>
  </si>
  <si>
    <t>Ann: 2018-08-15</t>
  </si>
  <si>
    <t>Ann: 2015-08-04</t>
  </si>
  <si>
    <t>Ann: 2018-11-19</t>
  </si>
  <si>
    <t>Ann: 1999-06-09</t>
  </si>
  <si>
    <t>Ann: 1999-02-11</t>
  </si>
  <si>
    <t>Ann: 2010-09-21</t>
  </si>
  <si>
    <t>Ann: 1998-04-03</t>
  </si>
  <si>
    <t>Ann: 2003-06-09</t>
  </si>
  <si>
    <t>Ann: 2007-05-14</t>
  </si>
  <si>
    <t>Ann: 2005-01-30</t>
  </si>
  <si>
    <t>Ann: 1999-05-10</t>
  </si>
  <si>
    <t>Ann: 2013-02-20</t>
  </si>
  <si>
    <t>Ann: 2001-11-19</t>
  </si>
  <si>
    <t>Ann: 2007-04-05</t>
  </si>
  <si>
    <t>Ann: 1998-12-16</t>
  </si>
  <si>
    <t>Ann: 1998-03-18</t>
  </si>
  <si>
    <t>Ann: 2018-06-29</t>
  </si>
  <si>
    <t>Ann: 2019-11-01</t>
  </si>
  <si>
    <t>Deal 1121</t>
  </si>
  <si>
    <t>Deal 1122</t>
  </si>
  <si>
    <t>Deal 1123</t>
  </si>
  <si>
    <t>Deal 1124</t>
  </si>
  <si>
    <t>Deal 1125</t>
  </si>
  <si>
    <t>Deal 1126</t>
  </si>
  <si>
    <t>Deal 1127</t>
  </si>
  <si>
    <t>Deal 1128</t>
  </si>
  <si>
    <t>Deal 1129</t>
  </si>
  <si>
    <t>Deal 1130</t>
  </si>
  <si>
    <t>Deal 1131</t>
  </si>
  <si>
    <t>Deal 1132</t>
  </si>
  <si>
    <t>Deal 1133</t>
  </si>
  <si>
    <t>Deal 1134</t>
  </si>
  <si>
    <t>Deal 1135</t>
  </si>
  <si>
    <t>Deal 1136</t>
  </si>
  <si>
    <t>Deal 1137</t>
  </si>
  <si>
    <t>Deal 1138</t>
  </si>
  <si>
    <t>Deal 1139</t>
  </si>
  <si>
    <t>Deal 1140</t>
  </si>
  <si>
    <t>Deal 1141</t>
  </si>
  <si>
    <t>Deal 1142</t>
  </si>
  <si>
    <t>Deal 1143</t>
  </si>
  <si>
    <t>Deal 1144</t>
  </si>
  <si>
    <t>Deal 1145</t>
  </si>
  <si>
    <t>Deal 1146</t>
  </si>
  <si>
    <t>Deal 1147</t>
  </si>
  <si>
    <t>Deal 1148</t>
  </si>
  <si>
    <t>Deal 1149</t>
  </si>
  <si>
    <t>Deal 1150</t>
  </si>
  <si>
    <t>Deal 1151</t>
  </si>
  <si>
    <t>Deal 1152</t>
  </si>
  <si>
    <t>Deal 1153</t>
  </si>
  <si>
    <t>Deal 1154</t>
  </si>
  <si>
    <t>Deal 1155</t>
  </si>
  <si>
    <t>Deal 1156</t>
  </si>
  <si>
    <t>Deal 1157</t>
  </si>
  <si>
    <t>Deal 1158</t>
  </si>
  <si>
    <t>Deal 1159</t>
  </si>
  <si>
    <t>Deal 1160</t>
  </si>
  <si>
    <t>TLRDQ US Equity</t>
  </si>
  <si>
    <t>RFMD US Equity</t>
  </si>
  <si>
    <t>THRY US Equity</t>
  </si>
  <si>
    <t>YELLQ US Equity</t>
  </si>
  <si>
    <t>UCOMA US Equity</t>
  </si>
  <si>
    <t>EXE US Equity</t>
  </si>
  <si>
    <t>ICBC US Equity</t>
  </si>
  <si>
    <t>WBMD US Equity</t>
  </si>
  <si>
    <t>TRUL CN Equity</t>
  </si>
  <si>
    <t>CRL US Equity</t>
  </si>
  <si>
    <t>JNY US Equity</t>
  </si>
  <si>
    <t>1856613D US Equity</t>
  </si>
  <si>
    <t>CNSL US Equity</t>
  </si>
  <si>
    <t>KMPR US Equity</t>
  </si>
  <si>
    <t>HTV US Equity</t>
  </si>
  <si>
    <t>EXR US Equity</t>
  </si>
  <si>
    <t>TXT US Equity</t>
  </si>
  <si>
    <t>1919709D US Equity</t>
  </si>
  <si>
    <t>CLP US Equity</t>
  </si>
  <si>
    <t>A US Equity</t>
  </si>
  <si>
    <t>Ann: 2020-07-22</t>
  </si>
  <si>
    <t>Ann: 2007-08-28</t>
  </si>
  <si>
    <t>Ann: 2013-11-26</t>
  </si>
  <si>
    <t>Ann: 2010-09-13</t>
  </si>
  <si>
    <t>Ann: 2014-02-24</t>
  </si>
  <si>
    <t>Ann: 2012-08-21</t>
  </si>
  <si>
    <t>Ann: 2018-05-10</t>
  </si>
  <si>
    <t>Ann: 2000-04-17</t>
  </si>
  <si>
    <t>Ann: 2005-02-27</t>
  </si>
  <si>
    <t>Ann: 2003-10-06</t>
  </si>
  <si>
    <t>Ann: 2021-08-11</t>
  </si>
  <si>
    <t>Ann: 2003-11-25</t>
  </si>
  <si>
    <t>Ann: 2009-06-18</t>
  </si>
  <si>
    <t>Ann: 2013-01-31</t>
  </si>
  <si>
    <t>Ann: 2021-05-10</t>
  </si>
  <si>
    <t>Ann: 2003-10-14</t>
  </si>
  <si>
    <t>Ann: 2004-07-01</t>
  </si>
  <si>
    <t>Ann: 1998-01-20</t>
  </si>
  <si>
    <t>Ann: 2007-05-04</t>
  </si>
  <si>
    <t>Ann: 1999-03-03</t>
  </si>
  <si>
    <t>Ann: 2006-08-15</t>
  </si>
  <si>
    <t>Ann: 1999-06-28</t>
  </si>
  <si>
    <t>Ann: 2007-02-16</t>
  </si>
  <si>
    <t>Ann: 2016-12-05</t>
  </si>
  <si>
    <t>Ann: 1998-05-26</t>
  </si>
  <si>
    <t>Ann: 2006-05-12</t>
  </si>
  <si>
    <t>Ann: 1998-12-18</t>
  </si>
  <si>
    <t>Ann: 2015-06-15</t>
  </si>
  <si>
    <t>Ann: 2005-01-24</t>
  </si>
  <si>
    <t>Ann: 2013-12-26</t>
  </si>
  <si>
    <t>Ann: 2013-06-09</t>
  </si>
  <si>
    <t>Ann: 2004-10-25</t>
  </si>
  <si>
    <t>Ann: 2012-06-01</t>
  </si>
  <si>
    <t>Ann: 2009-07-27</t>
  </si>
  <si>
    <t>Ann: 2017-08-02</t>
  </si>
  <si>
    <t>Deal 1161</t>
  </si>
  <si>
    <t>Deal 1162</t>
  </si>
  <si>
    <t>Deal 1163</t>
  </si>
  <si>
    <t>Deal 1164</t>
  </si>
  <si>
    <t>Deal 1165</t>
  </si>
  <si>
    <t>Deal 1166</t>
  </si>
  <si>
    <t>Deal 1167</t>
  </si>
  <si>
    <t>Deal 1168</t>
  </si>
  <si>
    <t>Deal 1169</t>
  </si>
  <si>
    <t>Deal 1170</t>
  </si>
  <si>
    <t>Deal 1171</t>
  </si>
  <si>
    <t>Deal 1172</t>
  </si>
  <si>
    <t>Deal 1173</t>
  </si>
  <si>
    <t>Deal 1174</t>
  </si>
  <si>
    <t>Deal 1175</t>
  </si>
  <si>
    <t>Deal 1176</t>
  </si>
  <si>
    <t>Deal 1177</t>
  </si>
  <si>
    <t>Deal 1178</t>
  </si>
  <si>
    <t>Deal 1179</t>
  </si>
  <si>
    <t>Deal 1180</t>
  </si>
  <si>
    <t>Deal 1181</t>
  </si>
  <si>
    <t>Deal 1182</t>
  </si>
  <si>
    <t>Deal 1183</t>
  </si>
  <si>
    <t>Deal 1184</t>
  </si>
  <si>
    <t>Deal 1185</t>
  </si>
  <si>
    <t>Deal 1186</t>
  </si>
  <si>
    <t>Deal 1187</t>
  </si>
  <si>
    <t>Deal 1188</t>
  </si>
  <si>
    <t>Deal 1189</t>
  </si>
  <si>
    <t>Deal 1190</t>
  </si>
  <si>
    <t>Deal 1191</t>
  </si>
  <si>
    <t>Deal 1192</t>
  </si>
  <si>
    <t>Deal 1193</t>
  </si>
  <si>
    <t>Deal 1194</t>
  </si>
  <si>
    <t>Deal 1195</t>
  </si>
  <si>
    <t>Deal 1196</t>
  </si>
  <si>
    <t>Deal 1197</t>
  </si>
  <si>
    <t>Deal 1198</t>
  </si>
  <si>
    <t>Deal 1199</t>
  </si>
  <si>
    <t>Deal 1200</t>
  </si>
  <si>
    <t>CIVI US Equity</t>
  </si>
  <si>
    <t>SCI US Equity</t>
  </si>
  <si>
    <t>HWC US Equity</t>
  </si>
  <si>
    <t>FNB US Equity</t>
  </si>
  <si>
    <t>3029830Q US Equity</t>
  </si>
  <si>
    <t>611214Q US Equity</t>
  </si>
  <si>
    <t>PTEN US Equity</t>
  </si>
  <si>
    <t>AMH US Equity</t>
  </si>
  <si>
    <t>DRI US Equity</t>
  </si>
  <si>
    <t>PCH US Equity</t>
  </si>
  <si>
    <t>SNX US Equity</t>
  </si>
  <si>
    <t>2207158D US Equity</t>
  </si>
  <si>
    <t>MMM US Equity</t>
  </si>
  <si>
    <t>9983490D US Equity</t>
  </si>
  <si>
    <t>VIRT US Equity</t>
  </si>
  <si>
    <t>OPK US Equity</t>
  </si>
  <si>
    <t>LITE US Equity</t>
  </si>
  <si>
    <t>502466Q US Equity</t>
  </si>
  <si>
    <t>8251545Q US Equity</t>
  </si>
  <si>
    <t>362125Q US Equity</t>
  </si>
  <si>
    <t>AVY US Equity</t>
  </si>
  <si>
    <t>Ann: 2010-12-22</t>
  </si>
  <si>
    <t>Ann: 2016-07-21</t>
  </si>
  <si>
    <t>Ann: 2002-07-08</t>
  </si>
  <si>
    <t>Ann: 2003-06-02</t>
  </si>
  <si>
    <t>Ann: 2003-07-14</t>
  </si>
  <si>
    <t>Ann: 1999-01-11</t>
  </si>
  <si>
    <t>Ann: 2016-12-13</t>
  </si>
  <si>
    <t>Ann: 2015-12-03</t>
  </si>
  <si>
    <t>Ann: 2007-08-16</t>
  </si>
  <si>
    <t>Ann: 1998-11-17</t>
  </si>
  <si>
    <t>Ann: 2007-05-02</t>
  </si>
  <si>
    <t>Ann: 2000-03-31</t>
  </si>
  <si>
    <t>Ann: 1999-11-14</t>
  </si>
  <si>
    <t>Ann: 2018-06-28</t>
  </si>
  <si>
    <t>Ann: 2013-09-25</t>
  </si>
  <si>
    <t>Ann: 2001-12-03</t>
  </si>
  <si>
    <t>Ann: 2020-05-05</t>
  </si>
  <si>
    <t>Ann: 2009-03-12</t>
  </si>
  <si>
    <t>Ann: 2005-05-12</t>
  </si>
  <si>
    <t>Ann: 2010-07-13</t>
  </si>
  <si>
    <t>Ann: 2017-03-15</t>
  </si>
  <si>
    <t>Ann: 2001-02-05</t>
  </si>
  <si>
    <t>Ann: 2015-06-04</t>
  </si>
  <si>
    <t>Ann: 2018-03-12</t>
  </si>
  <si>
    <t>Ann: 2014-02-11</t>
  </si>
  <si>
    <t>Ann: 2006-08-28</t>
  </si>
  <si>
    <t>Ann: 2001-10-18</t>
  </si>
  <si>
    <t>Ann: 2006-04-20</t>
  </si>
  <si>
    <t>Ann: 2009-04-27</t>
  </si>
  <si>
    <t>Ann: 1999-07-26</t>
  </si>
  <si>
    <t>Ann: 1998-03-15</t>
  </si>
  <si>
    <t>Ann: 2007-03-22</t>
  </si>
  <si>
    <t>Ann: 2005-07-11</t>
  </si>
  <si>
    <t>Ann: 2013-10-22</t>
  </si>
  <si>
    <t>Deal 1201</t>
  </si>
  <si>
    <t>Deal 1202</t>
  </si>
  <si>
    <t>Deal 1203</t>
  </si>
  <si>
    <t>Deal 1204</t>
  </si>
  <si>
    <t>Deal 1205</t>
  </si>
  <si>
    <t>Deal 1206</t>
  </si>
  <si>
    <t>Deal 1207</t>
  </si>
  <si>
    <t>Deal 1208</t>
  </si>
  <si>
    <t>Deal 1209</t>
  </si>
  <si>
    <t>Deal 1210</t>
  </si>
  <si>
    <t>Deal 1211</t>
  </si>
  <si>
    <t>Deal 1212</t>
  </si>
  <si>
    <t>Deal 1213</t>
  </si>
  <si>
    <t>Deal 1214</t>
  </si>
  <si>
    <t>Deal 1215</t>
  </si>
  <si>
    <t>Deal 1216</t>
  </si>
  <si>
    <t>Deal 1217</t>
  </si>
  <si>
    <t>Deal 1218</t>
  </si>
  <si>
    <t>Deal 1219</t>
  </si>
  <si>
    <t>Deal 1220</t>
  </si>
  <si>
    <t>Deal 1221</t>
  </si>
  <si>
    <t>Deal 1222</t>
  </si>
  <si>
    <t>Deal 1223</t>
  </si>
  <si>
    <t>Deal 1224</t>
  </si>
  <si>
    <t>Deal 1225</t>
  </si>
  <si>
    <t>Deal 1226</t>
  </si>
  <si>
    <t>Deal 1227</t>
  </si>
  <si>
    <t>Deal 1228</t>
  </si>
  <si>
    <t>Deal 1229</t>
  </si>
  <si>
    <t>Deal 1230</t>
  </si>
  <si>
    <t>Deal 1231</t>
  </si>
  <si>
    <t>Deal 1232</t>
  </si>
  <si>
    <t>Deal 1233</t>
  </si>
  <si>
    <t>Deal 1234</t>
  </si>
  <si>
    <t>Deal 1235</t>
  </si>
  <si>
    <t>Deal 1236</t>
  </si>
  <si>
    <t>Deal 1237</t>
  </si>
  <si>
    <t>Deal 1238</t>
  </si>
  <si>
    <t>Deal 1239</t>
  </si>
  <si>
    <t>Deal 1240</t>
  </si>
  <si>
    <t>QLGC US Equity</t>
  </si>
  <si>
    <t>UPS US Equity</t>
  </si>
  <si>
    <t>HPE US Equity</t>
  </si>
  <si>
    <t>BYI US Equity</t>
  </si>
  <si>
    <t>TVTY US Equity</t>
  </si>
  <si>
    <t>JAZZ US Equity</t>
  </si>
  <si>
    <t>GS US Equity</t>
  </si>
  <si>
    <t>MKSI US Equity</t>
  </si>
  <si>
    <t>GAPTQ US Equity</t>
  </si>
  <si>
    <t>TSS US Equity</t>
  </si>
  <si>
    <t>MMGR US Equity</t>
  </si>
  <si>
    <t>HLX US Equity</t>
  </si>
  <si>
    <t>CLH US Equity</t>
  </si>
  <si>
    <t>1858968D US Equity</t>
  </si>
  <si>
    <t>MDRX US Equity</t>
  </si>
  <si>
    <t>9876549D US Equity</t>
  </si>
  <si>
    <t>HRI US Equity</t>
  </si>
  <si>
    <t>Ann: 2000-05-08</t>
  </si>
  <si>
    <t>Ann: 2005-05-16</t>
  </si>
  <si>
    <t>Ann: 2019-05-17</t>
  </si>
  <si>
    <t>Ann: 2013-07-16</t>
  </si>
  <si>
    <t>Ann: 2018-12-10</t>
  </si>
  <si>
    <t>Ann: 2008-03-16</t>
  </si>
  <si>
    <t>Ann: 2017-06-28</t>
  </si>
  <si>
    <t>Ann: 2006-09-05</t>
  </si>
  <si>
    <t>Ann: 2004-05-03</t>
  </si>
  <si>
    <t>Ann: 2013-12-20</t>
  </si>
  <si>
    <t>Ann: 2001-02-15</t>
  </si>
  <si>
    <t>Ann: 2021-09-15</t>
  </si>
  <si>
    <t>Ann: 2011-02-08</t>
  </si>
  <si>
    <t>Ann: 2017-08-16</t>
  </si>
  <si>
    <t>Ann: 2005-11-08</t>
  </si>
  <si>
    <t>Ann: 2004-08-02</t>
  </si>
  <si>
    <t>Ann: 2006-10-11</t>
  </si>
  <si>
    <t>Ann: 2003-07-08</t>
  </si>
  <si>
    <t>Ann: 2004-11-24</t>
  </si>
  <si>
    <t>Ann: 2018-08-30</t>
  </si>
  <si>
    <t>Ann: 2016-02-23</t>
  </si>
  <si>
    <t>Ann: 2007-03-05</t>
  </si>
  <si>
    <t>Ann: 2005-07-21</t>
  </si>
  <si>
    <t>Ann: 2008-09-11</t>
  </si>
  <si>
    <t>Ann: 2008-01-18</t>
  </si>
  <si>
    <t>Ann: 2013-02-19</t>
  </si>
  <si>
    <t>Ann: 2012-10-29</t>
  </si>
  <si>
    <t>Ann: 2010-06-09</t>
  </si>
  <si>
    <t>Ann: 2012-12-18</t>
  </si>
  <si>
    <t>Ann: 2012-08-26</t>
  </si>
  <si>
    <t>Deal 1241</t>
  </si>
  <si>
    <t>Deal 1242</t>
  </si>
  <si>
    <t>Deal 1243</t>
  </si>
  <si>
    <t>Deal 1244</t>
  </si>
  <si>
    <t>Deal 1245</t>
  </si>
  <si>
    <t>Deal 1246</t>
  </si>
  <si>
    <t>Deal 1247</t>
  </si>
  <si>
    <t>Deal 1248</t>
  </si>
  <si>
    <t>Deal 1249</t>
  </si>
  <si>
    <t>Deal 1250</t>
  </si>
  <si>
    <t>Deal 1251</t>
  </si>
  <si>
    <t>Deal 1252</t>
  </si>
  <si>
    <t>Deal 1253</t>
  </si>
  <si>
    <t>Deal 1254</t>
  </si>
  <si>
    <t>Deal 1255</t>
  </si>
  <si>
    <t>Deal 1256</t>
  </si>
  <si>
    <t>Deal 1257</t>
  </si>
  <si>
    <t>Deal 1258</t>
  </si>
  <si>
    <t>Deal 1259</t>
  </si>
  <si>
    <t>Deal 1260</t>
  </si>
  <si>
    <t>Deal 1261</t>
  </si>
  <si>
    <t>Deal 1262</t>
  </si>
  <si>
    <t>Deal 1263</t>
  </si>
  <si>
    <t>Deal 1264</t>
  </si>
  <si>
    <t>Deal 1265</t>
  </si>
  <si>
    <t>Deal 1266</t>
  </si>
  <si>
    <t>Deal 1267</t>
  </si>
  <si>
    <t>Deal 1268</t>
  </si>
  <si>
    <t>Deal 1269</t>
  </si>
  <si>
    <t>Deal 1270</t>
  </si>
  <si>
    <t>Deal 1271</t>
  </si>
  <si>
    <t>Deal 1272</t>
  </si>
  <si>
    <t>Deal 1273</t>
  </si>
  <si>
    <t>Deal 1274</t>
  </si>
  <si>
    <t>Deal 1275</t>
  </si>
  <si>
    <t>Deal 1276</t>
  </si>
  <si>
    <t>Deal 1277</t>
  </si>
  <si>
    <t>Deal 1278</t>
  </si>
  <si>
    <t>Deal 1279</t>
  </si>
  <si>
    <t>Deal 1280</t>
  </si>
  <si>
    <t>IRM US Equity</t>
  </si>
  <si>
    <t>CLOV US Equity</t>
  </si>
  <si>
    <t>CMRCQ US Equity</t>
  </si>
  <si>
    <t>INTU US Equity</t>
  </si>
  <si>
    <t>GME US Equity</t>
  </si>
  <si>
    <t>605018Q US Equity</t>
  </si>
  <si>
    <t>ACC US Equity</t>
  </si>
  <si>
    <t>EFX US Equity</t>
  </si>
  <si>
    <t>MWE US Equity</t>
  </si>
  <si>
    <t>RS US Equity</t>
  </si>
  <si>
    <t>INDB US Equity</t>
  </si>
  <si>
    <t>ASCMA US Equity</t>
  </si>
  <si>
    <t>BWA US Equity</t>
  </si>
  <si>
    <t>PWR US Equity</t>
  </si>
  <si>
    <t>CMA US Equity</t>
  </si>
  <si>
    <t>TQNT US Equity</t>
  </si>
  <si>
    <t>DHI US Equity</t>
  </si>
  <si>
    <t>BOKF US Equity</t>
  </si>
  <si>
    <t>RAH US Equity</t>
  </si>
  <si>
    <t>HQY US Equity</t>
  </si>
  <si>
    <t>FDX US Equity</t>
  </si>
  <si>
    <t>SIG US Equity</t>
  </si>
  <si>
    <t>0202445Q US Equity</t>
  </si>
  <si>
    <t>Ann: 1999-10-21</t>
  </si>
  <si>
    <t>Ann: 1999-06-15</t>
  </si>
  <si>
    <t>Ann: 2020-10-06</t>
  </si>
  <si>
    <t>Ann: 2000-06-20</t>
  </si>
  <si>
    <t>Ann: 1999-09-28</t>
  </si>
  <si>
    <t>Ann: 2006-11-30</t>
  </si>
  <si>
    <t>Ann: 2008-02-12</t>
  </si>
  <si>
    <t>Ann: 2007-02-14</t>
  </si>
  <si>
    <t>Ann: 2005-09-29</t>
  </si>
  <si>
    <t>Ann: 2007-09-06</t>
  </si>
  <si>
    <t>Ann: 2003-12-21</t>
  </si>
  <si>
    <t>Ann: 2001-05-23</t>
  </si>
  <si>
    <t>Ann: 2001-09-24</t>
  </si>
  <si>
    <t>Ann: 2000-08-18</t>
  </si>
  <si>
    <t>Ann: 2018-10-30</t>
  </si>
  <si>
    <t>Ann: 2016-01-26</t>
  </si>
  <si>
    <t>Ann: 2013-02-06</t>
  </si>
  <si>
    <t>Ann: 2021-04-22</t>
  </si>
  <si>
    <t>Ann: 2000-02-17</t>
  </si>
  <si>
    <t>Ann: 2006-04-03</t>
  </si>
  <si>
    <t>Ann: 2000-11-01</t>
  </si>
  <si>
    <t>Ann: 2001-05-15</t>
  </si>
  <si>
    <t>Ann: 2012-08-22</t>
  </si>
  <si>
    <t>Ann: 2001-10-23</t>
  </si>
  <si>
    <t>Ann: 2010-06-21</t>
  </si>
  <si>
    <t>Ann: 2019-06-27</t>
  </si>
  <si>
    <t>Ann: 2000-11-13</t>
  </si>
  <si>
    <t>Ann: 2014-02-19</t>
  </si>
  <si>
    <t>Ann: 2006-04-25</t>
  </si>
  <si>
    <t>Deal 1281</t>
  </si>
  <si>
    <t>Deal 1282</t>
  </si>
  <si>
    <t>Deal 1283</t>
  </si>
  <si>
    <t>Deal 1284</t>
  </si>
  <si>
    <t>Deal 1285</t>
  </si>
  <si>
    <t>Deal 1286</t>
  </si>
  <si>
    <t>Deal 1287</t>
  </si>
  <si>
    <t>Deal 1288</t>
  </si>
  <si>
    <t>Deal 1289</t>
  </si>
  <si>
    <t>Deal 1290</t>
  </si>
  <si>
    <t>Deal 1291</t>
  </si>
  <si>
    <t>Deal 1292</t>
  </si>
  <si>
    <t>Deal 1293</t>
  </si>
  <si>
    <t>Deal 1294</t>
  </si>
  <si>
    <t>Deal 1295</t>
  </si>
  <si>
    <t>Deal 1296</t>
  </si>
  <si>
    <t>Deal 1297</t>
  </si>
  <si>
    <t>Deal 1298</t>
  </si>
  <si>
    <t>Deal 1299</t>
  </si>
  <si>
    <t>Deal 1300</t>
  </si>
  <si>
    <t>Deal 1301</t>
  </si>
  <si>
    <t>Deal 1302</t>
  </si>
  <si>
    <t>Deal 1303</t>
  </si>
  <si>
    <t>Deal 1304</t>
  </si>
  <si>
    <t>Deal 1305</t>
  </si>
  <si>
    <t>Deal 1306</t>
  </si>
  <si>
    <t>Deal 1307</t>
  </si>
  <si>
    <t>Deal 1308</t>
  </si>
  <si>
    <t>Deal 1309</t>
  </si>
  <si>
    <t>Deal 1310</t>
  </si>
  <si>
    <t>Deal 1311</t>
  </si>
  <si>
    <t>Deal 1312</t>
  </si>
  <si>
    <t>Deal 1313</t>
  </si>
  <si>
    <t>Deal 1314</t>
  </si>
  <si>
    <t>Deal 1315</t>
  </si>
  <si>
    <t>Deal 1316</t>
  </si>
  <si>
    <t>Deal 1317</t>
  </si>
  <si>
    <t>Deal 1318</t>
  </si>
  <si>
    <t>Deal 1319</t>
  </si>
  <si>
    <t>Deal 1320</t>
  </si>
  <si>
    <t>AMC US Equity</t>
  </si>
  <si>
    <t>MPANQ US Equity</t>
  </si>
  <si>
    <t>JAH US Equity</t>
  </si>
  <si>
    <t>1541946D US Equity</t>
  </si>
  <si>
    <t>COO US Equity</t>
  </si>
  <si>
    <t>ED US Equity</t>
  </si>
  <si>
    <t>VCI US Equity</t>
  </si>
  <si>
    <t>SRTOQ US Equity</t>
  </si>
  <si>
    <t>9876544D US Equity</t>
  </si>
  <si>
    <t>2596516D US Equity</t>
  </si>
  <si>
    <t>MATV US Equity</t>
  </si>
  <si>
    <t>838969Q US Equity</t>
  </si>
  <si>
    <t>PPC US Equity</t>
  </si>
  <si>
    <t>HTO US Equity</t>
  </si>
  <si>
    <t>AKS US Equity</t>
  </si>
  <si>
    <t>FTRCQ US Equity</t>
  </si>
  <si>
    <t>118569Q US Equity</t>
  </si>
  <si>
    <t>VYX US Equity</t>
  </si>
  <si>
    <t>PBF US Equity</t>
  </si>
  <si>
    <t>PRETQ US Equity</t>
  </si>
  <si>
    <t>ATTM US Equity</t>
  </si>
  <si>
    <t>Ann: 2009-11-10</t>
  </si>
  <si>
    <t>Ann: 2003-04-10</t>
  </si>
  <si>
    <t>Ann: 2004-10-20</t>
  </si>
  <si>
    <t>Ann: 2007-04-25</t>
  </si>
  <si>
    <t>Ann: 2004-11-09</t>
  </si>
  <si>
    <t>Ann: 2004-07-28</t>
  </si>
  <si>
    <t>Ann: 2008-01-28</t>
  </si>
  <si>
    <t>Ann: 2009-10-06</t>
  </si>
  <si>
    <t>Ann: 2018-06-22</t>
  </si>
  <si>
    <t>Ann: 2006-07-06</t>
  </si>
  <si>
    <t>Ann: 1998-10-22</t>
  </si>
  <si>
    <t>Ann: 2001-07-09</t>
  </si>
  <si>
    <t>Ann: 1999-08-02</t>
  </si>
  <si>
    <t>Ann: 2006-07-11</t>
  </si>
  <si>
    <t>Ann: 2009-11-24</t>
  </si>
  <si>
    <t>Ann: 2004-07-13</t>
  </si>
  <si>
    <t>Ann: 2005-10-16</t>
  </si>
  <si>
    <t>Ann: 2006-08-18</t>
  </si>
  <si>
    <t>Ann: 2018-03-15</t>
  </si>
  <si>
    <t>Ann: 2006-08-10</t>
  </si>
  <si>
    <t>Ann: 2008-12-01</t>
  </si>
  <si>
    <t>Ann: 1999-05-21</t>
  </si>
  <si>
    <t>Ann: 2006-09-18</t>
  </si>
  <si>
    <t>Ann: 2016-01-08</t>
  </si>
  <si>
    <t>Ann: 2007-12-13</t>
  </si>
  <si>
    <t>Ann: 2004-01-13</t>
  </si>
  <si>
    <t>Ann: 1999-04-26</t>
  </si>
  <si>
    <t>Ann: 2011-07-11</t>
  </si>
  <si>
    <t>Ann: 2022-07-28</t>
  </si>
  <si>
    <t>Ann: 1998-08-17</t>
  </si>
  <si>
    <t>Ann: 2003-05-14</t>
  </si>
  <si>
    <t>Ann: 2011-03-21</t>
  </si>
  <si>
    <t>Ann: 2010-11-22</t>
  </si>
  <si>
    <t>Deal 1321</t>
  </si>
  <si>
    <t>Deal 1322</t>
  </si>
  <si>
    <t>Deal 1323</t>
  </si>
  <si>
    <t>Deal 1324</t>
  </si>
  <si>
    <t>Deal 1325</t>
  </si>
  <si>
    <t>Deal 1326</t>
  </si>
  <si>
    <t>Deal 1327</t>
  </si>
  <si>
    <t>Deal 1328</t>
  </si>
  <si>
    <t>Deal 1329</t>
  </si>
  <si>
    <t>Deal 1330</t>
  </si>
  <si>
    <t>Deal 1331</t>
  </si>
  <si>
    <t>Deal 1332</t>
  </si>
  <si>
    <t>Deal 1333</t>
  </si>
  <si>
    <t>Deal 1334</t>
  </si>
  <si>
    <t>Deal 1335</t>
  </si>
  <si>
    <t>Deal 1336</t>
  </si>
  <si>
    <t>Deal 1337</t>
  </si>
  <si>
    <t>Deal 1338</t>
  </si>
  <si>
    <t>Deal 1339</t>
  </si>
  <si>
    <t>Deal 1340</t>
  </si>
  <si>
    <t>Deal 1341</t>
  </si>
  <si>
    <t>Deal 1342</t>
  </si>
  <si>
    <t>Deal 1343</t>
  </si>
  <si>
    <t>Deal 1344</t>
  </si>
  <si>
    <t>Deal 1345</t>
  </si>
  <si>
    <t>Deal 1346</t>
  </si>
  <si>
    <t>Deal 1347</t>
  </si>
  <si>
    <t>Deal 1348</t>
  </si>
  <si>
    <t>Deal 1349</t>
  </si>
  <si>
    <t>Deal 1350</t>
  </si>
  <si>
    <t>Deal 1351</t>
  </si>
  <si>
    <t>Deal 1352</t>
  </si>
  <si>
    <t>Deal 1353</t>
  </si>
  <si>
    <t>Deal 1354</t>
  </si>
  <si>
    <t>Deal 1355</t>
  </si>
  <si>
    <t>Deal 1356</t>
  </si>
  <si>
    <t>Deal 1357</t>
  </si>
  <si>
    <t>Deal 1358</t>
  </si>
  <si>
    <t>Deal 1359</t>
  </si>
  <si>
    <t>Deal 1360</t>
  </si>
  <si>
    <t>LOW US Equity</t>
  </si>
  <si>
    <t>9876566D US Equity</t>
  </si>
  <si>
    <t>ACKH US Equity</t>
  </si>
  <si>
    <t>OMX US Equity</t>
  </si>
  <si>
    <t>3406956Q US Equity</t>
  </si>
  <si>
    <t>LUV US Equity</t>
  </si>
  <si>
    <t>SNDK US Equity</t>
  </si>
  <si>
    <t>CRBC US Equity</t>
  </si>
  <si>
    <t>SPNX US Equity</t>
  </si>
  <si>
    <t>NEX US Equity</t>
  </si>
  <si>
    <t>9990819D US Equity</t>
  </si>
  <si>
    <t>INSW US Equity</t>
  </si>
  <si>
    <t>MTZ US Equity</t>
  </si>
  <si>
    <t>391243Q US Equity</t>
  </si>
  <si>
    <t>DCLK US Equity</t>
  </si>
  <si>
    <t>BBIO US Equity</t>
  </si>
  <si>
    <t>MVL US Equity</t>
  </si>
  <si>
    <t>VSUNQ US Equity</t>
  </si>
  <si>
    <t>CKH US Equity</t>
  </si>
  <si>
    <t>PPBI US Equity</t>
  </si>
  <si>
    <t>Ann: 1998-11-22</t>
  </si>
  <si>
    <t>Ann: 2002-04-01</t>
  </si>
  <si>
    <t>Ann: 1999-02-08</t>
  </si>
  <si>
    <t>Ann: 2003-04-21</t>
  </si>
  <si>
    <t>Ann: 2016-11-07</t>
  </si>
  <si>
    <t>Ann: 1998-06-15</t>
  </si>
  <si>
    <t>Ann: 1999-04-16</t>
  </si>
  <si>
    <t>Ann: 2017-12-26</t>
  </si>
  <si>
    <t>Ann: 2011-02-23</t>
  </si>
  <si>
    <t>Ann: 2000-05-17</t>
  </si>
  <si>
    <t>Ann: 2006-02-27</t>
  </si>
  <si>
    <t>Ann: 2010-09-27</t>
  </si>
  <si>
    <t>Ann: 2006-08-23</t>
  </si>
  <si>
    <t>Ann: 2006-11-15</t>
  </si>
  <si>
    <t>Ann: 2006-06-27</t>
  </si>
  <si>
    <t>Ann: 2011-10-10</t>
  </si>
  <si>
    <t>Ann: 2017-02-14</t>
  </si>
  <si>
    <t>Ann: 2004-09-29</t>
  </si>
  <si>
    <t>Ann: 2021-03-31</t>
  </si>
  <si>
    <t>Ann: 2022-07-25</t>
  </si>
  <si>
    <t>Ann: 2000-03-08</t>
  </si>
  <si>
    <t>Ann: 2020-01-10</t>
  </si>
  <si>
    <t>Ann: 2006-07-27</t>
  </si>
  <si>
    <t>Ann: 2007-11-29</t>
  </si>
  <si>
    <t>Ann: 2005-03-16</t>
  </si>
  <si>
    <t>Ann: 2020-02-03</t>
  </si>
  <si>
    <t>Ann: 2016-06-27</t>
  </si>
  <si>
    <t>Ann: 2018-11-07</t>
  </si>
  <si>
    <t>Ann: 2011-01-18</t>
  </si>
  <si>
    <t>Deal 1361</t>
  </si>
  <si>
    <t>Deal 1362</t>
  </si>
  <si>
    <t>Deal 1363</t>
  </si>
  <si>
    <t>Deal 1364</t>
  </si>
  <si>
    <t>Deal 1365</t>
  </si>
  <si>
    <t>Deal 1366</t>
  </si>
  <si>
    <t>Deal 1367</t>
  </si>
  <si>
    <t>Deal 1368</t>
  </si>
  <si>
    <t>Deal 1369</t>
  </si>
  <si>
    <t>Deal 1370</t>
  </si>
  <si>
    <t>Deal 1371</t>
  </si>
  <si>
    <t>Deal 1372</t>
  </si>
  <si>
    <t>Deal 1373</t>
  </si>
  <si>
    <t>Deal 1374</t>
  </si>
  <si>
    <t>Deal 1375</t>
  </si>
  <si>
    <t>Deal 1376</t>
  </si>
  <si>
    <t>Deal 1377</t>
  </si>
  <si>
    <t>Deal 1378</t>
  </si>
  <si>
    <t>Deal 1379</t>
  </si>
  <si>
    <t>Deal 1380</t>
  </si>
  <si>
    <t>Deal 1381</t>
  </si>
  <si>
    <t>Deal 1382</t>
  </si>
  <si>
    <t>Deal 1383</t>
  </si>
  <si>
    <t>Deal 1384</t>
  </si>
  <si>
    <t>Deal 1385</t>
  </si>
  <si>
    <t>Deal 1386</t>
  </si>
  <si>
    <t>Deal 1387</t>
  </si>
  <si>
    <t>Deal 1388</t>
  </si>
  <si>
    <t>Deal 1389</t>
  </si>
  <si>
    <t>Deal 1390</t>
  </si>
  <si>
    <t>Deal 1391</t>
  </si>
  <si>
    <t>Deal 1392</t>
  </si>
  <si>
    <t>Deal 1393</t>
  </si>
  <si>
    <t>Deal 1394</t>
  </si>
  <si>
    <t>Deal 1395</t>
  </si>
  <si>
    <t>Deal 1396</t>
  </si>
  <si>
    <t>Deal 1397</t>
  </si>
  <si>
    <t>Deal 1398</t>
  </si>
  <si>
    <t>Deal 1399</t>
  </si>
  <si>
    <t>Deal 1400</t>
  </si>
  <si>
    <t>TIN US Equity</t>
  </si>
  <si>
    <t>MOVIQ US Equity</t>
  </si>
  <si>
    <t>ORLY US Equity</t>
  </si>
  <si>
    <t>HOPE US Equity</t>
  </si>
  <si>
    <t>1746513D US Equity</t>
  </si>
  <si>
    <t>UBSI US Equity</t>
  </si>
  <si>
    <t>ZBH US Equity</t>
  </si>
  <si>
    <t>LXP US Equity</t>
  </si>
  <si>
    <t>3346Q US Equity</t>
  </si>
  <si>
    <t>FFBC US Equity</t>
  </si>
  <si>
    <t>IBTX US Equity</t>
  </si>
  <si>
    <t>LHCG US Equity</t>
  </si>
  <si>
    <t>EVRI US Equity</t>
  </si>
  <si>
    <t>SDW US Equity</t>
  </si>
  <si>
    <t>ARGO US Equity</t>
  </si>
  <si>
    <t>IFF US Equity</t>
  </si>
  <si>
    <t>STZ US Equity</t>
  </si>
  <si>
    <t>9966911D US Equity</t>
  </si>
  <si>
    <t>2297161Q US Equity</t>
  </si>
  <si>
    <t>CNX US Equity</t>
  </si>
  <si>
    <t>Ann: 2004-11-19</t>
  </si>
  <si>
    <t>Ann: 2008-02-01</t>
  </si>
  <si>
    <t>Ann: 2010-04-24</t>
  </si>
  <si>
    <t>Ann: 2004-01-26</t>
  </si>
  <si>
    <t>Ann: 2019-11-18</t>
  </si>
  <si>
    <t>Ann: 2001-01-24</t>
  </si>
  <si>
    <t>Ann: 2016-06-07</t>
  </si>
  <si>
    <t>Ann: 2015-12-08</t>
  </si>
  <si>
    <t>Ann: 2002-06-14</t>
  </si>
  <si>
    <t>Ann: 2006-07-23</t>
  </si>
  <si>
    <t>Ann: 2001-12-18</t>
  </si>
  <si>
    <t>Ann: 1999-05-19</t>
  </si>
  <si>
    <t>Ann: 1999-04-19</t>
  </si>
  <si>
    <t>Ann: 2017-07-25</t>
  </si>
  <si>
    <t>Ann: 2007-10-08</t>
  </si>
  <si>
    <t>Ann: 2018-05-22</t>
  </si>
  <si>
    <t>Ann: 2017-11-16</t>
  </si>
  <si>
    <t>Ann: 2014-09-08</t>
  </si>
  <si>
    <t>Ann: 1999-12-14</t>
  </si>
  <si>
    <t>Ann: 2006-04-23</t>
  </si>
  <si>
    <t>Ann: 2006-01-17</t>
  </si>
  <si>
    <t>Ann: 2007-03-14</t>
  </si>
  <si>
    <t>Ann: 2000-09-25</t>
  </si>
  <si>
    <t>Ann: 2004-10-19</t>
  </si>
  <si>
    <t>Ann: 2002-10-04</t>
  </si>
  <si>
    <t>Ann: 2018-05-13</t>
  </si>
  <si>
    <t>Ann: 2005-08-29</t>
  </si>
  <si>
    <t>Ann: 1998-04-27</t>
  </si>
  <si>
    <t>Ann: 2010-03-21</t>
  </si>
  <si>
    <t>Ann: 2016-12-02</t>
  </si>
  <si>
    <t>Ann: 2004-02-12</t>
  </si>
  <si>
    <t>Ann: 2006-04-17</t>
  </si>
  <si>
    <t>Ann: 2007-04-03</t>
  </si>
  <si>
    <t>Deal 1401</t>
  </si>
  <si>
    <t>Deal 1402</t>
  </si>
  <si>
    <t>Deal 1403</t>
  </si>
  <si>
    <t>Deal 1404</t>
  </si>
  <si>
    <t>Deal 1405</t>
  </si>
  <si>
    <t>Deal 1406</t>
  </si>
  <si>
    <t>Deal 1407</t>
  </si>
  <si>
    <t>Deal 1408</t>
  </si>
  <si>
    <t>Deal 1409</t>
  </si>
  <si>
    <t>Deal 1410</t>
  </si>
  <si>
    <t>Deal 1411</t>
  </si>
  <si>
    <t>Deal 1412</t>
  </si>
  <si>
    <t>Deal 1413</t>
  </si>
  <si>
    <t>Deal 1414</t>
  </si>
  <si>
    <t>Deal 1415</t>
  </si>
  <si>
    <t>Deal 1416</t>
  </si>
  <si>
    <t>Deal 1417</t>
  </si>
  <si>
    <t>Deal 1418</t>
  </si>
  <si>
    <t>Deal 1419</t>
  </si>
  <si>
    <t>Deal 1420</t>
  </si>
  <si>
    <t>Deal 1421</t>
  </si>
  <si>
    <t>Deal 1422</t>
  </si>
  <si>
    <t>Deal 1423</t>
  </si>
  <si>
    <t>Deal 1424</t>
  </si>
  <si>
    <t>Deal 1425</t>
  </si>
  <si>
    <t>Deal 1426</t>
  </si>
  <si>
    <t>Deal 1427</t>
  </si>
  <si>
    <t>Deal 1428</t>
  </si>
  <si>
    <t>Deal 1429</t>
  </si>
  <si>
    <t>Deal 1430</t>
  </si>
  <si>
    <t>Deal 1431</t>
  </si>
  <si>
    <t>Deal 1432</t>
  </si>
  <si>
    <t>Deal 1433</t>
  </si>
  <si>
    <t>Deal 1434</t>
  </si>
  <si>
    <t>Deal 1435</t>
  </si>
  <si>
    <t>Deal 1436</t>
  </si>
  <si>
    <t>Deal 1437</t>
  </si>
  <si>
    <t>Deal 1438</t>
  </si>
  <si>
    <t>Deal 1439</t>
  </si>
  <si>
    <t>Deal 1440</t>
  </si>
  <si>
    <t>VYTLQ US Equity</t>
  </si>
  <si>
    <t>CAVM US Equity</t>
  </si>
  <si>
    <t>BATL US Equity</t>
  </si>
  <si>
    <t>VBTX US Equity</t>
  </si>
  <si>
    <t>PF US Equity</t>
  </si>
  <si>
    <t>SCG US Equity</t>
  </si>
  <si>
    <t>DOC US Equity</t>
  </si>
  <si>
    <t>ISIL US Equity</t>
  </si>
  <si>
    <t>2491Q US Equity</t>
  </si>
  <si>
    <t>1731877D US Equity</t>
  </si>
  <si>
    <t>2150994D US Equity</t>
  </si>
  <si>
    <t>TLAB US Equity</t>
  </si>
  <si>
    <t>2619871D US Equity</t>
  </si>
  <si>
    <t>NTIQ US Equity</t>
  </si>
  <si>
    <t>GENZ US Equity</t>
  </si>
  <si>
    <t>RVBD US Equity</t>
  </si>
  <si>
    <t>HALO US Equity</t>
  </si>
  <si>
    <t>SGI US Equity</t>
  </si>
  <si>
    <t>TTMI US Equity</t>
  </si>
  <si>
    <t>VRNT US Equity</t>
  </si>
  <si>
    <t>UAN US Equity</t>
  </si>
  <si>
    <t>GBCI US Equity</t>
  </si>
  <si>
    <t>IM US Equity</t>
  </si>
  <si>
    <t>FMER US Equity</t>
  </si>
  <si>
    <t>Ann: 1999-08-27</t>
  </si>
  <si>
    <t>Ann: 2012-01-26</t>
  </si>
  <si>
    <t>Ann: 2012-04-25</t>
  </si>
  <si>
    <t>Ann: 2014-02-04</t>
  </si>
  <si>
    <t>Ann: 2015-11-24</t>
  </si>
  <si>
    <t>Ann: 1999-02-17</t>
  </si>
  <si>
    <t>Ann: 2002-03-10</t>
  </si>
  <si>
    <t>Ann: 2001-06-11</t>
  </si>
  <si>
    <t>Ann: 2000-11-08</t>
  </si>
  <si>
    <t>Ann: 1996-06-06</t>
  </si>
  <si>
    <t>Ann: 2000-06-26</t>
  </si>
  <si>
    <t>Ann: 2016-03-16</t>
  </si>
  <si>
    <t>Ann: 1998-02-16</t>
  </si>
  <si>
    <t>Ann: 2018-09-14</t>
  </si>
  <si>
    <t>Ann: 2007-08-13</t>
  </si>
  <si>
    <t>Ann: 2015-08-06</t>
  </si>
  <si>
    <t>Ann: 1999-12-28</t>
  </si>
  <si>
    <t>Ann: 2001-01-17</t>
  </si>
  <si>
    <t>Ann: 2004-02-26</t>
  </si>
  <si>
    <t>Ann: 2022-04-13</t>
  </si>
  <si>
    <t>Ann: 2012-09-27</t>
  </si>
  <si>
    <t>Ann: 1999-12-21</t>
  </si>
  <si>
    <t>Ann: 2014-09-22</t>
  </si>
  <si>
    <t>Ann: 2012-08-13</t>
  </si>
  <si>
    <t>Ann: 1999-07-09</t>
  </si>
  <si>
    <t>Ann: 2016-08-18</t>
  </si>
  <si>
    <t>Ann: 2012-07-02</t>
  </si>
  <si>
    <t>Ann: 2012-09-13</t>
  </si>
  <si>
    <t>Ann: 2018-11-26</t>
  </si>
  <si>
    <t>Deal 1441</t>
  </si>
  <si>
    <t>Deal 1442</t>
  </si>
  <si>
    <t>Deal 1443</t>
  </si>
  <si>
    <t>Deal 1444</t>
  </si>
  <si>
    <t>Deal 1445</t>
  </si>
  <si>
    <t>Deal 1446</t>
  </si>
  <si>
    <t>Deal 1447</t>
  </si>
  <si>
    <t>Deal 1448</t>
  </si>
  <si>
    <t>Deal 1449</t>
  </si>
  <si>
    <t>Deal 1450</t>
  </si>
  <si>
    <t>Deal 1451</t>
  </si>
  <si>
    <t>Deal 1452</t>
  </si>
  <si>
    <t>Deal 1453</t>
  </si>
  <si>
    <t>Deal 1454</t>
  </si>
  <si>
    <t>Deal 1455</t>
  </si>
  <si>
    <t>Deal 1456</t>
  </si>
  <si>
    <t>Deal 1457</t>
  </si>
  <si>
    <t>Deal 1458</t>
  </si>
  <si>
    <t>Deal 1459</t>
  </si>
  <si>
    <t>Deal 1460</t>
  </si>
  <si>
    <t>Deal 1461</t>
  </si>
  <si>
    <t>Deal 1462</t>
  </si>
  <si>
    <t>Deal 1463</t>
  </si>
  <si>
    <t>Deal 1464</t>
  </si>
  <si>
    <t>Deal 1465</t>
  </si>
  <si>
    <t>Deal 1466</t>
  </si>
  <si>
    <t>Deal 1467</t>
  </si>
  <si>
    <t>Deal 1468</t>
  </si>
  <si>
    <t>Deal 1469</t>
  </si>
  <si>
    <t>Deal 1470</t>
  </si>
  <si>
    <t>Deal 1471</t>
  </si>
  <si>
    <t>Deal 1472</t>
  </si>
  <si>
    <t>Deal 1473</t>
  </si>
  <si>
    <t>Deal 1474</t>
  </si>
  <si>
    <t>Deal 1475</t>
  </si>
  <si>
    <t>Deal 1476</t>
  </si>
  <si>
    <t>Deal 1477</t>
  </si>
  <si>
    <t>Deal 1478</t>
  </si>
  <si>
    <t>Deal 1479</t>
  </si>
  <si>
    <t>Deal 1480</t>
  </si>
  <si>
    <t>AVNT US Equity</t>
  </si>
  <si>
    <t>GTIV US Equity</t>
  </si>
  <si>
    <t>1545746D US Equity</t>
  </si>
  <si>
    <t>MKL US Equity</t>
  </si>
  <si>
    <t>9991735D US Equity</t>
  </si>
  <si>
    <t>AVT US Equity</t>
  </si>
  <si>
    <t>RJF US Equity</t>
  </si>
  <si>
    <t>1544866D US Equity</t>
  </si>
  <si>
    <t>DGX US Equity</t>
  </si>
  <si>
    <t>SJM US Equity</t>
  </si>
  <si>
    <t>9990721D US Equity</t>
  </si>
  <si>
    <t>SWN US Equity</t>
  </si>
  <si>
    <t>HOMB US Equity</t>
  </si>
  <si>
    <t>SIVBQ US Equity</t>
  </si>
  <si>
    <t>EBC US Equity</t>
  </si>
  <si>
    <t>WLTGQ US Equity</t>
  </si>
  <si>
    <t>CVBF US Equity</t>
  </si>
  <si>
    <t>244630Q US Equity</t>
  </si>
  <si>
    <t>PSS US Equity</t>
  </si>
  <si>
    <t>EQIX US Equity</t>
  </si>
  <si>
    <t>BMC US Equity</t>
  </si>
  <si>
    <t>4612775Q US Equity</t>
  </si>
  <si>
    <t>MFIC US Equity</t>
  </si>
  <si>
    <t>ESVNQ US Equity</t>
  </si>
  <si>
    <t>116777Q US Equity</t>
  </si>
  <si>
    <t>Ann: 2000-05-25</t>
  </si>
  <si>
    <t>Ann: 2010-05-24</t>
  </si>
  <si>
    <t>Ann: 1999-06-02</t>
  </si>
  <si>
    <t>Ann: 2022-05-31</t>
  </si>
  <si>
    <t>Ann: 2017-07-26</t>
  </si>
  <si>
    <t>Ann: 2008-07-24</t>
  </si>
  <si>
    <t>Ann: 2002-03-04</t>
  </si>
  <si>
    <t>Ann: 2021-03-10</t>
  </si>
  <si>
    <t>Ann: 2009-05-22</t>
  </si>
  <si>
    <t>Ann: 2016-09-20</t>
  </si>
  <si>
    <t>Ann: 1998-06-16</t>
  </si>
  <si>
    <t>Ann: 2021-10-20</t>
  </si>
  <si>
    <t>Ann: 2003-06-03</t>
  </si>
  <si>
    <t>Ann: 2005-08-08</t>
  </si>
  <si>
    <t>Ann: 2004-03-08</t>
  </si>
  <si>
    <t>Ann: 2020-08-12</t>
  </si>
  <si>
    <t>Ann: 2017-03-27</t>
  </si>
  <si>
    <t>Ann: 2021-04-08</t>
  </si>
  <si>
    <t>Ann: 2005-06-19</t>
  </si>
  <si>
    <t>Ann: 1998-09-28</t>
  </si>
  <si>
    <t>Ann: 2009-10-21</t>
  </si>
  <si>
    <t>Ann: 1998-06-30</t>
  </si>
  <si>
    <t>Ann: 2004-05-20</t>
  </si>
  <si>
    <t>Ann: 2012-05-02</t>
  </si>
  <si>
    <t>Ann: 2007-04-16</t>
  </si>
  <si>
    <t>Ann: 1999-11-03</t>
  </si>
  <si>
    <t>Ann: 1998-05-01</t>
  </si>
  <si>
    <t>Deal 1481</t>
  </si>
  <si>
    <t>Deal 1482</t>
  </si>
  <si>
    <t>Deal 1483</t>
  </si>
  <si>
    <t>Deal 1484</t>
  </si>
  <si>
    <t>Deal 1485</t>
  </si>
  <si>
    <t>Deal 1486</t>
  </si>
  <si>
    <t>Deal 1487</t>
  </si>
  <si>
    <t>Deal 1488</t>
  </si>
  <si>
    <t>Deal 1489</t>
  </si>
  <si>
    <t>Deal 1490</t>
  </si>
  <si>
    <t>Deal 1491</t>
  </si>
  <si>
    <t>Deal 1492</t>
  </si>
  <si>
    <t>Deal 1493</t>
  </si>
  <si>
    <t>Deal 1494</t>
  </si>
  <si>
    <t>Deal 1495</t>
  </si>
  <si>
    <t>Deal 1496</t>
  </si>
  <si>
    <t>Deal 1497</t>
  </si>
  <si>
    <t>Deal 1498</t>
  </si>
  <si>
    <t>Deal 1499</t>
  </si>
  <si>
    <t>Deal 1500</t>
  </si>
  <si>
    <t>Deal 1501</t>
  </si>
  <si>
    <t>Deal 1502</t>
  </si>
  <si>
    <t>Deal 1503</t>
  </si>
  <si>
    <t>Deal 1504</t>
  </si>
  <si>
    <t>Deal 1505</t>
  </si>
  <si>
    <t>Deal 1506</t>
  </si>
  <si>
    <t>Deal 1507</t>
  </si>
  <si>
    <t>Deal 1508</t>
  </si>
  <si>
    <t>Deal 1509</t>
  </si>
  <si>
    <t>Deal 1510</t>
  </si>
  <si>
    <t>Deal 1511</t>
  </si>
  <si>
    <t>Deal 1512</t>
  </si>
  <si>
    <t>Deal 1513</t>
  </si>
  <si>
    <t>Deal 1514</t>
  </si>
  <si>
    <t>Deal 1515</t>
  </si>
  <si>
    <t>Deal 1516</t>
  </si>
  <si>
    <t>Deal 1517</t>
  </si>
  <si>
    <t>Deal 1518</t>
  </si>
  <si>
    <t>Deal 1519</t>
  </si>
  <si>
    <t>Deal 1520</t>
  </si>
  <si>
    <t>NWSA US Equity</t>
  </si>
  <si>
    <t>PYPL US Equity</t>
  </si>
  <si>
    <t>ARR US Equity</t>
  </si>
  <si>
    <t>CSFL US Equity</t>
  </si>
  <si>
    <t>AIV US Equity</t>
  </si>
  <si>
    <t>MU US Equity</t>
  </si>
  <si>
    <t>DST US Equity</t>
  </si>
  <si>
    <t>390297Q US Equity</t>
  </si>
  <si>
    <t>JACK US Equity</t>
  </si>
  <si>
    <t>SHAW US Equity</t>
  </si>
  <si>
    <t>4936C US Equity</t>
  </si>
  <si>
    <t>540513Q US Equity</t>
  </si>
  <si>
    <t>BIP US Equity</t>
  </si>
  <si>
    <t>9990213D US Equity</t>
  </si>
  <si>
    <t>VLY US Equity</t>
  </si>
  <si>
    <t>SUSQ US Equity</t>
  </si>
  <si>
    <t>DGI US Equity</t>
  </si>
  <si>
    <t>WBVNQ US Equity</t>
  </si>
  <si>
    <t>VNRSQ US Equity</t>
  </si>
  <si>
    <t>ATI US Equity</t>
  </si>
  <si>
    <t>SCOR US Equity</t>
  </si>
  <si>
    <t>REVRQ US Equity</t>
  </si>
  <si>
    <t>Ann: 2014-09-30</t>
  </si>
  <si>
    <t>Ann: 2002-04-02</t>
  </si>
  <si>
    <t>Ann: 2010-11-02</t>
  </si>
  <si>
    <t>Ann: 1998-11-16</t>
  </si>
  <si>
    <t>Ann: 2016-03-02</t>
  </si>
  <si>
    <t>Ann: 2000-11-02</t>
  </si>
  <si>
    <t>Ann: 2018-02-08</t>
  </si>
  <si>
    <t>Ann: 2002-06-03</t>
  </si>
  <si>
    <t>Ann: 2002-01-02</t>
  </si>
  <si>
    <t>Ann: 1998-09-21</t>
  </si>
  <si>
    <t>Ann: 2006-03-08</t>
  </si>
  <si>
    <t>Ann: 1998-09-02</t>
  </si>
  <si>
    <t>Ann: 2015-05-07</t>
  </si>
  <si>
    <t>Ann: 1996-10-28</t>
  </si>
  <si>
    <t>Ann: 2021-12-06</t>
  </si>
  <si>
    <t>Ann: 2000-10-25</t>
  </si>
  <si>
    <t>Ann: 2000-07-06</t>
  </si>
  <si>
    <t>Ann: 1999-05-18</t>
  </si>
  <si>
    <t>Ann: 2019-04-22</t>
  </si>
  <si>
    <t>Ann: 2007-02-20</t>
  </si>
  <si>
    <t>Ann: 2017-01-18</t>
  </si>
  <si>
    <t>Ann: 2011-03-25</t>
  </si>
  <si>
    <t>Ann: 2007-04-20</t>
  </si>
  <si>
    <t>Ann: 2009-10-19</t>
  </si>
  <si>
    <t>Ann: 2010-11-17</t>
  </si>
  <si>
    <t>Ann: 2015-09-29</t>
  </si>
  <si>
    <t>Ann: 2016-06-16</t>
  </si>
  <si>
    <t>Deal 1521</t>
  </si>
  <si>
    <t>Deal 1522</t>
  </si>
  <si>
    <t>Deal 1523</t>
  </si>
  <si>
    <t>Deal 1524</t>
  </si>
  <si>
    <t>Deal 1525</t>
  </si>
  <si>
    <t>Deal 1526</t>
  </si>
  <si>
    <t>Deal 1527</t>
  </si>
  <si>
    <t>Deal 1528</t>
  </si>
  <si>
    <t>Deal 1529</t>
  </si>
  <si>
    <t>Deal 1530</t>
  </si>
  <si>
    <t>Deal 1531</t>
  </si>
  <si>
    <t>Deal 1532</t>
  </si>
  <si>
    <t>Deal 1533</t>
  </si>
  <si>
    <t>Deal 1534</t>
  </si>
  <si>
    <t>Deal 1535</t>
  </si>
  <si>
    <t>Deal 1536</t>
  </si>
  <si>
    <t>Deal 1537</t>
  </si>
  <si>
    <t>Deal 1538</t>
  </si>
  <si>
    <t>Deal 1539</t>
  </si>
  <si>
    <t>Deal 1540</t>
  </si>
  <si>
    <t>Deal 1541</t>
  </si>
  <si>
    <t>Deal 1542</t>
  </si>
  <si>
    <t>Deal 1543</t>
  </si>
  <si>
    <t>Deal 1544</t>
  </si>
  <si>
    <t>Deal 1545</t>
  </si>
  <si>
    <t>Deal 1546</t>
  </si>
  <si>
    <t>Deal 1547</t>
  </si>
  <si>
    <t>Deal 1548</t>
  </si>
  <si>
    <t>Deal 1549</t>
  </si>
  <si>
    <t>Deal 1550</t>
  </si>
  <si>
    <t>Deal 1551</t>
  </si>
  <si>
    <t>Deal 1552</t>
  </si>
  <si>
    <t>Deal 1553</t>
  </si>
  <si>
    <t>Deal 1554</t>
  </si>
  <si>
    <t>Deal 1555</t>
  </si>
  <si>
    <t>Deal 1556</t>
  </si>
  <si>
    <t>Deal 1557</t>
  </si>
  <si>
    <t>Deal 1558</t>
  </si>
  <si>
    <t>Deal 1559</t>
  </si>
  <si>
    <t>Deal 1560</t>
  </si>
  <si>
    <t>ICPXQ US Equity</t>
  </si>
  <si>
    <t>LPT US Equity</t>
  </si>
  <si>
    <t>DK US Equity</t>
  </si>
  <si>
    <t>RVTY US Equity</t>
  </si>
  <si>
    <t>AAIC US Equity</t>
  </si>
  <si>
    <t>CRXA US Equity</t>
  </si>
  <si>
    <t>SFD US Equity</t>
  </si>
  <si>
    <t>UDR US Equity</t>
  </si>
  <si>
    <t>ICGC US Equity</t>
  </si>
  <si>
    <t>NTLDQ US Equity</t>
  </si>
  <si>
    <t>SNCR US Equity</t>
  </si>
  <si>
    <t>STEL US Equity</t>
  </si>
  <si>
    <t>RRD US Equity</t>
  </si>
  <si>
    <t>KMB US Equity</t>
  </si>
  <si>
    <t>LKQ US Equity</t>
  </si>
  <si>
    <t>0876902D US Equity</t>
  </si>
  <si>
    <t>ECOL US Equity</t>
  </si>
  <si>
    <t>CIEN US Equity</t>
  </si>
  <si>
    <t>CVIAQ US Equity</t>
  </si>
  <si>
    <t>DLX US Equity</t>
  </si>
  <si>
    <t>WBA US Equity</t>
  </si>
  <si>
    <t>Ann: 2005-07-28</t>
  </si>
  <si>
    <t>Ann: 2006-05-16</t>
  </si>
  <si>
    <t>Ann: 2007-07-24</t>
  </si>
  <si>
    <t>Ann: 2021-11-04</t>
  </si>
  <si>
    <t>Ann: 2009-06-04</t>
  </si>
  <si>
    <t>Ann: 2016-10-17</t>
  </si>
  <si>
    <t>Ann: 2002-11-15</t>
  </si>
  <si>
    <t>Ann: 1998-09-11</t>
  </si>
  <si>
    <t>Ann: 2004-08-17</t>
  </si>
  <si>
    <t>Ann: 1998-02-05</t>
  </si>
  <si>
    <t>Ann: 2016-09-22</t>
  </si>
  <si>
    <t>Ann: 2015-11-11</t>
  </si>
  <si>
    <t>Ann: 2016-12-06</t>
  </si>
  <si>
    <t>Ann: 2021-11-08</t>
  </si>
  <si>
    <t>Ann: 1999-11-17</t>
  </si>
  <si>
    <t>Ann: 2006-03-22</t>
  </si>
  <si>
    <t>Ann: 2018-06-07</t>
  </si>
  <si>
    <t>Ann: 2005-07-05</t>
  </si>
  <si>
    <t>Ann: 2000-12-18</t>
  </si>
  <si>
    <t>Ann: 2002-03-18</t>
  </si>
  <si>
    <t>Ann: 2010-04-28</t>
  </si>
  <si>
    <t>Ann: 2002-02-18</t>
  </si>
  <si>
    <t>Ann: 2017-12-12</t>
  </si>
  <si>
    <t>Ann: 2013-01-22</t>
  </si>
  <si>
    <t>Ann: 2004-05-17</t>
  </si>
  <si>
    <t>Ann: 2009-07-28</t>
  </si>
  <si>
    <t>Deal 1561</t>
  </si>
  <si>
    <t>Deal 1562</t>
  </si>
  <si>
    <t>Deal 1563</t>
  </si>
  <si>
    <t>Deal 1564</t>
  </si>
  <si>
    <t>Deal 1565</t>
  </si>
  <si>
    <t>Deal 1566</t>
  </si>
  <si>
    <t>Deal 1567</t>
  </si>
  <si>
    <t>Deal 1568</t>
  </si>
  <si>
    <t>Deal 1569</t>
  </si>
  <si>
    <t>Deal 1570</t>
  </si>
  <si>
    <t>Deal 1571</t>
  </si>
  <si>
    <t>Deal 1572</t>
  </si>
  <si>
    <t>Deal 1573</t>
  </si>
  <si>
    <t>Deal 1574</t>
  </si>
  <si>
    <t>Deal 1575</t>
  </si>
  <si>
    <t>Deal 1576</t>
  </si>
  <si>
    <t>Deal 1577</t>
  </si>
  <si>
    <t>Deal 1578</t>
  </si>
  <si>
    <t>Deal 1579</t>
  </si>
  <si>
    <t>Deal 1580</t>
  </si>
  <si>
    <t>Deal 1581</t>
  </si>
  <si>
    <t>Deal 1582</t>
  </si>
  <si>
    <t>Deal 1583</t>
  </si>
  <si>
    <t>Deal 1584</t>
  </si>
  <si>
    <t>Deal 1585</t>
  </si>
  <si>
    <t>Deal 1586</t>
  </si>
  <si>
    <t>Deal 1587</t>
  </si>
  <si>
    <t>Deal 1588</t>
  </si>
  <si>
    <t>Deal 1589</t>
  </si>
  <si>
    <t>Deal 1590</t>
  </si>
  <si>
    <t>Deal 1591</t>
  </si>
  <si>
    <t>Deal 1592</t>
  </si>
  <si>
    <t>Deal 1593</t>
  </si>
  <si>
    <t>Deal 1594</t>
  </si>
  <si>
    <t>Deal 1595</t>
  </si>
  <si>
    <t>Deal 1596</t>
  </si>
  <si>
    <t>Deal 1597</t>
  </si>
  <si>
    <t>Deal 1598</t>
  </si>
  <si>
    <t>Deal 1599</t>
  </si>
  <si>
    <t>Deal 1600</t>
  </si>
  <si>
    <t>CTB US Equity</t>
  </si>
  <si>
    <t>6222B US Equity</t>
  </si>
  <si>
    <t>ITRI US Equity</t>
  </si>
  <si>
    <t>PRMW CN Equity</t>
  </si>
  <si>
    <t>NXTL US Equity</t>
  </si>
  <si>
    <t>SHP LN Equity</t>
  </si>
  <si>
    <t>ENS US Equity</t>
  </si>
  <si>
    <t>1918938D US Equity</t>
  </si>
  <si>
    <t>BERY US Equity</t>
  </si>
  <si>
    <t>EPB US Equity</t>
  </si>
  <si>
    <t>1436225D US Equity</t>
  </si>
  <si>
    <t>3423152Q US Equity</t>
  </si>
  <si>
    <t>VRC US Equity</t>
  </si>
  <si>
    <t>JJZ US Equity</t>
  </si>
  <si>
    <t>1789494D US Equity</t>
  </si>
  <si>
    <t>STRA US Equity</t>
  </si>
  <si>
    <t>AUB US Equity</t>
  </si>
  <si>
    <t>Ann: 1999-07-27</t>
  </si>
  <si>
    <t>Ann: 2004-08-18</t>
  </si>
  <si>
    <t>Ann: 2001-03-22</t>
  </si>
  <si>
    <t>Ann: 1998-08-06</t>
  </si>
  <si>
    <t>Ann: 2016-09-12</t>
  </si>
  <si>
    <t>Ann: 2001-01-15</t>
  </si>
  <si>
    <t>Ann: 1998-04-10</t>
  </si>
  <si>
    <t>Ann: 2002-08-07</t>
  </si>
  <si>
    <t>Ann: 2019-03-04</t>
  </si>
  <si>
    <t>Ann: 2004-03-15</t>
  </si>
  <si>
    <t>Ann: 1995-12-31</t>
  </si>
  <si>
    <t>Ann: 2011-05-17</t>
  </si>
  <si>
    <t>Ann: 2018-10-29</t>
  </si>
  <si>
    <t>Ann: 2019-06-26</t>
  </si>
  <si>
    <t>Ann: 2006-11-09</t>
  </si>
  <si>
    <t>Ann: 2016-08-25</t>
  </si>
  <si>
    <t>Ann: 2011-06-29</t>
  </si>
  <si>
    <t>Ann: 2012-03-13</t>
  </si>
  <si>
    <t>Ann: 2005-05-23</t>
  </si>
  <si>
    <t>Ann: 1998-08-10</t>
  </si>
  <si>
    <t>Ann: 1999-12-01</t>
  </si>
  <si>
    <t>Ann: 2001-01-10</t>
  </si>
  <si>
    <t>Ann: 1998-02-17</t>
  </si>
  <si>
    <t>Ann: 1999-07-01</t>
  </si>
  <si>
    <t>Ann: 2017-05-22</t>
  </si>
  <si>
    <t>Ann: 2008-07-28</t>
  </si>
  <si>
    <t>Deal 1601</t>
  </si>
  <si>
    <t>Deal 1602</t>
  </si>
  <si>
    <t>Deal 1603</t>
  </si>
  <si>
    <t>Deal 1604</t>
  </si>
  <si>
    <t>Deal 1605</t>
  </si>
  <si>
    <t>Deal 1606</t>
  </si>
  <si>
    <t>Deal 1607</t>
  </si>
  <si>
    <t>Deal 1608</t>
  </si>
  <si>
    <t>Deal 1609</t>
  </si>
  <si>
    <t>Deal 1610</t>
  </si>
  <si>
    <t>Deal 1611</t>
  </si>
  <si>
    <t>Deal 1612</t>
  </si>
  <si>
    <t>Deal 1613</t>
  </si>
  <si>
    <t>Deal 1614</t>
  </si>
  <si>
    <t>Deal 1615</t>
  </si>
  <si>
    <t>Deal 1616</t>
  </si>
  <si>
    <t>Deal 1617</t>
  </si>
  <si>
    <t>Deal 1618</t>
  </si>
  <si>
    <t>Deal 1619</t>
  </si>
  <si>
    <t>Deal 1620</t>
  </si>
  <si>
    <t>Deal 1621</t>
  </si>
  <si>
    <t>Deal 1622</t>
  </si>
  <si>
    <t>Deal 1623</t>
  </si>
  <si>
    <t>Deal 1624</t>
  </si>
  <si>
    <t>Deal 1625</t>
  </si>
  <si>
    <t>Deal 1626</t>
  </si>
  <si>
    <t>Deal 1627</t>
  </si>
  <si>
    <t>Deal 1628</t>
  </si>
  <si>
    <t>Deal 1629</t>
  </si>
  <si>
    <t>Deal 1630</t>
  </si>
  <si>
    <t>Deal 1631</t>
  </si>
  <si>
    <t>Deal 1632</t>
  </si>
  <si>
    <t>Deal 1633</t>
  </si>
  <si>
    <t>Deal 1634</t>
  </si>
  <si>
    <t>Deal 1635</t>
  </si>
  <si>
    <t>Deal 1636</t>
  </si>
  <si>
    <t>Deal 1637</t>
  </si>
  <si>
    <t>Deal 1638</t>
  </si>
  <si>
    <t>Deal 1639</t>
  </si>
  <si>
    <t>Deal 1640</t>
  </si>
  <si>
    <t>NEM US Equity</t>
  </si>
  <si>
    <t>FTV US Equity</t>
  </si>
  <si>
    <t>ANSS US Equity</t>
  </si>
  <si>
    <t>LFUS US Equity</t>
  </si>
  <si>
    <t>UNTD US Equity</t>
  </si>
  <si>
    <t>2307762D US Equity</t>
  </si>
  <si>
    <t>EQY US Equity</t>
  </si>
  <si>
    <t>1847569D US Equity</t>
  </si>
  <si>
    <t>MWV US Equity</t>
  </si>
  <si>
    <t>2213185D US Equity</t>
  </si>
  <si>
    <t>F US Equity</t>
  </si>
  <si>
    <t>BVSN US Equity</t>
  </si>
  <si>
    <t>RSLN US Equity</t>
  </si>
  <si>
    <t>RYN US Equity</t>
  </si>
  <si>
    <t>FRG US Equity</t>
  </si>
  <si>
    <t>SNPS US Equity</t>
  </si>
  <si>
    <t>Ann: 2006-09-13</t>
  </si>
  <si>
    <t>Ann: 2017-09-06</t>
  </si>
  <si>
    <t>Ann: 2007-01-24</t>
  </si>
  <si>
    <t>Ann: 1998-01-14</t>
  </si>
  <si>
    <t>Ann: 2003-12-16</t>
  </si>
  <si>
    <t>Ann: 2008-03-31</t>
  </si>
  <si>
    <t>Ann: 2009-11-23</t>
  </si>
  <si>
    <t>Ann: 2003-08-18</t>
  </si>
  <si>
    <t>Ann: 2004-02-05</t>
  </si>
  <si>
    <t>Ann: 2002-10-29</t>
  </si>
  <si>
    <t>Ann: 2006-01-12</t>
  </si>
  <si>
    <t>Ann: 2005-05-18</t>
  </si>
  <si>
    <t>Ann: 2006-04-27</t>
  </si>
  <si>
    <t>Ann: 2017-04-06</t>
  </si>
  <si>
    <t>Ann: 2005-11-10</t>
  </si>
  <si>
    <t>Ann: 2000-09-21</t>
  </si>
  <si>
    <t>Ann: 2006-08-09</t>
  </si>
  <si>
    <t>Ann: 2000-01-26</t>
  </si>
  <si>
    <t>Ann: 1998-02-02</t>
  </si>
  <si>
    <t>Ann: 2000-07-27</t>
  </si>
  <si>
    <t>Ann: 2018-09-20</t>
  </si>
  <si>
    <t>Ann: 1999-02-16</t>
  </si>
  <si>
    <t>Ann: 1998-12-23</t>
  </si>
  <si>
    <t>Ann: 2020-01-15</t>
  </si>
  <si>
    <t>Ann: 2019-08-08</t>
  </si>
  <si>
    <t>Deal 1641</t>
  </si>
  <si>
    <t>Deal 1642</t>
  </si>
  <si>
    <t>Deal 1643</t>
  </si>
  <si>
    <t>Deal 1644</t>
  </si>
  <si>
    <t>Deal 1645</t>
  </si>
  <si>
    <t>Deal 1646</t>
  </si>
  <si>
    <t>Deal 1647</t>
  </si>
  <si>
    <t>Deal 1648</t>
  </si>
  <si>
    <t>Deal 1649</t>
  </si>
  <si>
    <t>Deal 1650</t>
  </si>
  <si>
    <t>Deal 1651</t>
  </si>
  <si>
    <t>Deal 1652</t>
  </si>
  <si>
    <t>Deal 1653</t>
  </si>
  <si>
    <t>Deal 1654</t>
  </si>
  <si>
    <t>Deal 1655</t>
  </si>
  <si>
    <t>Deal 1656</t>
  </si>
  <si>
    <t>Deal 1657</t>
  </si>
  <si>
    <t>Deal 1658</t>
  </si>
  <si>
    <t>Deal 1659</t>
  </si>
  <si>
    <t>Deal 1660</t>
  </si>
  <si>
    <t>Deal 1661</t>
  </si>
  <si>
    <t>Deal 1662</t>
  </si>
  <si>
    <t>Deal 1663</t>
  </si>
  <si>
    <t>Deal 1664</t>
  </si>
  <si>
    <t>Deal 1665</t>
  </si>
  <si>
    <t>Deal 1666</t>
  </si>
  <si>
    <t>Deal 1667</t>
  </si>
  <si>
    <t>Deal 1668</t>
  </si>
  <si>
    <t>Deal 1669</t>
  </si>
  <si>
    <t>Deal 1670</t>
  </si>
  <si>
    <t>Deal 1671</t>
  </si>
  <si>
    <t>Deal 1672</t>
  </si>
  <si>
    <t>Deal 1673</t>
  </si>
  <si>
    <t>Deal 1674</t>
  </si>
  <si>
    <t>Deal 1675</t>
  </si>
  <si>
    <t>Deal 1676</t>
  </si>
  <si>
    <t>Deal 1677</t>
  </si>
  <si>
    <t>Deal 1678</t>
  </si>
  <si>
    <t>Deal 1679</t>
  </si>
  <si>
    <t>Deal 1680</t>
  </si>
  <si>
    <t>OSIP US Equity</t>
  </si>
  <si>
    <t>3353984Q US Equity</t>
  </si>
  <si>
    <t>TYG US Equity</t>
  </si>
  <si>
    <t>SPTN US Equity</t>
  </si>
  <si>
    <t>1367809D US Equity</t>
  </si>
  <si>
    <t>GEO US Equity</t>
  </si>
  <si>
    <t>496160Q US Equity</t>
  </si>
  <si>
    <t>AMMD US Equity</t>
  </si>
  <si>
    <t>2674129Q US Equity</t>
  </si>
  <si>
    <t>JNPR US Equity</t>
  </si>
  <si>
    <t>CAM US Equity</t>
  </si>
  <si>
    <t>841273Q US Equity</t>
  </si>
  <si>
    <t>LYV US Equity</t>
  </si>
  <si>
    <t>WFM US Equity</t>
  </si>
  <si>
    <t>1013207D US Equity</t>
  </si>
  <si>
    <t>ACCO US Equity</t>
  </si>
  <si>
    <t>GVNTQ US Equity</t>
  </si>
  <si>
    <t>ISCA US Equity</t>
  </si>
  <si>
    <t>SSP US Equity</t>
  </si>
  <si>
    <t>1676829D US Equity</t>
  </si>
  <si>
    <t>4621824Q US Equity</t>
  </si>
  <si>
    <t>Ann: 2005-08-21</t>
  </si>
  <si>
    <t>Ann: 2002-08-22</t>
  </si>
  <si>
    <t>Ann: 2013-10-24</t>
  </si>
  <si>
    <t>Ann: 1998-12-09</t>
  </si>
  <si>
    <t>Ann: 2020-12-15</t>
  </si>
  <si>
    <t>Ann: 1999-07-13</t>
  </si>
  <si>
    <t>Ann: 2001-03-26</t>
  </si>
  <si>
    <t>Ann: 2007-09-23</t>
  </si>
  <si>
    <t>Ann: 2005-12-08</t>
  </si>
  <si>
    <t>Ann: 2010-04-19</t>
  </si>
  <si>
    <t>Ann: 1998-05-21</t>
  </si>
  <si>
    <t>Ann: 2006-08-08</t>
  </si>
  <si>
    <t>Ann: 2003-08-21</t>
  </si>
  <si>
    <t>Ann: 2012-10-01</t>
  </si>
  <si>
    <t>Ann: 2018-04-16</t>
  </si>
  <si>
    <t>Ann: 2002-05-20</t>
  </si>
  <si>
    <t>Ann: 2009-02-10</t>
  </si>
  <si>
    <t>Ann: 2007-01-21</t>
  </si>
  <si>
    <t>Ann: 1999-01-13</t>
  </si>
  <si>
    <t>Ann: 1999-11-23</t>
  </si>
  <si>
    <t>Ann: 2010-08-30</t>
  </si>
  <si>
    <t>Ann: 2002-02-15</t>
  </si>
  <si>
    <t>Ann: 2004-07-16</t>
  </si>
  <si>
    <t>Ann: 2014-07-30</t>
  </si>
  <si>
    <t>Ann: 2000-10-03</t>
  </si>
  <si>
    <t>Ann: 2017-04-27</t>
  </si>
  <si>
    <t>Deal 1681</t>
  </si>
  <si>
    <t>Deal 1682</t>
  </si>
  <si>
    <t>Deal 1683</t>
  </si>
  <si>
    <t>Deal 1684</t>
  </si>
  <si>
    <t>Deal 1685</t>
  </si>
  <si>
    <t>Deal 1686</t>
  </si>
  <si>
    <t>Deal 1687</t>
  </si>
  <si>
    <t>Deal 1688</t>
  </si>
  <si>
    <t>Deal 1689</t>
  </si>
  <si>
    <t>Deal 1690</t>
  </si>
  <si>
    <t>Deal 1691</t>
  </si>
  <si>
    <t>Deal 1692</t>
  </si>
  <si>
    <t>Deal 1693</t>
  </si>
  <si>
    <t>Deal 1694</t>
  </si>
  <si>
    <t>Deal 1695</t>
  </si>
  <si>
    <t>Deal 1696</t>
  </si>
  <si>
    <t>Deal 1697</t>
  </si>
  <si>
    <t>Deal 1698</t>
  </si>
  <si>
    <t>Deal 1699</t>
  </si>
  <si>
    <t>Deal 1700</t>
  </si>
  <si>
    <t>Deal 1701</t>
  </si>
  <si>
    <t>Deal 1702</t>
  </si>
  <si>
    <t>Deal 1703</t>
  </si>
  <si>
    <t>Deal 1704</t>
  </si>
  <si>
    <t>Deal 1705</t>
  </si>
  <si>
    <t>Deal 1706</t>
  </si>
  <si>
    <t>Deal 1707</t>
  </si>
  <si>
    <t>Deal 1708</t>
  </si>
  <si>
    <t>Deal 1709</t>
  </si>
  <si>
    <t>Deal 1710</t>
  </si>
  <si>
    <t>Deal 1711</t>
  </si>
  <si>
    <t>Deal 1712</t>
  </si>
  <si>
    <t>Deal 1713</t>
  </si>
  <si>
    <t>Deal 1714</t>
  </si>
  <si>
    <t>Deal 1715</t>
  </si>
  <si>
    <t>Deal 1716</t>
  </si>
  <si>
    <t>Deal 1717</t>
  </si>
  <si>
    <t>Deal 1718</t>
  </si>
  <si>
    <t>Deal 1719</t>
  </si>
  <si>
    <t>Deal 1720</t>
  </si>
  <si>
    <t>0554877D US Equity</t>
  </si>
  <si>
    <t>COLB US Equity</t>
  </si>
  <si>
    <t>WHXCQ US Equity</t>
  </si>
  <si>
    <t>HOT US Equity</t>
  </si>
  <si>
    <t>CMOS US Equity</t>
  </si>
  <si>
    <t>PAS US Equity</t>
  </si>
  <si>
    <t>PFS US Equity</t>
  </si>
  <si>
    <t>CDVIQ US Equity</t>
  </si>
  <si>
    <t>CBB US Equity</t>
  </si>
  <si>
    <t>HEW US Equity</t>
  </si>
  <si>
    <t>VSH US Equity</t>
  </si>
  <si>
    <t>EVVV US Equity</t>
  </si>
  <si>
    <t>BBBYQ US Equity</t>
  </si>
  <si>
    <t>1683351D US Equity</t>
  </si>
  <si>
    <t>ONTO US Equity</t>
  </si>
  <si>
    <t>DM US Equity</t>
  </si>
  <si>
    <t>SBUX US Equity</t>
  </si>
  <si>
    <t>Ann: 2005-09-08</t>
  </si>
  <si>
    <t>Ann: 2017-01-10</t>
  </si>
  <si>
    <t>Ann: 2010-04-16</t>
  </si>
  <si>
    <t>Ann: 2005-12-15</t>
  </si>
  <si>
    <t>Ann: 1998-03-03</t>
  </si>
  <si>
    <t>Ann: 1999-07-19</t>
  </si>
  <si>
    <t>Ann: 2004-02-23</t>
  </si>
  <si>
    <t>Ann: 2013-09-09</t>
  </si>
  <si>
    <t>Ann: 2000-01-12</t>
  </si>
  <si>
    <t>Ann: 2013-05-07</t>
  </si>
  <si>
    <t>Ann: 2002-05-09</t>
  </si>
  <si>
    <t>Ann: 2019-10-16</t>
  </si>
  <si>
    <t>Ann: 2016-10-25</t>
  </si>
  <si>
    <t>Ann: 2003-12-22</t>
  </si>
  <si>
    <t>Ann: 2007-06-11</t>
  </si>
  <si>
    <t>Ann: 2017-07-10</t>
  </si>
  <si>
    <t>Ann: 2004-06-16</t>
  </si>
  <si>
    <t>Ann: 2001-04-02</t>
  </si>
  <si>
    <t>Ann: 2007-07-22</t>
  </si>
  <si>
    <t>Ann: 2000-11-27</t>
  </si>
  <si>
    <t>Ann: 2011-12-27</t>
  </si>
  <si>
    <t>Ann: 1999-08-23</t>
  </si>
  <si>
    <t>Ann: 2002-05-15</t>
  </si>
  <si>
    <t>Ann: 2009-10-26</t>
  </si>
  <si>
    <t>Ann: 1999-11-09</t>
  </si>
  <si>
    <t>Ann: 2012-05-09</t>
  </si>
  <si>
    <t>Ann: 2007-01-09</t>
  </si>
  <si>
    <t>Ann: 2000-08-14</t>
  </si>
  <si>
    <t>Ann: 2012-12-30</t>
  </si>
  <si>
    <t>Ann: 2018-10-05</t>
  </si>
  <si>
    <t>Ann: 2012-11-14</t>
  </si>
  <si>
    <t>Ann: 2012-04-10</t>
  </si>
  <si>
    <t>Ann: 1998-05-15</t>
  </si>
  <si>
    <t>Ann: 2012-08-02</t>
  </si>
  <si>
    <t>Ann: 2017-04-13</t>
  </si>
  <si>
    <t>Deal 1721</t>
  </si>
  <si>
    <t>Deal 1722</t>
  </si>
  <si>
    <t>Deal 1723</t>
  </si>
  <si>
    <t>Deal 1724</t>
  </si>
  <si>
    <t>Deal 1725</t>
  </si>
  <si>
    <t>Deal 1726</t>
  </si>
  <si>
    <t>Deal 1727</t>
  </si>
  <si>
    <t>Deal 1728</t>
  </si>
  <si>
    <t>Deal 1729</t>
  </si>
  <si>
    <t>Deal 1730</t>
  </si>
  <si>
    <t>Deal 1731</t>
  </si>
  <si>
    <t>Deal 1732</t>
  </si>
  <si>
    <t>Deal 1733</t>
  </si>
  <si>
    <t>Deal 1734</t>
  </si>
  <si>
    <t>Deal 1735</t>
  </si>
  <si>
    <t>Deal 1736</t>
  </si>
  <si>
    <t>Deal 1737</t>
  </si>
  <si>
    <t>Deal 1738</t>
  </si>
  <si>
    <t>Deal 1739</t>
  </si>
  <si>
    <t>Deal 1740</t>
  </si>
  <si>
    <t>Deal 1741</t>
  </si>
  <si>
    <t>Deal 1742</t>
  </si>
  <si>
    <t>Deal 1743</t>
  </si>
  <si>
    <t>Deal 1744</t>
  </si>
  <si>
    <t>Deal 1745</t>
  </si>
  <si>
    <t>Deal 1746</t>
  </si>
  <si>
    <t>Deal 1747</t>
  </si>
  <si>
    <t>Deal 1748</t>
  </si>
  <si>
    <t>Deal 1749</t>
  </si>
  <si>
    <t>Deal 1750</t>
  </si>
  <si>
    <t>Deal 1751</t>
  </si>
  <si>
    <t>Deal 1752</t>
  </si>
  <si>
    <t>Deal 1753</t>
  </si>
  <si>
    <t>Deal 1754</t>
  </si>
  <si>
    <t>Deal 1755</t>
  </si>
  <si>
    <t>Deal 1756</t>
  </si>
  <si>
    <t>Deal 1757</t>
  </si>
  <si>
    <t>Deal 1758</t>
  </si>
  <si>
    <t>Deal 1759</t>
  </si>
  <si>
    <t>Deal 1760</t>
  </si>
  <si>
    <t>78651Q US Equity</t>
  </si>
  <si>
    <t>MBFI US Equity</t>
  </si>
  <si>
    <t>ONEX CN Equity</t>
  </si>
  <si>
    <t>1981718D US Equity</t>
  </si>
  <si>
    <t>NUE US Equity</t>
  </si>
  <si>
    <t>IVZ US Equity</t>
  </si>
  <si>
    <t>HYMC US Equity</t>
  </si>
  <si>
    <t>PYXSQ US Equity</t>
  </si>
  <si>
    <t>BZH US Equity</t>
  </si>
  <si>
    <t>IRT US Equity</t>
  </si>
  <si>
    <t>ASB US Equity</t>
  </si>
  <si>
    <t>PNP US Equity</t>
  </si>
  <si>
    <t>FBK US Equity</t>
  </si>
  <si>
    <t>INVCORP BI Equity</t>
  </si>
  <si>
    <t>BBY US Equity</t>
  </si>
  <si>
    <t>Ann: 2013-07-15</t>
  </si>
  <si>
    <t>Ann: 2014-10-06</t>
  </si>
  <si>
    <t>Ann: 2003-06-18</t>
  </si>
  <si>
    <t>Ann: 2006-11-10</t>
  </si>
  <si>
    <t>Ann: 2005-03-14</t>
  </si>
  <si>
    <t>Ann: 2011-07-05</t>
  </si>
  <si>
    <t>Ann: 2014-06-11</t>
  </si>
  <si>
    <t>Ann: 2009-01-08</t>
  </si>
  <si>
    <t>Ann: 2002-02-14</t>
  </si>
  <si>
    <t>Ann: 2003-07-25</t>
  </si>
  <si>
    <t>Ann: 2020-01-14</t>
  </si>
  <si>
    <t>Ann: 2004-11-08</t>
  </si>
  <si>
    <t>Ann: 2002-01-30</t>
  </si>
  <si>
    <t>Ann: 2004-04-28</t>
  </si>
  <si>
    <t>Ann: 2017-12-07</t>
  </si>
  <si>
    <t>Ann: 1999-12-08</t>
  </si>
  <si>
    <t>Ann: 2010-10-04</t>
  </si>
  <si>
    <t>Ann: 2015-08-18</t>
  </si>
  <si>
    <t>Ann: 2005-04-12</t>
  </si>
  <si>
    <t>Ann: 2002-11-06</t>
  </si>
  <si>
    <t>Ann: 2012-12-10</t>
  </si>
  <si>
    <t>Ann: 2020-01-21</t>
  </si>
  <si>
    <t>Ann: 1999-05-05</t>
  </si>
  <si>
    <t>Ann: 1999-08-16</t>
  </si>
  <si>
    <t>Ann: 2021-04-16</t>
  </si>
  <si>
    <t>Ann: 2000-12-07</t>
  </si>
  <si>
    <t>Deal 1761</t>
  </si>
  <si>
    <t>Deal 1762</t>
  </si>
  <si>
    <t>Deal 1763</t>
  </si>
  <si>
    <t>Deal 1764</t>
  </si>
  <si>
    <t>Deal 1765</t>
  </si>
  <si>
    <t>Deal 1766</t>
  </si>
  <si>
    <t>Deal 1767</t>
  </si>
  <si>
    <t>Deal 1768</t>
  </si>
  <si>
    <t>Deal 1769</t>
  </si>
  <si>
    <t>Deal 1770</t>
  </si>
  <si>
    <t>Deal 1771</t>
  </si>
  <si>
    <t>Deal 1772</t>
  </si>
  <si>
    <t>Deal 1773</t>
  </si>
  <si>
    <t>Deal 1774</t>
  </si>
  <si>
    <t>Deal 1775</t>
  </si>
  <si>
    <t>Deal 1776</t>
  </si>
  <si>
    <t>Deal 1777</t>
  </si>
  <si>
    <t>Deal 1778</t>
  </si>
  <si>
    <t>Deal 1779</t>
  </si>
  <si>
    <t>Deal 1780</t>
  </si>
  <si>
    <t>Deal 1781</t>
  </si>
  <si>
    <t>Deal 1782</t>
  </si>
  <si>
    <t>Deal 1783</t>
  </si>
  <si>
    <t>Deal 1784</t>
  </si>
  <si>
    <t>Deal 1785</t>
  </si>
  <si>
    <t>Deal 1786</t>
  </si>
  <si>
    <t>Deal 1787</t>
  </si>
  <si>
    <t>Deal 1788</t>
  </si>
  <si>
    <t>Deal 1789</t>
  </si>
  <si>
    <t>Deal 1790</t>
  </si>
  <si>
    <t>Deal 1791</t>
  </si>
  <si>
    <t>Deal 1792</t>
  </si>
  <si>
    <t>Deal 1793</t>
  </si>
  <si>
    <t>Deal 1794</t>
  </si>
  <si>
    <t>Deal 1795</t>
  </si>
  <si>
    <t>Deal 1796</t>
  </si>
  <si>
    <t>Deal 1797</t>
  </si>
  <si>
    <t>Deal 1798</t>
  </si>
  <si>
    <t>Deal 1799</t>
  </si>
  <si>
    <t>Deal 1800</t>
  </si>
  <si>
    <t>NES US Equity</t>
  </si>
  <si>
    <t>COHU US Equity</t>
  </si>
  <si>
    <t>MATW US Equity</t>
  </si>
  <si>
    <t>RAMP US Equity</t>
  </si>
  <si>
    <t>NFX US Equity</t>
  </si>
  <si>
    <t>AROC US Equity</t>
  </si>
  <si>
    <t>SHEN US Equity</t>
  </si>
  <si>
    <t>NAL US Equity</t>
  </si>
  <si>
    <t>710946Q US Equity</t>
  </si>
  <si>
    <t>SGID US Equity</t>
  </si>
  <si>
    <t>LNG US Equity</t>
  </si>
  <si>
    <t>CRS US Equity</t>
  </si>
  <si>
    <t>HBI US Equity</t>
  </si>
  <si>
    <t>NSIT US Equity</t>
  </si>
  <si>
    <t>RDN US Equity</t>
  </si>
  <si>
    <t>MTSI US Equity</t>
  </si>
  <si>
    <t>769050Q US Equity</t>
  </si>
  <si>
    <t>EHC US Equity</t>
  </si>
  <si>
    <t>RAZF US Equity</t>
  </si>
  <si>
    <t>BGRP US Equity</t>
  </si>
  <si>
    <t>MAN US Equity</t>
  </si>
  <si>
    <t>CBST US Equity</t>
  </si>
  <si>
    <t>Ann: 2003-05-19</t>
  </si>
  <si>
    <t>Ann: 2019-01-02</t>
  </si>
  <si>
    <t>Ann: 1999-09-30</t>
  </si>
  <si>
    <t>Ann: 2017-05-29</t>
  </si>
  <si>
    <t>Ann: 2008-05-20</t>
  </si>
  <si>
    <t>Ann: 2018-05-08</t>
  </si>
  <si>
    <t>Ann: 2014-03-17</t>
  </si>
  <si>
    <t>Ann: 1998-05-27</t>
  </si>
  <si>
    <t>Ann: 2002-05-29</t>
  </si>
  <si>
    <t>Ann: 2018-01-02</t>
  </si>
  <si>
    <t>Ann: 1999-04-23</t>
  </si>
  <si>
    <t>Ann: 2003-07-16</t>
  </si>
  <si>
    <t>Ann: 2004-04-02</t>
  </si>
  <si>
    <t>Ann: 1998-11-12</t>
  </si>
  <si>
    <t>Ann: 2005-07-18</t>
  </si>
  <si>
    <t>Ann: 2001-07-31</t>
  </si>
  <si>
    <t>Ann: 1996-02-26</t>
  </si>
  <si>
    <t>Ann: 2018-06-19</t>
  </si>
  <si>
    <t>Ann: 2011-06-20</t>
  </si>
  <si>
    <t>Ann: 1999-06-30</t>
  </si>
  <si>
    <t>Ann: 2013-07-24</t>
  </si>
  <si>
    <t>Ann: 2012-02-06</t>
  </si>
  <si>
    <t>Ann: 2000-07-19</t>
  </si>
  <si>
    <t>Ann: 2004-04-06</t>
  </si>
  <si>
    <t>Ann: 1998-05-06</t>
  </si>
  <si>
    <t>Ann: 2003-12-10</t>
  </si>
  <si>
    <t>Deal 1801</t>
  </si>
  <si>
    <t>Deal 1802</t>
  </si>
  <si>
    <t>Deal 1803</t>
  </si>
  <si>
    <t>Deal 1804</t>
  </si>
  <si>
    <t>Deal 1805</t>
  </si>
  <si>
    <t>Deal 1806</t>
  </si>
  <si>
    <t>Deal 1807</t>
  </si>
  <si>
    <t>Deal 1808</t>
  </si>
  <si>
    <t>Deal 1809</t>
  </si>
  <si>
    <t>Deal 1810</t>
  </si>
  <si>
    <t>Deal 1811</t>
  </si>
  <si>
    <t>Deal 1812</t>
  </si>
  <si>
    <t>Deal 1813</t>
  </si>
  <si>
    <t>Deal 1814</t>
  </si>
  <si>
    <t>Deal 1815</t>
  </si>
  <si>
    <t>Deal 1816</t>
  </si>
  <si>
    <t>Deal 1817</t>
  </si>
  <si>
    <t>Deal 1818</t>
  </si>
  <si>
    <t>Deal 1819</t>
  </si>
  <si>
    <t>Deal 1820</t>
  </si>
  <si>
    <t>Deal 1821</t>
  </si>
  <si>
    <t>Deal 1822</t>
  </si>
  <si>
    <t>Deal 1823</t>
  </si>
  <si>
    <t>Deal 1824</t>
  </si>
  <si>
    <t>Deal 1825</t>
  </si>
  <si>
    <t>Deal 1826</t>
  </si>
  <si>
    <t>Deal 1827</t>
  </si>
  <si>
    <t>Deal 1828</t>
  </si>
  <si>
    <t>Deal 1829</t>
  </si>
  <si>
    <t>Deal 1830</t>
  </si>
  <si>
    <t>Deal 1831</t>
  </si>
  <si>
    <t>Deal 1832</t>
  </si>
  <si>
    <t>Deal 1833</t>
  </si>
  <si>
    <t>Deal 1834</t>
  </si>
  <si>
    <t>Deal 1835</t>
  </si>
  <si>
    <t>Deal 1836</t>
  </si>
  <si>
    <t>Deal 1837</t>
  </si>
  <si>
    <t>Deal 1838</t>
  </si>
  <si>
    <t>Deal 1839</t>
  </si>
  <si>
    <t>Deal 1840</t>
  </si>
  <si>
    <t>ROCC US Equity</t>
  </si>
  <si>
    <t>3539245Q US Equity</t>
  </si>
  <si>
    <t>MATX US Equity</t>
  </si>
  <si>
    <t>PAET US Equity</t>
  </si>
  <si>
    <t>CSGP US Equity</t>
  </si>
  <si>
    <t>1552309D US Equity</t>
  </si>
  <si>
    <t>BBDC US Equity</t>
  </si>
  <si>
    <t>ANDW US Equity</t>
  </si>
  <si>
    <t>BRL US Equity</t>
  </si>
  <si>
    <t>SFNC US Equity</t>
  </si>
  <si>
    <t>2987536Q US Equity</t>
  </si>
  <si>
    <t>AKBA US Equity</t>
  </si>
  <si>
    <t>WACGQ US Equity</t>
  </si>
  <si>
    <t>FBIN US Equity</t>
  </si>
  <si>
    <t>HUM US Equity</t>
  </si>
  <si>
    <t>764144Q US Equity</t>
  </si>
  <si>
    <t>HYSL US Equity</t>
  </si>
  <si>
    <t>1938073D US Equity</t>
  </si>
  <si>
    <t>KYPH US Equity</t>
  </si>
  <si>
    <t>3691661Q US Equity</t>
  </si>
  <si>
    <t>Ann: 2004-01-27</t>
  </si>
  <si>
    <t>Ann: 2021-07-12</t>
  </si>
  <si>
    <t>Ann: 2000-11-14</t>
  </si>
  <si>
    <t>Ann: 2004-11-22</t>
  </si>
  <si>
    <t>Ann: 2006-11-08</t>
  </si>
  <si>
    <t>Ann: 2011-09-08</t>
  </si>
  <si>
    <t>Ann: 2014-11-11</t>
  </si>
  <si>
    <t>Ann: 2010-03-29</t>
  </si>
  <si>
    <t>Ann: 2007-07-19</t>
  </si>
  <si>
    <t>Ann: 1998-07-21</t>
  </si>
  <si>
    <t>Ann: 2003-03-13</t>
  </si>
  <si>
    <t>Ann: 2021-09-21</t>
  </si>
  <si>
    <t>Ann: 2010-08-26</t>
  </si>
  <si>
    <t>Ann: 2003-02-18</t>
  </si>
  <si>
    <t>Ann: 2001-06-29</t>
  </si>
  <si>
    <t>Ann: 2016-12-14</t>
  </si>
  <si>
    <t>Ann: 2008-06-09</t>
  </si>
  <si>
    <t>Ann: 1999-10-11</t>
  </si>
  <si>
    <t>Ann: 2003-05-05</t>
  </si>
  <si>
    <t>Ann: 2012-11-05</t>
  </si>
  <si>
    <t>Ann: 2018-11-30</t>
  </si>
  <si>
    <t>Ann: 2000-10-30</t>
  </si>
  <si>
    <t>Ann: 2016-09-14</t>
  </si>
  <si>
    <t>Ann: 2021-11-19</t>
  </si>
  <si>
    <t>Ann: 1999-05-06</t>
  </si>
  <si>
    <t>Deal 1841</t>
  </si>
  <si>
    <t>Deal 1842</t>
  </si>
  <si>
    <t>Deal 1843</t>
  </si>
  <si>
    <t>Deal 1844</t>
  </si>
  <si>
    <t>Deal 1845</t>
  </si>
  <si>
    <t>Deal 1846</t>
  </si>
  <si>
    <t>Deal 1847</t>
  </si>
  <si>
    <t>Deal 1848</t>
  </si>
  <si>
    <t>Deal 1849</t>
  </si>
  <si>
    <t>Deal 1850</t>
  </si>
  <si>
    <t>Deal 1851</t>
  </si>
  <si>
    <t>Deal 1852</t>
  </si>
  <si>
    <t>Deal 1853</t>
  </si>
  <si>
    <t>Deal 1854</t>
  </si>
  <si>
    <t>Deal 1855</t>
  </si>
  <si>
    <t>Deal 1856</t>
  </si>
  <si>
    <t>Deal 1857</t>
  </si>
  <si>
    <t>Deal 1858</t>
  </si>
  <si>
    <t>Deal 1859</t>
  </si>
  <si>
    <t>Deal 1860</t>
  </si>
  <si>
    <t>Deal 1861</t>
  </si>
  <si>
    <t>Deal 1862</t>
  </si>
  <si>
    <t>Deal 1863</t>
  </si>
  <si>
    <t>Deal 1864</t>
  </si>
  <si>
    <t>Deal 1865</t>
  </si>
  <si>
    <t>Deal 1866</t>
  </si>
  <si>
    <t>Deal 1867</t>
  </si>
  <si>
    <t>Deal 1868</t>
  </si>
  <si>
    <t>Deal 1869</t>
  </si>
  <si>
    <t>Deal 1870</t>
  </si>
  <si>
    <t>Deal 1871</t>
  </si>
  <si>
    <t>Deal 1872</t>
  </si>
  <si>
    <t>Deal 1873</t>
  </si>
  <si>
    <t>Deal 1874</t>
  </si>
  <si>
    <t>Deal 1875</t>
  </si>
  <si>
    <t>Deal 1876</t>
  </si>
  <si>
    <t>Deal 1877</t>
  </si>
  <si>
    <t>Deal 1878</t>
  </si>
  <si>
    <t>Deal 1879</t>
  </si>
  <si>
    <t>Deal 1880</t>
  </si>
  <si>
    <t>SF US Equity</t>
  </si>
  <si>
    <t>UCB US Equity</t>
  </si>
  <si>
    <t>MXO US Equity</t>
  </si>
  <si>
    <t>VECO US Equity</t>
  </si>
  <si>
    <t>ACORQ US Equity</t>
  </si>
  <si>
    <t>2924917Q US Equity</t>
  </si>
  <si>
    <t>1608941D US Equity</t>
  </si>
  <si>
    <t>1528159D US Equity</t>
  </si>
  <si>
    <t>QMCO US Equity</t>
  </si>
  <si>
    <t>ACIW US Equity</t>
  </si>
  <si>
    <t>8285461Q US Equity</t>
  </si>
  <si>
    <t>AZA US Equity</t>
  </si>
  <si>
    <t>0700161D US Equity</t>
  </si>
  <si>
    <t>1350017D US Equity</t>
  </si>
  <si>
    <t>GMRRQ US Equity</t>
  </si>
  <si>
    <t>1004Q US Equity</t>
  </si>
  <si>
    <t>WSBC US Equity</t>
  </si>
  <si>
    <t>COLL US Equity</t>
  </si>
  <si>
    <t>Ann: 1998-11-09</t>
  </si>
  <si>
    <t>Ann: 2013-06-06</t>
  </si>
  <si>
    <t>Ann: 2002-11-11</t>
  </si>
  <si>
    <t>Ann: 2003-08-04</t>
  </si>
  <si>
    <t>Ann: 2021-07-14</t>
  </si>
  <si>
    <t>Ann: 2017-02-02</t>
  </si>
  <si>
    <t>Ann: 2015-04-20</t>
  </si>
  <si>
    <t>Ann: 1999-05-07</t>
  </si>
  <si>
    <t>Ann: 2014-09-24</t>
  </si>
  <si>
    <t>Ann: 2000-05-15</t>
  </si>
  <si>
    <t>Ann: 2003-07-07</t>
  </si>
  <si>
    <t>Ann: 2005-12-16</t>
  </si>
  <si>
    <t>Ann: 2017-05-01</t>
  </si>
  <si>
    <t>Ann: 2001-08-22</t>
  </si>
  <si>
    <t>Ann: 2006-05-02</t>
  </si>
  <si>
    <t>Ann: 2011-07-26</t>
  </si>
  <si>
    <t>Ann: 2000-07-03</t>
  </si>
  <si>
    <t>Ann: 2014-11-05</t>
  </si>
  <si>
    <t>Ann: 2015-06-22</t>
  </si>
  <si>
    <t>Ann: 2013-01-02</t>
  </si>
  <si>
    <t>Ann: 2008-08-06</t>
  </si>
  <si>
    <t>Ann: 2016-05-02</t>
  </si>
  <si>
    <t>Ann: 1998-06-29</t>
  </si>
  <si>
    <t>Ann: 1999-04-28</t>
  </si>
  <si>
    <t>Ann: 2002-06-17</t>
  </si>
  <si>
    <t>Ann: 2002-06-10</t>
  </si>
  <si>
    <t>Ann: 1998-03-26</t>
  </si>
  <si>
    <t>Ann: 2008-02-11</t>
  </si>
  <si>
    <t>Ann: 2019-07-23</t>
  </si>
  <si>
    <t>Ann: 2011-12-08</t>
  </si>
  <si>
    <t>Ann: 2022-02-14</t>
  </si>
  <si>
    <t>Ann: 1997-01-27</t>
  </si>
  <si>
    <t>Deal 1881</t>
  </si>
  <si>
    <t>Deal 1882</t>
  </si>
  <si>
    <t>Deal 1883</t>
  </si>
  <si>
    <t>Deal 1884</t>
  </si>
  <si>
    <t>Deal 1885</t>
  </si>
  <si>
    <t>Deal 1886</t>
  </si>
  <si>
    <t>Deal 1887</t>
  </si>
  <si>
    <t>Deal 1888</t>
  </si>
  <si>
    <t>Deal 1889</t>
  </si>
  <si>
    <t>Deal 1890</t>
  </si>
  <si>
    <t>Deal 1891</t>
  </si>
  <si>
    <t>Deal 1892</t>
  </si>
  <si>
    <t>Deal 1893</t>
  </si>
  <si>
    <t>Deal 1894</t>
  </si>
  <si>
    <t>Deal 1895</t>
  </si>
  <si>
    <t>Deal 1896</t>
  </si>
  <si>
    <t>Deal 1897</t>
  </si>
  <si>
    <t>Deal 1898</t>
  </si>
  <si>
    <t>Deal 1899</t>
  </si>
  <si>
    <t>Deal 1900</t>
  </si>
  <si>
    <t>Deal 1901</t>
  </si>
  <si>
    <t>Deal 1902</t>
  </si>
  <si>
    <t>Deal 1903</t>
  </si>
  <si>
    <t>Deal 1904</t>
  </si>
  <si>
    <t>Deal 1905</t>
  </si>
  <si>
    <t>Deal 1906</t>
  </si>
  <si>
    <t>Deal 1907</t>
  </si>
  <si>
    <t>Deal 1908</t>
  </si>
  <si>
    <t>Deal 1909</t>
  </si>
  <si>
    <t>Deal 1910</t>
  </si>
  <si>
    <t>Deal 1911</t>
  </si>
  <si>
    <t>Deal 1912</t>
  </si>
  <si>
    <t>Deal 1913</t>
  </si>
  <si>
    <t>Deal 1914</t>
  </si>
  <si>
    <t>Deal 1915</t>
  </si>
  <si>
    <t>Deal 1916</t>
  </si>
  <si>
    <t>Deal 1917</t>
  </si>
  <si>
    <t>Deal 1918</t>
  </si>
  <si>
    <t>Deal 1919</t>
  </si>
  <si>
    <t>Deal 1920</t>
  </si>
  <si>
    <t>OZK US Equity</t>
  </si>
  <si>
    <t>CLW US Equity</t>
  </si>
  <si>
    <t>2269312Q US Equity</t>
  </si>
  <si>
    <t>AKRXQ US Equity</t>
  </si>
  <si>
    <t>TLB US Equity</t>
  </si>
  <si>
    <t>RTN US Equity</t>
  </si>
  <si>
    <t>WAB US Equity</t>
  </si>
  <si>
    <t>BVS US Equity</t>
  </si>
  <si>
    <t>GVA US Equity</t>
  </si>
  <si>
    <t>KPSQ US Equity</t>
  </si>
  <si>
    <t>AMPY US Equity</t>
  </si>
  <si>
    <t>USWB US Equity</t>
  </si>
  <si>
    <t>SUG US Equity</t>
  </si>
  <si>
    <t>ILMN US Equity</t>
  </si>
  <si>
    <t>DCOM US Equity</t>
  </si>
  <si>
    <t>DGIT US Equity</t>
  </si>
  <si>
    <t>JMXIE US Equity</t>
  </si>
  <si>
    <t>OCFC US Equity</t>
  </si>
  <si>
    <t>838852Q US Equity</t>
  </si>
  <si>
    <t>PFC US Equity</t>
  </si>
  <si>
    <t>Ann: 2000-06-13</t>
  </si>
  <si>
    <t>Ann: 1999-07-28</t>
  </si>
  <si>
    <t>Ann: 2015-11-09</t>
  </si>
  <si>
    <t>Ann: 2010-10-01</t>
  </si>
  <si>
    <t>Ann: 2010-09-16</t>
  </si>
  <si>
    <t>Ann: 2013-08-27</t>
  </si>
  <si>
    <t>Ann: 2011-11-07</t>
  </si>
  <si>
    <t>Ann: 2009-12-09</t>
  </si>
  <si>
    <t>Ann: 2010-12-20</t>
  </si>
  <si>
    <t>Ann: 1999-09-27</t>
  </si>
  <si>
    <t>Ann: 2021-07-29</t>
  </si>
  <si>
    <t>Ann: 1999-09-22</t>
  </si>
  <si>
    <t>Ann: 2000-11-09</t>
  </si>
  <si>
    <t>Ann: 2003-11-20</t>
  </si>
  <si>
    <t>Ann: 2018-02-14</t>
  </si>
  <si>
    <t>Ann: 2006-11-13</t>
  </si>
  <si>
    <t>Ann: 2020-07-01</t>
  </si>
  <si>
    <t>Ann: 2011-01-20</t>
  </si>
  <si>
    <t>Ann: 2000-06-27</t>
  </si>
  <si>
    <t>Ann: 2011-11-30</t>
  </si>
  <si>
    <t>Ann: 2017-07-20</t>
  </si>
  <si>
    <t>Ann: 2005-03-08</t>
  </si>
  <si>
    <t>Ann: 2002-02-19</t>
  </si>
  <si>
    <t>Ann: 2017-06-30</t>
  </si>
  <si>
    <t>Ann: 2004-03-14</t>
  </si>
  <si>
    <t>Ann: 2019-09-09</t>
  </si>
  <si>
    <t>Deal 1921</t>
  </si>
  <si>
    <t>Deal 1922</t>
  </si>
  <si>
    <t>Deal 1923</t>
  </si>
  <si>
    <t>Deal 1924</t>
  </si>
  <si>
    <t>Deal 1925</t>
  </si>
  <si>
    <t>Deal 1926</t>
  </si>
  <si>
    <t>Deal 1927</t>
  </si>
  <si>
    <t>Deal 1928</t>
  </si>
  <si>
    <t>Deal 1929</t>
  </si>
  <si>
    <t>Deal 1930</t>
  </si>
  <si>
    <t>Deal 1931</t>
  </si>
  <si>
    <t>Deal 1932</t>
  </si>
  <si>
    <t>Deal 1933</t>
  </si>
  <si>
    <t>Deal 1934</t>
  </si>
  <si>
    <t>Deal 1935</t>
  </si>
  <si>
    <t>Deal 1936</t>
  </si>
  <si>
    <t>Deal 1937</t>
  </si>
  <si>
    <t>Deal 1938</t>
  </si>
  <si>
    <t>Deal 1939</t>
  </si>
  <si>
    <t>Deal 1940</t>
  </si>
  <si>
    <t>Deal 1941</t>
  </si>
  <si>
    <t>Deal 1942</t>
  </si>
  <si>
    <t>Deal 1943</t>
  </si>
  <si>
    <t>Deal 1944</t>
  </si>
  <si>
    <t>Deal 1945</t>
  </si>
  <si>
    <t>Deal 1946</t>
  </si>
  <si>
    <t>Deal 1947</t>
  </si>
  <si>
    <t>Deal 1948</t>
  </si>
  <si>
    <t>Deal 1949</t>
  </si>
  <si>
    <t>Deal 1950</t>
  </si>
  <si>
    <t>Deal 1951</t>
  </si>
  <si>
    <t>Deal 1952</t>
  </si>
  <si>
    <t>Deal 1953</t>
  </si>
  <si>
    <t>Deal 1954</t>
  </si>
  <si>
    <t>Deal 1955</t>
  </si>
  <si>
    <t>Deal 1956</t>
  </si>
  <si>
    <t>Deal 1957</t>
  </si>
  <si>
    <t>Deal 1958</t>
  </si>
  <si>
    <t>Deal 1959</t>
  </si>
  <si>
    <t>Deal 1960</t>
  </si>
  <si>
    <t>MDU US Equity</t>
  </si>
  <si>
    <t>DRRAQ US Equity</t>
  </si>
  <si>
    <t>GKOS US Equity</t>
  </si>
  <si>
    <t>SEBL US Equity</t>
  </si>
  <si>
    <t>NPBC US Equity</t>
  </si>
  <si>
    <t>1556464D US Equity</t>
  </si>
  <si>
    <t>OCSL US Equity</t>
  </si>
  <si>
    <t>TNB US Equity</t>
  </si>
  <si>
    <t>CYBS US Equity</t>
  </si>
  <si>
    <t>PHS US Equity</t>
  </si>
  <si>
    <t>GZBX US Equity</t>
  </si>
  <si>
    <t>SASR US Equity</t>
  </si>
  <si>
    <t>OSGIQ US Equity</t>
  </si>
  <si>
    <t>WTRG US Equity</t>
  </si>
  <si>
    <t>1519128D US Equity</t>
  </si>
  <si>
    <t>TEX US Equity</t>
  </si>
  <si>
    <t>WTTR US Equity</t>
  </si>
  <si>
    <t>Ann: 2006-07-09</t>
  </si>
  <si>
    <t>Ann: 2000-10-24</t>
  </si>
  <si>
    <t>Ann: 2019-08-07</t>
  </si>
  <si>
    <t>Ann: 2000-04-18</t>
  </si>
  <si>
    <t>Ann: 2006-04-13</t>
  </si>
  <si>
    <t>Ann: 2007-09-07</t>
  </si>
  <si>
    <t>Ann: 2000-01-14</t>
  </si>
  <si>
    <t>Ann: 2016-01-12</t>
  </si>
  <si>
    <t>Ann: 2003-12-24</t>
  </si>
  <si>
    <t>Ann: 2012-09-26</t>
  </si>
  <si>
    <t>Ann: 2003-11-19</t>
  </si>
  <si>
    <t>Ann: 2006-09-25</t>
  </si>
  <si>
    <t>Ann: 2020-03-05</t>
  </si>
  <si>
    <t>Ann: 2009-12-08</t>
  </si>
  <si>
    <t>Ann: 2016-02-24</t>
  </si>
  <si>
    <t>Ann: 2007-06-18</t>
  </si>
  <si>
    <t>Ann: 2004-09-15</t>
  </si>
  <si>
    <t>Ann: 2000-03-06</t>
  </si>
  <si>
    <t>Ann: 2017-05-16</t>
  </si>
  <si>
    <t>Ann: 2021-03-05</t>
  </si>
  <si>
    <t>Ann: 2006-05-11</t>
  </si>
  <si>
    <t>Ann: 1999-06-24</t>
  </si>
  <si>
    <t>Ann: 2010-10-22</t>
  </si>
  <si>
    <t>Ann: 2008-01-14</t>
  </si>
  <si>
    <t>Ann: 2017-07-18</t>
  </si>
  <si>
    <t>Deal 1961</t>
  </si>
  <si>
    <t>Deal 1962</t>
  </si>
  <si>
    <t>Deal 1963</t>
  </si>
  <si>
    <t>Deal 1964</t>
  </si>
  <si>
    <t>Deal 1965</t>
  </si>
  <si>
    <t>Deal 1966</t>
  </si>
  <si>
    <t>Deal 1967</t>
  </si>
  <si>
    <t>Deal 1968</t>
  </si>
  <si>
    <t>Deal 1969</t>
  </si>
  <si>
    <t>Deal 1970</t>
  </si>
  <si>
    <t>Deal 1971</t>
  </si>
  <si>
    <t>Deal 1972</t>
  </si>
  <si>
    <t>Deal 1973</t>
  </si>
  <si>
    <t>Deal 1974</t>
  </si>
  <si>
    <t>Deal 1975</t>
  </si>
  <si>
    <t>Deal 1976</t>
  </si>
  <si>
    <t>Deal 1977</t>
  </si>
  <si>
    <t>Deal 1978</t>
  </si>
  <si>
    <t>Deal 1979</t>
  </si>
  <si>
    <t>Deal 1980</t>
  </si>
  <si>
    <t>Deal 1981</t>
  </si>
  <si>
    <t>Deal 1982</t>
  </si>
  <si>
    <t>Deal 1983</t>
  </si>
  <si>
    <t>Deal 1984</t>
  </si>
  <si>
    <t>Deal 1985</t>
  </si>
  <si>
    <t>Deal 1986</t>
  </si>
  <si>
    <t>Deal 1987</t>
  </si>
  <si>
    <t>Deal 1988</t>
  </si>
  <si>
    <t>Deal 1989</t>
  </si>
  <si>
    <t>Deal 1990</t>
  </si>
  <si>
    <t>Deal 1991</t>
  </si>
  <si>
    <t>Deal 1992</t>
  </si>
  <si>
    <t>Deal 1993</t>
  </si>
  <si>
    <t>Deal 1994</t>
  </si>
  <si>
    <t>Deal 1995</t>
  </si>
  <si>
    <t>Deal 1996</t>
  </si>
  <si>
    <t>Deal 1997</t>
  </si>
  <si>
    <t>Deal 1998</t>
  </si>
  <si>
    <t>Deal 1999</t>
  </si>
  <si>
    <t>Deal 2000</t>
  </si>
  <si>
    <t>3493202Q US Equity</t>
  </si>
  <si>
    <t>NIC US Equity</t>
  </si>
  <si>
    <t>FBRT US Equity</t>
  </si>
  <si>
    <t>FGHLQ US Equity</t>
  </si>
  <si>
    <t>CHZ US Equity</t>
  </si>
  <si>
    <t>YUM US Equity</t>
  </si>
  <si>
    <t>1504558D US Equity</t>
  </si>
  <si>
    <t>MRO US Equity</t>
  </si>
  <si>
    <t>CATY US Equity</t>
  </si>
  <si>
    <t>MXL US Equity</t>
  </si>
  <si>
    <t>ISBC US Equity</t>
  </si>
  <si>
    <t>CNA US Equity</t>
  </si>
  <si>
    <t>1885525D US Equity</t>
  </si>
  <si>
    <t>ENV US Equity</t>
  </si>
  <si>
    <t>IONS US Equity</t>
  </si>
  <si>
    <t>DBI US Equity</t>
  </si>
  <si>
    <t>LNTH US Equity</t>
  </si>
  <si>
    <t>1448021D US Equity</t>
  </si>
  <si>
    <t>ADP US Equity</t>
  </si>
  <si>
    <t>GRBEQ US Equity</t>
  </si>
  <si>
    <t>Ann: 2010-02-23</t>
  </si>
  <si>
    <t>Ann: 1999-04-27</t>
  </si>
  <si>
    <t>Ann: 2006-01-30</t>
  </si>
  <si>
    <t>Ann: 2021-06-22</t>
  </si>
  <si>
    <t>Ann: 2021-07-26</t>
  </si>
  <si>
    <t>Ann: 2013-01-30</t>
  </si>
  <si>
    <t>Ann: 2015-05-27</t>
  </si>
  <si>
    <t>Ann: 2020-01-06</t>
  </si>
  <si>
    <t>Ann: 2017-09-20</t>
  </si>
  <si>
    <t>Ann: 2000-12-22</t>
  </si>
  <si>
    <t>Ann: 2003-05-07</t>
  </si>
  <si>
    <t>Ann: 2017-03-29</t>
  </si>
  <si>
    <t>Ann: 2011-03-24</t>
  </si>
  <si>
    <t>Ann: 2005-09-19</t>
  </si>
  <si>
    <t>Ann: 2010-11-01</t>
  </si>
  <si>
    <t>Ann: 2010-09-29</t>
  </si>
  <si>
    <t>Ann: 2013-06-10</t>
  </si>
  <si>
    <t>Ann: 2016-11-10</t>
  </si>
  <si>
    <t>Ann: 2005-03-21</t>
  </si>
  <si>
    <t>Ann: 2020-08-31</t>
  </si>
  <si>
    <t>Ann: 2019-10-02</t>
  </si>
  <si>
    <t>Ann: 2013-09-05</t>
  </si>
  <si>
    <t>Ann: 2007-08-12</t>
  </si>
  <si>
    <t>Ann: 2003-01-06</t>
  </si>
  <si>
    <t>Deal 2001</t>
  </si>
  <si>
    <t>Deal 2002</t>
  </si>
  <si>
    <t>Deal 2003</t>
  </si>
  <si>
    <t>Deal 2004</t>
  </si>
  <si>
    <t>Deal 2005</t>
  </si>
  <si>
    <t>Deal 2006</t>
  </si>
  <si>
    <t>Deal 2007</t>
  </si>
  <si>
    <t>Deal 2008</t>
  </si>
  <si>
    <t>Deal 2009</t>
  </si>
  <si>
    <t>Deal 2010</t>
  </si>
  <si>
    <t>Deal 2011</t>
  </si>
  <si>
    <t>Deal 2012</t>
  </si>
  <si>
    <t>Deal 2013</t>
  </si>
  <si>
    <t>Deal 2014</t>
  </si>
  <si>
    <t>Deal 2015</t>
  </si>
  <si>
    <t>Deal 2016</t>
  </si>
  <si>
    <t>Deal 2017</t>
  </si>
  <si>
    <t>Deal 2018</t>
  </si>
  <si>
    <t>Deal 2019</t>
  </si>
  <si>
    <t>Deal 2020</t>
  </si>
  <si>
    <t>Deal 2021</t>
  </si>
  <si>
    <t>Deal 2022</t>
  </si>
  <si>
    <t>Deal 2023</t>
  </si>
  <si>
    <t>Deal 2024</t>
  </si>
  <si>
    <t>Deal 2025</t>
  </si>
  <si>
    <t>Deal 2026</t>
  </si>
  <si>
    <t>Deal 2027</t>
  </si>
  <si>
    <t>Deal 2028</t>
  </si>
  <si>
    <t>Deal 2029</t>
  </si>
  <si>
    <t>Deal 2030</t>
  </si>
  <si>
    <t>Deal 2031</t>
  </si>
  <si>
    <t>Deal 2032</t>
  </si>
  <si>
    <t>Deal 2033</t>
  </si>
  <si>
    <t>Deal 2034</t>
  </si>
  <si>
    <t>Deal 2035</t>
  </si>
  <si>
    <t>Deal 2036</t>
  </si>
  <si>
    <t>Deal 2037</t>
  </si>
  <si>
    <t>Deal 2038</t>
  </si>
  <si>
    <t>Deal 2039</t>
  </si>
  <si>
    <t>Deal 2040</t>
  </si>
  <si>
    <t>LMND US Equity</t>
  </si>
  <si>
    <t>2725934Q US Equity</t>
  </si>
  <si>
    <t>KODK US Equity</t>
  </si>
  <si>
    <t>DJ US Equity</t>
  </si>
  <si>
    <t>ZD US Equity</t>
  </si>
  <si>
    <t>CEPH US Equity</t>
  </si>
  <si>
    <t>749001Q US Equity</t>
  </si>
  <si>
    <t>ESMK US Equity</t>
  </si>
  <si>
    <t>1702253D US Equity</t>
  </si>
  <si>
    <t>CVOVQ US Equity</t>
  </si>
  <si>
    <t>CPF US Equity</t>
  </si>
  <si>
    <t>3499164Q US Equity</t>
  </si>
  <si>
    <t>1524867D US Equity</t>
  </si>
  <si>
    <t>329556Q US Equity</t>
  </si>
  <si>
    <t>FMBI US Equity</t>
  </si>
  <si>
    <t>AZTA US Equity</t>
  </si>
  <si>
    <t>OK US Equity</t>
  </si>
  <si>
    <t>Ann: 2001-10-01</t>
  </si>
  <si>
    <t>Ann: 2003-07-21</t>
  </si>
  <si>
    <t>Ann: 2006-02-02</t>
  </si>
  <si>
    <t>Ann: 2004-11-14</t>
  </si>
  <si>
    <t>Ann: 2016-10-21</t>
  </si>
  <si>
    <t>Ann: 2007-03-16</t>
  </si>
  <si>
    <t>Ann: 2012-05-13</t>
  </si>
  <si>
    <t>Ann: 2007-06-07</t>
  </si>
  <si>
    <t>Ann: 2013-04-24</t>
  </si>
  <si>
    <t>Ann: 2006-12-27</t>
  </si>
  <si>
    <t>Ann: 1998-12-21</t>
  </si>
  <si>
    <t>Ann: 2003-10-07</t>
  </si>
  <si>
    <t>Ann: 2014-02-17</t>
  </si>
  <si>
    <t>Ann: 2003-04-16</t>
  </si>
  <si>
    <t>Ann: 1999-05-13</t>
  </si>
  <si>
    <t>Ann: 2017-05-18</t>
  </si>
  <si>
    <t>Ann: 2002-02-20</t>
  </si>
  <si>
    <t>Ann: 1999-06-21</t>
  </si>
  <si>
    <t>Ann: 2010-08-13</t>
  </si>
  <si>
    <t>Ann: 1998-01-15</t>
  </si>
  <si>
    <t>Ann: 2021-08-25</t>
  </si>
  <si>
    <t>Ann: 2010-02-02</t>
  </si>
  <si>
    <t>Ann: 2013-08-15</t>
  </si>
  <si>
    <t>Ann: 2003-12-02</t>
  </si>
  <si>
    <t>Ann: 2005-04-15</t>
  </si>
  <si>
    <t>Ann: 2000-08-22</t>
  </si>
  <si>
    <t>Ann: 1998-04-22</t>
  </si>
  <si>
    <t>Ann: 2005-08-30</t>
  </si>
  <si>
    <t>Ann: 2021-01-07</t>
  </si>
  <si>
    <t>Deal 2041</t>
  </si>
  <si>
    <t>Deal 2042</t>
  </si>
  <si>
    <t>Deal 2043</t>
  </si>
  <si>
    <t>Deal 2044</t>
  </si>
  <si>
    <t>Deal 2045</t>
  </si>
  <si>
    <t>Deal 2046</t>
  </si>
  <si>
    <t>Deal 2047</t>
  </si>
  <si>
    <t>Deal 2048</t>
  </si>
  <si>
    <t>Deal 2049</t>
  </si>
  <si>
    <t>Deal 2050</t>
  </si>
  <si>
    <t>Deal 2051</t>
  </si>
  <si>
    <t>Deal 2052</t>
  </si>
  <si>
    <t>Deal 2053</t>
  </si>
  <si>
    <t>Deal 2054</t>
  </si>
  <si>
    <t>Deal 2055</t>
  </si>
  <si>
    <t>Deal 2056</t>
  </si>
  <si>
    <t>Deal 2057</t>
  </si>
  <si>
    <t>Deal 2058</t>
  </si>
  <si>
    <t>Deal 2059</t>
  </si>
  <si>
    <t>Deal 2060</t>
  </si>
  <si>
    <t>Deal 2061</t>
  </si>
  <si>
    <t>Deal 2062</t>
  </si>
  <si>
    <t>Deal 2063</t>
  </si>
  <si>
    <t>Deal 2064</t>
  </si>
  <si>
    <t>Deal 2065</t>
  </si>
  <si>
    <t>Deal 2066</t>
  </si>
  <si>
    <t>Deal 2067</t>
  </si>
  <si>
    <t>Deal 2068</t>
  </si>
  <si>
    <t>Deal 2069</t>
  </si>
  <si>
    <t>Deal 2070</t>
  </si>
  <si>
    <t>Deal 2071</t>
  </si>
  <si>
    <t>Deal 2072</t>
  </si>
  <si>
    <t>Deal 2073</t>
  </si>
  <si>
    <t>Deal 2074</t>
  </si>
  <si>
    <t>Deal 2075</t>
  </si>
  <si>
    <t>Deal 2076</t>
  </si>
  <si>
    <t>Deal 2077</t>
  </si>
  <si>
    <t>Deal 2078</t>
  </si>
  <si>
    <t>Deal 2079</t>
  </si>
  <si>
    <t>Deal 2080</t>
  </si>
  <si>
    <t>NBR US Equity</t>
  </si>
  <si>
    <t>UDI US Equity</t>
  </si>
  <si>
    <t>LSCC US Equity</t>
  </si>
  <si>
    <t>KSPN US Equity</t>
  </si>
  <si>
    <t>ILA US Equity</t>
  </si>
  <si>
    <t>KEX US Equity</t>
  </si>
  <si>
    <t>SYNA US Equity</t>
  </si>
  <si>
    <t>SUPN US Equity</t>
  </si>
  <si>
    <t>8397627Q US Equity</t>
  </si>
  <si>
    <t>1799685D US Equity</t>
  </si>
  <si>
    <t>MITL US Equity</t>
  </si>
  <si>
    <t>PNR US Equity</t>
  </si>
  <si>
    <t>MFE US Equity</t>
  </si>
  <si>
    <t>PRK US Equity</t>
  </si>
  <si>
    <t>KFRC US Equity</t>
  </si>
  <si>
    <t>KRNY US Equity</t>
  </si>
  <si>
    <t>WAL US Equity</t>
  </si>
  <si>
    <t>612939Q US Equity</t>
  </si>
  <si>
    <t>RBN US Equity</t>
  </si>
  <si>
    <t>CSL US Equity</t>
  </si>
  <si>
    <t>Ann: 1998-10-30</t>
  </si>
  <si>
    <t>Ann: 2002-05-28</t>
  </si>
  <si>
    <t>Ann: 2015-01-27</t>
  </si>
  <si>
    <t>Ann: 2003-08-07</t>
  </si>
  <si>
    <t>Ann: 1998-10-26</t>
  </si>
  <si>
    <t>Ann: 1999-03-22</t>
  </si>
  <si>
    <t>Ann: 2021-07-13</t>
  </si>
  <si>
    <t>Ann: 1998-07-24</t>
  </si>
  <si>
    <t>Ann: 2001-11-07</t>
  </si>
  <si>
    <t>Ann: 2004-09-09</t>
  </si>
  <si>
    <t>Ann: 2011-03-13</t>
  </si>
  <si>
    <t>Ann: 2021-08-30</t>
  </si>
  <si>
    <t>Ann: 1998-09-08</t>
  </si>
  <si>
    <t>Ann: 2000-02-02</t>
  </si>
  <si>
    <t>Ann: 2006-12-21</t>
  </si>
  <si>
    <t>Ann: 2002-08-20</t>
  </si>
  <si>
    <t>Ann: 2017-07-27</t>
  </si>
  <si>
    <t>Ann: 1999-04-30</t>
  </si>
  <si>
    <t>Ann: 2008-09-22</t>
  </si>
  <si>
    <t>Ann: 2000-11-21</t>
  </si>
  <si>
    <t>Ann: 2007-11-09</t>
  </si>
  <si>
    <t>Ann: 2017-11-01</t>
  </si>
  <si>
    <t>Ann: 2000-12-05</t>
  </si>
  <si>
    <t>Ann: 1995-05-15</t>
  </si>
  <si>
    <t>Ann: 2009-05-08</t>
  </si>
  <si>
    <t>Ann: 1998-12-08</t>
  </si>
  <si>
    <t>Ann: 2001-05-08</t>
  </si>
  <si>
    <t>Ann: 1999-02-23</t>
  </si>
  <si>
    <t>Ann: 2010-10-06</t>
  </si>
  <si>
    <t>Ann: 2000-01-17</t>
  </si>
  <si>
    <t>Ann: 2010-10-15</t>
  </si>
  <si>
    <t>Deal 2081</t>
  </si>
  <si>
    <t>Deal 2082</t>
  </si>
  <si>
    <t>Deal 2083</t>
  </si>
  <si>
    <t>Deal 2084</t>
  </si>
  <si>
    <t>Deal 2085</t>
  </si>
  <si>
    <t>Deal 2086</t>
  </si>
  <si>
    <t>Deal 2087</t>
  </si>
  <si>
    <t>Deal 2088</t>
  </si>
  <si>
    <t>Deal 2089</t>
  </si>
  <si>
    <t>Deal 2090</t>
  </si>
  <si>
    <t>Deal 2091</t>
  </si>
  <si>
    <t>Deal 2092</t>
  </si>
  <si>
    <t>Deal 2093</t>
  </si>
  <si>
    <t>Deal 2094</t>
  </si>
  <si>
    <t>Deal 2095</t>
  </si>
  <si>
    <t>Deal 2096</t>
  </si>
  <si>
    <t>Deal 2097</t>
  </si>
  <si>
    <t>Deal 2098</t>
  </si>
  <si>
    <t>Deal 2099</t>
  </si>
  <si>
    <t>Deal 2100</t>
  </si>
  <si>
    <t>Deal 2101</t>
  </si>
  <si>
    <t>Deal 2102</t>
  </si>
  <si>
    <t>Deal 2103</t>
  </si>
  <si>
    <t>Deal 2104</t>
  </si>
  <si>
    <t>Deal 2105</t>
  </si>
  <si>
    <t>Deal 2106</t>
  </si>
  <si>
    <t>Deal 2107</t>
  </si>
  <si>
    <t>Deal 2108</t>
  </si>
  <si>
    <t>Deal 2109</t>
  </si>
  <si>
    <t>Deal 2110</t>
  </si>
  <si>
    <t>Deal 2111</t>
  </si>
  <si>
    <t>Deal 2112</t>
  </si>
  <si>
    <t>Deal 2113</t>
  </si>
  <si>
    <t>Deal 2114</t>
  </si>
  <si>
    <t>Deal 2115</t>
  </si>
  <si>
    <t>Deal 2116</t>
  </si>
  <si>
    <t>Deal 2117</t>
  </si>
  <si>
    <t>Deal 2118</t>
  </si>
  <si>
    <t>Deal 2119</t>
  </si>
  <si>
    <t>Deal 2120</t>
  </si>
  <si>
    <t>KLAC US Equity</t>
  </si>
  <si>
    <t>SGEN US Equity</t>
  </si>
  <si>
    <t>9995577D US Equity</t>
  </si>
  <si>
    <t>0882814D US Equity</t>
  </si>
  <si>
    <t>987200Q US Equity</t>
  </si>
  <si>
    <t>IBEMQ US Equity</t>
  </si>
  <si>
    <t>RBPAA US Equity</t>
  </si>
  <si>
    <t>SCHL US Equity</t>
  </si>
  <si>
    <t>IPIXQ US Equity</t>
  </si>
  <si>
    <t>CCBI US Equity</t>
  </si>
  <si>
    <t>CMTL US Equity</t>
  </si>
  <si>
    <t>VPHM US Equity</t>
  </si>
  <si>
    <t>SGU US Equity</t>
  </si>
  <si>
    <t>ABCB US Equity</t>
  </si>
  <si>
    <t>OMTR US Equity</t>
  </si>
  <si>
    <t>MCF US Equity</t>
  </si>
  <si>
    <t>Ann: 2006-02-23</t>
  </si>
  <si>
    <t>Ann: 2009-01-05</t>
  </si>
  <si>
    <t>Ann: 2018-01-31</t>
  </si>
  <si>
    <t>Ann: 2002-12-04</t>
  </si>
  <si>
    <t>Ann: 1999-12-15</t>
  </si>
  <si>
    <t>Ann: 2010-03-09</t>
  </si>
  <si>
    <t>Ann: 2000-07-25</t>
  </si>
  <si>
    <t>Ann: 2001-03-13</t>
  </si>
  <si>
    <t>Ann: 1998-05-29</t>
  </si>
  <si>
    <t>Ann: 2012-08-06</t>
  </si>
  <si>
    <t>Ann: 2000-04-13</t>
  </si>
  <si>
    <t>Ann: 1999-10-26</t>
  </si>
  <si>
    <t>Ann: 2000-09-19</t>
  </si>
  <si>
    <t>Ann: 2015-11-23</t>
  </si>
  <si>
    <t>Ann: 2008-07-15</t>
  </si>
  <si>
    <t>Ann: 2019-12-20</t>
  </si>
  <si>
    <t>Ann: 2010-01-11</t>
  </si>
  <si>
    <t>Ann: 2008-08-29</t>
  </si>
  <si>
    <t>Ann: 1999-11-15</t>
  </si>
  <si>
    <t>Ann: 2002-07-23</t>
  </si>
  <si>
    <t>Ann: 1998-01-12</t>
  </si>
  <si>
    <t>Ann: 2015-11-04</t>
  </si>
  <si>
    <t>Ann: 2003-06-13</t>
  </si>
  <si>
    <t>Ann: 1998-08-14</t>
  </si>
  <si>
    <t>Ann: 2002-07-29</t>
  </si>
  <si>
    <t>Ann: 2018-01-26</t>
  </si>
  <si>
    <t>Ann: 2006-09-20</t>
  </si>
  <si>
    <t>Ann: 2007-10-25</t>
  </si>
  <si>
    <t>Ann: 2001-09-21</t>
  </si>
  <si>
    <t>Ann: 2013-04-30</t>
  </si>
  <si>
    <t>Deal 2121</t>
  </si>
  <si>
    <t>Deal 2122</t>
  </si>
  <si>
    <t>Deal 2123</t>
  </si>
  <si>
    <t>Deal 2124</t>
  </si>
  <si>
    <t>Deal 2125</t>
  </si>
  <si>
    <t>Deal 2126</t>
  </si>
  <si>
    <t>Deal 2127</t>
  </si>
  <si>
    <t>Deal 2128</t>
  </si>
  <si>
    <t>Deal 2129</t>
  </si>
  <si>
    <t>Deal 2130</t>
  </si>
  <si>
    <t>Deal 2131</t>
  </si>
  <si>
    <t>Deal 2132</t>
  </si>
  <si>
    <t>Deal 2133</t>
  </si>
  <si>
    <t>Deal 2134</t>
  </si>
  <si>
    <t>Deal 2135</t>
  </si>
  <si>
    <t>Deal 2136</t>
  </si>
  <si>
    <t>Deal 2137</t>
  </si>
  <si>
    <t>Deal 2138</t>
  </si>
  <si>
    <t>Deal 2139</t>
  </si>
  <si>
    <t>Deal 2140</t>
  </si>
  <si>
    <t>Deal 2141</t>
  </si>
  <si>
    <t>Deal 2142</t>
  </si>
  <si>
    <t>Deal 2143</t>
  </si>
  <si>
    <t>Deal 2144</t>
  </si>
  <si>
    <t>Deal 2145</t>
  </si>
  <si>
    <t>Deal 2146</t>
  </si>
  <si>
    <t>Deal 2147</t>
  </si>
  <si>
    <t>Deal 2148</t>
  </si>
  <si>
    <t>Deal 2149</t>
  </si>
  <si>
    <t>Deal 2150</t>
  </si>
  <si>
    <t>Deal 2151</t>
  </si>
  <si>
    <t>Deal 2152</t>
  </si>
  <si>
    <t>Deal 2153</t>
  </si>
  <si>
    <t>Deal 2154</t>
  </si>
  <si>
    <t>Deal 2155</t>
  </si>
  <si>
    <t>Deal 2156</t>
  </si>
  <si>
    <t>Deal 2157</t>
  </si>
  <si>
    <t>Deal 2158</t>
  </si>
  <si>
    <t>Deal 2159</t>
  </si>
  <si>
    <t>Deal 2160</t>
  </si>
  <si>
    <t>EFSC US Equity</t>
  </si>
  <si>
    <t>YDKN US Equity</t>
  </si>
  <si>
    <t>EPAC US Equity</t>
  </si>
  <si>
    <t>1280712D US Equity</t>
  </si>
  <si>
    <t>EQC US Equity</t>
  </si>
  <si>
    <t>TFSM US Equity</t>
  </si>
  <si>
    <t>CITGQ US Equity</t>
  </si>
  <si>
    <t>NUVA US Equity</t>
  </si>
  <si>
    <t>ELME US Equity</t>
  </si>
  <si>
    <t>ELAN US Equity</t>
  </si>
  <si>
    <t>AVID US Equity</t>
  </si>
  <si>
    <t>2568368D US Equity</t>
  </si>
  <si>
    <t>PBI US Equity</t>
  </si>
  <si>
    <t>NWACQ US Equity</t>
  </si>
  <si>
    <t>MR US Equity</t>
  </si>
  <si>
    <t>TRMB US Equity</t>
  </si>
  <si>
    <t>MTN US Equity</t>
  </si>
  <si>
    <t>NDSN US Equity</t>
  </si>
  <si>
    <t>Ann: 2015-10-13</t>
  </si>
  <si>
    <t>Ann: 2018-02-07</t>
  </si>
  <si>
    <t>Ann: 2010-07-12</t>
  </si>
  <si>
    <t>Ann: 2012-10-24</t>
  </si>
  <si>
    <t>Ann: 2003-02-03</t>
  </si>
  <si>
    <t>Ann: 1999-09-10</t>
  </si>
  <si>
    <t>Ann: 2005-01-04</t>
  </si>
  <si>
    <t>Ann: 2016-01-06</t>
  </si>
  <si>
    <t>Ann: 2019-05-01</t>
  </si>
  <si>
    <t>Ann: 2021-06-16</t>
  </si>
  <si>
    <t>Ann: 2018-04-19</t>
  </si>
  <si>
    <t>Ann: 2004-08-12</t>
  </si>
  <si>
    <t>Ann: 1998-11-20</t>
  </si>
  <si>
    <t>Ann: 2005-03-04</t>
  </si>
  <si>
    <t>Ann: 1999-10-07</t>
  </si>
  <si>
    <t>Ann: 2003-11-21</t>
  </si>
  <si>
    <t>Ann: 2018-08-27</t>
  </si>
  <si>
    <t>Ann: 2010-07-28</t>
  </si>
  <si>
    <t>Ann: 2006-02-08</t>
  </si>
  <si>
    <t>Ann: 2006-12-11</t>
  </si>
  <si>
    <t>Ann: 2019-07-22</t>
  </si>
  <si>
    <t>Ann: 2010-03-22</t>
  </si>
  <si>
    <t>Deal 2161</t>
  </si>
  <si>
    <t>Deal 2162</t>
  </si>
  <si>
    <t>Deal 2163</t>
  </si>
  <si>
    <t>Deal 2164</t>
  </si>
  <si>
    <t>Deal 2165</t>
  </si>
  <si>
    <t>Deal 2166</t>
  </si>
  <si>
    <t>Deal 2167</t>
  </si>
  <si>
    <t>Deal 2168</t>
  </si>
  <si>
    <t>Deal 2169</t>
  </si>
  <si>
    <t>Deal 2170</t>
  </si>
  <si>
    <t>Deal 2171</t>
  </si>
  <si>
    <t>Deal 2172</t>
  </si>
  <si>
    <t>Deal 2173</t>
  </si>
  <si>
    <t>Deal 2174</t>
  </si>
  <si>
    <t>Deal 2175</t>
  </si>
  <si>
    <t>Deal 2176</t>
  </si>
  <si>
    <t>Deal 2177</t>
  </si>
  <si>
    <t>Deal 2178</t>
  </si>
  <si>
    <t>Deal 2179</t>
  </si>
  <si>
    <t>Deal 2180</t>
  </si>
  <si>
    <t>Deal 2181</t>
  </si>
  <si>
    <t>Deal 2182</t>
  </si>
  <si>
    <t>Deal 2183</t>
  </si>
  <si>
    <t>Deal 2184</t>
  </si>
  <si>
    <t>Deal 2185</t>
  </si>
  <si>
    <t>Deal 2186</t>
  </si>
  <si>
    <t>Deal 2187</t>
  </si>
  <si>
    <t>Deal 2188</t>
  </si>
  <si>
    <t>Deal 2189</t>
  </si>
  <si>
    <t>Deal 2190</t>
  </si>
  <si>
    <t>Deal 2191</t>
  </si>
  <si>
    <t>Deal 2192</t>
  </si>
  <si>
    <t>Deal 2193</t>
  </si>
  <si>
    <t>Deal 2194</t>
  </si>
  <si>
    <t>Deal 2195</t>
  </si>
  <si>
    <t>Deal 2196</t>
  </si>
  <si>
    <t>Deal 2197</t>
  </si>
  <si>
    <t>Deal 2198</t>
  </si>
  <si>
    <t>Deal 2199</t>
  </si>
  <si>
    <t>Deal 2200</t>
  </si>
  <si>
    <t>CFR US Equity</t>
  </si>
  <si>
    <t>TPB US Equity</t>
  </si>
  <si>
    <t>MDF US Equity</t>
  </si>
  <si>
    <t>IBOC US Equity</t>
  </si>
  <si>
    <t>WNC US Equity</t>
  </si>
  <si>
    <t>ONIT US Equity</t>
  </si>
  <si>
    <t>DKS US Equity</t>
  </si>
  <si>
    <t>NUAN US Equity</t>
  </si>
  <si>
    <t>27749Z US Equity</t>
  </si>
  <si>
    <t>HAIN US Equity</t>
  </si>
  <si>
    <t>LGND US Equity</t>
  </si>
  <si>
    <t>TISI US Equity</t>
  </si>
  <si>
    <t>SFNT US Equity</t>
  </si>
  <si>
    <t>UBNK US Equity</t>
  </si>
  <si>
    <t>MDAS US Equity</t>
  </si>
  <si>
    <t>1778808D US Equity</t>
  </si>
  <si>
    <t>FGPRQ US Equity</t>
  </si>
  <si>
    <t>Ann: 2004-10-06</t>
  </si>
  <si>
    <t>Ann: 2006-07-03</t>
  </si>
  <si>
    <t>Ann: 2020-04-08</t>
  </si>
  <si>
    <t>Ann: 2011-06-27</t>
  </si>
  <si>
    <t>Ann: 2004-01-22</t>
  </si>
  <si>
    <t>Ann: 2017-08-08</t>
  </si>
  <si>
    <t>Ann: 2018-02-27</t>
  </si>
  <si>
    <t>Ann: 2000-02-10</t>
  </si>
  <si>
    <t>Ann: 2006-07-19</t>
  </si>
  <si>
    <t>Ann: 2004-11-11</t>
  </si>
  <si>
    <t>Ann: 2001-10-24</t>
  </si>
  <si>
    <t>Ann: 2013-04-04</t>
  </si>
  <si>
    <t>Ann: 2008-12-19</t>
  </si>
  <si>
    <t>Ann: 2016-04-07</t>
  </si>
  <si>
    <t>Ann: 1998-11-11</t>
  </si>
  <si>
    <t>Ann: 2020-08-10</t>
  </si>
  <si>
    <t>Ann: 2015-05-04</t>
  </si>
  <si>
    <t>Ann: 2003-05-23</t>
  </si>
  <si>
    <t>Ann: 2000-11-10</t>
  </si>
  <si>
    <t>Ann: 2008-11-24</t>
  </si>
  <si>
    <t>Ann: 2003-10-22</t>
  </si>
  <si>
    <t>Ann: 2000-05-04</t>
  </si>
  <si>
    <t>Ann: 1999-04-21</t>
  </si>
  <si>
    <t>Ann: 2001-06-14</t>
  </si>
  <si>
    <t>Ann: 2013-11-15</t>
  </si>
  <si>
    <t>Ann: 2004-12-13</t>
  </si>
  <si>
    <t>Ann: 2006-11-02</t>
  </si>
  <si>
    <t>Ann: 2016-06-17</t>
  </si>
  <si>
    <t>Ann: 2004-02-09</t>
  </si>
  <si>
    <t>Deal 2201</t>
  </si>
  <si>
    <t>Deal 2202</t>
  </si>
  <si>
    <t>Deal 2203</t>
  </si>
  <si>
    <t>Deal 2204</t>
  </si>
  <si>
    <t>Deal 2205</t>
  </si>
  <si>
    <t>Deal 2206</t>
  </si>
  <si>
    <t>Deal 2207</t>
  </si>
  <si>
    <t>Deal 2208</t>
  </si>
  <si>
    <t>Deal 2209</t>
  </si>
  <si>
    <t>Deal 2210</t>
  </si>
  <si>
    <t>Deal 2211</t>
  </si>
  <si>
    <t>Deal 2212</t>
  </si>
  <si>
    <t>Deal 2213</t>
  </si>
  <si>
    <t>Deal 2214</t>
  </si>
  <si>
    <t>Deal 2215</t>
  </si>
  <si>
    <t>Deal 2216</t>
  </si>
  <si>
    <t>Deal 2217</t>
  </si>
  <si>
    <t>Deal 2218</t>
  </si>
  <si>
    <t>Deal 2219</t>
  </si>
  <si>
    <t>Deal 2220</t>
  </si>
  <si>
    <t>Deal 2221</t>
  </si>
  <si>
    <t>Deal 2222</t>
  </si>
  <si>
    <t>Deal 2223</t>
  </si>
  <si>
    <t>Deal 2224</t>
  </si>
  <si>
    <t>Deal 2225</t>
  </si>
  <si>
    <t>Deal 2226</t>
  </si>
  <si>
    <t>Deal 2227</t>
  </si>
  <si>
    <t>Deal 2228</t>
  </si>
  <si>
    <t>Deal 2229</t>
  </si>
  <si>
    <t>Deal 2230</t>
  </si>
  <si>
    <t>Deal 2231</t>
  </si>
  <si>
    <t>Deal 2232</t>
  </si>
  <si>
    <t>Deal 2233</t>
  </si>
  <si>
    <t>Deal 2234</t>
  </si>
  <si>
    <t>Deal 2235</t>
  </si>
  <si>
    <t>Deal 2236</t>
  </si>
  <si>
    <t>Deal 2237</t>
  </si>
  <si>
    <t>Deal 2238</t>
  </si>
  <si>
    <t>Deal 2239</t>
  </si>
  <si>
    <t>Deal 2240</t>
  </si>
  <si>
    <t>3388162Z US Equity</t>
  </si>
  <si>
    <t>3461945Q US Equity</t>
  </si>
  <si>
    <t>TCR US Equity</t>
  </si>
  <si>
    <t>1577770D US Equity</t>
  </si>
  <si>
    <t>PRTK US Equity</t>
  </si>
  <si>
    <t>EGHDQ US Equity</t>
  </si>
  <si>
    <t>1715399D US Equity</t>
  </si>
  <si>
    <t>BUSE US Equity</t>
  </si>
  <si>
    <t>CBF US Equity</t>
  </si>
  <si>
    <t>IDNX US Equity</t>
  </si>
  <si>
    <t>SPOK US Equity</t>
  </si>
  <si>
    <t>41018Q US Equity</t>
  </si>
  <si>
    <t>BGCP US Equity</t>
  </si>
  <si>
    <t>GUIC US Equity</t>
  </si>
  <si>
    <t>3122066Q US Equity</t>
  </si>
  <si>
    <t>594202Q US Equity</t>
  </si>
  <si>
    <t>NOVT US Equity</t>
  </si>
  <si>
    <t>3097837Q US Equity</t>
  </si>
  <si>
    <t>9994967D US Equity</t>
  </si>
  <si>
    <t>INGR US Equity</t>
  </si>
  <si>
    <t>NWBI US Equity</t>
  </si>
  <si>
    <t>RWY US Equity</t>
  </si>
  <si>
    <t>Ann: 2007-07-25</t>
  </si>
  <si>
    <t>Ann: 1999-03-31</t>
  </si>
  <si>
    <t>Ann: 2001-07-25</t>
  </si>
  <si>
    <t>Ann: 1998-06-22</t>
  </si>
  <si>
    <t>Ann: 2000-06-08</t>
  </si>
  <si>
    <t>Ann: 2014-07-01</t>
  </si>
  <si>
    <t>Ann: 1999-07-14</t>
  </si>
  <si>
    <t>Ann: 2014-06-30</t>
  </si>
  <si>
    <t>Ann: 2015-03-18</t>
  </si>
  <si>
    <t>Ann: 1999-08-30</t>
  </si>
  <si>
    <t>Ann: 2006-09-21</t>
  </si>
  <si>
    <t>Ann: 2009-11-17</t>
  </si>
  <si>
    <t>Ann: 2009-12-18</t>
  </si>
  <si>
    <t>Ann: 2000-01-30</t>
  </si>
  <si>
    <t>Ann: 2015-12-23</t>
  </si>
  <si>
    <t>Ann: 2006-08-14</t>
  </si>
  <si>
    <t>Ann: 2007-02-12</t>
  </si>
  <si>
    <t>Ann: 1998-01-29</t>
  </si>
  <si>
    <t>Ann: 2011-03-18</t>
  </si>
  <si>
    <t>Ann: 2013-04-11</t>
  </si>
  <si>
    <t>Ann: 2014-10-15</t>
  </si>
  <si>
    <t>Ann: 2019-10-29</t>
  </si>
  <si>
    <t>Ann: 2003-08-11</t>
  </si>
  <si>
    <t>Ann: 2001-12-12</t>
  </si>
  <si>
    <t>Deal 2241</t>
  </si>
  <si>
    <t>Deal 2242</t>
  </si>
  <si>
    <t>Deal 2243</t>
  </si>
  <si>
    <t>Deal 2244</t>
  </si>
  <si>
    <t>Deal 2245</t>
  </si>
  <si>
    <t>Deal 2246</t>
  </si>
  <si>
    <t>Deal 2247</t>
  </si>
  <si>
    <t>Deal 2248</t>
  </si>
  <si>
    <t>Deal 2249</t>
  </si>
  <si>
    <t>Deal 2250</t>
  </si>
  <si>
    <t>Deal 2251</t>
  </si>
  <si>
    <t>Deal 2252</t>
  </si>
  <si>
    <t>Deal 2253</t>
  </si>
  <si>
    <t>Deal 2254</t>
  </si>
  <si>
    <t>Deal 2255</t>
  </si>
  <si>
    <t>Deal 2256</t>
  </si>
  <si>
    <t>Deal 2257</t>
  </si>
  <si>
    <t>Deal 2258</t>
  </si>
  <si>
    <t>Deal 2259</t>
  </si>
  <si>
    <t>Deal 2260</t>
  </si>
  <si>
    <t>Deal 2261</t>
  </si>
  <si>
    <t>Deal 2262</t>
  </si>
  <si>
    <t>Deal 2263</t>
  </si>
  <si>
    <t>Deal 2264</t>
  </si>
  <si>
    <t>Deal 2265</t>
  </si>
  <si>
    <t>Deal 2266</t>
  </si>
  <si>
    <t>Deal 2267</t>
  </si>
  <si>
    <t>Deal 2268</t>
  </si>
  <si>
    <t>Deal 2269</t>
  </si>
  <si>
    <t>Deal 2270</t>
  </si>
  <si>
    <t>Deal 2271</t>
  </si>
  <si>
    <t>Deal 2272</t>
  </si>
  <si>
    <t>Deal 2273</t>
  </si>
  <si>
    <t>Deal 2274</t>
  </si>
  <si>
    <t>Deal 2275</t>
  </si>
  <si>
    <t>Deal 2276</t>
  </si>
  <si>
    <t>Deal 2277</t>
  </si>
  <si>
    <t>Deal 2278</t>
  </si>
  <si>
    <t>Deal 2279</t>
  </si>
  <si>
    <t>Deal 2280</t>
  </si>
  <si>
    <t>AAPL US Equity</t>
  </si>
  <si>
    <t>DECC US Equity</t>
  </si>
  <si>
    <t>3131657Q US Equity</t>
  </si>
  <si>
    <t>EGAN US Equity</t>
  </si>
  <si>
    <t>CSSE US Equity</t>
  </si>
  <si>
    <t>TSA US Equity</t>
  </si>
  <si>
    <t>SKO US Equity</t>
  </si>
  <si>
    <t>9123456D US Equity</t>
  </si>
  <si>
    <t>236619Q US Equity</t>
  </si>
  <si>
    <t>1740293D US Equity</t>
  </si>
  <si>
    <t>HU US Equity</t>
  </si>
  <si>
    <t>4513539Q US Equity</t>
  </si>
  <si>
    <t>NKE US Equity</t>
  </si>
  <si>
    <t>CHCO US Equity</t>
  </si>
  <si>
    <t>HRC US Equity</t>
  </si>
  <si>
    <t>GKNT US Equity</t>
  </si>
  <si>
    <t>LGTO US Equity</t>
  </si>
  <si>
    <t>1709056D US Equity</t>
  </si>
  <si>
    <t>ACDC US Equity</t>
  </si>
  <si>
    <t>SONE US Equity</t>
  </si>
  <si>
    <t>CBCGQ US Equity</t>
  </si>
  <si>
    <t>Ann: 2012-07-27</t>
  </si>
  <si>
    <t>Ann: 2001-11-21</t>
  </si>
  <si>
    <t>Ann: 1999-11-22</t>
  </si>
  <si>
    <t>Ann: 2019-12-16</t>
  </si>
  <si>
    <t>Ann: 2000-03-16</t>
  </si>
  <si>
    <t>Ann: 2003-02-20</t>
  </si>
  <si>
    <t>Ann: 1999-05-11</t>
  </si>
  <si>
    <t>Ann: 2009-05-11</t>
  </si>
  <si>
    <t>Ann: 2012-09-17</t>
  </si>
  <si>
    <t>Ann: 2016-07-27</t>
  </si>
  <si>
    <t>Ann: 2017-06-05</t>
  </si>
  <si>
    <t>Ann: 2004-04-13</t>
  </si>
  <si>
    <t>Ann: 2000-12-11</t>
  </si>
  <si>
    <t>Ann: 2003-07-09</t>
  </si>
  <si>
    <t>Ann: 2021-07-23</t>
  </si>
  <si>
    <t>Ann: 1998-08-07</t>
  </si>
  <si>
    <t>Ann: 2014-09-09</t>
  </si>
  <si>
    <t>Ann: 2003-10-30</t>
  </si>
  <si>
    <t>Ann: 2002-07-26</t>
  </si>
  <si>
    <t>Ann: 2000-02-03</t>
  </si>
  <si>
    <t>Ann: 2002-02-21</t>
  </si>
  <si>
    <t>Ann: 2006-01-06</t>
  </si>
  <si>
    <t>Ann: 2022-06-21</t>
  </si>
  <si>
    <t>Ann: 2011-04-05</t>
  </si>
  <si>
    <t>Ann: 2018-11-27</t>
  </si>
  <si>
    <t>Ann: 2007-01-23</t>
  </si>
  <si>
    <t>Deal 2281</t>
  </si>
  <si>
    <t>Deal 2282</t>
  </si>
  <si>
    <t>Deal 2283</t>
  </si>
  <si>
    <t>Deal 2284</t>
  </si>
  <si>
    <t>Deal 2285</t>
  </si>
  <si>
    <t>Deal 2286</t>
  </si>
  <si>
    <t>Deal 2287</t>
  </si>
  <si>
    <t>Deal 2288</t>
  </si>
  <si>
    <t>Deal 2289</t>
  </si>
  <si>
    <t>Deal 2290</t>
  </si>
  <si>
    <t>Deal 2291</t>
  </si>
  <si>
    <t>Deal 2292</t>
  </si>
  <si>
    <t>Deal 2293</t>
  </si>
  <si>
    <t>Deal 2294</t>
  </si>
  <si>
    <t>Deal 2295</t>
  </si>
  <si>
    <t>Deal 2296</t>
  </si>
  <si>
    <t>Deal 2297</t>
  </si>
  <si>
    <t>Deal 2298</t>
  </si>
  <si>
    <t>Deal 2299</t>
  </si>
  <si>
    <t>Deal 2300</t>
  </si>
  <si>
    <t>Deal 2301</t>
  </si>
  <si>
    <t>Deal 2302</t>
  </si>
  <si>
    <t>Deal 2303</t>
  </si>
  <si>
    <t>Deal 2304</t>
  </si>
  <si>
    <t>Deal 2305</t>
  </si>
  <si>
    <t>Deal 2306</t>
  </si>
  <si>
    <t>Deal 2307</t>
  </si>
  <si>
    <t>Deal 2308</t>
  </si>
  <si>
    <t>Deal 2309</t>
  </si>
  <si>
    <t>Deal 2310</t>
  </si>
  <si>
    <t>Deal 2311</t>
  </si>
  <si>
    <t>Deal 2312</t>
  </si>
  <si>
    <t>Deal 2313</t>
  </si>
  <si>
    <t>Deal 2314</t>
  </si>
  <si>
    <t>Deal 2315</t>
  </si>
  <si>
    <t>Deal 2316</t>
  </si>
  <si>
    <t>Deal 2317</t>
  </si>
  <si>
    <t>Deal 2318</t>
  </si>
  <si>
    <t>Deal 2319</t>
  </si>
  <si>
    <t>Deal 2320</t>
  </si>
  <si>
    <t>BCIC US Equity</t>
  </si>
  <si>
    <t>ENRNQ US Equity</t>
  </si>
  <si>
    <t>DCO US Equity</t>
  </si>
  <si>
    <t>PLRE US Equity</t>
  </si>
  <si>
    <t>FNVG US Equity</t>
  </si>
  <si>
    <t>OAK US Equity</t>
  </si>
  <si>
    <t>LII US Equity</t>
  </si>
  <si>
    <t>TSFG US Equity</t>
  </si>
  <si>
    <t>TPP US Equity</t>
  </si>
  <si>
    <t>NVEE US Equity</t>
  </si>
  <si>
    <t>CMTY US Equity</t>
  </si>
  <si>
    <t>SITEQ US Equity</t>
  </si>
  <si>
    <t>2502261D US Equity</t>
  </si>
  <si>
    <t>AFG US Equity</t>
  </si>
  <si>
    <t>CBU US Equity</t>
  </si>
  <si>
    <t>1849855D US Equity</t>
  </si>
  <si>
    <t>FBNC US Equity</t>
  </si>
  <si>
    <t>Ann: 2020-06-24</t>
  </si>
  <si>
    <t>Ann: 2000-12-15</t>
  </si>
  <si>
    <t>Ann: 2008-02-20</t>
  </si>
  <si>
    <t>Ann: 2020-07-27</t>
  </si>
  <si>
    <t>Ann: 1998-02-19</t>
  </si>
  <si>
    <t>Ann: 2015-05-05</t>
  </si>
  <si>
    <t>Ann: 2001-03-21</t>
  </si>
  <si>
    <t>Ann: 1999-01-07</t>
  </si>
  <si>
    <t>Ann: 2017-07-14</t>
  </si>
  <si>
    <t>Ann: 1998-10-25</t>
  </si>
  <si>
    <t>Ann: 2004-05-23</t>
  </si>
  <si>
    <t>Ann: 2019-11-07</t>
  </si>
  <si>
    <t>Ann: 2010-04-29</t>
  </si>
  <si>
    <t>Ann: 2004-11-16</t>
  </si>
  <si>
    <t>Ann: 1998-05-12</t>
  </si>
  <si>
    <t>Ann: 2014-05-08</t>
  </si>
  <si>
    <t>Ann: 2012-03-07</t>
  </si>
  <si>
    <t>Ann: 2004-04-27</t>
  </si>
  <si>
    <t>Ann: 2000-10-27</t>
  </si>
  <si>
    <t>Ann: 2014-10-29</t>
  </si>
  <si>
    <t>Ann: 2004-06-29</t>
  </si>
  <si>
    <t>Ann: 2016-07-08</t>
  </si>
  <si>
    <t>Ann: 2016-10-24</t>
  </si>
  <si>
    <t>Ann: 2011-04-15</t>
  </si>
  <si>
    <t>Ann: 2004-01-08</t>
  </si>
  <si>
    <t>Ann: 2004-03-01</t>
  </si>
  <si>
    <t>Ann: 2007-05-15</t>
  </si>
  <si>
    <t>Deal 2321</t>
  </si>
  <si>
    <t>Deal 2322</t>
  </si>
  <si>
    <t>Deal 2323</t>
  </si>
  <si>
    <t>Deal 2324</t>
  </si>
  <si>
    <t>Deal 2325</t>
  </si>
  <si>
    <t>Deal 2326</t>
  </si>
  <si>
    <t>Deal 2327</t>
  </si>
  <si>
    <t>Deal 2328</t>
  </si>
  <si>
    <t>Deal 2329</t>
  </si>
  <si>
    <t>Deal 2330</t>
  </si>
  <si>
    <t>Deal 2331</t>
  </si>
  <si>
    <t>Deal 2332</t>
  </si>
  <si>
    <t>Deal 2333</t>
  </si>
  <si>
    <t>Deal 2334</t>
  </si>
  <si>
    <t>Deal 2335</t>
  </si>
  <si>
    <t>Deal 2336</t>
  </si>
  <si>
    <t>Deal 2337</t>
  </si>
  <si>
    <t>Deal 2338</t>
  </si>
  <si>
    <t>Deal 2339</t>
  </si>
  <si>
    <t>Deal 2340</t>
  </si>
  <si>
    <t>Deal 2341</t>
  </si>
  <si>
    <t>Deal 2342</t>
  </si>
  <si>
    <t>Deal 2343</t>
  </si>
  <si>
    <t>Deal 2344</t>
  </si>
  <si>
    <t>Deal 2345</t>
  </si>
  <si>
    <t>Deal 2346</t>
  </si>
  <si>
    <t>Deal 2347</t>
  </si>
  <si>
    <t>Deal 2348</t>
  </si>
  <si>
    <t>Deal 2349</t>
  </si>
  <si>
    <t>Deal 2350</t>
  </si>
  <si>
    <t>Deal 2351</t>
  </si>
  <si>
    <t>Deal 2352</t>
  </si>
  <si>
    <t>Deal 2353</t>
  </si>
  <si>
    <t>Deal 2354</t>
  </si>
  <si>
    <t>Deal 2355</t>
  </si>
  <si>
    <t>Deal 2356</t>
  </si>
  <si>
    <t>Deal 2357</t>
  </si>
  <si>
    <t>Deal 2358</t>
  </si>
  <si>
    <t>Deal 2359</t>
  </si>
  <si>
    <t>Deal 2360</t>
  </si>
  <si>
    <t>LZB US Equity</t>
  </si>
  <si>
    <t>SBSI US Equity</t>
  </si>
  <si>
    <t>EXTR US Equity</t>
  </si>
  <si>
    <t>CPPRQ US Equity</t>
  </si>
  <si>
    <t>MYPT US Equity</t>
  </si>
  <si>
    <t>FULT US Equity</t>
  </si>
  <si>
    <t>RRA US Equity</t>
  </si>
  <si>
    <t>2072499D US Equity</t>
  </si>
  <si>
    <t>1288652D US Equity</t>
  </si>
  <si>
    <t>KEGX US Equity</t>
  </si>
  <si>
    <t>AOS US Equity</t>
  </si>
  <si>
    <t>CVI US Equity</t>
  </si>
  <si>
    <t>TCBK US Equity</t>
  </si>
  <si>
    <t>PMCS US Equity</t>
  </si>
  <si>
    <t>TER US Equity</t>
  </si>
  <si>
    <t>TOWN US Equity</t>
  </si>
  <si>
    <t>AGCO US Equity</t>
  </si>
  <si>
    <t>FORM US Equity</t>
  </si>
  <si>
    <t>FNIS US Equity</t>
  </si>
  <si>
    <t>8258290Q US Equity</t>
  </si>
  <si>
    <t>Ann: 2002-10-10</t>
  </si>
  <si>
    <t>Ann: 2011-05-16</t>
  </si>
  <si>
    <t>Ann: 2017-01-25</t>
  </si>
  <si>
    <t>Ann: 2005-07-26</t>
  </si>
  <si>
    <t>Ann: 1999-10-15</t>
  </si>
  <si>
    <t>Ann: 1999-10-01</t>
  </si>
  <si>
    <t>Ann: 2016-02-29</t>
  </si>
  <si>
    <t>Ann: 2000-05-19</t>
  </si>
  <si>
    <t>Ann: 2008-12-09</t>
  </si>
  <si>
    <t>Ann: 2022-10-18</t>
  </si>
  <si>
    <t>Ann: 2019-01-18</t>
  </si>
  <si>
    <t>Ann: 2017-12-11</t>
  </si>
  <si>
    <t>Ann: 2006-09-12</t>
  </si>
  <si>
    <t>Ann: 2006-04-04</t>
  </si>
  <si>
    <t>Ann: 2010-05-11</t>
  </si>
  <si>
    <t>Ann: 1998-12-03</t>
  </si>
  <si>
    <t>Ann: 2007-12-12</t>
  </si>
  <si>
    <t>Ann: 2003-12-09</t>
  </si>
  <si>
    <t>Ann: 2016-02-04</t>
  </si>
  <si>
    <t>Ann: 2002-04-30</t>
  </si>
  <si>
    <t>Ann: 2004-06-17</t>
  </si>
  <si>
    <t>Ann: 2005-10-20</t>
  </si>
  <si>
    <t>Deal 2361</t>
  </si>
  <si>
    <t>Deal 2362</t>
  </si>
  <si>
    <t>Deal 2363</t>
  </si>
  <si>
    <t>Deal 2364</t>
  </si>
  <si>
    <t>Deal 2365</t>
  </si>
  <si>
    <t>Deal 2366</t>
  </si>
  <si>
    <t>Deal 2367</t>
  </si>
  <si>
    <t>Deal 2368</t>
  </si>
  <si>
    <t>Deal 2369</t>
  </si>
  <si>
    <t>Deal 2370</t>
  </si>
  <si>
    <t>Deal 2371</t>
  </si>
  <si>
    <t>Deal 2372</t>
  </si>
  <si>
    <t>Deal 2373</t>
  </si>
  <si>
    <t>Deal 2374</t>
  </si>
  <si>
    <t>Deal 2375</t>
  </si>
  <si>
    <t>Deal 2376</t>
  </si>
  <si>
    <t>Deal 2377</t>
  </si>
  <si>
    <t>Deal 2378</t>
  </si>
  <si>
    <t>Deal 2379</t>
  </si>
  <si>
    <t>Deal 2380</t>
  </si>
  <si>
    <t>Deal 2381</t>
  </si>
  <si>
    <t>Deal 2382</t>
  </si>
  <si>
    <t>Deal 2383</t>
  </si>
  <si>
    <t>Deal 2384</t>
  </si>
  <si>
    <t>Deal 2385</t>
  </si>
  <si>
    <t>Deal 2386</t>
  </si>
  <si>
    <t>Deal 2387</t>
  </si>
  <si>
    <t>Deal 2388</t>
  </si>
  <si>
    <t>Deal 2389</t>
  </si>
  <si>
    <t>Deal 2390</t>
  </si>
  <si>
    <t>Deal 2391</t>
  </si>
  <si>
    <t>Deal 2392</t>
  </si>
  <si>
    <t>Deal 2393</t>
  </si>
  <si>
    <t>Deal 2394</t>
  </si>
  <si>
    <t>Deal 2395</t>
  </si>
  <si>
    <t>Deal 2396</t>
  </si>
  <si>
    <t>Deal 2397</t>
  </si>
  <si>
    <t>Deal 2398</t>
  </si>
  <si>
    <t>Deal 2399</t>
  </si>
  <si>
    <t>Deal 2400</t>
  </si>
  <si>
    <t>ICII US Equity</t>
  </si>
  <si>
    <t>GDT US Equity</t>
  </si>
  <si>
    <t>STLD US Equity</t>
  </si>
  <si>
    <t>3075558Q US Equity</t>
  </si>
  <si>
    <t>GNK US Equity</t>
  </si>
  <si>
    <t>HAFC US Equity</t>
  </si>
  <si>
    <t>PEBO US Equity</t>
  </si>
  <si>
    <t>PRSU US Equity</t>
  </si>
  <si>
    <t>FRME US Equity</t>
  </si>
  <si>
    <t>UPBD US Equity</t>
  </si>
  <si>
    <t>PBKS US Equity</t>
  </si>
  <si>
    <t>CDNS US Equity</t>
  </si>
  <si>
    <t>0941825D US Equity</t>
  </si>
  <si>
    <t>GLK US Equity</t>
  </si>
  <si>
    <t>MCDTA US Equity</t>
  </si>
  <si>
    <t>2313711D US Equity</t>
  </si>
  <si>
    <t>CRI US Equity</t>
  </si>
  <si>
    <t>AME US Equity</t>
  </si>
  <si>
    <t>0687288D US Equity</t>
  </si>
  <si>
    <t>Ann: 2010-06-10</t>
  </si>
  <si>
    <t>Ann: 2005-10-18</t>
  </si>
  <si>
    <t>Ann: 2010-06-16</t>
  </si>
  <si>
    <t>Ann: 1999-02-18</t>
  </si>
  <si>
    <t>Ann: 2005-06-28</t>
  </si>
  <si>
    <t>Ann: 2015-04-08</t>
  </si>
  <si>
    <t>Ann: 2006-05-04</t>
  </si>
  <si>
    <t>Ann: 2000-09-27</t>
  </si>
  <si>
    <t>Ann: 2021-03-29</t>
  </si>
  <si>
    <t>Ann: 1999-11-01</t>
  </si>
  <si>
    <t>Ann: 2002-07-24</t>
  </si>
  <si>
    <t>Ann: 1998-03-05</t>
  </si>
  <si>
    <t>Ann: 2007-10-31</t>
  </si>
  <si>
    <t>Ann: 2003-11-03</t>
  </si>
  <si>
    <t>Ann: 2006-03-16</t>
  </si>
  <si>
    <t>Ann: 2011-06-30</t>
  </si>
  <si>
    <t>Ann: 2001-01-16</t>
  </si>
  <si>
    <t>Ann: 1999-03-11</t>
  </si>
  <si>
    <t>Ann: 2000-08-24</t>
  </si>
  <si>
    <t>Ann: 2002-11-04</t>
  </si>
  <si>
    <t>Ann: 2005-05-10</t>
  </si>
  <si>
    <t>Ann: 2010-04-10</t>
  </si>
  <si>
    <t>Ann: 2014-06-25</t>
  </si>
  <si>
    <t>Ann: 2021-06-23</t>
  </si>
  <si>
    <t>Ann: 2014-04-11</t>
  </si>
  <si>
    <t>Ann: 2013-12-23</t>
  </si>
  <si>
    <t>Ann: 1999-03-10</t>
  </si>
  <si>
    <t>Deal 2401</t>
  </si>
  <si>
    <t>Deal 2402</t>
  </si>
  <si>
    <t>Deal 2403</t>
  </si>
  <si>
    <t>Deal 2404</t>
  </si>
  <si>
    <t>Deal 2405</t>
  </si>
  <si>
    <t>Deal 2406</t>
  </si>
  <si>
    <t>Deal 2407</t>
  </si>
  <si>
    <t>Deal 2408</t>
  </si>
  <si>
    <t>Deal 2409</t>
  </si>
  <si>
    <t>Deal 2410</t>
  </si>
  <si>
    <t>Deal 2411</t>
  </si>
  <si>
    <t>Deal 2412</t>
  </si>
  <si>
    <t>Deal 2413</t>
  </si>
  <si>
    <t>Deal 2414</t>
  </si>
  <si>
    <t>Deal 2415</t>
  </si>
  <si>
    <t>Deal 2416</t>
  </si>
  <si>
    <t>Deal 2417</t>
  </si>
  <si>
    <t>Deal 2418</t>
  </si>
  <si>
    <t>Deal 2419</t>
  </si>
  <si>
    <t>Deal 2420</t>
  </si>
  <si>
    <t>Deal 2421</t>
  </si>
  <si>
    <t>Deal 2422</t>
  </si>
  <si>
    <t>Deal 2423</t>
  </si>
  <si>
    <t>Deal 2424</t>
  </si>
  <si>
    <t>Deal 2425</t>
  </si>
  <si>
    <t>Deal 2426</t>
  </si>
  <si>
    <t>Deal 2427</t>
  </si>
  <si>
    <t>Deal 2428</t>
  </si>
  <si>
    <t>Deal 2429</t>
  </si>
  <si>
    <t>Deal 2430</t>
  </si>
  <si>
    <t>Deal 2431</t>
  </si>
  <si>
    <t>Deal 2432</t>
  </si>
  <si>
    <t>Deal 2433</t>
  </si>
  <si>
    <t>Deal 2434</t>
  </si>
  <si>
    <t>Deal 2435</t>
  </si>
  <si>
    <t>Deal 2436</t>
  </si>
  <si>
    <t>Deal 2437</t>
  </si>
  <si>
    <t>Deal 2438</t>
  </si>
  <si>
    <t>Deal 2439</t>
  </si>
  <si>
    <t>Deal 2440</t>
  </si>
  <si>
    <t>BHE US Equity</t>
  </si>
  <si>
    <t>1567696D US Equity</t>
  </si>
  <si>
    <t>GNLN US Equity</t>
  </si>
  <si>
    <t>1537336D US Equity</t>
  </si>
  <si>
    <t>SCUR US Equity</t>
  </si>
  <si>
    <t>TDW US Equity</t>
  </si>
  <si>
    <t>FCHDQ US Equity</t>
  </si>
  <si>
    <t>BLKB US Equity</t>
  </si>
  <si>
    <t>2217881D US Equity</t>
  </si>
  <si>
    <t>3017264Q US Equity</t>
  </si>
  <si>
    <t>BGGSQ US Equity</t>
  </si>
  <si>
    <t>CVG US Equity</t>
  </si>
  <si>
    <t>KTOS US Equity</t>
  </si>
  <si>
    <t>SYBT US Equity</t>
  </si>
  <si>
    <t>ZLC US Equity</t>
  </si>
  <si>
    <t>TRA US Equity</t>
  </si>
  <si>
    <t>CLM US Equity</t>
  </si>
  <si>
    <t>DIOD US Equity</t>
  </si>
  <si>
    <t>3024Q US Equity</t>
  </si>
  <si>
    <t>Ann: 2011-12-13</t>
  </si>
  <si>
    <t>Ann: 2008-09-02</t>
  </si>
  <si>
    <t>Ann: 1999-02-19</t>
  </si>
  <si>
    <t>Ann: 2013-05-08</t>
  </si>
  <si>
    <t>Ann: 2005-08-18</t>
  </si>
  <si>
    <t>Ann: 2011-02-01</t>
  </si>
  <si>
    <t>Ann: 2018-07-16</t>
  </si>
  <si>
    <t>Ann: 1998-12-27</t>
  </si>
  <si>
    <t>Ann: 2012-01-17</t>
  </si>
  <si>
    <t>Ann: 1998-10-29</t>
  </si>
  <si>
    <t>Ann: 2008-03-24</t>
  </si>
  <si>
    <t>Ann: 1999-03-23</t>
  </si>
  <si>
    <t>Ann: 2021-06-03</t>
  </si>
  <si>
    <t>Ann: 2005-06-09</t>
  </si>
  <si>
    <t>Ann: 2001-03-01</t>
  </si>
  <si>
    <t>Ann: 2008-07-16</t>
  </si>
  <si>
    <t>Ann: 2018-12-12</t>
  </si>
  <si>
    <t>Ann: 2021-01-27</t>
  </si>
  <si>
    <t>Ann: 2020-03-12</t>
  </si>
  <si>
    <t>Ann: 2000-08-11</t>
  </si>
  <si>
    <t>Ann: 2002-09-30</t>
  </si>
  <si>
    <t>Ann: 2004-08-09</t>
  </si>
  <si>
    <t>Ann: 2015-02-27</t>
  </si>
  <si>
    <t>Ann: 2001-08-13</t>
  </si>
  <si>
    <t>Ann: 2015-09-03</t>
  </si>
  <si>
    <t>Ann: 1998-07-31</t>
  </si>
  <si>
    <t>Deal 2441</t>
  </si>
  <si>
    <t>Deal 2442</t>
  </si>
  <si>
    <t>Deal 2443</t>
  </si>
  <si>
    <t>Deal 2444</t>
  </si>
  <si>
    <t>Deal 2445</t>
  </si>
  <si>
    <t>Deal 2446</t>
  </si>
  <si>
    <t>Deal 2447</t>
  </si>
  <si>
    <t>Deal 2448</t>
  </si>
  <si>
    <t>Deal 2449</t>
  </si>
  <si>
    <t>Deal 2450</t>
  </si>
  <si>
    <t>Deal 2451</t>
  </si>
  <si>
    <t>Deal 2452</t>
  </si>
  <si>
    <t>Deal 2453</t>
  </si>
  <si>
    <t>Deal 2454</t>
  </si>
  <si>
    <t>Deal 2455</t>
  </si>
  <si>
    <t>Deal 2456</t>
  </si>
  <si>
    <t>Deal 2457</t>
  </si>
  <si>
    <t>Deal 2458</t>
  </si>
  <si>
    <t>Deal 2459</t>
  </si>
  <si>
    <t>Deal 2460</t>
  </si>
  <si>
    <t>Deal 2461</t>
  </si>
  <si>
    <t>Deal 2462</t>
  </si>
  <si>
    <t>Deal 2463</t>
  </si>
  <si>
    <t>Deal 2464</t>
  </si>
  <si>
    <t>Deal 2465</t>
  </si>
  <si>
    <t>Deal 2466</t>
  </si>
  <si>
    <t>Deal 2467</t>
  </si>
  <si>
    <t>Deal 2468</t>
  </si>
  <si>
    <t>Deal 2469</t>
  </si>
  <si>
    <t>Deal 2470</t>
  </si>
  <si>
    <t>Deal 2471</t>
  </si>
  <si>
    <t>Deal 2472</t>
  </si>
  <si>
    <t>Deal 2473</t>
  </si>
  <si>
    <t>Deal 2474</t>
  </si>
  <si>
    <t>Deal 2475</t>
  </si>
  <si>
    <t>Deal 2476</t>
  </si>
  <si>
    <t>Deal 2477</t>
  </si>
  <si>
    <t>Deal 2478</t>
  </si>
  <si>
    <t>Deal 2479</t>
  </si>
  <si>
    <t>Deal 2480</t>
  </si>
  <si>
    <t>ANAT US Equity</t>
  </si>
  <si>
    <t>HTRN US Equity</t>
  </si>
  <si>
    <t>HCBK US Equity</t>
  </si>
  <si>
    <t>MAFB US Equity</t>
  </si>
  <si>
    <t>JDAS US Equity</t>
  </si>
  <si>
    <t>MEDQ US Equity</t>
  </si>
  <si>
    <t>PGR US Equity</t>
  </si>
  <si>
    <t>ATNY US Equity</t>
  </si>
  <si>
    <t>SRGAQ US Equity</t>
  </si>
  <si>
    <t>FFWM US Equity</t>
  </si>
  <si>
    <t>GHC US Equity</t>
  </si>
  <si>
    <t>496112Q US Equity</t>
  </si>
  <si>
    <t>0964591D US Equity</t>
  </si>
  <si>
    <t>1642488D US Equity</t>
  </si>
  <si>
    <t>HFWA US Equity</t>
  </si>
  <si>
    <t>RFH US Equity</t>
  </si>
  <si>
    <t>2993Q US Equity</t>
  </si>
  <si>
    <t>EWBC US Equity</t>
  </si>
  <si>
    <t>SXC US Equity</t>
  </si>
  <si>
    <t>Ann: 2000-10-31</t>
  </si>
  <si>
    <t>Ann: 2004-09-23</t>
  </si>
  <si>
    <t>Ann: 1999-07-30</t>
  </si>
  <si>
    <t>Ann: 2004-06-14</t>
  </si>
  <si>
    <t>Ann: 2006-02-09</t>
  </si>
  <si>
    <t>Ann: 2003-05-21</t>
  </si>
  <si>
    <t>Ann: 2004-02-25</t>
  </si>
  <si>
    <t>Ann: 2009-10-09</t>
  </si>
  <si>
    <t>Ann: 2011-01-26</t>
  </si>
  <si>
    <t>Ann: 2007-10-23</t>
  </si>
  <si>
    <t>Ann: 2006-04-24</t>
  </si>
  <si>
    <t>Ann: 1998-09-18</t>
  </si>
  <si>
    <t>Ann: 2014-01-06</t>
  </si>
  <si>
    <t>Ann: 2021-02-16</t>
  </si>
  <si>
    <t>Ann: 2010-12-09</t>
  </si>
  <si>
    <t>Ann: 2007-11-13</t>
  </si>
  <si>
    <t>Ann: 2007-08-07</t>
  </si>
  <si>
    <t>Ann: 2010-05-06</t>
  </si>
  <si>
    <t>Ann: 2022-04-14</t>
  </si>
  <si>
    <t>Ann: 2000-01-21</t>
  </si>
  <si>
    <t>Ann: 2013-08-30</t>
  </si>
  <si>
    <t>Ann: 2021-04-05</t>
  </si>
  <si>
    <t>Ann: 2000-06-30</t>
  </si>
  <si>
    <t>Ann: 1998-04-09</t>
  </si>
  <si>
    <t>Ann: 2002-12-23</t>
  </si>
  <si>
    <t>Ann: 2013-09-18</t>
  </si>
  <si>
    <t>Ann: 2009-06-25</t>
  </si>
  <si>
    <t>Ann: 2019-02-05</t>
  </si>
  <si>
    <t>Deal 2481</t>
  </si>
  <si>
    <t>Deal 2482</t>
  </si>
  <si>
    <t>Deal 2483</t>
  </si>
  <si>
    <t>Deal 2484</t>
  </si>
  <si>
    <t>Deal 2485</t>
  </si>
  <si>
    <t>Deal 2486</t>
  </si>
  <si>
    <t>Deal 2487</t>
  </si>
  <si>
    <t>Deal 2488</t>
  </si>
  <si>
    <t>Deal 2489</t>
  </si>
  <si>
    <t>Deal 2490</t>
  </si>
  <si>
    <t>Deal 2491</t>
  </si>
  <si>
    <t>Deal 2492</t>
  </si>
  <si>
    <t>Deal 2493</t>
  </si>
  <si>
    <t>Deal 2494</t>
  </si>
  <si>
    <t>Deal 2495</t>
  </si>
  <si>
    <t>Deal 2496</t>
  </si>
  <si>
    <t>Deal 2497</t>
  </si>
  <si>
    <t>Deal 2498</t>
  </si>
  <si>
    <t>Deal 2499</t>
  </si>
  <si>
    <t>Deal 2500</t>
  </si>
  <si>
    <t>Deal 2501</t>
  </si>
  <si>
    <t>Deal 2502</t>
  </si>
  <si>
    <t>Deal 2503</t>
  </si>
  <si>
    <t>Deal 2504</t>
  </si>
  <si>
    <t>Deal 2505</t>
  </si>
  <si>
    <t>Deal 2506</t>
  </si>
  <si>
    <t>Deal 2507</t>
  </si>
  <si>
    <t>Deal 2508</t>
  </si>
  <si>
    <t>Deal 2509</t>
  </si>
  <si>
    <t>Deal 2510</t>
  </si>
  <si>
    <t>Deal 2511</t>
  </si>
  <si>
    <t>Deal 2512</t>
  </si>
  <si>
    <t>Deal 2513</t>
  </si>
  <si>
    <t>Deal 2514</t>
  </si>
  <si>
    <t>Deal 2515</t>
  </si>
  <si>
    <t>Deal 2516</t>
  </si>
  <si>
    <t>Deal 2517</t>
  </si>
  <si>
    <t>Deal 2518</t>
  </si>
  <si>
    <t>Deal 2519</t>
  </si>
  <si>
    <t>Deal 2520</t>
  </si>
  <si>
    <t>FSCO US Equity</t>
  </si>
  <si>
    <t>2319518D US Equity</t>
  </si>
  <si>
    <t>MCO US Equity</t>
  </si>
  <si>
    <t>1742858D US Equity</t>
  </si>
  <si>
    <t>9749933D US Equity</t>
  </si>
  <si>
    <t>ESGR US Equity</t>
  </si>
  <si>
    <t>AXNT US Equity</t>
  </si>
  <si>
    <t>FPI US Equity</t>
  </si>
  <si>
    <t>TTEC US Equity</t>
  </si>
  <si>
    <t>RNST US Equity</t>
  </si>
  <si>
    <t>MOLX US Equity</t>
  </si>
  <si>
    <t>ELX US Equity</t>
  </si>
  <si>
    <t>STFC US Equity</t>
  </si>
  <si>
    <t>NHC US Equity</t>
  </si>
  <si>
    <t>CNOB US Equity</t>
  </si>
  <si>
    <t>PRA US Equity</t>
  </si>
  <si>
    <t>Ann: 2000-11-30</t>
  </si>
  <si>
    <t>Ann: 2014-01-27</t>
  </si>
  <si>
    <t>Ann: 2003-06-30</t>
  </si>
  <si>
    <t>Ann: 2002-04-24</t>
  </si>
  <si>
    <t>Ann: 2007-07-26</t>
  </si>
  <si>
    <t>Ann: 1998-02-25</t>
  </si>
  <si>
    <t>Ann: 1998-09-29</t>
  </si>
  <si>
    <t>Ann: 2015-10-07</t>
  </si>
  <si>
    <t>Ann: 2002-11-27</t>
  </si>
  <si>
    <t>Ann: 2000-02-16</t>
  </si>
  <si>
    <t>Ann: 2005-04-07</t>
  </si>
  <si>
    <t>Ann: 2016-08-11</t>
  </si>
  <si>
    <t>Ann: 1999-07-15</t>
  </si>
  <si>
    <t>Ann: 1997-12-01</t>
  </si>
  <si>
    <t>Ann: 2001-04-30</t>
  </si>
  <si>
    <t>Ann: 2000-02-28</t>
  </si>
  <si>
    <t>Ann: 2013-11-05</t>
  </si>
  <si>
    <t>Ann: 2007-10-01</t>
  </si>
  <si>
    <t>Ann: 2015-04-22</t>
  </si>
  <si>
    <t>Ann: 2014-12-10</t>
  </si>
  <si>
    <t>Ann: 2001-08-02</t>
  </si>
  <si>
    <t>Ann: 1998-07-23</t>
  </si>
  <si>
    <t>Ann: 2003-10-08</t>
  </si>
  <si>
    <t>Ann: 2002-11-07</t>
  </si>
  <si>
    <t>Ann: 1995-10-23</t>
  </si>
  <si>
    <t>Ann: 2007-06-04</t>
  </si>
  <si>
    <t>Ann: 2001-01-23</t>
  </si>
  <si>
    <t>Ann: 2014-01-21</t>
  </si>
  <si>
    <t>Deal 2521</t>
  </si>
  <si>
    <t>Deal 2522</t>
  </si>
  <si>
    <t>Deal 2523</t>
  </si>
  <si>
    <t>Deal 2524</t>
  </si>
  <si>
    <t>Deal 2525</t>
  </si>
  <si>
    <t>Deal 2526</t>
  </si>
  <si>
    <t>Deal 2527</t>
  </si>
  <si>
    <t>Deal 2528</t>
  </si>
  <si>
    <t>Deal 2529</t>
  </si>
  <si>
    <t>Deal 2530</t>
  </si>
  <si>
    <t>Deal 2531</t>
  </si>
  <si>
    <t>Deal 2532</t>
  </si>
  <si>
    <t>Deal 2533</t>
  </si>
  <si>
    <t>Deal 2534</t>
  </si>
  <si>
    <t>Deal 2535</t>
  </si>
  <si>
    <t>Deal 2536</t>
  </si>
  <si>
    <t>Deal 2537</t>
  </si>
  <si>
    <t>Deal 2538</t>
  </si>
  <si>
    <t>Deal 2539</t>
  </si>
  <si>
    <t>Deal 2540</t>
  </si>
  <si>
    <t>Deal 2541</t>
  </si>
  <si>
    <t>Deal 2542</t>
  </si>
  <si>
    <t>Deal 2543</t>
  </si>
  <si>
    <t>Deal 2544</t>
  </si>
  <si>
    <t>Deal 2545</t>
  </si>
  <si>
    <t>Deal 2546</t>
  </si>
  <si>
    <t>Deal 2547</t>
  </si>
  <si>
    <t>Deal 2548</t>
  </si>
  <si>
    <t>Deal 2549</t>
  </si>
  <si>
    <t>Deal 2550</t>
  </si>
  <si>
    <t>Deal 2551</t>
  </si>
  <si>
    <t>Deal 2552</t>
  </si>
  <si>
    <t>Deal 2553</t>
  </si>
  <si>
    <t>Deal 2554</t>
  </si>
  <si>
    <t>Deal 2555</t>
  </si>
  <si>
    <t>Deal 2556</t>
  </si>
  <si>
    <t>Deal 2557</t>
  </si>
  <si>
    <t>Deal 2558</t>
  </si>
  <si>
    <t>Deal 2559</t>
  </si>
  <si>
    <t>Deal 2560</t>
  </si>
  <si>
    <t>CTITQ US Equity</t>
  </si>
  <si>
    <t>VIAS US Equity</t>
  </si>
  <si>
    <t>LFGRQ US Equity</t>
  </si>
  <si>
    <t>345605Q US Equity</t>
  </si>
  <si>
    <t>UVSP US Equity</t>
  </si>
  <si>
    <t>SAH US Equity</t>
  </si>
  <si>
    <t>201998Q US Equity</t>
  </si>
  <si>
    <t>RCNI US Equity</t>
  </si>
  <si>
    <t>ORI US Equity</t>
  </si>
  <si>
    <t>PLCM US Equity</t>
  </si>
  <si>
    <t>WCG US Equity</t>
  </si>
  <si>
    <t>INAPQ US Equity</t>
  </si>
  <si>
    <t>ISLE US Equity</t>
  </si>
  <si>
    <t>RLR US Equity</t>
  </si>
  <si>
    <t>PRDO US Equity</t>
  </si>
  <si>
    <t>AVX US Equity</t>
  </si>
  <si>
    <t>BCR US Equity</t>
  </si>
  <si>
    <t>Ann: 2013-08-29</t>
  </si>
  <si>
    <t>Ann: 2012-04-04</t>
  </si>
  <si>
    <t>Ann: 2006-03-29</t>
  </si>
  <si>
    <t>Ann: 2004-06-01</t>
  </si>
  <si>
    <t>Ann: 2007-04-06</t>
  </si>
  <si>
    <t>Ann: 2014-07-02</t>
  </si>
  <si>
    <t>Ann: 2012-06-04</t>
  </si>
  <si>
    <t>Ann: 2012-05-29</t>
  </si>
  <si>
    <t>Ann: 1999-08-25</t>
  </si>
  <si>
    <t>Ann: 2010-04-26</t>
  </si>
  <si>
    <t>Ann: 1998-11-21</t>
  </si>
  <si>
    <t>Ann: 2007-06-25</t>
  </si>
  <si>
    <t>Ann: 2002-05-02</t>
  </si>
  <si>
    <t>Ann: 1999-03-19</t>
  </si>
  <si>
    <t>Ann: 2000-05-30</t>
  </si>
  <si>
    <t>Ann: 1999-10-06</t>
  </si>
  <si>
    <t>Ann: 2005-03-03</t>
  </si>
  <si>
    <t>Ann: 2022-03-02</t>
  </si>
  <si>
    <t>Ann: 1998-03-13</t>
  </si>
  <si>
    <t>Ann: 2000-02-01</t>
  </si>
  <si>
    <t>Ann: 1999-07-22</t>
  </si>
  <si>
    <t>Ann: 2003-03-26</t>
  </si>
  <si>
    <t>Ann: 2013-09-04</t>
  </si>
  <si>
    <t>Deal 2561</t>
  </si>
  <si>
    <t>Deal 2562</t>
  </si>
  <si>
    <t>Deal 2563</t>
  </si>
  <si>
    <t>Deal 2564</t>
  </si>
  <si>
    <t>Deal 2565</t>
  </si>
  <si>
    <t>Deal 2566</t>
  </si>
  <si>
    <t>Deal 2567</t>
  </si>
  <si>
    <t>Deal 2568</t>
  </si>
  <si>
    <t>Deal 2569</t>
  </si>
  <si>
    <t>Deal 2570</t>
  </si>
  <si>
    <t>Deal 2571</t>
  </si>
  <si>
    <t>Deal 2572</t>
  </si>
  <si>
    <t>Deal 2573</t>
  </si>
  <si>
    <t>Deal 2574</t>
  </si>
  <si>
    <t>Deal 2575</t>
  </si>
  <si>
    <t>Deal 2576</t>
  </si>
  <si>
    <t>Deal 2577</t>
  </si>
  <si>
    <t>Deal 2578</t>
  </si>
  <si>
    <t>Deal 2579</t>
  </si>
  <si>
    <t>Deal 2580</t>
  </si>
  <si>
    <t>Deal 2581</t>
  </si>
  <si>
    <t>Deal 2582</t>
  </si>
  <si>
    <t>Deal 2583</t>
  </si>
  <si>
    <t>Deal 2584</t>
  </si>
  <si>
    <t>Deal 2585</t>
  </si>
  <si>
    <t>Deal 2586</t>
  </si>
  <si>
    <t>Deal 2587</t>
  </si>
  <si>
    <t>Deal 2588</t>
  </si>
  <si>
    <t>Deal 2589</t>
  </si>
  <si>
    <t>Deal 2590</t>
  </si>
  <si>
    <t>Deal 2591</t>
  </si>
  <si>
    <t>Deal 2592</t>
  </si>
  <si>
    <t>Deal 2593</t>
  </si>
  <si>
    <t>Deal 2594</t>
  </si>
  <si>
    <t>Deal 2595</t>
  </si>
  <si>
    <t>Deal 2596</t>
  </si>
  <si>
    <t>Deal 2597</t>
  </si>
  <si>
    <t>Deal 2598</t>
  </si>
  <si>
    <t>Deal 2599</t>
  </si>
  <si>
    <t>Deal 2600</t>
  </si>
  <si>
    <t>MDCC US Equity</t>
  </si>
  <si>
    <t>2983744Q US Equity</t>
  </si>
  <si>
    <t>HIB US Equity</t>
  </si>
  <si>
    <t>BRKL US Equity</t>
  </si>
  <si>
    <t>NBTB US Equity</t>
  </si>
  <si>
    <t>ANCX US Equity</t>
  </si>
  <si>
    <t>VSAT US Equity</t>
  </si>
  <si>
    <t>FLIR US Equity</t>
  </si>
  <si>
    <t>TDS US Equity</t>
  </si>
  <si>
    <t>SNEX US Equity</t>
  </si>
  <si>
    <t>Ann: 2011-11-01</t>
  </si>
  <si>
    <t>Ann: 2013-10-21</t>
  </si>
  <si>
    <t>Ann: 1997-08-08</t>
  </si>
  <si>
    <t>Ann: 1999-11-29</t>
  </si>
  <si>
    <t>Ann: 2002-08-12</t>
  </si>
  <si>
    <t>Ann: 2003-08-05</t>
  </si>
  <si>
    <t>Ann: 1999-11-18</t>
  </si>
  <si>
    <t>Ann: 1998-12-15</t>
  </si>
  <si>
    <t>Ann: 2005-11-16</t>
  </si>
  <si>
    <t>Ann: 2017-02-17</t>
  </si>
  <si>
    <t>Ann: 2000-07-07</t>
  </si>
  <si>
    <t>Ann: 2008-01-31</t>
  </si>
  <si>
    <t>Ann: 2012-10-08</t>
  </si>
  <si>
    <t>Ann: 2010-09-01</t>
  </si>
  <si>
    <t>Ann: 2018-04-24</t>
  </si>
  <si>
    <t>Ann: 2017-02-06</t>
  </si>
  <si>
    <t>Ann: 2010-08-16</t>
  </si>
  <si>
    <t>Ann: 1998-09-14</t>
  </si>
  <si>
    <t>Ann: 1999-02-24</t>
  </si>
  <si>
    <t>Ann: 2003-12-19</t>
  </si>
  <si>
    <t>Ann: 2009-11-05</t>
  </si>
  <si>
    <t>Ann: 2014-02-10</t>
  </si>
  <si>
    <t>Deal 2601</t>
  </si>
  <si>
    <t>Deal 2602</t>
  </si>
  <si>
    <t>Deal 2603</t>
  </si>
  <si>
    <t>Deal 2604</t>
  </si>
  <si>
    <t>Deal 2605</t>
  </si>
  <si>
    <t>Deal 2606</t>
  </si>
  <si>
    <t>Deal 2607</t>
  </si>
  <si>
    <t>Deal 2608</t>
  </si>
  <si>
    <t>Deal 2609</t>
  </si>
  <si>
    <t>Deal 2610</t>
  </si>
  <si>
    <t>Deal 2611</t>
  </si>
  <si>
    <t>Deal 2612</t>
  </si>
  <si>
    <t>Deal 2613</t>
  </si>
  <si>
    <t>Deal 2614</t>
  </si>
  <si>
    <t>Deal 2615</t>
  </si>
  <si>
    <t>Deal 2616</t>
  </si>
  <si>
    <t>Deal 2617</t>
  </si>
  <si>
    <t>Deal 2618</t>
  </si>
  <si>
    <t>Deal 2619</t>
  </si>
  <si>
    <t>Deal 2620</t>
  </si>
  <si>
    <t>Deal 2621</t>
  </si>
  <si>
    <t>Deal 2622</t>
  </si>
  <si>
    <t>Deal 2623</t>
  </si>
  <si>
    <t>Deal 2624</t>
  </si>
  <si>
    <t>Deal 2625</t>
  </si>
  <si>
    <t>Deal 2626</t>
  </si>
  <si>
    <t>Deal 2627</t>
  </si>
  <si>
    <t>Deal 2628</t>
  </si>
  <si>
    <t>Deal 2629</t>
  </si>
  <si>
    <t>Deal 2630</t>
  </si>
  <si>
    <t>Deal 2631</t>
  </si>
  <si>
    <t>Deal 2632</t>
  </si>
  <si>
    <t>Deal 2633</t>
  </si>
  <si>
    <t>Deal 2634</t>
  </si>
  <si>
    <t>Deal 2635</t>
  </si>
  <si>
    <t>Deal 2636</t>
  </si>
  <si>
    <t>Deal 2637</t>
  </si>
  <si>
    <t>Deal 2638</t>
  </si>
  <si>
    <t>Deal 2639</t>
  </si>
  <si>
    <t>Deal 2640</t>
  </si>
  <si>
    <t>SYY US Equity</t>
  </si>
  <si>
    <t>FOXA US Equity</t>
  </si>
  <si>
    <t>BANC US Equity</t>
  </si>
  <si>
    <t>UNIZ US Equity</t>
  </si>
  <si>
    <t>9998522D US Equity</t>
  </si>
  <si>
    <t>68335Q US Equity</t>
  </si>
  <si>
    <t>HAS US Equity</t>
  </si>
  <si>
    <t>ZRAN US Equity</t>
  </si>
  <si>
    <t>MSSN US Equity</t>
  </si>
  <si>
    <t>EIG US Equity</t>
  </si>
  <si>
    <t>DRYS US Equity</t>
  </si>
  <si>
    <t>ANGO US Equity</t>
  </si>
  <si>
    <t>KEA US Equity</t>
  </si>
  <si>
    <t>CKFR US Equity</t>
  </si>
  <si>
    <t>CPTH US Equity</t>
  </si>
  <si>
    <t>1339658D US Equity</t>
  </si>
  <si>
    <t>CPNLQ US Equity</t>
  </si>
  <si>
    <t>1581410D US Equity</t>
  </si>
  <si>
    <t>BPFH US Equity</t>
  </si>
  <si>
    <t>WLMR US Equity</t>
  </si>
  <si>
    <t>Ann: 2000-08-03</t>
  </si>
  <si>
    <t>Ann: 2001-01-22</t>
  </si>
  <si>
    <t>Ann: 2001-06-13</t>
  </si>
  <si>
    <t>Ann: 1998-10-28</t>
  </si>
  <si>
    <t>Ann: 2021-03-22</t>
  </si>
  <si>
    <t>Ann: 2001-09-06</t>
  </si>
  <si>
    <t>Ann: 2016-10-10</t>
  </si>
  <si>
    <t>Ann: 1999-04-06</t>
  </si>
  <si>
    <t>Ann: 2007-02-22</t>
  </si>
  <si>
    <t>Ann: 2017-08-09</t>
  </si>
  <si>
    <t>Ann: 2007-05-16</t>
  </si>
  <si>
    <t>Ann: 2001-01-25</t>
  </si>
  <si>
    <t>Ann: 2008-01-10</t>
  </si>
  <si>
    <t>Ann: 1998-03-31</t>
  </si>
  <si>
    <t>Ann: 2006-11-28</t>
  </si>
  <si>
    <t>Ann: 2001-08-21</t>
  </si>
  <si>
    <t>Ann: 1998-07-29</t>
  </si>
  <si>
    <t>Ann: 2006-03-20</t>
  </si>
  <si>
    <t>Ann: 2014-07-31</t>
  </si>
  <si>
    <t>Ann: 2002-10-21</t>
  </si>
  <si>
    <t>Ann: 2005-04-19</t>
  </si>
  <si>
    <t>Deal 2641</t>
  </si>
  <si>
    <t>Deal 2642</t>
  </si>
  <si>
    <t>Deal 2643</t>
  </si>
  <si>
    <t>Deal 2644</t>
  </si>
  <si>
    <t>Deal 2645</t>
  </si>
  <si>
    <t>Deal 2646</t>
  </si>
  <si>
    <t>Deal 2647</t>
  </si>
  <si>
    <t>Deal 2648</t>
  </si>
  <si>
    <t>Deal 2649</t>
  </si>
  <si>
    <t>Deal 2650</t>
  </si>
  <si>
    <t>Deal 2651</t>
  </si>
  <si>
    <t>Deal 2652</t>
  </si>
  <si>
    <t>Deal 2653</t>
  </si>
  <si>
    <t>Deal 2654</t>
  </si>
  <si>
    <t>Deal 2655</t>
  </si>
  <si>
    <t>Deal 2656</t>
  </si>
  <si>
    <t>Deal 2657</t>
  </si>
  <si>
    <t>Deal 2658</t>
  </si>
  <si>
    <t>Deal 2659</t>
  </si>
  <si>
    <t>Deal 2660</t>
  </si>
  <si>
    <t>Deal 2661</t>
  </si>
  <si>
    <t>Deal 2662</t>
  </si>
  <si>
    <t>Deal 2663</t>
  </si>
  <si>
    <t>Deal 2664</t>
  </si>
  <si>
    <t>Deal 2665</t>
  </si>
  <si>
    <t>Deal 2666</t>
  </si>
  <si>
    <t>Deal 2667</t>
  </si>
  <si>
    <t>Deal 2668</t>
  </si>
  <si>
    <t>Deal 2669</t>
  </si>
  <si>
    <t>Deal 2670</t>
  </si>
  <si>
    <t>Deal 2671</t>
  </si>
  <si>
    <t>Deal 2672</t>
  </si>
  <si>
    <t>Deal 2673</t>
  </si>
  <si>
    <t>Deal 2674</t>
  </si>
  <si>
    <t>Deal 2675</t>
  </si>
  <si>
    <t>Deal 2676</t>
  </si>
  <si>
    <t>Deal 2677</t>
  </si>
  <si>
    <t>Deal 2678</t>
  </si>
  <si>
    <t>Deal 2679</t>
  </si>
  <si>
    <t>Deal 2680</t>
  </si>
  <si>
    <t>FCF US Equity</t>
  </si>
  <si>
    <t>1885807D US Equity</t>
  </si>
  <si>
    <t>DVERQ US Equity</t>
  </si>
  <si>
    <t>GMCR US Equity</t>
  </si>
  <si>
    <t>KW US Equity</t>
  </si>
  <si>
    <t>TIPT US Equity</t>
  </si>
  <si>
    <t>ITXG US Equity</t>
  </si>
  <si>
    <t>1723125D US Equity</t>
  </si>
  <si>
    <t>EVRC US Equity</t>
  </si>
  <si>
    <t>LPX US Equity</t>
  </si>
  <si>
    <t>IPCS US Equity</t>
  </si>
  <si>
    <t>CCS US Equity</t>
  </si>
  <si>
    <t>EXCO US Equity</t>
  </si>
  <si>
    <t>HDC US Equity</t>
  </si>
  <si>
    <t>DVW US Equity</t>
  </si>
  <si>
    <t>SYKE US Equity</t>
  </si>
  <si>
    <t>BONTQ US Equity</t>
  </si>
  <si>
    <t>STBA US Equity</t>
  </si>
  <si>
    <t>TTN US Equity</t>
  </si>
  <si>
    <t>Ann: 1999-12-02</t>
  </si>
  <si>
    <t>Ann: 1998-07-16</t>
  </si>
  <si>
    <t>Ann: 2002-07-02</t>
  </si>
  <si>
    <t>Ann: 2013-01-07</t>
  </si>
  <si>
    <t>Ann: 2019-04-30</t>
  </si>
  <si>
    <t>Ann: 2009-09-09</t>
  </si>
  <si>
    <t>Ann: 2014-08-12</t>
  </si>
  <si>
    <t>Ann: 1998-02-24</t>
  </si>
  <si>
    <t>Ann: 2020-12-14</t>
  </si>
  <si>
    <t>Ann: 2005-01-25</t>
  </si>
  <si>
    <t>Ann: 2007-01-10</t>
  </si>
  <si>
    <t>Ann: 2019-04-24</t>
  </si>
  <si>
    <t>Ann: 2017-04-11</t>
  </si>
  <si>
    <t>Ann: 2003-11-26</t>
  </si>
  <si>
    <t>Ann: 2018-02-09</t>
  </si>
  <si>
    <t>Ann: 2003-12-11</t>
  </si>
  <si>
    <t>Ann: 2000-06-16</t>
  </si>
  <si>
    <t>Ann: 2003-07-29</t>
  </si>
  <si>
    <t>Ann: 2019-06-05</t>
  </si>
  <si>
    <t>Deal 2681</t>
  </si>
  <si>
    <t>Deal 2682</t>
  </si>
  <si>
    <t>Deal 2683</t>
  </si>
  <si>
    <t>Deal 2684</t>
  </si>
  <si>
    <t>Deal 2685</t>
  </si>
  <si>
    <t>Deal 2686</t>
  </si>
  <si>
    <t>Deal 2687</t>
  </si>
  <si>
    <t>Deal 2688</t>
  </si>
  <si>
    <t>Deal 2689</t>
  </si>
  <si>
    <t>Deal 2690</t>
  </si>
  <si>
    <t>Deal 2691</t>
  </si>
  <si>
    <t>Deal 2692</t>
  </si>
  <si>
    <t>Deal 2693</t>
  </si>
  <si>
    <t>Deal 2694</t>
  </si>
  <si>
    <t>Deal 2695</t>
  </si>
  <si>
    <t>Deal 2696</t>
  </si>
  <si>
    <t>Deal 2697</t>
  </si>
  <si>
    <t>Deal 2698</t>
  </si>
  <si>
    <t>Deal 2699</t>
  </si>
  <si>
    <t>Deal 2700</t>
  </si>
  <si>
    <t>Deal 2701</t>
  </si>
  <si>
    <t>Deal 2702</t>
  </si>
  <si>
    <t>Deal 2703</t>
  </si>
  <si>
    <t>Deal 2704</t>
  </si>
  <si>
    <t>Deal 2705</t>
  </si>
  <si>
    <t>Deal 2706</t>
  </si>
  <si>
    <t>Deal 2707</t>
  </si>
  <si>
    <t>Deal 2708</t>
  </si>
  <si>
    <t>Deal 2709</t>
  </si>
  <si>
    <t>Deal 2710</t>
  </si>
  <si>
    <t>Deal 2711</t>
  </si>
  <si>
    <t>Deal 2712</t>
  </si>
  <si>
    <t>Deal 2713</t>
  </si>
  <si>
    <t>Deal 2714</t>
  </si>
  <si>
    <t>Deal 2715</t>
  </si>
  <si>
    <t>Deal 2716</t>
  </si>
  <si>
    <t>Deal 2717</t>
  </si>
  <si>
    <t>Deal 2718</t>
  </si>
  <si>
    <t>Deal 2719</t>
  </si>
  <si>
    <t>Deal 2720</t>
  </si>
  <si>
    <t>GFR US Equity</t>
  </si>
  <si>
    <t>QNTSQ US Equity</t>
  </si>
  <si>
    <t>BCSI US Equity</t>
  </si>
  <si>
    <t>RDNT US Equity</t>
  </si>
  <si>
    <t>GPUI US Equity</t>
  </si>
  <si>
    <t>EGL US Equity</t>
  </si>
  <si>
    <t>CMVT US Equity</t>
  </si>
  <si>
    <t>1718309D US Equity</t>
  </si>
  <si>
    <t>ECPG US Equity</t>
  </si>
  <si>
    <t>FLTWQ US Equity</t>
  </si>
  <si>
    <t>EXAR US Equity</t>
  </si>
  <si>
    <t>510639Q US Equity</t>
  </si>
  <si>
    <t>ORA US Equity</t>
  </si>
  <si>
    <t>SHLM US Equity</t>
  </si>
  <si>
    <t>PONE US Equity</t>
  </si>
  <si>
    <t>THG US Equity</t>
  </si>
  <si>
    <t>SFAM US Equity</t>
  </si>
  <si>
    <t>AXAS US Equity</t>
  </si>
  <si>
    <t>WSTL US Equity</t>
  </si>
  <si>
    <t>HTH US Equity</t>
  </si>
  <si>
    <t>FLWS US Equity</t>
  </si>
  <si>
    <t>CLRN US Equity</t>
  </si>
  <si>
    <t>Ann: 2005-07-14</t>
  </si>
  <si>
    <t>Ann: 2008-04-21</t>
  </si>
  <si>
    <t>Ann: 2006-07-07</t>
  </si>
  <si>
    <t>Ann: 1999-12-22</t>
  </si>
  <si>
    <t>Ann: 2007-07-20</t>
  </si>
  <si>
    <t>Ann: 2021-07-27</t>
  </si>
  <si>
    <t>Ann: 2016-01-05</t>
  </si>
  <si>
    <t>Ann: 2016-01-28</t>
  </si>
  <si>
    <t>Ann: 1999-07-12</t>
  </si>
  <si>
    <t>Ann: 2013-03-06</t>
  </si>
  <si>
    <t>Ann: 2000-06-07</t>
  </si>
  <si>
    <t>Ann: 2001-05-29</t>
  </si>
  <si>
    <t>Ann: 2008-05-12</t>
  </si>
  <si>
    <t>Ann: 2018-01-24</t>
  </si>
  <si>
    <t>Ann: 2009-12-03</t>
  </si>
  <si>
    <t>Ann: 2013-09-12</t>
  </si>
  <si>
    <t>Ann: 2000-06-09</t>
  </si>
  <si>
    <t>Ann: 1998-10-27</t>
  </si>
  <si>
    <t>Ann: 1998-11-19</t>
  </si>
  <si>
    <t>Ann: 2012-05-08</t>
  </si>
  <si>
    <t>Ann: 2014-01-10</t>
  </si>
  <si>
    <t>Ann: 2014-09-02</t>
  </si>
  <si>
    <t>Ann: 2000-05-02</t>
  </si>
  <si>
    <t>Deal 2721</t>
  </si>
  <si>
    <t>Deal 2722</t>
  </si>
  <si>
    <t>Deal 2723</t>
  </si>
  <si>
    <t>Deal 2724</t>
  </si>
  <si>
    <t>Deal 2725</t>
  </si>
  <si>
    <t>Deal 2726</t>
  </si>
  <si>
    <t>Deal 2727</t>
  </si>
  <si>
    <t>Deal 2728</t>
  </si>
  <si>
    <t>Deal 2729</t>
  </si>
  <si>
    <t>Deal 2730</t>
  </si>
  <si>
    <t>Deal 2731</t>
  </si>
  <si>
    <t>Deal 2732</t>
  </si>
  <si>
    <t>Deal 2733</t>
  </si>
  <si>
    <t>Deal 2734</t>
  </si>
  <si>
    <t>Deal 2735</t>
  </si>
  <si>
    <t>Deal 2736</t>
  </si>
  <si>
    <t>Deal 2737</t>
  </si>
  <si>
    <t>Deal 2738</t>
  </si>
  <si>
    <t>Deal 2739</t>
  </si>
  <si>
    <t>Deal 2740</t>
  </si>
  <si>
    <t>Deal 2741</t>
  </si>
  <si>
    <t>Deal 2742</t>
  </si>
  <si>
    <t>Deal 2743</t>
  </si>
  <si>
    <t>Deal 2744</t>
  </si>
  <si>
    <t>Deal 2745</t>
  </si>
  <si>
    <t>Deal 2746</t>
  </si>
  <si>
    <t>Deal 2747</t>
  </si>
  <si>
    <t>Deal 2748</t>
  </si>
  <si>
    <t>Deal 2749</t>
  </si>
  <si>
    <t>Deal 2750</t>
  </si>
  <si>
    <t>Deal 2751</t>
  </si>
  <si>
    <t>Deal 2752</t>
  </si>
  <si>
    <t>Deal 2753</t>
  </si>
  <si>
    <t>Deal 2754</t>
  </si>
  <si>
    <t>Deal 2755</t>
  </si>
  <si>
    <t>Deal 2756</t>
  </si>
  <si>
    <t>Deal 2757</t>
  </si>
  <si>
    <t>Deal 2758</t>
  </si>
  <si>
    <t>Deal 2759</t>
  </si>
  <si>
    <t>Deal 2760</t>
  </si>
  <si>
    <t>FHB US Equity</t>
  </si>
  <si>
    <t>NOVL US Equity</t>
  </si>
  <si>
    <t>WFRD US Equity</t>
  </si>
  <si>
    <t>KLIC US Equity</t>
  </si>
  <si>
    <t>HCKT US Equity</t>
  </si>
  <si>
    <t>JLG US Equity</t>
  </si>
  <si>
    <t>9996201D US Equity</t>
  </si>
  <si>
    <t>0758969D US Equity</t>
  </si>
  <si>
    <t>SRZ US Equity</t>
  </si>
  <si>
    <t>534689Q US Equity</t>
  </si>
  <si>
    <t>ADSK US Equity</t>
  </si>
  <si>
    <t>DMLP US Equity</t>
  </si>
  <si>
    <t>CYNO US Equity</t>
  </si>
  <si>
    <t>3546Q US Equity</t>
  </si>
  <si>
    <t>GON US Equity</t>
  </si>
  <si>
    <t>UFCS US Equity</t>
  </si>
  <si>
    <t>MIMOQ US Equity</t>
  </si>
  <si>
    <t>BBT US Equity</t>
  </si>
  <si>
    <t>CAZA US Equity</t>
  </si>
  <si>
    <t>BAGL US Equity</t>
  </si>
  <si>
    <t>1477687D US Equity</t>
  </si>
  <si>
    <t>Ann: 2016-09-27</t>
  </si>
  <si>
    <t>Ann: 1999-02-25</t>
  </si>
  <si>
    <t>Ann: 2001-03-12</t>
  </si>
  <si>
    <t>Ann: 2006-10-12</t>
  </si>
  <si>
    <t>Ann: 2000-10-12</t>
  </si>
  <si>
    <t>Ann: 1999-06-25</t>
  </si>
  <si>
    <t>Ann: 2014-12-12</t>
  </si>
  <si>
    <t>Ann: 2013-09-24</t>
  </si>
  <si>
    <t>Ann: 2008-05-01</t>
  </si>
  <si>
    <t>Ann: 2010-05-05</t>
  </si>
  <si>
    <t>Ann: 2013-03-18</t>
  </si>
  <si>
    <t>Ann: 2005-09-01</t>
  </si>
  <si>
    <t>Ann: 2010-11-30</t>
  </si>
  <si>
    <t>Ann: 2019-04-26</t>
  </si>
  <si>
    <t>Ann: 2018-12-11</t>
  </si>
  <si>
    <t>Ann: 2012-06-12</t>
  </si>
  <si>
    <t>Ann: 2001-06-04</t>
  </si>
  <si>
    <t>Ann: 2010-02-24</t>
  </si>
  <si>
    <t>Ann: 2004-06-25</t>
  </si>
  <si>
    <t>Deal 2761</t>
  </si>
  <si>
    <t>Deal 2762</t>
  </si>
  <si>
    <t>Deal 2763</t>
  </si>
  <si>
    <t>Deal 2764</t>
  </si>
  <si>
    <t>Deal 2765</t>
  </si>
  <si>
    <t>Deal 2766</t>
  </si>
  <si>
    <t>Deal 2767</t>
  </si>
  <si>
    <t>Deal 2768</t>
  </si>
  <si>
    <t>Deal 2769</t>
  </si>
  <si>
    <t>Deal 2770</t>
  </si>
  <si>
    <t>Deal 2771</t>
  </si>
  <si>
    <t>Deal 2772</t>
  </si>
  <si>
    <t>Deal 2773</t>
  </si>
  <si>
    <t>Deal 2774</t>
  </si>
  <si>
    <t>Deal 2775</t>
  </si>
  <si>
    <t>Deal 2776</t>
  </si>
  <si>
    <t>Deal 2777</t>
  </si>
  <si>
    <t>Deal 2778</t>
  </si>
  <si>
    <t>Deal 2779</t>
  </si>
  <si>
    <t>Deal 2780</t>
  </si>
  <si>
    <t>Deal 2781</t>
  </si>
  <si>
    <t>Deal 2782</t>
  </si>
  <si>
    <t>Deal 2783</t>
  </si>
  <si>
    <t>Deal 2784</t>
  </si>
  <si>
    <t>Deal 2785</t>
  </si>
  <si>
    <t>Deal 2786</t>
  </si>
  <si>
    <t>Deal 2787</t>
  </si>
  <si>
    <t>Deal 2788</t>
  </si>
  <si>
    <t>Deal 2789</t>
  </si>
  <si>
    <t>Deal 2790</t>
  </si>
  <si>
    <t>Deal 2791</t>
  </si>
  <si>
    <t>Deal 2792</t>
  </si>
  <si>
    <t>Deal 2793</t>
  </si>
  <si>
    <t>Deal 2794</t>
  </si>
  <si>
    <t>Deal 2795</t>
  </si>
  <si>
    <t>Deal 2796</t>
  </si>
  <si>
    <t>Deal 2797</t>
  </si>
  <si>
    <t>Deal 2798</t>
  </si>
  <si>
    <t>Deal 2799</t>
  </si>
  <si>
    <t>Deal 2800</t>
  </si>
  <si>
    <t>AN US Equity</t>
  </si>
  <si>
    <t>WAFD US Equity</t>
  </si>
  <si>
    <t>SNIC US Equity</t>
  </si>
  <si>
    <t>GBBK US Equity</t>
  </si>
  <si>
    <t>2898Q US Equity</t>
  </si>
  <si>
    <t>QTWWQ US Equity</t>
  </si>
  <si>
    <t>4107485Q US Equity</t>
  </si>
  <si>
    <t>RHP US Equity</t>
  </si>
  <si>
    <t>DFIB US Equity</t>
  </si>
  <si>
    <t>AHMH US Equity</t>
  </si>
  <si>
    <t>HTBK US Equity</t>
  </si>
  <si>
    <t>EGBN US Equity</t>
  </si>
  <si>
    <t>COWN US Equity</t>
  </si>
  <si>
    <t>OSIS US Equity</t>
  </si>
  <si>
    <t>BOBE US Equity</t>
  </si>
  <si>
    <t>CNVR US Equity</t>
  </si>
  <si>
    <t>DNA US Equity</t>
  </si>
  <si>
    <t>Ann: 1998-09-03</t>
  </si>
  <si>
    <t>Ann: 2010-06-02</t>
  </si>
  <si>
    <t>Ann: 2018-09-11</t>
  </si>
  <si>
    <t>Ann: 2004-11-23</t>
  </si>
  <si>
    <t>Ann: 1999-12-17</t>
  </si>
  <si>
    <t>Ann: 2019-05-16</t>
  </si>
  <si>
    <t>Ann: 2007-10-16</t>
  </si>
  <si>
    <t>Ann: 2004-09-22</t>
  </si>
  <si>
    <t>Ann: 2018-10-11</t>
  </si>
  <si>
    <t>Ann: 2014-12-15</t>
  </si>
  <si>
    <t>Ann: 2003-12-12</t>
  </si>
  <si>
    <t>Ann: 2011-02-17</t>
  </si>
  <si>
    <t>Ann: 2016-06-21</t>
  </si>
  <si>
    <t>Ann: 2005-08-11</t>
  </si>
  <si>
    <t>Deal 2801</t>
  </si>
  <si>
    <t>Deal 2802</t>
  </si>
  <si>
    <t>Deal 2803</t>
  </si>
  <si>
    <t>Deal 2804</t>
  </si>
  <si>
    <t>Deal 2805</t>
  </si>
  <si>
    <t>Deal 2806</t>
  </si>
  <si>
    <t>Deal 2807</t>
  </si>
  <si>
    <t>Deal 2808</t>
  </si>
  <si>
    <t>Deal 2809</t>
  </si>
  <si>
    <t>Deal 2810</t>
  </si>
  <si>
    <t>Deal 2811</t>
  </si>
  <si>
    <t>Deal 2812</t>
  </si>
  <si>
    <t>Deal 2813</t>
  </si>
  <si>
    <t>Deal 2814</t>
  </si>
  <si>
    <t>Deal 2815</t>
  </si>
  <si>
    <t>Deal 2816</t>
  </si>
  <si>
    <t>Deal 2817</t>
  </si>
  <si>
    <t>Deal 2818</t>
  </si>
  <si>
    <t>Deal 2819</t>
  </si>
  <si>
    <t>Deal 2820</t>
  </si>
  <si>
    <t>Deal 2821</t>
  </si>
  <si>
    <t>Deal 2822</t>
  </si>
  <si>
    <t>Deal 2823</t>
  </si>
  <si>
    <t>Deal 2824</t>
  </si>
  <si>
    <t>Deal 2825</t>
  </si>
  <si>
    <t>Deal 2826</t>
  </si>
  <si>
    <t>Deal 2827</t>
  </si>
  <si>
    <t>Deal 2828</t>
  </si>
  <si>
    <t>Deal 2829</t>
  </si>
  <si>
    <t>Deal 2830</t>
  </si>
  <si>
    <t>Deal 2831</t>
  </si>
  <si>
    <t>Deal 2832</t>
  </si>
  <si>
    <t>Deal 2833</t>
  </si>
  <si>
    <t>Deal 2834</t>
  </si>
  <si>
    <t>Deal 2835</t>
  </si>
  <si>
    <t>Deal 2836</t>
  </si>
  <si>
    <t>Deal 2837</t>
  </si>
  <si>
    <t>Deal 2838</t>
  </si>
  <si>
    <t>Deal 2839</t>
  </si>
  <si>
    <t>Deal 2840</t>
  </si>
  <si>
    <t>XRIT US Equity</t>
  </si>
  <si>
    <t>1850242D US Equity</t>
  </si>
  <si>
    <t>UBSN SW Equity</t>
  </si>
  <si>
    <t>ELGXQ US Equity</t>
  </si>
  <si>
    <t>PFLT US Equity</t>
  </si>
  <si>
    <t>62553Q US Equity</t>
  </si>
  <si>
    <t>2761917Q US Equity</t>
  </si>
  <si>
    <t>OMEF US Equity</t>
  </si>
  <si>
    <t>DE US Equity</t>
  </si>
  <si>
    <t>MYL US Equity</t>
  </si>
  <si>
    <t>SLRC US Equity</t>
  </si>
  <si>
    <t>WLY US Equity</t>
  </si>
  <si>
    <t>UCBHQ US Equity</t>
  </si>
  <si>
    <t>CARO US Equity</t>
  </si>
  <si>
    <t>1947467D US Equity</t>
  </si>
  <si>
    <t>NEQSQ US Equity</t>
  </si>
  <si>
    <t>COEP US Equity</t>
  </si>
  <si>
    <t>STNR US Equity</t>
  </si>
  <si>
    <t>CBRL US Equity</t>
  </si>
  <si>
    <t>PERFQ US Equity</t>
  </si>
  <si>
    <t>CMCO US Equity</t>
  </si>
  <si>
    <t>597946Q US Equity</t>
  </si>
  <si>
    <t>Ann: 2007-08-23</t>
  </si>
  <si>
    <t>Ann: 2020-03-09</t>
  </si>
  <si>
    <t>Ann: 2008-03-20</t>
  </si>
  <si>
    <t>Ann: 2015-04-29</t>
  </si>
  <si>
    <t>Ann: 1998-03-23</t>
  </si>
  <si>
    <t>Ann: 2007-08-06</t>
  </si>
  <si>
    <t>Ann: 2006-05-22</t>
  </si>
  <si>
    <t>Ann: 2004-04-20</t>
  </si>
  <si>
    <t>Ann: 2008-05-29</t>
  </si>
  <si>
    <t>Ann: 2003-08-25</t>
  </si>
  <si>
    <t>Ann: 2021-12-02</t>
  </si>
  <si>
    <t>Ann: 2002-08-19</t>
  </si>
  <si>
    <t>Ann: 2002-06-27</t>
  </si>
  <si>
    <t>Ann: 2010-11-16</t>
  </si>
  <si>
    <t>Ann: 2010-02-03</t>
  </si>
  <si>
    <t>Ann: 2004-04-29</t>
  </si>
  <si>
    <t>Ann: 2017-06-12</t>
  </si>
  <si>
    <t>Ann: 1999-12-09</t>
  </si>
  <si>
    <t>Ann: 2011-10-17</t>
  </si>
  <si>
    <t>Ann: 1998-12-11</t>
  </si>
  <si>
    <t>Ann: 2011-12-23</t>
  </si>
  <si>
    <t>Ann: 2015-07-27</t>
  </si>
  <si>
    <t>Ann: 1999-07-16</t>
  </si>
  <si>
    <t>Ann: 2019-02-21</t>
  </si>
  <si>
    <t>Ann: 2017-04-17</t>
  </si>
  <si>
    <t>Deal 2841</t>
  </si>
  <si>
    <t>Deal 2842</t>
  </si>
  <si>
    <t>Deal 2843</t>
  </si>
  <si>
    <t>Deal 2844</t>
  </si>
  <si>
    <t>Deal 2845</t>
  </si>
  <si>
    <t>Deal 2846</t>
  </si>
  <si>
    <t>Deal 2847</t>
  </si>
  <si>
    <t>Deal 2848</t>
  </si>
  <si>
    <t>Deal 2849</t>
  </si>
  <si>
    <t>Deal 2850</t>
  </si>
  <si>
    <t>Deal 2851</t>
  </si>
  <si>
    <t>Deal 2852</t>
  </si>
  <si>
    <t>Deal 2853</t>
  </si>
  <si>
    <t>Deal 2854</t>
  </si>
  <si>
    <t>Deal 2855</t>
  </si>
  <si>
    <t>Deal 2856</t>
  </si>
  <si>
    <t>Deal 2857</t>
  </si>
  <si>
    <t>Deal 2858</t>
  </si>
  <si>
    <t>Deal 2859</t>
  </si>
  <si>
    <t>Deal 2860</t>
  </si>
  <si>
    <t>Deal 2861</t>
  </si>
  <si>
    <t>Deal 2862</t>
  </si>
  <si>
    <t>Deal 2863</t>
  </si>
  <si>
    <t>Deal 2864</t>
  </si>
  <si>
    <t>Deal 2865</t>
  </si>
  <si>
    <t>Deal 2866</t>
  </si>
  <si>
    <t>Deal 2867</t>
  </si>
  <si>
    <t>Deal 2868</t>
  </si>
  <si>
    <t>Deal 2869</t>
  </si>
  <si>
    <t>Deal 2870</t>
  </si>
  <si>
    <t>Deal 2871</t>
  </si>
  <si>
    <t>Deal 2872</t>
  </si>
  <si>
    <t>Deal 2873</t>
  </si>
  <si>
    <t>Deal 2874</t>
  </si>
  <si>
    <t>Deal 2875</t>
  </si>
  <si>
    <t>Deal 2876</t>
  </si>
  <si>
    <t>Deal 2877</t>
  </si>
  <si>
    <t>Deal 2878</t>
  </si>
  <si>
    <t>Deal 2879</t>
  </si>
  <si>
    <t>Deal 2880</t>
  </si>
  <si>
    <t>MSBI US Equity</t>
  </si>
  <si>
    <t>1498499D US Equity</t>
  </si>
  <si>
    <t>UGS US Equity</t>
  </si>
  <si>
    <t>3059Q US Equity</t>
  </si>
  <si>
    <t>RSFC US Equity</t>
  </si>
  <si>
    <t>DAVLE US Equity</t>
  </si>
  <si>
    <t>894800Q US Equity</t>
  </si>
  <si>
    <t>KO US Equity</t>
  </si>
  <si>
    <t>ARW US Equity</t>
  </si>
  <si>
    <t>OCLR US Equity</t>
  </si>
  <si>
    <t>2569244D US Equity</t>
  </si>
  <si>
    <t>DXLG US Equity</t>
  </si>
  <si>
    <t>NVDA US Equity</t>
  </si>
  <si>
    <t>MIDD US Equity</t>
  </si>
  <si>
    <t>Ann: 2001-06-28</t>
  </si>
  <si>
    <t>Ann: 2017-01-26</t>
  </si>
  <si>
    <t>Ann: 2015-12-17</t>
  </si>
  <si>
    <t>Ann: 1999-10-12</t>
  </si>
  <si>
    <t>Ann: 1998-04-17</t>
  </si>
  <si>
    <t>Ann: 1998-05-28</t>
  </si>
  <si>
    <t>Ann: 1998-07-06</t>
  </si>
  <si>
    <t>Ann: 2005-06-23</t>
  </si>
  <si>
    <t>Ann: 2003-04-07</t>
  </si>
  <si>
    <t>Ann: 2001-04-20</t>
  </si>
  <si>
    <t>Ann: 2000-01-31</t>
  </si>
  <si>
    <t>Ann: 2007-01-02</t>
  </si>
  <si>
    <t>Ann: 2015-11-20</t>
  </si>
  <si>
    <t>Ann: 1999-04-29</t>
  </si>
  <si>
    <t>Ann: 2001-10-30</t>
  </si>
  <si>
    <t>Ann: 2015-11-19</t>
  </si>
  <si>
    <t>Ann: 2001-07-17</t>
  </si>
  <si>
    <t>Ann: 2002-09-11</t>
  </si>
  <si>
    <t>Ann: 2017-08-14</t>
  </si>
  <si>
    <t>Ann: 2012-03-26</t>
  </si>
  <si>
    <t>Ann: 2000-07-11</t>
  </si>
  <si>
    <t>Ann: 1995-02-07</t>
  </si>
  <si>
    <t>Ann: 2014-09-03</t>
  </si>
  <si>
    <t>Ann: 1998-04-01</t>
  </si>
  <si>
    <t>Ann: 2001-02-13</t>
  </si>
  <si>
    <t>Ann: 2014-01-08</t>
  </si>
  <si>
    <t>Deal 2881</t>
  </si>
  <si>
    <t>Deal 2882</t>
  </si>
  <si>
    <t>Deal 2883</t>
  </si>
  <si>
    <t>Deal 2884</t>
  </si>
  <si>
    <t>Deal 2885</t>
  </si>
  <si>
    <t>Deal 2886</t>
  </si>
  <si>
    <t>Deal 2887</t>
  </si>
  <si>
    <t>Deal 2888</t>
  </si>
  <si>
    <t>Deal 2889</t>
  </si>
  <si>
    <t>Deal 2890</t>
  </si>
  <si>
    <t>Deal 2891</t>
  </si>
  <si>
    <t>Deal 2892</t>
  </si>
  <si>
    <t>Deal 2893</t>
  </si>
  <si>
    <t>Deal 2894</t>
  </si>
  <si>
    <t>Deal 2895</t>
  </si>
  <si>
    <t>Deal 2896</t>
  </si>
  <si>
    <t>Deal 2897</t>
  </si>
  <si>
    <t>Deal 2898</t>
  </si>
  <si>
    <t>Deal 2899</t>
  </si>
  <si>
    <t>Deal 2900</t>
  </si>
  <si>
    <t>Deal 2901</t>
  </si>
  <si>
    <t>Deal 2902</t>
  </si>
  <si>
    <t>Deal 2903</t>
  </si>
  <si>
    <t>Deal 2904</t>
  </si>
  <si>
    <t>Deal 2905</t>
  </si>
  <si>
    <t>Deal 2906</t>
  </si>
  <si>
    <t>Deal 2907</t>
  </si>
  <si>
    <t>Deal 2908</t>
  </si>
  <si>
    <t>Deal 2909</t>
  </si>
  <si>
    <t>Deal 2910</t>
  </si>
  <si>
    <t>Deal 2911</t>
  </si>
  <si>
    <t>Deal 2912</t>
  </si>
  <si>
    <t>Deal 2913</t>
  </si>
  <si>
    <t>Deal 2914</t>
  </si>
  <si>
    <t>Deal 2915</t>
  </si>
  <si>
    <t>Deal 2916</t>
  </si>
  <si>
    <t>Deal 2917</t>
  </si>
  <si>
    <t>Deal 2918</t>
  </si>
  <si>
    <t>Deal 2919</t>
  </si>
  <si>
    <t>Deal 2920</t>
  </si>
  <si>
    <t>FNSR US Equity</t>
  </si>
  <si>
    <t>SCS US Equity</t>
  </si>
  <si>
    <t>HNBC US Equity</t>
  </si>
  <si>
    <t>8184843Q US Equity</t>
  </si>
  <si>
    <t>8206908Q US Equity</t>
  </si>
  <si>
    <t>1492800D US Equity</t>
  </si>
  <si>
    <t>1916526D US Equity</t>
  </si>
  <si>
    <t>WTNY US Equity</t>
  </si>
  <si>
    <t>GCO US Equity</t>
  </si>
  <si>
    <t>1526901D US Equity</t>
  </si>
  <si>
    <t>CTXS US Equity</t>
  </si>
  <si>
    <t>HOUS US Equity</t>
  </si>
  <si>
    <t>1523873D US Equity</t>
  </si>
  <si>
    <t>RYZ US Equity</t>
  </si>
  <si>
    <t>TIPTL US Equity</t>
  </si>
  <si>
    <t>BTFG US Equity</t>
  </si>
  <si>
    <t>SWKS US Equity</t>
  </si>
  <si>
    <t>ALTR US Equity</t>
  </si>
  <si>
    <t>0948669D US Equity</t>
  </si>
  <si>
    <t>Ann: 2008-05-16</t>
  </si>
  <si>
    <t>Ann: 2009-07-02</t>
  </si>
  <si>
    <t>Ann: 2001-08-27</t>
  </si>
  <si>
    <t>Ann: 2012-04-16</t>
  </si>
  <si>
    <t>Ann: 2006-09-14</t>
  </si>
  <si>
    <t>Ann: 2008-05-21</t>
  </si>
  <si>
    <t>Ann: 2006-02-16</t>
  </si>
  <si>
    <t>Ann: 2007-01-25</t>
  </si>
  <si>
    <t>Ann: 2003-08-28</t>
  </si>
  <si>
    <t>Ann: 2007-11-02</t>
  </si>
  <si>
    <t>Ann: 2005-11-14</t>
  </si>
  <si>
    <t>Ann: 2000-08-31</t>
  </si>
  <si>
    <t>Ann: 2007-05-13</t>
  </si>
  <si>
    <t>Ann: 1998-05-08</t>
  </si>
  <si>
    <t>Ann: 2015-02-03</t>
  </si>
  <si>
    <t>Ann: 2018-06-05</t>
  </si>
  <si>
    <t>Ann: 2010-03-16</t>
  </si>
  <si>
    <t>Ann: 2002-05-08</t>
  </si>
  <si>
    <t>Ann: 2019-08-09</t>
  </si>
  <si>
    <t>Ann: 2018-11-05</t>
  </si>
  <si>
    <t>Deal 2921</t>
  </si>
  <si>
    <t>Deal 2922</t>
  </si>
  <si>
    <t>Deal 2923</t>
  </si>
  <si>
    <t>Deal 2924</t>
  </si>
  <si>
    <t>Deal 2925</t>
  </si>
  <si>
    <t>Deal 2926</t>
  </si>
  <si>
    <t>Deal 2927</t>
  </si>
  <si>
    <t>Deal 2928</t>
  </si>
  <si>
    <t>Deal 2929</t>
  </si>
  <si>
    <t>Deal 2930</t>
  </si>
  <si>
    <t>Deal 2931</t>
  </si>
  <si>
    <t>Deal 2932</t>
  </si>
  <si>
    <t>Deal 2933</t>
  </si>
  <si>
    <t>Deal 2934</t>
  </si>
  <si>
    <t>Deal 2935</t>
  </si>
  <si>
    <t>Deal 2936</t>
  </si>
  <si>
    <t>Deal 2937</t>
  </si>
  <si>
    <t>Deal 2938</t>
  </si>
  <si>
    <t>Deal 2939</t>
  </si>
  <si>
    <t>Deal 2940</t>
  </si>
  <si>
    <t>Deal 2941</t>
  </si>
  <si>
    <t>Deal 2942</t>
  </si>
  <si>
    <t>Deal 2943</t>
  </si>
  <si>
    <t>Deal 2944</t>
  </si>
  <si>
    <t>Deal 2945</t>
  </si>
  <si>
    <t>Deal 2946</t>
  </si>
  <si>
    <t>Deal 2947</t>
  </si>
  <si>
    <t>Deal 2948</t>
  </si>
  <si>
    <t>Deal 2949</t>
  </si>
  <si>
    <t>Deal 2950</t>
  </si>
  <si>
    <t>Deal 2951</t>
  </si>
  <si>
    <t>Deal 2952</t>
  </si>
  <si>
    <t>Deal 2953</t>
  </si>
  <si>
    <t>Deal 2954</t>
  </si>
  <si>
    <t>Deal 2955</t>
  </si>
  <si>
    <t>Deal 2956</t>
  </si>
  <si>
    <t>Deal 2957</t>
  </si>
  <si>
    <t>Deal 2958</t>
  </si>
  <si>
    <t>Deal 2959</t>
  </si>
  <si>
    <t>Deal 2960</t>
  </si>
  <si>
    <t>2537769D US Equity</t>
  </si>
  <si>
    <t>MBWM US Equity</t>
  </si>
  <si>
    <t>BOOT IN Equity</t>
  </si>
  <si>
    <t>PRGO US Equity</t>
  </si>
  <si>
    <t>PFIS US Equity</t>
  </si>
  <si>
    <t>WYPT US Equity</t>
  </si>
  <si>
    <t>2724037Q US Equity</t>
  </si>
  <si>
    <t>BRBS US Equity</t>
  </si>
  <si>
    <t>CECO US Equity</t>
  </si>
  <si>
    <t>RLJE US Equity</t>
  </si>
  <si>
    <t>RPR US Equity</t>
  </si>
  <si>
    <t>NL US Equity</t>
  </si>
  <si>
    <t>BKS US Equity</t>
  </si>
  <si>
    <t>IART US Equity</t>
  </si>
  <si>
    <t>MTRM US Equity</t>
  </si>
  <si>
    <t>ACTA US Equity</t>
  </si>
  <si>
    <t>REGN US Equity</t>
  </si>
  <si>
    <t>14394Z US Equity</t>
  </si>
  <si>
    <t>MENT US Equity</t>
  </si>
  <si>
    <t>GVCM US Equity</t>
  </si>
  <si>
    <t>Ann: 2003-01-13</t>
  </si>
  <si>
    <t>Ann: 2009-09-08</t>
  </si>
  <si>
    <t>Ann: 1999-06-10</t>
  </si>
  <si>
    <t>Ann: 2010-11-24</t>
  </si>
  <si>
    <t>Ann: 2013-02-01</t>
  </si>
  <si>
    <t>Ann: 2013-06-28</t>
  </si>
  <si>
    <t>Ann: 2000-03-28</t>
  </si>
  <si>
    <t>Ann: 2001-09-20</t>
  </si>
  <si>
    <t>Ann: 1998-06-01</t>
  </si>
  <si>
    <t>Ann: 2020-08-13</t>
  </si>
  <si>
    <t>Ann: 2001-12-17</t>
  </si>
  <si>
    <t>Ann: 2013-04-22</t>
  </si>
  <si>
    <t>Ann: 2012-04-02</t>
  </si>
  <si>
    <t>Ann: 1995-11-22</t>
  </si>
  <si>
    <t>Ann: 2002-05-07</t>
  </si>
  <si>
    <t>Ann: 2015-09-02</t>
  </si>
  <si>
    <t>Ann: 2004-09-24</t>
  </si>
  <si>
    <t>Ann: 2008-03-19</t>
  </si>
  <si>
    <t>Ann: 2015-10-29</t>
  </si>
  <si>
    <t>Ann: 2002-04-11</t>
  </si>
  <si>
    <t>Ann: 2005-09-06</t>
  </si>
  <si>
    <t>Ann: 1999-06-08</t>
  </si>
  <si>
    <t>Ann: 1997-12-18</t>
  </si>
  <si>
    <t>Ann: 2002-04-23</t>
  </si>
  <si>
    <t>Ann: 2001-04-09</t>
  </si>
  <si>
    <t>Ann: 2006-09-06</t>
  </si>
  <si>
    <t>Deal 2961</t>
  </si>
  <si>
    <t>Deal 2962</t>
  </si>
  <si>
    <t>Deal 2963</t>
  </si>
  <si>
    <t>Deal 2964</t>
  </si>
  <si>
    <t>Deal 2965</t>
  </si>
  <si>
    <t>Deal 2966</t>
  </si>
  <si>
    <t>Deal 2967</t>
  </si>
  <si>
    <t>Deal 2968</t>
  </si>
  <si>
    <t>Deal 2969</t>
  </si>
  <si>
    <t>Deal 2970</t>
  </si>
  <si>
    <t>Deal 2971</t>
  </si>
  <si>
    <t>Deal 2972</t>
  </si>
  <si>
    <t>Deal 2973</t>
  </si>
  <si>
    <t>Deal 2974</t>
  </si>
  <si>
    <t>Deal 2975</t>
  </si>
  <si>
    <t>Deal 2976</t>
  </si>
  <si>
    <t>Deal 2977</t>
  </si>
  <si>
    <t>Deal 2978</t>
  </si>
  <si>
    <t>Deal 2979</t>
  </si>
  <si>
    <t>Deal 2980</t>
  </si>
  <si>
    <t>Deal 2981</t>
  </si>
  <si>
    <t>Deal 2982</t>
  </si>
  <si>
    <t>Deal 2983</t>
  </si>
  <si>
    <t>Deal 2984</t>
  </si>
  <si>
    <t>Deal 2985</t>
  </si>
  <si>
    <t>Deal 2986</t>
  </si>
  <si>
    <t>Deal 2987</t>
  </si>
  <si>
    <t>Deal 2988</t>
  </si>
  <si>
    <t>Deal 2989</t>
  </si>
  <si>
    <t>Deal 2990</t>
  </si>
  <si>
    <t>Deal 2991</t>
  </si>
  <si>
    <t>Deal 2992</t>
  </si>
  <si>
    <t>Deal 2993</t>
  </si>
  <si>
    <t>Deal 2994</t>
  </si>
  <si>
    <t>Deal 2995</t>
  </si>
  <si>
    <t>Deal 2996</t>
  </si>
  <si>
    <t>Deal 2997</t>
  </si>
  <si>
    <t>Deal 2998</t>
  </si>
  <si>
    <t>Deal 2999</t>
  </si>
  <si>
    <t>Deal 3000</t>
  </si>
  <si>
    <t>CMS US Equity</t>
  </si>
  <si>
    <t>THEGQ US Equity</t>
  </si>
  <si>
    <t>HRBT US Equity</t>
  </si>
  <si>
    <t>IBKC US Equity</t>
  </si>
  <si>
    <t>MTSN US Equity</t>
  </si>
  <si>
    <t>UNBJ US Equity</t>
  </si>
  <si>
    <t>3023927Q US Equity</t>
  </si>
  <si>
    <t>4131117Q US Equity</t>
  </si>
  <si>
    <t>NTBKQ US Equity</t>
  </si>
  <si>
    <t>MOGN US Equity</t>
  </si>
  <si>
    <t>CBC US Equity</t>
  </si>
  <si>
    <t>ABCWQ US Equity</t>
  </si>
  <si>
    <t>BNCN US Equity</t>
  </si>
  <si>
    <t>CRLL US Equity</t>
  </si>
  <si>
    <t>DY US Equity</t>
  </si>
  <si>
    <t>3537Q US Equity</t>
  </si>
  <si>
    <t>DVXE US Equity</t>
  </si>
  <si>
    <t>CNXC US Equity</t>
  </si>
  <si>
    <t>WFBC US Equity</t>
  </si>
  <si>
    <t>1551989D US Equity</t>
  </si>
  <si>
    <t>EASY US Equity</t>
  </si>
  <si>
    <t>EFII US Equity</t>
  </si>
  <si>
    <t>CACB US Equity</t>
  </si>
  <si>
    <t>Ann: 2004-01-21</t>
  </si>
  <si>
    <t>Ann: 2000-11-24</t>
  </si>
  <si>
    <t>Ann: 2014-01-13</t>
  </si>
  <si>
    <t>Ann: 2014-07-17</t>
  </si>
  <si>
    <t>Ann: 2007-09-10</t>
  </si>
  <si>
    <t>Ann: 2014-10-30</t>
  </si>
  <si>
    <t>Ann: 2001-11-20</t>
  </si>
  <si>
    <t>Ann: 2019-04-10</t>
  </si>
  <si>
    <t>Ann: 1999-01-05</t>
  </si>
  <si>
    <t>Ann: 2001-04-10</t>
  </si>
  <si>
    <t>Ann: 2000-10-06</t>
  </si>
  <si>
    <t>Ann: 2008-04-08</t>
  </si>
  <si>
    <t>Ann: 2002-01-07</t>
  </si>
  <si>
    <t>Ann: 1999-08-06</t>
  </si>
  <si>
    <t>Ann: 1995-09-21</t>
  </si>
  <si>
    <t>Ann: 2022-05-09</t>
  </si>
  <si>
    <t>Ann: 2000-08-29</t>
  </si>
  <si>
    <t>Ann: 2005-01-20</t>
  </si>
  <si>
    <t>Ann: 2017-11-08</t>
  </si>
  <si>
    <t>Ann: 2000-06-02</t>
  </si>
  <si>
    <t>Ann: 2003-05-16</t>
  </si>
  <si>
    <t>Ann: 2017-11-17</t>
  </si>
  <si>
    <t>Ann: 2007-01-18</t>
  </si>
  <si>
    <t>Deal 3001</t>
  </si>
  <si>
    <t>Deal 3002</t>
  </si>
  <si>
    <t>Deal 3003</t>
  </si>
  <si>
    <t>Deal 3004</t>
  </si>
  <si>
    <t>Deal 3005</t>
  </si>
  <si>
    <t>Deal 3006</t>
  </si>
  <si>
    <t>Deal 3007</t>
  </si>
  <si>
    <t>Deal 3008</t>
  </si>
  <si>
    <t>Deal 3009</t>
  </si>
  <si>
    <t>Deal 3010</t>
  </si>
  <si>
    <t>Deal 3011</t>
  </si>
  <si>
    <t>Deal 3012</t>
  </si>
  <si>
    <t>Deal 3013</t>
  </si>
  <si>
    <t>Deal 3014</t>
  </si>
  <si>
    <t>Deal 3015</t>
  </si>
  <si>
    <t>Deal 3016</t>
  </si>
  <si>
    <t>Deal 3017</t>
  </si>
  <si>
    <t>Deal 3018</t>
  </si>
  <si>
    <t>Deal 3019</t>
  </si>
  <si>
    <t>Deal 3020</t>
  </si>
  <si>
    <t>Deal 3021</t>
  </si>
  <si>
    <t>Deal 3022</t>
  </si>
  <si>
    <t>Deal 3023</t>
  </si>
  <si>
    <t>Deal 3024</t>
  </si>
  <si>
    <t>Deal 3025</t>
  </si>
  <si>
    <t>Deal 3026</t>
  </si>
  <si>
    <t>Deal 3027</t>
  </si>
  <si>
    <t>Deal 3028</t>
  </si>
  <si>
    <t>Deal 3029</t>
  </si>
  <si>
    <t>Deal 3030</t>
  </si>
  <si>
    <t>Deal 3031</t>
  </si>
  <si>
    <t>Deal 3032</t>
  </si>
  <si>
    <t>Deal 3033</t>
  </si>
  <si>
    <t>Deal 3034</t>
  </si>
  <si>
    <t>Deal 3035</t>
  </si>
  <si>
    <t>Deal 3036</t>
  </si>
  <si>
    <t>Deal 3037</t>
  </si>
  <si>
    <t>Deal 3038</t>
  </si>
  <si>
    <t>Deal 3039</t>
  </si>
  <si>
    <t>Deal 3040</t>
  </si>
  <si>
    <t>CEIN US Equity</t>
  </si>
  <si>
    <t>PLAB US Equity</t>
  </si>
  <si>
    <t>2676187Q US Equity</t>
  </si>
  <si>
    <t>KMAGQ US Equity</t>
  </si>
  <si>
    <t>XCRA US Equity</t>
  </si>
  <si>
    <t>FCPR US Equity</t>
  </si>
  <si>
    <t>1894768D US Equity</t>
  </si>
  <si>
    <t>3354388Q US Equity</t>
  </si>
  <si>
    <t>FOR US Equity</t>
  </si>
  <si>
    <t>WAXS US Equity</t>
  </si>
  <si>
    <t>FCGI US Equity</t>
  </si>
  <si>
    <t>FCBN US Equity</t>
  </si>
  <si>
    <t>1073675D US Equity</t>
  </si>
  <si>
    <t>SCFS US Equity</t>
  </si>
  <si>
    <t>FLO US Equity</t>
  </si>
  <si>
    <t>IWOV US Equity</t>
  </si>
  <si>
    <t>AMFH US Equity</t>
  </si>
  <si>
    <t>HSP US Equity</t>
  </si>
  <si>
    <t>BHB US Equity</t>
  </si>
  <si>
    <t>CVC US Equity</t>
  </si>
  <si>
    <t>1321686D US Equity</t>
  </si>
  <si>
    <t>PATK US Equity</t>
  </si>
  <si>
    <t>JH US Equity</t>
  </si>
  <si>
    <t>Ann: 2020-12-24</t>
  </si>
  <si>
    <t>Ann: 2003-12-18</t>
  </si>
  <si>
    <t>Ann: 1998-02-04</t>
  </si>
  <si>
    <t>Ann: 2004-03-16</t>
  </si>
  <si>
    <t>Ann: 2000-04-26</t>
  </si>
  <si>
    <t>Ann: 2001-08-16</t>
  </si>
  <si>
    <t>Ann: 2016-07-13</t>
  </si>
  <si>
    <t>Ann: 1998-06-04</t>
  </si>
  <si>
    <t>Ann: 2002-02-27</t>
  </si>
  <si>
    <t>Ann: 1998-09-09</t>
  </si>
  <si>
    <t>Ann: 2004-12-27</t>
  </si>
  <si>
    <t>Ann: 2007-04-24</t>
  </si>
  <si>
    <t>Ann: 2003-10-21</t>
  </si>
  <si>
    <t>Ann: 2004-12-17</t>
  </si>
  <si>
    <t>Ann: 2003-08-06</t>
  </si>
  <si>
    <t>Ann: 2001-07-19</t>
  </si>
  <si>
    <t>Ann: 2010-04-12</t>
  </si>
  <si>
    <t>Ann: 2007-11-16</t>
  </si>
  <si>
    <t>Ann: 2016-05-05</t>
  </si>
  <si>
    <t>Ann: 2015-02-24</t>
  </si>
  <si>
    <t>Ann: 1998-08-13</t>
  </si>
  <si>
    <t>Ann: 2012-11-19</t>
  </si>
  <si>
    <t>Ann: 2022-02-24</t>
  </si>
  <si>
    <t>Deal 3041</t>
  </si>
  <si>
    <t>Deal 3042</t>
  </si>
  <si>
    <t>Deal 3043</t>
  </si>
  <si>
    <t>Deal 3044</t>
  </si>
  <si>
    <t>Deal 3045</t>
  </si>
  <si>
    <t>Deal 3046</t>
  </si>
  <si>
    <t>Deal 3047</t>
  </si>
  <si>
    <t>Deal 3048</t>
  </si>
  <si>
    <t>Deal 3049</t>
  </si>
  <si>
    <t>Deal 3050</t>
  </si>
  <si>
    <t>Deal 3051</t>
  </si>
  <si>
    <t>Deal 3052</t>
  </si>
  <si>
    <t>Deal 3053</t>
  </si>
  <si>
    <t>Deal 3054</t>
  </si>
  <si>
    <t>Deal 3055</t>
  </si>
  <si>
    <t>Deal 3056</t>
  </si>
  <si>
    <t>Deal 3057</t>
  </si>
  <si>
    <t>Deal 3058</t>
  </si>
  <si>
    <t>Deal 3059</t>
  </si>
  <si>
    <t>Deal 3060</t>
  </si>
  <si>
    <t>Deal 3061</t>
  </si>
  <si>
    <t>Deal 3062</t>
  </si>
  <si>
    <t>Deal 3063</t>
  </si>
  <si>
    <t>Deal 3064</t>
  </si>
  <si>
    <t>Deal 3065</t>
  </si>
  <si>
    <t>Deal 3066</t>
  </si>
  <si>
    <t>Deal 3067</t>
  </si>
  <si>
    <t>Deal 3068</t>
  </si>
  <si>
    <t>Deal 3069</t>
  </si>
  <si>
    <t>Deal 3070</t>
  </si>
  <si>
    <t>Deal 3071</t>
  </si>
  <si>
    <t>Deal 3072</t>
  </si>
  <si>
    <t>Deal 3073</t>
  </si>
  <si>
    <t>Deal 3074</t>
  </si>
  <si>
    <t>Deal 3075</t>
  </si>
  <si>
    <t>Deal 3076</t>
  </si>
  <si>
    <t>Deal 3077</t>
  </si>
  <si>
    <t>Deal 3078</t>
  </si>
  <si>
    <t>Deal 3079</t>
  </si>
  <si>
    <t>Deal 3080</t>
  </si>
  <si>
    <t>THFF US Equity</t>
  </si>
  <si>
    <t>CDE US Equity</t>
  </si>
  <si>
    <t>3592185Q US Equity</t>
  </si>
  <si>
    <t>SBLUQ US Equity</t>
  </si>
  <si>
    <t>WABC US Equity</t>
  </si>
  <si>
    <t>PRU US Equity</t>
  </si>
  <si>
    <t>PTIX US Equity</t>
  </si>
  <si>
    <t>SHBI US Equity</t>
  </si>
  <si>
    <t>RCRC US Equity</t>
  </si>
  <si>
    <t>GWB US Equity</t>
  </si>
  <si>
    <t>SAGI US Equity</t>
  </si>
  <si>
    <t>CLBK US Equity</t>
  </si>
  <si>
    <t>EAGB US Equity</t>
  </si>
  <si>
    <t>CBONQ US Equity</t>
  </si>
  <si>
    <t>DEIX US Equity</t>
  </si>
  <si>
    <t>VRTX US Equity</t>
  </si>
  <si>
    <t>BMRC US Equity</t>
  </si>
  <si>
    <t>388103Q US Equity</t>
  </si>
  <si>
    <t>ALTO US Equity</t>
  </si>
  <si>
    <t>SVC US Equity</t>
  </si>
  <si>
    <t>103917Q US Equity</t>
  </si>
  <si>
    <t>Ann: 2014-12-17</t>
  </si>
  <si>
    <t>Ann: 2004-01-12</t>
  </si>
  <si>
    <t>Ann: 1999-06-22</t>
  </si>
  <si>
    <t>Ann: 2000-12-27</t>
  </si>
  <si>
    <t>Ann: 2001-06-19</t>
  </si>
  <si>
    <t>Ann: 2004-08-25</t>
  </si>
  <si>
    <t>Ann: 2000-05-10</t>
  </si>
  <si>
    <t>Ann: 2007-09-27</t>
  </si>
  <si>
    <t>Ann: 2021-03-03</t>
  </si>
  <si>
    <t>Ann: 2004-06-07</t>
  </si>
  <si>
    <t>Ann: 2015-11-30</t>
  </si>
  <si>
    <t>Ann: 2003-02-19</t>
  </si>
  <si>
    <t>Ann: 2019-06-07</t>
  </si>
  <si>
    <t>Ann: 2000-08-23</t>
  </si>
  <si>
    <t>Ann: 2003-07-15</t>
  </si>
  <si>
    <t>Ann: 2004-12-02</t>
  </si>
  <si>
    <t>Ann: 2008-12-15</t>
  </si>
  <si>
    <t>Ann: 1999-11-10</t>
  </si>
  <si>
    <t>Ann: 2004-10-15</t>
  </si>
  <si>
    <t>Ann: 2009-06-23</t>
  </si>
  <si>
    <t>Ann: 1998-10-01</t>
  </si>
  <si>
    <t>Ann: 2014-12-31</t>
  </si>
  <si>
    <t>Ann: 2011-11-03</t>
  </si>
  <si>
    <t>Deal 3081</t>
  </si>
  <si>
    <t>Deal 3082</t>
  </si>
  <si>
    <t>Deal 3083</t>
  </si>
  <si>
    <t>Deal 3084</t>
  </si>
  <si>
    <t>Deal 3085</t>
  </si>
  <si>
    <t>Deal 3086</t>
  </si>
  <si>
    <t>Deal 3087</t>
  </si>
  <si>
    <t>Deal 3088</t>
  </si>
  <si>
    <t>Deal 3089</t>
  </si>
  <si>
    <t>Deal 3090</t>
  </si>
  <si>
    <t>Deal 3091</t>
  </si>
  <si>
    <t>Deal 3092</t>
  </si>
  <si>
    <t>Deal 3093</t>
  </si>
  <si>
    <t>Deal 3094</t>
  </si>
  <si>
    <t>Deal 3095</t>
  </si>
  <si>
    <t>Deal 3096</t>
  </si>
  <si>
    <t>Deal 3097</t>
  </si>
  <si>
    <t>Deal 3098</t>
  </si>
  <si>
    <t>Deal 3099</t>
  </si>
  <si>
    <t>Deal 3100</t>
  </si>
  <si>
    <t>Deal 3101</t>
  </si>
  <si>
    <t>Deal 3102</t>
  </si>
  <si>
    <t>Deal 3103</t>
  </si>
  <si>
    <t>Deal 3104</t>
  </si>
  <si>
    <t>Deal 3105</t>
  </si>
  <si>
    <t>Deal 3106</t>
  </si>
  <si>
    <t>Deal 3107</t>
  </si>
  <si>
    <t>Deal 3108</t>
  </si>
  <si>
    <t>Deal 3109</t>
  </si>
  <si>
    <t>Deal 3110</t>
  </si>
  <si>
    <t>Deal 3111</t>
  </si>
  <si>
    <t>Deal 3112</t>
  </si>
  <si>
    <t>Deal 3113</t>
  </si>
  <si>
    <t>Deal 3114</t>
  </si>
  <si>
    <t>Deal 3115</t>
  </si>
  <si>
    <t>Deal 3116</t>
  </si>
  <si>
    <t>Deal 3117</t>
  </si>
  <si>
    <t>Deal 3118</t>
  </si>
  <si>
    <t>Deal 3119</t>
  </si>
  <si>
    <t>Deal 3120</t>
  </si>
  <si>
    <t>0618828D US Equity</t>
  </si>
  <si>
    <t>0966147D US Equity</t>
  </si>
  <si>
    <t>2185054D US Equity</t>
  </si>
  <si>
    <t>CPK US Equity</t>
  </si>
  <si>
    <t>RTEC US Equity</t>
  </si>
  <si>
    <t>CWST US Equity</t>
  </si>
  <si>
    <t>RGNA US Equity</t>
  </si>
  <si>
    <t>CRK US Equity</t>
  </si>
  <si>
    <t>MCHB US Equity</t>
  </si>
  <si>
    <t>9990225D US Equity</t>
  </si>
  <si>
    <t>HLFG US Equity</t>
  </si>
  <si>
    <t>DIAN US Equity</t>
  </si>
  <si>
    <t>BVH US Equity</t>
  </si>
  <si>
    <t>SRR US Equity</t>
  </si>
  <si>
    <t>ALAB US Equity</t>
  </si>
  <si>
    <t>RBNC US Equity</t>
  </si>
  <si>
    <t>MBHIQ US Equity</t>
  </si>
  <si>
    <t>IMGC US Equity</t>
  </si>
  <si>
    <t>BKMU US Equity</t>
  </si>
  <si>
    <t>WHLR US Equity</t>
  </si>
  <si>
    <t>Ann: 2021-09-08</t>
  </si>
  <si>
    <t>Ann: 2008-05-22</t>
  </si>
  <si>
    <t>Ann: 2001-05-16</t>
  </si>
  <si>
    <t>Ann: 1998-06-03</t>
  </si>
  <si>
    <t>Ann: 2009-08-05</t>
  </si>
  <si>
    <t>Ann: 2017-07-17</t>
  </si>
  <si>
    <t>Ann: 2005-01-27</t>
  </si>
  <si>
    <t>Ann: 2014-06-04</t>
  </si>
  <si>
    <t>Ann: 2006-03-21</t>
  </si>
  <si>
    <t>Ann: 2001-10-22</t>
  </si>
  <si>
    <t>Ann: 2006-03-27</t>
  </si>
  <si>
    <t>Ann: 2000-06-12</t>
  </si>
  <si>
    <t>Ann: 2006-12-06</t>
  </si>
  <si>
    <t>Ann: 2003-05-02</t>
  </si>
  <si>
    <t>Ann: 2003-10-16</t>
  </si>
  <si>
    <t>Ann: 2009-07-06</t>
  </si>
  <si>
    <t>Ann: 2014-08-05</t>
  </si>
  <si>
    <t>Ann: 2006-05-24</t>
  </si>
  <si>
    <t>Ann: 2019-10-23</t>
  </si>
  <si>
    <t>Ann: 1999-07-20</t>
  </si>
  <si>
    <t>Ann: 2018-11-01</t>
  </si>
  <si>
    <t>Ann: 2012-11-15</t>
  </si>
  <si>
    <t>Ann: 2000-02-21</t>
  </si>
  <si>
    <t>Deal 3121</t>
  </si>
  <si>
    <t>Deal 3122</t>
  </si>
  <si>
    <t>Deal 3123</t>
  </si>
  <si>
    <t>Deal 3124</t>
  </si>
  <si>
    <t>Deal 3125</t>
  </si>
  <si>
    <t>Deal 3126</t>
  </si>
  <si>
    <t>Deal 3127</t>
  </si>
  <si>
    <t>Deal 3128</t>
  </si>
  <si>
    <t>Deal 3129</t>
  </si>
  <si>
    <t>Deal 3130</t>
  </si>
  <si>
    <t>Deal 3131</t>
  </si>
  <si>
    <t>Deal 3132</t>
  </si>
  <si>
    <t>Deal 3133</t>
  </si>
  <si>
    <t>Deal 3134</t>
  </si>
  <si>
    <t>Deal 3135</t>
  </si>
  <si>
    <t>Deal 3136</t>
  </si>
  <si>
    <t>Deal 3137</t>
  </si>
  <si>
    <t>Deal 3138</t>
  </si>
  <si>
    <t>Deal 3139</t>
  </si>
  <si>
    <t>Deal 3140</t>
  </si>
  <si>
    <t>Deal 3141</t>
  </si>
  <si>
    <t>Deal 3142</t>
  </si>
  <si>
    <t>Deal 3143</t>
  </si>
  <si>
    <t>Deal 3144</t>
  </si>
  <si>
    <t>Deal 3145</t>
  </si>
  <si>
    <t>Deal 3146</t>
  </si>
  <si>
    <t>Deal 3147</t>
  </si>
  <si>
    <t>Deal 3148</t>
  </si>
  <si>
    <t>Deal 3149</t>
  </si>
  <si>
    <t>Deal 3150</t>
  </si>
  <si>
    <t>Deal 3151</t>
  </si>
  <si>
    <t>Deal 3152</t>
  </si>
  <si>
    <t>Deal 3153</t>
  </si>
  <si>
    <t>Deal 3154</t>
  </si>
  <si>
    <t>Deal 3155</t>
  </si>
  <si>
    <t>Deal 3156</t>
  </si>
  <si>
    <t>Deal 3157</t>
  </si>
  <si>
    <t>Deal 3158</t>
  </si>
  <si>
    <t>Deal 3159</t>
  </si>
  <si>
    <t>Deal 3160</t>
  </si>
  <si>
    <t>DCAI US Equity</t>
  </si>
  <si>
    <t>COB US Equity</t>
  </si>
  <si>
    <t>RITA US Equity</t>
  </si>
  <si>
    <t>MPB US Equity</t>
  </si>
  <si>
    <t>BEAS US Equity</t>
  </si>
  <si>
    <t>NBBC US Equity</t>
  </si>
  <si>
    <t>1978022D US Equity</t>
  </si>
  <si>
    <t>SGYPQ US Equity</t>
  </si>
  <si>
    <t>AIMC US Equity</t>
  </si>
  <si>
    <t>DAR US Equity</t>
  </si>
  <si>
    <t>QKKAQ US Equity</t>
  </si>
  <si>
    <t>ACCL US Equity</t>
  </si>
  <si>
    <t>DWSN US Equity</t>
  </si>
  <si>
    <t>GEOKQ US Equity</t>
  </si>
  <si>
    <t>9895616Q US Equity</t>
  </si>
  <si>
    <t>UB US Equity</t>
  </si>
  <si>
    <t>9990253D US Equity</t>
  </si>
  <si>
    <t>Ann: 2002-12-19</t>
  </si>
  <si>
    <t>Ann: 2004-06-05</t>
  </si>
  <si>
    <t>Ann: 1999-01-06</t>
  </si>
  <si>
    <t>Ann: 2007-12-11</t>
  </si>
  <si>
    <t>Ann: 2005-03-15</t>
  </si>
  <si>
    <t>Ann: 2004-05-13</t>
  </si>
  <si>
    <t>Ann: 2010-08-17</t>
  </si>
  <si>
    <t>Ann: 2021-06-30</t>
  </si>
  <si>
    <t>Ann: 2005-08-22</t>
  </si>
  <si>
    <t>Ann: 2007-02-27</t>
  </si>
  <si>
    <t>Ann: 2006-08-04</t>
  </si>
  <si>
    <t>Ann: 2012-07-20</t>
  </si>
  <si>
    <t>Ann: 2000-05-03</t>
  </si>
  <si>
    <t>Ann: 2005-12-20</t>
  </si>
  <si>
    <t>Ann: 2005-11-02</t>
  </si>
  <si>
    <t>Ann: 2000-07-21</t>
  </si>
  <si>
    <t>Ann: 2003-07-23</t>
  </si>
  <si>
    <t>Ann: 1999-06-04</t>
  </si>
  <si>
    <t>Ann: 2014-10-09</t>
  </si>
  <si>
    <t>Ann: 2006-09-08</t>
  </si>
  <si>
    <t>Ann: 1998-04-14</t>
  </si>
  <si>
    <t>Ann: 2011-06-15</t>
  </si>
  <si>
    <t>Ann: 2017-06-27</t>
  </si>
  <si>
    <t>Ann: 2003-09-26</t>
  </si>
  <si>
    <t>Deal 3161</t>
  </si>
  <si>
    <t>Deal 3162</t>
  </si>
  <si>
    <t>Deal 3163</t>
  </si>
  <si>
    <t>Deal 3164</t>
  </si>
  <si>
    <t>Deal 3165</t>
  </si>
  <si>
    <t>Deal 3166</t>
  </si>
  <si>
    <t>Deal 3167</t>
  </si>
  <si>
    <t>Deal 3168</t>
  </si>
  <si>
    <t>Deal 3169</t>
  </si>
  <si>
    <t>Deal 3170</t>
  </si>
  <si>
    <t>Deal 3171</t>
  </si>
  <si>
    <t>Deal 3172</t>
  </si>
  <si>
    <t>Deal 3173</t>
  </si>
  <si>
    <t>Deal 3174</t>
  </si>
  <si>
    <t>Deal 3175</t>
  </si>
  <si>
    <t>Deal 3176</t>
  </si>
  <si>
    <t>Deal 3177</t>
  </si>
  <si>
    <t>Deal 3178</t>
  </si>
  <si>
    <t>Deal 3179</t>
  </si>
  <si>
    <t>Deal 3180</t>
  </si>
  <si>
    <t>Deal 3181</t>
  </si>
  <si>
    <t>Deal 3182</t>
  </si>
  <si>
    <t>Deal 3183</t>
  </si>
  <si>
    <t>Deal 3184</t>
  </si>
  <si>
    <t>Deal 3185</t>
  </si>
  <si>
    <t>Deal 3186</t>
  </si>
  <si>
    <t>Deal 3187</t>
  </si>
  <si>
    <t>Deal 3188</t>
  </si>
  <si>
    <t>Deal 3189</t>
  </si>
  <si>
    <t>Deal 3190</t>
  </si>
  <si>
    <t>Deal 3191</t>
  </si>
  <si>
    <t>Deal 3192</t>
  </si>
  <si>
    <t>Deal 3193</t>
  </si>
  <si>
    <t>Deal 3194</t>
  </si>
  <si>
    <t>Deal 3195</t>
  </si>
  <si>
    <t>Deal 3196</t>
  </si>
  <si>
    <t>Deal 3197</t>
  </si>
  <si>
    <t>Deal 3198</t>
  </si>
  <si>
    <t>Deal 3199</t>
  </si>
  <si>
    <t>Deal 3200</t>
  </si>
  <si>
    <t>AMESQ US Equity</t>
  </si>
  <si>
    <t>2847452Q US Equity</t>
  </si>
  <si>
    <t>TRAD US Equity</t>
  </si>
  <si>
    <t>0897262D US Equity</t>
  </si>
  <si>
    <t>PMB US Equity</t>
  </si>
  <si>
    <t>0700734D US Equity</t>
  </si>
  <si>
    <t>FRST US Equity</t>
  </si>
  <si>
    <t>CATC US Equity</t>
  </si>
  <si>
    <t>ONEW US Equity</t>
  </si>
  <si>
    <t>ARAY US Equity</t>
  </si>
  <si>
    <t>EPIC US Equity</t>
  </si>
  <si>
    <t>PSTRQ US Equity</t>
  </si>
  <si>
    <t>DZSIQ US Equity</t>
  </si>
  <si>
    <t>AXE US Equity</t>
  </si>
  <si>
    <t>ECPN US Equity</t>
  </si>
  <si>
    <t>CHDN US Equity</t>
  </si>
  <si>
    <t>WLDN US Equity</t>
  </si>
  <si>
    <t>TMAV US Equity</t>
  </si>
  <si>
    <t>PARR US Equity</t>
  </si>
  <si>
    <t>Ann: 2012-05-31</t>
  </si>
  <si>
    <t>Ann: 2001-03-23</t>
  </si>
  <si>
    <t>Ann: 2000-01-20</t>
  </si>
  <si>
    <t>Ann: 1999-01-27</t>
  </si>
  <si>
    <t>Ann: 2002-08-08</t>
  </si>
  <si>
    <t>Ann: 2019-08-16</t>
  </si>
  <si>
    <t>Ann: 2005-05-26</t>
  </si>
  <si>
    <t>Ann: 2019-12-05</t>
  </si>
  <si>
    <t>Ann: 2022-06-22</t>
  </si>
  <si>
    <t>Ann: 2011-03-07</t>
  </si>
  <si>
    <t>Ann: 2009-06-03</t>
  </si>
  <si>
    <t>Ann: 1999-01-21</t>
  </si>
  <si>
    <t>Ann: 1998-02-06</t>
  </si>
  <si>
    <t>Ann: 2001-10-15</t>
  </si>
  <si>
    <t>Ann: 2005-07-08</t>
  </si>
  <si>
    <t>Ann: 2002-05-23</t>
  </si>
  <si>
    <t>Ann: 2014-03-11</t>
  </si>
  <si>
    <t>Ann: 2007-04-23</t>
  </si>
  <si>
    <t>Ann: 2011-01-19</t>
  </si>
  <si>
    <t>Ann: 2015-08-05</t>
  </si>
  <si>
    <t>Deal 3201</t>
  </si>
  <si>
    <t>Deal 3202</t>
  </si>
  <si>
    <t>Deal 3203</t>
  </si>
  <si>
    <t>Deal 3204</t>
  </si>
  <si>
    <t>Deal 3205</t>
  </si>
  <si>
    <t>Deal 3206</t>
  </si>
  <si>
    <t>Deal 3207</t>
  </si>
  <si>
    <t>Deal 3208</t>
  </si>
  <si>
    <t>Deal 3209</t>
  </si>
  <si>
    <t>Deal 3210</t>
  </si>
  <si>
    <t>Deal 3211</t>
  </si>
  <si>
    <t>Deal 3212</t>
  </si>
  <si>
    <t>Deal 3213</t>
  </si>
  <si>
    <t>Deal 3214</t>
  </si>
  <si>
    <t>Deal 3215</t>
  </si>
  <si>
    <t>Deal 3216</t>
  </si>
  <si>
    <t>Deal 3217</t>
  </si>
  <si>
    <t>Deal 3218</t>
  </si>
  <si>
    <t>Deal 3219</t>
  </si>
  <si>
    <t>Deal 3220</t>
  </si>
  <si>
    <t>Deal 3221</t>
  </si>
  <si>
    <t>Deal 3222</t>
  </si>
  <si>
    <t>Deal 3223</t>
  </si>
  <si>
    <t>Deal 3224</t>
  </si>
  <si>
    <t>Deal 3225</t>
  </si>
  <si>
    <t>Deal 3226</t>
  </si>
  <si>
    <t>Deal 3227</t>
  </si>
  <si>
    <t>Deal 3228</t>
  </si>
  <si>
    <t>Deal 3229</t>
  </si>
  <si>
    <t>Deal 3230</t>
  </si>
  <si>
    <t>Deal 3231</t>
  </si>
  <si>
    <t>Deal 3232</t>
  </si>
  <si>
    <t>Deal 3233</t>
  </si>
  <si>
    <t>Deal 3234</t>
  </si>
  <si>
    <t>Deal 3235</t>
  </si>
  <si>
    <t>Deal 3236</t>
  </si>
  <si>
    <t>Deal 3237</t>
  </si>
  <si>
    <t>Deal 3238</t>
  </si>
  <si>
    <t>Deal 3239</t>
  </si>
  <si>
    <t>Deal 3240</t>
  </si>
  <si>
    <t>OLBK US Equity</t>
  </si>
  <si>
    <t>BFC US Equity</t>
  </si>
  <si>
    <t>LBAI US Equity</t>
  </si>
  <si>
    <t>TDFXQ US Equity</t>
  </si>
  <si>
    <t>RSYS US Equity</t>
  </si>
  <si>
    <t>OCAI US Equity</t>
  </si>
  <si>
    <t>WSO US Equity</t>
  </si>
  <si>
    <t>DME US Equity</t>
  </si>
  <si>
    <t>NCOG US Equity</t>
  </si>
  <si>
    <t>RESC US Equity</t>
  </si>
  <si>
    <t>IWLC US Equity</t>
  </si>
  <si>
    <t>CW US Equity</t>
  </si>
  <si>
    <t>ODSY US Equity</t>
  </si>
  <si>
    <t>OSBC US Equity</t>
  </si>
  <si>
    <t>AON US Equity</t>
  </si>
  <si>
    <t>WAI US Equity</t>
  </si>
  <si>
    <t>INVA US Equity</t>
  </si>
  <si>
    <t>LTWC US Equity</t>
  </si>
  <si>
    <t>SKYW US Equity</t>
  </si>
  <si>
    <t>BMTC US Equity</t>
  </si>
  <si>
    <t>Ann: 2017-09-27</t>
  </si>
  <si>
    <t>Ann: 2003-03-12</t>
  </si>
  <si>
    <t>Ann: 2022-01-19</t>
  </si>
  <si>
    <t>Ann: 1999-05-24</t>
  </si>
  <si>
    <t>Ann: 2001-05-17</t>
  </si>
  <si>
    <t>Ann: 2007-07-05</t>
  </si>
  <si>
    <t>Ann: 1998-11-10</t>
  </si>
  <si>
    <t>Ann: 1999-09-02</t>
  </si>
  <si>
    <t>Ann: 2001-06-27</t>
  </si>
  <si>
    <t>Ann: 2012-11-01</t>
  </si>
  <si>
    <t>Ann: 2006-07-18</t>
  </si>
  <si>
    <t>Ann: 2008-01-15</t>
  </si>
  <si>
    <t>Ann: 2022-07-11</t>
  </si>
  <si>
    <t>Ann: 2002-03-21</t>
  </si>
  <si>
    <t>Ann: 2013-02-07</t>
  </si>
  <si>
    <t>Ann: 2010-08-04</t>
  </si>
  <si>
    <t>Ann: 2017-01-31</t>
  </si>
  <si>
    <t>Deal 3241</t>
  </si>
  <si>
    <t>Deal 3242</t>
  </si>
  <si>
    <t>Deal 3243</t>
  </si>
  <si>
    <t>Deal 3244</t>
  </si>
  <si>
    <t>Deal 3245</t>
  </si>
  <si>
    <t>Deal 3246</t>
  </si>
  <si>
    <t>Deal 3247</t>
  </si>
  <si>
    <t>Deal 3248</t>
  </si>
  <si>
    <t>Deal 3249</t>
  </si>
  <si>
    <t>Deal 3250</t>
  </si>
  <si>
    <t>Deal 3251</t>
  </si>
  <si>
    <t>Deal 3252</t>
  </si>
  <si>
    <t>Deal 3253</t>
  </si>
  <si>
    <t>Deal 3254</t>
  </si>
  <si>
    <t>Deal 3255</t>
  </si>
  <si>
    <t>Deal 3256</t>
  </si>
  <si>
    <t>Deal 3257</t>
  </si>
  <si>
    <t>Deal 3258</t>
  </si>
  <si>
    <t>Deal 3259</t>
  </si>
  <si>
    <t>Deal 3260</t>
  </si>
  <si>
    <t>Deal 3261</t>
  </si>
  <si>
    <t>Deal 3262</t>
  </si>
  <si>
    <t>Deal 3263</t>
  </si>
  <si>
    <t>Deal 3264</t>
  </si>
  <si>
    <t>Deal 3265</t>
  </si>
  <si>
    <t>Deal 3266</t>
  </si>
  <si>
    <t>Deal 3267</t>
  </si>
  <si>
    <t>Deal 3268</t>
  </si>
  <si>
    <t>Deal 3269</t>
  </si>
  <si>
    <t>Deal 3270</t>
  </si>
  <si>
    <t>Deal 3271</t>
  </si>
  <si>
    <t>Deal 3272</t>
  </si>
  <si>
    <t>Deal 3273</t>
  </si>
  <si>
    <t>Deal 3274</t>
  </si>
  <si>
    <t>Deal 3275</t>
  </si>
  <si>
    <t>Deal 3276</t>
  </si>
  <si>
    <t>Deal 3277</t>
  </si>
  <si>
    <t>Deal 3278</t>
  </si>
  <si>
    <t>Deal 3279</t>
  </si>
  <si>
    <t>Deal 3280</t>
  </si>
  <si>
    <t>KTO US Equity</t>
  </si>
  <si>
    <t>CTLT US Equity</t>
  </si>
  <si>
    <t>ASRT US Equity</t>
  </si>
  <si>
    <t>FSTR US Equity</t>
  </si>
  <si>
    <t>CAMPQ US Equity</t>
  </si>
  <si>
    <t>604898Q US Equity</t>
  </si>
  <si>
    <t>PSTB US Equity</t>
  </si>
  <si>
    <t>WNEB US Equity</t>
  </si>
  <si>
    <t>CALX US Equity</t>
  </si>
  <si>
    <t>CSTR US Equity</t>
  </si>
  <si>
    <t>TWGP US Equity</t>
  </si>
  <si>
    <t>DTSI US Equity</t>
  </si>
  <si>
    <t>SYMM US Equity</t>
  </si>
  <si>
    <t>DVD US Equity</t>
  </si>
  <si>
    <t>DLB US Equity</t>
  </si>
  <si>
    <t>1495787D US Equity</t>
  </si>
  <si>
    <t>RARE US Equity</t>
  </si>
  <si>
    <t>Ann: 2002-12-16</t>
  </si>
  <si>
    <t>Ann: 2018-07-03</t>
  </si>
  <si>
    <t>Ann: 2001-02-22</t>
  </si>
  <si>
    <t>Ann: 2020-03-16</t>
  </si>
  <si>
    <t>Ann: 2007-12-19</t>
  </si>
  <si>
    <t>Ann: 2002-03-11</t>
  </si>
  <si>
    <t>Ann: 2010-02-17</t>
  </si>
  <si>
    <t>Ann: 2015-12-10</t>
  </si>
  <si>
    <t>Ann: 2022-06-01</t>
  </si>
  <si>
    <t>Ann: 1998-01-27</t>
  </si>
  <si>
    <t>Ann: 2011-01-24</t>
  </si>
  <si>
    <t>Ann: 2015-10-01</t>
  </si>
  <si>
    <t>Ann: 2010-12-21</t>
  </si>
  <si>
    <t>Ann: 2018-06-11</t>
  </si>
  <si>
    <t>Ann: 2007-04-04</t>
  </si>
  <si>
    <t>Ann: 2014-11-04</t>
  </si>
  <si>
    <t>Ann: 2009-06-22</t>
  </si>
  <si>
    <t>Ann: 2012-04-17</t>
  </si>
  <si>
    <t>Ann: 2013-05-13</t>
  </si>
  <si>
    <t>Ann: 1998-03-27</t>
  </si>
  <si>
    <t>Ann: 2013-11-25</t>
  </si>
  <si>
    <t>Ann: 2005-03-25</t>
  </si>
  <si>
    <t>Ann: 2012-07-13</t>
  </si>
  <si>
    <t>Ann: 2006-12-12</t>
  </si>
  <si>
    <t>Ann: 2017-10-03</t>
  </si>
  <si>
    <t>Ann: 2001-02-01</t>
  </si>
  <si>
    <t>Deal 3281</t>
  </si>
  <si>
    <t>Deal 3282</t>
  </si>
  <si>
    <t>Deal 3283</t>
  </si>
  <si>
    <t>Deal 3284</t>
  </si>
  <si>
    <t>Deal 3285</t>
  </si>
  <si>
    <t>Deal 3286</t>
  </si>
  <si>
    <t>Deal 3287</t>
  </si>
  <si>
    <t>Deal 3288</t>
  </si>
  <si>
    <t>Deal 3289</t>
  </si>
  <si>
    <t>Deal 3290</t>
  </si>
  <si>
    <t>Deal 3291</t>
  </si>
  <si>
    <t>Deal 3292</t>
  </si>
  <si>
    <t>Deal 3293</t>
  </si>
  <si>
    <t>Deal 3294</t>
  </si>
  <si>
    <t>Deal 3295</t>
  </si>
  <si>
    <t>Deal 3296</t>
  </si>
  <si>
    <t>Deal 3297</t>
  </si>
  <si>
    <t>Deal 3298</t>
  </si>
  <si>
    <t>Deal 3299</t>
  </si>
  <si>
    <t>Deal 3300</t>
  </si>
  <si>
    <t>Deal 3301</t>
  </si>
  <si>
    <t>Deal 3302</t>
  </si>
  <si>
    <t>Deal 3303</t>
  </si>
  <si>
    <t>Deal 3304</t>
  </si>
  <si>
    <t>Deal 3305</t>
  </si>
  <si>
    <t>Deal 3306</t>
  </si>
  <si>
    <t>Deal 3307</t>
  </si>
  <si>
    <t>Deal 3308</t>
  </si>
  <si>
    <t>Deal 3309</t>
  </si>
  <si>
    <t>Deal 3310</t>
  </si>
  <si>
    <t>Deal 3311</t>
  </si>
  <si>
    <t>Deal 3312</t>
  </si>
  <si>
    <t>Deal 3313</t>
  </si>
  <si>
    <t>Deal 3314</t>
  </si>
  <si>
    <t>Deal 3315</t>
  </si>
  <si>
    <t>Deal 3316</t>
  </si>
  <si>
    <t>Deal 3317</t>
  </si>
  <si>
    <t>Deal 3318</t>
  </si>
  <si>
    <t>Deal 3319</t>
  </si>
  <si>
    <t>Deal 3320</t>
  </si>
  <si>
    <t>MSFG US Equity</t>
  </si>
  <si>
    <t>SBMC US Equity</t>
  </si>
  <si>
    <t>TTI US Equity</t>
  </si>
  <si>
    <t>PALM US Equity</t>
  </si>
  <si>
    <t>RJETQ US Equity</t>
  </si>
  <si>
    <t>FVB US Equity</t>
  </si>
  <si>
    <t>SFSW US Equity</t>
  </si>
  <si>
    <t>CIVB US Equity</t>
  </si>
  <si>
    <t>EZPW US Equity</t>
  </si>
  <si>
    <t>AXP US Equity</t>
  </si>
  <si>
    <t>PRGY US Equity</t>
  </si>
  <si>
    <t>AZZ US Equity</t>
  </si>
  <si>
    <t>EMUS US Equity</t>
  </si>
  <si>
    <t>AXS US Equity</t>
  </si>
  <si>
    <t>CBKN US Equity</t>
  </si>
  <si>
    <t>PRIM US Equity</t>
  </si>
  <si>
    <t>2348717Q US Equity</t>
  </si>
  <si>
    <t>UALAQ US Equity</t>
  </si>
  <si>
    <t>OMC US Equity</t>
  </si>
  <si>
    <t>BBOX US Equity</t>
  </si>
  <si>
    <t>CUNO US Equity</t>
  </si>
  <si>
    <t>WEB US Equity</t>
  </si>
  <si>
    <t>DVINQ US Equity</t>
  </si>
  <si>
    <t>KLXE US Equity</t>
  </si>
  <si>
    <t>VGR US Equity</t>
  </si>
  <si>
    <t>MSCS US Equity</t>
  </si>
  <si>
    <t>Ann: 1998-07-22</t>
  </si>
  <si>
    <t>Ann: 2001-02-08</t>
  </si>
  <si>
    <t>Ann: 2004-06-23</t>
  </si>
  <si>
    <t>Ann: 2003-06-04</t>
  </si>
  <si>
    <t>Ann: 2009-08-14</t>
  </si>
  <si>
    <t>Ann: 2001-03-05</t>
  </si>
  <si>
    <t>Ann: 1998-06-02</t>
  </si>
  <si>
    <t>Ann: 2001-01-26</t>
  </si>
  <si>
    <t>Ann: 2001-02-14</t>
  </si>
  <si>
    <t>Ann: 2010-04-01</t>
  </si>
  <si>
    <t>Ann: 2013-09-10</t>
  </si>
  <si>
    <t>Ann: 1999-04-05</t>
  </si>
  <si>
    <t>Ann: 1999-11-30</t>
  </si>
  <si>
    <t>Ann: 2010-11-29</t>
  </si>
  <si>
    <t>Ann: 2005-04-20</t>
  </si>
  <si>
    <t>Ann: 2005-06-29</t>
  </si>
  <si>
    <t>Ann: 1999-08-12</t>
  </si>
  <si>
    <t>Ann: 2004-12-20</t>
  </si>
  <si>
    <t>Ann: 2004-05-26</t>
  </si>
  <si>
    <t>Ann: 2014-08-04</t>
  </si>
  <si>
    <t>Ann: 2016-10-03</t>
  </si>
  <si>
    <t>Ann: 2020-05-03</t>
  </si>
  <si>
    <t>Deal 3321</t>
  </si>
  <si>
    <t>Deal 3322</t>
  </si>
  <si>
    <t>Deal 3323</t>
  </si>
  <si>
    <t>Deal 3324</t>
  </si>
  <si>
    <t>Deal 3325</t>
  </si>
  <si>
    <t>Deal 3326</t>
  </si>
  <si>
    <t>Deal 3327</t>
  </si>
  <si>
    <t>Deal 3328</t>
  </si>
  <si>
    <t>Deal 3329</t>
  </si>
  <si>
    <t>Deal 3330</t>
  </si>
  <si>
    <t>Deal 3331</t>
  </si>
  <si>
    <t>Deal 3332</t>
  </si>
  <si>
    <t>Deal 3333</t>
  </si>
  <si>
    <t>Deal 3334</t>
  </si>
  <si>
    <t>Deal 3335</t>
  </si>
  <si>
    <t>Deal 3336</t>
  </si>
  <si>
    <t>Deal 3337</t>
  </si>
  <si>
    <t>Deal 3338</t>
  </si>
  <si>
    <t>Deal 3339</t>
  </si>
  <si>
    <t>Deal 3340</t>
  </si>
  <si>
    <t>Deal 3341</t>
  </si>
  <si>
    <t>Deal 3342</t>
  </si>
  <si>
    <t>Deal 3343</t>
  </si>
  <si>
    <t>Deal 3344</t>
  </si>
  <si>
    <t>Deal 3345</t>
  </si>
  <si>
    <t>Deal 3346</t>
  </si>
  <si>
    <t>Deal 3347</t>
  </si>
  <si>
    <t>Deal 3348</t>
  </si>
  <si>
    <t>Deal 3349</t>
  </si>
  <si>
    <t>Deal 3350</t>
  </si>
  <si>
    <t>Deal 3351</t>
  </si>
  <si>
    <t>Deal 3352</t>
  </si>
  <si>
    <t>Deal 3353</t>
  </si>
  <si>
    <t>Deal 3354</t>
  </si>
  <si>
    <t>Deal 3355</t>
  </si>
  <si>
    <t>Deal 3356</t>
  </si>
  <si>
    <t>Deal 3357</t>
  </si>
  <si>
    <t>Deal 3358</t>
  </si>
  <si>
    <t>Deal 3359</t>
  </si>
  <si>
    <t>Deal 3360</t>
  </si>
  <si>
    <t>VATE US Equity</t>
  </si>
  <si>
    <t>1850874D US Equity</t>
  </si>
  <si>
    <t>NCOM US Equity</t>
  </si>
  <si>
    <t>TRMK US Equity</t>
  </si>
  <si>
    <t>753397Q US Equity</t>
  </si>
  <si>
    <t>724273Q US Equity</t>
  </si>
  <si>
    <t>3588Q US Equity</t>
  </si>
  <si>
    <t>MYR US Equity</t>
  </si>
  <si>
    <t>LCRY US Equity</t>
  </si>
  <si>
    <t>2447428D US Equity</t>
  </si>
  <si>
    <t>OPCH US Equity</t>
  </si>
  <si>
    <t>ANT US Equity</t>
  </si>
  <si>
    <t>SLFI US Equity</t>
  </si>
  <si>
    <t>IGL US Equity</t>
  </si>
  <si>
    <t>539355Q US Equity</t>
  </si>
  <si>
    <t>HOV US Equity</t>
  </si>
  <si>
    <t>JAMS US Equity</t>
  </si>
  <si>
    <t>ENMC US Equity</t>
  </si>
  <si>
    <t>PEGA US Equity</t>
  </si>
  <si>
    <t>Ann: 1998-07-13</t>
  </si>
  <si>
    <t>Ann: 2014-05-13</t>
  </si>
  <si>
    <t>Ann: 2000-12-13</t>
  </si>
  <si>
    <t>Ann: 2014-04-02</t>
  </si>
  <si>
    <t>Ann: 2010-06-24</t>
  </si>
  <si>
    <t>Ann: 2004-03-25</t>
  </si>
  <si>
    <t>Ann: 2004-12-01</t>
  </si>
  <si>
    <t>Ann: 2003-04-25</t>
  </si>
  <si>
    <t>Ann: 2004-03-26</t>
  </si>
  <si>
    <t>Ann: 1998-02-18</t>
  </si>
  <si>
    <t>Ann: 2020-10-26</t>
  </si>
  <si>
    <t>Ann: 2007-10-11</t>
  </si>
  <si>
    <t>Ann: 2015-02-25</t>
  </si>
  <si>
    <t>Ann: 2004-09-02</t>
  </si>
  <si>
    <t>Ann: 2000-01-25</t>
  </si>
  <si>
    <t>Ann: 2004-01-15</t>
  </si>
  <si>
    <t>Ann: 1999-04-15</t>
  </si>
  <si>
    <t>Ann: 2010-12-16</t>
  </si>
  <si>
    <t>Ann: 2021-01-13</t>
  </si>
  <si>
    <t>Ann: 2010-03-15</t>
  </si>
  <si>
    <t>Deal 3361</t>
  </si>
  <si>
    <t>Deal 3362</t>
  </si>
  <si>
    <t>Deal 3363</t>
  </si>
  <si>
    <t>Deal 3364</t>
  </si>
  <si>
    <t>Deal 3365</t>
  </si>
  <si>
    <t>Deal 3366</t>
  </si>
  <si>
    <t>Deal 3367</t>
  </si>
  <si>
    <t>Deal 3368</t>
  </si>
  <si>
    <t>Deal 3369</t>
  </si>
  <si>
    <t>Deal 3370</t>
  </si>
  <si>
    <t>Deal 3371</t>
  </si>
  <si>
    <t>Deal 3372</t>
  </si>
  <si>
    <t>Deal 3373</t>
  </si>
  <si>
    <t>Deal 3374</t>
  </si>
  <si>
    <t>Deal 3375</t>
  </si>
  <si>
    <t>Deal 3376</t>
  </si>
  <si>
    <t>Deal 3377</t>
  </si>
  <si>
    <t>Deal 3378</t>
  </si>
  <si>
    <t>Deal 3379</t>
  </si>
  <si>
    <t>Deal 3380</t>
  </si>
  <si>
    <t>Deal 3381</t>
  </si>
  <si>
    <t>Deal 3382</t>
  </si>
  <si>
    <t>Deal 3383</t>
  </si>
  <si>
    <t>Deal 3384</t>
  </si>
  <si>
    <t>Deal 3385</t>
  </si>
  <si>
    <t>Deal 3386</t>
  </si>
  <si>
    <t>Deal 3387</t>
  </si>
  <si>
    <t>Deal 3388</t>
  </si>
  <si>
    <t>Deal 3389</t>
  </si>
  <si>
    <t>Deal 3390</t>
  </si>
  <si>
    <t>Deal 3391</t>
  </si>
  <si>
    <t>Deal 3392</t>
  </si>
  <si>
    <t>Deal 3393</t>
  </si>
  <si>
    <t>Deal 3394</t>
  </si>
  <si>
    <t>Deal 3395</t>
  </si>
  <si>
    <t>Deal 3396</t>
  </si>
  <si>
    <t>Deal 3397</t>
  </si>
  <si>
    <t>Deal 3398</t>
  </si>
  <si>
    <t>Deal 3399</t>
  </si>
  <si>
    <t>Deal 3400</t>
  </si>
  <si>
    <t>RTHM LN Equity</t>
  </si>
  <si>
    <t>FMAO US Equity</t>
  </si>
  <si>
    <t>CPSS US Equity</t>
  </si>
  <si>
    <t>WIBC US Equity</t>
  </si>
  <si>
    <t>VTEQ US Equity</t>
  </si>
  <si>
    <t>OKWHQ US Equity</t>
  </si>
  <si>
    <t>XBKS US Equity</t>
  </si>
  <si>
    <t>RMK US Equity</t>
  </si>
  <si>
    <t>EGP US Equity</t>
  </si>
  <si>
    <t>GLDB US Equity</t>
  </si>
  <si>
    <t>FLS US Equity</t>
  </si>
  <si>
    <t>OPLK US Equity</t>
  </si>
  <si>
    <t>TPTH US Equity</t>
  </si>
  <si>
    <t>Ann: 2021-05-04</t>
  </si>
  <si>
    <t>Ann: 2003-09-11</t>
  </si>
  <si>
    <t>Ann: 2008-09-10</t>
  </si>
  <si>
    <t>Ann: 2016-06-22</t>
  </si>
  <si>
    <t>Ann: 2006-06-20</t>
  </si>
  <si>
    <t>Ann: 2016-02-10</t>
  </si>
  <si>
    <t>Ann: 2004-02-04</t>
  </si>
  <si>
    <t>Ann: 1998-05-07</t>
  </si>
  <si>
    <t>Ann: 2000-09-29</t>
  </si>
  <si>
    <t>Ann: 2001-07-23</t>
  </si>
  <si>
    <t>Ann: 2002-10-24</t>
  </si>
  <si>
    <t>Ann: 2011-06-22</t>
  </si>
  <si>
    <t>Ann: 2013-09-23</t>
  </si>
  <si>
    <t>Ann: 2000-09-20</t>
  </si>
  <si>
    <t>Ann: 2008-09-24</t>
  </si>
  <si>
    <t>Ann: 2006-06-01</t>
  </si>
  <si>
    <t>Ann: 2010-04-05</t>
  </si>
  <si>
    <t>Deal 3401</t>
  </si>
  <si>
    <t>Deal 3402</t>
  </si>
  <si>
    <t>Deal 3403</t>
  </si>
  <si>
    <t>Deal 3404</t>
  </si>
  <si>
    <t>Deal 3405</t>
  </si>
  <si>
    <t>Deal 3406</t>
  </si>
  <si>
    <t>Deal 3407</t>
  </si>
  <si>
    <t>Deal 3408</t>
  </si>
  <si>
    <t>Deal 3409</t>
  </si>
  <si>
    <t>Deal 3410</t>
  </si>
  <si>
    <t>Deal 3411</t>
  </si>
  <si>
    <t>Deal 3412</t>
  </si>
  <si>
    <t>Deal 3413</t>
  </si>
  <si>
    <t>Deal 3414</t>
  </si>
  <si>
    <t>Deal 3415</t>
  </si>
  <si>
    <t>Deal 3416</t>
  </si>
  <si>
    <t>Deal 3417</t>
  </si>
  <si>
    <t>Deal 3418</t>
  </si>
  <si>
    <t>Deal 3419</t>
  </si>
  <si>
    <t>Deal 3420</t>
  </si>
  <si>
    <t>Deal 3421</t>
  </si>
  <si>
    <t>Deal 3422</t>
  </si>
  <si>
    <t>Deal 3423</t>
  </si>
  <si>
    <t>Deal 3424</t>
  </si>
  <si>
    <t>Deal 3425</t>
  </si>
  <si>
    <t>Deal 3426</t>
  </si>
  <si>
    <t>Deal 3427</t>
  </si>
  <si>
    <t>Deal 3428</t>
  </si>
  <si>
    <t>Deal 3429</t>
  </si>
  <si>
    <t>Deal 3430</t>
  </si>
  <si>
    <t>Deal 3431</t>
  </si>
  <si>
    <t>Deal 3432</t>
  </si>
  <si>
    <t>Deal 3433</t>
  </si>
  <si>
    <t>Deal 3434</t>
  </si>
  <si>
    <t>Deal 3435</t>
  </si>
  <si>
    <t>Deal 3436</t>
  </si>
  <si>
    <t>Deal 3437</t>
  </si>
  <si>
    <t>Deal 3438</t>
  </si>
  <si>
    <t>Deal 3439</t>
  </si>
  <si>
    <t>Deal 3440</t>
  </si>
  <si>
    <t>AMNB US Equity</t>
  </si>
  <si>
    <t>0544801D US Equity</t>
  </si>
  <si>
    <t>2119228Q US Equity</t>
  </si>
  <si>
    <t>FMNB US Equity</t>
  </si>
  <si>
    <t>HLYW US Equity</t>
  </si>
  <si>
    <t>HBNC US Equity</t>
  </si>
  <si>
    <t>538087Q US Equity</t>
  </si>
  <si>
    <t>JAS US Equity</t>
  </si>
  <si>
    <t>TRN US Equity</t>
  </si>
  <si>
    <t>FFIC US Equity</t>
  </si>
  <si>
    <t>SUPR US Equity</t>
  </si>
  <si>
    <t>662053Q US Equity</t>
  </si>
  <si>
    <t>8277831Q US Equity</t>
  </si>
  <si>
    <t>SPLP US Equity</t>
  </si>
  <si>
    <t>MLI US Equity</t>
  </si>
  <si>
    <t>KWD US Equity</t>
  </si>
  <si>
    <t>ITGR US Equity</t>
  </si>
  <si>
    <t>Ann: 2018-10-01</t>
  </si>
  <si>
    <t>Ann: 2010-03-30</t>
  </si>
  <si>
    <t>Ann: 2016-03-10</t>
  </si>
  <si>
    <t>Ann: 2003-03-31</t>
  </si>
  <si>
    <t>Ann: 2001-02-21</t>
  </si>
  <si>
    <t>Ann: 2003-11-18</t>
  </si>
  <si>
    <t>Ann: 2009-12-30</t>
  </si>
  <si>
    <t>Ann: 2002-12-17</t>
  </si>
  <si>
    <t>Ann: 2019-10-25</t>
  </si>
  <si>
    <t>Ann: 2006-10-10</t>
  </si>
  <si>
    <t>Ann: 2000-08-16</t>
  </si>
  <si>
    <t>Ann: 2003-04-08</t>
  </si>
  <si>
    <t>Ann: 2012-06-25</t>
  </si>
  <si>
    <t>Ann: 2019-09-30</t>
  </si>
  <si>
    <t>Ann: 2006-08-16</t>
  </si>
  <si>
    <t>Ann: 2014-04-08</t>
  </si>
  <si>
    <t>Ann: 2017-03-06</t>
  </si>
  <si>
    <t>Ann: 2015-08-14</t>
  </si>
  <si>
    <t>Ann: 2005-10-27</t>
  </si>
  <si>
    <t>Ann: 2007-04-30</t>
  </si>
  <si>
    <t>Deal 3441</t>
  </si>
  <si>
    <t>Deal 3442</t>
  </si>
  <si>
    <t>Deal 3443</t>
  </si>
  <si>
    <t>Deal 3444</t>
  </si>
  <si>
    <t>Deal 3445</t>
  </si>
  <si>
    <t>Deal 3446</t>
  </si>
  <si>
    <t>Deal 3447</t>
  </si>
  <si>
    <t>Deal 3448</t>
  </si>
  <si>
    <t>Deal 3449</t>
  </si>
  <si>
    <t>Deal 3450</t>
  </si>
  <si>
    <t>Deal 3451</t>
  </si>
  <si>
    <t>Deal 3452</t>
  </si>
  <si>
    <t>Deal 3453</t>
  </si>
  <si>
    <t>Deal 3454</t>
  </si>
  <si>
    <t>Deal 3455</t>
  </si>
  <si>
    <t>Deal 3456</t>
  </si>
  <si>
    <t>Deal 3457</t>
  </si>
  <si>
    <t>Deal 3458</t>
  </si>
  <si>
    <t>Deal 3459</t>
  </si>
  <si>
    <t>Deal 3460</t>
  </si>
  <si>
    <t>Deal 3461</t>
  </si>
  <si>
    <t>Deal 3462</t>
  </si>
  <si>
    <t>Deal 3463</t>
  </si>
  <si>
    <t>Deal 3464</t>
  </si>
  <si>
    <t>Deal 3465</t>
  </si>
  <si>
    <t>Deal 3466</t>
  </si>
  <si>
    <t>Deal 3467</t>
  </si>
  <si>
    <t>Deal 3468</t>
  </si>
  <si>
    <t>Deal 3469</t>
  </si>
  <si>
    <t>Deal 3470</t>
  </si>
  <si>
    <t>Deal 3471</t>
  </si>
  <si>
    <t>Deal 3472</t>
  </si>
  <si>
    <t>Deal 3473</t>
  </si>
  <si>
    <t>Deal 3474</t>
  </si>
  <si>
    <t>Deal 3475</t>
  </si>
  <si>
    <t>Deal 3476</t>
  </si>
  <si>
    <t>Deal 3477</t>
  </si>
  <si>
    <t>Deal 3478</t>
  </si>
  <si>
    <t>Deal 3479</t>
  </si>
  <si>
    <t>Deal 3480</t>
  </si>
  <si>
    <t>MOFG US Equity</t>
  </si>
  <si>
    <t>TSCPQ US Equity</t>
  </si>
  <si>
    <t>CUNB US Equity</t>
  </si>
  <si>
    <t>TSICQ US Equity</t>
  </si>
  <si>
    <t>NETM US Equity</t>
  </si>
  <si>
    <t>KROL US Equity</t>
  </si>
  <si>
    <t>KNBT US Equity</t>
  </si>
  <si>
    <t>601238Q US Equity</t>
  </si>
  <si>
    <t>VRSOQ US Equity</t>
  </si>
  <si>
    <t>TARRQ US Equity</t>
  </si>
  <si>
    <t>8215820Q US Equity</t>
  </si>
  <si>
    <t>FMBH US Equity</t>
  </si>
  <si>
    <t>0977894D US Equity</t>
  </si>
  <si>
    <t>MTTB US Equity</t>
  </si>
  <si>
    <t>COFS US Equity</t>
  </si>
  <si>
    <t>Ann: 1998-03-25</t>
  </si>
  <si>
    <t>Ann: 2000-09-01</t>
  </si>
  <si>
    <t>Ann: 2007-09-12</t>
  </si>
  <si>
    <t>Ann: 2008-06-26</t>
  </si>
  <si>
    <t>Ann: 2009-05-28</t>
  </si>
  <si>
    <t>Ann: 2019-12-18</t>
  </si>
  <si>
    <t>Ann: 2014-06-03</t>
  </si>
  <si>
    <t>Ann: 2017-11-13</t>
  </si>
  <si>
    <t>Ann: 2002-02-28</t>
  </si>
  <si>
    <t>Ann: 2004-10-27</t>
  </si>
  <si>
    <t>Ann: 2004-04-08</t>
  </si>
  <si>
    <t>Ann: 2003-06-24</t>
  </si>
  <si>
    <t>Ann: 2004-12-09</t>
  </si>
  <si>
    <t>Ann: 1998-10-07</t>
  </si>
  <si>
    <t>Ann: 1998-09-22</t>
  </si>
  <si>
    <t>Ann: 2005-01-11</t>
  </si>
  <si>
    <t>Ann: 2003-02-05</t>
  </si>
  <si>
    <t>Ann: 2003-01-16</t>
  </si>
  <si>
    <t>Ann: 2015-03-03</t>
  </si>
  <si>
    <t>Ann: 2016-04-26</t>
  </si>
  <si>
    <t>Ann: 2000-01-27</t>
  </si>
  <si>
    <t>Ann: 1998-01-30</t>
  </si>
  <si>
    <t>Deal 3481</t>
  </si>
  <si>
    <t>Deal 3482</t>
  </si>
  <si>
    <t>Deal 3483</t>
  </si>
  <si>
    <t>Deal 3484</t>
  </si>
  <si>
    <t>Deal 3485</t>
  </si>
  <si>
    <t>Deal 3486</t>
  </si>
  <si>
    <t>Deal 3487</t>
  </si>
  <si>
    <t>Deal 3488</t>
  </si>
  <si>
    <t>Deal 3489</t>
  </si>
  <si>
    <t>Deal 3490</t>
  </si>
  <si>
    <t>Deal 3491</t>
  </si>
  <si>
    <t>Deal 3492</t>
  </si>
  <si>
    <t>Deal 3493</t>
  </si>
  <si>
    <t>Deal 3494</t>
  </si>
  <si>
    <t>Deal 3495</t>
  </si>
  <si>
    <t>Deal 3496</t>
  </si>
  <si>
    <t>Deal 3497</t>
  </si>
  <si>
    <t>Deal 3498</t>
  </si>
  <si>
    <t>Deal 3499</t>
  </si>
  <si>
    <t>Deal 3500</t>
  </si>
  <si>
    <t>Deal 3501</t>
  </si>
  <si>
    <t>Deal 3502</t>
  </si>
  <si>
    <t>Deal 3503</t>
  </si>
  <si>
    <t>Deal 3504</t>
  </si>
  <si>
    <t>Deal 3505</t>
  </si>
  <si>
    <t>Deal 3506</t>
  </si>
  <si>
    <t>Deal 3507</t>
  </si>
  <si>
    <t>Deal 3508</t>
  </si>
  <si>
    <t>Deal 3509</t>
  </si>
  <si>
    <t>Deal 3510</t>
  </si>
  <si>
    <t>Deal 3511</t>
  </si>
  <si>
    <t>Deal 3512</t>
  </si>
  <si>
    <t>Deal 3513</t>
  </si>
  <si>
    <t>Deal 3514</t>
  </si>
  <si>
    <t>Deal 3515</t>
  </si>
  <si>
    <t>Deal 3516</t>
  </si>
  <si>
    <t>Deal 3517</t>
  </si>
  <si>
    <t>Deal 3518</t>
  </si>
  <si>
    <t>Deal 3519</t>
  </si>
  <si>
    <t>Deal 3520</t>
  </si>
  <si>
    <t>3520842Q US Equity</t>
  </si>
  <si>
    <t>RILY US Equity</t>
  </si>
  <si>
    <t>ERDR US Equity</t>
  </si>
  <si>
    <t>82473Q US Equity</t>
  </si>
  <si>
    <t>LMNX US Equity</t>
  </si>
  <si>
    <t>UCFC US Equity</t>
  </si>
  <si>
    <t>FSLA US Equity</t>
  </si>
  <si>
    <t>3482Q US Equity</t>
  </si>
  <si>
    <t>1518080D US Equity</t>
  </si>
  <si>
    <t>HNH US Equity</t>
  </si>
  <si>
    <t>IIIV US Equity</t>
  </si>
  <si>
    <t>ARXX US Equity</t>
  </si>
  <si>
    <t>IFCJ US Equity</t>
  </si>
  <si>
    <t>56485Q US Equity</t>
  </si>
  <si>
    <t>Ann: 1998-09-23</t>
  </si>
  <si>
    <t>Ann: 2017-02-21</t>
  </si>
  <si>
    <t>Ann: 2002-04-17</t>
  </si>
  <si>
    <t>Ann: 2005-09-07</t>
  </si>
  <si>
    <t>Ann: 2020-12-30</t>
  </si>
  <si>
    <t>Ann: 2000-11-29</t>
  </si>
  <si>
    <t>Ann: 1998-07-09</t>
  </si>
  <si>
    <t>Ann: 2006-06-15</t>
  </si>
  <si>
    <t>Ann: 2015-06-18</t>
  </si>
  <si>
    <t>Ann: 1999-11-05</t>
  </si>
  <si>
    <t>Ann: 2021-02-05</t>
  </si>
  <si>
    <t>Ann: 2002-04-15</t>
  </si>
  <si>
    <t>Ann: 2010-07-19</t>
  </si>
  <si>
    <t>Ann: 2002-03-20</t>
  </si>
  <si>
    <t>Ann: 2005-08-09</t>
  </si>
  <si>
    <t>Ann: 2002-11-18</t>
  </si>
  <si>
    <t>Ann: 2020-08-20</t>
  </si>
  <si>
    <t>Ann: 1999-12-29</t>
  </si>
  <si>
    <t>Deal 3521</t>
  </si>
  <si>
    <t>Deal 3522</t>
  </si>
  <si>
    <t>Deal 3523</t>
  </si>
  <si>
    <t>Deal 3524</t>
  </si>
  <si>
    <t>Deal 3525</t>
  </si>
  <si>
    <t>Deal 3526</t>
  </si>
  <si>
    <t>Deal 3527</t>
  </si>
  <si>
    <t>Deal 3528</t>
  </si>
  <si>
    <t>Deal 3529</t>
  </si>
  <si>
    <t>Deal 3530</t>
  </si>
  <si>
    <t>Deal 3531</t>
  </si>
  <si>
    <t>Deal 3532</t>
  </si>
  <si>
    <t>Deal 3533</t>
  </si>
  <si>
    <t>Deal 3534</t>
  </si>
  <si>
    <t>Deal 3535</t>
  </si>
  <si>
    <t>Deal 3536</t>
  </si>
  <si>
    <t>Deal 3537</t>
  </si>
  <si>
    <t>Deal 3538</t>
  </si>
  <si>
    <t>Deal 3539</t>
  </si>
  <si>
    <t>Deal 3540</t>
  </si>
  <si>
    <t>Deal 3541</t>
  </si>
  <si>
    <t>Deal 3542</t>
  </si>
  <si>
    <t>Deal 3543</t>
  </si>
  <si>
    <t>Deal 3544</t>
  </si>
  <si>
    <t>Deal 3545</t>
  </si>
  <si>
    <t>Deal 3546</t>
  </si>
  <si>
    <t>Deal 3547</t>
  </si>
  <si>
    <t>Deal 3548</t>
  </si>
  <si>
    <t>Deal 3549</t>
  </si>
  <si>
    <t>Deal 3550</t>
  </si>
  <si>
    <t>Deal 3551</t>
  </si>
  <si>
    <t>Deal 3552</t>
  </si>
  <si>
    <t>Deal 3553</t>
  </si>
  <si>
    <t>Deal 3554</t>
  </si>
  <si>
    <t>Deal 3555</t>
  </si>
  <si>
    <t>Deal 3556</t>
  </si>
  <si>
    <t>Deal 3557</t>
  </si>
  <si>
    <t>Deal 3558</t>
  </si>
  <si>
    <t>Deal 3559</t>
  </si>
  <si>
    <t>Deal 3560</t>
  </si>
  <si>
    <t>3264Q US Equity</t>
  </si>
  <si>
    <t>696500Q US Equity</t>
  </si>
  <si>
    <t>SPSS US Equity</t>
  </si>
  <si>
    <t>UNTC US Equity</t>
  </si>
  <si>
    <t>GTK US Equity</t>
  </si>
  <si>
    <t>1520415D US Equity</t>
  </si>
  <si>
    <t>AEGN US Equity</t>
  </si>
  <si>
    <t>BRMR US Equity</t>
  </si>
  <si>
    <t>SIB US Equity</t>
  </si>
  <si>
    <t>BORL US Equity</t>
  </si>
  <si>
    <t>1670211D US Equity</t>
  </si>
  <si>
    <t>RCNCQ US Equity</t>
  </si>
  <si>
    <t>GABC US Equity</t>
  </si>
  <si>
    <t>ENVA US Equity</t>
  </si>
  <si>
    <t>TMP US Equity</t>
  </si>
  <si>
    <t>696119Q US Equity</t>
  </si>
  <si>
    <t>ESBF US Equity</t>
  </si>
  <si>
    <t>CLGX US Equity</t>
  </si>
  <si>
    <t>Ann: 1999-01-18</t>
  </si>
  <si>
    <t>Ann: 2000-11-07</t>
  </si>
  <si>
    <t>Ann: 2003-07-01</t>
  </si>
  <si>
    <t>Ann: 2003-03-17</t>
  </si>
  <si>
    <t>Ann: 1998-09-17</t>
  </si>
  <si>
    <t>Ann: 2013-12-31</t>
  </si>
  <si>
    <t>Ann: 2010-12-27</t>
  </si>
  <si>
    <t>Ann: 2008-09-03</t>
  </si>
  <si>
    <t>Ann: 2018-06-12</t>
  </si>
  <si>
    <t>Ann: 1998-01-21</t>
  </si>
  <si>
    <t>Ann: 2020-07-28</t>
  </si>
  <si>
    <t>Ann: 2015-08-31</t>
  </si>
  <si>
    <t>Ann: 2008-02-15</t>
  </si>
  <si>
    <t>Ann: 2010-01-08</t>
  </si>
  <si>
    <t>Ann: 2001-12-13</t>
  </si>
  <si>
    <t>Ann: 1998-01-18</t>
  </si>
  <si>
    <t>Ann: 2003-05-27</t>
  </si>
  <si>
    <t>Deal 3561</t>
  </si>
  <si>
    <t>Deal 3562</t>
  </si>
  <si>
    <t>Deal 3563</t>
  </si>
  <si>
    <t>Deal 3564</t>
  </si>
  <si>
    <t>Deal 3565</t>
  </si>
  <si>
    <t>Deal 3566</t>
  </si>
  <si>
    <t>Deal 3567</t>
  </si>
  <si>
    <t>Deal 3568</t>
  </si>
  <si>
    <t>Deal 3569</t>
  </si>
  <si>
    <t>Deal 3570</t>
  </si>
  <si>
    <t>Deal 3571</t>
  </si>
  <si>
    <t>Deal 3572</t>
  </si>
  <si>
    <t>Deal 3573</t>
  </si>
  <si>
    <t>Deal 3574</t>
  </si>
  <si>
    <t>Deal 3575</t>
  </si>
  <si>
    <t>Deal 3576</t>
  </si>
  <si>
    <t>Deal 3577</t>
  </si>
  <si>
    <t>Deal 3578</t>
  </si>
  <si>
    <t>Deal 3579</t>
  </si>
  <si>
    <t>Deal 3580</t>
  </si>
  <si>
    <t>Deal 3581</t>
  </si>
  <si>
    <t>Deal 3582</t>
  </si>
  <si>
    <t>Deal 3583</t>
  </si>
  <si>
    <t>Deal 3584</t>
  </si>
  <si>
    <t>Deal 3585</t>
  </si>
  <si>
    <t>Deal 3586</t>
  </si>
  <si>
    <t>Deal 3587</t>
  </si>
  <si>
    <t>Deal 3588</t>
  </si>
  <si>
    <t>Deal 3589</t>
  </si>
  <si>
    <t>Deal 3590</t>
  </si>
  <si>
    <t>Deal 3591</t>
  </si>
  <si>
    <t>Deal 3592</t>
  </si>
  <si>
    <t>Deal 3593</t>
  </si>
  <si>
    <t>Deal 3594</t>
  </si>
  <si>
    <t>Deal 3595</t>
  </si>
  <si>
    <t>Deal 3596</t>
  </si>
  <si>
    <t>Deal 3597</t>
  </si>
  <si>
    <t>Deal 3598</t>
  </si>
  <si>
    <t>Deal 3599</t>
  </si>
  <si>
    <t>Deal 3600</t>
  </si>
  <si>
    <t>2567699D US Equity</t>
  </si>
  <si>
    <t>1860560D US Equity</t>
  </si>
  <si>
    <t>CHTRQ US Equity</t>
  </si>
  <si>
    <t>CGCP US Equity</t>
  </si>
  <si>
    <t>CBSH US Equity</t>
  </si>
  <si>
    <t>MMSI US Equity</t>
  </si>
  <si>
    <t>ZBRA US Equity</t>
  </si>
  <si>
    <t>HBEK US Equity</t>
  </si>
  <si>
    <t>0852602D US Equity</t>
  </si>
  <si>
    <t>MYGN US Equity</t>
  </si>
  <si>
    <t>SPPI US Equity</t>
  </si>
  <si>
    <t>IXX US Equity</t>
  </si>
  <si>
    <t>SOHO US Equity</t>
  </si>
  <si>
    <t>373937Q US Equity</t>
  </si>
  <si>
    <t>ENOC US Equity</t>
  </si>
  <si>
    <t>FINN US Equity</t>
  </si>
  <si>
    <t>FDBC US Equity</t>
  </si>
  <si>
    <t>CHD US Equity</t>
  </si>
  <si>
    <t>PNWB US Equity</t>
  </si>
  <si>
    <t>STBZ US Equity</t>
  </si>
  <si>
    <t>LAMR US Equity</t>
  </si>
  <si>
    <t>OAKT US Equity</t>
  </si>
  <si>
    <t>Ann: 2012-08-07</t>
  </si>
  <si>
    <t>Ann: 2008-04-09</t>
  </si>
  <si>
    <t>Ann: 2001-08-01</t>
  </si>
  <si>
    <t>Ann: 2010-05-13</t>
  </si>
  <si>
    <t>Ann: 2021-10-04</t>
  </si>
  <si>
    <t>Ann: 2007-12-27</t>
  </si>
  <si>
    <t>Ann: 2012-05-14</t>
  </si>
  <si>
    <t>Ann: 2018-07-05</t>
  </si>
  <si>
    <t>Ann: 2003-08-12</t>
  </si>
  <si>
    <t>Ann: 1998-12-10</t>
  </si>
  <si>
    <t>Ann: 1998-02-11</t>
  </si>
  <si>
    <t>Ann: 2012-04-05</t>
  </si>
  <si>
    <t>Ann: 2018-03-05</t>
  </si>
  <si>
    <t>Ann: 2004-05-06</t>
  </si>
  <si>
    <t>Ann: 2000-01-28</t>
  </si>
  <si>
    <t>Ann: 2001-09-11</t>
  </si>
  <si>
    <t>Ann: 2019-12-10</t>
  </si>
  <si>
    <t>Ann: 2001-12-07</t>
  </si>
  <si>
    <t>Ann: 2008-07-17</t>
  </si>
  <si>
    <t>Ann: 1998-09-25</t>
  </si>
  <si>
    <t>Ann: 2002-07-22</t>
  </si>
  <si>
    <t>Ann: 2014-06-24</t>
  </si>
  <si>
    <t>Ann: 2022-12-13</t>
  </si>
  <si>
    <t>Ann: 2012-01-25</t>
  </si>
  <si>
    <t>Ann: 1999-07-29</t>
  </si>
  <si>
    <t>Deal 3601</t>
  </si>
  <si>
    <t>Deal 3602</t>
  </si>
  <si>
    <t>Deal 3603</t>
  </si>
  <si>
    <t>Deal 3604</t>
  </si>
  <si>
    <t>Deal 3605</t>
  </si>
  <si>
    <t>Deal 3606</t>
  </si>
  <si>
    <t>Deal 3607</t>
  </si>
  <si>
    <t>Deal 3608</t>
  </si>
  <si>
    <t>Deal 3609</t>
  </si>
  <si>
    <t>Deal 3610</t>
  </si>
  <si>
    <t>Deal 3611</t>
  </si>
  <si>
    <t>Deal 3612</t>
  </si>
  <si>
    <t>Deal 3613</t>
  </si>
  <si>
    <t>Deal 3614</t>
  </si>
  <si>
    <t>Deal 3615</t>
  </si>
  <si>
    <t>Deal 3616</t>
  </si>
  <si>
    <t>Deal 3617</t>
  </si>
  <si>
    <t>Deal 3618</t>
  </si>
  <si>
    <t>Deal 3619</t>
  </si>
  <si>
    <t>Deal 3620</t>
  </si>
  <si>
    <t>Deal 3621</t>
  </si>
  <si>
    <t>Deal 3622</t>
  </si>
  <si>
    <t>Deal 3623</t>
  </si>
  <si>
    <t>Deal 3624</t>
  </si>
  <si>
    <t>Deal 3625</t>
  </si>
  <si>
    <t>Deal 3626</t>
  </si>
  <si>
    <t>Deal 3627</t>
  </si>
  <si>
    <t>Deal 3628</t>
  </si>
  <si>
    <t>Deal 3629</t>
  </si>
  <si>
    <t>Deal 3630</t>
  </si>
  <si>
    <t>Deal 3631</t>
  </si>
  <si>
    <t>Deal 3632</t>
  </si>
  <si>
    <t>Deal 3633</t>
  </si>
  <si>
    <t>Deal 3634</t>
  </si>
  <si>
    <t>Deal 3635</t>
  </si>
  <si>
    <t>Deal 3636</t>
  </si>
  <si>
    <t>Deal 3637</t>
  </si>
  <si>
    <t>Deal 3638</t>
  </si>
  <si>
    <t>Deal 3639</t>
  </si>
  <si>
    <t>Deal 3640</t>
  </si>
  <si>
    <t>1779128D US Equity</t>
  </si>
  <si>
    <t>MOG/A US Equity</t>
  </si>
  <si>
    <t>CMKC US Equity</t>
  </si>
  <si>
    <t>1806854D US Equity</t>
  </si>
  <si>
    <t>USX US Equity</t>
  </si>
  <si>
    <t>SCMF US Equity</t>
  </si>
  <si>
    <t>GADS US Equity</t>
  </si>
  <si>
    <t>PLXS US Equity</t>
  </si>
  <si>
    <t>EW US Equity</t>
  </si>
  <si>
    <t>FSBW US Equity</t>
  </si>
  <si>
    <t>FPFCQ US Equity</t>
  </si>
  <si>
    <t>ESC US Equity</t>
  </si>
  <si>
    <t>SBAN US Equity</t>
  </si>
  <si>
    <t>FMFC US Equity</t>
  </si>
  <si>
    <t>AMG US Equity</t>
  </si>
  <si>
    <t>PERY US Equity</t>
  </si>
  <si>
    <t>WDR US Equity</t>
  </si>
  <si>
    <t>153550Q US Equity</t>
  </si>
  <si>
    <t>Ann: 2008-04-29</t>
  </si>
  <si>
    <t>Ann: 2007-01-12</t>
  </si>
  <si>
    <t>Ann: 2002-12-05</t>
  </si>
  <si>
    <t>Ann: 2018-01-16</t>
  </si>
  <si>
    <t>Ann: 2010-09-08</t>
  </si>
  <si>
    <t>Ann: 2013-06-14</t>
  </si>
  <si>
    <t>Ann: 2002-09-25</t>
  </si>
  <si>
    <t>Ann: 2016-11-04</t>
  </si>
  <si>
    <t>Ann: 2005-09-13</t>
  </si>
  <si>
    <t>Ann: 2003-07-30</t>
  </si>
  <si>
    <t>Ann: 2014-02-13</t>
  </si>
  <si>
    <t>Ann: 2019-02-12</t>
  </si>
  <si>
    <t>Ann: 2018-07-17</t>
  </si>
  <si>
    <t>Ann: 2003-11-10</t>
  </si>
  <si>
    <t>Ann: 2003-07-18</t>
  </si>
  <si>
    <t>Ann: 1999-07-08</t>
  </si>
  <si>
    <t>Ann: 2011-04-06</t>
  </si>
  <si>
    <t>Ann: 2001-01-18</t>
  </si>
  <si>
    <t>Ann: 2003-02-04</t>
  </si>
  <si>
    <t>Ann: 2002-08-29</t>
  </si>
  <si>
    <t>Deal 3641</t>
  </si>
  <si>
    <t>Deal 3642</t>
  </si>
  <si>
    <t>Deal 3643</t>
  </si>
  <si>
    <t>Deal 3644</t>
  </si>
  <si>
    <t>Deal 3645</t>
  </si>
  <si>
    <t>Deal 3646</t>
  </si>
  <si>
    <t>Deal 3647</t>
  </si>
  <si>
    <t>Deal 3648</t>
  </si>
  <si>
    <t>Deal 3649</t>
  </si>
  <si>
    <t>Deal 3650</t>
  </si>
  <si>
    <t>Deal 3651</t>
  </si>
  <si>
    <t>Deal 3652</t>
  </si>
  <si>
    <t>Deal 3653</t>
  </si>
  <si>
    <t>Deal 3654</t>
  </si>
  <si>
    <t>Deal 3655</t>
  </si>
  <si>
    <t>Deal 3656</t>
  </si>
  <si>
    <t>Deal 3657</t>
  </si>
  <si>
    <t>Deal 3658</t>
  </si>
  <si>
    <t>Deal 3659</t>
  </si>
  <si>
    <t>Deal 3660</t>
  </si>
  <si>
    <t>Deal 3661</t>
  </si>
  <si>
    <t>Deal 3662</t>
  </si>
  <si>
    <t>Deal 3663</t>
  </si>
  <si>
    <t>Deal 3664</t>
  </si>
  <si>
    <t>Deal 3665</t>
  </si>
  <si>
    <t>Deal 3666</t>
  </si>
  <si>
    <t>Deal 3667</t>
  </si>
  <si>
    <t>Deal 3668</t>
  </si>
  <si>
    <t>Deal 3669</t>
  </si>
  <si>
    <t>Deal 3670</t>
  </si>
  <si>
    <t>Deal 3671</t>
  </si>
  <si>
    <t>Deal 3672</t>
  </si>
  <si>
    <t>Deal 3673</t>
  </si>
  <si>
    <t>Deal 3674</t>
  </si>
  <si>
    <t>Deal 3675</t>
  </si>
  <si>
    <t>Deal 3676</t>
  </si>
  <si>
    <t>Deal 3677</t>
  </si>
  <si>
    <t>Deal 3678</t>
  </si>
  <si>
    <t>Deal 3679</t>
  </si>
  <si>
    <t>Deal 3680</t>
  </si>
  <si>
    <t>679882Q US Equity</t>
  </si>
  <si>
    <t>SPH US Equity</t>
  </si>
  <si>
    <t>SYRS US Equity</t>
  </si>
  <si>
    <t>CBRI US Equity</t>
  </si>
  <si>
    <t>BOFLQ US Equity</t>
  </si>
  <si>
    <t>FBMS US Equity</t>
  </si>
  <si>
    <t>953386Q US Equity</t>
  </si>
  <si>
    <t>MNR US Equity</t>
  </si>
  <si>
    <t>PLA US Equity</t>
  </si>
  <si>
    <t>MRCY US Equity</t>
  </si>
  <si>
    <t>1911768D US Equity</t>
  </si>
  <si>
    <t>CAC US Equity</t>
  </si>
  <si>
    <t>AFSC US Equity</t>
  </si>
  <si>
    <t>KN US Equity</t>
  </si>
  <si>
    <t>INSM US Equity</t>
  </si>
  <si>
    <t>EXEL US Equity</t>
  </si>
  <si>
    <t>FCBC US Equity</t>
  </si>
  <si>
    <t>NEB US Equity</t>
  </si>
  <si>
    <t>PSEC US Equity</t>
  </si>
  <si>
    <t>1068347D US Equity</t>
  </si>
  <si>
    <t>FBNW US Equity</t>
  </si>
  <si>
    <t>3417644Q US Equity</t>
  </si>
  <si>
    <t>Ann: 2009-06-11</t>
  </si>
  <si>
    <t>Ann: 2022-07-05</t>
  </si>
  <si>
    <t>Ann: 2002-11-13</t>
  </si>
  <si>
    <t>Ann: 2000-05-24</t>
  </si>
  <si>
    <t>Ann: 2008-09-05</t>
  </si>
  <si>
    <t>Ann: 2006-08-29</t>
  </si>
  <si>
    <t>Ann: 2004-12-29</t>
  </si>
  <si>
    <t>Ann: 2017-10-06</t>
  </si>
  <si>
    <t>Ann: 2015-02-19</t>
  </si>
  <si>
    <t>Ann: 2007-03-26</t>
  </si>
  <si>
    <t>Ann: 2017-06-14</t>
  </si>
  <si>
    <t>Ann: 2010-08-06</t>
  </si>
  <si>
    <t>Ann: 2012-06-10</t>
  </si>
  <si>
    <t>Ann: 1999-11-19</t>
  </si>
  <si>
    <t>Ann: 2007-08-14</t>
  </si>
  <si>
    <t>Ann: 2015-04-30</t>
  </si>
  <si>
    <t>Ann: 2001-02-02</t>
  </si>
  <si>
    <t>Ann: 2004-01-28</t>
  </si>
  <si>
    <t>Ann: 2000-09-07</t>
  </si>
  <si>
    <t>Ann: 2019-09-11</t>
  </si>
  <si>
    <t>Ann: 2003-11-12</t>
  </si>
  <si>
    <t>Ann: 2005-01-07</t>
  </si>
  <si>
    <t>Ann: 2003-04-24</t>
  </si>
  <si>
    <t>Ann: 2009-08-03</t>
  </si>
  <si>
    <t>Ann: 1998-12-07</t>
  </si>
  <si>
    <t>Ann: 2000-03-15</t>
  </si>
  <si>
    <t>Deal 3681</t>
  </si>
  <si>
    <t>Deal 3682</t>
  </si>
  <si>
    <t>Deal 3683</t>
  </si>
  <si>
    <t>Deal 3684</t>
  </si>
  <si>
    <t>Deal 3685</t>
  </si>
  <si>
    <t>Deal 3686</t>
  </si>
  <si>
    <t>Deal 3687</t>
  </si>
  <si>
    <t>Deal 3688</t>
  </si>
  <si>
    <t>Deal 3689</t>
  </si>
  <si>
    <t>Deal 3690</t>
  </si>
  <si>
    <t>Deal 3691</t>
  </si>
  <si>
    <t>Deal 3692</t>
  </si>
  <si>
    <t>Deal 3693</t>
  </si>
  <si>
    <t>Deal 3694</t>
  </si>
  <si>
    <t>Deal 3695</t>
  </si>
  <si>
    <t>Deal 3696</t>
  </si>
  <si>
    <t>Deal 3697</t>
  </si>
  <si>
    <t>Deal 3698</t>
  </si>
  <si>
    <t>Deal 3699</t>
  </si>
  <si>
    <t>Deal 3700</t>
  </si>
  <si>
    <t>Deal 3701</t>
  </si>
  <si>
    <t>Deal 3702</t>
  </si>
  <si>
    <t>Deal 3703</t>
  </si>
  <si>
    <t>Deal 3704</t>
  </si>
  <si>
    <t>Deal 3705</t>
  </si>
  <si>
    <t>Deal 3706</t>
  </si>
  <si>
    <t>Deal 3707</t>
  </si>
  <si>
    <t>Deal 3708</t>
  </si>
  <si>
    <t>Deal 3709</t>
  </si>
  <si>
    <t>Deal 3710</t>
  </si>
  <si>
    <t>Deal 3711</t>
  </si>
  <si>
    <t>Deal 3712</t>
  </si>
  <si>
    <t>Deal 3713</t>
  </si>
  <si>
    <t>Deal 3714</t>
  </si>
  <si>
    <t>Deal 3715</t>
  </si>
  <si>
    <t>Deal 3716</t>
  </si>
  <si>
    <t>Deal 3717</t>
  </si>
  <si>
    <t>Deal 3718</t>
  </si>
  <si>
    <t>Deal 3719</t>
  </si>
  <si>
    <t>Deal 3720</t>
  </si>
  <si>
    <t>1611364D US Equity</t>
  </si>
  <si>
    <t>FSNMQ US Equity</t>
  </si>
  <si>
    <t>3075370Q US Equity</t>
  </si>
  <si>
    <t>RSHCQ US Equity</t>
  </si>
  <si>
    <t>STOKQ US Equity</t>
  </si>
  <si>
    <t>NNN US Equity</t>
  </si>
  <si>
    <t>QVDX US Equity</t>
  </si>
  <si>
    <t>HBCP US Equity</t>
  </si>
  <si>
    <t>TA US Equity</t>
  </si>
  <si>
    <t>LNY US Equity</t>
  </si>
  <si>
    <t>SOA US Equity</t>
  </si>
  <si>
    <t>LNN US Equity</t>
  </si>
  <si>
    <t>Ann: 1999-07-11</t>
  </si>
  <si>
    <t>Ann: 2006-10-05</t>
  </si>
  <si>
    <t>Ann: 2010-05-25</t>
  </si>
  <si>
    <t>Ann: 2003-04-09</t>
  </si>
  <si>
    <t>Ann: 2009-07-29</t>
  </si>
  <si>
    <t>Ann: 2005-04-14</t>
  </si>
  <si>
    <t>Ann: 2014-10-22</t>
  </si>
  <si>
    <t>Ann: 2003-05-28</t>
  </si>
  <si>
    <t>Ann: 2006-01-27</t>
  </si>
  <si>
    <t>Ann: 2000-06-06</t>
  </si>
  <si>
    <t>Ann: 2012-07-19</t>
  </si>
  <si>
    <t>Ann: 2004-02-02</t>
  </si>
  <si>
    <t>Ann: 2012-02-27</t>
  </si>
  <si>
    <t>Ann: 2015-11-12</t>
  </si>
  <si>
    <t>Ann: 2001-04-11</t>
  </si>
  <si>
    <t>Ann: 2000-09-26</t>
  </si>
  <si>
    <t>Ann: 2011-10-07</t>
  </si>
  <si>
    <t>Ann: 2004-12-22</t>
  </si>
  <si>
    <t>Deal 3721</t>
  </si>
  <si>
    <t>Deal 3722</t>
  </si>
  <si>
    <t>Deal 3723</t>
  </si>
  <si>
    <t>Deal 3724</t>
  </si>
  <si>
    <t>Deal 3725</t>
  </si>
  <si>
    <t>Deal 3726</t>
  </si>
  <si>
    <t>Deal 3727</t>
  </si>
  <si>
    <t>Deal 3728</t>
  </si>
  <si>
    <t>Deal 3729</t>
  </si>
  <si>
    <t>Deal 3730</t>
  </si>
  <si>
    <t>Deal 3731</t>
  </si>
  <si>
    <t>Deal 3732</t>
  </si>
  <si>
    <t>Deal 3733</t>
  </si>
  <si>
    <t>Deal 3734</t>
  </si>
  <si>
    <t>Deal 3735</t>
  </si>
  <si>
    <t>Deal 3736</t>
  </si>
  <si>
    <t>Deal 3737</t>
  </si>
  <si>
    <t>Deal 3738</t>
  </si>
  <si>
    <t>Deal 3739</t>
  </si>
  <si>
    <t>Deal 3740</t>
  </si>
  <si>
    <t>Deal 3741</t>
  </si>
  <si>
    <t>Deal 3742</t>
  </si>
  <si>
    <t>Deal 3743</t>
  </si>
  <si>
    <t>Deal 3744</t>
  </si>
  <si>
    <t>Deal 3745</t>
  </si>
  <si>
    <t>Deal 3746</t>
  </si>
  <si>
    <t>Deal 3747</t>
  </si>
  <si>
    <t>Deal 3748</t>
  </si>
  <si>
    <t>Deal 3749</t>
  </si>
  <si>
    <t>Deal 3750</t>
  </si>
  <si>
    <t>Deal 3751</t>
  </si>
  <si>
    <t>Deal 3752</t>
  </si>
  <si>
    <t>Deal 3753</t>
  </si>
  <si>
    <t>Deal 3754</t>
  </si>
  <si>
    <t>Deal 3755</t>
  </si>
  <si>
    <t>Deal 3756</t>
  </si>
  <si>
    <t>Deal 3757</t>
  </si>
  <si>
    <t>Deal 3758</t>
  </si>
  <si>
    <t>Deal 3759</t>
  </si>
  <si>
    <t>Deal 3760</t>
  </si>
  <si>
    <t>VHI US Equity</t>
  </si>
  <si>
    <t>XXIA US Equity</t>
  </si>
  <si>
    <t>FINB US Equity</t>
  </si>
  <si>
    <t>9990201D US Equity</t>
  </si>
  <si>
    <t>CBAN US Equity</t>
  </si>
  <si>
    <t>REXR US Equity</t>
  </si>
  <si>
    <t>LFT US Equity</t>
  </si>
  <si>
    <t>FTBK US Equity</t>
  </si>
  <si>
    <t>0272214Q US Equity</t>
  </si>
  <si>
    <t>MDEA US Equity</t>
  </si>
  <si>
    <t>OV US Equity</t>
  </si>
  <si>
    <t>KNXA US Equity</t>
  </si>
  <si>
    <t>MFA US Equity</t>
  </si>
  <si>
    <t>HTLF US Equity</t>
  </si>
  <si>
    <t>CSCQ US Equity</t>
  </si>
  <si>
    <t>TMWD US Equity</t>
  </si>
  <si>
    <t>Ann: 2000-04-19</t>
  </si>
  <si>
    <t>Ann: 2001-01-30</t>
  </si>
  <si>
    <t>Ann: 2004-04-22</t>
  </si>
  <si>
    <t>Ann: 1999-07-07</t>
  </si>
  <si>
    <t>Ann: 2013-01-24</t>
  </si>
  <si>
    <t>Ann: 2016-01-19</t>
  </si>
  <si>
    <t>Ann: 2016-12-07</t>
  </si>
  <si>
    <t>Ann: 2004-09-20</t>
  </si>
  <si>
    <t>Ann: 1998-09-24</t>
  </si>
  <si>
    <t>Ann: 2001-03-20</t>
  </si>
  <si>
    <t>Ann: 2001-08-31</t>
  </si>
  <si>
    <t>Ann: 2017-12-19</t>
  </si>
  <si>
    <t>Ann: 2015-06-29</t>
  </si>
  <si>
    <t>Ann: 2000-06-29</t>
  </si>
  <si>
    <t>Deal 3761</t>
  </si>
  <si>
    <t>Deal 3762</t>
  </si>
  <si>
    <t>Deal 3763</t>
  </si>
  <si>
    <t>Deal 3764</t>
  </si>
  <si>
    <t>Deal 3765</t>
  </si>
  <si>
    <t>Deal 3766</t>
  </si>
  <si>
    <t>Deal 3767</t>
  </si>
  <si>
    <t>Deal 3768</t>
  </si>
  <si>
    <t>Deal 3769</t>
  </si>
  <si>
    <t>Deal 3770</t>
  </si>
  <si>
    <t>Deal 3771</t>
  </si>
  <si>
    <t>Deal 3772</t>
  </si>
  <si>
    <t>Deal 3773</t>
  </si>
  <si>
    <t>Deal 3774</t>
  </si>
  <si>
    <t>Deal 3775</t>
  </si>
  <si>
    <t>Deal 3776</t>
  </si>
  <si>
    <t>Deal 3777</t>
  </si>
  <si>
    <t>Deal 3778</t>
  </si>
  <si>
    <t>Deal 3779</t>
  </si>
  <si>
    <t>Deal 3780</t>
  </si>
  <si>
    <t>Deal 3781</t>
  </si>
  <si>
    <t>Deal 3782</t>
  </si>
  <si>
    <t>Deal 3783</t>
  </si>
  <si>
    <t>Deal 3784</t>
  </si>
  <si>
    <t>Deal 3785</t>
  </si>
  <si>
    <t>Deal 3786</t>
  </si>
  <si>
    <t>Deal 3787</t>
  </si>
  <si>
    <t>Deal 3788</t>
  </si>
  <si>
    <t>Deal 3789</t>
  </si>
  <si>
    <t>Deal 3790</t>
  </si>
  <si>
    <t>Deal 3791</t>
  </si>
  <si>
    <t>Deal 3792</t>
  </si>
  <si>
    <t>Deal 3793</t>
  </si>
  <si>
    <t>Deal 3794</t>
  </si>
  <si>
    <t>Deal 3795</t>
  </si>
  <si>
    <t>Deal 3796</t>
  </si>
  <si>
    <t>Deal 3797</t>
  </si>
  <si>
    <t>Deal 3798</t>
  </si>
  <si>
    <t>Deal 3799</t>
  </si>
  <si>
    <t>Deal 3800</t>
  </si>
  <si>
    <t>DEVC US Equity</t>
  </si>
  <si>
    <t>JKHY US Equity</t>
  </si>
  <si>
    <t>MGRM US Equity</t>
  </si>
  <si>
    <t>IDPIQ US Equity</t>
  </si>
  <si>
    <t>CWT US Equity</t>
  </si>
  <si>
    <t>PILLQ US Equity</t>
  </si>
  <si>
    <t>BANR US Equity</t>
  </si>
  <si>
    <t>BRKR US Equity</t>
  </si>
  <si>
    <t>AB US Equity</t>
  </si>
  <si>
    <t>SNBC US Equity</t>
  </si>
  <si>
    <t>JAKK US Equity</t>
  </si>
  <si>
    <t>991592Q US Equity</t>
  </si>
  <si>
    <t>CDNW US Equity</t>
  </si>
  <si>
    <t>HL US Equity</t>
  </si>
  <si>
    <t>OPLN US Equity</t>
  </si>
  <si>
    <t>SIFI US Equity</t>
  </si>
  <si>
    <t>TWAV US Equity</t>
  </si>
  <si>
    <t>LTWO US Equity</t>
  </si>
  <si>
    <t>Ann: 2009-08-17</t>
  </si>
  <si>
    <t>Ann: 2004-03-22</t>
  </si>
  <si>
    <t>Ann: 2004-04-01</t>
  </si>
  <si>
    <t>Ann: 2012-08-08</t>
  </si>
  <si>
    <t>Ann: 2002-05-16</t>
  </si>
  <si>
    <t>Ann: 2004-07-07</t>
  </si>
  <si>
    <t>Ann: 2003-12-08</t>
  </si>
  <si>
    <t>Ann: 2019-07-24</t>
  </si>
  <si>
    <t>Ann: 2005-07-29</t>
  </si>
  <si>
    <t>Ann: 2007-06-08</t>
  </si>
  <si>
    <t>Ann: 2002-02-09</t>
  </si>
  <si>
    <t>Ann: 2002-05-14</t>
  </si>
  <si>
    <t>Ann: 2002-08-13</t>
  </si>
  <si>
    <t>Ann: 2000-03-23</t>
  </si>
  <si>
    <t>Ann: 1998-10-23</t>
  </si>
  <si>
    <t>Ann: 2008-02-13</t>
  </si>
  <si>
    <t>Ann: 2013-03-05</t>
  </si>
  <si>
    <t>Ann: 2005-12-02</t>
  </si>
  <si>
    <t>Ann: 2001-05-31</t>
  </si>
  <si>
    <t>Deal 3801</t>
  </si>
  <si>
    <t>Deal 3802</t>
  </si>
  <si>
    <t>Deal 3803</t>
  </si>
  <si>
    <t>Deal 3804</t>
  </si>
  <si>
    <t>Deal 3805</t>
  </si>
  <si>
    <t>Deal 3806</t>
  </si>
  <si>
    <t>Deal 3807</t>
  </si>
  <si>
    <t>Deal 3808</t>
  </si>
  <si>
    <t>Deal 3809</t>
  </si>
  <si>
    <t>Deal 3810</t>
  </si>
  <si>
    <t>Deal 3811</t>
  </si>
  <si>
    <t>Deal 3812</t>
  </si>
  <si>
    <t>Deal 3813</t>
  </si>
  <si>
    <t>Deal 3814</t>
  </si>
  <si>
    <t>Deal 3815</t>
  </si>
  <si>
    <t>Deal 3816</t>
  </si>
  <si>
    <t>Deal 3817</t>
  </si>
  <si>
    <t>Deal 3818</t>
  </si>
  <si>
    <t>Deal 3819</t>
  </si>
  <si>
    <t>Deal 3820</t>
  </si>
  <si>
    <t>Deal 3821</t>
  </si>
  <si>
    <t>Deal 3822</t>
  </si>
  <si>
    <t>Deal 3823</t>
  </si>
  <si>
    <t>Deal 3824</t>
  </si>
  <si>
    <t>Deal 3825</t>
  </si>
  <si>
    <t>Deal 3826</t>
  </si>
  <si>
    <t>Deal 3827</t>
  </si>
  <si>
    <t>Deal 3828</t>
  </si>
  <si>
    <t>Deal 3829</t>
  </si>
  <si>
    <t>Deal 3830</t>
  </si>
  <si>
    <t>Deal 3831</t>
  </si>
  <si>
    <t>Deal 3832</t>
  </si>
  <si>
    <t>Deal 3833</t>
  </si>
  <si>
    <t>Deal 3834</t>
  </si>
  <si>
    <t>Deal 3835</t>
  </si>
  <si>
    <t>Deal 3836</t>
  </si>
  <si>
    <t>Deal 3837</t>
  </si>
  <si>
    <t>Deal 3838</t>
  </si>
  <si>
    <t>Deal 3839</t>
  </si>
  <si>
    <t>Deal 3840</t>
  </si>
  <si>
    <t>TCI US Equity</t>
  </si>
  <si>
    <t>ESIC US Equity</t>
  </si>
  <si>
    <t>ROP US Equity</t>
  </si>
  <si>
    <t>2740937Q US Equity</t>
  </si>
  <si>
    <t>DNBK US Equity</t>
  </si>
  <si>
    <t>FISI US Equity</t>
  </si>
  <si>
    <t>IBCP US Equity</t>
  </si>
  <si>
    <t>NWBD US Equity</t>
  </si>
  <si>
    <t>AGATQ US Equity</t>
  </si>
  <si>
    <t>812489Q US Equity</t>
  </si>
  <si>
    <t>FEIC US Equity</t>
  </si>
  <si>
    <t>FUR US Equity</t>
  </si>
  <si>
    <t>CLDX US Equity</t>
  </si>
  <si>
    <t>CMD US Equity</t>
  </si>
  <si>
    <t>MDDS US Equity</t>
  </si>
  <si>
    <t>VABK US Equity</t>
  </si>
  <si>
    <t>CCTX US Equity</t>
  </si>
  <si>
    <t>NFBK US Equity</t>
  </si>
  <si>
    <t>Ann: 2002-01-10</t>
  </si>
  <si>
    <t>Ann: 2007-05-03</t>
  </si>
  <si>
    <t>Ann: 2017-10-05</t>
  </si>
  <si>
    <t>Ann: 2018-07-12</t>
  </si>
  <si>
    <t>Ann: 2009-06-17</t>
  </si>
  <si>
    <t>Ann: 1999-03-24</t>
  </si>
  <si>
    <t>Ann: 2002-08-28</t>
  </si>
  <si>
    <t>Ann: 2002-08-06</t>
  </si>
  <si>
    <t>Ann: 2009-05-29</t>
  </si>
  <si>
    <t>Ann: 2004-03-19</t>
  </si>
  <si>
    <t>Ann: 2005-12-01</t>
  </si>
  <si>
    <t>Ann: 1998-09-10</t>
  </si>
  <si>
    <t>Ann: 2020-10-01</t>
  </si>
  <si>
    <t>Ann: 2016-08-23</t>
  </si>
  <si>
    <t>Ann: 1998-04-24</t>
  </si>
  <si>
    <t>Ann: 2019-12-23</t>
  </si>
  <si>
    <t>Deal 3841</t>
  </si>
  <si>
    <t>Deal 3842</t>
  </si>
  <si>
    <t>Deal 3843</t>
  </si>
  <si>
    <t>Deal 3844</t>
  </si>
  <si>
    <t>Deal 3845</t>
  </si>
  <si>
    <t>Deal 3846</t>
  </si>
  <si>
    <t>Deal 3847</t>
  </si>
  <si>
    <t>Deal 3848</t>
  </si>
  <si>
    <t>Deal 3849</t>
  </si>
  <si>
    <t>Deal 3850</t>
  </si>
  <si>
    <t>Deal 3851</t>
  </si>
  <si>
    <t>Deal 3852</t>
  </si>
  <si>
    <t>Deal 3853</t>
  </si>
  <si>
    <t>Deal 3854</t>
  </si>
  <si>
    <t>Deal 3855</t>
  </si>
  <si>
    <t>Deal 3856</t>
  </si>
  <si>
    <t>Deal 3857</t>
  </si>
  <si>
    <t>Deal 3858</t>
  </si>
  <si>
    <t>Deal 3859</t>
  </si>
  <si>
    <t>Deal 3860</t>
  </si>
  <si>
    <t>Deal 3861</t>
  </si>
  <si>
    <t>Deal 3862</t>
  </si>
  <si>
    <t>Deal 3863</t>
  </si>
  <si>
    <t>Deal 3864</t>
  </si>
  <si>
    <t>Deal 3865</t>
  </si>
  <si>
    <t>Deal 3866</t>
  </si>
  <si>
    <t>Deal 3867</t>
  </si>
  <si>
    <t>Deal 3868</t>
  </si>
  <si>
    <t>Deal 3869</t>
  </si>
  <si>
    <t>Deal 3870</t>
  </si>
  <si>
    <t>Deal 3871</t>
  </si>
  <si>
    <t>Deal 3872</t>
  </si>
  <si>
    <t>Deal 3873</t>
  </si>
  <si>
    <t>Deal 3874</t>
  </si>
  <si>
    <t>Deal 3875</t>
  </si>
  <si>
    <t>Deal 3876</t>
  </si>
  <si>
    <t>Deal 3877</t>
  </si>
  <si>
    <t>Deal 3878</t>
  </si>
  <si>
    <t>Deal 3879</t>
  </si>
  <si>
    <t>Deal 3880</t>
  </si>
  <si>
    <t>DENTQ US Equity</t>
  </si>
  <si>
    <t>EBIXQ US Equity</t>
  </si>
  <si>
    <t>3372216Q US Equity</t>
  </si>
  <si>
    <t>NKLAQ US Equity</t>
  </si>
  <si>
    <t>3414924Q US Equity</t>
  </si>
  <si>
    <t>BMS US Equity</t>
  </si>
  <si>
    <t>13620Z US Equity</t>
  </si>
  <si>
    <t>724880Q US Equity</t>
  </si>
  <si>
    <t>NXWXQ US Equity</t>
  </si>
  <si>
    <t>AMNUQ US Equity</t>
  </si>
  <si>
    <t>FSBK US Equity</t>
  </si>
  <si>
    <t>BASXQ US Equity</t>
  </si>
  <si>
    <t>PSCXQ US Equity</t>
  </si>
  <si>
    <t>NEE US Equity</t>
  </si>
  <si>
    <t>Ann: 2001-09-18</t>
  </si>
  <si>
    <t>Ann: 1998-10-16</t>
  </si>
  <si>
    <t>Ann: 2006-06-13</t>
  </si>
  <si>
    <t>Ann: 2022-08-01</t>
  </si>
  <si>
    <t>Ann: 2007-02-09</t>
  </si>
  <si>
    <t>Ann: 2006-10-03</t>
  </si>
  <si>
    <t>Ann: 2007-03-28</t>
  </si>
  <si>
    <t>Ann: 2008-03-10</t>
  </si>
  <si>
    <t>Ann: 1996-04-25</t>
  </si>
  <si>
    <t>Ann: 2005-04-28</t>
  </si>
  <si>
    <t>Ann: 1998-12-17</t>
  </si>
  <si>
    <t>Ann: 2011-02-09</t>
  </si>
  <si>
    <t>Ann: 2003-09-29</t>
  </si>
  <si>
    <t>Deal 3881</t>
  </si>
  <si>
    <t>Deal 3882</t>
  </si>
  <si>
    <t>Deal 3883</t>
  </si>
  <si>
    <t>Deal 3884</t>
  </si>
  <si>
    <t>Deal 3885</t>
  </si>
  <si>
    <t>Deal 3886</t>
  </si>
  <si>
    <t>Deal 3887</t>
  </si>
  <si>
    <t>Deal 3888</t>
  </si>
  <si>
    <t>Deal 3889</t>
  </si>
  <si>
    <t>Deal 3890</t>
  </si>
  <si>
    <t>Deal 3891</t>
  </si>
  <si>
    <t>Deal 3892</t>
  </si>
  <si>
    <t>Deal 3893</t>
  </si>
  <si>
    <t>Deal 3894</t>
  </si>
  <si>
    <t>Deal 3895</t>
  </si>
  <si>
    <t>Deal 3896</t>
  </si>
  <si>
    <t>Deal 3897</t>
  </si>
  <si>
    <t>Deal 3898</t>
  </si>
  <si>
    <t>Deal 3899</t>
  </si>
  <si>
    <t>Deal 3900</t>
  </si>
  <si>
    <t>Deal 3901</t>
  </si>
  <si>
    <t>Deal 3902</t>
  </si>
  <si>
    <t>Deal 3903</t>
  </si>
  <si>
    <t>Deal 3904</t>
  </si>
  <si>
    <t>Deal 3905</t>
  </si>
  <si>
    <t>Deal 3906</t>
  </si>
  <si>
    <t>Deal 3907</t>
  </si>
  <si>
    <t>Deal 3908</t>
  </si>
  <si>
    <t>Deal 3909</t>
  </si>
  <si>
    <t>Deal 3910</t>
  </si>
  <si>
    <t>Deal 3911</t>
  </si>
  <si>
    <t>Deal 3912</t>
  </si>
  <si>
    <t>Deal 3913</t>
  </si>
  <si>
    <t>Deal 3914</t>
  </si>
  <si>
    <t>Deal 3915</t>
  </si>
  <si>
    <t>Deal 3916</t>
  </si>
  <si>
    <t>Deal 3917</t>
  </si>
  <si>
    <t>Deal 3918</t>
  </si>
  <si>
    <t>Deal 3919</t>
  </si>
  <si>
    <t>Deal 3920</t>
  </si>
  <si>
    <t>NVI US Equity</t>
  </si>
  <si>
    <t>CMCT US Equity</t>
  </si>
  <si>
    <t>PFNS US Equity</t>
  </si>
  <si>
    <t>ACAS US Equity</t>
  </si>
  <si>
    <t>EOG US Equity</t>
  </si>
  <si>
    <t>VNBCQ US Equity</t>
  </si>
  <si>
    <t>MWW US Equity</t>
  </si>
  <si>
    <t>MSTI US Equity</t>
  </si>
  <si>
    <t>CFBX US Equity</t>
  </si>
  <si>
    <t>GNMP US Equity</t>
  </si>
  <si>
    <t>3026164Q US Equity</t>
  </si>
  <si>
    <t>ORRF US Equity</t>
  </si>
  <si>
    <t>IXYS US Equity</t>
  </si>
  <si>
    <t>EBS US Equity</t>
  </si>
  <si>
    <t>540721Q US Equity</t>
  </si>
  <si>
    <t>DRYR US Equity</t>
  </si>
  <si>
    <t>ACTRQ US Equity</t>
  </si>
  <si>
    <t>1794548D US Equity</t>
  </si>
  <si>
    <t>CBNJ US Equity</t>
  </si>
  <si>
    <t>IDMCQ US Equity</t>
  </si>
  <si>
    <t>FNSCQ US Equity</t>
  </si>
  <si>
    <t>HEOP US Equity</t>
  </si>
  <si>
    <t>AMAL US Equity</t>
  </si>
  <si>
    <t>Ann: 2013-11-01</t>
  </si>
  <si>
    <t>Ann: 1998-07-14</t>
  </si>
  <si>
    <t>Ann: 2003-03-28</t>
  </si>
  <si>
    <t>Ann: 2008-12-05</t>
  </si>
  <si>
    <t>Ann: 2003-12-31</t>
  </si>
  <si>
    <t>Ann: 2008-01-09</t>
  </si>
  <si>
    <t>Ann: 1999-01-08</t>
  </si>
  <si>
    <t>Ann: 2018-10-23</t>
  </si>
  <si>
    <t>Ann: 2005-08-23</t>
  </si>
  <si>
    <t>Ann: 2016-11-15</t>
  </si>
  <si>
    <t>Ann: 2016-12-19</t>
  </si>
  <si>
    <t>Ann: 2001-08-09</t>
  </si>
  <si>
    <t>Ann: 2010-08-12</t>
  </si>
  <si>
    <t>Ann: 1998-10-12</t>
  </si>
  <si>
    <t>Ann: 2004-07-26</t>
  </si>
  <si>
    <t>Ann: 2015-10-05</t>
  </si>
  <si>
    <t>Ann: 2014-09-10</t>
  </si>
  <si>
    <t>Ann: 2014-08-07</t>
  </si>
  <si>
    <t>Ann: 2007-08-27</t>
  </si>
  <si>
    <t>Ann: 2017-12-15</t>
  </si>
  <si>
    <t>Deal 3921</t>
  </si>
  <si>
    <t>Deal 3922</t>
  </si>
  <si>
    <t>Deal 3923</t>
  </si>
  <si>
    <t>Deal 3924</t>
  </si>
  <si>
    <t>Deal 3925</t>
  </si>
  <si>
    <t>Deal 3926</t>
  </si>
  <si>
    <t>Deal 3927</t>
  </si>
  <si>
    <t>Deal 3928</t>
  </si>
  <si>
    <t>Deal 3929</t>
  </si>
  <si>
    <t>Deal 3930</t>
  </si>
  <si>
    <t>Deal 3931</t>
  </si>
  <si>
    <t>Deal 3932</t>
  </si>
  <si>
    <t>Deal 3933</t>
  </si>
  <si>
    <t>Deal 3934</t>
  </si>
  <si>
    <t>Deal 3935</t>
  </si>
  <si>
    <t>Deal 3936</t>
  </si>
  <si>
    <t>Deal 3937</t>
  </si>
  <si>
    <t>Deal 3938</t>
  </si>
  <si>
    <t>Deal 3939</t>
  </si>
  <si>
    <t>Deal 3940</t>
  </si>
  <si>
    <t>Deal 3941</t>
  </si>
  <si>
    <t>Deal 3942</t>
  </si>
  <si>
    <t>Deal 3943</t>
  </si>
  <si>
    <t>Deal 3944</t>
  </si>
  <si>
    <t>Deal 3945</t>
  </si>
  <si>
    <t>Deal 3946</t>
  </si>
  <si>
    <t>Deal 3947</t>
  </si>
  <si>
    <t>Deal 3948</t>
  </si>
  <si>
    <t>Deal 3949</t>
  </si>
  <si>
    <t>Deal 3950</t>
  </si>
  <si>
    <t>Deal 3951</t>
  </si>
  <si>
    <t>Deal 3952</t>
  </si>
  <si>
    <t>Deal 3953</t>
  </si>
  <si>
    <t>Deal 3954</t>
  </si>
  <si>
    <t>Deal 3955</t>
  </si>
  <si>
    <t>Deal 3956</t>
  </si>
  <si>
    <t>Deal 3957</t>
  </si>
  <si>
    <t>Deal 3958</t>
  </si>
  <si>
    <t>Deal 3959</t>
  </si>
  <si>
    <t>Deal 3960</t>
  </si>
  <si>
    <t>IPAS US Equity</t>
  </si>
  <si>
    <t>CTS US Equity</t>
  </si>
  <si>
    <t>RGS US Equity</t>
  </si>
  <si>
    <t>FTAR US Equity</t>
  </si>
  <si>
    <t>CBFV US Equity</t>
  </si>
  <si>
    <t>FNBCQ US Equity</t>
  </si>
  <si>
    <t>SCZC US Equity</t>
  </si>
  <si>
    <t>HTB US Equity</t>
  </si>
  <si>
    <t>JEFF US Equity</t>
  </si>
  <si>
    <t>CDOR US Equity</t>
  </si>
  <si>
    <t>MFSF US Equity</t>
  </si>
  <si>
    <t>CALP US Equity</t>
  </si>
  <si>
    <t>CFCB US Equity</t>
  </si>
  <si>
    <t>ARL US Equity</t>
  </si>
  <si>
    <t>BF/B US Equity</t>
  </si>
  <si>
    <t>ALNC US Equity</t>
  </si>
  <si>
    <t>SBKK US Equity</t>
  </si>
  <si>
    <t>Ann: 2008-02-06</t>
  </si>
  <si>
    <t>Ann: 1999-01-25</t>
  </si>
  <si>
    <t>Ann: 2003-09-25</t>
  </si>
  <si>
    <t>Ann: 2011-01-04</t>
  </si>
  <si>
    <t>Ann: 1996-03-25</t>
  </si>
  <si>
    <t>Ann: 2014-04-14</t>
  </si>
  <si>
    <t>Ann: 2014-12-30</t>
  </si>
  <si>
    <t>Ann: 2007-10-02</t>
  </si>
  <si>
    <t>Ann: 2014-01-23</t>
  </si>
  <si>
    <t>Ann: 2014-07-23</t>
  </si>
  <si>
    <t>Ann: 2012-08-18</t>
  </si>
  <si>
    <t>Ann: 2017-04-20</t>
  </si>
  <si>
    <t>Ann: 1998-03-19</t>
  </si>
  <si>
    <t>Ann: 1999-06-11</t>
  </si>
  <si>
    <t>Ann: 2008-01-08</t>
  </si>
  <si>
    <t>Ann: 2020-12-23</t>
  </si>
  <si>
    <t>Ann: 2006-02-13</t>
  </si>
  <si>
    <t>Ann: 2014-09-25</t>
  </si>
  <si>
    <t>Ann: 2001-06-22</t>
  </si>
  <si>
    <t>Ann: 2008-05-08</t>
  </si>
  <si>
    <t>Ann: 2017-11-07</t>
  </si>
  <si>
    <t>Ann: 2008-02-21</t>
  </si>
  <si>
    <t>Deal 3961</t>
  </si>
  <si>
    <t>Deal 3962</t>
  </si>
  <si>
    <t>Deal 3963</t>
  </si>
  <si>
    <t>Deal 3964</t>
  </si>
  <si>
    <t>Deal 3965</t>
  </si>
  <si>
    <t>Deal 3966</t>
  </si>
  <si>
    <t>Deal 3967</t>
  </si>
  <si>
    <t>Deal 3968</t>
  </si>
  <si>
    <t>Deal 3969</t>
  </si>
  <si>
    <t>Deal 3970</t>
  </si>
  <si>
    <t>Deal 3971</t>
  </si>
  <si>
    <t>Deal 3972</t>
  </si>
  <si>
    <t>Deal 3973</t>
  </si>
  <si>
    <t>Deal 3974</t>
  </si>
  <si>
    <t>Deal 3975</t>
  </si>
  <si>
    <t>Deal 3976</t>
  </si>
  <si>
    <t>Deal 3977</t>
  </si>
  <si>
    <t>Deal 3978</t>
  </si>
  <si>
    <t>Deal 3979</t>
  </si>
  <si>
    <t>Deal 3980</t>
  </si>
  <si>
    <t>Deal 3981</t>
  </si>
  <si>
    <t>Deal 3982</t>
  </si>
  <si>
    <t>Deal 3983</t>
  </si>
  <si>
    <t>Deal 3984</t>
  </si>
  <si>
    <t>Deal 3985</t>
  </si>
  <si>
    <t>Deal 3986</t>
  </si>
  <si>
    <t>Deal 3987</t>
  </si>
  <si>
    <t>Deal 3988</t>
  </si>
  <si>
    <t>Deal 3989</t>
  </si>
  <si>
    <t>Deal 3990</t>
  </si>
  <si>
    <t>Deal 3991</t>
  </si>
  <si>
    <t>Deal 3992</t>
  </si>
  <si>
    <t>Deal 3993</t>
  </si>
  <si>
    <t>Deal 3994</t>
  </si>
  <si>
    <t>Deal 3995</t>
  </si>
  <si>
    <t>Deal 3996</t>
  </si>
  <si>
    <t>Deal 3997</t>
  </si>
  <si>
    <t>Deal 3998</t>
  </si>
  <si>
    <t>Deal 3999</t>
  </si>
  <si>
    <t>Deal 4000</t>
  </si>
  <si>
    <t>VSB US Equity</t>
  </si>
  <si>
    <t>MKTW US Equity</t>
  </si>
  <si>
    <t>MCYF US Equity</t>
  </si>
  <si>
    <t>CELPQ US Equity</t>
  </si>
  <si>
    <t>ACNB US Equity</t>
  </si>
  <si>
    <t>BNBN US Equity</t>
  </si>
  <si>
    <t>TIBX US Equity</t>
  </si>
  <si>
    <t>55148Q US Equity</t>
  </si>
  <si>
    <t>ALOY US Equity</t>
  </si>
  <si>
    <t>MORN US Equity</t>
  </si>
  <si>
    <t>ESCC US Equity</t>
  </si>
  <si>
    <t>TUPBQ US Equity</t>
  </si>
  <si>
    <t>RCAPQ US Equity</t>
  </si>
  <si>
    <t>ESXB US Equity</t>
  </si>
  <si>
    <t>213339Q US Equity</t>
  </si>
  <si>
    <t>FNWD US Equity</t>
  </si>
  <si>
    <t>PICM US Equity</t>
  </si>
  <si>
    <t>RLH US Equity</t>
  </si>
  <si>
    <t>CKR US Equity</t>
  </si>
  <si>
    <t>STND US Equity</t>
  </si>
  <si>
    <t>SBKCQ US Equity</t>
  </si>
  <si>
    <t>Ann: 2012-09-25</t>
  </si>
  <si>
    <t>Ann: 2015-02-23</t>
  </si>
  <si>
    <t>Ann: 2019-07-02</t>
  </si>
  <si>
    <t>Ann: 2012-03-27</t>
  </si>
  <si>
    <t>Ann: 2000-09-14</t>
  </si>
  <si>
    <t>Ann: 2010-12-15</t>
  </si>
  <si>
    <t>Ann: 2003-07-31</t>
  </si>
  <si>
    <t>Ann: 2001-10-05</t>
  </si>
  <si>
    <t>Ann: 2013-10-02</t>
  </si>
  <si>
    <t>Ann: 2007-12-14</t>
  </si>
  <si>
    <t>Ann: 2018-11-06</t>
  </si>
  <si>
    <t>Ann: 2001-11-02</t>
  </si>
  <si>
    <t>Ann: 2012-10-22</t>
  </si>
  <si>
    <t>Ann: 2002-09-23</t>
  </si>
  <si>
    <t>Ann: 2016-08-29</t>
  </si>
  <si>
    <t>Ann: 2006-04-19</t>
  </si>
  <si>
    <t>Deal 4001</t>
  </si>
  <si>
    <t>Deal 4002</t>
  </si>
  <si>
    <t>Deal 4003</t>
  </si>
  <si>
    <t>Deal 4004</t>
  </si>
  <si>
    <t>Deal 4005</t>
  </si>
  <si>
    <t>Deal 4006</t>
  </si>
  <si>
    <t>Deal 4007</t>
  </si>
  <si>
    <t>Deal 4008</t>
  </si>
  <si>
    <t>Deal 4009</t>
  </si>
  <si>
    <t>Deal 4010</t>
  </si>
  <si>
    <t>Deal 4011</t>
  </si>
  <si>
    <t>Deal 4012</t>
  </si>
  <si>
    <t>Deal 4013</t>
  </si>
  <si>
    <t>Deal 4014</t>
  </si>
  <si>
    <t>Deal 4015</t>
  </si>
  <si>
    <t>Deal 4016</t>
  </si>
  <si>
    <t>Deal 4017</t>
  </si>
  <si>
    <t>Deal 4018</t>
  </si>
  <si>
    <t>Deal 4019</t>
  </si>
  <si>
    <t>Deal 4020</t>
  </si>
  <si>
    <t>Deal 4021</t>
  </si>
  <si>
    <t>Deal 4022</t>
  </si>
  <si>
    <t>Deal 4023</t>
  </si>
  <si>
    <t>Deal 4024</t>
  </si>
  <si>
    <t>Deal 4025</t>
  </si>
  <si>
    <t>Deal 4026</t>
  </si>
  <si>
    <t>Deal 4027</t>
  </si>
  <si>
    <t>Deal 4028</t>
  </si>
  <si>
    <t>Deal 4029</t>
  </si>
  <si>
    <t>Deal 4030</t>
  </si>
  <si>
    <t>Deal 4031</t>
  </si>
  <si>
    <t>Deal 4032</t>
  </si>
  <si>
    <t>Deal 4033</t>
  </si>
  <si>
    <t>Deal 4034</t>
  </si>
  <si>
    <t>Deal 4035</t>
  </si>
  <si>
    <t>Deal 4036</t>
  </si>
  <si>
    <t>Deal 4037</t>
  </si>
  <si>
    <t>Deal 4038</t>
  </si>
  <si>
    <t>Deal 4039</t>
  </si>
  <si>
    <t>Deal 4040</t>
  </si>
  <si>
    <t>SEAP US Equity</t>
  </si>
  <si>
    <t>HPOL US Equity</t>
  </si>
  <si>
    <t>CKEC US Equity</t>
  </si>
  <si>
    <t>BKU US Equity</t>
  </si>
  <si>
    <t>PSD US Equity</t>
  </si>
  <si>
    <t>DGII US Equity</t>
  </si>
  <si>
    <t>FBA US Equity</t>
  </si>
  <si>
    <t>KBAL US Equity</t>
  </si>
  <si>
    <t>TOBC US Equity</t>
  </si>
  <si>
    <t>NTUS US Equity</t>
  </si>
  <si>
    <t>FJCC US Equity</t>
  </si>
  <si>
    <t>FCCO US Equity</t>
  </si>
  <si>
    <t>Ann: 2017-12-06</t>
  </si>
  <si>
    <t>Ann: 2001-08-06</t>
  </si>
  <si>
    <t>Ann: 2014-05-15</t>
  </si>
  <si>
    <t>Ann: 2004-09-08</t>
  </si>
  <si>
    <t>Ann: 2011-06-02</t>
  </si>
  <si>
    <t>Ann: 2005-04-13</t>
  </si>
  <si>
    <t>Ann: 2013-11-18</t>
  </si>
  <si>
    <t>Ann: 2009-12-23</t>
  </si>
  <si>
    <t>Ann: 2012-09-10</t>
  </si>
  <si>
    <t>Ann: 2003-09-03</t>
  </si>
  <si>
    <t>Ann: 2006-12-19</t>
  </si>
  <si>
    <t>Ann: 2009-12-28</t>
  </si>
  <si>
    <t>Ann: 2002-06-28</t>
  </si>
  <si>
    <t>Ann: 2005-10-17</t>
  </si>
  <si>
    <t>Ann: 1998-06-25</t>
  </si>
  <si>
    <t>Ann: 2002-09-27</t>
  </si>
  <si>
    <t>Ann: 2015-07-09</t>
  </si>
  <si>
    <t>Ann: 2002-07-31</t>
  </si>
  <si>
    <t>Ann: 2009-05-07</t>
  </si>
  <si>
    <t>Deal 4041</t>
  </si>
  <si>
    <t>Deal 4042</t>
  </si>
  <si>
    <t>Deal 4043</t>
  </si>
  <si>
    <t>Deal 4044</t>
  </si>
  <si>
    <t>Deal 4045</t>
  </si>
  <si>
    <t>Deal 4046</t>
  </si>
  <si>
    <t>Deal 4047</t>
  </si>
  <si>
    <t>Deal 4048</t>
  </si>
  <si>
    <t>Deal 4049</t>
  </si>
  <si>
    <t>Deal 4050</t>
  </si>
  <si>
    <t>Deal 4051</t>
  </si>
  <si>
    <t>Deal 4052</t>
  </si>
  <si>
    <t>Deal 4053</t>
  </si>
  <si>
    <t>Deal 4054</t>
  </si>
  <si>
    <t>Deal 4055</t>
  </si>
  <si>
    <t>Deal 4056</t>
  </si>
  <si>
    <t>Deal 4057</t>
  </si>
  <si>
    <t>Deal 4058</t>
  </si>
  <si>
    <t>Deal 4059</t>
  </si>
  <si>
    <t>Deal 4060</t>
  </si>
  <si>
    <t>Deal 4061</t>
  </si>
  <si>
    <t>Deal 4062</t>
  </si>
  <si>
    <t>Deal 4063</t>
  </si>
  <si>
    <t>Deal 4064</t>
  </si>
  <si>
    <t>Deal 4065</t>
  </si>
  <si>
    <t>Deal 4066</t>
  </si>
  <si>
    <t>Deal 4067</t>
  </si>
  <si>
    <t>Deal 4068</t>
  </si>
  <si>
    <t>Deal 4069</t>
  </si>
  <si>
    <t>Deal 4070</t>
  </si>
  <si>
    <t>Deal 4071</t>
  </si>
  <si>
    <t>Deal 4072</t>
  </si>
  <si>
    <t>Deal 4073</t>
  </si>
  <si>
    <t>Deal 4074</t>
  </si>
  <si>
    <t>Deal 4075</t>
  </si>
  <si>
    <t>Deal 4076</t>
  </si>
  <si>
    <t>Deal 4077</t>
  </si>
  <si>
    <t>Deal 4078</t>
  </si>
  <si>
    <t>Deal 4079</t>
  </si>
  <si>
    <t>Deal 4080</t>
  </si>
  <si>
    <t>2310330D US Equity</t>
  </si>
  <si>
    <t>PFBI US Equity</t>
  </si>
  <si>
    <t>RIVE US Equity</t>
  </si>
  <si>
    <t>SBNC US Equity</t>
  </si>
  <si>
    <t>HAE US Equity</t>
  </si>
  <si>
    <t>RCKT US Equity</t>
  </si>
  <si>
    <t>FORR US Equity</t>
  </si>
  <si>
    <t>BCAL US Equity</t>
  </si>
  <si>
    <t>FCCY US Equity</t>
  </si>
  <si>
    <t>HILL US Equity</t>
  </si>
  <si>
    <t>3470770Q US Equity</t>
  </si>
  <si>
    <t>VEXPQ US Equity</t>
  </si>
  <si>
    <t>NWKC US Equity</t>
  </si>
  <si>
    <t>RJET US Equity</t>
  </si>
  <si>
    <t>STXN US Equity</t>
  </si>
  <si>
    <t>CWLM US Equity</t>
  </si>
  <si>
    <t>PWOD US Equity</t>
  </si>
  <si>
    <t>BCBP US Equity</t>
  </si>
  <si>
    <t>PICZQ US Equity</t>
  </si>
  <si>
    <t>PCBK US Equity</t>
  </si>
  <si>
    <t>SDAB US Equity</t>
  </si>
  <si>
    <t>3518429Q US Equity</t>
  </si>
  <si>
    <t>Ann: 1996-02-14</t>
  </si>
  <si>
    <t>Ann: 2015-07-07</t>
  </si>
  <si>
    <t>Ann: 2010-02-01</t>
  </si>
  <si>
    <t>Ann: 2022-09-20</t>
  </si>
  <si>
    <t>Ann: 2015-04-23</t>
  </si>
  <si>
    <t>Ann: 2021-04-27</t>
  </si>
  <si>
    <t>Ann: 2001-01-31</t>
  </si>
  <si>
    <t>Ann: 2003-03-21</t>
  </si>
  <si>
    <t>Ann: 2001-12-19</t>
  </si>
  <si>
    <t>Ann: 2004-03-11</t>
  </si>
  <si>
    <t>Ann: 2021-11-01</t>
  </si>
  <si>
    <t>Ann: 1998-08-28</t>
  </si>
  <si>
    <t>Ann: 2001-04-19</t>
  </si>
  <si>
    <t>Ann: 2004-08-03</t>
  </si>
  <si>
    <t>Ann: 2009-06-30</t>
  </si>
  <si>
    <t>Ann: 2003-10-15</t>
  </si>
  <si>
    <t>Ann: 1998-04-23</t>
  </si>
  <si>
    <t>Ann: 2003-02-06</t>
  </si>
  <si>
    <t>Ann: 2001-01-04</t>
  </si>
  <si>
    <t>Deal 4081</t>
  </si>
  <si>
    <t>Deal 4082</t>
  </si>
  <si>
    <t>Deal 4083</t>
  </si>
  <si>
    <t>Deal 4084</t>
  </si>
  <si>
    <t>Deal 4085</t>
  </si>
  <si>
    <t>Deal 4086</t>
  </si>
  <si>
    <t>Deal 4087</t>
  </si>
  <si>
    <t>Deal 4088</t>
  </si>
  <si>
    <t>Deal 4089</t>
  </si>
  <si>
    <t>Deal 4090</t>
  </si>
  <si>
    <t>Deal 4091</t>
  </si>
  <si>
    <t>Deal 4092</t>
  </si>
  <si>
    <t>Deal 4093</t>
  </si>
  <si>
    <t>Deal 4094</t>
  </si>
  <si>
    <t>Deal 4095</t>
  </si>
  <si>
    <t>Deal 4096</t>
  </si>
  <si>
    <t>Deal 4097</t>
  </si>
  <si>
    <t>Deal 4098</t>
  </si>
  <si>
    <t>Deal 4099</t>
  </si>
  <si>
    <t>Deal 4100</t>
  </si>
  <si>
    <t>Deal 4101</t>
  </si>
  <si>
    <t>Deal 4102</t>
  </si>
  <si>
    <t>Deal 4103</t>
  </si>
  <si>
    <t>Deal 4104</t>
  </si>
  <si>
    <t>Deal 4105</t>
  </si>
  <si>
    <t>Deal 4106</t>
  </si>
  <si>
    <t>Deal 4107</t>
  </si>
  <si>
    <t>Deal 4108</t>
  </si>
  <si>
    <t>Deal 4109</t>
  </si>
  <si>
    <t>Deal 4110</t>
  </si>
  <si>
    <t>Deal 4111</t>
  </si>
  <si>
    <t>Deal 4112</t>
  </si>
  <si>
    <t>Deal 4113</t>
  </si>
  <si>
    <t>Deal 4114</t>
  </si>
  <si>
    <t>Deal 4115</t>
  </si>
  <si>
    <t>Deal 4116</t>
  </si>
  <si>
    <t>Deal 4117</t>
  </si>
  <si>
    <t>Deal 4118</t>
  </si>
  <si>
    <t>Deal 4119</t>
  </si>
  <si>
    <t>Deal 4120</t>
  </si>
  <si>
    <t>SMMF US Equity</t>
  </si>
  <si>
    <t>FFOH US Equity</t>
  </si>
  <si>
    <t>SBBX US Equity</t>
  </si>
  <si>
    <t>2318580D US Equity</t>
  </si>
  <si>
    <t>APOL US Equity</t>
  </si>
  <si>
    <t>FNIN US Equity</t>
  </si>
  <si>
    <t>KGM US Equity</t>
  </si>
  <si>
    <t>CLDA US Equity</t>
  </si>
  <si>
    <t>FNLC US Equity</t>
  </si>
  <si>
    <t>CICN US Equity</t>
  </si>
  <si>
    <t>PGI US Equity</t>
  </si>
  <si>
    <t>CJBK US Equity</t>
  </si>
  <si>
    <t>ANLD US Equity</t>
  </si>
  <si>
    <t>ENERQ US Equity</t>
  </si>
  <si>
    <t>NGEN US Equity</t>
  </si>
  <si>
    <t>ZANYQ US Equity</t>
  </si>
  <si>
    <t>BKH US Equity</t>
  </si>
  <si>
    <t>CNMD US Equity</t>
  </si>
  <si>
    <t>FHI US Equity</t>
  </si>
  <si>
    <t>SJNB US Equity</t>
  </si>
  <si>
    <t>CACI US Equity</t>
  </si>
  <si>
    <t>BSBN US Equity</t>
  </si>
  <si>
    <t>3562186Q US Equity</t>
  </si>
  <si>
    <t>PRGS US Equity</t>
  </si>
  <si>
    <t>Ann: 1998-08-25</t>
  </si>
  <si>
    <t>Ann: 2002-02-01</t>
  </si>
  <si>
    <t>Ann: 2005-09-28</t>
  </si>
  <si>
    <t>Ann: 2007-04-27</t>
  </si>
  <si>
    <t>Ann: 2016-11-08</t>
  </si>
  <si>
    <t>Ann: 2007-08-08</t>
  </si>
  <si>
    <t>Ann: 2001-05-21</t>
  </si>
  <si>
    <t>Ann: 1998-01-28</t>
  </si>
  <si>
    <t>Ann: 2022-01-07</t>
  </si>
  <si>
    <t>Ann: 2005-06-21</t>
  </si>
  <si>
    <t>Ann: 2004-08-26</t>
  </si>
  <si>
    <t>Ann: 1999-10-20</t>
  </si>
  <si>
    <t>Ann: 2004-06-30</t>
  </si>
  <si>
    <t>Ann: 1999-08-31</t>
  </si>
  <si>
    <t>Ann: 2004-09-07</t>
  </si>
  <si>
    <t>Ann: 2004-01-20</t>
  </si>
  <si>
    <t>Ann: 2006-12-14</t>
  </si>
  <si>
    <t>Ann: 2000-04-24</t>
  </si>
  <si>
    <t>Ann: 2002-10-01</t>
  </si>
  <si>
    <t>Ann: 1998-05-19</t>
  </si>
  <si>
    <t>Ann: 1998-02-10</t>
  </si>
  <si>
    <t>Deal 4121</t>
  </si>
  <si>
    <t>Deal 4122</t>
  </si>
  <si>
    <t>Deal 4123</t>
  </si>
  <si>
    <t>Deal 4124</t>
  </si>
  <si>
    <t>Deal 4125</t>
  </si>
  <si>
    <t>Deal 4126</t>
  </si>
  <si>
    <t>Deal 4127</t>
  </si>
  <si>
    <t>Deal 4128</t>
  </si>
  <si>
    <t>Deal 4129</t>
  </si>
  <si>
    <t>Deal 4130</t>
  </si>
  <si>
    <t>Deal 4131</t>
  </si>
  <si>
    <t>Deal 4132</t>
  </si>
  <si>
    <t>Deal 4133</t>
  </si>
  <si>
    <t>Deal 4134</t>
  </si>
  <si>
    <t>Deal 4135</t>
  </si>
  <si>
    <t>Deal 4136</t>
  </si>
  <si>
    <t>Deal 4137</t>
  </si>
  <si>
    <t>Deal 4138</t>
  </si>
  <si>
    <t>Deal 4139</t>
  </si>
  <si>
    <t>Deal 4140</t>
  </si>
  <si>
    <t>Deal 4141</t>
  </si>
  <si>
    <t>Deal 4142</t>
  </si>
  <si>
    <t>Deal 4143</t>
  </si>
  <si>
    <t>Deal 4144</t>
  </si>
  <si>
    <t>Deal 4145</t>
  </si>
  <si>
    <t>Deal 4146</t>
  </si>
  <si>
    <t>Deal 4147</t>
  </si>
  <si>
    <t>Deal 4148</t>
  </si>
  <si>
    <t>Deal 4149</t>
  </si>
  <si>
    <t>Deal 4150</t>
  </si>
  <si>
    <t>Deal 4151</t>
  </si>
  <si>
    <t>Deal 4152</t>
  </si>
  <si>
    <t>Deal 4153</t>
  </si>
  <si>
    <t>Deal 4154</t>
  </si>
  <si>
    <t>Deal 4155</t>
  </si>
  <si>
    <t>Deal 4156</t>
  </si>
  <si>
    <t>Deal 4157</t>
  </si>
  <si>
    <t>Deal 4158</t>
  </si>
  <si>
    <t>Deal 4159</t>
  </si>
  <si>
    <t>Deal 4160</t>
  </si>
  <si>
    <t>1448062D US Equity</t>
  </si>
  <si>
    <t>MBCRQ US Equity</t>
  </si>
  <si>
    <t>TYPE US Equity</t>
  </si>
  <si>
    <t>RBBN US Equity</t>
  </si>
  <si>
    <t>WTFC US Equity</t>
  </si>
  <si>
    <t>1763635D US Equity</t>
  </si>
  <si>
    <t>TLSW US Equity</t>
  </si>
  <si>
    <t>DHMS US Equity</t>
  </si>
  <si>
    <t>MNAT US Equity</t>
  </si>
  <si>
    <t>CFNL US Equity</t>
  </si>
  <si>
    <t>BERK US Equity</t>
  </si>
  <si>
    <t>WASH US Equity</t>
  </si>
  <si>
    <t>AGEN US Equity</t>
  </si>
  <si>
    <t>SFTGQ US Equity</t>
  </si>
  <si>
    <t>SBCF US Equity</t>
  </si>
  <si>
    <t>ISRG US Equity</t>
  </si>
  <si>
    <t>AURU US Equity</t>
  </si>
  <si>
    <t>3195391Z US Equity</t>
  </si>
  <si>
    <t>Ann: 2008-04-18</t>
  </si>
  <si>
    <t>Ann: 2006-05-31</t>
  </si>
  <si>
    <t>Ann: 2000-06-05</t>
  </si>
  <si>
    <t>Ann: 2003-01-23</t>
  </si>
  <si>
    <t>Ann: 2011-11-10</t>
  </si>
  <si>
    <t>Ann: 2012-06-19</t>
  </si>
  <si>
    <t>Ann: 2006-10-04</t>
  </si>
  <si>
    <t>Ann: 2022-05-23</t>
  </si>
  <si>
    <t>Ann: 1998-06-12</t>
  </si>
  <si>
    <t>Ann: 2007-08-30</t>
  </si>
  <si>
    <t>Ann: 1998-03-12</t>
  </si>
  <si>
    <t>Ann: 1998-03-06</t>
  </si>
  <si>
    <t>Ann: 2011-11-16</t>
  </si>
  <si>
    <t>Ann: 2005-12-29</t>
  </si>
  <si>
    <t>Ann: 2001-11-13</t>
  </si>
  <si>
    <t>Ann: 1998-08-19</t>
  </si>
  <si>
    <t>Ann: 2015-10-14</t>
  </si>
  <si>
    <t>Ann: 2003-11-04</t>
  </si>
  <si>
    <t>Ann: 2022-08-09</t>
  </si>
  <si>
    <t>Ann: 2005-11-22</t>
  </si>
  <si>
    <t>Ann: 2003-03-07</t>
  </si>
  <si>
    <t>Ann: 2014-11-19</t>
  </si>
  <si>
    <t>Ann: 1998-02-12</t>
  </si>
  <si>
    <t>Ann: 2001-06-15</t>
  </si>
  <si>
    <t>Deal 4161</t>
  </si>
  <si>
    <t>Deal 4162</t>
  </si>
  <si>
    <t>Deal 4163</t>
  </si>
  <si>
    <t>Deal 4164</t>
  </si>
  <si>
    <t>Deal 4165</t>
  </si>
  <si>
    <t>Deal 4166</t>
  </si>
  <si>
    <t>Deal 4167</t>
  </si>
  <si>
    <t>Deal 4168</t>
  </si>
  <si>
    <t>Deal 4169</t>
  </si>
  <si>
    <t>Deal 4170</t>
  </si>
  <si>
    <t>Deal 4171</t>
  </si>
  <si>
    <t>Deal 4172</t>
  </si>
  <si>
    <t>Deal 4173</t>
  </si>
  <si>
    <t>Deal 4174</t>
  </si>
  <si>
    <t>Deal 4175</t>
  </si>
  <si>
    <t>Deal 4176</t>
  </si>
  <si>
    <t>Deal 4177</t>
  </si>
  <si>
    <t>Deal 4178</t>
  </si>
  <si>
    <t>Deal 4179</t>
  </si>
  <si>
    <t>Deal 4180</t>
  </si>
  <si>
    <t>Deal 4181</t>
  </si>
  <si>
    <t>Deal 4182</t>
  </si>
  <si>
    <t>Deal 4183</t>
  </si>
  <si>
    <t>Deal 4184</t>
  </si>
  <si>
    <t>Deal 4185</t>
  </si>
  <si>
    <t>Deal 4186</t>
  </si>
  <si>
    <t>Deal 4187</t>
  </si>
  <si>
    <t>Deal 4188</t>
  </si>
  <si>
    <t>Deal 4189</t>
  </si>
  <si>
    <t>Deal 4190</t>
  </si>
  <si>
    <t>Deal 4191</t>
  </si>
  <si>
    <t>Deal 4192</t>
  </si>
  <si>
    <t>Deal 4193</t>
  </si>
  <si>
    <t>Deal 4194</t>
  </si>
  <si>
    <t>Deal 4195</t>
  </si>
  <si>
    <t>Deal 4196</t>
  </si>
  <si>
    <t>Deal 4197</t>
  </si>
  <si>
    <t>Deal 4198</t>
  </si>
  <si>
    <t>Deal 4199</t>
  </si>
  <si>
    <t>Deal 4200</t>
  </si>
  <si>
    <t>EBF US Equity</t>
  </si>
  <si>
    <t>229195Q US Equity</t>
  </si>
  <si>
    <t>CZWI US Equity</t>
  </si>
  <si>
    <t>2452714D US Equity</t>
  </si>
  <si>
    <t>URGP US Equity</t>
  </si>
  <si>
    <t>DDD US Equity</t>
  </si>
  <si>
    <t>SLCT US Equity</t>
  </si>
  <si>
    <t>375689Q US Equity</t>
  </si>
  <si>
    <t>TWRV US Equity</t>
  </si>
  <si>
    <t>SFFS US Equity</t>
  </si>
  <si>
    <t>SEVN US Equity</t>
  </si>
  <si>
    <t>3489Q US Equity</t>
  </si>
  <si>
    <t>FBMI US Equity</t>
  </si>
  <si>
    <t>ARBA US Equity</t>
  </si>
  <si>
    <t>TMD US Equity</t>
  </si>
  <si>
    <t>Ann: 2012-01-18</t>
  </si>
  <si>
    <t>Ann: 2017-03-17</t>
  </si>
  <si>
    <t>Ann: 1999-09-16</t>
  </si>
  <si>
    <t>Ann: 2013-05-02</t>
  </si>
  <si>
    <t>Ann: 2005-08-17</t>
  </si>
  <si>
    <t>Ann: 2018-02-22</t>
  </si>
  <si>
    <t>Ann: 2007-06-14</t>
  </si>
  <si>
    <t>Ann: 2018-11-13</t>
  </si>
  <si>
    <t>Ann: 2000-05-23</t>
  </si>
  <si>
    <t>Ann: 2017-06-15</t>
  </si>
  <si>
    <t>Ann: 2002-09-04</t>
  </si>
  <si>
    <t>Ann: 2007-02-01</t>
  </si>
  <si>
    <t>Ann: 2000-03-03</t>
  </si>
  <si>
    <t>Ann: 2008-06-11</t>
  </si>
  <si>
    <t>Ann: 2019-08-19</t>
  </si>
  <si>
    <t>Ann: 2011-12-09</t>
  </si>
  <si>
    <t>Ann: 2004-08-04</t>
  </si>
  <si>
    <t>Deal 4201</t>
  </si>
  <si>
    <t>Deal 4202</t>
  </si>
  <si>
    <t>Deal 4203</t>
  </si>
  <si>
    <t>Deal 4204</t>
  </si>
  <si>
    <t>Deal 4205</t>
  </si>
  <si>
    <t>Deal 4206</t>
  </si>
  <si>
    <t>Deal 4207</t>
  </si>
  <si>
    <t>Deal 4208</t>
  </si>
  <si>
    <t>Deal 4209</t>
  </si>
  <si>
    <t>Deal 4210</t>
  </si>
  <si>
    <t>Deal 4211</t>
  </si>
  <si>
    <t>Deal 4212</t>
  </si>
  <si>
    <t>Deal 4213</t>
  </si>
  <si>
    <t>Deal 4214</t>
  </si>
  <si>
    <t>Deal 4215</t>
  </si>
  <si>
    <t>Deal 4216</t>
  </si>
  <si>
    <t>Deal 4217</t>
  </si>
  <si>
    <t>Deal 4218</t>
  </si>
  <si>
    <t>Deal 4219</t>
  </si>
  <si>
    <t>Deal 4220</t>
  </si>
  <si>
    <t>Deal 4221</t>
  </si>
  <si>
    <t>Deal 4222</t>
  </si>
  <si>
    <t>Deal 4223</t>
  </si>
  <si>
    <t>Deal 4224</t>
  </si>
  <si>
    <t>Deal 4225</t>
  </si>
  <si>
    <t>Deal 4226</t>
  </si>
  <si>
    <t>Deal 4227</t>
  </si>
  <si>
    <t>Deal 4228</t>
  </si>
  <si>
    <t>Deal 4229</t>
  </si>
  <si>
    <t>Deal 4230</t>
  </si>
  <si>
    <t>Deal 4231</t>
  </si>
  <si>
    <t>Deal 4232</t>
  </si>
  <si>
    <t>Deal 4233</t>
  </si>
  <si>
    <t>Deal 4234</t>
  </si>
  <si>
    <t>Deal 4235</t>
  </si>
  <si>
    <t>Deal 4236</t>
  </si>
  <si>
    <t>Deal 4237</t>
  </si>
  <si>
    <t>Deal 4238</t>
  </si>
  <si>
    <t>Deal 4239</t>
  </si>
  <si>
    <t>Deal 4240</t>
  </si>
  <si>
    <t>PBIP US Equity</t>
  </si>
  <si>
    <t>AYTU US Equity</t>
  </si>
  <si>
    <t>PMRY US Equity</t>
  </si>
  <si>
    <t>DRTE US Equity</t>
  </si>
  <si>
    <t>FCNB US Equity</t>
  </si>
  <si>
    <t>2714244Q US Equity</t>
  </si>
  <si>
    <t>IRF US Equity</t>
  </si>
  <si>
    <t>SRCL US Equity</t>
  </si>
  <si>
    <t>GSIC US Equity</t>
  </si>
  <si>
    <t>MCOAQ US Equity</t>
  </si>
  <si>
    <t>CSBC US Equity</t>
  </si>
  <si>
    <t>FLXS US Equity</t>
  </si>
  <si>
    <t>PVSA US Equity</t>
  </si>
  <si>
    <t>896649Q US Equity</t>
  </si>
  <si>
    <t>EPAY US Equity</t>
  </si>
  <si>
    <t>TCFC US Equity</t>
  </si>
  <si>
    <t>Ann: 2009-02-02</t>
  </si>
  <si>
    <t>Ann: 2016-06-02</t>
  </si>
  <si>
    <t>Ann: 2020-12-10</t>
  </si>
  <si>
    <t>Ann: 2004-05-11</t>
  </si>
  <si>
    <t>Ann: 2014-04-04</t>
  </si>
  <si>
    <t>Ann: 1999-03-12</t>
  </si>
  <si>
    <t>Ann: 2011-08-31</t>
  </si>
  <si>
    <t>Ann: 2003-11-07</t>
  </si>
  <si>
    <t>Ann: 2004-01-09</t>
  </si>
  <si>
    <t>Ann: 2017-06-02</t>
  </si>
  <si>
    <t>Ann: 1998-01-06</t>
  </si>
  <si>
    <t>Ann: 1998-04-08</t>
  </si>
  <si>
    <t>Ann: 2012-05-22</t>
  </si>
  <si>
    <t>Ann: 2005-08-03</t>
  </si>
  <si>
    <t>Ann: 2003-08-13</t>
  </si>
  <si>
    <t>Ann: 2004-09-01</t>
  </si>
  <si>
    <t>Ann: 2008-07-08</t>
  </si>
  <si>
    <t>Ann: 2008-03-03</t>
  </si>
  <si>
    <t>Ann: 2005-10-26</t>
  </si>
  <si>
    <t>Ann: 2013-05-14</t>
  </si>
  <si>
    <t>Deal 4241</t>
  </si>
  <si>
    <t>Deal 4242</t>
  </si>
  <si>
    <t>Deal 4243</t>
  </si>
  <si>
    <t>Deal 4244</t>
  </si>
  <si>
    <t>Deal 4245</t>
  </si>
  <si>
    <t>Deal 4246</t>
  </si>
  <si>
    <t>Deal 4247</t>
  </si>
  <si>
    <t>Deal 4248</t>
  </si>
  <si>
    <t>Deal 4249</t>
  </si>
  <si>
    <t>Deal 4250</t>
  </si>
  <si>
    <t>Deal 4251</t>
  </si>
  <si>
    <t>Deal 4252</t>
  </si>
  <si>
    <t>Deal 4253</t>
  </si>
  <si>
    <t>Deal 4254</t>
  </si>
  <si>
    <t>Deal 4255</t>
  </si>
  <si>
    <t>Deal 4256</t>
  </si>
  <si>
    <t>Deal 4257</t>
  </si>
  <si>
    <t>Deal 4258</t>
  </si>
  <si>
    <t>Deal 4259</t>
  </si>
  <si>
    <t>Deal 4260</t>
  </si>
  <si>
    <t>Deal 4261</t>
  </si>
  <si>
    <t>Deal 4262</t>
  </si>
  <si>
    <t>Deal 4263</t>
  </si>
  <si>
    <t>Deal 4264</t>
  </si>
  <si>
    <t>Deal 4265</t>
  </si>
  <si>
    <t>Deal 4266</t>
  </si>
  <si>
    <t>Deal 4267</t>
  </si>
  <si>
    <t>Deal 4268</t>
  </si>
  <si>
    <t>Deal 4269</t>
  </si>
  <si>
    <t>Deal 4270</t>
  </si>
  <si>
    <t>Deal 4271</t>
  </si>
  <si>
    <t>Deal 4272</t>
  </si>
  <si>
    <t>Deal 4273</t>
  </si>
  <si>
    <t>Deal 4274</t>
  </si>
  <si>
    <t>Deal 4275</t>
  </si>
  <si>
    <t>Deal 4276</t>
  </si>
  <si>
    <t>Deal 4277</t>
  </si>
  <si>
    <t>Deal 4278</t>
  </si>
  <si>
    <t>Deal 4279</t>
  </si>
  <si>
    <t>Deal 4280</t>
  </si>
  <si>
    <t>2464209D US Equity</t>
  </si>
  <si>
    <t>SNA US Equity</t>
  </si>
  <si>
    <t>45445Q US Equity</t>
  </si>
  <si>
    <t>KKD US Equity</t>
  </si>
  <si>
    <t>BFOH US Equity</t>
  </si>
  <si>
    <t>3111Q US Equity</t>
  </si>
  <si>
    <t>GGG US Equity</t>
  </si>
  <si>
    <t>PDFS US Equity</t>
  </si>
  <si>
    <t>IHR US Equity</t>
  </si>
  <si>
    <t>EVBN US Equity</t>
  </si>
  <si>
    <t>RVSB US Equity</t>
  </si>
  <si>
    <t>1608358D US Equity</t>
  </si>
  <si>
    <t>Ann: 2005-10-31</t>
  </si>
  <si>
    <t>Ann: 2006-02-06</t>
  </si>
  <si>
    <t>Ann: 1998-04-28</t>
  </si>
  <si>
    <t>Ann: 2006-04-06</t>
  </si>
  <si>
    <t>Ann: 1998-07-17</t>
  </si>
  <si>
    <t>Ann: 2003-12-01</t>
  </si>
  <si>
    <t>Ann: 2016-09-08</t>
  </si>
  <si>
    <t>Ann: 2022-06-14</t>
  </si>
  <si>
    <t>Ann: 2018-08-23</t>
  </si>
  <si>
    <t>Ann: 2003-01-24</t>
  </si>
  <si>
    <t>Ann: 2013-07-17</t>
  </si>
  <si>
    <t>Ann: 2002-06-24</t>
  </si>
  <si>
    <t>Ann: 2016-05-20</t>
  </si>
  <si>
    <t>Ann: 1999-04-14</t>
  </si>
  <si>
    <t>Ann: 2007-12-03</t>
  </si>
  <si>
    <t>Ann: 2020-11-17</t>
  </si>
  <si>
    <t>Ann: 2003-04-17</t>
  </si>
  <si>
    <t>Ann: 2005-07-01</t>
  </si>
  <si>
    <t>Ann: 2000-03-24</t>
  </si>
  <si>
    <t>Ann: 2012-03-01</t>
  </si>
  <si>
    <t>Ann: 2005-08-26</t>
  </si>
  <si>
    <t>Deal 4281</t>
  </si>
  <si>
    <t>Deal 4282</t>
  </si>
  <si>
    <t>Deal 4283</t>
  </si>
  <si>
    <t>Deal 4284</t>
  </si>
  <si>
    <t>Deal 4285</t>
  </si>
  <si>
    <t>Deal 4286</t>
  </si>
  <si>
    <t>Deal 4287</t>
  </si>
  <si>
    <t>Deal 4288</t>
  </si>
  <si>
    <t>Deal 4289</t>
  </si>
  <si>
    <t>Deal 4290</t>
  </si>
  <si>
    <t>Deal 4291</t>
  </si>
  <si>
    <t>Deal 4292</t>
  </si>
  <si>
    <t>Deal 4293</t>
  </si>
  <si>
    <t>Deal 4294</t>
  </si>
  <si>
    <t>Deal 4295</t>
  </si>
  <si>
    <t>Deal 4296</t>
  </si>
  <si>
    <t>Deal 4297</t>
  </si>
  <si>
    <t>Deal 4298</t>
  </si>
  <si>
    <t>Deal 4299</t>
  </si>
  <si>
    <t>Deal 4300</t>
  </si>
  <si>
    <t>Deal 4301</t>
  </si>
  <si>
    <t>Deal 4302</t>
  </si>
  <si>
    <t>Deal 4303</t>
  </si>
  <si>
    <t>Deal 4304</t>
  </si>
  <si>
    <t>Deal 4305</t>
  </si>
  <si>
    <t>Deal 4306</t>
  </si>
  <si>
    <t>Deal 4307</t>
  </si>
  <si>
    <t>Deal 4308</t>
  </si>
  <si>
    <t>Deal 4309</t>
  </si>
  <si>
    <t>Deal 4310</t>
  </si>
  <si>
    <t>Deal 4311</t>
  </si>
  <si>
    <t>Deal 4312</t>
  </si>
  <si>
    <t>Deal 4313</t>
  </si>
  <si>
    <t>Deal 4314</t>
  </si>
  <si>
    <t>Deal 4315</t>
  </si>
  <si>
    <t>Deal 4316</t>
  </si>
  <si>
    <t>Deal 4317</t>
  </si>
  <si>
    <t>Deal 4318</t>
  </si>
  <si>
    <t>Deal 4319</t>
  </si>
  <si>
    <t>Deal 4320</t>
  </si>
  <si>
    <t>2347450D US Equity</t>
  </si>
  <si>
    <t>CYT US Equity</t>
  </si>
  <si>
    <t>AREN US Equity</t>
  </si>
  <si>
    <t>INVX US Equity</t>
  </si>
  <si>
    <t>1040983D US Equity</t>
  </si>
  <si>
    <t>1368189D US Equity</t>
  </si>
  <si>
    <t>CNR US Equity</t>
  </si>
  <si>
    <t>CBMD US Equity</t>
  </si>
  <si>
    <t>PCBI US Equity</t>
  </si>
  <si>
    <t>57552Q US Equity</t>
  </si>
  <si>
    <t>IFCB US Equity</t>
  </si>
  <si>
    <t>MFNC US Equity</t>
  </si>
  <si>
    <t>PMORQ US Equity</t>
  </si>
  <si>
    <t>1667208D US Equity</t>
  </si>
  <si>
    <t>FVCB US Equity</t>
  </si>
  <si>
    <t>1348098D US Equity</t>
  </si>
  <si>
    <t>Ann: 2005-10-06</t>
  </si>
  <si>
    <t>Ann: 1998-01-09</t>
  </si>
  <si>
    <t>Ann: 2018-07-31</t>
  </si>
  <si>
    <t>Ann: 2019-06-12</t>
  </si>
  <si>
    <t>Ann: 1999-03-09</t>
  </si>
  <si>
    <t>Ann: 2020-10-23</t>
  </si>
  <si>
    <t>Ann: 2002-08-05</t>
  </si>
  <si>
    <t>Ann: 1999-09-17</t>
  </si>
  <si>
    <t>Ann: 2003-08-01</t>
  </si>
  <si>
    <t>Ann: 2017-10-24</t>
  </si>
  <si>
    <t>Ann: 2007-08-09</t>
  </si>
  <si>
    <t>Ann: 2017-05-23</t>
  </si>
  <si>
    <t>Ann: 2005-05-25</t>
  </si>
  <si>
    <t>Ann: 2011-10-11</t>
  </si>
  <si>
    <t>Ann: 2018-05-03</t>
  </si>
  <si>
    <t>Ann: 2016-11-22</t>
  </si>
  <si>
    <t>Ann: 2005-02-16</t>
  </si>
  <si>
    <t>Ann: 2004-06-15</t>
  </si>
  <si>
    <t>Deal 4321</t>
  </si>
  <si>
    <t>Deal 4322</t>
  </si>
  <si>
    <t>Deal 4323</t>
  </si>
  <si>
    <t>Deal 4324</t>
  </si>
  <si>
    <t>Deal 4325</t>
  </si>
  <si>
    <t>Deal 4326</t>
  </si>
  <si>
    <t>Deal 4327</t>
  </si>
  <si>
    <t>Deal 4328</t>
  </si>
  <si>
    <t>Deal 4329</t>
  </si>
  <si>
    <t>Deal 4330</t>
  </si>
  <si>
    <t>Deal 4331</t>
  </si>
  <si>
    <t>Deal 4332</t>
  </si>
  <si>
    <t>Deal 4333</t>
  </si>
  <si>
    <t>Deal 4334</t>
  </si>
  <si>
    <t>Deal 4335</t>
  </si>
  <si>
    <t>Deal 4336</t>
  </si>
  <si>
    <t>Deal 4337</t>
  </si>
  <si>
    <t>Deal 4338</t>
  </si>
  <si>
    <t>Deal 4339</t>
  </si>
  <si>
    <t>Deal 4340</t>
  </si>
  <si>
    <t>Deal 4341</t>
  </si>
  <si>
    <t>Deal 4342</t>
  </si>
  <si>
    <t>Deal 4343</t>
  </si>
  <si>
    <t>Deal 4344</t>
  </si>
  <si>
    <t>Deal 4345</t>
  </si>
  <si>
    <t>Deal 4346</t>
  </si>
  <si>
    <t>Deal 4347</t>
  </si>
  <si>
    <t>Deal 4348</t>
  </si>
  <si>
    <t>Deal 4349</t>
  </si>
  <si>
    <t>Deal 4350</t>
  </si>
  <si>
    <t>Deal 4351</t>
  </si>
  <si>
    <t>Deal 4352</t>
  </si>
  <si>
    <t>Deal 4353</t>
  </si>
  <si>
    <t>Deal 4354</t>
  </si>
  <si>
    <t>Deal 4355</t>
  </si>
  <si>
    <t>Deal 4356</t>
  </si>
  <si>
    <t>Deal 4357</t>
  </si>
  <si>
    <t>Deal 4358</t>
  </si>
  <si>
    <t>Deal 4359</t>
  </si>
  <si>
    <t>Deal 4360</t>
  </si>
  <si>
    <t>AREMQ US Equity</t>
  </si>
  <si>
    <t>2096692D US Equity</t>
  </si>
  <si>
    <t>NFG US Equity</t>
  </si>
  <si>
    <t>MCCK US Equity</t>
  </si>
  <si>
    <t>598014Q US Equity</t>
  </si>
  <si>
    <t>CBCRQ US Equity</t>
  </si>
  <si>
    <t>GBTB US Equity</t>
  </si>
  <si>
    <t>RBCAA US Equity</t>
  </si>
  <si>
    <t>DDRX US Equity</t>
  </si>
  <si>
    <t>RBI US Equity</t>
  </si>
  <si>
    <t>1506328D US Equity</t>
  </si>
  <si>
    <t>COHM US Equity</t>
  </si>
  <si>
    <t>75158Q US Equity</t>
  </si>
  <si>
    <t>761407Q US Equity</t>
  </si>
  <si>
    <t>KFFB US Equity</t>
  </si>
  <si>
    <t>8277875Q US Equity</t>
  </si>
  <si>
    <t>UIS US Equity</t>
  </si>
  <si>
    <t>Ann: 2001-02-26</t>
  </si>
  <si>
    <t>Ann: 2011-03-31</t>
  </si>
  <si>
    <t>Ann: 2008-04-11</t>
  </si>
  <si>
    <t>Ann: 2005-02-24</t>
  </si>
  <si>
    <t>Ann: 2001-01-08</t>
  </si>
  <si>
    <t>Ann: 2007-01-05</t>
  </si>
  <si>
    <t>Ann: 2013-07-01</t>
  </si>
  <si>
    <t>Ann: 1998-01-23</t>
  </si>
  <si>
    <t>Ann: 2001-11-16</t>
  </si>
  <si>
    <t>Ann: 1999-02-09</t>
  </si>
  <si>
    <t>Ann: 2016-02-18</t>
  </si>
  <si>
    <t>Ann: 2002-10-09</t>
  </si>
  <si>
    <t>Ann: 2008-02-27</t>
  </si>
  <si>
    <t>Deal 4361</t>
  </si>
  <si>
    <t>Deal 4362</t>
  </si>
  <si>
    <t>Deal 4363</t>
  </si>
  <si>
    <t>Deal 4364</t>
  </si>
  <si>
    <t>Deal 4365</t>
  </si>
  <si>
    <t>Deal 4366</t>
  </si>
  <si>
    <t>Deal 4367</t>
  </si>
  <si>
    <t>Deal 4368</t>
  </si>
  <si>
    <t>Deal 4369</t>
  </si>
  <si>
    <t>Deal 4370</t>
  </si>
  <si>
    <t>Deal 4371</t>
  </si>
  <si>
    <t>Deal 4372</t>
  </si>
  <si>
    <t>Deal 4373</t>
  </si>
  <si>
    <t>Deal 4374</t>
  </si>
  <si>
    <t>Deal 4375</t>
  </si>
  <si>
    <t>Deal 4376</t>
  </si>
  <si>
    <t>Deal 4377</t>
  </si>
  <si>
    <t>Deal 4378</t>
  </si>
  <si>
    <t>Deal 4379</t>
  </si>
  <si>
    <t>Deal 4380</t>
  </si>
  <si>
    <t>Deal 4381</t>
  </si>
  <si>
    <t>Deal 4382</t>
  </si>
  <si>
    <t>Deal 4383</t>
  </si>
  <si>
    <t>Deal 4384</t>
  </si>
  <si>
    <t>Deal 4385</t>
  </si>
  <si>
    <t>Deal 4386</t>
  </si>
  <si>
    <t>Deal 4387</t>
  </si>
  <si>
    <t>Deal 4388</t>
  </si>
  <si>
    <t>Deal 4389</t>
  </si>
  <si>
    <t>Deal 4390</t>
  </si>
  <si>
    <t>Deal 4391</t>
  </si>
  <si>
    <t>Deal 4392</t>
  </si>
  <si>
    <t>Deal 4393</t>
  </si>
  <si>
    <t>Deal 4394</t>
  </si>
  <si>
    <t>Deal 4395</t>
  </si>
  <si>
    <t>Deal 4396</t>
  </si>
  <si>
    <t>Deal 4397</t>
  </si>
  <si>
    <t>Deal 4398</t>
  </si>
  <si>
    <t>Deal 4399</t>
  </si>
  <si>
    <t>Deal 4400</t>
  </si>
  <si>
    <t>AEIS US Equity</t>
  </si>
  <si>
    <t>FICO US Equity</t>
  </si>
  <si>
    <t>BVFL US Equity</t>
  </si>
  <si>
    <t>PHSB US Equity</t>
  </si>
  <si>
    <t>BGTHQ US Equity</t>
  </si>
  <si>
    <t>SBCP US Equity</t>
  </si>
  <si>
    <t>UBH US Equity</t>
  </si>
  <si>
    <t>LCTX US Equity</t>
  </si>
  <si>
    <t>1893883D US Equity</t>
  </si>
  <si>
    <t>BSRR US Equity</t>
  </si>
  <si>
    <t>AMRB US Equity</t>
  </si>
  <si>
    <t>MSA US Equity</t>
  </si>
  <si>
    <t>CXDO US Equity</t>
  </si>
  <si>
    <t>CVA US Equity</t>
  </si>
  <si>
    <t>2894314Q US Equity</t>
  </si>
  <si>
    <t>9474176Q US Equity</t>
  </si>
  <si>
    <t>CLPA US Equity</t>
  </si>
  <si>
    <t>AOILQ US Equity</t>
  </si>
  <si>
    <t>FTNT US Equity</t>
  </si>
  <si>
    <t>1413542D US Equity</t>
  </si>
  <si>
    <t>AWBCQ US Equity</t>
  </si>
  <si>
    <t>1500616D US Equity</t>
  </si>
  <si>
    <t>Ann: 2004-09-21</t>
  </si>
  <si>
    <t>Ann: 2019-09-05</t>
  </si>
  <si>
    <t>Ann: 2015-05-29</t>
  </si>
  <si>
    <t>Ann: 2002-07-09</t>
  </si>
  <si>
    <t>Ann: 2002-10-07</t>
  </si>
  <si>
    <t>Ann: 2000-02-15</t>
  </si>
  <si>
    <t>Ann: 2013-12-13</t>
  </si>
  <si>
    <t>Ann: 2004-07-09</t>
  </si>
  <si>
    <t>Ann: 2019-03-29</t>
  </si>
  <si>
    <t>Ann: 1999-01-29</t>
  </si>
  <si>
    <t>Ann: 2012-10-03</t>
  </si>
  <si>
    <t>Ann: 2001-06-05</t>
  </si>
  <si>
    <t>Ann: 2001-07-20</t>
  </si>
  <si>
    <t>Ann: 2002-03-28</t>
  </si>
  <si>
    <t>Ann: 2004-03-02</t>
  </si>
  <si>
    <t>Ann: 2010-11-11</t>
  </si>
  <si>
    <t>Deal 4401</t>
  </si>
  <si>
    <t>Deal 4402</t>
  </si>
  <si>
    <t>Deal 4403</t>
  </si>
  <si>
    <t>Deal 4404</t>
  </si>
  <si>
    <t>Deal 4405</t>
  </si>
  <si>
    <t>Deal 4406</t>
  </si>
  <si>
    <t>Deal 4407</t>
  </si>
  <si>
    <t>Deal 4408</t>
  </si>
  <si>
    <t>Deal 4409</t>
  </si>
  <si>
    <t>Deal 4410</t>
  </si>
  <si>
    <t>Deal 4411</t>
  </si>
  <si>
    <t>Deal 4412</t>
  </si>
  <si>
    <t>Deal 4413</t>
  </si>
  <si>
    <t>Deal 4414</t>
  </si>
  <si>
    <t>Deal 4415</t>
  </si>
  <si>
    <t>Deal 4416</t>
  </si>
  <si>
    <t>Deal 4417</t>
  </si>
  <si>
    <t>Deal 4418</t>
  </si>
  <si>
    <t>Deal 4419</t>
  </si>
  <si>
    <t>Deal 4420</t>
  </si>
  <si>
    <t>Deal 4421</t>
  </si>
  <si>
    <t>Deal 4422</t>
  </si>
  <si>
    <t>Deal 4423</t>
  </si>
  <si>
    <t>Deal 4424</t>
  </si>
  <si>
    <t>Deal 4425</t>
  </si>
  <si>
    <t>Deal 4426</t>
  </si>
  <si>
    <t>Deal 4427</t>
  </si>
  <si>
    <t>Deal 4428</t>
  </si>
  <si>
    <t>Deal 4429</t>
  </si>
  <si>
    <t>Deal 4430</t>
  </si>
  <si>
    <t>Deal 4431</t>
  </si>
  <si>
    <t>Deal 4432</t>
  </si>
  <si>
    <t>Deal 4433</t>
  </si>
  <si>
    <t>Deal 4434</t>
  </si>
  <si>
    <t>Deal 4435</t>
  </si>
  <si>
    <t>Deal 4436</t>
  </si>
  <si>
    <t>Deal 4437</t>
  </si>
  <si>
    <t>Deal 4438</t>
  </si>
  <si>
    <t>Deal 4439</t>
  </si>
  <si>
    <t>Deal 4440</t>
  </si>
  <si>
    <t>FRBA US Equity</t>
  </si>
  <si>
    <t>ASYS US Equity</t>
  </si>
  <si>
    <t>CTRE US Equity</t>
  </si>
  <si>
    <t>CZNC US Equity</t>
  </si>
  <si>
    <t>170874Q US Equity</t>
  </si>
  <si>
    <t>BURCA US Equity</t>
  </si>
  <si>
    <t>1022726D US Equity</t>
  </si>
  <si>
    <t>107436Q US Equity</t>
  </si>
  <si>
    <t>PBOC US Equity</t>
  </si>
  <si>
    <t>PHWDQ US Equity</t>
  </si>
  <si>
    <t>SAKL US Equity</t>
  </si>
  <si>
    <t>CMBC US Equity</t>
  </si>
  <si>
    <t>FTFC US Equity</t>
  </si>
  <si>
    <t>PCBC US Equity</t>
  </si>
  <si>
    <t>TEUM US Equity</t>
  </si>
  <si>
    <t>IDT US Equity</t>
  </si>
  <si>
    <t>Ann: 2003-07-10</t>
  </si>
  <si>
    <t>Ann: 2003-01-10</t>
  </si>
  <si>
    <t>Ann: 2002-09-19</t>
  </si>
  <si>
    <t>Ann: 2019-08-01</t>
  </si>
  <si>
    <t>Ann: 2017-03-02</t>
  </si>
  <si>
    <t>Ann: 2002-12-02</t>
  </si>
  <si>
    <t>Ann: 1996-03-18</t>
  </si>
  <si>
    <t>Ann: 2003-06-05</t>
  </si>
  <si>
    <t>Ann: 1999-06-03</t>
  </si>
  <si>
    <t>Ann: 2004-07-19</t>
  </si>
  <si>
    <t>Ann: 2001-06-07</t>
  </si>
  <si>
    <t>Ann: 2008-08-05</t>
  </si>
  <si>
    <t>Ann: 2003-08-08</t>
  </si>
  <si>
    <t>Ann: 1998-12-30</t>
  </si>
  <si>
    <t>Ann: 2004-12-21</t>
  </si>
  <si>
    <t>Ann: 2018-11-12</t>
  </si>
  <si>
    <t>Ann: 2006-02-17</t>
  </si>
  <si>
    <t>Deal 4441</t>
  </si>
  <si>
    <t>Deal 4442</t>
  </si>
  <si>
    <t>Deal 4443</t>
  </si>
  <si>
    <t>Deal 4444</t>
  </si>
  <si>
    <t>Deal 4445</t>
  </si>
  <si>
    <t>Deal 4446</t>
  </si>
  <si>
    <t>Deal 4447</t>
  </si>
  <si>
    <t>Deal 4448</t>
  </si>
  <si>
    <t>Deal 4449</t>
  </si>
  <si>
    <t>Deal 4450</t>
  </si>
  <si>
    <t>Deal 4451</t>
  </si>
  <si>
    <t>Deal 4452</t>
  </si>
  <si>
    <t>Deal 4453</t>
  </si>
  <si>
    <t>Deal 4454</t>
  </si>
  <si>
    <t>Deal 4455</t>
  </si>
  <si>
    <t>Deal 4456</t>
  </si>
  <si>
    <t>Deal 4457</t>
  </si>
  <si>
    <t>Deal 4458</t>
  </si>
  <si>
    <t>Deal 4459</t>
  </si>
  <si>
    <t>Deal 4460</t>
  </si>
  <si>
    <t>Deal 4461</t>
  </si>
  <si>
    <t>Deal 4462</t>
  </si>
  <si>
    <t>Deal 4463</t>
  </si>
  <si>
    <t>Deal 4464</t>
  </si>
  <si>
    <t>Deal 4465</t>
  </si>
  <si>
    <t>Deal 4466</t>
  </si>
  <si>
    <t>Deal 4467</t>
  </si>
  <si>
    <t>Deal 4468</t>
  </si>
  <si>
    <t>Deal 4469</t>
  </si>
  <si>
    <t>Deal 4470</t>
  </si>
  <si>
    <t>Deal 4471</t>
  </si>
  <si>
    <t>Deal 4472</t>
  </si>
  <si>
    <t>Deal 4473</t>
  </si>
  <si>
    <t>Deal 4474</t>
  </si>
  <si>
    <t>Deal 4475</t>
  </si>
  <si>
    <t>Deal 4476</t>
  </si>
  <si>
    <t>Deal 4477</t>
  </si>
  <si>
    <t>Deal 4478</t>
  </si>
  <si>
    <t>Deal 4479</t>
  </si>
  <si>
    <t>Deal 4480</t>
  </si>
  <si>
    <t>ACPIQ US Equity</t>
  </si>
  <si>
    <t>304352Q US Equity</t>
  </si>
  <si>
    <t>3542013Q US Equity</t>
  </si>
  <si>
    <t>CMHDA US Equity</t>
  </si>
  <si>
    <t>STMH US Equity</t>
  </si>
  <si>
    <t>FFSX US Equity</t>
  </si>
  <si>
    <t>2071296D US Equity</t>
  </si>
  <si>
    <t>2636831Q US Equity</t>
  </si>
  <si>
    <t>724309Q US Equity</t>
  </si>
  <si>
    <t>LUCK US Equity</t>
  </si>
  <si>
    <t>OPAY US Equity</t>
  </si>
  <si>
    <t>CLKS US Equity</t>
  </si>
  <si>
    <t>SBN US Equity</t>
  </si>
  <si>
    <t>RPTP US Equity</t>
  </si>
  <si>
    <t>ANIP US Equity</t>
  </si>
  <si>
    <t>PREM US Equity</t>
  </si>
  <si>
    <t>BNCL US Equity</t>
  </si>
  <si>
    <t>215254Q US Equity</t>
  </si>
  <si>
    <t>COBZ US Equity</t>
  </si>
  <si>
    <t>1619175D US Equity</t>
  </si>
  <si>
    <t>Ann: 2000-02-09</t>
  </si>
  <si>
    <t>Ann: 2006-04-26</t>
  </si>
  <si>
    <t>Ann: 2008-06-16</t>
  </si>
  <si>
    <t>Ann: 2017-11-02</t>
  </si>
  <si>
    <t>Ann: 2012-05-11</t>
  </si>
  <si>
    <t>Ann: 2008-07-31</t>
  </si>
  <si>
    <t>Ann: 1996-02-15</t>
  </si>
  <si>
    <t>Ann: 1998-08-18</t>
  </si>
  <si>
    <t>Ann: 2009-08-27</t>
  </si>
  <si>
    <t>Ann: 2011-10-25</t>
  </si>
  <si>
    <t>Ann: 2001-11-14</t>
  </si>
  <si>
    <t>Ann: 2021-05-28</t>
  </si>
  <si>
    <t>Ann: 2011-05-18</t>
  </si>
  <si>
    <t>Ann: 2018-09-13</t>
  </si>
  <si>
    <t>Ann: 2002-05-31</t>
  </si>
  <si>
    <t>Ann: 2011-12-20</t>
  </si>
  <si>
    <t>Ann: 2006-01-13</t>
  </si>
  <si>
    <t>Ann: 2017-04-12</t>
  </si>
  <si>
    <t>Ann: 2011-12-05</t>
  </si>
  <si>
    <t>Ann: 2004-10-21</t>
  </si>
  <si>
    <t>Ann: 2001-11-15</t>
  </si>
  <si>
    <t>Ann: 2002-01-23</t>
  </si>
  <si>
    <t>Deal 4481</t>
  </si>
  <si>
    <t>Deal 4482</t>
  </si>
  <si>
    <t>Deal 4483</t>
  </si>
  <si>
    <t>Deal 4484</t>
  </si>
  <si>
    <t>Deal 4485</t>
  </si>
  <si>
    <t>Deal 4486</t>
  </si>
  <si>
    <t>Deal 4487</t>
  </si>
  <si>
    <t>Deal 4488</t>
  </si>
  <si>
    <t>Deal 4489</t>
  </si>
  <si>
    <t>Deal 4490</t>
  </si>
  <si>
    <t>Deal 4491</t>
  </si>
  <si>
    <t>Deal 4492</t>
  </si>
  <si>
    <t>Deal 4493</t>
  </si>
  <si>
    <t>Deal 4494</t>
  </si>
  <si>
    <t>Deal 4495</t>
  </si>
  <si>
    <t>Deal 4496</t>
  </si>
  <si>
    <t>Deal 4497</t>
  </si>
  <si>
    <t>Deal 4498</t>
  </si>
  <si>
    <t>Deal 4499</t>
  </si>
  <si>
    <t>Deal 4500</t>
  </si>
  <si>
    <t>Deal 4501</t>
  </si>
  <si>
    <t>Deal 4502</t>
  </si>
  <si>
    <t>Deal 4503</t>
  </si>
  <si>
    <t>Deal 4504</t>
  </si>
  <si>
    <t>Deal 4505</t>
  </si>
  <si>
    <t>Deal 4506</t>
  </si>
  <si>
    <t>Deal 4507</t>
  </si>
  <si>
    <t>Deal 4508</t>
  </si>
  <si>
    <t>Deal 4509</t>
  </si>
  <si>
    <t>Deal 4510</t>
  </si>
  <si>
    <t>Deal 4511</t>
  </si>
  <si>
    <t>Deal 4512</t>
  </si>
  <si>
    <t>Deal 4513</t>
  </si>
  <si>
    <t>Deal 4514</t>
  </si>
  <si>
    <t>Deal 4515</t>
  </si>
  <si>
    <t>Deal 4516</t>
  </si>
  <si>
    <t>Deal 4517</t>
  </si>
  <si>
    <t>Deal 4518</t>
  </si>
  <si>
    <t>Deal 4519</t>
  </si>
  <si>
    <t>Deal 4520</t>
  </si>
  <si>
    <t>FCLF US Equity</t>
  </si>
  <si>
    <t>CMTV US Equity</t>
  </si>
  <si>
    <t>HBK US Equity</t>
  </si>
  <si>
    <t>8144537Q US Equity</t>
  </si>
  <si>
    <t>VIZY US Equity</t>
  </si>
  <si>
    <t>NEBS US Equity</t>
  </si>
  <si>
    <t>STTX US Equity</t>
  </si>
  <si>
    <t>2966Q US Equity</t>
  </si>
  <si>
    <t>AMZGQ US Equity</t>
  </si>
  <si>
    <t>CWBC US Equity</t>
  </si>
  <si>
    <t>IVIL US Equity</t>
  </si>
  <si>
    <t>SMBC US Equity</t>
  </si>
  <si>
    <t>IHRC US Equity</t>
  </si>
  <si>
    <t>BZBC US Equity</t>
  </si>
  <si>
    <t>MCBF US Equity</t>
  </si>
  <si>
    <t>TGEN US Equity</t>
  </si>
  <si>
    <t>Ann: 2006-02-03</t>
  </si>
  <si>
    <t>Ann: 2007-08-01</t>
  </si>
  <si>
    <t>Ann: 2002-11-25</t>
  </si>
  <si>
    <t>Ann: 2011-03-03</t>
  </si>
  <si>
    <t>Ann: 2011-03-30</t>
  </si>
  <si>
    <t>Ann: 2009-12-07</t>
  </si>
  <si>
    <t>Ann: 2013-12-18</t>
  </si>
  <si>
    <t>Ann: 1996-10-02</t>
  </si>
  <si>
    <t>Ann: 2019-10-21</t>
  </si>
  <si>
    <t>Ann: 2006-11-21</t>
  </si>
  <si>
    <t>Ann: 2017-12-20</t>
  </si>
  <si>
    <t>Ann: 2000-04-07</t>
  </si>
  <si>
    <t>Ann: 2014-05-07</t>
  </si>
  <si>
    <t>Ann: 2009-05-13</t>
  </si>
  <si>
    <t>Ann: 2020-01-17</t>
  </si>
  <si>
    <t>Ann: 2000-01-04</t>
  </si>
  <si>
    <t>Ann: 2001-08-15</t>
  </si>
  <si>
    <t>Deal 4521</t>
  </si>
  <si>
    <t>Deal 4522</t>
  </si>
  <si>
    <t>Deal 4523</t>
  </si>
  <si>
    <t>Deal 4524</t>
  </si>
  <si>
    <t>Deal 4525</t>
  </si>
  <si>
    <t>Deal 4526</t>
  </si>
  <si>
    <t>Deal 4527</t>
  </si>
  <si>
    <t>Deal 4528</t>
  </si>
  <si>
    <t>Deal 4529</t>
  </si>
  <si>
    <t>Deal 4530</t>
  </si>
  <si>
    <t>Deal 4531</t>
  </si>
  <si>
    <t>Deal 4532</t>
  </si>
  <si>
    <t>Deal 4533</t>
  </si>
  <si>
    <t>Deal 4534</t>
  </si>
  <si>
    <t>Deal 4535</t>
  </si>
  <si>
    <t>Deal 4536</t>
  </si>
  <si>
    <t>Deal 4537</t>
  </si>
  <si>
    <t>Deal 4538</t>
  </si>
  <si>
    <t>Deal 4539</t>
  </si>
  <si>
    <t>Deal 4540</t>
  </si>
  <si>
    <t>Deal 4541</t>
  </si>
  <si>
    <t>Deal 4542</t>
  </si>
  <si>
    <t>Deal 4543</t>
  </si>
  <si>
    <t>Deal 4544</t>
  </si>
  <si>
    <t>Deal 4545</t>
  </si>
  <si>
    <t>Deal 4546</t>
  </si>
  <si>
    <t>Deal 4547</t>
  </si>
  <si>
    <t>Deal 4548</t>
  </si>
  <si>
    <t>Deal 4549</t>
  </si>
  <si>
    <t>Deal 4550</t>
  </si>
  <si>
    <t>Deal 4551</t>
  </si>
  <si>
    <t>Deal 4552</t>
  </si>
  <si>
    <t>Deal 4553</t>
  </si>
  <si>
    <t>Deal 4554</t>
  </si>
  <si>
    <t>Deal 4555</t>
  </si>
  <si>
    <t>Deal 4556</t>
  </si>
  <si>
    <t>Deal 4557</t>
  </si>
  <si>
    <t>Deal 4558</t>
  </si>
  <si>
    <t>Deal 4559</t>
  </si>
  <si>
    <t>Deal 4560</t>
  </si>
  <si>
    <t>NWFL US Equity</t>
  </si>
  <si>
    <t>WCGRQ US Equity</t>
  </si>
  <si>
    <t>RRHI US Equity</t>
  </si>
  <si>
    <t>PRWT US Equity</t>
  </si>
  <si>
    <t>1838147D US Equity</t>
  </si>
  <si>
    <t>CHEV US Equity</t>
  </si>
  <si>
    <t>CATM US Equity</t>
  </si>
  <si>
    <t>LNCB US Equity</t>
  </si>
  <si>
    <t>STC US Equity</t>
  </si>
  <si>
    <t>VRCC US Equity</t>
  </si>
  <si>
    <t>623366Q US Equity</t>
  </si>
  <si>
    <t>967617Z US Equity</t>
  </si>
  <si>
    <t>DBAI US Equity</t>
  </si>
  <si>
    <t>BKYF US Equity</t>
  </si>
  <si>
    <t>FMFG US Equity</t>
  </si>
  <si>
    <t>CTED US Equity</t>
  </si>
  <si>
    <t>WFBI US Equity</t>
  </si>
  <si>
    <t>ARTG US Equity</t>
  </si>
  <si>
    <t>CALB US Equity</t>
  </si>
  <si>
    <t>AMCX US Equity</t>
  </si>
  <si>
    <t>NEPF US Equity</t>
  </si>
  <si>
    <t>PSBI US Equity</t>
  </si>
  <si>
    <t>Ann: 2001-10-11</t>
  </si>
  <si>
    <t>Ann: 2011-12-21</t>
  </si>
  <si>
    <t>Ann: 2003-09-16</t>
  </si>
  <si>
    <t>Ann: 2010-10-13</t>
  </si>
  <si>
    <t>Ann: 2003-01-27</t>
  </si>
  <si>
    <t>Ann: 2018-06-20</t>
  </si>
  <si>
    <t>Ann: 2005-07-27</t>
  </si>
  <si>
    <t>Ann: 2006-10-18</t>
  </si>
  <si>
    <t>Ann: 2005-10-19</t>
  </si>
  <si>
    <t>Ann: 2009-06-15</t>
  </si>
  <si>
    <t>Ann: 2008-09-09</t>
  </si>
  <si>
    <t>Ann: 2021-01-11</t>
  </si>
  <si>
    <t>Ann: 2020-03-06</t>
  </si>
  <si>
    <t>Ann: 2012-05-03</t>
  </si>
  <si>
    <t>Ann: 2004-08-10</t>
  </si>
  <si>
    <t>Ann: 2015-09-19</t>
  </si>
  <si>
    <t>Ann: 2014-08-25</t>
  </si>
  <si>
    <t>Ann: 2009-02-23</t>
  </si>
  <si>
    <t>Deal 4561</t>
  </si>
  <si>
    <t>Deal 4562</t>
  </si>
  <si>
    <t>Deal 4563</t>
  </si>
  <si>
    <t>Deal 4564</t>
  </si>
  <si>
    <t>Deal 4565</t>
  </si>
  <si>
    <t>Deal 4566</t>
  </si>
  <si>
    <t>Deal 4567</t>
  </si>
  <si>
    <t>Deal 4568</t>
  </si>
  <si>
    <t>Deal 4569</t>
  </si>
  <si>
    <t>Deal 4570</t>
  </si>
  <si>
    <t>Deal 4571</t>
  </si>
  <si>
    <t>Deal 4572</t>
  </si>
  <si>
    <t>Deal 4573</t>
  </si>
  <si>
    <t>Deal 4574</t>
  </si>
  <si>
    <t>Deal 4575</t>
  </si>
  <si>
    <t>Deal 4576</t>
  </si>
  <si>
    <t>Deal 4577</t>
  </si>
  <si>
    <t>Deal 4578</t>
  </si>
  <si>
    <t>Deal 4579</t>
  </si>
  <si>
    <t>Deal 4580</t>
  </si>
  <si>
    <t>Deal 4581</t>
  </si>
  <si>
    <t>Deal 4582</t>
  </si>
  <si>
    <t>Deal 4583</t>
  </si>
  <si>
    <t>Deal 4584</t>
  </si>
  <si>
    <t>Deal 4585</t>
  </si>
  <si>
    <t>Deal 4586</t>
  </si>
  <si>
    <t>Deal 4587</t>
  </si>
  <si>
    <t>Deal 4588</t>
  </si>
  <si>
    <t>Deal 4589</t>
  </si>
  <si>
    <t>Deal 4590</t>
  </si>
  <si>
    <t>Deal 4591</t>
  </si>
  <si>
    <t>Deal 4592</t>
  </si>
  <si>
    <t>Deal 4593</t>
  </si>
  <si>
    <t>Deal 4594</t>
  </si>
  <si>
    <t>Deal 4595</t>
  </si>
  <si>
    <t>Deal 4596</t>
  </si>
  <si>
    <t>Deal 4597</t>
  </si>
  <si>
    <t>Deal 4598</t>
  </si>
  <si>
    <t>Deal 4599</t>
  </si>
  <si>
    <t>Deal 4600</t>
  </si>
  <si>
    <t>FRAF US Equity</t>
  </si>
  <si>
    <t>SBIB US Equity</t>
  </si>
  <si>
    <t>SMLE US Equity</t>
  </si>
  <si>
    <t>PII US Equity</t>
  </si>
  <si>
    <t>BLUD US Equity</t>
  </si>
  <si>
    <t>MRVC US Equity</t>
  </si>
  <si>
    <t>0838460D US Equity</t>
  </si>
  <si>
    <t>DGICA US Equity</t>
  </si>
  <si>
    <t>NKTR US Equity</t>
  </si>
  <si>
    <t>UBOH US Equity</t>
  </si>
  <si>
    <t>CDTI US Equity</t>
  </si>
  <si>
    <t>9990527D US Equity</t>
  </si>
  <si>
    <t>MTSC US Equity</t>
  </si>
  <si>
    <t>CLRO US Equity</t>
  </si>
  <si>
    <t>KTYB US Equity</t>
  </si>
  <si>
    <t>NOVB US Equity</t>
  </si>
  <si>
    <t>HRLY US Equity</t>
  </si>
  <si>
    <t>PVLY US Equity</t>
  </si>
  <si>
    <t>3129880Q US Equity</t>
  </si>
  <si>
    <t>1850925D US Equity</t>
  </si>
  <si>
    <t>Ann: 2010-09-14</t>
  </si>
  <si>
    <t>Ann: 2001-09-13</t>
  </si>
  <si>
    <t>Ann: 2001-11-01</t>
  </si>
  <si>
    <t>Ann: 2001-03-14</t>
  </si>
  <si>
    <t>Ann: 2010-04-20</t>
  </si>
  <si>
    <t>Ann: 2010-05-14</t>
  </si>
  <si>
    <t>Ann: 2011-07-25</t>
  </si>
  <si>
    <t>Ann: 2002-01-22</t>
  </si>
  <si>
    <t>Ann: 2007-11-28</t>
  </si>
  <si>
    <t>Ann: 1998-08-26</t>
  </si>
  <si>
    <t>Ann: 1998-04-16</t>
  </si>
  <si>
    <t>Ann: 2002-09-09</t>
  </si>
  <si>
    <t>Ann: 1998-08-24</t>
  </si>
  <si>
    <t>Ann: 2004-10-22</t>
  </si>
  <si>
    <t>Ann: 2002-08-09</t>
  </si>
  <si>
    <t>Deal 4601</t>
  </si>
  <si>
    <t>Deal 4602</t>
  </si>
  <si>
    <t>Deal 4603</t>
  </si>
  <si>
    <t>Deal 4604</t>
  </si>
  <si>
    <t>Deal 4605</t>
  </si>
  <si>
    <t>Deal 4606</t>
  </si>
  <si>
    <t>Deal 4607</t>
  </si>
  <si>
    <t>Deal 4608</t>
  </si>
  <si>
    <t>Deal 4609</t>
  </si>
  <si>
    <t>Deal 4610</t>
  </si>
  <si>
    <t>Deal 4611</t>
  </si>
  <si>
    <t>Deal 4612</t>
  </si>
  <si>
    <t>Deal 4613</t>
  </si>
  <si>
    <t>Deal 4614</t>
  </si>
  <si>
    <t>Deal 4615</t>
  </si>
  <si>
    <t>Deal 4616</t>
  </si>
  <si>
    <t>Deal 4617</t>
  </si>
  <si>
    <t>Deal 4618</t>
  </si>
  <si>
    <t>Deal 4619</t>
  </si>
  <si>
    <t>Deal 4620</t>
  </si>
  <si>
    <t>Deal 4621</t>
  </si>
  <si>
    <t>Deal 4622</t>
  </si>
  <si>
    <t>Deal 4623</t>
  </si>
  <si>
    <t>Deal 4624</t>
  </si>
  <si>
    <t>Deal 4625</t>
  </si>
  <si>
    <t>Deal 4626</t>
  </si>
  <si>
    <t>Deal 4627</t>
  </si>
  <si>
    <t>Deal 4628</t>
  </si>
  <si>
    <t>Deal 4629</t>
  </si>
  <si>
    <t>Deal 4630</t>
  </si>
  <si>
    <t>Deal 4631</t>
  </si>
  <si>
    <t>Deal 4632</t>
  </si>
  <si>
    <t>Deal 4633</t>
  </si>
  <si>
    <t>Deal 4634</t>
  </si>
  <si>
    <t>Deal 4635</t>
  </si>
  <si>
    <t>Deal 4636</t>
  </si>
  <si>
    <t>Deal 4637</t>
  </si>
  <si>
    <t>Deal 4638</t>
  </si>
  <si>
    <t>Deal 4639</t>
  </si>
  <si>
    <t>Deal 4640</t>
  </si>
  <si>
    <t>CZFS US Equity</t>
  </si>
  <si>
    <t>HBOS US Equity</t>
  </si>
  <si>
    <t>NUI US Equity</t>
  </si>
  <si>
    <t>WCBO US Equity</t>
  </si>
  <si>
    <t>ABVV US Equity</t>
  </si>
  <si>
    <t>2078185D US Equity</t>
  </si>
  <si>
    <t>GNSC US Equity</t>
  </si>
  <si>
    <t>UBFO US Equity</t>
  </si>
  <si>
    <t>1495307D US Equity</t>
  </si>
  <si>
    <t>ATVI US Equity</t>
  </si>
  <si>
    <t>0203524D US Equity</t>
  </si>
  <si>
    <t>SFFB US Equity</t>
  </si>
  <si>
    <t>PFSW US Equity</t>
  </si>
  <si>
    <t>MNTG US Equity</t>
  </si>
  <si>
    <t>NASB US Equity</t>
  </si>
  <si>
    <t>FVCCQ US Equity</t>
  </si>
  <si>
    <t>LSBG US Equity</t>
  </si>
  <si>
    <t>AAME US Equity</t>
  </si>
  <si>
    <t>MCSIQ US Equity</t>
  </si>
  <si>
    <t>CHMG US Equity</t>
  </si>
  <si>
    <t>LUNA US Equity</t>
  </si>
  <si>
    <t>NVTAQ US Equity</t>
  </si>
  <si>
    <t>250642Q US Equity</t>
  </si>
  <si>
    <t>RIBT US Equity</t>
  </si>
  <si>
    <t>HWBK US Equity</t>
  </si>
  <si>
    <t>Ann: 2000-10-20</t>
  </si>
  <si>
    <t>Ann: 2014-04-22</t>
  </si>
  <si>
    <t>Ann: 2000-10-05</t>
  </si>
  <si>
    <t>Ann: 2000-06-14</t>
  </si>
  <si>
    <t>Ann: 2006-02-01</t>
  </si>
  <si>
    <t>Ann: 1999-10-22</t>
  </si>
  <si>
    <t>Ann: 2002-11-20</t>
  </si>
  <si>
    <t>Ann: 1999-12-16</t>
  </si>
  <si>
    <t>Ann: 1999-03-18</t>
  </si>
  <si>
    <t>Ann: 2011-09-14</t>
  </si>
  <si>
    <t>Ann: 2002-12-24</t>
  </si>
  <si>
    <t>Ann: 2006-12-15</t>
  </si>
  <si>
    <t>Ann: 1998-11-04</t>
  </si>
  <si>
    <t>Ann: 2005-07-22</t>
  </si>
  <si>
    <t>Deal 4641</t>
  </si>
  <si>
    <t>Deal 4642</t>
  </si>
  <si>
    <t>Deal 4643</t>
  </si>
  <si>
    <t>Deal 4644</t>
  </si>
  <si>
    <t>Deal 4645</t>
  </si>
  <si>
    <t>Deal 4646</t>
  </si>
  <si>
    <t>Deal 4647</t>
  </si>
  <si>
    <t>Deal 4648</t>
  </si>
  <si>
    <t>Deal 4649</t>
  </si>
  <si>
    <t>Deal 4650</t>
  </si>
  <si>
    <t>Deal 4651</t>
  </si>
  <si>
    <t>Deal 4652</t>
  </si>
  <si>
    <t>Deal 4653</t>
  </si>
  <si>
    <t>Deal 4654</t>
  </si>
  <si>
    <t>Deal 4655</t>
  </si>
  <si>
    <t>Deal 4656</t>
  </si>
  <si>
    <t>Deal 4657</t>
  </si>
  <si>
    <t>Deal 4658</t>
  </si>
  <si>
    <t>Deal 4659</t>
  </si>
  <si>
    <t>Deal 4660</t>
  </si>
  <si>
    <t>Deal 4661</t>
  </si>
  <si>
    <t>Deal 4662</t>
  </si>
  <si>
    <t>Deal 4663</t>
  </si>
  <si>
    <t>Deal 4664</t>
  </si>
  <si>
    <t>Deal 4665</t>
  </si>
  <si>
    <t>Deal 4666</t>
  </si>
  <si>
    <t>Deal 4667</t>
  </si>
  <si>
    <t>Deal 4668</t>
  </si>
  <si>
    <t>Deal 4669</t>
  </si>
  <si>
    <t>Deal 4670</t>
  </si>
  <si>
    <t>Deal 4671</t>
  </si>
  <si>
    <t>Deal 4672</t>
  </si>
  <si>
    <t>Deal 4673</t>
  </si>
  <si>
    <t>Deal 4674</t>
  </si>
  <si>
    <t>Deal 4675</t>
  </si>
  <si>
    <t>Deal 4676</t>
  </si>
  <si>
    <t>Deal 4677</t>
  </si>
  <si>
    <t>Deal 4678</t>
  </si>
  <si>
    <t>Deal 4679</t>
  </si>
  <si>
    <t>Deal 4680</t>
  </si>
  <si>
    <t>IOTS US Equity</t>
  </si>
  <si>
    <t>IHWY US Equity</t>
  </si>
  <si>
    <t>PBCO US Equity</t>
  </si>
  <si>
    <t>WSBA US Equity</t>
  </si>
  <si>
    <t>FPIC US Equity</t>
  </si>
  <si>
    <t>MSBK US Equity</t>
  </si>
  <si>
    <t>CEFC US Equity</t>
  </si>
  <si>
    <t>IESC US Equity</t>
  </si>
  <si>
    <t>MMBI US Equity</t>
  </si>
  <si>
    <t>797725Q US Equity</t>
  </si>
  <si>
    <t>SMG US Equity</t>
  </si>
  <si>
    <t>GELX US Equity</t>
  </si>
  <si>
    <t>RVLT US Equity</t>
  </si>
  <si>
    <t>BRC US Equity</t>
  </si>
  <si>
    <t>VBFC US Equity</t>
  </si>
  <si>
    <t>CERN US Equity</t>
  </si>
  <si>
    <t>HIND US Equity</t>
  </si>
  <si>
    <t>PABK US Equity</t>
  </si>
  <si>
    <t>BCML US Equity</t>
  </si>
  <si>
    <t>AMCS US Equity</t>
  </si>
  <si>
    <t>PGEN US Equity</t>
  </si>
  <si>
    <t>LCNB US Equity</t>
  </si>
  <si>
    <t>235982Q US Equity</t>
  </si>
  <si>
    <t>Ann: 2000-08-25</t>
  </si>
  <si>
    <t>Ann: 2020-11-05</t>
  </si>
  <si>
    <t>Ann: 2013-03-13</t>
  </si>
  <si>
    <t>Ann: 1998-08-21</t>
  </si>
  <si>
    <t>Ann: 2020-11-11</t>
  </si>
  <si>
    <t>Ann: 2008-06-06</t>
  </si>
  <si>
    <t>Ann: 2012-12-03</t>
  </si>
  <si>
    <t>Ann: 2010-09-02</t>
  </si>
  <si>
    <t>Ann: 2008-05-28</t>
  </si>
  <si>
    <t>Ann: 2021-01-20</t>
  </si>
  <si>
    <t>Ann: 2012-10-09</t>
  </si>
  <si>
    <t>Deal 4681</t>
  </si>
  <si>
    <t>Deal 4682</t>
  </si>
  <si>
    <t>Deal 4683</t>
  </si>
  <si>
    <t>Deal 4684</t>
  </si>
  <si>
    <t>Deal 4685</t>
  </si>
  <si>
    <t>Deal 4686</t>
  </si>
  <si>
    <t>Deal 4687</t>
  </si>
  <si>
    <t>Deal 4688</t>
  </si>
  <si>
    <t>Deal 4689</t>
  </si>
  <si>
    <t>Deal 4690</t>
  </si>
  <si>
    <t>Deal 4691</t>
  </si>
  <si>
    <t>Deal 4692</t>
  </si>
  <si>
    <t>Deal 4693</t>
  </si>
  <si>
    <t>Deal 4694</t>
  </si>
  <si>
    <t>Deal 4695</t>
  </si>
  <si>
    <t>Deal 4696</t>
  </si>
  <si>
    <t>Deal 4697</t>
  </si>
  <si>
    <t>Deal 4698</t>
  </si>
  <si>
    <t>Deal 4699</t>
  </si>
  <si>
    <t>Deal 4700</t>
  </si>
  <si>
    <t>Deal 4701</t>
  </si>
  <si>
    <t>Deal 4702</t>
  </si>
  <si>
    <t>Deal 4703</t>
  </si>
  <si>
    <t>Deal 4704</t>
  </si>
  <si>
    <t>Deal 4705</t>
  </si>
  <si>
    <t>Deal 4706</t>
  </si>
  <si>
    <t>Deal 4707</t>
  </si>
  <si>
    <t>Deal 4708</t>
  </si>
  <si>
    <t>Deal 4709</t>
  </si>
  <si>
    <t>Deal 4710</t>
  </si>
  <si>
    <t>Deal 4711</t>
  </si>
  <si>
    <t>Deal 4712</t>
  </si>
  <si>
    <t>Deal 4713</t>
  </si>
  <si>
    <t>Deal 4714</t>
  </si>
  <si>
    <t>Deal 4715</t>
  </si>
  <si>
    <t>Deal 4716</t>
  </si>
  <si>
    <t>Deal 4717</t>
  </si>
  <si>
    <t>Deal 4718</t>
  </si>
  <si>
    <t>Deal 4719</t>
  </si>
  <si>
    <t>Deal 4720</t>
  </si>
  <si>
    <t>SORCQ US Equity</t>
  </si>
  <si>
    <t>0959089D US Equity</t>
  </si>
  <si>
    <t>SLI US Equity</t>
  </si>
  <si>
    <t>INHX US Equity</t>
  </si>
  <si>
    <t>UPLD US Equity</t>
  </si>
  <si>
    <t>MCTIQ US Equity</t>
  </si>
  <si>
    <t>GRAN US Equity</t>
  </si>
  <si>
    <t>BCSB US Equity</t>
  </si>
  <si>
    <t>DAEG US Equity</t>
  </si>
  <si>
    <t>TLAG US Equity</t>
  </si>
  <si>
    <t>OSKY US Equity</t>
  </si>
  <si>
    <t>QCOR US Equity</t>
  </si>
  <si>
    <t>CFOK US Equity</t>
  </si>
  <si>
    <t>ELED US Equity</t>
  </si>
  <si>
    <t>PGICQ US Equity</t>
  </si>
  <si>
    <t>DRMO US Equity</t>
  </si>
  <si>
    <t>CTWS US Equity</t>
  </si>
  <si>
    <t>UCBC US Equity</t>
  </si>
  <si>
    <t>0852980D US Equity</t>
  </si>
  <si>
    <t>GSON US Equity</t>
  </si>
  <si>
    <t>FCEC US Equity</t>
  </si>
  <si>
    <t>MROI US Equity</t>
  </si>
  <si>
    <t>Ann: 2005-03-31</t>
  </si>
  <si>
    <t>Ann: 2005-12-19</t>
  </si>
  <si>
    <t>Ann: 2002-05-01</t>
  </si>
  <si>
    <t>Ann: 2007-04-10</t>
  </si>
  <si>
    <t>Ann: 1999-07-23</t>
  </si>
  <si>
    <t>Ann: 2016-12-20</t>
  </si>
  <si>
    <t>Ann: 2002-12-18</t>
  </si>
  <si>
    <t>Ann: 2009-04-16</t>
  </si>
  <si>
    <t>Ann: 2012-08-14</t>
  </si>
  <si>
    <t>Ann: 2010-10-27</t>
  </si>
  <si>
    <t>Ann: 1999-02-02</t>
  </si>
  <si>
    <t>Ann: 1999-08-05</t>
  </si>
  <si>
    <t>Ann: 2020-10-09</t>
  </si>
  <si>
    <t>Ann: 2005-02-22</t>
  </si>
  <si>
    <t>Ann: 2005-06-01</t>
  </si>
  <si>
    <t>Ann: 2001-07-24</t>
  </si>
  <si>
    <t>Ann: 2000-05-11</t>
  </si>
  <si>
    <t>Ann: 2006-10-20</t>
  </si>
  <si>
    <t>Ann: 2010-06-22</t>
  </si>
  <si>
    <t>Ann: 2008-04-22</t>
  </si>
  <si>
    <t>Ann: 2008-09-19</t>
  </si>
  <si>
    <t>Deal 4721</t>
  </si>
  <si>
    <t>Deal 4722</t>
  </si>
  <si>
    <t>Deal 4723</t>
  </si>
  <si>
    <t>Deal 4724</t>
  </si>
  <si>
    <t>Deal 4725</t>
  </si>
  <si>
    <t>Deal 4726</t>
  </si>
  <si>
    <t>Deal 4727</t>
  </si>
  <si>
    <t>Deal 4728</t>
  </si>
  <si>
    <t>Deal 4729</t>
  </si>
  <si>
    <t>Deal 4730</t>
  </si>
  <si>
    <t>Deal 4731</t>
  </si>
  <si>
    <t>Deal 4732</t>
  </si>
  <si>
    <t>Deal 4733</t>
  </si>
  <si>
    <t>Deal 4734</t>
  </si>
  <si>
    <t>Deal 4735</t>
  </si>
  <si>
    <t>Deal 4736</t>
  </si>
  <si>
    <t>Deal 4737</t>
  </si>
  <si>
    <t>Deal 4738</t>
  </si>
  <si>
    <t>Deal 4739</t>
  </si>
  <si>
    <t>Deal 4740</t>
  </si>
  <si>
    <t>Deal 4741</t>
  </si>
  <si>
    <t>Deal 4742</t>
  </si>
  <si>
    <t>Deal 4743</t>
  </si>
  <si>
    <t>Deal 4744</t>
  </si>
  <si>
    <t>Deal 4745</t>
  </si>
  <si>
    <t>Deal 4746</t>
  </si>
  <si>
    <t>Deal 4747</t>
  </si>
  <si>
    <t>Deal 4748</t>
  </si>
  <si>
    <t>Deal 4749</t>
  </si>
  <si>
    <t>Deal 4750</t>
  </si>
  <si>
    <t>Deal 4751</t>
  </si>
  <si>
    <t>Deal 4752</t>
  </si>
  <si>
    <t>Deal 4753</t>
  </si>
  <si>
    <t>Deal 4754</t>
  </si>
  <si>
    <t>Deal 4755</t>
  </si>
  <si>
    <t>Deal 4756</t>
  </si>
  <si>
    <t>Deal 4757</t>
  </si>
  <si>
    <t>Deal 4758</t>
  </si>
  <si>
    <t>Deal 4759</t>
  </si>
  <si>
    <t>Deal 4760</t>
  </si>
  <si>
    <t>HRL US Equity</t>
  </si>
  <si>
    <t>LRNS US Equity</t>
  </si>
  <si>
    <t>VIVO US Equity</t>
  </si>
  <si>
    <t>ADRX US Equity</t>
  </si>
  <si>
    <t>CRMT US Equity</t>
  </si>
  <si>
    <t>VSNT US Equity</t>
  </si>
  <si>
    <t>PXFG US Equity</t>
  </si>
  <si>
    <t>HCMC US Equity</t>
  </si>
  <si>
    <t>AUTO US Equity</t>
  </si>
  <si>
    <t>LARK US Equity</t>
  </si>
  <si>
    <t>PFCI US Equity</t>
  </si>
  <si>
    <t>ABNK US Equity</t>
  </si>
  <si>
    <t>EBSB US Equity</t>
  </si>
  <si>
    <t>OAKF US Equity</t>
  </si>
  <si>
    <t>CIA US Equity</t>
  </si>
  <si>
    <t>2228652D US Equity</t>
  </si>
  <si>
    <t>EMCF US Equity</t>
  </si>
  <si>
    <t>FWBN US Equity</t>
  </si>
  <si>
    <t>Ann: 2012-09-18</t>
  </si>
  <si>
    <t>Ann: 2001-04-24</t>
  </si>
  <si>
    <t>Ann: 2002-04-19</t>
  </si>
  <si>
    <t>Ann: 2000-11-15</t>
  </si>
  <si>
    <t>Ann: 1998-09-16</t>
  </si>
  <si>
    <t>Ann: 2001-03-17</t>
  </si>
  <si>
    <t>Ann: 1998-06-09</t>
  </si>
  <si>
    <t>Ann: 1998-11-18</t>
  </si>
  <si>
    <t>Ann: 2014-11-06</t>
  </si>
  <si>
    <t>Ann: 2011-09-15</t>
  </si>
  <si>
    <t>Ann: 2017-06-26</t>
  </si>
  <si>
    <t>Ann: 2003-11-13</t>
  </si>
  <si>
    <t>Ann: 2002-10-30</t>
  </si>
  <si>
    <t>Ann: 2008-04-10</t>
  </si>
  <si>
    <t>Ann: 2018-05-25</t>
  </si>
  <si>
    <t>Ann: 2002-11-19</t>
  </si>
  <si>
    <t>Deal 4761</t>
  </si>
  <si>
    <t>Deal 4762</t>
  </si>
  <si>
    <t>Deal 4763</t>
  </si>
  <si>
    <t>Deal 4764</t>
  </si>
  <si>
    <t>Deal 4765</t>
  </si>
  <si>
    <t>Deal 4766</t>
  </si>
  <si>
    <t>Deal 4767</t>
  </si>
  <si>
    <t>Deal 4768</t>
  </si>
  <si>
    <t>Deal 4769</t>
  </si>
  <si>
    <t>Deal 4770</t>
  </si>
  <si>
    <t>Deal 4771</t>
  </si>
  <si>
    <t>Deal 4772</t>
  </si>
  <si>
    <t>Deal 4773</t>
  </si>
  <si>
    <t>Deal 4774</t>
  </si>
  <si>
    <t>Deal 4775</t>
  </si>
  <si>
    <t>Deal 4776</t>
  </si>
  <si>
    <t>Deal 4777</t>
  </si>
  <si>
    <t>Deal 4778</t>
  </si>
  <si>
    <t>Deal 4779</t>
  </si>
  <si>
    <t>Deal 4780</t>
  </si>
  <si>
    <t>Deal 4781</t>
  </si>
  <si>
    <t>Deal 4782</t>
  </si>
  <si>
    <t>Deal 4783</t>
  </si>
  <si>
    <t>Deal 4784</t>
  </si>
  <si>
    <t>Deal 4785</t>
  </si>
  <si>
    <t>Deal 4786</t>
  </si>
  <si>
    <t>Deal 4787</t>
  </si>
  <si>
    <t>Deal 4788</t>
  </si>
  <si>
    <t>Deal 4789</t>
  </si>
  <si>
    <t>Deal 4790</t>
  </si>
  <si>
    <t>Deal 4791</t>
  </si>
  <si>
    <t>Deal 4792</t>
  </si>
  <si>
    <t>Deal 4793</t>
  </si>
  <si>
    <t>Deal 4794</t>
  </si>
  <si>
    <t>Deal 4795</t>
  </si>
  <si>
    <t>Deal 4796</t>
  </si>
  <si>
    <t>Deal 4797</t>
  </si>
  <si>
    <t>Deal 4798</t>
  </si>
  <si>
    <t>Deal 4799</t>
  </si>
  <si>
    <t>Deal 4800</t>
  </si>
  <si>
    <t>QCRH US Equity</t>
  </si>
  <si>
    <t>YCB US Equity</t>
  </si>
  <si>
    <t>ULB US Equity</t>
  </si>
  <si>
    <t>PCTI US Equity</t>
  </si>
  <si>
    <t>IHC US Equity</t>
  </si>
  <si>
    <t>GRA US Equity</t>
  </si>
  <si>
    <t>FGBI US Equity</t>
  </si>
  <si>
    <t>AVLY US Equity</t>
  </si>
  <si>
    <t>FXNC US Equity</t>
  </si>
  <si>
    <t>SPGZ US Equity</t>
  </si>
  <si>
    <t>ABBK US Equity</t>
  </si>
  <si>
    <t>LVCI US Equity</t>
  </si>
  <si>
    <t>HBIO US Equity</t>
  </si>
  <si>
    <t>8184823Q US Equity</t>
  </si>
  <si>
    <t>ORXE US Equity</t>
  </si>
  <si>
    <t>Ann: 2021-11-09</t>
  </si>
  <si>
    <t>Ann: 2010-08-25</t>
  </si>
  <si>
    <t>Ann: 2003-09-09</t>
  </si>
  <si>
    <t>Ann: 1998-09-30</t>
  </si>
  <si>
    <t>Ann: 2000-08-07</t>
  </si>
  <si>
    <t>Ann: 2021-02-18</t>
  </si>
  <si>
    <t>Ann: 2013-04-12</t>
  </si>
  <si>
    <t>Ann: 2005-07-15</t>
  </si>
  <si>
    <t>Ann: 2002-04-10</t>
  </si>
  <si>
    <t>Ann: 2002-07-18</t>
  </si>
  <si>
    <t>Ann: 1999-09-01</t>
  </si>
  <si>
    <t>Ann: 2002-02-26</t>
  </si>
  <si>
    <t>Ann: 2011-11-17</t>
  </si>
  <si>
    <t>Ann: 2003-10-02</t>
  </si>
  <si>
    <t>Ann: 2003-05-12</t>
  </si>
  <si>
    <t>Ann: 2004-10-12</t>
  </si>
  <si>
    <t>Ann: 2006-09-01</t>
  </si>
  <si>
    <t>Ann: 1998-07-07</t>
  </si>
  <si>
    <t>Deal 4801</t>
  </si>
  <si>
    <t>Deal 4802</t>
  </si>
  <si>
    <t>Deal 4803</t>
  </si>
  <si>
    <t>Deal 4804</t>
  </si>
  <si>
    <t>Deal 4805</t>
  </si>
  <si>
    <t>Deal 4806</t>
  </si>
  <si>
    <t>Deal 4807</t>
  </si>
  <si>
    <t>Deal 4808</t>
  </si>
  <si>
    <t>Deal 4809</t>
  </si>
  <si>
    <t>Deal 4810</t>
  </si>
  <si>
    <t>Deal 4811</t>
  </si>
  <si>
    <t>Deal 4812</t>
  </si>
  <si>
    <t>Deal 4813</t>
  </si>
  <si>
    <t>Deal 4814</t>
  </si>
  <si>
    <t>Deal 4815</t>
  </si>
  <si>
    <t>Deal 4816</t>
  </si>
  <si>
    <t>Deal 4817</t>
  </si>
  <si>
    <t>Deal 4818</t>
  </si>
  <si>
    <t>Deal 4819</t>
  </si>
  <si>
    <t>Deal 4820</t>
  </si>
  <si>
    <t>Deal 4821</t>
  </si>
  <si>
    <t>Deal 4822</t>
  </si>
  <si>
    <t>Deal 4823</t>
  </si>
  <si>
    <t>Deal 4824</t>
  </si>
  <si>
    <t>Deal 4825</t>
  </si>
  <si>
    <t>Deal 4826</t>
  </si>
  <si>
    <t>Deal 4827</t>
  </si>
  <si>
    <t>Deal 4828</t>
  </si>
  <si>
    <t>Deal 4829</t>
  </si>
  <si>
    <t>Deal 4830</t>
  </si>
  <si>
    <t>Deal 4831</t>
  </si>
  <si>
    <t>Deal 4832</t>
  </si>
  <si>
    <t>Deal 4833</t>
  </si>
  <si>
    <t>Deal 4834</t>
  </si>
  <si>
    <t>Deal 4835</t>
  </si>
  <si>
    <t>Deal 4836</t>
  </si>
  <si>
    <t>Deal 4837</t>
  </si>
  <si>
    <t>Deal 4838</t>
  </si>
  <si>
    <t>Deal 4839</t>
  </si>
  <si>
    <t>Deal 4840</t>
  </si>
  <si>
    <t>MDCO US Equity</t>
  </si>
  <si>
    <t>IFHI US Equity</t>
  </si>
  <si>
    <t>NBOH US Equity</t>
  </si>
  <si>
    <t>0569919D LN Equity</t>
  </si>
  <si>
    <t>3523914Q US Equity</t>
  </si>
  <si>
    <t>3077Q US Equity</t>
  </si>
  <si>
    <t>9856660D US Equity</t>
  </si>
  <si>
    <t>FSII US Equity</t>
  </si>
  <si>
    <t>ASTV US Equity</t>
  </si>
  <si>
    <t>JFBI US Equity</t>
  </si>
  <si>
    <t>ROMA US Equity</t>
  </si>
  <si>
    <t>PCLE US Equity</t>
  </si>
  <si>
    <t>FBPI US Equity</t>
  </si>
  <si>
    <t>THRD US Equity</t>
  </si>
  <si>
    <t>SLBK US Equity</t>
  </si>
  <si>
    <t>LEBC US Equity</t>
  </si>
  <si>
    <t>IEX US Equity</t>
  </si>
  <si>
    <t>Ann: 2002-09-06</t>
  </si>
  <si>
    <t>Ann: 1998-10-14</t>
  </si>
  <si>
    <t>Ann: 2009-04-21</t>
  </si>
  <si>
    <t>Ann: 2015-06-24</t>
  </si>
  <si>
    <t>Ann: 2002-04-25</t>
  </si>
  <si>
    <t>Ann: 2001-10-02</t>
  </si>
  <si>
    <t>Ann: 2002-03-27</t>
  </si>
  <si>
    <t>Ann: 2019-01-31</t>
  </si>
  <si>
    <t>Ann: 1999-01-22</t>
  </si>
  <si>
    <t>Ann: 2012-08-10</t>
  </si>
  <si>
    <t>Ann: 2008-09-04</t>
  </si>
  <si>
    <t>Ann: 1998-05-20</t>
  </si>
  <si>
    <t>Ann: 2010-03-18</t>
  </si>
  <si>
    <t>Ann: 2007-12-05</t>
  </si>
  <si>
    <t>Ann: 2002-02-07</t>
  </si>
  <si>
    <t>Ann: 2015-04-16</t>
  </si>
  <si>
    <t>Ann: 2000-04-20</t>
  </si>
  <si>
    <t>Ann: 2012-12-28</t>
  </si>
  <si>
    <t>Ann: 2005-02-03</t>
  </si>
  <si>
    <t>Ann: 2014-08-27</t>
  </si>
  <si>
    <t>Ann: 1999-01-20</t>
  </si>
  <si>
    <t>Ann: 2011-01-11</t>
  </si>
  <si>
    <t>Deal 4841</t>
  </si>
  <si>
    <t>Deal 4842</t>
  </si>
  <si>
    <t>Deal 4843</t>
  </si>
  <si>
    <t>Deal 4844</t>
  </si>
  <si>
    <t>Deal 4845</t>
  </si>
  <si>
    <t>Deal 4846</t>
  </si>
  <si>
    <t>Deal 4847</t>
  </si>
  <si>
    <t>Deal 4848</t>
  </si>
  <si>
    <t>Deal 4849</t>
  </si>
  <si>
    <t>Deal 4850</t>
  </si>
  <si>
    <t>Deal 4851</t>
  </si>
  <si>
    <t>Deal 4852</t>
  </si>
  <si>
    <t>Deal 4853</t>
  </si>
  <si>
    <t>Deal 4854</t>
  </si>
  <si>
    <t>Deal 4855</t>
  </si>
  <si>
    <t>Deal 4856</t>
  </si>
  <si>
    <t>Deal 4857</t>
  </si>
  <si>
    <t>Deal 4858</t>
  </si>
  <si>
    <t>Deal 4859</t>
  </si>
  <si>
    <t>Deal 4860</t>
  </si>
  <si>
    <t>Deal 4861</t>
  </si>
  <si>
    <t>Deal 4862</t>
  </si>
  <si>
    <t>Deal 4863</t>
  </si>
  <si>
    <t>Deal 4864</t>
  </si>
  <si>
    <t>Deal 4865</t>
  </si>
  <si>
    <t>Deal 4866</t>
  </si>
  <si>
    <t>Deal 4867</t>
  </si>
  <si>
    <t>Deal 4868</t>
  </si>
  <si>
    <t>Deal 4869</t>
  </si>
  <si>
    <t>Deal 4870</t>
  </si>
  <si>
    <t>Deal 4871</t>
  </si>
  <si>
    <t>Deal 4872</t>
  </si>
  <si>
    <t>Deal 4873</t>
  </si>
  <si>
    <t>Deal 4874</t>
  </si>
  <si>
    <t>Deal 4875</t>
  </si>
  <si>
    <t>Deal 4876</t>
  </si>
  <si>
    <t>Deal 4877</t>
  </si>
  <si>
    <t>Deal 4878</t>
  </si>
  <si>
    <t>Deal 4879</t>
  </si>
  <si>
    <t>Deal 4880</t>
  </si>
  <si>
    <t>FNBG US Equity</t>
  </si>
  <si>
    <t>ACBA US Equity</t>
  </si>
  <si>
    <t>CBBI US Equity</t>
  </si>
  <si>
    <t>544763Q US Equity</t>
  </si>
  <si>
    <t>GECC US Equity</t>
  </si>
  <si>
    <t>KBH US Equity</t>
  </si>
  <si>
    <t>GRKA US Equity</t>
  </si>
  <si>
    <t>CVLY US Equity</t>
  </si>
  <si>
    <t>PBCA US Equity</t>
  </si>
  <si>
    <t>FELE US Equity</t>
  </si>
  <si>
    <t>USBU US Equity</t>
  </si>
  <si>
    <t>CKFB US Equity</t>
  </si>
  <si>
    <t>NRIM US Equity</t>
  </si>
  <si>
    <t>PBNI US Equity</t>
  </si>
  <si>
    <t>8374857Q US Equity</t>
  </si>
  <si>
    <t>USEG US Equity</t>
  </si>
  <si>
    <t>BWFG US Equity</t>
  </si>
  <si>
    <t>2412675D US Equity</t>
  </si>
  <si>
    <t>RDMPQ US Equity</t>
  </si>
  <si>
    <t>JUVF US Equity</t>
  </si>
  <si>
    <t>CNQR US Equity</t>
  </si>
  <si>
    <t>ELA US Equity</t>
  </si>
  <si>
    <t>Ann: 2015-05-14</t>
  </si>
  <si>
    <t>Ann: 2003-11-05</t>
  </si>
  <si>
    <t>Ann: 2021-01-28</t>
  </si>
  <si>
    <t>Ann: 2016-06-24</t>
  </si>
  <si>
    <t>Ann: 2000-07-24</t>
  </si>
  <si>
    <t>Ann: 2002-01-31</t>
  </si>
  <si>
    <t>Ann: 2014-07-22</t>
  </si>
  <si>
    <t>Ann: 2022-08-12</t>
  </si>
  <si>
    <t>Ann: 2012-02-10</t>
  </si>
  <si>
    <t>Ann: 2016-01-04</t>
  </si>
  <si>
    <t>Ann: 2000-10-17</t>
  </si>
  <si>
    <t>Ann: 2012-10-23</t>
  </si>
  <si>
    <t>Ann: 2013-01-28</t>
  </si>
  <si>
    <t>Ann: 2001-05-22</t>
  </si>
  <si>
    <t>Ann: 2015-06-26</t>
  </si>
  <si>
    <t>Ann: 2006-07-17</t>
  </si>
  <si>
    <t>Deal 4881</t>
  </si>
  <si>
    <t>Deal 4882</t>
  </si>
  <si>
    <t>Deal 4883</t>
  </si>
  <si>
    <t>Deal 4884</t>
  </si>
  <si>
    <t>Deal 4885</t>
  </si>
  <si>
    <t>Deal 4886</t>
  </si>
  <si>
    <t>Deal 4887</t>
  </si>
  <si>
    <t>Deal 4888</t>
  </si>
  <si>
    <t>Deal 4889</t>
  </si>
  <si>
    <t>Deal 4890</t>
  </si>
  <si>
    <t>Deal 4891</t>
  </si>
  <si>
    <t>Deal 4892</t>
  </si>
  <si>
    <t>Deal 4893</t>
  </si>
  <si>
    <t>Deal 4894</t>
  </si>
  <si>
    <t>Deal 4895</t>
  </si>
  <si>
    <t>Deal 4896</t>
  </si>
  <si>
    <t>Deal 4897</t>
  </si>
  <si>
    <t>Deal 4898</t>
  </si>
  <si>
    <t>Deal 4899</t>
  </si>
  <si>
    <t>Deal 4900</t>
  </si>
  <si>
    <t>Deal 4901</t>
  </si>
  <si>
    <t>Deal 4902</t>
  </si>
  <si>
    <t>Deal 4903</t>
  </si>
  <si>
    <t>Deal 4904</t>
  </si>
  <si>
    <t>Deal 4905</t>
  </si>
  <si>
    <t>Deal 4906</t>
  </si>
  <si>
    <t>Deal 4907</t>
  </si>
  <si>
    <t>Deal 4908</t>
  </si>
  <si>
    <t>Deal 4909</t>
  </si>
  <si>
    <t>Deal 4910</t>
  </si>
  <si>
    <t>Deal 4911</t>
  </si>
  <si>
    <t>Deal 4912</t>
  </si>
  <si>
    <t>Deal 4913</t>
  </si>
  <si>
    <t>Deal 4914</t>
  </si>
  <si>
    <t>Deal 4915</t>
  </si>
  <si>
    <t>Deal 4916</t>
  </si>
  <si>
    <t>Deal 4917</t>
  </si>
  <si>
    <t>Deal 4918</t>
  </si>
  <si>
    <t>Deal 4919</t>
  </si>
  <si>
    <t>Deal 4920</t>
  </si>
  <si>
    <t>SHPI US Equity</t>
  </si>
  <si>
    <t>ASFN US Equity</t>
  </si>
  <si>
    <t>ENHT US Equity</t>
  </si>
  <si>
    <t>1878409D US Equity</t>
  </si>
  <si>
    <t>FOFN US Equity</t>
  </si>
  <si>
    <t>SBFG US Equity</t>
  </si>
  <si>
    <t>GORXQ US Equity</t>
  </si>
  <si>
    <t>2592980D US Equity</t>
  </si>
  <si>
    <t>TODDA US Equity</t>
  </si>
  <si>
    <t>SEELQ US Equity</t>
  </si>
  <si>
    <t>CCLD US Equity</t>
  </si>
  <si>
    <t>862395Q GR Equity</t>
  </si>
  <si>
    <t>WTT US Equity</t>
  </si>
  <si>
    <t>DYNE US Equity</t>
  </si>
  <si>
    <t>LJPC US Equity</t>
  </si>
  <si>
    <t>MGAM US Equity</t>
  </si>
  <si>
    <t>1638692D US Equity</t>
  </si>
  <si>
    <t>ALNT US Equity</t>
  </si>
  <si>
    <t>PFSL US Equity</t>
  </si>
  <si>
    <t>ANGQC US Equity</t>
  </si>
  <si>
    <t>EPEXQ US Equity</t>
  </si>
  <si>
    <t>ALLP US Equity</t>
  </si>
  <si>
    <t>Ann: 2001-04-26</t>
  </si>
  <si>
    <t>Ann: 2016-04-18</t>
  </si>
  <si>
    <t>Ann: 2007-11-07</t>
  </si>
  <si>
    <t>Ann: 2019-07-03</t>
  </si>
  <si>
    <t>Ann: 2015-10-22</t>
  </si>
  <si>
    <t>Ann: 2009-06-09</t>
  </si>
  <si>
    <t>Ann: 2003-08-14</t>
  </si>
  <si>
    <t>Ann: 2004-02-10</t>
  </si>
  <si>
    <t>Ann: 2003-05-29</t>
  </si>
  <si>
    <t>Ann: 2012-06-05</t>
  </si>
  <si>
    <t>Deal 4921</t>
  </si>
  <si>
    <t>Deal 4922</t>
  </si>
  <si>
    <t>Deal 4923</t>
  </si>
  <si>
    <t>Deal 4924</t>
  </si>
  <si>
    <t>Deal 4925</t>
  </si>
  <si>
    <t>Deal 4926</t>
  </si>
  <si>
    <t>Deal 4927</t>
  </si>
  <si>
    <t>Deal 4928</t>
  </si>
  <si>
    <t>Deal 4929</t>
  </si>
  <si>
    <t>Deal 4930</t>
  </si>
  <si>
    <t>Deal 4931</t>
  </si>
  <si>
    <t>Deal 4932</t>
  </si>
  <si>
    <t>Deal 4933</t>
  </si>
  <si>
    <t>Deal 4934</t>
  </si>
  <si>
    <t>Deal 4935</t>
  </si>
  <si>
    <t>Deal 4936</t>
  </si>
  <si>
    <t>Deal 4937</t>
  </si>
  <si>
    <t>Deal 4938</t>
  </si>
  <si>
    <t>Deal 4939</t>
  </si>
  <si>
    <t>Deal 4940</t>
  </si>
  <si>
    <t>Deal 4941</t>
  </si>
  <si>
    <t>Deal 4942</t>
  </si>
  <si>
    <t>Deal 4943</t>
  </si>
  <si>
    <t>Deal 4944</t>
  </si>
  <si>
    <t>Deal 4945</t>
  </si>
  <si>
    <t>Deal 4946</t>
  </si>
  <si>
    <t>Deal 4947</t>
  </si>
  <si>
    <t>Deal 4948</t>
  </si>
  <si>
    <t>Deal 4949</t>
  </si>
  <si>
    <t>Deal 4950</t>
  </si>
  <si>
    <t>Deal 4951</t>
  </si>
  <si>
    <t>Deal 4952</t>
  </si>
  <si>
    <t>Deal 4953</t>
  </si>
  <si>
    <t>Deal 4954</t>
  </si>
  <si>
    <t>Deal 4955</t>
  </si>
  <si>
    <t>Deal 4956</t>
  </si>
  <si>
    <t>Deal 4957</t>
  </si>
  <si>
    <t>Deal 4958</t>
  </si>
  <si>
    <t>Deal 4959</t>
  </si>
  <si>
    <t>Deal 4960</t>
  </si>
  <si>
    <t>AIII US Equity</t>
  </si>
  <si>
    <t>MJCO US Equity</t>
  </si>
  <si>
    <t>ONFC US Equity</t>
  </si>
  <si>
    <t>VERD US Equity</t>
  </si>
  <si>
    <t>TUTR US Equity</t>
  </si>
  <si>
    <t>PRPX US Equity</t>
  </si>
  <si>
    <t>ONVI US Equity</t>
  </si>
  <si>
    <t>KEGS US Equity</t>
  </si>
  <si>
    <t>NATH US Equity</t>
  </si>
  <si>
    <t>USXP US Equity</t>
  </si>
  <si>
    <t>MSLPQ US Equity</t>
  </si>
  <si>
    <t>WWWX US Equity</t>
  </si>
  <si>
    <t>MGLD US Equity</t>
  </si>
  <si>
    <t>DNDNQ US Equity</t>
  </si>
  <si>
    <t>PCBB US Equity</t>
  </si>
  <si>
    <t>NDN US Equity</t>
  </si>
  <si>
    <t>CARV US Equity</t>
  </si>
  <si>
    <t>CWBK US Equity</t>
  </si>
  <si>
    <t>HEAL US Equity</t>
  </si>
  <si>
    <t>Ann: 2015-01-30</t>
  </si>
  <si>
    <t>Ann: 2020-01-30</t>
  </si>
  <si>
    <t>Ann: 2016-07-01</t>
  </si>
  <si>
    <t>Ann: 2008-12-31</t>
  </si>
  <si>
    <t>Ann: 2002-09-20</t>
  </si>
  <si>
    <t>Ann: 2004-10-11</t>
  </si>
  <si>
    <t>Ann: 2013-11-13</t>
  </si>
  <si>
    <t>Ann: 1998-03-20</t>
  </si>
  <si>
    <t>Ann: 1999-12-10</t>
  </si>
  <si>
    <t>Ann: 1999-03-30</t>
  </si>
  <si>
    <t>Ann: 2005-09-20</t>
  </si>
  <si>
    <t>Ann: 2005-05-03</t>
  </si>
  <si>
    <t>Ann: 2003-02-25</t>
  </si>
  <si>
    <t>Ann: 2002-06-25</t>
  </si>
  <si>
    <t>Ann: 1998-04-21</t>
  </si>
  <si>
    <t>Ann: 2004-11-05</t>
  </si>
  <si>
    <t>Ann: 2009-03-06</t>
  </si>
  <si>
    <t>Deal 4961</t>
  </si>
  <si>
    <t>Deal 4962</t>
  </si>
  <si>
    <t>Deal 4963</t>
  </si>
  <si>
    <t>Deal 4964</t>
  </si>
  <si>
    <t>Deal 4965</t>
  </si>
  <si>
    <t>Deal 4966</t>
  </si>
  <si>
    <t>Deal 4967</t>
  </si>
  <si>
    <t>Deal 4968</t>
  </si>
  <si>
    <t>Deal 4969</t>
  </si>
  <si>
    <t>Deal 4970</t>
  </si>
  <si>
    <t>Deal 4971</t>
  </si>
  <si>
    <t>Deal 4972</t>
  </si>
  <si>
    <t>Deal 4973</t>
  </si>
  <si>
    <t>Deal 4974</t>
  </si>
  <si>
    <t>Deal 4975</t>
  </si>
  <si>
    <t>Deal 4976</t>
  </si>
  <si>
    <t>Deal 4977</t>
  </si>
  <si>
    <t>Deal 4978</t>
  </si>
  <si>
    <t>Deal 4979</t>
  </si>
  <si>
    <t>Deal 4980</t>
  </si>
  <si>
    <t>Deal 4981</t>
  </si>
  <si>
    <t>Deal 4982</t>
  </si>
  <si>
    <t>Deal 4983</t>
  </si>
  <si>
    <t>Deal 4984</t>
  </si>
  <si>
    <t>Deal 4985</t>
  </si>
  <si>
    <t>Deal 4986</t>
  </si>
  <si>
    <t>Deal 4987</t>
  </si>
  <si>
    <t>Deal 4988</t>
  </si>
  <si>
    <t>Deal 4989</t>
  </si>
  <si>
    <t>Deal 4990</t>
  </si>
  <si>
    <t>Deal 4991</t>
  </si>
  <si>
    <t>Deal 4992</t>
  </si>
  <si>
    <t>Deal 4993</t>
  </si>
  <si>
    <t>Deal 4994</t>
  </si>
  <si>
    <t>Deal 4995</t>
  </si>
  <si>
    <t>Deal 4996</t>
  </si>
  <si>
    <t>Deal 4997</t>
  </si>
  <si>
    <t>Deal 4998</t>
  </si>
  <si>
    <t>Deal 4999</t>
  </si>
  <si>
    <t>NMIL US Equity</t>
  </si>
  <si>
    <t>INVT US Equity</t>
  </si>
  <si>
    <t>CVST US Equity</t>
  </si>
  <si>
    <t>FLMK US Equity</t>
  </si>
  <si>
    <t>LGTY US Equity</t>
  </si>
  <si>
    <t>8277795Q US Equity</t>
  </si>
  <si>
    <t>1917130D US Equity</t>
  </si>
  <si>
    <t>SOFN US Equity</t>
  </si>
  <si>
    <t>KERA US Equity</t>
  </si>
  <si>
    <t>ICUI US Equity</t>
  </si>
  <si>
    <t>EVH US Equity</t>
  </si>
  <si>
    <t>UWHR US Equity</t>
  </si>
  <si>
    <t>TSH US Equity</t>
  </si>
  <si>
    <t>MDRR US Equity</t>
  </si>
  <si>
    <t>BCAR US Equity</t>
  </si>
  <si>
    <t>HBMD US Equity</t>
  </si>
  <si>
    <t>MFIN US Equity</t>
  </si>
  <si>
    <t>CRN US Equity</t>
  </si>
  <si>
    <t>THCH US Equity</t>
  </si>
  <si>
    <t>2652Q US Equity</t>
  </si>
  <si>
    <t>PRES US Equity</t>
  </si>
  <si>
    <t>VDCY US Equity</t>
  </si>
  <si>
    <t>MCRL US Equity</t>
  </si>
  <si>
    <t>Ann: 2016-04-20</t>
  </si>
  <si>
    <t>Ann: 2000-05-31</t>
  </si>
  <si>
    <t>Ann: 2007-10-22</t>
  </si>
  <si>
    <t>Ann: 2001-07-18</t>
  </si>
  <si>
    <t>Ann: 2009-03-18</t>
  </si>
  <si>
    <t>Ann: 2007-04-26</t>
  </si>
  <si>
    <t>Ann: 2016-03-25</t>
  </si>
  <si>
    <t>Ann: 2013-06-21</t>
  </si>
  <si>
    <t>Ann: 2008-04-16</t>
  </si>
  <si>
    <t>Ann: 2004-09-27</t>
  </si>
  <si>
    <t>Ann: 2013-05-31</t>
  </si>
  <si>
    <t>Ann: 2011-08-17</t>
  </si>
  <si>
    <t>Ann: 2019-09-12</t>
  </si>
  <si>
    <t>Ann: 1999-08-03</t>
  </si>
  <si>
    <t>Ann: 2021-05-17</t>
  </si>
  <si>
    <t>Ann: 2010-11-08</t>
  </si>
  <si>
    <t>Ann: 1999-08-17</t>
  </si>
  <si>
    <t>Ann: 1999-07-02</t>
  </si>
  <si>
    <t>Ann: 2013-08-28</t>
  </si>
  <si>
    <t>Ann: 2014-03-04</t>
  </si>
  <si>
    <t>Ann: 2003-06-11</t>
  </si>
  <si>
    <t>INFU US Equity</t>
  </si>
  <si>
    <t>MLNI US Equity</t>
  </si>
  <si>
    <t>SUN SL Equity</t>
  </si>
  <si>
    <t>028260 KS Equity</t>
  </si>
  <si>
    <t>207940 KS Equity</t>
  </si>
  <si>
    <t>4743 TT Equity</t>
  </si>
  <si>
    <t>6562 TT Equity</t>
  </si>
  <si>
    <t>ALCLS FP Equity</t>
  </si>
  <si>
    <t>0711696D US Equity</t>
  </si>
  <si>
    <t>0713670D US Equity</t>
  </si>
  <si>
    <t>0880147D US Equity</t>
  </si>
  <si>
    <t>366058Z US Equity</t>
  </si>
  <si>
    <t>519859Z US Equity</t>
  </si>
  <si>
    <t>AD NA Equity</t>
  </si>
  <si>
    <t>CTRN US Equity</t>
  </si>
  <si>
    <t>3043419Z US Equity</t>
  </si>
  <si>
    <t>WBC AU Equity</t>
  </si>
  <si>
    <t>TROW US Equity</t>
  </si>
  <si>
    <t>770665Z US Equity</t>
  </si>
  <si>
    <t>III US Equity</t>
  </si>
  <si>
    <t>0273304D US Equity</t>
  </si>
  <si>
    <t>0441014D US Equity</t>
  </si>
  <si>
    <t>4324 JP Equity</t>
  </si>
  <si>
    <t>1779447D US Equity</t>
  </si>
  <si>
    <t>3352Z US Equity</t>
  </si>
  <si>
    <t>005380 KS Equity</t>
  </si>
  <si>
    <t>3036 TT Equity</t>
  </si>
  <si>
    <t>CDW US Equity</t>
  </si>
  <si>
    <t>KGF LN Equity</t>
  </si>
  <si>
    <t>4726 TT Equity</t>
  </si>
  <si>
    <t>6589 TT Equity</t>
  </si>
  <si>
    <t>2178487D CN Equity</t>
  </si>
  <si>
    <t>883 HK Equity</t>
  </si>
  <si>
    <t>AEL AU Equity</t>
  </si>
  <si>
    <t>AKSO NO Equity</t>
  </si>
  <si>
    <t>1378850D IT Equity</t>
  </si>
  <si>
    <t>1667402D IT Equity</t>
  </si>
  <si>
    <t>8178289Z US Equity</t>
  </si>
  <si>
    <t>KPRX US Equity</t>
  </si>
  <si>
    <t>PLUS US Equity</t>
  </si>
  <si>
    <t>0255710D PL Equity</t>
  </si>
  <si>
    <t>6148 TT Equity</t>
  </si>
  <si>
    <t>8056 JP Equity</t>
  </si>
  <si>
    <t>WMT US Equity</t>
  </si>
  <si>
    <t>3382 JP Equity</t>
  </si>
  <si>
    <t>GNE US Equity</t>
  </si>
  <si>
    <t>RFL US Equity</t>
  </si>
  <si>
    <t>SCSC US Equity</t>
  </si>
  <si>
    <t>0600993D US Equity</t>
  </si>
  <si>
    <t>1435497D NA Equity</t>
  </si>
  <si>
    <t>1923749D CN Equity</t>
  </si>
  <si>
    <t>AFSI US Equity</t>
  </si>
  <si>
    <t>SPNS US Equity</t>
  </si>
  <si>
    <t>036460 KS Equity</t>
  </si>
  <si>
    <t>285130 KS Equity</t>
  </si>
  <si>
    <t>4919 TT Equity</t>
  </si>
  <si>
    <t>6176 TT Equity</t>
  </si>
  <si>
    <t>BJ US Equity</t>
  </si>
  <si>
    <t>0360489Z US Equity</t>
  </si>
  <si>
    <t>7234Z US Equity</t>
  </si>
  <si>
    <t>IXBIO SP Equity</t>
  </si>
  <si>
    <t>BTB-U CN Equity</t>
  </si>
  <si>
    <t>7749 JP Equity</t>
  </si>
  <si>
    <t>AEP US Equity</t>
  </si>
  <si>
    <t>BLIN US Equity</t>
  </si>
  <si>
    <t>RGB MK Equity</t>
  </si>
  <si>
    <t>LOTO PM Equity</t>
  </si>
  <si>
    <t>GMR LN Equity</t>
  </si>
  <si>
    <t>DKNG US Equity</t>
  </si>
  <si>
    <t>0327378Z US Equity</t>
  </si>
  <si>
    <t>0432484D US Equity</t>
  </si>
  <si>
    <t>1819908D US Equity</t>
  </si>
  <si>
    <t>1904811D US Equity</t>
  </si>
  <si>
    <t>D-U CN Equity</t>
  </si>
  <si>
    <t>MINDSPCE IN Equity</t>
  </si>
  <si>
    <t>1799784D US Equity</t>
  </si>
  <si>
    <t>1896544D GR Equity</t>
  </si>
  <si>
    <t>CREI LN Equity</t>
  </si>
  <si>
    <t>TACT US Equity</t>
  </si>
  <si>
    <t>300383 CH Equity</t>
  </si>
  <si>
    <t>FCPT US Equity</t>
  </si>
  <si>
    <t>IDXX US Equity</t>
  </si>
  <si>
    <t>EIX US Equity</t>
  </si>
  <si>
    <t>POR US Equity</t>
  </si>
  <si>
    <t>PPL US Equity</t>
  </si>
  <si>
    <t>CAP FP Equity</t>
  </si>
  <si>
    <t>0180830Z US Equity</t>
  </si>
  <si>
    <t>0877599D US Equity</t>
  </si>
  <si>
    <t>0909700D US Equity</t>
  </si>
  <si>
    <t>2505298D US Equity</t>
  </si>
  <si>
    <t>036540 KS Equity</t>
  </si>
  <si>
    <t>ZDGE US Equity</t>
  </si>
  <si>
    <t>IQST US Equity</t>
  </si>
  <si>
    <t>TSEM IT Equity</t>
  </si>
  <si>
    <t>AIXA GR Equity</t>
  </si>
  <si>
    <t>042700 KS Equity</t>
  </si>
  <si>
    <t>000660 KS Equity</t>
  </si>
  <si>
    <t>003026 CH Equity</t>
  </si>
  <si>
    <t>CXM US Equity</t>
  </si>
  <si>
    <t>DELL US Equity</t>
  </si>
  <si>
    <t>FRSH US Equity</t>
  </si>
  <si>
    <t>FLEX US Equity</t>
  </si>
  <si>
    <t>JBL US Equity</t>
  </si>
  <si>
    <t>GERN US Equity</t>
  </si>
  <si>
    <t>LCII US Equity</t>
  </si>
  <si>
    <t>ERICB SS Equity</t>
  </si>
  <si>
    <t>MA US Equity</t>
  </si>
  <si>
    <t>ETR US Equity</t>
  </si>
  <si>
    <t>FTS CN Equity</t>
  </si>
  <si>
    <t>OGE US Equity</t>
  </si>
  <si>
    <t>TEVA IT Equity</t>
  </si>
  <si>
    <t>032940 KS Equity</t>
  </si>
  <si>
    <t>256940 KS Equity</t>
  </si>
  <si>
    <t>3079 JP Equity</t>
  </si>
  <si>
    <t>600998 CH Equity</t>
  </si>
  <si>
    <t>INFO IN Equity</t>
  </si>
  <si>
    <t>CCRD US Equity</t>
  </si>
  <si>
    <t>PRIME SP Equity</t>
  </si>
  <si>
    <t>IDL FP Equity</t>
  </si>
  <si>
    <t>950220 KS Equity</t>
  </si>
  <si>
    <t>0247409Z US Equity</t>
  </si>
  <si>
    <t>1511892D US Equity</t>
  </si>
  <si>
    <t>1865581D US Equity</t>
  </si>
  <si>
    <t>300244 CH Equity</t>
  </si>
  <si>
    <t>170900 KS Equity</t>
  </si>
  <si>
    <t>195940 KS Equity</t>
  </si>
  <si>
    <t>161890 KS Equity</t>
  </si>
  <si>
    <t>4142 TT Equity</t>
  </si>
  <si>
    <t>053030 KS Equity</t>
  </si>
  <si>
    <t>000250 KS Equity</t>
  </si>
  <si>
    <t>002022 CH Equity</t>
  </si>
  <si>
    <t>0612785D US Equity</t>
  </si>
  <si>
    <t>0704734D US Equity</t>
  </si>
  <si>
    <t>127159MF US Equity</t>
  </si>
  <si>
    <t>50795MF US Equity</t>
  </si>
  <si>
    <t>1401611D US Equity</t>
  </si>
  <si>
    <t>1502052D US Equity</t>
  </si>
  <si>
    <t>BIOGB SS Equity</t>
  </si>
  <si>
    <t>ATO FP Equity</t>
  </si>
  <si>
    <t>CFLT US Equity</t>
  </si>
  <si>
    <t>JD/ LN Equity</t>
  </si>
  <si>
    <t>TSCO US Equity</t>
  </si>
  <si>
    <t>TGT US Equity</t>
  </si>
  <si>
    <t>0031457D US Equity</t>
  </si>
  <si>
    <t>0140739D LN Equity</t>
  </si>
  <si>
    <t>0219834Z US Equity</t>
  </si>
  <si>
    <t>0424410D US Equity</t>
  </si>
  <si>
    <t>0711044D US Equity</t>
  </si>
  <si>
    <t>0875634D US Equity</t>
  </si>
  <si>
    <t>11630Z US Equity</t>
  </si>
  <si>
    <t>1660622D US Equity</t>
  </si>
  <si>
    <t>1684072D US Equity</t>
  </si>
  <si>
    <t>LMT US Equity</t>
  </si>
  <si>
    <t>BA/ LN Equity</t>
  </si>
  <si>
    <t>CNXN US Equity</t>
  </si>
  <si>
    <t>3669 TT Equity</t>
  </si>
  <si>
    <t>BTL IN Equity</t>
  </si>
  <si>
    <t>BHARTI IN Equity</t>
  </si>
  <si>
    <t>DTE GR Equity</t>
  </si>
  <si>
    <t>415672Z US Equity</t>
  </si>
  <si>
    <t>BLND US Equity</t>
  </si>
  <si>
    <t>GSK LN Equity</t>
  </si>
  <si>
    <t>1952 HK Equity</t>
  </si>
  <si>
    <t>ZLAB US Equity</t>
  </si>
  <si>
    <t>0219682Z US Equity</t>
  </si>
  <si>
    <t>0777586D US Equity</t>
  </si>
  <si>
    <t>BING GR Equity</t>
  </si>
  <si>
    <t>7459 JP Equity</t>
  </si>
  <si>
    <t>0006698D US Equity</t>
  </si>
  <si>
    <t>0053520D US Equity</t>
  </si>
  <si>
    <t>0053963D US Equity</t>
  </si>
  <si>
    <t>0212721Z US Equity</t>
  </si>
  <si>
    <t>COST US Equity</t>
  </si>
  <si>
    <t>FII FP Equity</t>
  </si>
  <si>
    <t>DSY FP Equity</t>
  </si>
  <si>
    <t>2427 TT Equity</t>
  </si>
  <si>
    <t>IBE SM Equity</t>
  </si>
  <si>
    <t>PCG US Equity</t>
  </si>
  <si>
    <t>UTL US Equity</t>
  </si>
  <si>
    <t>1789 TT Equity</t>
  </si>
  <si>
    <t>ATR US Equity</t>
  </si>
  <si>
    <t>AMCR US Equity</t>
  </si>
  <si>
    <t>IMB LN Equity</t>
  </si>
  <si>
    <t>DIM FP Equity</t>
  </si>
  <si>
    <t>5201 JP Equity</t>
  </si>
  <si>
    <t>ANET US Equity</t>
  </si>
  <si>
    <t>BRZE US Equity</t>
  </si>
  <si>
    <t>BXP US Equity</t>
  </si>
  <si>
    <t>ARE US Equity</t>
  </si>
  <si>
    <t>NRO FP Equity</t>
  </si>
  <si>
    <t>UBXN SW Equity</t>
  </si>
  <si>
    <t>WALLB SS Equity</t>
  </si>
  <si>
    <t>3611 TT Equity</t>
  </si>
  <si>
    <t>7646347Z US Equity</t>
  </si>
  <si>
    <t>BAR BB Equity</t>
  </si>
  <si>
    <t>EMBASSY IN Equity</t>
  </si>
  <si>
    <t>MUST SP Equity</t>
  </si>
  <si>
    <t>6201 JP Equity</t>
  </si>
  <si>
    <t>1052024D US Equity</t>
  </si>
  <si>
    <t>2069787D US Equity</t>
  </si>
  <si>
    <t>4581 JP Equity</t>
  </si>
  <si>
    <t>AZN LN Equity</t>
  </si>
  <si>
    <t>CPH CN Equity</t>
  </si>
  <si>
    <t>NOVN SW Equity</t>
  </si>
  <si>
    <t>300979 CH Equity</t>
  </si>
  <si>
    <t>BABA US Equity</t>
  </si>
  <si>
    <t>551 HK Equity</t>
  </si>
  <si>
    <t>1836 HK Equity</t>
  </si>
  <si>
    <t>JRSH US Equity</t>
  </si>
  <si>
    <t>URW FP Equity</t>
  </si>
  <si>
    <t>24608Z US Equity</t>
  </si>
  <si>
    <t>3252Z US Equity</t>
  </si>
  <si>
    <t>BSLN SW Equity</t>
  </si>
  <si>
    <t>INCY US Equity</t>
  </si>
  <si>
    <t>13 HK Equity</t>
  </si>
  <si>
    <t>ADV GR Equity</t>
  </si>
  <si>
    <t>2066750D BB Equity</t>
  </si>
  <si>
    <t>688205 CH Equity</t>
  </si>
  <si>
    <t>9501 JP Equity</t>
  </si>
  <si>
    <t>7751 JP Equity</t>
  </si>
  <si>
    <t>992 HK Equity</t>
  </si>
  <si>
    <t>301318 CH Equity</t>
  </si>
  <si>
    <t>GTLS US Equity</t>
  </si>
  <si>
    <t>104460 KS Equity</t>
  </si>
  <si>
    <t>300437 CH Equity</t>
  </si>
  <si>
    <t>2454 TT Equity</t>
  </si>
  <si>
    <t>GFS US Equity</t>
  </si>
  <si>
    <t>PTSN IJ Equity</t>
  </si>
  <si>
    <t>MOH US Equity</t>
  </si>
  <si>
    <t>2079609D US Equity</t>
  </si>
  <si>
    <t>0407310D US Equity</t>
  </si>
  <si>
    <t>1450060D US Equity</t>
  </si>
  <si>
    <t>1684951D CN Equity</t>
  </si>
  <si>
    <t>AV/ LN Equity</t>
  </si>
  <si>
    <t>LTM IN Equity</t>
  </si>
  <si>
    <t>9877893Z US Equity</t>
  </si>
  <si>
    <t>BCC US Equity</t>
  </si>
  <si>
    <t>LULU US Equity</t>
  </si>
  <si>
    <t>MSM US Equity</t>
  </si>
  <si>
    <t>SMP US Equity</t>
  </si>
  <si>
    <t>5110 JP Equity</t>
  </si>
  <si>
    <t>ML FP Equity</t>
  </si>
  <si>
    <t>PIRC IM Equity</t>
  </si>
  <si>
    <t>CON GR Equity</t>
  </si>
  <si>
    <t>CDP US Equity</t>
  </si>
  <si>
    <t>HEI US Equity</t>
  </si>
  <si>
    <t>BB CN Equity</t>
  </si>
  <si>
    <t>GIII US Equity</t>
  </si>
  <si>
    <t>ICNT IN Equity</t>
  </si>
  <si>
    <t>1339564D US Equity</t>
  </si>
  <si>
    <t>PINC US Equity</t>
  </si>
  <si>
    <t>DHC US Equity</t>
  </si>
  <si>
    <t>JBGS US Equity</t>
  </si>
  <si>
    <t>AIRG US Equity</t>
  </si>
  <si>
    <t>SEAC US Equity</t>
  </si>
  <si>
    <t>BRX US Equity</t>
  </si>
  <si>
    <t>CBL US Equity</t>
  </si>
  <si>
    <t>CTO US Equity</t>
  </si>
  <si>
    <t>8234 TT Equity</t>
  </si>
  <si>
    <t>005930 KS Equity</t>
  </si>
  <si>
    <t>000063 CH Equity</t>
  </si>
  <si>
    <t>920978 CH Equity</t>
  </si>
  <si>
    <t>211270 KS Equity</t>
  </si>
  <si>
    <t>3025 TT Equity</t>
  </si>
  <si>
    <t>2265129D GR Equity</t>
  </si>
  <si>
    <t>7537 JP Equity</t>
  </si>
  <si>
    <t>ABBN SW Equity</t>
  </si>
  <si>
    <t>ALATI FP Equity</t>
  </si>
  <si>
    <t>0243048Z US Equity</t>
  </si>
  <si>
    <t>1445381D LN Equity</t>
  </si>
  <si>
    <t>2436327D FP Equity</t>
  </si>
  <si>
    <t>300558 CH Equity</t>
  </si>
  <si>
    <t>0228856Z US Equity</t>
  </si>
  <si>
    <t>0533479D US Equity</t>
  </si>
  <si>
    <t>3477406Z US Equity</t>
  </si>
  <si>
    <t>16453Z QD Equity</t>
  </si>
  <si>
    <t>HCA US Equity</t>
  </si>
  <si>
    <t>DG FP Equity</t>
  </si>
  <si>
    <t>2675B US Equity</t>
  </si>
  <si>
    <t>6758 JP Equity</t>
  </si>
  <si>
    <t>ARM US Equity</t>
  </si>
  <si>
    <t>000270 KS Equity</t>
  </si>
  <si>
    <t>1664Z CN Equity</t>
  </si>
  <si>
    <t>7203 JP Equity</t>
  </si>
  <si>
    <t>7267 JP Equity</t>
  </si>
  <si>
    <t>CCC LN Equity</t>
  </si>
  <si>
    <t>069640 KS Equity</t>
  </si>
  <si>
    <t>AKE FP Equity</t>
  </si>
  <si>
    <t>BKE US Equity</t>
  </si>
  <si>
    <t>REC IM Equity</t>
  </si>
  <si>
    <t>TVTX US Equity</t>
  </si>
  <si>
    <t>ARMK US Equity</t>
  </si>
  <si>
    <t>0219250Z US Equity</t>
  </si>
  <si>
    <t>1730532D US Equity</t>
  </si>
  <si>
    <t>EXPN LN Equity</t>
  </si>
  <si>
    <t>TRU US Equity</t>
  </si>
  <si>
    <t>656 HK Equity</t>
  </si>
  <si>
    <t>600196 CH Equity</t>
  </si>
  <si>
    <t>000516 CH Equity</t>
  </si>
  <si>
    <t>603648 CH Equity</t>
  </si>
  <si>
    <t>AIT US Equity</t>
  </si>
  <si>
    <t>CTTEA US Equity</t>
  </si>
  <si>
    <t>001940 KS Equity</t>
  </si>
  <si>
    <t>0131012D US Equity</t>
  </si>
  <si>
    <t>1777841D LX Equity</t>
  </si>
  <si>
    <t>300161 CH Equity</t>
  </si>
  <si>
    <t>AIR FP Equity</t>
  </si>
  <si>
    <t>CNR CN Equity</t>
  </si>
  <si>
    <t>288 HK Equity</t>
  </si>
  <si>
    <t>LW US Equity</t>
  </si>
  <si>
    <t>2177736D US Equity</t>
  </si>
  <si>
    <t>CA FP Equity</t>
  </si>
  <si>
    <t>0220462Z US Equity</t>
  </si>
  <si>
    <t>29638Z US Equity</t>
  </si>
  <si>
    <t>3471626Z US Equity</t>
  </si>
  <si>
    <t>CEC GR Equity</t>
  </si>
  <si>
    <t>600586 CH Equity</t>
  </si>
  <si>
    <t>0003038D US Equity</t>
  </si>
  <si>
    <t>0067090D US Equity</t>
  </si>
  <si>
    <t>1354560D US Equity</t>
  </si>
  <si>
    <t>GM US Equity</t>
  </si>
  <si>
    <t>002024 CH Equity</t>
  </si>
  <si>
    <t>VREX US Equity</t>
  </si>
  <si>
    <t>SCAN CN Equity</t>
  </si>
  <si>
    <t>NG/ LN Equity</t>
  </si>
  <si>
    <t>AVG LN Equity</t>
  </si>
  <si>
    <t>002564 CH Equity</t>
  </si>
  <si>
    <t>300157 CH Equity</t>
  </si>
  <si>
    <t>600839 CH Equity</t>
  </si>
  <si>
    <t>FIX US Equity</t>
  </si>
  <si>
    <t>0116705D US Equity</t>
  </si>
  <si>
    <t>0215933D US Equity</t>
  </si>
  <si>
    <t>0424237D US Equity</t>
  </si>
  <si>
    <t>0492120D HK Equity</t>
  </si>
  <si>
    <t>OC US Equity</t>
  </si>
  <si>
    <t>044990 KS Equity</t>
  </si>
  <si>
    <t>838 HK Equity</t>
  </si>
  <si>
    <t>AEBI US Equity</t>
  </si>
  <si>
    <t>RAIL US Equity</t>
  </si>
  <si>
    <t>300380 CH Equity</t>
  </si>
  <si>
    <t>EMBJ3 BZ Equity</t>
  </si>
  <si>
    <t>GBX US Equity</t>
  </si>
  <si>
    <t>3747 JP Equity</t>
  </si>
  <si>
    <t>INW IM Equity</t>
  </si>
  <si>
    <t>AQN CN Equity</t>
  </si>
  <si>
    <t>SLGN US Equity</t>
  </si>
  <si>
    <t>GOOD IJ Equity</t>
  </si>
  <si>
    <t>002726 CH Equity</t>
  </si>
  <si>
    <t>4726 JP Equity</t>
  </si>
  <si>
    <t>9903653D US Equity</t>
  </si>
  <si>
    <t>INVE US Equity</t>
  </si>
  <si>
    <t>MATR CN Equity</t>
  </si>
  <si>
    <t>4549 JP Equity</t>
  </si>
  <si>
    <t>BBOX IN Equity</t>
  </si>
  <si>
    <t>004800 KS Equity</t>
  </si>
  <si>
    <t>0035143D US Equity</t>
  </si>
  <si>
    <t>0219900D US Equity</t>
  </si>
  <si>
    <t>0677087D US Equity</t>
  </si>
  <si>
    <t>0960400D US Equity</t>
  </si>
  <si>
    <t>ACI US Equity</t>
  </si>
  <si>
    <t>GROM US Equity</t>
  </si>
  <si>
    <t>MAPI IJ Equity</t>
  </si>
  <si>
    <t>1369953D IJ Equity</t>
  </si>
  <si>
    <t>ATS CN Equity</t>
  </si>
  <si>
    <t>HDC SJ Equity</t>
  </si>
  <si>
    <t>PCAR US Equity</t>
  </si>
  <si>
    <t>270660 KS Equity</t>
  </si>
  <si>
    <t>300201 CH Equity</t>
  </si>
  <si>
    <t>4599690Z US Equity</t>
  </si>
  <si>
    <t>605133 CH Equity</t>
  </si>
  <si>
    <t>127297MF US Equity</t>
  </si>
  <si>
    <t>2209056D US Equity</t>
  </si>
  <si>
    <t>3705747Z US Equity</t>
  </si>
  <si>
    <t>6767721Z US Equity</t>
  </si>
  <si>
    <t>SAF FP Equity</t>
  </si>
  <si>
    <t>MTX GR Equity</t>
  </si>
  <si>
    <t>HWM US Equity</t>
  </si>
  <si>
    <t>SARO US Equity</t>
  </si>
  <si>
    <t>496388Z US Equity</t>
  </si>
  <si>
    <t>BAYN GR Equity</t>
  </si>
  <si>
    <t>603617 CH Equity</t>
  </si>
  <si>
    <t>1972 HK Equity</t>
  </si>
  <si>
    <t>5460 TT Equity</t>
  </si>
  <si>
    <t>300246 CH Equity</t>
  </si>
  <si>
    <t>4502 JP Equity</t>
  </si>
  <si>
    <t>ROG SW Equity</t>
  </si>
  <si>
    <t>002284 CH Equity</t>
  </si>
  <si>
    <t>002292 CH Equity</t>
  </si>
  <si>
    <t>0613968D US Equity</t>
  </si>
  <si>
    <t>1513 TT Equity</t>
  </si>
  <si>
    <t>2734 TT Equity</t>
  </si>
  <si>
    <t>3583 TT Equity</t>
  </si>
  <si>
    <t>600023 CH Equity</t>
  </si>
  <si>
    <t>603380 CH Equity</t>
  </si>
  <si>
    <t>8374 TT Equity</t>
  </si>
  <si>
    <t>7533852Z CN Equity</t>
  </si>
  <si>
    <t>NOVOB DC Equity</t>
  </si>
  <si>
    <t>AERO SW Equity</t>
  </si>
  <si>
    <t>AIR US Equity</t>
  </si>
  <si>
    <t>FTG CN Equity</t>
  </si>
  <si>
    <t>0208044D US Equity</t>
  </si>
  <si>
    <t>0226331D US Equity</t>
  </si>
  <si>
    <t>0323050Z US Equity</t>
  </si>
  <si>
    <t>0325098Z US Equity</t>
  </si>
  <si>
    <t>IAC US Equity</t>
  </si>
  <si>
    <t>2382 TT Equity</t>
  </si>
  <si>
    <t>ALLE US Equity</t>
  </si>
  <si>
    <t>ATKR US Equity</t>
  </si>
  <si>
    <t>BLD US Equity</t>
  </si>
  <si>
    <t>3105 TT Equity</t>
  </si>
  <si>
    <t>ACX SM Equity</t>
  </si>
  <si>
    <t>OS US Equity</t>
  </si>
  <si>
    <t>SALM US Equity</t>
  </si>
  <si>
    <t>XONI US Equity</t>
  </si>
  <si>
    <t>ZIP US Equity</t>
  </si>
  <si>
    <t>1898990D ID Equity</t>
  </si>
  <si>
    <t>TCS IN Equity</t>
  </si>
  <si>
    <t>067010 KS Equity</t>
  </si>
  <si>
    <t>4813 JP Equity</t>
  </si>
  <si>
    <t>WK US Equity</t>
  </si>
  <si>
    <t>NEWT US Equity</t>
  </si>
  <si>
    <t>600693 CH Equity</t>
  </si>
  <si>
    <t>BE US Equity</t>
  </si>
  <si>
    <t>ULTP LN Equity</t>
  </si>
  <si>
    <t>8247120Z US Equity</t>
  </si>
  <si>
    <t>NXQ LN Equity</t>
  </si>
  <si>
    <t>NXPI US Equity</t>
  </si>
  <si>
    <t>CLS CN Equity</t>
  </si>
  <si>
    <t>NTAP US Equity</t>
  </si>
  <si>
    <t>6702 JP Equity</t>
  </si>
  <si>
    <t>BASE US Equity</t>
  </si>
  <si>
    <t>FROG US Equity</t>
  </si>
  <si>
    <t>KRC US Equity</t>
  </si>
  <si>
    <t>CERT US Equity</t>
  </si>
  <si>
    <t>005690 KS Equity</t>
  </si>
  <si>
    <t>1965036D US Equity</t>
  </si>
  <si>
    <t>0006157D US Equity</t>
  </si>
  <si>
    <t>0034912D US Equity</t>
  </si>
  <si>
    <t>0485547D US Equity</t>
  </si>
  <si>
    <t>1200353D US Equity</t>
  </si>
  <si>
    <t>PDM US Equity</t>
  </si>
  <si>
    <t>PLTR US Equity</t>
  </si>
  <si>
    <t>0899303D US Equity</t>
  </si>
  <si>
    <t>015760 KS Equity</t>
  </si>
  <si>
    <t>0197446Z US Equity</t>
  </si>
  <si>
    <t>051600 KS Equity</t>
  </si>
  <si>
    <t>1026Z US Equity</t>
  </si>
  <si>
    <t>0564173D US Equity</t>
  </si>
  <si>
    <t>300628 CH Equity</t>
  </si>
  <si>
    <t>303 HK Equity</t>
  </si>
  <si>
    <t>ABB AU Equity</t>
  </si>
  <si>
    <t>META US Equity</t>
  </si>
  <si>
    <t>003490 KS Equity</t>
  </si>
  <si>
    <t>PKE US Equity</t>
  </si>
  <si>
    <t>TGI US Equity</t>
  </si>
  <si>
    <t>2303 TT Equity</t>
  </si>
  <si>
    <t>2317 TT Equity</t>
  </si>
  <si>
    <t>2330 TT Equity</t>
  </si>
  <si>
    <t>8416 TT Equity</t>
  </si>
  <si>
    <t>002031 CH Equity</t>
  </si>
  <si>
    <t>039310 KS Equity</t>
  </si>
  <si>
    <t>IFX GR Equity</t>
  </si>
  <si>
    <t>002735 CH Equity</t>
  </si>
  <si>
    <t>002815 CH Equity</t>
  </si>
  <si>
    <t>300814 CH Equity</t>
  </si>
  <si>
    <t>301566 CH Equity</t>
  </si>
  <si>
    <t>AX-U CN Equity</t>
  </si>
  <si>
    <t>002150 CH Equity</t>
  </si>
  <si>
    <t>096640 KS Equity</t>
  </si>
  <si>
    <t>2468 TT Equity</t>
  </si>
  <si>
    <t>6584 TT Equity</t>
  </si>
  <si>
    <t>LNT US Equity</t>
  </si>
  <si>
    <t>MGEE US Equity</t>
  </si>
  <si>
    <t>2760 JP Equity</t>
  </si>
  <si>
    <t>762 HK Equity</t>
  </si>
  <si>
    <t>EXAI IM Equity</t>
  </si>
  <si>
    <t>WPP AU Equity</t>
  </si>
  <si>
    <t>178 HK Equity</t>
  </si>
  <si>
    <t>4156525Z LN Equity</t>
  </si>
  <si>
    <t>DELG IT Equity</t>
  </si>
  <si>
    <t>STOME1 US Equity</t>
  </si>
  <si>
    <t>TSCO LN Equity</t>
  </si>
  <si>
    <t>0110321D US Equity</t>
  </si>
  <si>
    <t>2596414Z LN Equity</t>
  </si>
  <si>
    <t>OR FP Equity</t>
  </si>
  <si>
    <t>003550 KS Equity</t>
  </si>
  <si>
    <t>1288633D US Equity</t>
  </si>
  <si>
    <t>1994174Z LN Equity</t>
  </si>
  <si>
    <t>2352211D SM Equity</t>
  </si>
  <si>
    <t>VNO US Equity</t>
  </si>
  <si>
    <t>0170016D US Equity</t>
  </si>
  <si>
    <t>2279065D US Equity</t>
  </si>
  <si>
    <t>0852591D LX Equity</t>
  </si>
  <si>
    <t>1041068Z US Equity</t>
  </si>
  <si>
    <t>1289210Z NA Equity</t>
  </si>
  <si>
    <t>1643968D US Equity</t>
  </si>
  <si>
    <t>2290660D CN Equity</t>
  </si>
  <si>
    <t>EPIA SS Equity</t>
  </si>
  <si>
    <t>OGD CN Equity</t>
  </si>
  <si>
    <t>WGO US Equity</t>
  </si>
  <si>
    <t>1707740D IT Equity</t>
  </si>
  <si>
    <t>6857 JP Equity</t>
  </si>
  <si>
    <t>SAP GR Equity</t>
  </si>
  <si>
    <t>002212 CH Equity</t>
  </si>
  <si>
    <t>1332923D SS Equity</t>
  </si>
  <si>
    <t>1920703D US Equity</t>
  </si>
  <si>
    <t>2353 TT Equity</t>
  </si>
  <si>
    <t>1115L US Equity</t>
  </si>
  <si>
    <t>QLYS US Equity</t>
  </si>
  <si>
    <t>000720 KS Equity</t>
  </si>
  <si>
    <t>0230497Z US Equity</t>
  </si>
  <si>
    <t>0706379D US Equity</t>
  </si>
  <si>
    <t>300015 CH Equity</t>
  </si>
  <si>
    <t>HUN US Equity</t>
  </si>
  <si>
    <t>9507 JP Equity</t>
  </si>
  <si>
    <t>CULP US Equity</t>
  </si>
  <si>
    <t>FNOVA17 MM Equity</t>
  </si>
  <si>
    <t>SNDR US Equity</t>
  </si>
  <si>
    <t>UFI US Equity</t>
  </si>
  <si>
    <t>4521 JP Equity</t>
  </si>
  <si>
    <t>4536 JP Equity</t>
  </si>
  <si>
    <t>ATG US Equity</t>
  </si>
  <si>
    <t>TEN IM Equity</t>
  </si>
  <si>
    <t>002171 CH Equity</t>
  </si>
  <si>
    <t>BNFT US Equity</t>
  </si>
  <si>
    <t>PERI US Equity</t>
  </si>
  <si>
    <t>HCLT IN Equity</t>
  </si>
  <si>
    <t>603400 CH Equity</t>
  </si>
  <si>
    <t>669 HK Equity</t>
  </si>
  <si>
    <t>006400 KS Equity</t>
  </si>
  <si>
    <t>0849733D US Equity</t>
  </si>
  <si>
    <t>1236057D US Equity</t>
  </si>
  <si>
    <t>3574930Z US Equity</t>
  </si>
  <si>
    <t>7538140Z US Equity</t>
  </si>
  <si>
    <t>7974 JP Equity</t>
  </si>
  <si>
    <t>IMI LN Equity</t>
  </si>
  <si>
    <t>039860 KS Equity</t>
  </si>
  <si>
    <t>FN US Equity</t>
  </si>
  <si>
    <t>SND US Equity</t>
  </si>
  <si>
    <t>STOWV1 US Equity</t>
  </si>
  <si>
    <t>1725219D US Equity</t>
  </si>
  <si>
    <t>FMCC US Equity</t>
  </si>
  <si>
    <t>LUDG US Equity</t>
  </si>
  <si>
    <t>3231 TT Equity</t>
  </si>
  <si>
    <t>2345 TT Equity</t>
  </si>
  <si>
    <t>1761837D US Equity</t>
  </si>
  <si>
    <t>1876642D US Equity</t>
  </si>
  <si>
    <t>LXS GR Equity</t>
  </si>
  <si>
    <t>3097Z US Equity</t>
  </si>
  <si>
    <t>AAX AU Equity</t>
  </si>
  <si>
    <t>601138 CH Equity</t>
  </si>
  <si>
    <t>VOW GR Equity</t>
  </si>
  <si>
    <t>BMW GR Equity</t>
  </si>
  <si>
    <t>STOCT1 US Equity</t>
  </si>
  <si>
    <t>APOT JR Equity</t>
  </si>
  <si>
    <t>HIW US Equity</t>
  </si>
  <si>
    <t>ECVT US Equity</t>
  </si>
  <si>
    <t>1431978Z LN Equity</t>
  </si>
  <si>
    <t>1620169D US Equity</t>
  </si>
  <si>
    <t>2023844D US Equity</t>
  </si>
  <si>
    <t>8206440Z LN Equity</t>
  </si>
  <si>
    <t>066570 KS Equity</t>
  </si>
  <si>
    <t>2450 TT Equity</t>
  </si>
  <si>
    <t>2585 JP Equity</t>
  </si>
  <si>
    <t>300729 CH Equity</t>
  </si>
  <si>
    <t>5410 TT Equity</t>
  </si>
  <si>
    <t>XOMA US Equity</t>
  </si>
  <si>
    <t>ZYDUSLIF IN Equity</t>
  </si>
  <si>
    <t>1732514D US Equity</t>
  </si>
  <si>
    <t>600166 CH Equity</t>
  </si>
  <si>
    <t>AMKR US Equity</t>
  </si>
  <si>
    <t>3711 TT Equity</t>
  </si>
  <si>
    <t>TXNM US Equity</t>
  </si>
  <si>
    <t>GRMN US Equity</t>
  </si>
  <si>
    <t>1810 HK Equity</t>
  </si>
  <si>
    <t>3584357Z US Equity</t>
  </si>
  <si>
    <t>003300 KS Equity</t>
  </si>
  <si>
    <t>0194368D US Equity</t>
  </si>
  <si>
    <t>4272 JP Equity</t>
  </si>
  <si>
    <t>CASIF US Equity</t>
  </si>
  <si>
    <t>0006311D US Equity</t>
  </si>
  <si>
    <t>0008058D US Equity</t>
  </si>
  <si>
    <t>0047459D US Equity</t>
  </si>
  <si>
    <t>004690 KS Equity</t>
  </si>
  <si>
    <t>1009 HK Equity</t>
  </si>
  <si>
    <t>1066999D US Equity</t>
  </si>
  <si>
    <t>1313161D US Equity</t>
  </si>
  <si>
    <t>KHC US Equity</t>
  </si>
  <si>
    <t>AAT US Equity</t>
  </si>
  <si>
    <t>ARDS US Equity</t>
  </si>
  <si>
    <t>CMRX US Equity</t>
  </si>
  <si>
    <t>079940 KS Equity</t>
  </si>
  <si>
    <t>123570 KS Equity</t>
  </si>
  <si>
    <t>1737 TT Equity</t>
  </si>
  <si>
    <t>1993450D US Equity</t>
  </si>
  <si>
    <t>PLUG US Equity</t>
  </si>
  <si>
    <t>1003Z GR Equity</t>
  </si>
  <si>
    <t>ALSN US Equity</t>
  </si>
  <si>
    <t>BILL US Equity</t>
  </si>
  <si>
    <t>DT US Equity</t>
  </si>
  <si>
    <t>HCP US Equity</t>
  </si>
  <si>
    <t>NCNO US Equity</t>
  </si>
  <si>
    <t>BRE IM Equity</t>
  </si>
  <si>
    <t>5288 TT Equity</t>
  </si>
  <si>
    <t>DAN US Equity</t>
  </si>
  <si>
    <t>6902 JP Equity</t>
  </si>
  <si>
    <t>0374933Z US Equity</t>
  </si>
  <si>
    <t>9889456Z US Equity</t>
  </si>
  <si>
    <t>TCRT US Equity</t>
  </si>
  <si>
    <t>RPR-U CN Equity</t>
  </si>
  <si>
    <t>MT NA Equity</t>
  </si>
  <si>
    <t>48835Z US Equity</t>
  </si>
  <si>
    <t>CRN AU Equity</t>
  </si>
  <si>
    <t>VOYG US Equity</t>
  </si>
  <si>
    <t>AMPX US Equity</t>
  </si>
  <si>
    <t>000990 KS Equity</t>
  </si>
  <si>
    <t>688625 CH Equity</t>
  </si>
  <si>
    <t>857 HK Equity</t>
  </si>
  <si>
    <t>BRKM5 BZ Equity</t>
  </si>
  <si>
    <t>BSR VN Equity</t>
  </si>
  <si>
    <t>DOV US Equity</t>
  </si>
  <si>
    <t>KDP US Equity</t>
  </si>
  <si>
    <t>SABIC AB Equity</t>
  </si>
  <si>
    <t>SOY CN Equity</t>
  </si>
  <si>
    <t>121485Z US Equity</t>
  </si>
  <si>
    <t>OI US Equity</t>
  </si>
  <si>
    <t>0071241D US Equity</t>
  </si>
  <si>
    <t>BUC LN Equity</t>
  </si>
  <si>
    <t>KNOS LN Equity</t>
  </si>
  <si>
    <t>PVT CN Equity</t>
  </si>
  <si>
    <t>600446 CH Equity</t>
  </si>
  <si>
    <t>0110010D US Equity</t>
  </si>
  <si>
    <t>0430042D US Equity</t>
  </si>
  <si>
    <t>0850044D US Equity</t>
  </si>
  <si>
    <t>STOKS1 US Equity</t>
  </si>
  <si>
    <t>8665MF US Equity</t>
  </si>
  <si>
    <t>1732858D US Equity</t>
  </si>
  <si>
    <t>1965505D US Equity</t>
  </si>
  <si>
    <t>3593843Z US Equity</t>
  </si>
  <si>
    <t>COMN US Equity</t>
  </si>
  <si>
    <t>1928 JP Equity</t>
  </si>
  <si>
    <t>1171959D US Equity</t>
  </si>
  <si>
    <t>HOUSE PM Equity</t>
  </si>
  <si>
    <t>ARCH NO Equity</t>
  </si>
  <si>
    <t>NESR US Equity</t>
  </si>
  <si>
    <t>ARKO US Equity</t>
  </si>
  <si>
    <t>ATD CN Equity</t>
  </si>
  <si>
    <t>BCE LN Equity</t>
  </si>
  <si>
    <t>CAPL US Equity</t>
  </si>
  <si>
    <t>SYGIL IN Equity</t>
  </si>
  <si>
    <t>DLN LN Equity</t>
  </si>
  <si>
    <t>6507Z US Equity</t>
  </si>
  <si>
    <t>6523 JP Equity</t>
  </si>
  <si>
    <t>SECIS IN Equity</t>
  </si>
  <si>
    <t>BLND LN Equity</t>
  </si>
  <si>
    <t>1817873D US Equity</t>
  </si>
  <si>
    <t>405 HK Equity</t>
  </si>
  <si>
    <t>9502 JP Equity</t>
  </si>
  <si>
    <t>FCT IM Equity</t>
  </si>
  <si>
    <t>GMEXICOB MM Equity</t>
  </si>
  <si>
    <t>HAV NO Equity</t>
  </si>
  <si>
    <t>SABR US Equity</t>
  </si>
  <si>
    <t>WOOF US Equity</t>
  </si>
  <si>
    <t>CHWY US Equity</t>
  </si>
  <si>
    <t>VACN SW Equity</t>
  </si>
  <si>
    <t>UCTT US Equity</t>
  </si>
  <si>
    <t>RIO LN Equity</t>
  </si>
  <si>
    <t>ERA FP Equity</t>
  </si>
  <si>
    <t>0887272D NO Equity</t>
  </si>
  <si>
    <t>1635209D IN Equity</t>
  </si>
  <si>
    <t>52776MF US Equity</t>
  </si>
  <si>
    <t>12868MF US Equity</t>
  </si>
  <si>
    <t>13648MF US Equity</t>
  </si>
  <si>
    <t>27234MF US Equity</t>
  </si>
  <si>
    <t>FMTY14 MM Equity</t>
  </si>
  <si>
    <t>LMAX IN Equity</t>
  </si>
  <si>
    <t>1695300D US Equity</t>
  </si>
  <si>
    <t>2067225D US Equity</t>
  </si>
  <si>
    <t>CVX FP Equity</t>
  </si>
  <si>
    <t>DNOW US Equity</t>
  </si>
  <si>
    <t>DTI US Equity</t>
  </si>
  <si>
    <t>154040 KS Equity</t>
  </si>
  <si>
    <t>208860 KS Equity</t>
  </si>
  <si>
    <t>389020 KS Equity</t>
  </si>
  <si>
    <t>4147029Z US Equity</t>
  </si>
  <si>
    <t>1414936D US Equity</t>
  </si>
  <si>
    <t>41935MF US Equity</t>
  </si>
  <si>
    <t>SOLR CN Equity</t>
  </si>
  <si>
    <t>2359 TT Equity</t>
  </si>
  <si>
    <t>301252 CH Equity</t>
  </si>
  <si>
    <t>CURV US Equity</t>
  </si>
  <si>
    <t>HOME US Equity</t>
  </si>
  <si>
    <t>RADCQ US Equity</t>
  </si>
  <si>
    <t>0006985D US Equity</t>
  </si>
  <si>
    <t>1057653D FP Equity</t>
  </si>
  <si>
    <t>1707 TT Equity</t>
  </si>
  <si>
    <t>21654Z US Equity</t>
  </si>
  <si>
    <t>AVYAQ US Equity</t>
  </si>
  <si>
    <t>ENGH CN Equity</t>
  </si>
  <si>
    <t>7707 JP Equity</t>
  </si>
  <si>
    <t>1763071D US Equity</t>
  </si>
  <si>
    <t>179 HK Equity</t>
  </si>
  <si>
    <t>021650 KS Equity</t>
  </si>
  <si>
    <t>SEL IN Equity</t>
  </si>
  <si>
    <t>NNBR US Equity</t>
  </si>
  <si>
    <t>RPRX US Equity</t>
  </si>
  <si>
    <t>ERF FP Equity</t>
  </si>
  <si>
    <t>0730846D US Equity</t>
  </si>
  <si>
    <t>SMARTWOR IN Equity</t>
  </si>
  <si>
    <t>0219738Z US Equity</t>
  </si>
  <si>
    <t>0251349Z US Equity</t>
  </si>
  <si>
    <t>1222637D US Equity</t>
  </si>
  <si>
    <t>1COV GR Equity</t>
  </si>
  <si>
    <t>6810 JP Equity</t>
  </si>
  <si>
    <t>002891 CH Equity</t>
  </si>
  <si>
    <t>2062 TT Equity</t>
  </si>
  <si>
    <t>TEMN SW Equity</t>
  </si>
  <si>
    <t>WEX US Equity</t>
  </si>
  <si>
    <t>0455979D LN Equity</t>
  </si>
  <si>
    <t>0706555D US Equity</t>
  </si>
  <si>
    <t>0837797D BB Equity</t>
  </si>
  <si>
    <t>1025820Z LN Equity</t>
  </si>
  <si>
    <t>1711553D US Equity</t>
  </si>
  <si>
    <t>2457842D US Equity</t>
  </si>
  <si>
    <t>WMS US Equity</t>
  </si>
  <si>
    <t>1069526D US Equity</t>
  </si>
  <si>
    <t>1537014D US Equity</t>
  </si>
  <si>
    <t>3352425Z US Equity</t>
  </si>
  <si>
    <t>600690 CH Equity</t>
  </si>
  <si>
    <t>GFF US Equity</t>
  </si>
  <si>
    <t>STRL US Equity</t>
  </si>
  <si>
    <t>TTD US Equity</t>
  </si>
  <si>
    <t>053300 KS Equity</t>
  </si>
  <si>
    <t>8 HK Equity</t>
  </si>
  <si>
    <t>STX US Equity</t>
  </si>
  <si>
    <t>2357 TT Equity</t>
  </si>
  <si>
    <t>9888092Z US Equity</t>
  </si>
  <si>
    <t>CNA LN Equity</t>
  </si>
  <si>
    <t>GNL US Equity</t>
  </si>
  <si>
    <t>IVT US Equity</t>
  </si>
  <si>
    <t>1460 TT Equity</t>
  </si>
  <si>
    <t>3060 TT Equity</t>
  </si>
  <si>
    <t>LI FP Equity</t>
  </si>
  <si>
    <t>NOKIA FH Equity</t>
  </si>
  <si>
    <t>REI-U CN Equity</t>
  </si>
  <si>
    <t>SRU-U CN Equity</t>
  </si>
  <si>
    <t>CHP-U CN Equity</t>
  </si>
  <si>
    <t>ENSG US Equity</t>
  </si>
  <si>
    <t>PACS US Equity</t>
  </si>
  <si>
    <t>1971006D LN Equity</t>
  </si>
  <si>
    <t>303194Z US Equity</t>
  </si>
  <si>
    <t>1400526D US Equity</t>
  </si>
  <si>
    <t>1742183D US Equity</t>
  </si>
  <si>
    <t>GTM US Equity</t>
  </si>
  <si>
    <t>NET US Equity</t>
  </si>
  <si>
    <t>MCW US Equity</t>
  </si>
  <si>
    <t>PLAY US Equity</t>
  </si>
  <si>
    <t>CWH US Equity</t>
  </si>
  <si>
    <t>4765 JP Equity</t>
  </si>
  <si>
    <t>SKLT IJ Equity</t>
  </si>
  <si>
    <t>TESS US Equity</t>
  </si>
  <si>
    <t>SFM US Equity</t>
  </si>
  <si>
    <t>920112 CH Equity</t>
  </si>
  <si>
    <t>IDA US Equity</t>
  </si>
  <si>
    <t>1380631D IN Equity</t>
  </si>
  <si>
    <t>1433057D IN Equity</t>
  </si>
  <si>
    <t>293136Z US Equity</t>
  </si>
  <si>
    <t>3055375Z US Equity</t>
  </si>
  <si>
    <t>0707159D US Equity</t>
  </si>
  <si>
    <t>8212712Z TP Equity</t>
  </si>
  <si>
    <t>ATO US Equity</t>
  </si>
  <si>
    <t>FPAYQ US Equity</t>
  </si>
  <si>
    <t>INCO IJ Equity</t>
  </si>
  <si>
    <t>INDY IJ Equity</t>
  </si>
  <si>
    <t>NOVAQ US Equity</t>
  </si>
  <si>
    <t>PRCH US Equity</t>
  </si>
  <si>
    <t>981 HK Equity</t>
  </si>
  <si>
    <t>4063 JP Equity</t>
  </si>
  <si>
    <t>WAF GR Equity</t>
  </si>
  <si>
    <t>UFPT US Equity</t>
  </si>
  <si>
    <t>KE US Equity</t>
  </si>
  <si>
    <t>DSFIR NA Equity</t>
  </si>
  <si>
    <t>GPC US Equity</t>
  </si>
  <si>
    <t>GWW US Equity</t>
  </si>
  <si>
    <t>9506 JP Equity</t>
  </si>
  <si>
    <t>0787723D UY Equity</t>
  </si>
  <si>
    <t>1782202D US Equity</t>
  </si>
  <si>
    <t>1895717D NZ Equity</t>
  </si>
  <si>
    <t>1965934Z LN Equity</t>
  </si>
  <si>
    <t>0061719D US Equity</t>
  </si>
  <si>
    <t>0081762D US Equity</t>
  </si>
  <si>
    <t>0111911Z US Equity</t>
  </si>
  <si>
    <t>0162494Z US Equity</t>
  </si>
  <si>
    <t>CAR PW Equity</t>
  </si>
  <si>
    <t>CLT AU Equity</t>
  </si>
  <si>
    <t>1902504D US Equity</t>
  </si>
  <si>
    <t>2081497D US Equity</t>
  </si>
  <si>
    <t>3118 TT Equity</t>
  </si>
  <si>
    <t>4132 TT Equity</t>
  </si>
  <si>
    <t>688169 CH Equity</t>
  </si>
  <si>
    <t>UBER US Equity</t>
  </si>
  <si>
    <t>VITA CN Equity</t>
  </si>
  <si>
    <t>8303022Z US Equity</t>
  </si>
  <si>
    <t>3145290Z NZ Equity</t>
  </si>
  <si>
    <t>ALPRG FP Equity</t>
  </si>
  <si>
    <t>AT1 GR Equity</t>
  </si>
  <si>
    <t>WDAY US Equity</t>
  </si>
  <si>
    <t>1040620D SP Equity</t>
  </si>
  <si>
    <t>1116447Z LN Equity</t>
  </si>
  <si>
    <t>360 AU Equity</t>
  </si>
  <si>
    <t>0232325Z US Equity</t>
  </si>
  <si>
    <t>0244620Z US Equity</t>
  </si>
  <si>
    <t>1183Z CN Equity</t>
  </si>
  <si>
    <t>5411 JP Equity</t>
  </si>
  <si>
    <t>NVRI US Equity</t>
  </si>
  <si>
    <t>VSVS LN Equity</t>
  </si>
  <si>
    <t>CSX US Equity</t>
  </si>
  <si>
    <t>CAE CN Equity</t>
  </si>
  <si>
    <t>0882617D US Equity</t>
  </si>
  <si>
    <t>MCFE US Equity</t>
  </si>
  <si>
    <t>1235509D SW Equity</t>
  </si>
  <si>
    <t>BIOCQ US Equity</t>
  </si>
  <si>
    <t>29662Z US Equity</t>
  </si>
  <si>
    <t>CARS US Equity</t>
  </si>
  <si>
    <t>CVNA US Equity</t>
  </si>
  <si>
    <t>BW US Equity</t>
  </si>
  <si>
    <t>NRP US Equity</t>
  </si>
  <si>
    <t>GOOD US Equity</t>
  </si>
  <si>
    <t>TNT-U CN Equity</t>
  </si>
  <si>
    <t>1085090D US Equity</t>
  </si>
  <si>
    <t>PUMP US Equity</t>
  </si>
  <si>
    <t>VK FP Equity</t>
  </si>
  <si>
    <t>FSP US Equity</t>
  </si>
  <si>
    <t>002635 CH Equity</t>
  </si>
  <si>
    <t>OGN US Equity</t>
  </si>
  <si>
    <t>2503567D CH Equity</t>
  </si>
  <si>
    <t>0522213D US Equity</t>
  </si>
  <si>
    <t>1 HK Equity</t>
  </si>
  <si>
    <t>1068Z LN Equity</t>
  </si>
  <si>
    <t>115500 KS Equity</t>
  </si>
  <si>
    <t>002626 CH Equity</t>
  </si>
  <si>
    <t>FIEE US Equity</t>
  </si>
  <si>
    <t>7575 JP Equity</t>
  </si>
  <si>
    <t>CSL AU Equity</t>
  </si>
  <si>
    <t>GRF SM Equity</t>
  </si>
  <si>
    <t>0832584D US Equity</t>
  </si>
  <si>
    <t>0867794D US Equity</t>
  </si>
  <si>
    <t>0926549D US Equity</t>
  </si>
  <si>
    <t>7606315Z US Equity</t>
  </si>
  <si>
    <t>TWOUQ US Equity</t>
  </si>
  <si>
    <t>0763849D US Equity</t>
  </si>
  <si>
    <t>FXLV US Equity</t>
  </si>
  <si>
    <t>9277818Z US Equity</t>
  </si>
  <si>
    <t>ICHR US Equity</t>
  </si>
  <si>
    <t>EVC US Equity</t>
  </si>
  <si>
    <t>GFT GR Equity</t>
  </si>
  <si>
    <t>SUN SP Equity</t>
  </si>
  <si>
    <t>0326104D LN Equity</t>
  </si>
  <si>
    <t>6091895Z ID Equity</t>
  </si>
  <si>
    <t>CSGS US Equity</t>
  </si>
  <si>
    <t>CVGI US Equity</t>
  </si>
  <si>
    <t>0752392D US Equity</t>
  </si>
  <si>
    <t>0820329D US Equity</t>
  </si>
  <si>
    <t>1480650D US Equity</t>
  </si>
  <si>
    <t>2137259D US Equity</t>
  </si>
  <si>
    <t>2306416D US Equity</t>
  </si>
  <si>
    <t>CRTO US Equity</t>
  </si>
  <si>
    <t>COLR BB Equity</t>
  </si>
  <si>
    <t>ANORA FH Equity</t>
  </si>
  <si>
    <t>AVOL SW Equity</t>
  </si>
  <si>
    <t>4784 JP Equity</t>
  </si>
  <si>
    <t>8136 JP Equity</t>
  </si>
  <si>
    <t>BGO LN Equity</t>
  </si>
  <si>
    <t>KNOW SS Equity</t>
  </si>
  <si>
    <t>JBTM US Equity</t>
  </si>
  <si>
    <t>AI FP Equity</t>
  </si>
  <si>
    <t>APD US Equity</t>
  </si>
  <si>
    <t>001369 CH Equity</t>
  </si>
  <si>
    <t>BCPC US Equity</t>
  </si>
  <si>
    <t>0776079D US Equity</t>
  </si>
  <si>
    <t>1860868D SP Equity</t>
  </si>
  <si>
    <t>1993838D US Equity</t>
  </si>
  <si>
    <t>547 HK Equity</t>
  </si>
  <si>
    <t>PTC US Equity</t>
  </si>
  <si>
    <t>0633565D US Equity</t>
  </si>
  <si>
    <t>748448Z US Equity</t>
  </si>
  <si>
    <t>7867 JP Equity</t>
  </si>
  <si>
    <t>4579 JP Equity</t>
  </si>
  <si>
    <t>EGRX US Equity</t>
  </si>
  <si>
    <t>ASCL LN Equity</t>
  </si>
  <si>
    <t>DBD US Equity</t>
  </si>
  <si>
    <t>TJX US Equity</t>
  </si>
  <si>
    <t>ROST US Equity</t>
  </si>
  <si>
    <t>BURL US Equity</t>
  </si>
  <si>
    <t>000210 KS Equity</t>
  </si>
  <si>
    <t>002342 CH Equity</t>
  </si>
  <si>
    <t>003030 KS Equity</t>
  </si>
  <si>
    <t>0752339D US Equity</t>
  </si>
  <si>
    <t>0809026D US Equity</t>
  </si>
  <si>
    <t>144062Z US Equity</t>
  </si>
  <si>
    <t>1285854D US Equity</t>
  </si>
  <si>
    <t>3693804Z US Equity</t>
  </si>
  <si>
    <t>DSV DC Equity</t>
  </si>
  <si>
    <t>222080 KS Equity</t>
  </si>
  <si>
    <t>17249Z US Equity</t>
  </si>
  <si>
    <t>VG US Equity</t>
  </si>
  <si>
    <t>1216765D US Equity</t>
  </si>
  <si>
    <t>SHEL LN Equity</t>
  </si>
  <si>
    <t>SOLV US Equity</t>
  </si>
  <si>
    <t>3M IN Equity</t>
  </si>
  <si>
    <t>NICE IT Equity</t>
  </si>
  <si>
    <t>6305 JP Equity</t>
  </si>
  <si>
    <t>5108 JP Equity</t>
  </si>
  <si>
    <t>INFN US Equity</t>
  </si>
  <si>
    <t>2258288D US Equity</t>
  </si>
  <si>
    <t>CHTR US Equity</t>
  </si>
  <si>
    <t>SAN FP Equity</t>
  </si>
  <si>
    <t>070590 KS Equity</t>
  </si>
  <si>
    <t>2433 TT Equity</t>
  </si>
  <si>
    <t>3908 JP Equity</t>
  </si>
  <si>
    <t>0001036D US Equity</t>
  </si>
  <si>
    <t>000150 KS Equity</t>
  </si>
  <si>
    <t>000760 CH Equity</t>
  </si>
  <si>
    <t>PETM US Equity</t>
  </si>
  <si>
    <t>TKA GR Equity</t>
  </si>
  <si>
    <t>0894439D US Equity</t>
  </si>
  <si>
    <t>128940 KS Equity</t>
  </si>
  <si>
    <t>0219354Z US Equity</t>
  </si>
  <si>
    <t>0235280Z US Equity</t>
  </si>
  <si>
    <t>7520500Z FP Equity</t>
  </si>
  <si>
    <t>MEC US Equity</t>
  </si>
  <si>
    <t>24195Z US Equity</t>
  </si>
  <si>
    <t>289899Z US Equity</t>
  </si>
  <si>
    <t>3702 TT Equity</t>
  </si>
  <si>
    <t>3443 TT Equity</t>
  </si>
  <si>
    <t>3661 TT Equity</t>
  </si>
  <si>
    <t>4745 TT Equity</t>
  </si>
  <si>
    <t>APHS IN Equity</t>
  </si>
  <si>
    <t>DIMO SL Equity</t>
  </si>
  <si>
    <t>ICC US Equity</t>
  </si>
  <si>
    <t>WITH FH Equity</t>
  </si>
  <si>
    <t>ADTN US Equity</t>
  </si>
  <si>
    <t>1605612D IN Equity</t>
  </si>
  <si>
    <t>SEI US Equity</t>
  </si>
  <si>
    <t>2618 TT Equity</t>
  </si>
  <si>
    <t>LTM CI Equity</t>
  </si>
  <si>
    <t>PLNT US Equity</t>
  </si>
  <si>
    <t>002971 CH Equity</t>
  </si>
  <si>
    <t>300218 CH Equity</t>
  </si>
  <si>
    <t>4572 JP Equity</t>
  </si>
  <si>
    <t>6598 TT Equity</t>
  </si>
  <si>
    <t>BAS GR Equity</t>
  </si>
  <si>
    <t>GPK US Equity</t>
  </si>
  <si>
    <t>0078346D US Equity</t>
  </si>
  <si>
    <t>6665 TT Equity</t>
  </si>
  <si>
    <t>GTG AU Equity</t>
  </si>
  <si>
    <t>0007161D US Equity</t>
  </si>
  <si>
    <t>0007165D US Equity</t>
  </si>
  <si>
    <t>0007468D US Equity</t>
  </si>
  <si>
    <t>0352162D US Equity</t>
  </si>
  <si>
    <t>0707281D US Equity</t>
  </si>
  <si>
    <t>1884157D US Equity</t>
  </si>
  <si>
    <t>861 HK Equity</t>
  </si>
  <si>
    <t>002906 CH Equity</t>
  </si>
  <si>
    <t>ASML NA Equity</t>
  </si>
  <si>
    <t>ALV GR Equity</t>
  </si>
  <si>
    <t>SRFM US Equity</t>
  </si>
  <si>
    <t>1195789D CN Equity</t>
  </si>
  <si>
    <t>1554630D US Equity</t>
  </si>
  <si>
    <t>1892140D US Equity</t>
  </si>
  <si>
    <t>920491 CH Equity</t>
  </si>
  <si>
    <t>NFLX US Equity</t>
  </si>
  <si>
    <t>SRP LN Equity</t>
  </si>
  <si>
    <t>2062939D US Equity</t>
  </si>
  <si>
    <t>CTOS US Equity</t>
  </si>
  <si>
    <t>FTCI US Equity</t>
  </si>
  <si>
    <t>IOT US Equity</t>
  </si>
  <si>
    <t>001308 CH Equity</t>
  </si>
  <si>
    <t>0119215D IM Equity</t>
  </si>
  <si>
    <t>1645930D US Equity</t>
  </si>
  <si>
    <t>214320 KS Equity</t>
  </si>
  <si>
    <t>RDWR US Equity</t>
  </si>
  <si>
    <t>0127903D US Equity</t>
  </si>
  <si>
    <t>0116581D US Equity</t>
  </si>
  <si>
    <t>1054789D US Equity</t>
  </si>
  <si>
    <t>0964375D US Equity</t>
  </si>
  <si>
    <t>2966634Z US Equity</t>
  </si>
  <si>
    <t>6285 TT Equity</t>
  </si>
  <si>
    <t>7948134Z HK Equity</t>
  </si>
  <si>
    <t>0573322D US Equity</t>
  </si>
  <si>
    <t>0835869D US Equity</t>
  </si>
  <si>
    <t>0867254D AU Equity</t>
  </si>
  <si>
    <t>0909837D ID Equity</t>
  </si>
  <si>
    <t>1874639D US Equity</t>
  </si>
  <si>
    <t>2306992Z SW Equity</t>
  </si>
  <si>
    <t>2453541D US Equity</t>
  </si>
  <si>
    <t>4091 JP Equity</t>
  </si>
  <si>
    <t>0180134Z US Equity</t>
  </si>
  <si>
    <t>0189358Z US Equity</t>
  </si>
  <si>
    <t>0824697D US Equity</t>
  </si>
  <si>
    <t>0859692D US Equity</t>
  </si>
  <si>
    <t>1712023D US Equity</t>
  </si>
  <si>
    <t>20031MF US Equity</t>
  </si>
  <si>
    <t>4131721Z US Equity</t>
  </si>
  <si>
    <t>301165 CH Equity</t>
  </si>
  <si>
    <t>APGTQ US Equity</t>
  </si>
  <si>
    <t>AWTC MK Equity</t>
  </si>
  <si>
    <t>293 HK Equity</t>
  </si>
  <si>
    <t>0108529D US Equity</t>
  </si>
  <si>
    <t>0118883D FS Equity</t>
  </si>
  <si>
    <t>0207499D JP Equity</t>
  </si>
  <si>
    <t>WSR US Equity</t>
  </si>
  <si>
    <t>OTEX CN Equity</t>
  </si>
  <si>
    <t>0424452D US Equity</t>
  </si>
  <si>
    <t>0812545D US Equity</t>
  </si>
  <si>
    <t>4146197Z US Equity</t>
  </si>
  <si>
    <t>603088 CH Equity</t>
  </si>
  <si>
    <t>001420 KS Equity</t>
  </si>
  <si>
    <t>002098 CH Equity</t>
  </si>
  <si>
    <t>002180 CH Equity</t>
  </si>
  <si>
    <t>002362 CH Equity</t>
  </si>
  <si>
    <t>2026Z CN Equity</t>
  </si>
  <si>
    <t>TRP CN Equity</t>
  </si>
  <si>
    <t>0834632D US Equity</t>
  </si>
  <si>
    <t>ABG US Equity</t>
  </si>
  <si>
    <t>HTZ US Equity</t>
  </si>
  <si>
    <t>GPI US Equity</t>
  </si>
  <si>
    <t>300739 CH Equity</t>
  </si>
  <si>
    <t>6198 TT Equity</t>
  </si>
  <si>
    <t>AMS SM Equity</t>
  </si>
  <si>
    <t>NGTF US Equity</t>
  </si>
  <si>
    <t>267260 KS Equity</t>
  </si>
  <si>
    <t>267250 KS Equity</t>
  </si>
  <si>
    <t>1211 HK Equity</t>
  </si>
  <si>
    <t>SY1 GR Equity</t>
  </si>
  <si>
    <t>002264 CH Equity</t>
  </si>
  <si>
    <t>1506059D US Equity</t>
  </si>
  <si>
    <t>2280668D HK Equity</t>
  </si>
  <si>
    <t>1560616D US Equity</t>
  </si>
  <si>
    <t>3315 HK Equity</t>
  </si>
  <si>
    <t>ALHYP FP Equity</t>
  </si>
  <si>
    <t>EVTC US Equity</t>
  </si>
  <si>
    <t>CLX LN Equity</t>
  </si>
  <si>
    <t>368770 KS Equity</t>
  </si>
  <si>
    <t>001740 KS Equity</t>
  </si>
  <si>
    <t>034730 KS Equity</t>
  </si>
  <si>
    <t>068400 KS Equity</t>
  </si>
  <si>
    <t>1059297Z BH Equity</t>
  </si>
  <si>
    <t>9485MF US Equity</t>
  </si>
  <si>
    <t>0910955D US Equity</t>
  </si>
  <si>
    <t>12890MF US Equity</t>
  </si>
  <si>
    <t>1383351D US Equity</t>
  </si>
  <si>
    <t>14119Z US Equity</t>
  </si>
  <si>
    <t>011070 KS Equity</t>
  </si>
  <si>
    <t>CLCO LN Equity</t>
  </si>
  <si>
    <t>MEGACPO MM Equity</t>
  </si>
  <si>
    <t>AVA US Equity</t>
  </si>
  <si>
    <t>6063 JP Equity</t>
  </si>
  <si>
    <t>000997 CH Equity</t>
  </si>
  <si>
    <t>1023727D US Equity</t>
  </si>
  <si>
    <t>3039981Z LN Equity</t>
  </si>
  <si>
    <t>6752 JP Equity</t>
  </si>
  <si>
    <t>797585Z US Equity</t>
  </si>
  <si>
    <t>6152Z LN Equity</t>
  </si>
  <si>
    <t>HSI US Equity</t>
  </si>
  <si>
    <t>1354675D US Equity</t>
  </si>
  <si>
    <t>1843866Z LN Equity</t>
  </si>
  <si>
    <t>1889545D CN Equity</t>
  </si>
  <si>
    <t>3016812Z SM Equity</t>
  </si>
  <si>
    <t>DOW US Equity</t>
  </si>
  <si>
    <t>CEMEXCPO MM Equity</t>
  </si>
  <si>
    <t>ARA* MM Equity</t>
  </si>
  <si>
    <t>CHH US Equity</t>
  </si>
  <si>
    <t>HLT US Equity</t>
  </si>
  <si>
    <t>QMCI US Equity</t>
  </si>
  <si>
    <t>FSV CN Equity</t>
  </si>
  <si>
    <t>SNOW US Equity</t>
  </si>
  <si>
    <t>THG LN Equity</t>
  </si>
  <si>
    <t>ARAMCO AB Equity</t>
  </si>
  <si>
    <t>BHP AU Equity</t>
  </si>
  <si>
    <t>1334424D AV Equity</t>
  </si>
  <si>
    <t>0345295D US Equity</t>
  </si>
  <si>
    <t>1447 TT Equity</t>
  </si>
  <si>
    <t>BWSL IN Equity</t>
  </si>
  <si>
    <t>MAS US Equity</t>
  </si>
  <si>
    <t>036560 KS Equity</t>
  </si>
  <si>
    <t>300963 CH Equity</t>
  </si>
  <si>
    <t>4580 TT Equity</t>
  </si>
  <si>
    <t>SSABA SS Equity</t>
  </si>
  <si>
    <t>600495 CH Equity</t>
  </si>
  <si>
    <t>DOUG US Equity</t>
  </si>
  <si>
    <t>131290 KS Equity</t>
  </si>
  <si>
    <t>0008920D US Equity</t>
  </si>
  <si>
    <t>APA US Equity</t>
  </si>
  <si>
    <t>CLR US Equity</t>
  </si>
  <si>
    <t>0059668D CN Equity</t>
  </si>
  <si>
    <t>AKR US Equity</t>
  </si>
  <si>
    <t>RGLD US Equity</t>
  </si>
  <si>
    <t>TFPM CN Equity</t>
  </si>
  <si>
    <t>ACO/X CN Equity</t>
  </si>
  <si>
    <t>CRSP US Equity</t>
  </si>
  <si>
    <t>MRNA US Equity</t>
  </si>
  <si>
    <t>VERV US Equity</t>
  </si>
  <si>
    <t>2331 JP Equity</t>
  </si>
  <si>
    <t>8968 JP Equity</t>
  </si>
  <si>
    <t>BBLNF US Equity</t>
  </si>
  <si>
    <t>ALIT US Equity</t>
  </si>
  <si>
    <t>MBG GR Equity</t>
  </si>
  <si>
    <t>MFON US Equity</t>
  </si>
  <si>
    <t>ACAD US Equity</t>
  </si>
  <si>
    <t>REED US Equity</t>
  </si>
  <si>
    <t>1267523D US Equity</t>
  </si>
  <si>
    <t>1843503D US Equity</t>
  </si>
  <si>
    <t>CRC TB Equity</t>
  </si>
  <si>
    <t>4151 JP Equity</t>
  </si>
  <si>
    <t>4568 JP Equity</t>
  </si>
  <si>
    <t>941 HK Equity</t>
  </si>
  <si>
    <t>1724295D GR Equity</t>
  </si>
  <si>
    <t>000333 CH Equity</t>
  </si>
  <si>
    <t>002085 CH Equity</t>
  </si>
  <si>
    <t>009830 KS Equity</t>
  </si>
  <si>
    <t>0178459D US Equity</t>
  </si>
  <si>
    <t>0211821D US Equity</t>
  </si>
  <si>
    <t>RR/ LN Equity</t>
  </si>
  <si>
    <t>600777 CH Equity</t>
  </si>
  <si>
    <t>DKL US Equity</t>
  </si>
  <si>
    <t>MG CN Equity</t>
  </si>
  <si>
    <t>6594 JP Equity</t>
  </si>
  <si>
    <t>1304 TT Equity</t>
  </si>
  <si>
    <t>1305 TT Equity</t>
  </si>
  <si>
    <t>1891233D US Equity</t>
  </si>
  <si>
    <t>2487108D LN Equity</t>
  </si>
  <si>
    <t>2984Z GR Equity</t>
  </si>
  <si>
    <t>4755 JP Equity</t>
  </si>
  <si>
    <t>CWK US Equity</t>
  </si>
  <si>
    <t>SRC US Equity</t>
  </si>
  <si>
    <t>RL US Equity</t>
  </si>
  <si>
    <t>BOSS GR Equity</t>
  </si>
  <si>
    <t>SMCI US Equity</t>
  </si>
  <si>
    <t>000100 KS Equity</t>
  </si>
  <si>
    <t>6575 TT Equity</t>
  </si>
  <si>
    <t>ACW AU Equity</t>
  </si>
  <si>
    <t>MRVI US Equity</t>
  </si>
  <si>
    <t>142739Z US Equity</t>
  </si>
  <si>
    <t>1685453D GR Equity</t>
  </si>
  <si>
    <t>1877092D US Equity</t>
  </si>
  <si>
    <t>GSIT US Equity</t>
  </si>
  <si>
    <t>377030 KS Equity</t>
  </si>
  <si>
    <t>3692 HK Equity</t>
  </si>
  <si>
    <t>ALNY US Equity</t>
  </si>
  <si>
    <t>CURR US Equity</t>
  </si>
  <si>
    <t>GENNQ US Equity</t>
  </si>
  <si>
    <t>WPP LN Equity</t>
  </si>
  <si>
    <t>033100 KS Equity</t>
  </si>
  <si>
    <t>AVPT US Equity</t>
  </si>
  <si>
    <t>1178718D GR Equity</t>
  </si>
  <si>
    <t>4944592Z US Equity</t>
  </si>
  <si>
    <t>SAP CN Equity</t>
  </si>
  <si>
    <t>FEMSAUBD MM Equity</t>
  </si>
  <si>
    <t>KOFUBL MM Equity</t>
  </si>
  <si>
    <t>COKE US Equity</t>
  </si>
  <si>
    <t>1022337Z UH Equity</t>
  </si>
  <si>
    <t>1317586Z US Equity</t>
  </si>
  <si>
    <t>158443Z UH Equity</t>
  </si>
  <si>
    <t>5985 JP Equity</t>
  </si>
  <si>
    <t>STMPA FP Equity</t>
  </si>
  <si>
    <t>ICDIQ US Equity</t>
  </si>
  <si>
    <t>KPLL KN Equity</t>
  </si>
  <si>
    <t>HE US Equity</t>
  </si>
  <si>
    <t>MRO LN Equity</t>
  </si>
  <si>
    <t>038290 KS Equity</t>
  </si>
  <si>
    <t>0862128D CH Equity</t>
  </si>
  <si>
    <t>600518 CH Equity</t>
  </si>
  <si>
    <t>ION PM Equity</t>
  </si>
  <si>
    <t>PETR4 BZ Equity</t>
  </si>
  <si>
    <t>EQNR NO Equity</t>
  </si>
  <si>
    <t>BP/ LN Equity</t>
  </si>
  <si>
    <t>222800 KS Equity</t>
  </si>
  <si>
    <t>2455892D US Equity</t>
  </si>
  <si>
    <t>0318891D GR Equity</t>
  </si>
  <si>
    <t>1251 HK Equity</t>
  </si>
  <si>
    <t>2131417D LN Equity</t>
  </si>
  <si>
    <t>2227791D LN Equity</t>
  </si>
  <si>
    <t>2333568D US Equity</t>
  </si>
  <si>
    <t>0296332Z US Equity</t>
  </si>
  <si>
    <t>688322 CH Equity</t>
  </si>
  <si>
    <t>CHCI US Equity</t>
  </si>
  <si>
    <t>1961354D US Equity</t>
  </si>
  <si>
    <t>AEO US Equity</t>
  </si>
  <si>
    <t>1708072D CN Equity</t>
  </si>
  <si>
    <t>9503 JP Equity</t>
  </si>
  <si>
    <t>0009844D US Equity</t>
  </si>
  <si>
    <t>0009850D US Equity</t>
  </si>
  <si>
    <t>0036117D US Equity</t>
  </si>
  <si>
    <t>0100187D US Equity</t>
  </si>
  <si>
    <t>0108136D US Equity</t>
  </si>
  <si>
    <t>287410 KS Equity</t>
  </si>
  <si>
    <t>005820 KS Equity</t>
  </si>
  <si>
    <t>056090 KS Equity</t>
  </si>
  <si>
    <t>3716 TT Equity</t>
  </si>
  <si>
    <t>4164 TT Equity</t>
  </si>
  <si>
    <t>002074 CH Equity</t>
  </si>
  <si>
    <t>258610 KS Equity</t>
  </si>
  <si>
    <t>300402 CH Equity</t>
  </si>
  <si>
    <t>EVLV US Equity</t>
  </si>
  <si>
    <t>ROKU US Equity</t>
  </si>
  <si>
    <t>GAM FP Equity</t>
  </si>
  <si>
    <t>PGRE US Equity</t>
  </si>
  <si>
    <t>IGP LN Equity</t>
  </si>
  <si>
    <t>ITT US Equity</t>
  </si>
  <si>
    <t>MCB CN Equity</t>
  </si>
  <si>
    <t>MTQ SP Equity</t>
  </si>
  <si>
    <t>ARABIAND AB Equity</t>
  </si>
  <si>
    <t>KEMIRA FH Equity</t>
  </si>
  <si>
    <t>SUBC NO Equity</t>
  </si>
  <si>
    <t>FUR NA Equity</t>
  </si>
  <si>
    <t>AIRI US Equity</t>
  </si>
  <si>
    <t>000708 CH Equity</t>
  </si>
  <si>
    <t>0864365D US Equity</t>
  </si>
  <si>
    <t>ULVR LN Equity</t>
  </si>
  <si>
    <t>KOP US Equity</t>
  </si>
  <si>
    <t>CCK US Equity</t>
  </si>
  <si>
    <t>2579 JP Equity</t>
  </si>
  <si>
    <t>HNDL IN Equity</t>
  </si>
  <si>
    <t>CSTM US Equity</t>
  </si>
  <si>
    <t>APAM NA Equity</t>
  </si>
  <si>
    <t>RBC US Equity</t>
  </si>
  <si>
    <t>OMSE US Equity</t>
  </si>
  <si>
    <t>26183Z US Equity</t>
  </si>
  <si>
    <t>1996732D US Equity</t>
  </si>
  <si>
    <t>1729493D US Equity</t>
  </si>
  <si>
    <t>ELUT US Equity</t>
  </si>
  <si>
    <t>402276Z US Equity</t>
  </si>
  <si>
    <t>465416Z US Equity</t>
  </si>
  <si>
    <t>INTT US Equity</t>
  </si>
  <si>
    <t>BARN SW Equity</t>
  </si>
  <si>
    <t>037330 KS Equity</t>
  </si>
  <si>
    <t>0556727D US Equity</t>
  </si>
  <si>
    <t>4516 JP Equity</t>
  </si>
  <si>
    <t>1426638D US Equity</t>
  </si>
  <si>
    <t>ANDINAA CI Equity</t>
  </si>
  <si>
    <t>SVR NZ Equity</t>
  </si>
  <si>
    <t>000977 CH Equity</t>
  </si>
  <si>
    <t>002189 CH Equity</t>
  </si>
  <si>
    <t>0834326D US Equity</t>
  </si>
  <si>
    <t>1647533D US Equity</t>
  </si>
  <si>
    <t>6665620Z US Equity</t>
  </si>
  <si>
    <t>9766 JP Equity</t>
  </si>
  <si>
    <t>AGI AU Equity</t>
  </si>
  <si>
    <t>AGS US Equity</t>
  </si>
  <si>
    <t>1055831D US Equity</t>
  </si>
  <si>
    <t>9987 JP Equity</t>
  </si>
  <si>
    <t>1243583Z LN Equity</t>
  </si>
  <si>
    <t>5857 JP Equity</t>
  </si>
  <si>
    <t>0311377D SW Equity</t>
  </si>
  <si>
    <t>DRR AU Equity</t>
  </si>
  <si>
    <t>BNL US Equity</t>
  </si>
  <si>
    <t>2027 TT Equity</t>
  </si>
  <si>
    <t>ACNT US Equity</t>
  </si>
  <si>
    <t>BALL US Equity</t>
  </si>
  <si>
    <t>ABI BB Equity</t>
  </si>
  <si>
    <t>0670269D US Equity</t>
  </si>
  <si>
    <t>1680662D US Equity</t>
  </si>
  <si>
    <t>1777591D US Equity</t>
  </si>
  <si>
    <t>XYZ US Equity</t>
  </si>
  <si>
    <t>1824088D US Equity</t>
  </si>
  <si>
    <t>1901946D CN Equity</t>
  </si>
  <si>
    <t>3345038Z US Equity</t>
  </si>
  <si>
    <t>AXFO SS Equity</t>
  </si>
  <si>
    <t>002840 CH Equity</t>
  </si>
  <si>
    <t>0121304D US Equity</t>
  </si>
  <si>
    <t>0123495D US Equity</t>
  </si>
  <si>
    <t>0195053D US Equity</t>
  </si>
  <si>
    <t>0065606D US Equity</t>
  </si>
  <si>
    <t>0112112D US Equity</t>
  </si>
  <si>
    <t>1610947D US Equity</t>
  </si>
  <si>
    <t>20222Z US Equity</t>
  </si>
  <si>
    <t>AHRT US Equity</t>
  </si>
  <si>
    <t>MRX US Equity</t>
  </si>
  <si>
    <t>1640961D LN Equity</t>
  </si>
  <si>
    <t>BCOMF US Equity</t>
  </si>
  <si>
    <t>MMYT US Equity</t>
  </si>
  <si>
    <t>PRTYQ US Equity</t>
  </si>
  <si>
    <t>0221526Z US Equity</t>
  </si>
  <si>
    <t>0410054D US Equity</t>
  </si>
  <si>
    <t>0428103D US Equity</t>
  </si>
  <si>
    <t>0571898D US Equity</t>
  </si>
  <si>
    <t>125749Z US Equity</t>
  </si>
  <si>
    <t>BIRET IN Equity</t>
  </si>
  <si>
    <t>0611181D US Equity</t>
  </si>
  <si>
    <t>1341609D US Equity</t>
  </si>
  <si>
    <t>MASI US Equity</t>
  </si>
  <si>
    <t>142280 KS Equity</t>
  </si>
  <si>
    <t>224711Z FP Equity</t>
  </si>
  <si>
    <t>2444680D CN Equity</t>
  </si>
  <si>
    <t>BNLB GR Equity</t>
  </si>
  <si>
    <t>CRADB SS Equity</t>
  </si>
  <si>
    <t>COF AU Equity</t>
  </si>
  <si>
    <t>DLFU IN Equity</t>
  </si>
  <si>
    <t>8059 TT Equity</t>
  </si>
  <si>
    <t>600584 CH Equity</t>
  </si>
  <si>
    <t>0211417Z US Equity</t>
  </si>
  <si>
    <t>0732900D US Equity</t>
  </si>
  <si>
    <t>000639 CH Equity</t>
  </si>
  <si>
    <t>RCMT US Equity</t>
  </si>
  <si>
    <t>RNAC US Equity</t>
  </si>
  <si>
    <t>FUBO US Equity</t>
  </si>
  <si>
    <t>1876446D US Equity</t>
  </si>
  <si>
    <t>ETSY US Equity</t>
  </si>
  <si>
    <t>002459 CH Equity</t>
  </si>
  <si>
    <t>200725 CH Equity</t>
  </si>
  <si>
    <t>002323 CH Equity</t>
  </si>
  <si>
    <t>0756709D US Equity</t>
  </si>
  <si>
    <t>NESN SW Equity</t>
  </si>
  <si>
    <t>1788 TT Equity</t>
  </si>
  <si>
    <t>003000 KS Equity</t>
  </si>
  <si>
    <t>26794MF US Equity</t>
  </si>
  <si>
    <t>WMAR US Equity</t>
  </si>
  <si>
    <t>232830 KS Equity</t>
  </si>
  <si>
    <t>294570 KS Equity</t>
  </si>
  <si>
    <t>CON US Equity</t>
  </si>
  <si>
    <t>GICSAB MM Equity</t>
  </si>
  <si>
    <t>HII US Equity</t>
  </si>
  <si>
    <t>ESLT IT Equity</t>
  </si>
  <si>
    <t>000859 CH Equity</t>
  </si>
  <si>
    <t>2184175D US Equity</t>
  </si>
  <si>
    <t>CFGH EY Equity</t>
  </si>
  <si>
    <t>SNAP US Equity</t>
  </si>
  <si>
    <t>GFL CN Equity</t>
  </si>
  <si>
    <t>ESBA US Equity</t>
  </si>
  <si>
    <t>ESRT US Equity</t>
  </si>
  <si>
    <t>INFA US Equity</t>
  </si>
  <si>
    <t>1274767D US Equity</t>
  </si>
  <si>
    <t>1294373D US Equity</t>
  </si>
  <si>
    <t>1340397D US Equity</t>
  </si>
  <si>
    <t>1775376D US Equity</t>
  </si>
  <si>
    <t>KRT US Equity</t>
  </si>
  <si>
    <t>603718 CH Equity</t>
  </si>
  <si>
    <t>ACI BD Equity</t>
  </si>
  <si>
    <t>NUZ AU Equity</t>
  </si>
  <si>
    <t>RENATA BD Equity</t>
  </si>
  <si>
    <t>0426887D US Equity</t>
  </si>
  <si>
    <t>1030481D NA Equity</t>
  </si>
  <si>
    <t>1450092D IM Equity</t>
  </si>
  <si>
    <t>2277578D GR Equity</t>
  </si>
  <si>
    <t>GIVN SW Equity</t>
  </si>
  <si>
    <t>0067706D US Equity</t>
  </si>
  <si>
    <t>0122957D US Equity</t>
  </si>
  <si>
    <t>0722710D US Equity</t>
  </si>
  <si>
    <t>0833709D US Equity</t>
  </si>
  <si>
    <t>3906060Z US Equity</t>
  </si>
  <si>
    <t>3481 TT Equity</t>
  </si>
  <si>
    <t>LEVI US Equity</t>
  </si>
  <si>
    <t>DECK US Equity</t>
  </si>
  <si>
    <t>PCA LN Equity</t>
  </si>
  <si>
    <t>EMIN IN Equity</t>
  </si>
  <si>
    <t>GHGL PA Equity</t>
  </si>
  <si>
    <t>1839002D PW Equity</t>
  </si>
  <si>
    <t>7011 JP Equity</t>
  </si>
  <si>
    <t>LNR CN Equity</t>
  </si>
  <si>
    <t>601163 CH Equity</t>
  </si>
  <si>
    <t>013570 KS Equity</t>
  </si>
  <si>
    <t>601100 CH Equity</t>
  </si>
  <si>
    <t>CART US Equity</t>
  </si>
  <si>
    <t>METROBRA IN Equity</t>
  </si>
  <si>
    <t>WSHP US Equity</t>
  </si>
  <si>
    <t>BIOS IN Equity</t>
  </si>
  <si>
    <t>INDIQUBE IN Equity</t>
  </si>
  <si>
    <t>7531668Z US Equity</t>
  </si>
  <si>
    <t>002602 CH Equity</t>
  </si>
  <si>
    <t>FERG US Equity</t>
  </si>
  <si>
    <t>1913247D US Equity</t>
  </si>
  <si>
    <t>2251269D US Equity</t>
  </si>
  <si>
    <t>0848352D US Equity</t>
  </si>
  <si>
    <t>1039759Z US Equity</t>
  </si>
  <si>
    <t>1041020Z US Equity</t>
  </si>
  <si>
    <t>1545850D US Equity</t>
  </si>
  <si>
    <t>2112160D FH Equity</t>
  </si>
  <si>
    <t>3061059Z US Equity</t>
  </si>
  <si>
    <t>ACIN SW Equity</t>
  </si>
  <si>
    <t>4175 TT Equity</t>
  </si>
  <si>
    <t>096760 KS Equity</t>
  </si>
  <si>
    <t>001060 KS Equity</t>
  </si>
  <si>
    <t>1013650D SM Equity</t>
  </si>
  <si>
    <t>1028964D SM Equity</t>
  </si>
  <si>
    <t>1642224Z LN Equity</t>
  </si>
  <si>
    <t>20479MF US Equity</t>
  </si>
  <si>
    <t>ASTL CN Equity</t>
  </si>
  <si>
    <t>1949763D CN Equity</t>
  </si>
  <si>
    <t>AU US Equity</t>
  </si>
  <si>
    <t>0810846D US Equity</t>
  </si>
  <si>
    <t>000915 CH Equity</t>
  </si>
  <si>
    <t>2225120D US Equity</t>
  </si>
  <si>
    <t>9891091Z US Equity</t>
  </si>
  <si>
    <t>DEN IN Equity</t>
  </si>
  <si>
    <t>037640 KF Equity</t>
  </si>
  <si>
    <t>000595 CH Equity</t>
  </si>
  <si>
    <t>CTVA US Equity</t>
  </si>
  <si>
    <t>AENA SM Equity</t>
  </si>
  <si>
    <t>RKT LN Equity</t>
  </si>
  <si>
    <t>8035 JP Equity</t>
  </si>
  <si>
    <t>DGE LN Equity</t>
  </si>
  <si>
    <t>0581607D SS Equity</t>
  </si>
  <si>
    <t>1525385D US Equity</t>
  </si>
  <si>
    <t>23279Z US Equity</t>
  </si>
  <si>
    <t>2636454D US Equity</t>
  </si>
  <si>
    <t>6036Z US Equity</t>
  </si>
  <si>
    <t>EMA CN Equity</t>
  </si>
  <si>
    <t>920121 CH Equity</t>
  </si>
  <si>
    <t>262840 KS Equity</t>
  </si>
  <si>
    <t>BYIT LN Equity</t>
  </si>
  <si>
    <t>WCH GR Equity</t>
  </si>
  <si>
    <t>001378 CH Equity</t>
  </si>
  <si>
    <t>2445213D US Equity</t>
  </si>
  <si>
    <t>7013 JP Equity</t>
  </si>
  <si>
    <t>SAABB SS Equity</t>
  </si>
  <si>
    <t>0065173D US Equity</t>
  </si>
  <si>
    <t>STLA US Equity</t>
  </si>
  <si>
    <t>MBUU US Equity</t>
  </si>
  <si>
    <t>LEG US Equity</t>
  </si>
  <si>
    <t>LOGN SW Equity</t>
  </si>
  <si>
    <t>ANTM IJ Equity</t>
  </si>
  <si>
    <t>HDM VN Equity</t>
  </si>
  <si>
    <t>YGYI US Equity</t>
  </si>
  <si>
    <t>ATRS US Equity</t>
  </si>
  <si>
    <t>ACUR US Equity</t>
  </si>
  <si>
    <t>5364 TT Equity</t>
  </si>
  <si>
    <t>CO FP Equity</t>
  </si>
  <si>
    <t>1751669D US Equity</t>
  </si>
  <si>
    <t>2186144D US Equity</t>
  </si>
  <si>
    <t>MRC CN Equity</t>
  </si>
  <si>
    <t>0830298D SW Equity</t>
  </si>
  <si>
    <t>AD US Equity</t>
  </si>
  <si>
    <t>NCC LN Equity</t>
  </si>
  <si>
    <t>1681466D US Equity</t>
  </si>
  <si>
    <t>1723449D US Equity</t>
  </si>
  <si>
    <t>ADES AB Equity</t>
  </si>
  <si>
    <t>CADLR NO Equity</t>
  </si>
  <si>
    <t>GLEN LN Equity</t>
  </si>
  <si>
    <t>6434539Z GR Equity</t>
  </si>
  <si>
    <t>FMG AU Equity</t>
  </si>
  <si>
    <t>0817876D SW Equity</t>
  </si>
  <si>
    <t>3680 TT Equity</t>
  </si>
  <si>
    <t>300500 CH Equity</t>
  </si>
  <si>
    <t>300580 CH Equity</t>
  </si>
  <si>
    <t>TTE FP Equity</t>
  </si>
  <si>
    <t>HR-U CN Equity</t>
  </si>
  <si>
    <t>VTOL US Equity</t>
  </si>
  <si>
    <t>1459876D US Equity</t>
  </si>
  <si>
    <t>3577188Z US Equity</t>
  </si>
  <si>
    <t>2367683D IT Equity</t>
  </si>
  <si>
    <t>EVER US Equity</t>
  </si>
  <si>
    <t>GEV US Equity</t>
  </si>
  <si>
    <t>1046570D US Equity</t>
  </si>
  <si>
    <t>603259 CH Equity</t>
  </si>
  <si>
    <t>8949550Z SM Equity</t>
  </si>
  <si>
    <t>1355451D US Equity</t>
  </si>
  <si>
    <t>1464 TT Equity</t>
  </si>
  <si>
    <t>1470 TT Equity</t>
  </si>
  <si>
    <t>1611420D US Equity</t>
  </si>
  <si>
    <t>EMI SJ Equity</t>
  </si>
  <si>
    <t>RY CN Equity</t>
  </si>
  <si>
    <t>0170417D SW Equity</t>
  </si>
  <si>
    <t>BUENAVC1 PE Equity</t>
  </si>
  <si>
    <t>LNZ AV Equity</t>
  </si>
  <si>
    <t>1476 TT Equity</t>
  </si>
  <si>
    <t>MAH AU Equity</t>
  </si>
  <si>
    <t>002363 CH Equity</t>
  </si>
  <si>
    <t>002590 CH Equity</t>
  </si>
  <si>
    <t>300718 CH Equity</t>
  </si>
  <si>
    <t>5482 JP Equity</t>
  </si>
  <si>
    <t>MUR US Equity</t>
  </si>
  <si>
    <t>BRY US Equity</t>
  </si>
  <si>
    <t>033230 KS Equity</t>
  </si>
  <si>
    <t>042500 KS Equity</t>
  </si>
  <si>
    <t>173130 KS Equity</t>
  </si>
  <si>
    <t>2480 TT Equity</t>
  </si>
  <si>
    <t>TIKK US Equity</t>
  </si>
  <si>
    <t>2362763D US Equity</t>
  </si>
  <si>
    <t>002153 CH Equity</t>
  </si>
  <si>
    <t>ALST SP Equity</t>
  </si>
  <si>
    <t>0483477D SP Equity</t>
  </si>
  <si>
    <t>0570898D FP Equity</t>
  </si>
  <si>
    <t>1146442D PW Equity</t>
  </si>
  <si>
    <t>1342128D CH Equity</t>
  </si>
  <si>
    <t>PFIE US Equity</t>
  </si>
  <si>
    <t>USWS US Equity</t>
  </si>
  <si>
    <t>CONNQ US Equity</t>
  </si>
  <si>
    <t>1448820D FP Equity</t>
  </si>
  <si>
    <t>1533928D US Equity</t>
  </si>
  <si>
    <t>1660069D US Equity</t>
  </si>
  <si>
    <t>1711734D US Equity</t>
  </si>
  <si>
    <t>VOD LN Equity</t>
  </si>
  <si>
    <t>TH CN Equity</t>
  </si>
  <si>
    <t>TEF SM Equity</t>
  </si>
  <si>
    <t>AMXB MM Equity</t>
  </si>
  <si>
    <t>PANGAZ HK Equity</t>
  </si>
  <si>
    <t>OERL SW Equity</t>
  </si>
  <si>
    <t>MEI US Equity</t>
  </si>
  <si>
    <t>0134746Z US Equity</t>
  </si>
  <si>
    <t>0222384D US Equity</t>
  </si>
  <si>
    <t>0345602D US Equity</t>
  </si>
  <si>
    <t>0412984D US Equity</t>
  </si>
  <si>
    <t>373220 KS Equity</t>
  </si>
  <si>
    <t>FARM US Equity</t>
  </si>
  <si>
    <t>RRX US Equity</t>
  </si>
  <si>
    <t>2464 TT Equity</t>
  </si>
  <si>
    <t>QRVO US Equity</t>
  </si>
  <si>
    <t>SU FP Equity</t>
  </si>
  <si>
    <t>MOTHERSO IN Equity</t>
  </si>
  <si>
    <t>RBOS GR Equity</t>
  </si>
  <si>
    <t>DEZ GR Equity</t>
  </si>
  <si>
    <t>TWI US Equity</t>
  </si>
  <si>
    <t>063440 KS Equity</t>
  </si>
  <si>
    <t>0985038D US Equity</t>
  </si>
  <si>
    <t>1041100Z US Equity</t>
  </si>
  <si>
    <t>1087605D SP Equity</t>
  </si>
  <si>
    <t>TATA IN Equity</t>
  </si>
  <si>
    <t>303810 KS Equity</t>
  </si>
  <si>
    <t>603658 CH Equity</t>
  </si>
  <si>
    <t>VULC3 BZ Equity</t>
  </si>
  <si>
    <t>ARDT US Equity</t>
  </si>
  <si>
    <t>0455038D US Equity</t>
  </si>
  <si>
    <t>BWPT IJ Equity</t>
  </si>
  <si>
    <t>CARE IJ Equity</t>
  </si>
  <si>
    <t>EUCAR FP Equity</t>
  </si>
  <si>
    <t>KIJA IJ Equity</t>
  </si>
  <si>
    <t>2412 TT Equity</t>
  </si>
  <si>
    <t>0599984D GR Equity</t>
  </si>
  <si>
    <t>0817498D UH Equity</t>
  </si>
  <si>
    <t>178320 KS Equity</t>
  </si>
  <si>
    <t>4523 TT Equity</t>
  </si>
  <si>
    <t>1251Z IN Equity</t>
  </si>
  <si>
    <t>2816Z US Equity</t>
  </si>
  <si>
    <t>8007Z US Equity</t>
  </si>
  <si>
    <t>002360 KS Equity</t>
  </si>
  <si>
    <t>002384 CH Equity</t>
  </si>
  <si>
    <t>1928 HK Equity</t>
  </si>
  <si>
    <t>219550 KS Equity</t>
  </si>
  <si>
    <t>950140 KS Equity</t>
  </si>
  <si>
    <t>HELE US Equity</t>
  </si>
  <si>
    <t>000812 CH Equity</t>
  </si>
  <si>
    <t>000911 CH Equity</t>
  </si>
  <si>
    <t>002599 CH Equity</t>
  </si>
  <si>
    <t>1478034D ID Equity</t>
  </si>
  <si>
    <t>1947733D US Equity</t>
  </si>
  <si>
    <t>0457636D US Equity</t>
  </si>
  <si>
    <t>1555585D US Equity</t>
  </si>
  <si>
    <t>4593426Z US Equity</t>
  </si>
  <si>
    <t>CTEV US Equity</t>
  </si>
  <si>
    <t>2327 TT Equity</t>
  </si>
  <si>
    <t>7915 JP Equity</t>
  </si>
  <si>
    <t>002303 CH Equity</t>
  </si>
  <si>
    <t>300644 CH Equity</t>
  </si>
  <si>
    <t>301000 CH Equity</t>
  </si>
  <si>
    <t>BLNK US Equity</t>
  </si>
  <si>
    <t>CRTA LN Equity</t>
  </si>
  <si>
    <t>DHX US Equity</t>
  </si>
  <si>
    <t>REPR IN Equity</t>
  </si>
  <si>
    <t>MOR GR Equity</t>
  </si>
  <si>
    <t>87001 HK Equity</t>
  </si>
  <si>
    <t>EGAS EY Equity</t>
  </si>
  <si>
    <t>GLP US Equity</t>
  </si>
  <si>
    <t>NPO US Equity</t>
  </si>
  <si>
    <t>002753 CH Equity</t>
  </si>
  <si>
    <t>1876007D US Equity</t>
  </si>
  <si>
    <t>4576 JP Equity</t>
  </si>
  <si>
    <t>CROX US Equity</t>
  </si>
  <si>
    <t>ADS GR Equity</t>
  </si>
  <si>
    <t>0217032D US Equity</t>
  </si>
  <si>
    <t>0778306D US Equity</t>
  </si>
  <si>
    <t>AMG NA Equity</t>
  </si>
  <si>
    <t>AI US Equity</t>
  </si>
  <si>
    <t>0051996D US Equity</t>
  </si>
  <si>
    <t>WAGA FP Equity</t>
  </si>
  <si>
    <t>M3V GR Equity</t>
  </si>
  <si>
    <t>NHI US Equity</t>
  </si>
  <si>
    <t>0147614D US Equity</t>
  </si>
  <si>
    <t>HWA IN Equity</t>
  </si>
  <si>
    <t>1891133D US Equity</t>
  </si>
  <si>
    <t>2392288D US Equity</t>
  </si>
  <si>
    <t>4528 JP Equity</t>
  </si>
  <si>
    <t>688506 CH Equity</t>
  </si>
  <si>
    <t>9940524Z US Equity</t>
  </si>
  <si>
    <t>8932 TT Equity</t>
  </si>
  <si>
    <t>000816 CH Equity</t>
  </si>
  <si>
    <t>ACFN US Equity</t>
  </si>
  <si>
    <t>FROTO TI Equity</t>
  </si>
  <si>
    <t>LEA US Equity</t>
  </si>
  <si>
    <t>FRVIA FP Equity</t>
  </si>
  <si>
    <t>1933527D US Equity</t>
  </si>
  <si>
    <t>CSU CN Equity</t>
  </si>
  <si>
    <t>6613 TT Equity</t>
  </si>
  <si>
    <t>DMCC IN Equity</t>
  </si>
  <si>
    <t>0777565D US Equity</t>
  </si>
  <si>
    <t>ALM SM Equity</t>
  </si>
  <si>
    <t>603286 CH Equity</t>
  </si>
  <si>
    <t>0580597D US Equity</t>
  </si>
  <si>
    <t>HIK LN Equity</t>
  </si>
  <si>
    <t>4578 JP Equity</t>
  </si>
  <si>
    <t>084370 KS Equity</t>
  </si>
  <si>
    <t>3471650Z US Equity</t>
  </si>
  <si>
    <t>600278 CH Equity</t>
  </si>
  <si>
    <t>005490 KS Equity</t>
  </si>
  <si>
    <t>0125537D US Equity</t>
  </si>
  <si>
    <t>BXC US Equity</t>
  </si>
  <si>
    <t>DBM CN Equity</t>
  </si>
  <si>
    <t>ENB CN Equity</t>
  </si>
  <si>
    <t>1353783D US Equity</t>
  </si>
  <si>
    <t>0976704D US Equity</t>
  </si>
  <si>
    <t>603766 CH Equity</t>
  </si>
  <si>
    <t>FROWARD CI Equity</t>
  </si>
  <si>
    <t>516265Z CN Equity</t>
  </si>
  <si>
    <t>PLTK US Equity</t>
  </si>
  <si>
    <t>0194102D US Equity</t>
  </si>
  <si>
    <t>0273546D US Equity</t>
  </si>
  <si>
    <t>031820 KS Equity</t>
  </si>
  <si>
    <t>GSM US Equity</t>
  </si>
  <si>
    <t>ALLA TB Equity</t>
  </si>
  <si>
    <t>002026 CH Equity</t>
  </si>
  <si>
    <t>0400879D US Equity</t>
  </si>
  <si>
    <t>300879 CH Equity</t>
  </si>
  <si>
    <t>012450 KS Equity</t>
  </si>
  <si>
    <t>0177296D SP Equity</t>
  </si>
  <si>
    <t>564233Z US Equity</t>
  </si>
  <si>
    <t>CPN PL Equity</t>
  </si>
  <si>
    <t>BFS US Equity</t>
  </si>
  <si>
    <t>GLPG NA Equity</t>
  </si>
  <si>
    <t>2914 JP Equity</t>
  </si>
  <si>
    <t>RCUS US Equity</t>
  </si>
  <si>
    <t>LONN SW Equity</t>
  </si>
  <si>
    <t>1589 TT Equity</t>
  </si>
  <si>
    <t>301616 CH Equity</t>
  </si>
  <si>
    <t>WWD US Equity</t>
  </si>
  <si>
    <t>4565 JP Equity</t>
  </si>
  <si>
    <t>1751463D US Equity</t>
  </si>
  <si>
    <t>BRG NO Equity</t>
  </si>
  <si>
    <t>1827938D FP Equity</t>
  </si>
  <si>
    <t>MGX US Equity</t>
  </si>
  <si>
    <t>RGLS US Equity</t>
  </si>
  <si>
    <t>PUM GR Equity</t>
  </si>
  <si>
    <t>UAA US Equity</t>
  </si>
  <si>
    <t>2020 HK Equity</t>
  </si>
  <si>
    <t>1285647D US Equity</t>
  </si>
  <si>
    <t>1584836D CN Equity</t>
  </si>
  <si>
    <t>1920318D US Equity</t>
  </si>
  <si>
    <t>FIRE SS Equity</t>
  </si>
  <si>
    <t>5263 TT Equity</t>
  </si>
  <si>
    <t>RMNI US Equity</t>
  </si>
  <si>
    <t>KMCACZ CH Equity</t>
  </si>
  <si>
    <t>AKU CN Equity</t>
  </si>
  <si>
    <t>MONDQ US Equity</t>
  </si>
  <si>
    <t>BHILQ US Equity</t>
  </si>
  <si>
    <t>WEWKQ US Equity</t>
  </si>
  <si>
    <t>GTLB US Equity</t>
  </si>
  <si>
    <t>1927684D IT Equity</t>
  </si>
  <si>
    <t>IQE LN Equity</t>
  </si>
  <si>
    <t>BYL CN Equity</t>
  </si>
  <si>
    <t>2768 JP Equity</t>
  </si>
  <si>
    <t>688097 CH Equity</t>
  </si>
  <si>
    <t>DCT US Equity</t>
  </si>
  <si>
    <t>SPR US Equity</t>
  </si>
  <si>
    <t>KBR US Equity</t>
  </si>
  <si>
    <t>1528978D US Equity</t>
  </si>
  <si>
    <t>9532 JP Equity</t>
  </si>
  <si>
    <t>SGY CN Equity</t>
  </si>
  <si>
    <t>BYND US Equity</t>
  </si>
  <si>
    <t>1470204D US Equity</t>
  </si>
  <si>
    <t>1580032D US Equity</t>
  </si>
  <si>
    <t>122900 KS Equity</t>
  </si>
  <si>
    <t>ATE FP Equity</t>
  </si>
  <si>
    <t>603918 CH Equity</t>
  </si>
  <si>
    <t>7997 JP Equity</t>
  </si>
  <si>
    <t>600343 CH Equity</t>
  </si>
  <si>
    <t>ALIC IN Equity</t>
  </si>
  <si>
    <t>013720 KS Equity</t>
  </si>
  <si>
    <t>NTNX US Equity</t>
  </si>
  <si>
    <t>PEG US Equity</t>
  </si>
  <si>
    <t>ALE US Equity</t>
  </si>
  <si>
    <t>0954951D US Equity</t>
  </si>
  <si>
    <t>FLR US Equity</t>
  </si>
  <si>
    <t>MEDP US Equity</t>
  </si>
  <si>
    <t>004170 KS Equity</t>
  </si>
  <si>
    <t>047040 KS Equity</t>
  </si>
  <si>
    <t>2745649Z SW Equity</t>
  </si>
  <si>
    <t>ITV LN Equity</t>
  </si>
  <si>
    <t>0062954D US Equity</t>
  </si>
  <si>
    <t>0494901D SW Equity</t>
  </si>
  <si>
    <t>1966294D LN Equity</t>
  </si>
  <si>
    <t>4503 JP Equity</t>
  </si>
  <si>
    <t>6160 HK Equity</t>
  </si>
  <si>
    <t>4937248Z US Equity</t>
  </si>
  <si>
    <t>9432 JP Equity</t>
  </si>
  <si>
    <t>IRWD US Equity</t>
  </si>
  <si>
    <t>007310 KS Equity</t>
  </si>
  <si>
    <t>051900 KS Equity</t>
  </si>
  <si>
    <t>603170 CH Equity</t>
  </si>
  <si>
    <t>ABEV3 BZ Equity</t>
  </si>
  <si>
    <t>0217762Z US Equity</t>
  </si>
  <si>
    <t>0228369Z US Equity</t>
  </si>
  <si>
    <t>TUEMQ US Equity</t>
  </si>
  <si>
    <t>2498 TT Equity</t>
  </si>
  <si>
    <t>3033 TT Equity</t>
  </si>
  <si>
    <t>3665 TT Equity</t>
  </si>
  <si>
    <t>OMEX US Equity</t>
  </si>
  <si>
    <t>5009 TT Equity</t>
  </si>
  <si>
    <t>AMRSQ US Equity</t>
  </si>
  <si>
    <t>2303890D NA Equity</t>
  </si>
  <si>
    <t>IRDM US Equity</t>
  </si>
  <si>
    <t>639748Z US Equity</t>
  </si>
  <si>
    <t>0849732D US Equity</t>
  </si>
  <si>
    <t>1221351D US Equity</t>
  </si>
  <si>
    <t>2028838D US Equity</t>
  </si>
  <si>
    <t>220100 KS Equity</t>
  </si>
  <si>
    <t>19993Z US Equity</t>
  </si>
  <si>
    <t>KSS US Equity</t>
  </si>
  <si>
    <t>TFG SJ Equity</t>
  </si>
  <si>
    <t>2308 TT Equity</t>
  </si>
  <si>
    <t>006570 KS Equity</t>
  </si>
  <si>
    <t>0359145Z US Equity</t>
  </si>
  <si>
    <t>ONTF US Equity</t>
  </si>
  <si>
    <t>300760 CH Equity</t>
  </si>
  <si>
    <t>1988842D US Equity</t>
  </si>
  <si>
    <t>0910511D US Equity</t>
  </si>
  <si>
    <t>RICHT HB Equity</t>
  </si>
  <si>
    <t>0932236D US Equity</t>
  </si>
  <si>
    <t>FRU CN Equity</t>
  </si>
  <si>
    <t>1382938D US Equity</t>
  </si>
  <si>
    <t>1441605D US Equity</t>
  </si>
  <si>
    <t>1721032D US Equity</t>
  </si>
  <si>
    <t>3763740Z US Equity</t>
  </si>
  <si>
    <t>DEI US Equity</t>
  </si>
  <si>
    <t>KGX GR Equity</t>
  </si>
  <si>
    <t>SMTC US Equity</t>
  </si>
  <si>
    <t>HUH1V FH Equity</t>
  </si>
  <si>
    <t>GNC LN Equity</t>
  </si>
  <si>
    <t>0542374D US Equity</t>
  </si>
  <si>
    <t>130434Z US Equity</t>
  </si>
  <si>
    <t>003090 KS Equity</t>
  </si>
  <si>
    <t>069620 KS Equity</t>
  </si>
  <si>
    <t>300690 CH Equity</t>
  </si>
  <si>
    <t>TH US Equity</t>
  </si>
  <si>
    <t>101490 KS Equity</t>
  </si>
  <si>
    <t>381620 KS Equity</t>
  </si>
  <si>
    <t>603929 CH Equity</t>
  </si>
  <si>
    <t>RBRK US Equity</t>
  </si>
  <si>
    <t>CMRC US Equity</t>
  </si>
  <si>
    <t>COTY US Equity</t>
  </si>
  <si>
    <t>PCYO US Equity</t>
  </si>
  <si>
    <t>2544485D US Equity</t>
  </si>
  <si>
    <t>SONDA CI Equity</t>
  </si>
  <si>
    <t>0060404D US Equity</t>
  </si>
  <si>
    <t>0219617D US Equity</t>
  </si>
  <si>
    <t>0301622Z US Equity</t>
  </si>
  <si>
    <t>0425283D US Equity</t>
  </si>
  <si>
    <t>002886 CH Equity</t>
  </si>
  <si>
    <t>002897 CH Equity</t>
  </si>
  <si>
    <t>043590 KS Equity</t>
  </si>
  <si>
    <t>SKT US Equity</t>
  </si>
  <si>
    <t>1477 TT Equity</t>
  </si>
  <si>
    <t>008600 KS Equity</t>
  </si>
  <si>
    <t>1189074D KY Equity</t>
  </si>
  <si>
    <t>2057363Z LN Equity</t>
  </si>
  <si>
    <t>1999297D US Equity</t>
  </si>
  <si>
    <t>2908 TT Equity</t>
  </si>
  <si>
    <t>603816 CH Equity</t>
  </si>
  <si>
    <t>7616219Z US Equity</t>
  </si>
  <si>
    <t>NHY NO Equity</t>
  </si>
  <si>
    <t>CLINT SP Equity</t>
  </si>
  <si>
    <t>015590 KS Equity</t>
  </si>
  <si>
    <t>094190 KS Equity</t>
  </si>
  <si>
    <t>688484 CH Equity</t>
  </si>
  <si>
    <t>2283156Z US Equity</t>
  </si>
  <si>
    <t>2446794D US Equity</t>
  </si>
  <si>
    <t>4466784Z US Equity</t>
  </si>
  <si>
    <t>2771531Z SM Equity</t>
  </si>
  <si>
    <t>PM US Equity</t>
  </si>
  <si>
    <t>AF FP Equity</t>
  </si>
  <si>
    <t>0848813D FP Equity</t>
  </si>
  <si>
    <t>1556429D LN Equity</t>
  </si>
  <si>
    <t>1704706D US Equity</t>
  </si>
  <si>
    <t>1719173D ID Equity</t>
  </si>
  <si>
    <t>3132 JP Equity</t>
  </si>
  <si>
    <t>0565926D US Equity</t>
  </si>
  <si>
    <t>LLUB SL Equity</t>
  </si>
  <si>
    <t>CMPP IJ Equity</t>
  </si>
  <si>
    <t>005950 KS Equity</t>
  </si>
  <si>
    <t>2313 HK Equity</t>
  </si>
  <si>
    <t>STOCA1 US Equity</t>
  </si>
  <si>
    <t>0008525D US Equity</t>
  </si>
  <si>
    <t>0317358Z US Equity</t>
  </si>
  <si>
    <t>0837947D US Equity</t>
  </si>
  <si>
    <t>2086768D US Equity</t>
  </si>
  <si>
    <t>GEVO US Equity</t>
  </si>
  <si>
    <t>IGSEC IN Equity</t>
  </si>
  <si>
    <t>IOCL IN Equity</t>
  </si>
  <si>
    <t>ONGC IN Equity</t>
  </si>
  <si>
    <t>RLBY US Equity</t>
  </si>
  <si>
    <t>SMRT US Equity</t>
  </si>
  <si>
    <t>2516987D US Equity</t>
  </si>
  <si>
    <t>0029799D US Equity</t>
  </si>
  <si>
    <t>0146070Z US Equity</t>
  </si>
  <si>
    <t>0443712D US Equity</t>
  </si>
  <si>
    <t>0456340D US Equity</t>
  </si>
  <si>
    <t>1609329D US Equity</t>
  </si>
  <si>
    <t>ASTL KZ Equity</t>
  </si>
  <si>
    <t>AXIATA MK Equity</t>
  </si>
  <si>
    <t>0154185D US Equity</t>
  </si>
  <si>
    <t>0200941D US Equity</t>
  </si>
  <si>
    <t>0229544Z US Equity</t>
  </si>
  <si>
    <t>1436372D US Equity</t>
  </si>
  <si>
    <t>FLCM US Equity</t>
  </si>
  <si>
    <t>GCEHQ US Equity</t>
  </si>
  <si>
    <t>HOT GR Equity</t>
  </si>
  <si>
    <t>DBMM US Equity</t>
  </si>
  <si>
    <t>HANZA SS Equity</t>
  </si>
  <si>
    <t>0620764D US Equity</t>
  </si>
  <si>
    <t>HEN3 GR Equity</t>
  </si>
  <si>
    <t>MC FP Equity</t>
  </si>
  <si>
    <t>002506 CH Equity</t>
  </si>
  <si>
    <t>0476739D CH Equity</t>
  </si>
  <si>
    <t>1053543D US Equity</t>
  </si>
  <si>
    <t>002240 KS Equity</t>
  </si>
  <si>
    <t>KIMBERA MM Equity</t>
  </si>
  <si>
    <t>3476030Z US Equity</t>
  </si>
  <si>
    <t>8230373Z UH Equity</t>
  </si>
  <si>
    <t>AUTH US Equity</t>
  </si>
  <si>
    <t>1552378D US Equity</t>
  </si>
  <si>
    <t>1721615D US Equity</t>
  </si>
  <si>
    <t>7543324Z US Equity</t>
  </si>
  <si>
    <t>2731 TT Equity</t>
  </si>
  <si>
    <t>ICEAIR IR Equity</t>
  </si>
  <si>
    <t>300227 CH Equity</t>
  </si>
  <si>
    <t>0855406D TT Equity</t>
  </si>
  <si>
    <t>1119L US Equity</t>
  </si>
  <si>
    <t>PDCO US Equity</t>
  </si>
  <si>
    <t>CVET US Equity</t>
  </si>
  <si>
    <t>8284 TT Equity</t>
  </si>
  <si>
    <t>7608659Z US Equity</t>
  </si>
  <si>
    <t>2307124D SM Equity</t>
  </si>
  <si>
    <t>MAERSKB DC Equity</t>
  </si>
  <si>
    <t>USFD US Equity</t>
  </si>
  <si>
    <t>601515 CH Equity</t>
  </si>
  <si>
    <t>6201 TT Equity</t>
  </si>
  <si>
    <t>TRKAQ US Equity</t>
  </si>
  <si>
    <t>IEI CN Equity</t>
  </si>
  <si>
    <t>ZS US Equity</t>
  </si>
  <si>
    <t>1920336D US Equity</t>
  </si>
  <si>
    <t>WLN FP Equity</t>
  </si>
  <si>
    <t>GLOB US Equity</t>
  </si>
  <si>
    <t>PPG US Equity</t>
  </si>
  <si>
    <t>0227421Z US Equity</t>
  </si>
  <si>
    <t>0670776D CB Equity</t>
  </si>
  <si>
    <t>0835070D US Equity</t>
  </si>
  <si>
    <t>6432 JP Equity</t>
  </si>
  <si>
    <t>GNRC US Equity</t>
  </si>
  <si>
    <t>2997029Z US Equity</t>
  </si>
  <si>
    <t>4708225Z FP Equity</t>
  </si>
  <si>
    <t>ATXL IN Equity</t>
  </si>
  <si>
    <t>1748958D US Equity</t>
  </si>
  <si>
    <t>023600 KS Equity</t>
  </si>
  <si>
    <t>9878 JP Equity</t>
  </si>
  <si>
    <t>QSR CN Equity</t>
  </si>
  <si>
    <t>HPP US Equity</t>
  </si>
  <si>
    <t>0322498Z US Equity</t>
  </si>
  <si>
    <t>0377218Z US Equity</t>
  </si>
  <si>
    <t>FRES LN Equity</t>
  </si>
  <si>
    <t>218283Z US Equity</t>
  </si>
  <si>
    <t>0086860D US Equity</t>
  </si>
  <si>
    <t>1400995D US Equity</t>
  </si>
  <si>
    <t>6723 JP Equity</t>
  </si>
  <si>
    <t>PAGP US Equity</t>
  </si>
  <si>
    <t>PKI CN Equity</t>
  </si>
  <si>
    <t>NOTE US Equity</t>
  </si>
  <si>
    <t>1201L US Equity</t>
  </si>
  <si>
    <t>1311689D US Equity</t>
  </si>
  <si>
    <t>1468336D SW Equity</t>
  </si>
  <si>
    <t>2141Z US Equity</t>
  </si>
  <si>
    <t>1946625D US Equity</t>
  </si>
  <si>
    <t>2136893D US Equity</t>
  </si>
  <si>
    <t>3157700Z US Equity</t>
  </si>
  <si>
    <t>4150729Z US Equity</t>
  </si>
  <si>
    <t>002475 CH Equity</t>
  </si>
  <si>
    <t>0213964D US Equity</t>
  </si>
  <si>
    <t>0287636Z US Equity</t>
  </si>
  <si>
    <t>0359221D US Equity</t>
  </si>
  <si>
    <t>0393064D US Equity</t>
  </si>
  <si>
    <t>2289511D US Equity</t>
  </si>
  <si>
    <t>6342 JP Equity</t>
  </si>
  <si>
    <t>AGX US Equity</t>
  </si>
  <si>
    <t>4989185Z US Equity</t>
  </si>
  <si>
    <t>7201 JP Equity</t>
  </si>
  <si>
    <t>ADM US Equity</t>
  </si>
  <si>
    <t>LOAR US Equity</t>
  </si>
  <si>
    <t>FGA FP Equity</t>
  </si>
  <si>
    <t>CVU US Equity</t>
  </si>
  <si>
    <t>AEHR US Equity</t>
  </si>
  <si>
    <t>300022 CH Equity</t>
  </si>
  <si>
    <t>605296 CH Equity</t>
  </si>
  <si>
    <t>8473 TT Equity</t>
  </si>
  <si>
    <t>9861590Z US Equity</t>
  </si>
  <si>
    <t>TENNIND IN Equity</t>
  </si>
  <si>
    <t>3232 TT Equity</t>
  </si>
  <si>
    <t>4188 JP Equity</t>
  </si>
  <si>
    <t>000300 KS Equity</t>
  </si>
  <si>
    <t>000430 KS Equity</t>
  </si>
  <si>
    <t>GHH LN Equity</t>
  </si>
  <si>
    <t>002222 CH Equity</t>
  </si>
  <si>
    <t>300620 CH Equity</t>
  </si>
  <si>
    <t>PING US Equity</t>
  </si>
  <si>
    <t>LIEB GR Equity</t>
  </si>
  <si>
    <t>000950 CH Equity</t>
  </si>
  <si>
    <t>060280 KS Equity</t>
  </si>
  <si>
    <t>1075968D US Equity</t>
  </si>
  <si>
    <t>BCDA US Equity</t>
  </si>
  <si>
    <t>000851 CH Equity</t>
  </si>
  <si>
    <t>700 HK Equity</t>
  </si>
  <si>
    <t>0617709D US Equity</t>
  </si>
  <si>
    <t>7165Z US Equity</t>
  </si>
  <si>
    <t>DINO US Equity</t>
  </si>
  <si>
    <t>OCI NA Equity</t>
  </si>
  <si>
    <t>MEAL3 BZ Equity</t>
  </si>
  <si>
    <t>MZTI US Equity</t>
  </si>
  <si>
    <t>3591336Z NA Equity</t>
  </si>
  <si>
    <t>SLVM US Equity</t>
  </si>
  <si>
    <t>600567 CH Equity</t>
  </si>
  <si>
    <t>LDO IM Equity</t>
  </si>
  <si>
    <t>1638274D LN Equity</t>
  </si>
  <si>
    <t>259206Z SL Equity</t>
  </si>
  <si>
    <t>0111458D US Equity</t>
  </si>
  <si>
    <t>0218802Z US Equity</t>
  </si>
  <si>
    <t>1524032D US Equity</t>
  </si>
  <si>
    <t>018670 KS Equity</t>
  </si>
  <si>
    <t>300080 CH Equity</t>
  </si>
  <si>
    <t>600180 CH Equity</t>
  </si>
  <si>
    <t>3276470Z US Equity</t>
  </si>
  <si>
    <t>5169Z US Equity</t>
  </si>
  <si>
    <t>HO FP Equity</t>
  </si>
  <si>
    <t>DISH US Equity</t>
  </si>
  <si>
    <t>BNR GR Equity</t>
  </si>
  <si>
    <t>005290 KS Equity</t>
  </si>
  <si>
    <t>4722 TT Equity</t>
  </si>
  <si>
    <t>603605 CH Equity</t>
  </si>
  <si>
    <t>0400054Z US Equity</t>
  </si>
  <si>
    <t>0905731D US Equity</t>
  </si>
  <si>
    <t>1340369D US Equity</t>
  </si>
  <si>
    <t>1394950D US Equity</t>
  </si>
  <si>
    <t>7270 JP Equity</t>
  </si>
  <si>
    <t>CLVT US Equity</t>
  </si>
  <si>
    <t>002103 CH Equity</t>
  </si>
  <si>
    <t>0141197D LN Equity</t>
  </si>
  <si>
    <t>1685156D CN Equity</t>
  </si>
  <si>
    <t>0090187D US Equity</t>
  </si>
  <si>
    <t>2807954Z CN Equity</t>
  </si>
  <si>
    <t>29693Z US Equity</t>
  </si>
  <si>
    <t>8150 TT Equity</t>
  </si>
  <si>
    <t>2449 TT Equity</t>
  </si>
  <si>
    <t>4968 TT Equity</t>
  </si>
  <si>
    <t>420 HK Equity</t>
  </si>
  <si>
    <t>FRT US Equity</t>
  </si>
  <si>
    <t>8818 JP Equity</t>
  </si>
  <si>
    <t>MLT SP Equity</t>
  </si>
  <si>
    <t>MINT SP Equity</t>
  </si>
  <si>
    <t>GDYN US Equity</t>
  </si>
  <si>
    <t>INTA US Equity</t>
  </si>
  <si>
    <t>HEP US Equity</t>
  </si>
  <si>
    <t>CLMT US Equity</t>
  </si>
  <si>
    <t>CHX US Equity</t>
  </si>
  <si>
    <t>FFIV US Equity</t>
  </si>
  <si>
    <t>TENB US Equity</t>
  </si>
  <si>
    <t>SCKT US Equity</t>
  </si>
  <si>
    <t>048550 KS Equity</t>
  </si>
  <si>
    <t>1426 HK Equity</t>
  </si>
  <si>
    <t>8802 JP Equity</t>
  </si>
  <si>
    <t>ARC US Equity</t>
  </si>
  <si>
    <t>DOGZ US Equity</t>
  </si>
  <si>
    <t>354061Z US Equity</t>
  </si>
  <si>
    <t>4148197Z US Equity</t>
  </si>
  <si>
    <t>634750Z US Equity</t>
  </si>
  <si>
    <t>603389 CH Equity</t>
  </si>
  <si>
    <t>BIGGQ US Equity</t>
  </si>
  <si>
    <t>0747762D US Equity</t>
  </si>
  <si>
    <t>0759517D US Equity</t>
  </si>
  <si>
    <t>0759532D US Equity</t>
  </si>
  <si>
    <t>SR US Equity</t>
  </si>
  <si>
    <t>OPTU US Equity</t>
  </si>
  <si>
    <t>8587830Z DC Equity</t>
  </si>
  <si>
    <t>688008 CH Equity</t>
  </si>
  <si>
    <t>8145554Z US Equity</t>
  </si>
  <si>
    <t>8290567Z US Equity</t>
  </si>
  <si>
    <t>1410917D US Equity</t>
  </si>
  <si>
    <t>BOL FP Equity</t>
  </si>
  <si>
    <t>6301 JP Equity</t>
  </si>
  <si>
    <t>VMX FP Equity</t>
  </si>
  <si>
    <t>0415655D US Equity</t>
  </si>
  <si>
    <t>1226046D NA Equity</t>
  </si>
  <si>
    <t>1854049D US Equity</t>
  </si>
  <si>
    <t>3487404Z NO Equity</t>
  </si>
  <si>
    <t>STAG US Equity</t>
  </si>
  <si>
    <t>TVSHLTD IN Equity</t>
  </si>
  <si>
    <t>1991093D US Equity</t>
  </si>
  <si>
    <t>67995MF US Equity</t>
  </si>
  <si>
    <t>28267MF US Equity</t>
  </si>
  <si>
    <t>125218MF US Equity</t>
  </si>
  <si>
    <t>1584 TT Equity</t>
  </si>
  <si>
    <t>300051 CH Equity</t>
  </si>
  <si>
    <t>9449 JP Equity</t>
  </si>
  <si>
    <t>002444 CH Equity</t>
  </si>
  <si>
    <t>002611 CH Equity</t>
  </si>
  <si>
    <t>0564762D US Equity</t>
  </si>
  <si>
    <t>2918Z US Equity</t>
  </si>
  <si>
    <t>3015A US Equity</t>
  </si>
  <si>
    <t>5216Z US Equity</t>
  </si>
  <si>
    <t>670823Z US Equity</t>
  </si>
  <si>
    <t>0612948D US Equity</t>
  </si>
  <si>
    <t>146529Z US Equity</t>
  </si>
  <si>
    <t>0302939D US Equity</t>
  </si>
  <si>
    <t>FJB SP Equity</t>
  </si>
  <si>
    <t>NXT LN Equity</t>
  </si>
  <si>
    <t>ALFA SS Equity</t>
  </si>
  <si>
    <t>475560 KS Equity</t>
  </si>
  <si>
    <t>ANDACOR CI Equity</t>
  </si>
  <si>
    <t>MOS US Equity</t>
  </si>
  <si>
    <t>ORI AU Equity</t>
  </si>
  <si>
    <t>PSL IN Equity</t>
  </si>
  <si>
    <t>000534 CH Equity</t>
  </si>
  <si>
    <t>4938 TT Equity</t>
  </si>
  <si>
    <t>CRWV US Equity</t>
  </si>
  <si>
    <t>FLNC US Equity</t>
  </si>
  <si>
    <t>0233704Z US Equity</t>
  </si>
  <si>
    <t>3588448Z US Equity</t>
  </si>
  <si>
    <t>CL US Equity</t>
  </si>
  <si>
    <t>JMAT LN Equity</t>
  </si>
  <si>
    <t>8031 JP Equity</t>
  </si>
  <si>
    <t>078930 KS Equity</t>
  </si>
  <si>
    <t>301356 CH Equity</t>
  </si>
  <si>
    <t>084650 KS Equity</t>
  </si>
  <si>
    <t>2016103Z LN Equity</t>
  </si>
  <si>
    <t>2142 HK Equity</t>
  </si>
  <si>
    <t>001223 CH Equity</t>
  </si>
  <si>
    <t>002406 CH Equity</t>
  </si>
  <si>
    <t>300461 CH Equity</t>
  </si>
  <si>
    <t>ASPN US Equity</t>
  </si>
  <si>
    <t>BORR US Equity</t>
  </si>
  <si>
    <t>CHE-U CN Equity</t>
  </si>
  <si>
    <t>0198709D US Equity</t>
  </si>
  <si>
    <t>0340755Z US Equity</t>
  </si>
  <si>
    <t>0357283D US Equity</t>
  </si>
  <si>
    <t>0449227D US Equity</t>
  </si>
  <si>
    <t>1448460D US Equity</t>
  </si>
  <si>
    <t>0233293Z US Equity</t>
  </si>
  <si>
    <t>0243352Z US Equity</t>
  </si>
  <si>
    <t>8TRA GR Equity</t>
  </si>
  <si>
    <t>SGH AU Equity</t>
  </si>
  <si>
    <t>SHAK US Equity</t>
  </si>
  <si>
    <t>101037Z BH Equity</t>
  </si>
  <si>
    <t>1475034Z LN Equity</t>
  </si>
  <si>
    <t>743757Q US Equity</t>
  </si>
  <si>
    <t>1900180D BZ Equity</t>
  </si>
  <si>
    <t>2591972D SS Equity</t>
  </si>
  <si>
    <t>4071 JP Equity</t>
  </si>
  <si>
    <t>ALBFR FP Equity</t>
  </si>
  <si>
    <t>011170 KS Equity</t>
  </si>
  <si>
    <t>4763 TT Equity</t>
  </si>
  <si>
    <t>000955 CH Equity</t>
  </si>
  <si>
    <t>2283 HK Equity</t>
  </si>
  <si>
    <t>ANA SM Equity</t>
  </si>
  <si>
    <t>AAREIT SP Equity</t>
  </si>
  <si>
    <t>035900 KS Equity</t>
  </si>
  <si>
    <t>1686457D GR Equity</t>
  </si>
  <si>
    <t>0194254D US Equity</t>
  </si>
  <si>
    <t>ALL AU Equity</t>
  </si>
  <si>
    <t>BRAG CN Equity</t>
  </si>
  <si>
    <t>002199 CH Equity</t>
  </si>
  <si>
    <t>035720 KS Equity</t>
  </si>
  <si>
    <t>2235574D US Equity</t>
  </si>
  <si>
    <t>EQT SS Equity</t>
  </si>
  <si>
    <t>LMP LN Equity</t>
  </si>
  <si>
    <t>688208 CH Equity</t>
  </si>
  <si>
    <t>AKA US Equity</t>
  </si>
  <si>
    <t>RHM GR Equity</t>
  </si>
  <si>
    <t>WAWI NO Equity</t>
  </si>
  <si>
    <t>SDRL US Equity</t>
  </si>
  <si>
    <t>SBMO NA Equity</t>
  </si>
  <si>
    <t>AL US Equity</t>
  </si>
  <si>
    <t>2238228Z BB Equity</t>
  </si>
  <si>
    <t>613372Z US Equity</t>
  </si>
  <si>
    <t>7334894Z AU Equity</t>
  </si>
  <si>
    <t>12627MF US Equity</t>
  </si>
  <si>
    <t>12669MF US Equity</t>
  </si>
  <si>
    <t>14138MF US Equity</t>
  </si>
  <si>
    <t>53615MF US Equity</t>
  </si>
  <si>
    <t>241560 KS Equity</t>
  </si>
  <si>
    <t>0984968D US Equity</t>
  </si>
  <si>
    <t>1015365Z US Equity</t>
  </si>
  <si>
    <t>2646Z US Equity</t>
  </si>
  <si>
    <t>27892MF US Equity</t>
  </si>
  <si>
    <t>0571753D JP Equity</t>
  </si>
  <si>
    <t>300024 CH Equity</t>
  </si>
  <si>
    <t>603611 CH Equity</t>
  </si>
  <si>
    <t>9508 JP Equity</t>
  </si>
  <si>
    <t>SREI LN Equity</t>
  </si>
  <si>
    <t>011330 KS Equity</t>
  </si>
  <si>
    <t>EGG AU Equity</t>
  </si>
  <si>
    <t>047050 KS Equity</t>
  </si>
  <si>
    <t>TGNO2 AR Equity</t>
  </si>
  <si>
    <t>KOA NO Equity</t>
  </si>
  <si>
    <t>3810 JP Equity</t>
  </si>
  <si>
    <t>WLCO IN Equity</t>
  </si>
  <si>
    <t>001250 KS Equity</t>
  </si>
  <si>
    <t>1281150D US Equity</t>
  </si>
  <si>
    <t>1681206D US Equity</t>
  </si>
  <si>
    <t>PA8 GR Equity</t>
  </si>
  <si>
    <t>0732387D US Equity</t>
  </si>
  <si>
    <t>323548L LN Equity</t>
  </si>
  <si>
    <t>6232 JP Equity</t>
  </si>
  <si>
    <t>ARENM IN Equity</t>
  </si>
  <si>
    <t>LESL US Equity</t>
  </si>
  <si>
    <t>056730 KS Equity</t>
  </si>
  <si>
    <t>413300 KS Equity</t>
  </si>
  <si>
    <t>605228 CH Equity</t>
  </si>
  <si>
    <t>688545 CH Equity</t>
  </si>
  <si>
    <t>PHLY NO Equity</t>
  </si>
  <si>
    <t>1937248D US Equity</t>
  </si>
  <si>
    <t>BBBY US Equity</t>
  </si>
  <si>
    <t>FCEL US Equity</t>
  </si>
  <si>
    <t>FIBRAPL MM Equity</t>
  </si>
  <si>
    <t>NWH-U CN Equity</t>
  </si>
  <si>
    <t>OMAB MM Equity</t>
  </si>
  <si>
    <t>0118440D US Equity</t>
  </si>
  <si>
    <t>0131376D US Equity</t>
  </si>
  <si>
    <t>1231767Z LN Equity</t>
  </si>
  <si>
    <t>1623945D NA Equity</t>
  </si>
  <si>
    <t>5079Z US Equity</t>
  </si>
  <si>
    <t>1515 TT Equity</t>
  </si>
  <si>
    <t>300660 CH Equity</t>
  </si>
  <si>
    <t>PAR US Equity</t>
  </si>
  <si>
    <t>0194664D US Equity</t>
  </si>
  <si>
    <t>ARX CN Equity</t>
  </si>
  <si>
    <t>ALGN US Equity</t>
  </si>
  <si>
    <t>0735653D US Equity</t>
  </si>
  <si>
    <t>1887929D CH Equity</t>
  </si>
  <si>
    <t>2024157D US Equity</t>
  </si>
  <si>
    <t>2282 HK Equity</t>
  </si>
  <si>
    <t>009440 KS Equity</t>
  </si>
  <si>
    <t>0119100D US Equity</t>
  </si>
  <si>
    <t>0169078Z US Equity</t>
  </si>
  <si>
    <t>EPSN US Equity</t>
  </si>
  <si>
    <t>603987 CH Equity</t>
  </si>
  <si>
    <t>GOWL US Equity</t>
  </si>
  <si>
    <t>1640994D US Equity</t>
  </si>
  <si>
    <t>5092Z US Equity</t>
  </si>
  <si>
    <t>72278Z US Equity</t>
  </si>
  <si>
    <t>26614MF US Equity</t>
  </si>
  <si>
    <t>LXU US Equity</t>
  </si>
  <si>
    <t>CCL/B CN Equity</t>
  </si>
  <si>
    <t>3492 TT Equity</t>
  </si>
  <si>
    <t>9660 HK Equity</t>
  </si>
  <si>
    <t>PRY IM Equity</t>
  </si>
  <si>
    <t>ATEX US Equity</t>
  </si>
  <si>
    <t>0276442D US Equity</t>
  </si>
  <si>
    <t>1990322D US Equity</t>
  </si>
  <si>
    <t>DG US Equity</t>
  </si>
  <si>
    <t>1570925D LN Equity</t>
  </si>
  <si>
    <t>VSCO US Equity</t>
  </si>
  <si>
    <t>ASO US Equity</t>
  </si>
  <si>
    <t>1900008D US Equity</t>
  </si>
  <si>
    <t>SIE GR Equity</t>
  </si>
  <si>
    <t>2745 TT Equity</t>
  </si>
  <si>
    <t>4749081Z FP Equity</t>
  </si>
  <si>
    <t>AEROMEX* MM Equity</t>
  </si>
  <si>
    <t>BEKB BB Equity</t>
  </si>
  <si>
    <t>GDYR IJ Equity</t>
  </si>
  <si>
    <t>GDYR IN Equity</t>
  </si>
  <si>
    <t>0896978D BZ Equity</t>
  </si>
  <si>
    <t>1479365D GR Equity</t>
  </si>
  <si>
    <t>1843722D US Equity</t>
  </si>
  <si>
    <t>ALKS US Equity</t>
  </si>
  <si>
    <t>0877019D US Equity</t>
  </si>
  <si>
    <t>CLAR SP Equity</t>
  </si>
  <si>
    <t>2239 TT Equity</t>
  </si>
  <si>
    <t>3540218Z US Equity</t>
  </si>
  <si>
    <t>3625558Z US Equity</t>
  </si>
  <si>
    <t>1035176Z US Equity</t>
  </si>
  <si>
    <t>1121455D US Equity</t>
  </si>
  <si>
    <t>18301Z US Equity</t>
  </si>
  <si>
    <t>2557098D US Equity</t>
  </si>
  <si>
    <t>HP US Equity</t>
  </si>
  <si>
    <t>DTG GR Equity</t>
  </si>
  <si>
    <t>0126662D US Equity</t>
  </si>
  <si>
    <t>0127342Z US Equity</t>
  </si>
  <si>
    <t>1467058D US Equity</t>
  </si>
  <si>
    <t>1885711D US Equity</t>
  </si>
  <si>
    <t>70814Z US Equity</t>
  </si>
  <si>
    <t>FIVN US Equity</t>
  </si>
  <si>
    <t>OMQS US Equity</t>
  </si>
  <si>
    <t>000419 CH Equity</t>
  </si>
  <si>
    <t>3069 JP Equity</t>
  </si>
  <si>
    <t>7130 JP Equity</t>
  </si>
  <si>
    <t>9873 JP Equity</t>
  </si>
  <si>
    <t>2349 TT Equity</t>
  </si>
  <si>
    <t>3028 TT Equity</t>
  </si>
  <si>
    <t>017810 KS Equity</t>
  </si>
  <si>
    <t>030790 KS Equity</t>
  </si>
  <si>
    <t>126688MF US Equity</t>
  </si>
  <si>
    <t>1924221D US Equity</t>
  </si>
  <si>
    <t>5002677Z US Equity</t>
  </si>
  <si>
    <t>2254943D SS Equity</t>
  </si>
  <si>
    <t>97612Z IM Equity</t>
  </si>
  <si>
    <t>ACWHXZ CH Equity</t>
  </si>
  <si>
    <t>ATL SP Equity</t>
  </si>
  <si>
    <t>6224 TT Equity</t>
  </si>
  <si>
    <t>240246Z PM Equity</t>
  </si>
  <si>
    <t>208850 KS Equity</t>
  </si>
  <si>
    <t>0414456D US Equity</t>
  </si>
  <si>
    <t>0611670D US Equity</t>
  </si>
  <si>
    <t>0737120D US Equity</t>
  </si>
  <si>
    <t>9168Z US Equity</t>
  </si>
  <si>
    <t>3014583Z US Equity</t>
  </si>
  <si>
    <t>NORAM NO Equity</t>
  </si>
  <si>
    <t>RNGR US Equity</t>
  </si>
  <si>
    <t>SMC US Equity</t>
  </si>
  <si>
    <t>RDFN US Equity</t>
  </si>
  <si>
    <t>900909 CH Equity</t>
  </si>
  <si>
    <t>CVERDEC1 PE Equity</t>
  </si>
  <si>
    <t>KBLI IJ Equity</t>
  </si>
  <si>
    <t>CAI AV Equity</t>
  </si>
  <si>
    <t>OIBR4 BZ Equity</t>
  </si>
  <si>
    <t>MKC US Equity</t>
  </si>
  <si>
    <t>CELH US Equity</t>
  </si>
  <si>
    <t>0867843D US Equity</t>
  </si>
  <si>
    <t>2072378D US Equity</t>
  </si>
  <si>
    <t>8185220Z US Equity</t>
  </si>
  <si>
    <t>5401 JP Equity</t>
  </si>
  <si>
    <t>0179561D US Equity</t>
  </si>
  <si>
    <t>5312 TT Equity</t>
  </si>
  <si>
    <t>EYE US Equity</t>
  </si>
  <si>
    <t>UTMD US Equity</t>
  </si>
  <si>
    <t>MFMI IJ Equity</t>
  </si>
  <si>
    <t>AMPS US Equity</t>
  </si>
  <si>
    <t>CYXTQ US Equity</t>
  </si>
  <si>
    <t>DOX US Equity</t>
  </si>
  <si>
    <t>FRPH US Equity</t>
  </si>
  <si>
    <t>KWR US Equity</t>
  </si>
  <si>
    <t>1702492D LN Equity</t>
  </si>
  <si>
    <t>2372 JP Equity</t>
  </si>
  <si>
    <t>7798216Z JP Equity</t>
  </si>
  <si>
    <t>JBI US Equity</t>
  </si>
  <si>
    <t>UE US Equity</t>
  </si>
  <si>
    <t>MPC CN Equity</t>
  </si>
  <si>
    <t>1176L US Equity</t>
  </si>
  <si>
    <t>1411948D US Equity</t>
  </si>
  <si>
    <t>ABMM IJ Equity</t>
  </si>
  <si>
    <t>000065 CH Equity</t>
  </si>
  <si>
    <t>NOG US Equity</t>
  </si>
  <si>
    <t>HMCL IN Equity</t>
  </si>
  <si>
    <t>TOASO TI Equity</t>
  </si>
  <si>
    <t>HWKN US Equity</t>
  </si>
  <si>
    <t>IIIN US Equity</t>
  </si>
  <si>
    <t>3585021Z US Equity</t>
  </si>
  <si>
    <t>0948773D US Equity</t>
  </si>
  <si>
    <t>AR US Equity</t>
  </si>
  <si>
    <t>0676499D US Equity</t>
  </si>
  <si>
    <t>0676513D US Equity</t>
  </si>
  <si>
    <t>106033Z US Equity</t>
  </si>
  <si>
    <t>TCSGQ US Equity</t>
  </si>
  <si>
    <t>6221 TT Equity</t>
  </si>
  <si>
    <t>4484475Z US Equity</t>
  </si>
  <si>
    <t>002549 CH Equity</t>
  </si>
  <si>
    <t>327260 KS Equity</t>
  </si>
  <si>
    <t>BOSCHHCI IN Equity</t>
  </si>
  <si>
    <t>0151102D US Equity</t>
  </si>
  <si>
    <t>0676505D US Equity</t>
  </si>
  <si>
    <t>1316490Z US Equity</t>
  </si>
  <si>
    <t>CNDT US Equity</t>
  </si>
  <si>
    <t>0638651D IM Equity</t>
  </si>
  <si>
    <t>0703441D US Equity</t>
  </si>
  <si>
    <t>0797759D CN Equity</t>
  </si>
  <si>
    <t>1240Z SW Equity</t>
  </si>
  <si>
    <t>BBOX LN Equity</t>
  </si>
  <si>
    <t>3001483Z US Equity</t>
  </si>
  <si>
    <t>0102707D US Equity</t>
  </si>
  <si>
    <t>0346461D LN Equity</t>
  </si>
  <si>
    <t>1074649D US Equity</t>
  </si>
  <si>
    <t>BAS1V FH Equity</t>
  </si>
  <si>
    <t>CP CN Equity</t>
  </si>
  <si>
    <t>AIOT US Equity</t>
  </si>
  <si>
    <t>9984 JP Equity</t>
  </si>
  <si>
    <t>BT/A LN Equity</t>
  </si>
  <si>
    <t>1665463D US Equity</t>
  </si>
  <si>
    <t>2360788D US Equity</t>
  </si>
  <si>
    <t>PMZ-U CN Equity</t>
  </si>
  <si>
    <t>MRT-U CN Equity</t>
  </si>
  <si>
    <t>MEHCQ US Equity</t>
  </si>
  <si>
    <t>RET BB Equity</t>
  </si>
  <si>
    <t>0755354D US Equity</t>
  </si>
  <si>
    <t>1960310D LN Equity</t>
  </si>
  <si>
    <t>COV FP Equity</t>
  </si>
  <si>
    <t>5949 JP Equity</t>
  </si>
  <si>
    <t>JDSL IN Equity</t>
  </si>
  <si>
    <t>CHKR US Equity</t>
  </si>
  <si>
    <t>2045262D US Equity</t>
  </si>
  <si>
    <t>2083075D US Equity</t>
  </si>
  <si>
    <t>25334Z US Equity</t>
  </si>
  <si>
    <t>000887 CH Equity</t>
  </si>
  <si>
    <t>002448 CH Equity</t>
  </si>
  <si>
    <t>002488 CH Equity</t>
  </si>
  <si>
    <t>004100 KS Equity</t>
  </si>
  <si>
    <t>IMAX US Equity</t>
  </si>
  <si>
    <t>FNKO US Equity</t>
  </si>
  <si>
    <t>603215 CH Equity</t>
  </si>
  <si>
    <t>6954 JP Equity</t>
  </si>
  <si>
    <t>ATT SJ Equity</t>
  </si>
  <si>
    <t>CRNT US Equity</t>
  </si>
  <si>
    <t>3660969Z US Equity</t>
  </si>
  <si>
    <t>2484077D LN Equity</t>
  </si>
  <si>
    <t>ARTO IN Equity</t>
  </si>
  <si>
    <t>002318 CH Equity</t>
  </si>
  <si>
    <t>002156 CH Equity</t>
  </si>
  <si>
    <t>XRN US Equity</t>
  </si>
  <si>
    <t>ONL US Equity</t>
  </si>
  <si>
    <t>ARGX BB Equity</t>
  </si>
  <si>
    <t>0164438Z US Equity</t>
  </si>
  <si>
    <t>1897347D US Equity</t>
  </si>
  <si>
    <t>IMO CN Equity</t>
  </si>
  <si>
    <t>6269 JP Equity</t>
  </si>
  <si>
    <t>NE US Equity</t>
  </si>
  <si>
    <t>735365Z US Equity</t>
  </si>
  <si>
    <t>CORZ US Equity</t>
  </si>
  <si>
    <t>WLMSQ US Equity</t>
  </si>
  <si>
    <t>EAST SS Equity</t>
  </si>
  <si>
    <t>006360 KS Equity</t>
  </si>
  <si>
    <t>RCKY US Equity</t>
  </si>
  <si>
    <t>0133909D CN Equity</t>
  </si>
  <si>
    <t>0725815D US Equity</t>
  </si>
  <si>
    <t>0874435D US Equity</t>
  </si>
  <si>
    <t>1480863D US Equity</t>
  </si>
  <si>
    <t>8058 JP Equity</t>
  </si>
  <si>
    <t>NTR CN Equity</t>
  </si>
  <si>
    <t>600276 CH Equity</t>
  </si>
  <si>
    <t>2251411D US Equity</t>
  </si>
  <si>
    <t>RMR US Equity</t>
  </si>
  <si>
    <t>3136 JP Equity</t>
  </si>
  <si>
    <t>ITI US Equity</t>
  </si>
  <si>
    <t>BBL AU Equity</t>
  </si>
  <si>
    <t>5350Z US Equity</t>
  </si>
  <si>
    <t>1084295D US Equity</t>
  </si>
  <si>
    <t>1192735D US Equity</t>
  </si>
  <si>
    <t>148990Z US Equity</t>
  </si>
  <si>
    <t>74SW FP Equity</t>
  </si>
  <si>
    <t>TBLT US Equity</t>
  </si>
  <si>
    <t>TCM VN Equity</t>
  </si>
  <si>
    <t>VIV FP Equity</t>
  </si>
  <si>
    <t>4689 JP Equity</t>
  </si>
  <si>
    <t>ASAN US Equity</t>
  </si>
  <si>
    <t>GAMB US Equity</t>
  </si>
  <si>
    <t>289220 KS Equity</t>
  </si>
  <si>
    <t>096770 KS Equity</t>
  </si>
  <si>
    <t>18055Z US Equity</t>
  </si>
  <si>
    <t>19963Z US Equity</t>
  </si>
  <si>
    <t>600273 CH Equity</t>
  </si>
  <si>
    <t>003021 CH Equity</t>
  </si>
  <si>
    <t>109610 KS Equity</t>
  </si>
  <si>
    <t>002562 CH Equity</t>
  </si>
  <si>
    <t>600521 CH Equity</t>
  </si>
  <si>
    <t>601016 CH Equity</t>
  </si>
  <si>
    <t>2574864D US Equity</t>
  </si>
  <si>
    <t>FUNO11 MM Equity</t>
  </si>
  <si>
    <t>SILC US Equity</t>
  </si>
  <si>
    <t>GPRO US Equity</t>
  </si>
  <si>
    <t>6501 JP Equity</t>
  </si>
  <si>
    <t>AGYS US Equity</t>
  </si>
  <si>
    <t>CTC/A CN Equity</t>
  </si>
  <si>
    <t>GOZ AU Equity</t>
  </si>
  <si>
    <t>0751942D US Equity</t>
  </si>
  <si>
    <t>JHX AU Equity</t>
  </si>
  <si>
    <t>0229181Z US Equity</t>
  </si>
  <si>
    <t>0345999D US Equity</t>
  </si>
  <si>
    <t>0327194Z US Equity</t>
  </si>
  <si>
    <t>2419 TT Equity</t>
  </si>
  <si>
    <t>RBLX US Equity</t>
  </si>
  <si>
    <t>0225023Z US Equity</t>
  </si>
  <si>
    <t>0874273D US Equity</t>
  </si>
  <si>
    <t>1011949D US Equity</t>
  </si>
  <si>
    <t>MOD US Equity</t>
  </si>
  <si>
    <t>HEXAB SS Equity</t>
  </si>
  <si>
    <t>BIMBOA MM Equity</t>
  </si>
  <si>
    <t>1993556D US Equity</t>
  </si>
  <si>
    <t>2503 JP Equity</t>
  </si>
  <si>
    <t>1868268D US Equity</t>
  </si>
  <si>
    <t>2082686D US Equity</t>
  </si>
  <si>
    <t>BKYI US Equity</t>
  </si>
  <si>
    <t>2997357Z BZ Equity</t>
  </si>
  <si>
    <t>300240 CH Equity</t>
  </si>
  <si>
    <t>NTGR US Equity</t>
  </si>
  <si>
    <t>VNET LN Equity</t>
  </si>
  <si>
    <t>SKYT US Equity</t>
  </si>
  <si>
    <t>002104 CH Equity</t>
  </si>
  <si>
    <t>002878 CH Equity</t>
  </si>
  <si>
    <t>2424 TT Equity</t>
  </si>
  <si>
    <t>0007586D US Equity</t>
  </si>
  <si>
    <t>0910416D US Equity</t>
  </si>
  <si>
    <t>140410 KS Equity</t>
  </si>
  <si>
    <t>1584867D US Equity</t>
  </si>
  <si>
    <t>3668013Z US Equity</t>
  </si>
  <si>
    <t>NESTE FH Equity</t>
  </si>
  <si>
    <t>PTTGC TB Equity</t>
  </si>
  <si>
    <t>1655490D CH Equity</t>
  </si>
  <si>
    <t>1763872D CN Equity</t>
  </si>
  <si>
    <t>ALY CN Equity</t>
  </si>
  <si>
    <t>0890363D US Equity</t>
  </si>
  <si>
    <t>1183869D US Equity</t>
  </si>
  <si>
    <t>172048Z US Equity</t>
  </si>
  <si>
    <t>20369Z US Equity</t>
  </si>
  <si>
    <t>2307453D US Equity</t>
  </si>
  <si>
    <t>TKR US Equity</t>
  </si>
  <si>
    <t>SRI US Equity</t>
  </si>
  <si>
    <t>AH TB Equity</t>
  </si>
  <si>
    <t>LAC CN Equity</t>
  </si>
  <si>
    <t>0300694Z US Equity</t>
  </si>
  <si>
    <t>0874317D US Equity</t>
  </si>
  <si>
    <t>1055517D US Equity</t>
  </si>
  <si>
    <t>1925501D US Equity</t>
  </si>
  <si>
    <t>CDNL US Equity</t>
  </si>
  <si>
    <t>OXB LN Equity</t>
  </si>
  <si>
    <t>SRG US Equity</t>
  </si>
  <si>
    <t>1849709D FP Equity</t>
  </si>
  <si>
    <t>CIPI US Equity</t>
  </si>
  <si>
    <t>1131L US Equity</t>
  </si>
  <si>
    <t>0179048D US Equity</t>
  </si>
  <si>
    <t>2255294D SS Equity</t>
  </si>
  <si>
    <t>26514Z US Equity</t>
  </si>
  <si>
    <t>TPCG US Equity</t>
  </si>
  <si>
    <t>0942231D US Equity</t>
  </si>
  <si>
    <t>1003367D US Equity</t>
  </si>
  <si>
    <t>1294466D US Equity</t>
  </si>
  <si>
    <t>1535252D US Equity</t>
  </si>
  <si>
    <t>KTB US Equity</t>
  </si>
  <si>
    <t>002656 CH Equity</t>
  </si>
  <si>
    <t>0253876D IN Equity</t>
  </si>
  <si>
    <t>GHM US Equity</t>
  </si>
  <si>
    <t>AC CN Equity</t>
  </si>
  <si>
    <t>0059242D US Equity</t>
  </si>
  <si>
    <t>1859739D US Equity</t>
  </si>
  <si>
    <t>UBSG SW Equity</t>
  </si>
  <si>
    <t>TD CN Equity</t>
  </si>
  <si>
    <t>ADP FP Equity</t>
  </si>
  <si>
    <t>037440 KS Equity</t>
  </si>
  <si>
    <t>9806Z US Equity</t>
  </si>
  <si>
    <t>RH US Equity</t>
  </si>
  <si>
    <t>2634 TT Equity</t>
  </si>
  <si>
    <t>SCTYQ US Equity</t>
  </si>
  <si>
    <t>SGI AU Equity</t>
  </si>
  <si>
    <t>PQUEQ US Equity</t>
  </si>
  <si>
    <t>0148539D CN Equity</t>
  </si>
  <si>
    <t>B4B GR Equity</t>
  </si>
  <si>
    <t>587877Z GR Equity</t>
  </si>
  <si>
    <t>0516820D US Equity</t>
  </si>
  <si>
    <t>603179 CH Equity</t>
  </si>
  <si>
    <t>FMC US Equity</t>
  </si>
  <si>
    <t>1819520D US Equity</t>
  </si>
  <si>
    <t>600763 CH Equity</t>
  </si>
  <si>
    <t>603456 CH Equity</t>
  </si>
  <si>
    <t>7612995Z US Equity</t>
  </si>
  <si>
    <t>AALB NA Equity</t>
  </si>
  <si>
    <t>AKTSQ US Equity</t>
  </si>
  <si>
    <t>PORT3 BZ Equity</t>
  </si>
  <si>
    <t>SWAG US Equity</t>
  </si>
  <si>
    <t>595975Z US Equity</t>
  </si>
  <si>
    <t>600977 CH Equity</t>
  </si>
  <si>
    <t>MPAA US Equity</t>
  </si>
  <si>
    <t>AXTA US Equity</t>
  </si>
  <si>
    <t>3172 JP Equity</t>
  </si>
  <si>
    <t>EL US Equity</t>
  </si>
  <si>
    <t>339520Z SW Equity</t>
  </si>
  <si>
    <t>017670 KS Equity</t>
  </si>
  <si>
    <t>TOM2 NA Equity</t>
  </si>
  <si>
    <t>32588Z US Equity</t>
  </si>
  <si>
    <t>0054724D US Equity</t>
  </si>
  <si>
    <t>0259448D US Equity</t>
  </si>
  <si>
    <t>PCOR US Equity</t>
  </si>
  <si>
    <t>0835021D US Equity</t>
  </si>
  <si>
    <t>9888132Z US Equity</t>
  </si>
  <si>
    <t>NSC US Equity</t>
  </si>
  <si>
    <t>SLCA US Equity</t>
  </si>
  <si>
    <t>SPB CN Equity</t>
  </si>
  <si>
    <t>SUN US Equity</t>
  </si>
  <si>
    <t>WH IN Equity</t>
  </si>
  <si>
    <t>GXO US Equity</t>
  </si>
  <si>
    <t>1656299D CN Equity</t>
  </si>
  <si>
    <t>2158132Z LN Equity</t>
  </si>
  <si>
    <t>PRIO3 BZ Equity</t>
  </si>
  <si>
    <t>REI US Equity</t>
  </si>
  <si>
    <t>145210 KS Equity</t>
  </si>
  <si>
    <t>18974MF US Equity</t>
  </si>
  <si>
    <t>19683Z US Equity</t>
  </si>
  <si>
    <t>NINEQ US Equity</t>
  </si>
  <si>
    <t>6965 JP Equity</t>
  </si>
  <si>
    <t>KNTK US Equity</t>
  </si>
  <si>
    <t>STR US Equity</t>
  </si>
  <si>
    <t>034310 KS Equity</t>
  </si>
  <si>
    <t>GUI FP Equity</t>
  </si>
  <si>
    <t>WLKP US Equity</t>
  </si>
  <si>
    <t>1707707D US Equity</t>
  </si>
  <si>
    <t>ACHC US Equity</t>
  </si>
  <si>
    <t>1363628D US Equity</t>
  </si>
  <si>
    <t>0380559D AG Equity</t>
  </si>
  <si>
    <t>0775985D CN Equity</t>
  </si>
  <si>
    <t>CGY CN Equity</t>
  </si>
  <si>
    <t>BALY US Equity</t>
  </si>
  <si>
    <t>968318Z US Equity</t>
  </si>
  <si>
    <t>BYD US Equity</t>
  </si>
  <si>
    <t>0141947D CN Equity</t>
  </si>
  <si>
    <t>1661774D CP Equity</t>
  </si>
  <si>
    <t>PACK US Equity</t>
  </si>
  <si>
    <t>NGVT US Equity</t>
  </si>
  <si>
    <t>TFHI PM Equity</t>
  </si>
  <si>
    <t>1012015D US Equity</t>
  </si>
  <si>
    <t>0124800D US Equity</t>
  </si>
  <si>
    <t>1013340Z US Equity</t>
  </si>
  <si>
    <t>MTRX US Equity</t>
  </si>
  <si>
    <t>1718696D US Equity</t>
  </si>
  <si>
    <t>TIETO FH Equity</t>
  </si>
  <si>
    <t>MTDL IJ Equity</t>
  </si>
  <si>
    <t>GEO FP Equity</t>
  </si>
  <si>
    <t>RENGL IN Equity</t>
  </si>
  <si>
    <t>MAC US Equity</t>
  </si>
  <si>
    <t>MOV US Equity</t>
  </si>
  <si>
    <t>SPIR US Equity</t>
  </si>
  <si>
    <t>VALU US Equity</t>
  </si>
  <si>
    <t>HMFC IN Equity</t>
  </si>
  <si>
    <t>IKE NZ Equity</t>
  </si>
  <si>
    <t>1357610D US Equity</t>
  </si>
  <si>
    <t>350A JP Equity</t>
  </si>
  <si>
    <t>603200 CH Equity</t>
  </si>
  <si>
    <t>1427049D LN Equity</t>
  </si>
  <si>
    <t>1749547D US Equity</t>
  </si>
  <si>
    <t>1684094D CN Equity</t>
  </si>
  <si>
    <t>VEEV US Equity</t>
  </si>
  <si>
    <t>BOOM US Equity</t>
  </si>
  <si>
    <t>ATRL CN Equity</t>
  </si>
  <si>
    <t>034020 KS Equity</t>
  </si>
  <si>
    <t>ESOA US Equity</t>
  </si>
  <si>
    <t>0213152D US Equity</t>
  </si>
  <si>
    <t>86666MF US Equity</t>
  </si>
  <si>
    <t>7972 JP Equity</t>
  </si>
  <si>
    <t>PR US Equity</t>
  </si>
  <si>
    <t>VAL US Equity</t>
  </si>
  <si>
    <t>TPL US Equity</t>
  </si>
  <si>
    <t>NGS US Equity</t>
  </si>
  <si>
    <t>CYBR US Equity</t>
  </si>
  <si>
    <t>DEC FP Equity</t>
  </si>
  <si>
    <t>WEHB BB Equity</t>
  </si>
  <si>
    <t>AAOI US Equity</t>
  </si>
  <si>
    <t>THELEELA IN Equity</t>
  </si>
  <si>
    <t>CRAI US Equity</t>
  </si>
  <si>
    <t>LGEN LN Equity</t>
  </si>
  <si>
    <t>CICT SP Equity</t>
  </si>
  <si>
    <t>PSTITANI IN Equity</t>
  </si>
  <si>
    <t>IZER SM Equity</t>
  </si>
  <si>
    <t>SULAIMAN AB Equity</t>
  </si>
  <si>
    <t>601886 CH Equity</t>
  </si>
  <si>
    <t>CLIP CN Equity</t>
  </si>
  <si>
    <t>MEDV CN Equity</t>
  </si>
  <si>
    <t>1325 TT Equity</t>
  </si>
  <si>
    <t>0089742Z US Equity</t>
  </si>
  <si>
    <t>0096713D US Equity</t>
  </si>
  <si>
    <t>0096769D US Equity</t>
  </si>
  <si>
    <t>4426 TT Equity</t>
  </si>
  <si>
    <t>4430 TT Equity</t>
  </si>
  <si>
    <t>600885 CH Equity</t>
  </si>
  <si>
    <t>79626MF US Equity</t>
  </si>
  <si>
    <t>CTRI US Equity</t>
  </si>
  <si>
    <t>HNRG US Equity</t>
  </si>
  <si>
    <t>AMSC US Equity</t>
  </si>
  <si>
    <t>BKV US Equity</t>
  </si>
  <si>
    <t>STOFL1 US Equity</t>
  </si>
  <si>
    <t>STOTX1 US Equity</t>
  </si>
  <si>
    <t>STOIL1 US Equity</t>
  </si>
  <si>
    <t>JWN US Equity</t>
  </si>
  <si>
    <t>EL FP Equity</t>
  </si>
  <si>
    <t>601888 CH Equity</t>
  </si>
  <si>
    <t>002329 CH Equity</t>
  </si>
  <si>
    <t>002537 CH Equity</t>
  </si>
  <si>
    <t>ACSO LN Equity</t>
  </si>
  <si>
    <t>1412815D US Equity</t>
  </si>
  <si>
    <t>AMS US Equity</t>
  </si>
  <si>
    <t>CRVW US Equity</t>
  </si>
  <si>
    <t>ZAL GR Equity</t>
  </si>
  <si>
    <t>752 HK Equity</t>
  </si>
  <si>
    <t>2906 TT Equity</t>
  </si>
  <si>
    <t>300043 CH Equity</t>
  </si>
  <si>
    <t>HNGE US Equity</t>
  </si>
  <si>
    <t>AMWL US Equity</t>
  </si>
  <si>
    <t>7837 TT Equity</t>
  </si>
  <si>
    <t>ODC US Equity</t>
  </si>
  <si>
    <t>XSL IN Equity</t>
  </si>
  <si>
    <t>PKO PW Equity</t>
  </si>
  <si>
    <t>009540 KS Equity</t>
  </si>
  <si>
    <t>012330 KS Equity</t>
  </si>
  <si>
    <t>0132457D US Equity</t>
  </si>
  <si>
    <t>LTC US Equity</t>
  </si>
  <si>
    <t>0353658D US Equity</t>
  </si>
  <si>
    <t>1839 HK Equity</t>
  </si>
  <si>
    <t>1002447D US Equity</t>
  </si>
  <si>
    <t>9338 JP Equity</t>
  </si>
  <si>
    <t>MDLZ US Equity</t>
  </si>
  <si>
    <t>VOLVB SS Equity</t>
  </si>
  <si>
    <t>0764543D IN Equity</t>
  </si>
  <si>
    <t>300481 CH Equity</t>
  </si>
  <si>
    <t>601069 CH Equity</t>
  </si>
  <si>
    <t>ACQ CN Equity</t>
  </si>
  <si>
    <t>4474139Z US Equity</t>
  </si>
  <si>
    <t>624271Z US Equity</t>
  </si>
  <si>
    <t>9448Z US Equity</t>
  </si>
  <si>
    <t>HOMZQ US Equity</t>
  </si>
  <si>
    <t>000156 CH Equity</t>
  </si>
  <si>
    <t>002174 CH Equity</t>
  </si>
  <si>
    <t>002269 CH Equity</t>
  </si>
  <si>
    <t>002867 CH Equity</t>
  </si>
  <si>
    <t>3528 TT Equity</t>
  </si>
  <si>
    <t>4163 TT Equity</t>
  </si>
  <si>
    <t>0177898D US Equity</t>
  </si>
  <si>
    <t>0868259D US Equity</t>
  </si>
  <si>
    <t>1996274D US Equity</t>
  </si>
  <si>
    <t>BCE CN Equity</t>
  </si>
  <si>
    <t>HCWC US Equity</t>
  </si>
  <si>
    <t>NGVC US Equity</t>
  </si>
  <si>
    <t>UMG NA Equity</t>
  </si>
  <si>
    <t>MPT US Equity</t>
  </si>
  <si>
    <t>TOY CN Equity</t>
  </si>
  <si>
    <t>001280 CH Equity</t>
  </si>
  <si>
    <t>AKAST NO Equity</t>
  </si>
  <si>
    <t>000700 CH Equity</t>
  </si>
  <si>
    <t>YTENQ US Equity</t>
  </si>
  <si>
    <t>049070 KS Equity</t>
  </si>
  <si>
    <t>2476 TT Equity</t>
  </si>
  <si>
    <t>603716 CH Equity</t>
  </si>
  <si>
    <t>MBX CN Equity</t>
  </si>
  <si>
    <t>000120 KS Equity</t>
  </si>
  <si>
    <t>001130 KS Equity</t>
  </si>
  <si>
    <t>RUSHA US Equity</t>
  </si>
  <si>
    <t>SIME MK Equity</t>
  </si>
  <si>
    <t>TIH CN Equity</t>
  </si>
  <si>
    <t>SARE IN Equity</t>
  </si>
  <si>
    <t>3041 TT Equity</t>
  </si>
  <si>
    <t>ATMU US Equity</t>
  </si>
  <si>
    <t>KKC IN Equity</t>
  </si>
  <si>
    <t>4466424Z NZ Equity</t>
  </si>
  <si>
    <t>VITL US Equity</t>
  </si>
  <si>
    <t>0119014D US Equity</t>
  </si>
  <si>
    <t>315 HK Equity</t>
  </si>
  <si>
    <t>BBD/B CN Equity</t>
  </si>
  <si>
    <t>APTV US Equity</t>
  </si>
  <si>
    <t>ELIOR FP Equity</t>
  </si>
  <si>
    <t>000021 CH Equity</t>
  </si>
  <si>
    <t>CDX/H CN Equity</t>
  </si>
  <si>
    <t>DFH US Equity</t>
  </si>
  <si>
    <t>0890585D CN Equity</t>
  </si>
  <si>
    <t>BUR FP Equity</t>
  </si>
  <si>
    <t>CIO US Equity</t>
  </si>
  <si>
    <t>ACGL US Equity</t>
  </si>
  <si>
    <t>ACT US Equity</t>
  </si>
  <si>
    <t>JELD US Equity</t>
  </si>
  <si>
    <t>ADEN CN Equity</t>
  </si>
  <si>
    <t>9784762Z US Equity</t>
  </si>
  <si>
    <t>067370 KS Equity</t>
  </si>
  <si>
    <t>688306 CH Equity</t>
  </si>
  <si>
    <t>688389 CH Equity</t>
  </si>
  <si>
    <t>SPND US Equity</t>
  </si>
  <si>
    <t>1608940D US Equity</t>
  </si>
  <si>
    <t>000629 CH Equity</t>
  </si>
  <si>
    <t>002810 CH Equity</t>
  </si>
  <si>
    <t>0080221D US Equity</t>
  </si>
  <si>
    <t>0130739D US Equity</t>
  </si>
  <si>
    <t>0218485D US Equity</t>
  </si>
  <si>
    <t>1520793D LN Equity</t>
  </si>
  <si>
    <t>1537094D LN Equity</t>
  </si>
  <si>
    <t>161390 KS Equity</t>
  </si>
  <si>
    <t>CRGY US Equity</t>
  </si>
  <si>
    <t>INR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</si>
</sst>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11"/>
      <color rgb="FF0033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BDS|18158672276072245189</stp>
        <tr r="AT5" s="33"/>
      </tp>
      <tp t="e">
        <v>#N/A</v>
        <stp/>
        <stp>BDS|11390887939291841101</stp>
        <tr r="EU5" s="49"/>
      </tp>
      <tp t="e">
        <v>#N/A</v>
        <stp/>
        <stp>BDS|13245999440545037112</stp>
        <tr r="OA5" s="4"/>
      </tp>
      <tp t="e">
        <v>#N/A</v>
        <stp/>
        <stp>BDS|17296349788682378479</stp>
        <tr r="IQ5" s="43"/>
      </tp>
      <tp t="e">
        <v>#N/A</v>
        <stp/>
        <stp>BDS|12399357755029005791</stp>
        <tr r="BD5" s="3"/>
      </tp>
      <tp t="e">
        <v>#N/A</v>
        <stp/>
        <stp>BDS|15991638531179294336</stp>
        <tr r="K5" s="38"/>
      </tp>
      <tp t="e">
        <v>#N/A</v>
        <stp/>
        <stp>BDS|16913320734209486514</stp>
        <tr r="MR5" s="51"/>
      </tp>
      <tp t="e">
        <v>#N/A</v>
        <stp/>
        <stp>BDS|11215248015519100182</stp>
        <tr r="KO5" s="43"/>
      </tp>
      <tp t="e">
        <v>#N/A</v>
        <stp/>
        <stp>BDS|10591214779759638614</stp>
        <tr r="LX5" s="28"/>
      </tp>
      <tp t="e">
        <v>#N/A</v>
        <stp/>
        <stp>BDS|16184765582876773580</stp>
        <tr r="CM5" s="80"/>
      </tp>
      <tp t="e">
        <v>#N/A</v>
        <stp/>
        <stp>BDS|14893744786156680766</stp>
        <tr r="NV5" s="114"/>
      </tp>
      <tp t="e">
        <v>#N/A</v>
        <stp/>
        <stp>BDS|12218733412179189789</stp>
        <tr r="NL5" s="36"/>
      </tp>
      <tp t="e">
        <v>#N/A</v>
        <stp/>
        <stp>BDS|11542239930029533399</stp>
        <tr r="FJ5" s="23"/>
      </tp>
      <tp t="e">
        <v>#N/A</v>
        <stp/>
        <stp>BDS|10562682763222017840</stp>
        <tr r="CR5" s="75"/>
      </tp>
      <tp t="e">
        <v>#N/A</v>
        <stp/>
        <stp>BDS|14118889420561185523</stp>
        <tr r="OF5" s="32"/>
      </tp>
      <tp t="e">
        <v>#N/A</v>
        <stp/>
        <stp>BDS|10246306071198145681</stp>
        <tr r="DQ5" s="111"/>
      </tp>
      <tp t="e">
        <v>#N/A</v>
        <stp/>
        <stp>BDS|13149330681881821318</stp>
        <tr r="AE5" s="124"/>
      </tp>
      <tp t="e">
        <v>#N/A</v>
        <stp/>
        <stp>BDS|13619388918898544391</stp>
        <tr r="NB5" s="70"/>
      </tp>
      <tp t="e">
        <v>#N/A</v>
        <stp/>
        <stp>BDS|11257681697307264355</stp>
        <tr r="MC5" s="44"/>
      </tp>
      <tp t="e">
        <v>#N/A</v>
        <stp/>
        <stp>BDS|14842694067446499897</stp>
        <tr r="KJ5" s="26"/>
      </tp>
      <tp t="e">
        <v>#N/A</v>
        <stp/>
        <stp>BDS|10626000494163138089</stp>
        <tr r="JK5" s="50"/>
      </tp>
      <tp t="e">
        <v>#N/A</v>
        <stp/>
        <stp>BDS|17004200877889988158</stp>
        <tr r="IB5" s="118"/>
      </tp>
      <tp t="e">
        <v>#N/A</v>
        <stp/>
        <stp>BDS|17591797264664420872</stp>
        <tr r="JA5" s="68"/>
      </tp>
      <tp t="e">
        <v>#N/A</v>
        <stp/>
        <stp>BDS|13339197531729550259</stp>
        <tr r="HM5" s="111"/>
      </tp>
      <tp t="e">
        <v>#N/A</v>
        <stp/>
        <stp>BDS|14287545487026386598</stp>
        <tr r="LN5" s="19"/>
      </tp>
      <tp t="e">
        <v>#N/A</v>
        <stp/>
        <stp>BDS|13898254584303140036</stp>
        <tr r="MH5" s="80"/>
      </tp>
      <tp t="e">
        <v>#N/A</v>
        <stp/>
        <stp>BDS|12762889173043069475</stp>
        <tr r="IB5" s="44"/>
      </tp>
      <tp t="e">
        <v>#N/A</v>
        <stp/>
        <stp>BDS|13791250687513690086</stp>
        <tr r="CC5" s="30"/>
      </tp>
      <tp t="e">
        <v>#N/A</v>
        <stp/>
        <stp>BDS|15897835221767603278</stp>
        <tr r="Z5" s="19"/>
      </tp>
      <tp t="e">
        <v>#N/A</v>
        <stp/>
        <stp>BDS|18287269851497760291</stp>
        <tr r="BX5" s="86"/>
      </tp>
      <tp t="e">
        <v>#N/A</v>
        <stp/>
        <stp>BDS|17325042948050519910</stp>
        <tr r="IV5" s="118"/>
      </tp>
      <tp t="e">
        <v>#N/A</v>
        <stp/>
        <stp>BDS|13642031320128751390</stp>
        <tr r="EU5" s="57"/>
      </tp>
      <tp t="e">
        <v>#N/A</v>
        <stp/>
        <stp>BDS|15964709496357296665</stp>
        <tr r="IQ5" s="77"/>
      </tp>
      <tp t="e">
        <v>#N/A</v>
        <stp/>
        <stp>BDS|10866912446380519711</stp>
        <tr r="FY5" s="75"/>
      </tp>
      <tp t="e">
        <v>#N/A</v>
        <stp/>
        <stp>BDS|14544939036774347088</stp>
        <tr r="MW5" s="82"/>
      </tp>
      <tp t="e">
        <v>#N/A</v>
        <stp/>
        <stp>BDS|16179387977649676137</stp>
        <tr r="DV5" s="97"/>
      </tp>
      <tp t="e">
        <v>#N/A</v>
        <stp/>
        <stp>BDS|10560842618410343311</stp>
        <tr r="JU5" s="34"/>
      </tp>
      <tp t="e">
        <v>#N/A</v>
        <stp/>
        <stp>BDS|17165277308967011862</stp>
        <tr r="CR5" s="66"/>
      </tp>
      <tp t="e">
        <v>#N/A</v>
        <stp/>
        <stp>BDS|13036959509711505117</stp>
        <tr r="CH5" s="70"/>
        <tr r="JF5" s="29"/>
      </tp>
      <tp t="e">
        <v>#N/A</v>
        <stp/>
        <stp>BDS|11481550571640873903</stp>
        <tr r="FT5" s="12"/>
      </tp>
      <tp t="e">
        <v>#N/A</v>
        <stp/>
        <stp>BDS|17252385995817245055</stp>
        <tr r="IB5" s="81"/>
      </tp>
      <tp t="e">
        <v>#N/A</v>
        <stp/>
        <stp>BDS|14082282716689275448</stp>
        <tr r="AE5" s="113"/>
      </tp>
      <tp t="e">
        <v>#N/A</v>
        <stp/>
        <stp>BDS|11920271127418450351</stp>
        <tr r="HH5" s="83"/>
      </tp>
      <tp t="e">
        <v>#N/A</v>
        <stp/>
        <stp>BDS|14799282100529281554</stp>
        <tr r="DV5" s="120"/>
      </tp>
      <tp t="e">
        <v>#N/A</v>
        <stp/>
        <stp>BDS|11776423751059955353</stp>
        <tr r="IQ5" s="115"/>
      </tp>
      <tp t="e">
        <v>#N/A</v>
        <stp/>
        <stp>BDS|14575384803328088568</stp>
        <tr r="GD5" s="114"/>
      </tp>
      <tp t="e">
        <v>#N/A</v>
        <stp/>
        <stp>BDS|14262819070266239799</stp>
        <tr r="BS5" s="2"/>
      </tp>
      <tp t="e">
        <v>#N/A</v>
        <stp/>
        <stp>BDS|17450334939839096466</stp>
        <tr r="LN5" s="97"/>
      </tp>
      <tp t="e">
        <v>#N/A</v>
        <stp/>
        <stp>BDS|11718810748121409626</stp>
        <tr r="MC5" s="28"/>
      </tp>
      <tp t="e">
        <v>#N/A</v>
        <stp/>
        <stp>BDS|13296613884295743288</stp>
        <tr r="F5" s="77"/>
      </tp>
      <tp t="e">
        <v>#N/A</v>
        <stp/>
        <stp>BDS|11136528100558874623</stp>
        <tr r="JK5" s="112"/>
      </tp>
      <tp t="e">
        <v>#N/A</v>
        <stp/>
        <stp>BDS|17964918205081253563</stp>
        <tr r="CM5" s="39"/>
      </tp>
      <tp t="e">
        <v>#N/A</v>
        <stp/>
        <stp>BDS|13884995849154657071</stp>
        <tr r="GX5" s="52"/>
      </tp>
      <tp t="e">
        <v>#N/A</v>
        <stp/>
        <stp>BDS|12809925437694489605</stp>
        <tr r="GX5" s="62"/>
      </tp>
      <tp t="e">
        <v>#N/A</v>
        <stp/>
        <stp>BDS|15552299498727531386</stp>
        <tr r="JU5" s="112"/>
      </tp>
      <tp t="e">
        <v>#N/A</v>
        <stp/>
        <stp>BDS|15722127568848361075</stp>
        <tr r="JF5" s="62"/>
      </tp>
      <tp t="e">
        <v>#N/A</v>
        <stp/>
        <stp>BDS|16805495127338927268</stp>
        <tr r="HM5" s="68"/>
      </tp>
      <tp t="e">
        <v>#N/A</v>
        <stp/>
        <stp>BDS|17491083739128844643</stp>
        <tr r="EP5" s="54"/>
      </tp>
      <tp t="e">
        <v>#N/A</v>
        <stp/>
        <stp>BDS|12908460523397287977</stp>
        <tr r="JU5" s="65"/>
      </tp>
      <tp t="e">
        <v>#N/A</v>
        <stp/>
        <stp>BDS|10830951307062655155</stp>
        <tr r="GN5" s="61"/>
      </tp>
      <tp t="e">
        <v>#N/A</v>
        <stp/>
        <stp>BDS|16603377989994196306</stp>
        <tr r="JK5" s="95"/>
      </tp>
      <tp t="e">
        <v>#N/A</v>
        <stp/>
        <stp>BDS|10814908731574044409</stp>
        <tr r="AY5" s="22"/>
      </tp>
      <tp t="e">
        <v>#N/A</v>
        <stp/>
        <stp>BDS|14117937839277069325</stp>
        <tr r="NV5" s="36"/>
      </tp>
      <tp t="e">
        <v>#N/A</v>
        <stp/>
        <stp>BDS|12852972595830002839</stp>
        <tr r="MC5" s="109"/>
      </tp>
      <tp t="e">
        <v>#N/A</v>
        <stp/>
        <stp>BDS|18186339617015573590</stp>
        <tr r="IQ5" s="42"/>
      </tp>
      <tp t="e">
        <v>#N/A</v>
        <stp/>
        <stp>BDS|14513590253817674975</stp>
        <tr r="GX5" s="120"/>
      </tp>
      <tp t="e">
        <v>#N/A</v>
        <stp/>
        <stp>BDS|15964953890397654849</stp>
        <tr r="LN5" s="84"/>
      </tp>
      <tp t="e">
        <v>#N/A</v>
        <stp/>
        <stp>BDS|16953807806406605279</stp>
        <tr r="BI5" s="31"/>
      </tp>
      <tp t="e">
        <v>#N/A</v>
        <stp/>
        <stp>BDS|15738919706007645183</stp>
        <tr r="OA5" s="52"/>
      </tp>
      <tp t="e">
        <v>#N/A</v>
        <stp/>
        <stp>BDS|12627953748692624739</stp>
        <tr r="OF5" s="70"/>
      </tp>
      <tp t="e">
        <v>#N/A</v>
        <stp/>
        <stp>BDS|13366860555173623789</stp>
        <tr r="CW5" s="112"/>
      </tp>
      <tp t="e">
        <v>#N/A</v>
        <stp/>
        <stp>BDS|17708930303991925507</stp>
        <tr r="DL5" s="66"/>
      </tp>
      <tp t="e">
        <v>#N/A</v>
        <stp/>
        <stp>BDS|12590975934784000687</stp>
        <tr r="AJ5" s="72"/>
      </tp>
      <tp t="e">
        <v>#N/A</v>
        <stp/>
        <stp>BDS|16200912009065147055</stp>
        <tr r="LS5" s="47"/>
      </tp>
      <tp t="e">
        <v>#N/A</v>
        <stp/>
        <stp>BDS|13433711427065571996</stp>
        <tr r="GS5" s="44"/>
      </tp>
      <tp t="e">
        <v>#N/A</v>
        <stp/>
        <stp>BDS|10728484163611130932</stp>
        <tr r="BS5" s="13"/>
      </tp>
      <tp t="e">
        <v>#N/A</v>
        <stp/>
        <stp>BDS|10842626455228864197</stp>
        <tr r="LN5" s="120"/>
      </tp>
      <tp t="e">
        <v>#N/A</v>
        <stp/>
        <stp>BDS|11497960058851689629</stp>
        <tr r="OA5" s="98"/>
      </tp>
      <tp t="e">
        <v>#N/A</v>
        <stp/>
        <stp>BDS|17371221450752837872</stp>
        <tr r="HC5" s="125"/>
      </tp>
      <tp t="e">
        <v>#N/A</v>
        <stp/>
        <stp>BDS|15629881221525431050</stp>
        <tr r="A5" s="87"/>
      </tp>
      <tp t="e">
        <v>#N/A</v>
        <stp/>
        <stp>BDS|17581693937690589800</stp>
        <tr r="IL5" s="88"/>
      </tp>
      <tp t="e">
        <v>#N/A</v>
        <stp/>
        <stp>BDS|10653162027649810015</stp>
        <tr r="JK5" s="67"/>
      </tp>
      <tp t="e">
        <v>#N/A</v>
        <stp/>
        <stp>BDS|12801733723234308955</stp>
        <tr r="U5" s="24"/>
      </tp>
      <tp t="e">
        <v>#N/A</v>
        <stp/>
        <stp>BDS|18151483812873230467</stp>
        <tr r="IQ5" s="27"/>
      </tp>
      <tp t="e">
        <v>#N/A</v>
        <stp/>
        <stp>BDS|14041415876088196590</stp>
        <tr r="JA5" s="44"/>
      </tp>
      <tp t="e">
        <v>#N/A</v>
        <stp/>
        <stp>BDS|12119351060254891935</stp>
        <tr r="JP5" s="87"/>
      </tp>
      <tp t="e">
        <v>#N/A</v>
        <stp/>
        <stp>BDS|13375950809264790472</stp>
        <tr r="DG5" s="124"/>
      </tp>
      <tp t="e">
        <v>#N/A</v>
        <stp/>
        <stp>BDS|14619468037838055188</stp>
        <tr r="GD5" s="100"/>
      </tp>
      <tp t="e">
        <v>#N/A</v>
        <stp/>
        <stp>BDS|18274862827848907051</stp>
        <tr r="BX5" s="91"/>
      </tp>
      <tp t="e">
        <v>#N/A</v>
        <stp/>
        <stp>BDS|16983167493692004635</stp>
        <tr r="BD5" s="75"/>
      </tp>
      <tp t="e">
        <v>#N/A</v>
        <stp/>
        <stp>BDS|14737663604050251886</stp>
        <tr r="NV5" s="5"/>
      </tp>
      <tp t="e">
        <v>#N/A</v>
        <stp/>
        <stp>BDS|11789635354849866171</stp>
        <tr r="FY5" s="42"/>
      </tp>
      <tp t="e">
        <v>#N/A</v>
        <stp/>
        <stp>BDS|11183798202634536804</stp>
        <tr r="MM5" s="54"/>
      </tp>
      <tp t="e">
        <v>#N/A</v>
        <stp/>
        <stp>BDS|10641581044022761922</stp>
        <tr r="GD5" s="21"/>
      </tp>
      <tp t="e">
        <v>#N/A</v>
        <stp/>
        <stp>BDS|16298880611293784633</stp>
        <tr r="IQ5" s="40"/>
      </tp>
      <tp t="e">
        <v>#N/A</v>
        <stp/>
        <stp>BDS|10794719215529801543</stp>
        <tr r="IQ5" s="30"/>
      </tp>
      <tp t="e">
        <v>#N/A</v>
        <stp/>
        <stp>BDS|18444955516322051881</stp>
        <tr r="CM5" s="82"/>
      </tp>
      <tp t="e">
        <v>#N/A</v>
        <stp/>
        <stp>BDS|16819794390202947076</stp>
        <tr r="BX5" s="12"/>
      </tp>
      <tp t="e">
        <v>#N/A</v>
        <stp/>
        <stp>BDS|13662954315478008992</stp>
        <tr r="JF5" s="25"/>
      </tp>
      <tp t="e">
        <v>#N/A</v>
        <stp/>
        <stp>BDS|18434181072613678748</stp>
        <tr r="HW5" s="118"/>
      </tp>
      <tp t="e">
        <v>#N/A</v>
        <stp/>
        <stp>BDS|15198888378015906548</stp>
        <tr r="U5" s="81"/>
      </tp>
      <tp t="e">
        <v>#N/A</v>
        <stp/>
        <stp>BDS|11895590881102476487</stp>
        <tr r="NG5" s="61"/>
      </tp>
      <tp t="e">
        <v>#N/A</v>
        <stp/>
        <stp>BDS|16621939912681312583</stp>
        <tr r="JP5" s="82"/>
      </tp>
      <tp t="e">
        <v>#N/A</v>
        <stp/>
        <stp>BDS|15090256692882390680</stp>
        <tr r="EA5" s="49"/>
      </tp>
      <tp t="e">
        <v>#N/A</v>
        <stp/>
        <stp>BDS|12865848755182532700</stp>
        <tr r="EA5" s="48"/>
      </tp>
      <tp t="e">
        <v>#N/A</v>
        <stp/>
        <stp>BDS|11302117318918481325</stp>
        <tr r="A5" s="47"/>
      </tp>
      <tp t="e">
        <v>#N/A</v>
        <stp/>
        <stp>BDS|13161473631269961722</stp>
        <tr r="DL5" s="69"/>
      </tp>
      <tp t="e">
        <v>#N/A</v>
        <stp/>
        <stp>BDS|14723956548705361657</stp>
        <tr r="IQ5" s="15"/>
      </tp>
      <tp t="e">
        <v>#N/A</v>
        <stp/>
        <stp>BDS|12961047241578465443</stp>
        <tr r="JU5" s="97"/>
      </tp>
      <tp t="e">
        <v>#N/A</v>
        <stp/>
        <stp>BDS|18308940146018560786</stp>
        <tr r="EF5" s="87"/>
      </tp>
      <tp t="e">
        <v>#N/A</v>
        <stp/>
        <stp>BDS|15927686593001827163</stp>
        <tr r="A5" s="29"/>
      </tp>
      <tp t="e">
        <v>#N/A</v>
        <stp/>
        <stp>BDS|17657712999055729650</stp>
        <tr r="AJ5" s="47"/>
      </tp>
      <tp t="e">
        <v>#N/A</v>
        <stp/>
        <stp>BDS|14015997045595607678</stp>
        <tr r="LD5" s="30"/>
      </tp>
      <tp t="e">
        <v>#N/A</v>
        <stp/>
        <stp>BDS|13433432633638054699</stp>
        <tr r="CW5" s="46"/>
      </tp>
      <tp t="e">
        <v>#N/A</v>
        <stp/>
        <stp>BDS|15384873017483851562</stp>
        <tr r="BI5" s="20"/>
      </tp>
      <tp t="e">
        <v>#N/A</v>
        <stp/>
        <stp>BDS|16261612535361891836</stp>
        <tr r="GS5" s="32"/>
      </tp>
      <tp t="e">
        <v>#N/A</v>
        <stp/>
        <stp>BDS|13174065367647420899</stp>
        <tr r="MM5" s="107"/>
      </tp>
      <tp t="e">
        <v>#N/A</v>
        <stp/>
        <stp>BDS|11357861679700995486</stp>
        <tr r="DB5" s="24"/>
      </tp>
      <tp t="e">
        <v>#N/A</v>
        <stp/>
        <stp>BDS|17897536685158748848</stp>
        <tr r="FY5" s="50"/>
      </tp>
      <tp t="e">
        <v>#N/A</v>
        <stp/>
        <stp>BDS|18377686029776678090</stp>
        <tr r="HH5" s="96"/>
      </tp>
      <tp t="e">
        <v>#N/A</v>
        <stp/>
        <stp>BDS|15806982871126505794</stp>
        <tr r="DB5" s="88"/>
      </tp>
      <tp t="e">
        <v>#N/A</v>
        <stp/>
        <stp>BDS|17875547284133105346</stp>
        <tr r="HR5" s="59"/>
      </tp>
      <tp t="e">
        <v>#N/A</v>
        <stp/>
        <stp>BDS|17931850798938179488</stp>
        <tr r="HH5" s="18"/>
      </tp>
      <tp t="e">
        <v>#N/A</v>
        <stp/>
        <stp>BDS|10275515586721784606</stp>
        <tr r="CW5" s="82"/>
      </tp>
      <tp t="e">
        <v>#N/A</v>
        <stp/>
        <stp>BDS|11972630791451891514</stp>
        <tr r="NB5" s="36"/>
      </tp>
      <tp t="e">
        <v>#N/A</v>
        <stp/>
        <stp>BDS|18075406965622432237</stp>
        <tr r="NL5" s="14"/>
      </tp>
      <tp t="e">
        <v>#N/A</v>
        <stp/>
        <stp>BDS|18372565144051798248</stp>
        <tr r="AY5" s="90"/>
      </tp>
      <tp t="e">
        <v>#N/A</v>
        <stp/>
        <stp>BDS|14122044481711491729</stp>
        <tr r="EK5" s="80"/>
      </tp>
      <tp t="e">
        <v>#N/A</v>
        <stp/>
        <stp>BDS|11746161087854596614</stp>
        <tr r="FT5" s="42"/>
      </tp>
      <tp t="e">
        <v>#N/A</v>
        <stp/>
        <stp>BDS|13352767381524076260</stp>
        <tr r="AT5" s="34"/>
      </tp>
      <tp t="e">
        <v>#N/A</v>
        <stp/>
        <stp>BDS|10166476854213201825</stp>
        <tr r="MH5" s="67"/>
      </tp>
      <tp t="e">
        <v>#N/A</v>
        <stp/>
        <stp>BDS|12057092923793803905</stp>
        <tr r="DQ5" s="120"/>
      </tp>
      <tp t="e">
        <v>#N/A</v>
        <stp/>
        <stp>BDS|11326026058736220895</stp>
        <tr r="F5" s="110"/>
      </tp>
      <tp t="e">
        <v>#N/A</v>
        <stp/>
        <stp>BDS|10207660882694654027</stp>
        <tr r="CM5" s="81"/>
      </tp>
      <tp t="e">
        <v>#N/A</v>
        <stp/>
        <stp>BDS|12162266062519111560</stp>
        <tr r="A5" s="24"/>
      </tp>
      <tp t="e">
        <v>#N/A</v>
        <stp/>
        <stp>BDS|15338068394537626147</stp>
        <tr r="EK5" s="121"/>
      </tp>
      <tp t="e">
        <v>#N/A</v>
        <stp/>
        <stp>BDS|10464914246642271528</stp>
        <tr r="Z5" s="105"/>
      </tp>
      <tp t="e">
        <v>#N/A</v>
        <stp/>
        <stp>BDS|14234602279087133898</stp>
        <tr r="BI5" s="43"/>
      </tp>
      <tp t="e">
        <v>#N/A</v>
        <stp/>
        <stp>BDS|13277745842763176968</stp>
        <tr r="NG5" s="66"/>
      </tp>
      <tp t="e">
        <v>#N/A</v>
        <stp/>
        <stp>BDS|10300868817595315626</stp>
        <tr r="LX5" s="117"/>
      </tp>
      <tp t="e">
        <v>#N/A</v>
        <stp/>
        <stp>BDS|16285559882615188475</stp>
        <tr r="BD5" s="60"/>
      </tp>
      <tp t="e">
        <v>#N/A</v>
        <stp/>
        <stp>BDS|11531314851049776419</stp>
        <tr r="JK5" s="103"/>
      </tp>
      <tp t="e">
        <v>#N/A</v>
        <stp/>
        <stp>BDS|14628955412616684041</stp>
        <tr r="CH5" s="79"/>
      </tp>
      <tp t="e">
        <v>#N/A</v>
        <stp/>
        <stp>BDS|12872136555878808456</stp>
        <tr r="IB5" s="71"/>
      </tp>
      <tp t="e">
        <v>#N/A</v>
        <stp/>
        <stp>BDS|16556513195946542675</stp>
        <tr r="JZ5" s="79"/>
      </tp>
      <tp t="e">
        <v>#N/A</v>
        <stp/>
        <stp>BDS|16529148725126539924</stp>
        <tr r="DV5" s="57"/>
      </tp>
      <tp t="e">
        <v>#N/A</v>
        <stp/>
        <stp>BDS|17375764375929451473</stp>
        <tr r="EZ5" s="100"/>
      </tp>
      <tp t="e">
        <v>#N/A</v>
        <stp/>
        <stp>BDS|12544669403259189725</stp>
        <tr r="NQ5" s="5"/>
      </tp>
      <tp t="e">
        <v>#N/A</v>
        <stp/>
        <stp>BDS|14145780364229843660</stp>
        <tr r="OF5" s="71"/>
      </tp>
      <tp t="e">
        <v>#N/A</v>
        <stp/>
        <stp>BDS|11272651328069815645</stp>
        <tr r="AE5" s="58"/>
      </tp>
      <tp t="e">
        <v>#N/A</v>
        <stp/>
        <stp>BDS|12596224797453513069</stp>
        <tr r="Z5" s="48"/>
      </tp>
      <tp t="e">
        <v>#N/A</v>
        <stp/>
        <stp>BDS|15853937007511911767</stp>
        <tr r="BN5" s="101"/>
      </tp>
      <tp t="e">
        <v>#N/A</v>
        <stp/>
        <stp>BDS|16818749084836231593</stp>
        <tr r="EK5" s="26"/>
      </tp>
      <tp t="e">
        <v>#N/A</v>
        <stp/>
        <stp>BDS|13073216784404161774</stp>
        <tr r="JK5" s="26"/>
      </tp>
      <tp t="e">
        <v>#N/A</v>
        <stp/>
        <stp>BDS|11656061150136120820</stp>
        <tr r="FE5" s="107"/>
      </tp>
      <tp t="e">
        <v>#N/A</v>
        <stp/>
        <stp>BDS|14104415258269361686</stp>
        <tr r="HM5" s="102"/>
      </tp>
      <tp t="e">
        <v>#N/A</v>
        <stp/>
        <stp>BDS|12542382437701964900</stp>
        <tr r="MM5" s="73"/>
      </tp>
      <tp t="e">
        <v>#N/A</v>
        <stp/>
        <stp>BDS|14204886331651101495</stp>
        <tr r="DL5" s="111"/>
      </tp>
      <tp t="e">
        <v>#N/A</v>
        <stp/>
        <stp>BDS|14101941374658459866</stp>
        <tr r="CC5" s="53"/>
      </tp>
      <tp t="e">
        <v>#N/A</v>
        <stp/>
        <stp>BDS|13382868434211342312</stp>
        <tr r="CC5" s="106"/>
      </tp>
      <tp t="e">
        <v>#N/A</v>
        <stp/>
        <stp>BDS|14793729410209177171</stp>
        <tr r="LN5" s="45"/>
      </tp>
      <tp t="e">
        <v>#N/A</v>
        <stp/>
        <stp>BDS|10994085388296803414</stp>
        <tr r="OF5" s="86"/>
      </tp>
      <tp t="e">
        <v>#N/A</v>
        <stp/>
        <stp>BDS|16922967943765800448</stp>
        <tr r="NV5" s="32"/>
      </tp>
      <tp t="e">
        <v>#N/A</v>
        <stp/>
        <stp>BDS|12464060683339586947</stp>
        <tr r="NL5" s="121"/>
      </tp>
      <tp t="e">
        <v>#N/A</v>
        <stp/>
        <stp>BDS|11820917018453587040</stp>
        <tr r="MH5" s="69"/>
      </tp>
      <tp t="e">
        <v>#N/A</v>
        <stp/>
        <stp>BDS|10713353345088027578</stp>
        <tr r="CC5" s="11"/>
      </tp>
      <tp t="e">
        <v>#N/A</v>
        <stp/>
        <stp>BDS|10585889188708383266</stp>
        <tr r="AO5" s="71"/>
      </tp>
      <tp t="e">
        <v>#N/A</v>
        <stp/>
        <stp>BDS|17452631096723797162</stp>
        <tr r="MC5" s="8"/>
      </tp>
      <tp t="e">
        <v>#N/A</v>
        <stp/>
        <stp>BDS|15562544713902354916</stp>
        <tr r="NQ5" s="43"/>
      </tp>
      <tp t="e">
        <v>#N/A</v>
        <stp/>
        <stp>BDS|15425852107593491423</stp>
        <tr r="GD5" s="68"/>
      </tp>
      <tp t="e">
        <v>#N/A</v>
        <stp/>
        <stp>BDS|15463575389650986232</stp>
        <tr r="DB5" s="66"/>
      </tp>
      <tp t="e">
        <v>#N/A</v>
        <stp/>
        <stp>BDS|10278379183297726610</stp>
        <tr r="IB5" s="49"/>
      </tp>
      <tp t="e">
        <v>#N/A</v>
        <stp/>
        <stp>BDS|17771564462996202818</stp>
        <tr r="CC5" s="111"/>
      </tp>
      <tp t="e">
        <v>#N/A</v>
        <stp/>
        <stp>BDS|16466502974457363930</stp>
        <tr r="GD5" s="109"/>
      </tp>
      <tp t="e">
        <v>#N/A</v>
        <stp/>
        <stp>BDS|12370152886200090108</stp>
        <tr r="BI5" s="112"/>
      </tp>
      <tp t="e">
        <v>#N/A</v>
        <stp/>
        <stp>BDS|11743116631258435137</stp>
        <tr r="CM5" s="2"/>
      </tp>
      <tp t="e">
        <v>#N/A</v>
        <stp/>
        <stp>BDS|15292544242459624730</stp>
        <tr r="JU5" s="33"/>
      </tp>
      <tp t="e">
        <v>#N/A</v>
        <stp/>
        <stp>BDS|13498820854081131526</stp>
        <tr r="EA5" s="81"/>
      </tp>
      <tp t="e">
        <v>#N/A</v>
        <stp/>
        <stp>BDS|16771236161178119050</stp>
        <tr r="BX5" s="110"/>
      </tp>
      <tp t="e">
        <v>#N/A</v>
        <stp/>
        <stp>BDS|10527322486654375536</stp>
        <tr r="P5" s="89"/>
      </tp>
      <tp t="e">
        <v>#N/A</v>
        <stp/>
        <stp>BDS|11459527272160478912</stp>
        <tr r="MM5" s="49"/>
      </tp>
      <tp t="e">
        <v>#N/A</v>
        <stp/>
        <stp>BDS|12999898262865195325</stp>
        <tr r="JF5" s="91"/>
      </tp>
      <tp t="e">
        <v>#N/A</v>
        <stp/>
        <stp>BDS|10936561600908771799</stp>
        <tr r="IV5" s="62"/>
      </tp>
      <tp t="e">
        <v>#N/A</v>
        <stp/>
        <stp>BDS|15095034663359325029</stp>
        <tr r="FJ5" s="110"/>
      </tp>
      <tp t="e">
        <v>#N/A</v>
        <stp/>
        <stp>BDS|17502224680386703113</stp>
        <tr r="MR5" s="61"/>
      </tp>
      <tp t="e">
        <v>#N/A</v>
        <stp/>
        <stp>BDS|15803777328452621879</stp>
        <tr r="LX5" s="123"/>
      </tp>
      <tp t="e">
        <v>#N/A</v>
        <stp/>
        <stp>BDS|10321410196633589473</stp>
        <tr r="CH5" s="80"/>
      </tp>
      <tp t="e">
        <v>#N/A</v>
        <stp/>
        <stp>BDS|16658525967179782626</stp>
        <tr r="JU5" s="73"/>
      </tp>
      <tp t="e">
        <v>#N/A</v>
        <stp/>
        <stp>BDS|17794514278269822603</stp>
        <tr r="HR5" s="36"/>
      </tp>
      <tp t="e">
        <v>#N/A</v>
        <stp/>
        <stp>BDS|11351131211632088977</stp>
        <tr r="OF5" s="117"/>
      </tp>
      <tp t="e">
        <v>#N/A</v>
        <stp/>
        <stp>BDS|10929198993650621233</stp>
        <tr r="HR5" s="67"/>
      </tp>
      <tp t="e">
        <v>#N/A</v>
        <stp/>
        <stp>BDS|18328417326214615044</stp>
        <tr r="GS5" s="63"/>
      </tp>
      <tp t="e">
        <v>#N/A</v>
        <stp/>
        <stp>BDS|15301858946415744619</stp>
        <tr r="K5" s="78"/>
      </tp>
      <tp t="e">
        <v>#N/A</v>
        <stp/>
        <stp>BDS|10339977219887392584</stp>
        <tr r="GS5" s="68"/>
      </tp>
      <tp t="e">
        <v>#N/A</v>
        <stp/>
        <stp>BDS|14575548642917031854</stp>
        <tr r="MR5" s="117"/>
      </tp>
      <tp t="e">
        <v>#N/A</v>
        <stp/>
        <stp>BDS|17152862920940892797</stp>
        <tr r="OA5" s="42"/>
      </tp>
      <tp t="e">
        <v>#N/A</v>
        <stp/>
        <stp>BDS|18143292808243055361</stp>
        <tr r="LX5" s="14"/>
      </tp>
      <tp t="e">
        <v>#N/A</v>
        <stp/>
        <stp>BDS|14962661638149157203</stp>
        <tr r="AO5" s="86"/>
      </tp>
      <tp t="e">
        <v>#N/A</v>
        <stp/>
        <stp>BDS|12441824908123846303</stp>
        <tr r="KO5" s="29"/>
      </tp>
      <tp t="e">
        <v>#N/A</v>
        <stp/>
        <stp>BDS|11424716650048413173</stp>
        <tr r="EA5" s="70"/>
      </tp>
      <tp t="e">
        <v>#N/A</v>
        <stp/>
        <stp>BDS|15770623516661242972</stp>
        <tr r="MR5" s="11"/>
      </tp>
      <tp t="e">
        <v>#N/A</v>
        <stp/>
        <stp>BDS|16373741322089380014</stp>
        <tr r="OA5" s="19"/>
      </tp>
      <tp t="e">
        <v>#N/A</v>
        <stp/>
        <stp>BDS|11429938711682311127</stp>
        <tr r="OF5" s="73"/>
      </tp>
      <tp t="e">
        <v>#N/A</v>
        <stp/>
        <stp>BDS|18163162712655337718</stp>
        <tr r="CM5" s="9"/>
      </tp>
      <tp t="e">
        <v>#N/A</v>
        <stp/>
        <stp>BDS|14477408734330366945</stp>
        <tr r="AE5" s="34"/>
      </tp>
      <tp t="e">
        <v>#N/A</v>
        <stp/>
        <stp>BDS|13147023055838080418</stp>
        <tr r="MW5" s="101"/>
      </tp>
      <tp t="e">
        <v>#N/A</v>
        <stp/>
        <stp>BDS|10633884320090134088</stp>
        <tr r="LD5" s="91"/>
      </tp>
      <tp t="e">
        <v>#N/A</v>
        <stp/>
        <stp>BDS|15434078681083138444</stp>
        <tr r="KE5" s="86"/>
      </tp>
      <tp t="e">
        <v>#N/A</v>
        <stp/>
        <stp>BDS|17983506071748745781</stp>
        <tr r="DL5" s="122"/>
      </tp>
      <tp t="e">
        <v>#N/A</v>
        <stp/>
        <stp>BDS|16181573284802527302</stp>
        <tr r="BN5" s="43"/>
      </tp>
      <tp t="e">
        <v>#N/A</v>
        <stp/>
        <stp>BDS|10905437018669669637</stp>
        <tr r="LD5" s="71"/>
      </tp>
      <tp t="e">
        <v>#N/A</v>
        <stp/>
        <stp>BDS|14555646198709751891</stp>
        <tr r="GX5" s="93"/>
      </tp>
      <tp t="e">
        <v>#N/A</v>
        <stp/>
        <stp>BDS|15140340877409408210</stp>
        <tr r="DB5" s="21"/>
      </tp>
      <tp t="e">
        <v>#N/A</v>
        <stp/>
        <stp>BDS|11202676062163257822</stp>
        <tr r="JK5" s="2"/>
      </tp>
      <tp t="e">
        <v>#N/A</v>
        <stp/>
        <stp>BDS|13086849835745668700</stp>
        <tr r="LS5" s="23"/>
      </tp>
      <tp t="e">
        <v>#N/A</v>
        <stp/>
        <stp>BDS|12533837247493557732</stp>
        <tr r="Z5" s="55"/>
      </tp>
      <tp t="e">
        <v>#N/A</v>
        <stp/>
        <stp>BDS|15299508975359651462</stp>
        <tr r="MC5" s="57"/>
      </tp>
      <tp t="e">
        <v>#N/A</v>
        <stp/>
        <stp>BDS|10791708615879503532</stp>
        <tr r="KT5" s="122"/>
      </tp>
      <tp t="e">
        <v>#N/A</v>
        <stp/>
        <stp>BDS|12166835102214597411</stp>
        <tr r="EA5" s="25"/>
      </tp>
      <tp t="e">
        <v>#N/A</v>
        <stp/>
        <stp>BDS|10855736509699685402</stp>
        <tr r="P5" s="84"/>
      </tp>
      <tp t="e">
        <v>#N/A</v>
        <stp/>
        <stp>BDS|17079812745158591952</stp>
        <tr r="AJ5" s="88"/>
      </tp>
      <tp t="e">
        <v>#N/A</v>
        <stp/>
        <stp>BDS|16646122883802315701</stp>
        <tr r="BN5" s="58"/>
      </tp>
      <tp t="e">
        <v>#N/A</v>
        <stp/>
        <stp>BDS|14003994374402883214</stp>
        <tr r="EA5" s="41"/>
      </tp>
      <tp t="e">
        <v>#N/A</v>
        <stp/>
        <stp>BDS|11469708123756520868</stp>
        <tr r="CH5" s="94"/>
      </tp>
      <tp t="e">
        <v>#N/A</v>
        <stp/>
        <stp>BDS|13185822544803456674</stp>
        <tr r="MH5" s="17"/>
      </tp>
      <tp t="e">
        <v>#N/A</v>
        <stp/>
        <stp>BDS|17511732864704154873</stp>
        <tr r="IB5" s="123"/>
      </tp>
      <tp t="e">
        <v>#N/A</v>
        <stp/>
        <stp>BDS|17904340264268838053</stp>
        <tr r="FO5" s="44"/>
      </tp>
      <tp t="e">
        <v>#N/A</v>
        <stp/>
        <stp>BDS|18058859210313443859</stp>
        <tr r="AJ5" s="24"/>
      </tp>
      <tp t="e">
        <v>#N/A</v>
        <stp/>
        <stp>BDS|15979826323501509496</stp>
        <tr r="EZ5" s="120"/>
      </tp>
      <tp t="e">
        <v>#N/A</v>
        <stp/>
        <stp>BDS|10356616987171149507</stp>
        <tr r="EP5" s="99"/>
      </tp>
      <tp t="e">
        <v>#N/A</v>
        <stp/>
        <stp>BDS|17609236370981363928</stp>
        <tr r="EZ5" s="29"/>
      </tp>
      <tp t="e">
        <v>#N/A</v>
        <stp/>
        <stp>BDS|12665462127628210614</stp>
        <tr r="KJ5" s="109"/>
      </tp>
      <tp t="e">
        <v>#N/A</v>
        <stp/>
        <stp>BDS|17785938431456105103</stp>
        <tr r="F5" s="71"/>
      </tp>
      <tp t="e">
        <v>#N/A</v>
        <stp/>
        <stp>BDS|13492611406439790600</stp>
        <tr r="DG5" s="49"/>
      </tp>
      <tp t="e">
        <v>#N/A</v>
        <stp/>
        <stp>BDS|13704605127188419500</stp>
        <tr r="EA5" s="101"/>
      </tp>
      <tp t="e">
        <v>#N/A</v>
        <stp/>
        <stp>BDS|13283843530645585770</stp>
        <tr r="EF5" s="25"/>
      </tp>
      <tp t="e">
        <v>#N/A</v>
        <stp/>
        <stp>BDS|13707957363532109458</stp>
        <tr r="NQ5" s="31"/>
      </tp>
      <tp t="e">
        <v>#N/A</v>
        <stp/>
        <stp>BDS|14592594051937060988</stp>
        <tr r="NB5" s="2"/>
      </tp>
      <tp t="e">
        <v>#N/A</v>
        <stp/>
        <stp>BDS|10379657476193784820</stp>
        <tr r="BS5" s="124"/>
      </tp>
      <tp t="e">
        <v>#N/A</v>
        <stp/>
        <stp>BDS|18284617245525504562</stp>
        <tr r="MW5" s="46"/>
      </tp>
      <tp t="e">
        <v>#N/A</v>
        <stp/>
        <stp>BDS|17369800901403798605</stp>
        <tr r="BX5" s="21"/>
      </tp>
      <tp t="e">
        <v>#N/A</v>
        <stp/>
        <stp>BDS|10555370072269416714</stp>
        <tr r="GI5" s="36"/>
      </tp>
      <tp t="e">
        <v>#N/A</v>
        <stp/>
        <stp>BDS|15129586706409389399</stp>
        <tr r="HR5" s="118"/>
      </tp>
      <tp t="e">
        <v>#N/A</v>
        <stp/>
        <stp>BDS|13949919791879971052</stp>
        <tr r="FY5" s="123"/>
      </tp>
      <tp t="e">
        <v>#N/A</v>
        <stp/>
        <stp>BDS|12536820975427609017</stp>
        <tr r="BS5" s="77"/>
      </tp>
      <tp t="e">
        <v>#N/A</v>
        <stp/>
        <stp>BDS|17375511496912187307</stp>
        <tr r="LD5" s="96"/>
      </tp>
      <tp t="e">
        <v>#N/A</v>
        <stp/>
        <stp>BDS|11441563392053147443</stp>
        <tr r="JU5" s="94"/>
      </tp>
      <tp t="e">
        <v>#N/A</v>
        <stp/>
        <stp>BDS|11624729415959653421</stp>
        <tr r="NQ5" s="101"/>
      </tp>
      <tp t="e">
        <v>#N/A</v>
        <stp/>
        <stp>BDS|14210773696435724512</stp>
        <tr r="AO5" s="103"/>
      </tp>
      <tp t="e">
        <v>#N/A</v>
        <stp/>
        <stp>BDS|14747052190765503227</stp>
        <tr r="AE5" s="67"/>
      </tp>
      <tp t="e">
        <v>#N/A</v>
        <stp/>
        <stp>BDS|15074706293741359056</stp>
        <tr r="LI5" s="96"/>
      </tp>
      <tp t="e">
        <v>#N/A</v>
        <stp/>
        <stp>BDS|16799599946069542481</stp>
        <tr r="EK5" s="70"/>
      </tp>
      <tp t="e">
        <v>#N/A</v>
        <stp/>
        <stp>BDS|15946994126351445573</stp>
        <tr r="KO5" s="14"/>
      </tp>
      <tp t="e">
        <v>#N/A</v>
        <stp/>
        <stp>BDS|12433973474452373417</stp>
        <tr r="GS5" s="76"/>
      </tp>
      <tp t="e">
        <v>#N/A</v>
        <stp/>
        <stp>BDS|13202787645722638939</stp>
        <tr r="JP5" s="93"/>
      </tp>
      <tp t="e">
        <v>#N/A</v>
        <stp/>
        <stp>BDS|18087981204358338253</stp>
        <tr r="JU5" s="3"/>
      </tp>
      <tp t="e">
        <v>#N/A</v>
        <stp/>
        <stp>BDS|13275838129763708152</stp>
        <tr r="FY5" s="12"/>
      </tp>
      <tp t="e">
        <v>#N/A</v>
        <stp/>
        <stp>BDS|16421368798501801686</stp>
        <tr r="Z5" s="31"/>
      </tp>
      <tp t="e">
        <v>#N/A</v>
        <stp/>
        <stp>BDS|11689876538232753341</stp>
        <tr r="NQ5" s="112"/>
      </tp>
      <tp t="e">
        <v>#N/A</v>
        <stp/>
        <stp>BDS|18302957687213284195</stp>
        <tr r="CC5" s="27"/>
      </tp>
      <tp t="e">
        <v>#N/A</v>
        <stp/>
        <stp>BDS|14856395699706583377</stp>
        <tr r="BD5" s="105"/>
      </tp>
      <tp t="e">
        <v>#N/A</v>
        <stp/>
        <stp>BDS|10661671129866714951</stp>
        <tr r="DV5" s="114"/>
      </tp>
      <tp t="e">
        <v>#N/A</v>
        <stp/>
        <stp>BDS|13172664363470725898</stp>
        <tr r="IL5" s="65"/>
      </tp>
      <tp t="e">
        <v>#N/A</v>
        <stp/>
        <stp>BDS|18052082032135712576</stp>
        <tr r="JZ5" s="49"/>
      </tp>
      <tp t="e">
        <v>#N/A</v>
        <stp/>
        <stp>BDS|12828280443546070990</stp>
        <tr r="OF5" s="29"/>
      </tp>
      <tp t="e">
        <v>#N/A</v>
        <stp/>
        <stp>BDS|17059378789737685039</stp>
        <tr r="HH5" s="85"/>
      </tp>
      <tp t="e">
        <v>#N/A</v>
        <stp/>
        <stp>BDS|15328070399012009568</stp>
        <tr r="A5" s="115"/>
      </tp>
      <tp t="e">
        <v>#N/A</v>
        <stp/>
        <stp>BDS|11977586986785480287</stp>
        <tr r="AJ5" s="68"/>
      </tp>
      <tp t="e">
        <v>#N/A</v>
        <stp/>
        <stp>BDS|11009646829606592836</stp>
        <tr r="MW5" s="60"/>
      </tp>
      <tp t="e">
        <v>#N/A</v>
        <stp/>
        <stp>BDS|17749567899222360208</stp>
        <tr r="FT5" s="114"/>
      </tp>
      <tp t="e">
        <v>#N/A</v>
        <stp/>
        <stp>BDS|17584438489483038349</stp>
        <tr r="GD5" s="32"/>
      </tp>
      <tp t="e">
        <v>#N/A</v>
        <stp/>
        <stp>BDS|14475524482664918669</stp>
        <tr r="JA5" s="31"/>
      </tp>
      <tp t="e">
        <v>#N/A</v>
        <stp/>
        <stp>BDS|12611072308621216806</stp>
        <tr r="KE5" s="3"/>
      </tp>
      <tp t="e">
        <v>#N/A</v>
        <stp/>
        <stp>BDS|11031688781814375016</stp>
        <tr r="A5" s="51"/>
      </tp>
      <tp t="e">
        <v>#N/A</v>
        <stp/>
        <stp>BDS|12623587796286434374</stp>
        <tr r="BX5" s="49"/>
      </tp>
      <tp t="e">
        <v>#N/A</v>
        <stp/>
        <stp>BDS|15511420398004281769</stp>
        <tr r="FJ5" s="24"/>
      </tp>
      <tp t="e">
        <v>#N/A</v>
        <stp/>
        <stp>BDS|18088201186150890956</stp>
        <tr r="K5" s="32"/>
      </tp>
      <tp t="e">
        <v>#N/A</v>
        <stp/>
        <stp>BDS|14414153079409442075</stp>
        <tr r="NQ5" s="87"/>
      </tp>
      <tp t="e">
        <v>#N/A</v>
        <stp/>
        <stp>BDS|11827750102795528812</stp>
        <tr r="AY5" s="92"/>
      </tp>
      <tp t="e">
        <v>#N/A</v>
        <stp/>
        <stp>BDS|16370694591802318001</stp>
        <tr r="IL5" s="21"/>
      </tp>
      <tp t="e">
        <v>#N/A</v>
        <stp/>
        <stp>BDS|15769852775808905967</stp>
        <tr r="BN5" s="3"/>
      </tp>
      <tp t="e">
        <v>#N/A</v>
        <stp/>
        <stp>BDS|18243253860984923367</stp>
        <tr r="OF5" s="81"/>
      </tp>
      <tp t="e">
        <v>#N/A</v>
        <stp/>
        <stp>BDS|10085891401845981693</stp>
        <tr r="KE5" s="59"/>
      </tp>
      <tp t="e">
        <v>#N/A</v>
        <stp/>
        <stp>BDS|13558298796063749053</stp>
        <tr r="LN5" s="83"/>
      </tp>
      <tp t="e">
        <v>#N/A</v>
        <stp/>
        <stp>BDS|18153628878620555266</stp>
        <tr r="JZ5" s="78"/>
      </tp>
      <tp t="e">
        <v>#N/A</v>
        <stp/>
        <stp>BDS|11133699980672536657</stp>
        <tr r="CC5" s="83"/>
      </tp>
      <tp t="e">
        <v>#N/A</v>
        <stp/>
        <stp>BDS|11229810320797911726</stp>
        <tr r="IB5" s="61"/>
      </tp>
      <tp t="e">
        <v>#N/A</v>
        <stp/>
        <stp>BDS|13483586697550735449</stp>
        <tr r="GS5" s="5"/>
      </tp>
      <tp t="e">
        <v>#N/A</v>
        <stp/>
        <stp>BDS|14386022916897766985</stp>
        <tr r="LN5" s="104"/>
      </tp>
      <tp t="e">
        <v>#N/A</v>
        <stp/>
        <stp>BDS|10129386120508273230</stp>
        <tr r="MR5" s="67"/>
      </tp>
      <tp t="e">
        <v>#N/A</v>
        <stp/>
        <stp>BDS|17605807209107751305</stp>
        <tr r="A5" s="10"/>
      </tp>
      <tp t="e">
        <v>#N/A</v>
        <stp/>
        <stp>BDS|15701494774128761556</stp>
        <tr r="HW5" s="94"/>
      </tp>
      <tp t="e">
        <v>#N/A</v>
        <stp/>
        <stp>BDS|18292563764397846717</stp>
        <tr r="KE5" s="117"/>
      </tp>
      <tp t="e">
        <v>#N/A</v>
        <stp/>
        <stp>BDS|14934368597153850696</stp>
        <tr r="DL5" s="84"/>
      </tp>
      <tp t="e">
        <v>#N/A</v>
        <stp/>
        <stp>BDS|17337582250975436963</stp>
        <tr r="JF5" s="103"/>
      </tp>
      <tp t="e">
        <v>#N/A</v>
        <stp/>
        <stp>BDS|16775785907272786867</stp>
        <tr r="LS5" s="125"/>
      </tp>
      <tp t="e">
        <v>#N/A</v>
        <stp/>
        <stp>BDS|13724451288492732649</stp>
        <tr r="AE5" s="72"/>
      </tp>
      <tp t="e">
        <v>#N/A</v>
        <stp/>
        <stp>BDS|16690728519163523811</stp>
        <tr r="NG5" s="47"/>
      </tp>
      <tp t="e">
        <v>#N/A</v>
        <stp/>
        <stp>BDS|15612358248778780154</stp>
        <tr r="KY5" s="4"/>
      </tp>
      <tp t="e">
        <v>#N/A</v>
        <stp/>
        <stp>BDS|18342457279747363753</stp>
        <tr r="NB5" s="9"/>
      </tp>
      <tp t="e">
        <v>#N/A</v>
        <stp/>
        <stp>BDS|13246963468340745721</stp>
        <tr r="FE5" s="49"/>
      </tp>
      <tp t="e">
        <v>#N/A</v>
        <stp/>
        <stp>BDS|14207802634871724589</stp>
        <tr r="NG5" s="113"/>
      </tp>
      <tp t="e">
        <v>#N/A</v>
        <stp/>
        <stp>BDS|11666473449702241836</stp>
        <tr r="EF5" s="79"/>
      </tp>
      <tp t="e">
        <v>#N/A</v>
        <stp/>
        <stp>BDS|17329458778476791900</stp>
        <tr r="AE5" s="8"/>
      </tp>
      <tp t="e">
        <v>#N/A</v>
        <stp/>
        <stp>BDS|14828641218968993038</stp>
        <tr r="AJ5" s="96"/>
      </tp>
      <tp t="e">
        <v>#N/A</v>
        <stp/>
        <stp>BDS|10499643577709973303</stp>
        <tr r="JU5" s="42"/>
      </tp>
      <tp t="e">
        <v>#N/A</v>
        <stp/>
        <stp>BDS|12604000792810303091</stp>
        <tr r="DV5" s="74"/>
      </tp>
      <tp t="e">
        <v>#N/A</v>
        <stp/>
        <stp>BDS|16720198162663275902</stp>
        <tr r="KY5" s="25"/>
      </tp>
      <tp t="e">
        <v>#N/A</v>
        <stp/>
        <stp>BDS|12143151423288068299</stp>
        <tr r="LI5" s="48"/>
      </tp>
      <tp t="e">
        <v>#N/A</v>
        <stp/>
        <stp>BDS|16202516763936813861</stp>
        <tr r="EP5" s="119"/>
      </tp>
      <tp t="e">
        <v>#N/A</v>
        <stp/>
        <stp>BDS|14240649193483251392</stp>
        <tr r="BX5" s="2"/>
      </tp>
      <tp t="e">
        <v>#N/A</v>
        <stp/>
        <stp>BDS|12875902462497450109</stp>
        <tr r="CW5" s="26"/>
      </tp>
      <tp t="e">
        <v>#N/A</v>
        <stp/>
        <stp>BDS|11194228883087750799</stp>
        <tr r="U5" s="94"/>
      </tp>
      <tp t="e">
        <v>#N/A</v>
        <stp/>
        <stp>BDS|15574505389317482464</stp>
        <tr r="AE5" s="22"/>
      </tp>
      <tp t="e">
        <v>#N/A</v>
        <stp/>
        <stp>BDS|10881877931388508850</stp>
        <tr r="KT5" s="63"/>
      </tp>
      <tp t="e">
        <v>#N/A</v>
        <stp/>
        <stp>BDS|14871065234765078940</stp>
        <tr r="AT5" s="83"/>
      </tp>
      <tp t="e">
        <v>#N/A</v>
        <stp/>
        <stp>BDS|13716717498171973792</stp>
        <tr r="DQ5" s="29"/>
      </tp>
      <tp t="e">
        <v>#N/A</v>
        <stp/>
        <stp>BDS|16973434665428045712</stp>
        <tr r="MH5" s="94"/>
      </tp>
      <tp t="e">
        <v>#N/A</v>
        <stp/>
        <stp>BDS|14920185586636812010</stp>
        <tr r="NL5" s="107"/>
      </tp>
      <tp t="e">
        <v>#N/A</v>
        <stp/>
        <stp>BDS|17204495683320364050</stp>
        <tr r="BN5" s="30"/>
      </tp>
      <tp t="e">
        <v>#N/A</v>
        <stp/>
        <stp>BDS|12295118452664750982</stp>
        <tr r="FT5" s="89"/>
      </tp>
      <tp t="e">
        <v>#N/A</v>
        <stp/>
        <stp>BDS|18178512014157821020</stp>
        <tr r="JA5" s="24"/>
      </tp>
      <tp t="e">
        <v>#N/A</v>
        <stp/>
        <stp>BDS|16033017715425933935</stp>
        <tr r="MC5" s="78"/>
      </tp>
      <tp t="e">
        <v>#N/A</v>
        <stp/>
        <stp>BDS|13121822679645526210</stp>
        <tr r="EU5" s="99"/>
      </tp>
      <tp t="e">
        <v>#N/A</v>
        <stp/>
        <stp>BDS|11214940465457874256</stp>
        <tr r="MW5" s="76"/>
      </tp>
      <tp t="e">
        <v>#N/A</v>
        <stp/>
        <stp>BDS|14548493650038246619</stp>
        <tr r="NV5" s="15"/>
      </tp>
      <tp t="e">
        <v>#N/A</v>
        <stp/>
        <stp>BDS|16193895174135709744</stp>
        <tr r="CR5" s="37"/>
      </tp>
      <tp t="e">
        <v>#N/A</v>
        <stp/>
        <stp>BDS|12747997234872517103</stp>
        <tr r="MR5" s="68"/>
      </tp>
      <tp t="e">
        <v>#N/A</v>
        <stp/>
        <stp>BDS|10354545404476984855</stp>
        <tr r="BX5" s="46"/>
      </tp>
      <tp t="e">
        <v>#N/A</v>
        <stp/>
        <stp>BDS|10516296195455027569</stp>
        <tr r="EA5" s="55"/>
      </tp>
      <tp t="e">
        <v>#N/A</v>
        <stp/>
        <stp>BDS|11306589790730061640</stp>
        <tr r="EA5" s="73"/>
      </tp>
      <tp t="e">
        <v>#N/A</v>
        <stp/>
        <stp>BDS|15504680796199666829</stp>
        <tr r="IV5" s="109"/>
      </tp>
      <tp t="e">
        <v>#N/A</v>
        <stp/>
        <stp>BDS|15635708516678841077</stp>
        <tr r="KJ5" s="60"/>
      </tp>
      <tp t="e">
        <v>#N/A</v>
        <stp/>
        <stp>BDS|15480130816548653685</stp>
        <tr r="FY5" s="10"/>
      </tp>
      <tp t="e">
        <v>#N/A</v>
        <stp/>
        <stp>BDS|11278134499236397445</stp>
        <tr r="AE5" s="106"/>
      </tp>
      <tp t="e">
        <v>#N/A</v>
        <stp/>
        <stp>BDS|11716682797205484035</stp>
        <tr r="KY5" s="78"/>
      </tp>
      <tp t="e">
        <v>#N/A</v>
        <stp/>
        <stp>BDS|12999635716217019933</stp>
        <tr r="CM5" s="62"/>
      </tp>
      <tp t="e">
        <v>#N/A</v>
        <stp/>
        <stp>BDS|16076688288625890673</stp>
        <tr r="IB5" s="60"/>
      </tp>
      <tp t="e">
        <v>#N/A</v>
        <stp/>
        <stp>BDS|13378956883650943932</stp>
        <tr r="FT5" s="11"/>
      </tp>
      <tp t="e">
        <v>#N/A</v>
        <stp/>
        <stp>BDS|11809280993270869144</stp>
        <tr r="DQ5" s="113"/>
      </tp>
      <tp t="e">
        <v>#N/A</v>
        <stp/>
        <stp>BDS|10467201680998291997</stp>
        <tr r="KE5" s="24"/>
      </tp>
      <tp t="e">
        <v>#N/A</v>
        <stp/>
        <stp>BDS|11130880845041366705</stp>
        <tr r="HR5" s="57"/>
      </tp>
      <tp t="e">
        <v>#N/A</v>
        <stp/>
        <stp>BDS|12430245528161654812</stp>
        <tr r="OA5" s="56"/>
      </tp>
      <tp t="e">
        <v>#N/A</v>
        <stp/>
        <stp>BDS|13824585996046020292</stp>
        <tr r="P5" s="61"/>
      </tp>
      <tp t="e">
        <v>#N/A</v>
        <stp/>
        <stp>BDS|17304187758368510092</stp>
        <tr r="EF5" s="107"/>
      </tp>
      <tp t="e">
        <v>#N/A</v>
        <stp/>
        <stp>BDS|13053791894093658544</stp>
        <tr r="K5" s="64"/>
      </tp>
      <tp t="e">
        <v>#N/A</v>
        <stp/>
        <stp>BDS|14274919967897212792</stp>
        <tr r="DL5" s="79"/>
      </tp>
      <tp t="e">
        <v>#N/A</v>
        <stp/>
        <stp>BDS|15820301552650056855</stp>
        <tr r="OF5" s="90"/>
      </tp>
      <tp t="e">
        <v>#N/A</v>
        <stp/>
        <stp>BDS|13935493548338673011</stp>
        <tr r="DL5" s="75"/>
      </tp>
      <tp t="e">
        <v>#N/A</v>
        <stp/>
        <stp>BDS|16805571080603237321</stp>
        <tr r="CC5" s="109"/>
      </tp>
      <tp t="e">
        <v>#N/A</v>
        <stp/>
        <stp>BDS|11374086024508392007</stp>
        <tr r="DQ5" s="1"/>
      </tp>
      <tp t="e">
        <v>#N/A</v>
        <stp/>
        <stp>BDS|16116632589282361148</stp>
        <tr r="IG5" s="72"/>
      </tp>
      <tp t="e">
        <v>#N/A</v>
        <stp/>
        <stp>BDS|15311977283227293892</stp>
        <tr r="MW5" s="121"/>
      </tp>
      <tp t="e">
        <v>#N/A</v>
        <stp/>
        <stp>BDS|16935431121588332349</stp>
        <tr r="DV5" s="118"/>
      </tp>
      <tp t="e">
        <v>#N/A</v>
        <stp/>
        <stp>BDS|17629486466426191855</stp>
        <tr r="Z5" s="54"/>
      </tp>
      <tp t="e">
        <v>#N/A</v>
        <stp/>
        <stp>BDS|16933456681683980289</stp>
        <tr r="IL5" s="125"/>
      </tp>
      <tp t="e">
        <v>#N/A</v>
        <stp/>
        <stp>BDS|12182044541955052882</stp>
        <tr r="LD5" s="44"/>
      </tp>
      <tp t="e">
        <v>#N/A</v>
        <stp/>
        <stp>BDS|13856269132470780971</stp>
        <tr r="CH5" s="90"/>
      </tp>
      <tp t="e">
        <v>#N/A</v>
        <stp/>
        <stp>BDS|12788143049555778919</stp>
        <tr r="IB5" s="124"/>
      </tp>
      <tp t="e">
        <v>#N/A</v>
        <stp/>
        <stp>BDS|11884343855819534507</stp>
        <tr r="FO5" s="90"/>
      </tp>
      <tp t="e">
        <v>#N/A</v>
        <stp/>
        <stp>BDS|12478518683937945335</stp>
        <tr r="LX5" s="25"/>
      </tp>
      <tp t="e">
        <v>#N/A</v>
        <stp/>
        <stp>BDS|16844966214561252445</stp>
        <tr r="AY5" s="56"/>
      </tp>
      <tp t="e">
        <v>#N/A</v>
        <stp/>
        <stp>BDS|15378616078747257845</stp>
        <tr r="KT5" s="22"/>
      </tp>
      <tp t="e">
        <v>#N/A</v>
        <stp/>
        <stp>BDS|14377551951117871835</stp>
        <tr r="HW5" s="117"/>
      </tp>
      <tp t="e">
        <v>#N/A</v>
        <stp/>
        <stp>BDS|14098483891321132351</stp>
        <tr r="NB5" s="1"/>
      </tp>
      <tp t="e">
        <v>#N/A</v>
        <stp/>
        <stp>BDS|15479289063798040227</stp>
        <tr r="MM5" s="81"/>
      </tp>
      <tp t="e">
        <v>#N/A</v>
        <stp/>
        <stp>BDS|15909673852299044418</stp>
        <tr r="EA5" s="109"/>
      </tp>
      <tp t="e">
        <v>#N/A</v>
        <stp/>
        <stp>BDS|13146893131186721537</stp>
        <tr r="JK5" s="9"/>
      </tp>
      <tp t="e">
        <v>#N/A</v>
        <stp/>
        <stp>BDS|14709940578073336252</stp>
        <tr r="EK5" s="60"/>
      </tp>
      <tp t="e">
        <v>#N/A</v>
        <stp/>
        <stp>BDS|15025957464491800040</stp>
        <tr r="MW5" s="64"/>
      </tp>
      <tp t="e">
        <v>#N/A</v>
        <stp/>
        <stp>BDS|18334268500033085282</stp>
        <tr r="BX5" s="10"/>
      </tp>
      <tp t="e">
        <v>#N/A</v>
        <stp/>
        <stp>BDS|12360425083782703784</stp>
        <tr r="AJ5" s="53"/>
      </tp>
      <tp t="e">
        <v>#N/A</v>
        <stp/>
        <stp>BDS|17519923249472670356</stp>
        <tr r="DV5" s="62"/>
      </tp>
      <tp t="e">
        <v>#N/A</v>
        <stp/>
        <stp>BDS|15844922263764540512</stp>
        <tr r="EP5" s="109"/>
      </tp>
      <tp t="e">
        <v>#N/A</v>
        <stp/>
        <stp>BDS|10604357827032934802</stp>
        <tr r="MH5" s="107"/>
      </tp>
      <tp t="e">
        <v>#N/A</v>
        <stp/>
        <stp>BDS|16866469384467778609</stp>
        <tr r="LS5" s="62"/>
      </tp>
      <tp t="e">
        <v>#N/A</v>
        <stp/>
        <stp>BDS|12102102097221819035</stp>
        <tr r="GD5" s="119"/>
      </tp>
      <tp t="e">
        <v>#N/A</v>
        <stp/>
        <stp>BDS|11650474052543841864</stp>
        <tr r="AY5" s="78"/>
      </tp>
      <tp t="e">
        <v>#N/A</v>
        <stp/>
        <stp>BDS|11310121083034488742</stp>
        <tr r="IV5" s="111"/>
      </tp>
      <tp t="e">
        <v>#N/A</v>
        <stp/>
        <stp>BDS|12357836100881388019</stp>
        <tr r="EF5" s="83"/>
      </tp>
      <tp t="e">
        <v>#N/A</v>
        <stp/>
        <stp>BDS|11118988325075617481</stp>
        <tr r="JP5" s="20"/>
      </tp>
      <tp t="e">
        <v>#N/A</v>
        <stp/>
        <stp>BDS|10561380980940629090</stp>
        <tr r="DV5" s="113"/>
      </tp>
      <tp t="e">
        <v>#N/A</v>
        <stp/>
        <stp>BDS|16360240608377914848</stp>
        <tr r="BI5" s="97"/>
      </tp>
      <tp t="e">
        <v>#N/A</v>
        <stp/>
        <stp>BDS|11288231831753745859</stp>
        <tr r="AT5" s="38"/>
      </tp>
      <tp t="e">
        <v>#N/A</v>
        <stp/>
        <stp>BDS|17000290932524127985</stp>
        <tr r="HH5" s="55"/>
      </tp>
      <tp t="e">
        <v>#N/A</v>
        <stp/>
        <stp>BDS|10910134898405551656</stp>
        <tr r="DL5" s="90"/>
      </tp>
      <tp t="e">
        <v>#N/A</v>
        <stp/>
        <stp>BDS|10510958330771795057</stp>
        <tr r="CR5" s="88"/>
      </tp>
      <tp t="e">
        <v>#N/A</v>
        <stp/>
        <stp>BDS|17855598903899939090</stp>
        <tr r="MM5" s="88"/>
      </tp>
      <tp t="e">
        <v>#N/A</v>
        <stp/>
        <stp>BDS|16431423205081357820</stp>
        <tr r="LD5" s="99"/>
      </tp>
      <tp t="e">
        <v>#N/A</v>
        <stp/>
        <stp>BDS|16478139029426423893</stp>
        <tr r="BD5" s="115"/>
      </tp>
      <tp t="e">
        <v>#N/A</v>
        <stp/>
        <stp>BDS|18137021387918720301</stp>
        <tr r="Z5" s="103"/>
      </tp>
      <tp t="e">
        <v>#N/A</v>
        <stp/>
        <stp>BDS|17164910172094016618</stp>
        <tr r="BI5" s="99"/>
      </tp>
      <tp t="e">
        <v>#N/A</v>
        <stp/>
        <stp>BDS|14020529240386831896</stp>
        <tr r="MC5" s="2"/>
      </tp>
      <tp t="e">
        <v>#N/A</v>
        <stp/>
        <stp>BDS|15875830587876771885</stp>
        <tr r="JP5" s="42"/>
      </tp>
      <tp t="e">
        <v>#N/A</v>
        <stp/>
        <stp>BDS|13496753437605432912</stp>
        <tr r="NQ5" s="94"/>
      </tp>
      <tp t="e">
        <v>#N/A</v>
        <stp/>
        <stp>BDS|10005403199852308497</stp>
        <tr r="LS5" s="34"/>
      </tp>
      <tp t="e">
        <v>#N/A</v>
        <stp/>
        <stp>BDS|11520903846085651268</stp>
        <tr r="FJ5" s="120"/>
      </tp>
      <tp t="e">
        <v>#N/A</v>
        <stp/>
        <stp>BDS|13806303684620619396</stp>
        <tr r="EA5" s="24"/>
      </tp>
      <tp t="e">
        <v>#N/A</v>
        <stp/>
        <stp>BDS|16663349442279491375</stp>
        <tr r="HC5" s="102"/>
      </tp>
      <tp t="e">
        <v>#N/A</v>
        <stp/>
        <stp>BDS|13438908363531089646</stp>
        <tr r="IG5" s="2"/>
      </tp>
      <tp t="e">
        <v>#N/A</v>
        <stp/>
        <stp>BDS|16861980946934088457</stp>
        <tr r="KJ5" s="36"/>
      </tp>
      <tp t="e">
        <v>#N/A</v>
        <stp/>
        <stp>BDS|10461812456126569055</stp>
        <tr r="JZ5" s="51"/>
      </tp>
      <tp t="e">
        <v>#N/A</v>
        <stp/>
        <stp>BDS|16068564760249320764</stp>
        <tr r="HM5" s="39"/>
      </tp>
      <tp t="e">
        <v>#N/A</v>
        <stp/>
        <stp>BDS|14539526776798251502</stp>
        <tr r="KT5" s="12"/>
      </tp>
      <tp t="e">
        <v>#N/A</v>
        <stp/>
        <stp>BDS|15319539633398560058</stp>
        <tr r="DB5" s="101"/>
      </tp>
      <tp t="e">
        <v>#N/A</v>
        <stp/>
        <stp>BDS|14264976606980010633</stp>
        <tr r="FE5" s="112"/>
      </tp>
      <tp t="e">
        <v>#N/A</v>
        <stp/>
        <stp>BDS|16407959204367742324</stp>
        <tr r="MH5" s="16"/>
      </tp>
      <tp t="e">
        <v>#N/A</v>
        <stp/>
        <stp>BDS|15580633972898392770</stp>
        <tr r="IL5" s="81"/>
      </tp>
      <tp t="e">
        <v>#N/A</v>
        <stp/>
        <stp>BDS|15708574861049966488</stp>
        <tr r="LN5" s="55"/>
      </tp>
      <tp t="e">
        <v>#N/A</v>
        <stp/>
        <stp>BDS|17633063234907103853</stp>
        <tr r="A5" s="107"/>
      </tp>
      <tp t="e">
        <v>#N/A</v>
        <stp/>
        <stp>BDS|11845688820679900793</stp>
        <tr r="BN5" s="66"/>
      </tp>
      <tp t="e">
        <v>#N/A</v>
        <stp/>
        <stp>BDS|13832947129955266672</stp>
        <tr r="LS5" s="78"/>
      </tp>
      <tp t="e">
        <v>#N/A</v>
        <stp/>
        <stp>BDS|15039457545857524956</stp>
        <tr r="FT5" s="77"/>
      </tp>
      <tp t="e">
        <v>#N/A</v>
        <stp/>
        <stp>BDS|15782982430215775187</stp>
        <tr r="P5" s="69"/>
      </tp>
      <tp t="e">
        <v>#N/A</v>
        <stp/>
        <stp>BDS|11778295112148914150</stp>
        <tr r="LX5" s="44"/>
      </tp>
      <tp t="e">
        <v>#N/A</v>
        <stp/>
        <stp>BDS|10915319688655452549</stp>
        <tr r="EA5" s="82"/>
      </tp>
      <tp t="e">
        <v>#N/A</v>
        <stp/>
        <stp>BDS|15238995266690939142</stp>
        <tr r="NB5" s="97"/>
      </tp>
      <tp t="e">
        <v>#N/A</v>
        <stp/>
        <stp>BDS|13084351269994468987</stp>
        <tr r="MH5" s="2"/>
      </tp>
      <tp t="e">
        <v>#N/A</v>
        <stp/>
        <stp>BDS|17416824628873956578</stp>
        <tr r="MW5" s="102"/>
      </tp>
      <tp t="e">
        <v>#N/A</v>
        <stp/>
        <stp>BDS|10308832959002879412</stp>
        <tr r="BD5" s="71"/>
      </tp>
      <tp t="e">
        <v>#N/A</v>
        <stp/>
        <stp>BDS|18267133373814493163</stp>
        <tr r="KJ5" s="72"/>
      </tp>
      <tp t="e">
        <v>#N/A</v>
        <stp/>
        <stp>BDS|17255951438902984463</stp>
        <tr r="IV5" s="95"/>
      </tp>
      <tp t="e">
        <v>#N/A</v>
        <stp/>
        <stp>BDS|13146181284317487698</stp>
        <tr r="GN5" s="84"/>
      </tp>
      <tp t="e">
        <v>#N/A</v>
        <stp/>
        <stp>BDS|11097497878349101008</stp>
        <tr r="MC5" s="23"/>
      </tp>
      <tp t="e">
        <v>#N/A</v>
        <stp/>
        <stp>BDS|15688247390381456472</stp>
        <tr r="GN5" s="11"/>
      </tp>
      <tp t="e">
        <v>#N/A</v>
        <stp/>
        <stp>BDS|16539471581989101831</stp>
        <tr r="JA5" s="25"/>
      </tp>
      <tp t="e">
        <v>#N/A</v>
        <stp/>
        <stp>BDS|15887289927276598830</stp>
        <tr r="CW5" s="108"/>
      </tp>
      <tp t="e">
        <v>#N/A</v>
        <stp/>
        <stp>BDS|11225777981825523006</stp>
        <tr r="AJ5" s="94"/>
      </tp>
      <tp t="e">
        <v>#N/A</v>
        <stp/>
        <stp>BDS|18090267765946783150</stp>
        <tr r="BD5" s="119"/>
      </tp>
      <tp t="e">
        <v>#N/A</v>
        <stp/>
        <stp>BDS|10746987806066192497</stp>
        <tr r="EZ5" s="36"/>
      </tp>
      <tp t="e">
        <v>#N/A</v>
        <stp/>
        <stp>BDS|12602003638278949268</stp>
        <tr r="Z5" s="76"/>
      </tp>
      <tp t="e">
        <v>#N/A</v>
        <stp/>
        <stp>BDS|18209304116320589103</stp>
        <tr r="KJ5" s="13"/>
      </tp>
      <tp t="e">
        <v>#N/A</v>
        <stp/>
        <stp>BDS|15041060234508451576</stp>
        <tr r="MR5" s="22"/>
      </tp>
      <tp t="e">
        <v>#N/A</v>
        <stp/>
        <stp>BDS|15004623523583306937</stp>
        <tr r="IV5" s="36"/>
      </tp>
      <tp t="e">
        <v>#N/A</v>
        <stp/>
        <stp>BDS|11644636999940439599</stp>
        <tr r="LI5" s="102"/>
      </tp>
      <tp t="e">
        <v>#N/A</v>
        <stp/>
        <stp>BDS|18280301612032986380</stp>
        <tr r="HM5" s="64"/>
      </tp>
      <tp t="e">
        <v>#N/A</v>
        <stp/>
        <stp>BDS|11580733542990423910</stp>
        <tr r="MH5" s="22"/>
      </tp>
      <tp t="e">
        <v>#N/A</v>
        <stp/>
        <stp>BDS|13731103902648353173</stp>
        <tr r="LD5" s="33"/>
      </tp>
      <tp t="e">
        <v>#N/A</v>
        <stp/>
        <stp>BDS|11468878624547094764</stp>
        <tr r="DQ5" s="28"/>
      </tp>
      <tp t="e">
        <v>#N/A</v>
        <stp/>
        <stp>BDS|14763237112655662914</stp>
        <tr r="LI5" s="101"/>
      </tp>
      <tp t="e">
        <v>#N/A</v>
        <stp/>
        <stp>BDS|16782160625048340669</stp>
        <tr r="LS5" s="52"/>
      </tp>
      <tp t="e">
        <v>#N/A</v>
        <stp/>
        <stp>BDS|14152890429064483148</stp>
        <tr r="AE5" s="53"/>
      </tp>
      <tp t="e">
        <v>#N/A</v>
        <stp/>
        <stp>BDS|17097484249918365449</stp>
        <tr r="KO5" s="70"/>
        <tr r="IG5" s="66"/>
      </tp>
      <tp t="e">
        <v>#N/A</v>
        <stp/>
        <stp>BDS|10602129845666076872</stp>
        <tr r="BS5" s="53"/>
      </tp>
      <tp t="e">
        <v>#N/A</v>
        <stp/>
        <stp>BDS|13238271718089236298</stp>
        <tr r="EK5" s="93"/>
      </tp>
      <tp t="e">
        <v>#N/A</v>
        <stp/>
        <stp>BDS|13696076729049769394</stp>
        <tr r="JF5" s="17"/>
      </tp>
      <tp t="e">
        <v>#N/A</v>
        <stp/>
        <stp>BDS|12577846963817427007</stp>
        <tr r="K5" s="7"/>
      </tp>
      <tp t="e">
        <v>#N/A</v>
        <stp/>
        <stp>BDS|15882922372784660488</stp>
        <tr r="EP5" s="43"/>
      </tp>
      <tp t="e">
        <v>#N/A</v>
        <stp/>
        <stp>BDS|15053592636551104981</stp>
        <tr r="KY5" s="31"/>
      </tp>
      <tp t="e">
        <v>#N/A</v>
        <stp/>
        <stp>BDS|10832351898979018838</stp>
        <tr r="LI5" s="115"/>
      </tp>
      <tp t="e">
        <v>#N/A</v>
        <stp/>
        <stp>BDS|10678530115467072863</stp>
        <tr r="BX5" s="77"/>
      </tp>
      <tp t="e">
        <v>#N/A</v>
        <stp/>
        <stp>BDS|11863265685678558887</stp>
        <tr r="DV5" s="95"/>
      </tp>
      <tp t="e">
        <v>#N/A</v>
        <stp/>
        <stp>BDS|15118117590125615301</stp>
        <tr r="U5" s="54"/>
      </tp>
      <tp t="e">
        <v>#N/A</v>
        <stp/>
        <stp>BDS|11166769555999699129</stp>
        <tr r="BN5" s="88"/>
      </tp>
      <tp t="e">
        <v>#N/A</v>
        <stp/>
        <stp>BDS|12656993709790111014</stp>
        <tr r="KT5" s="89"/>
      </tp>
      <tp t="e">
        <v>#N/A</v>
        <stp/>
        <stp>BDS|13537598690444932038</stp>
        <tr r="GX5" s="4"/>
      </tp>
      <tp t="e">
        <v>#N/A</v>
        <stp/>
        <stp>BDS|12403654427124773976</stp>
        <tr r="CM5" s="33"/>
      </tp>
      <tp t="e">
        <v>#N/A</v>
        <stp/>
        <stp>BDS|18138880809772061966</stp>
        <tr r="AY5" s="40"/>
      </tp>
      <tp t="e">
        <v>#N/A</v>
        <stp/>
        <stp>BDS|14177412120818701107</stp>
        <tr r="U5" s="80"/>
      </tp>
      <tp t="e">
        <v>#N/A</v>
        <stp/>
        <stp>BDS|17534556243055058849</stp>
        <tr r="JK5" s="84"/>
      </tp>
      <tp t="e">
        <v>#N/A</v>
        <stp/>
        <stp>BDS|12884888135855362717</stp>
        <tr r="A5" s="66"/>
      </tp>
      <tp t="e">
        <v>#N/A</v>
        <stp/>
        <stp>BDS|10122965450994717377</stp>
        <tr r="OF5" s="7"/>
      </tp>
      <tp t="e">
        <v>#N/A</v>
        <stp/>
        <stp>BDS|17698979166973748075</stp>
        <tr r="NG5" s="75"/>
      </tp>
      <tp t="e">
        <v>#N/A</v>
        <stp/>
        <stp>BDS|13010295250019783694</stp>
        <tr r="LX5" s="8"/>
      </tp>
      <tp t="e">
        <v>#N/A</v>
        <stp/>
        <stp>BDS|13086503151650437821</stp>
        <tr r="A5" s="98"/>
      </tp>
      <tp t="e">
        <v>#N/A</v>
        <stp/>
        <stp>BDS|10601817126694388556</stp>
        <tr r="LN5" s="54"/>
      </tp>
      <tp t="e">
        <v>#N/A</v>
        <stp/>
        <stp>BDS|16325471251888660443</stp>
        <tr r="MR5" s="55"/>
      </tp>
      <tp t="e">
        <v>#N/A</v>
        <stp/>
        <stp>BDS|10803311729382474838</stp>
        <tr r="CM5" s="56"/>
      </tp>
      <tp t="e">
        <v>#N/A</v>
        <stp/>
        <stp>BDS|15974935252962824075</stp>
        <tr r="HR5" s="22"/>
      </tp>
      <tp t="e">
        <v>#N/A</v>
        <stp/>
        <stp>BDS|16735946760211079343</stp>
        <tr r="OF5" s="33"/>
      </tp>
      <tp t="e">
        <v>#N/A</v>
        <stp/>
        <stp>BDS|10610610483024042137</stp>
        <tr r="BX5" s="22"/>
      </tp>
      <tp t="e">
        <v>#N/A</v>
        <stp/>
        <stp>BDS|10979885326301403040</stp>
        <tr r="GD5" s="52"/>
      </tp>
      <tp t="e">
        <v>#N/A</v>
        <stp/>
        <stp>BDS|12848787774351391808</stp>
        <tr r="MH5" s="64"/>
      </tp>
      <tp t="e">
        <v>#N/A</v>
        <stp/>
        <stp>BDS|17356768789567377488</stp>
        <tr r="DG5" s="64"/>
      </tp>
      <tp t="e">
        <v>#N/A</v>
        <stp/>
        <stp>BDS|14205640982116155720</stp>
        <tr r="AT5" s="47"/>
      </tp>
      <tp t="e">
        <v>#N/A</v>
        <stp/>
        <stp>BDS|10464488195482987448</stp>
        <tr r="HH5" s="78"/>
      </tp>
      <tp t="e">
        <v>#N/A</v>
        <stp/>
        <stp>BDS|14688566980841784334</stp>
        <tr r="HW5" s="98"/>
      </tp>
      <tp t="e">
        <v>#N/A</v>
        <stp/>
        <stp>BDS|17165931562592324178</stp>
        <tr r="IV5" s="12"/>
      </tp>
      <tp t="e">
        <v>#N/A</v>
        <stp/>
        <stp>BDS|18207652558684983423</stp>
        <tr r="JK5" s="101"/>
      </tp>
      <tp t="e">
        <v>#N/A</v>
        <stp/>
        <stp>BDS|15874471380184317689</stp>
        <tr r="KJ5" s="86"/>
      </tp>
      <tp t="e">
        <v>#N/A</v>
        <stp/>
        <stp>BDS|17179026455821016826</stp>
        <tr r="EK5" s="53"/>
      </tp>
      <tp t="e">
        <v>#N/A</v>
        <stp/>
        <stp>BDS|15189253986410674406</stp>
        <tr r="DB5" s="110"/>
      </tp>
      <tp t="e">
        <v>#N/A</v>
        <stp/>
        <stp>BDS|17490071608014672891</stp>
        <tr r="HH5" s="27"/>
      </tp>
      <tp t="e">
        <v>#N/A</v>
        <stp/>
        <stp>BDS|12468113286966224653</stp>
        <tr r="AO5" s="109"/>
      </tp>
      <tp t="e">
        <v>#N/A</v>
        <stp/>
        <stp>BDS|17957955788215791876</stp>
        <tr r="CR5" s="29"/>
      </tp>
      <tp t="e">
        <v>#N/A</v>
        <stp/>
        <stp>BDS|14499993519613715471</stp>
        <tr r="DG5" s="23"/>
      </tp>
      <tp t="e">
        <v>#N/A</v>
        <stp/>
        <stp>BDS|14394156210506399910</stp>
        <tr r="DL5" s="27"/>
      </tp>
      <tp t="e">
        <v>#N/A</v>
        <stp/>
        <stp>BDS|11853121035480979824</stp>
        <tr r="EK5" s="4"/>
      </tp>
      <tp t="e">
        <v>#N/A</v>
        <stp/>
        <stp>BDS|11691705797383241779</stp>
        <tr r="AE5" s="107"/>
      </tp>
      <tp t="e">
        <v>#N/A</v>
        <stp/>
        <stp>BDS|11962822909251562330</stp>
        <tr r="P5" s="11"/>
      </tp>
      <tp t="e">
        <v>#N/A</v>
        <stp/>
        <stp>BDS|14339950268815322599</stp>
        <tr r="AJ5" s="34"/>
      </tp>
      <tp t="e">
        <v>#N/A</v>
        <stp/>
        <stp>BDS|11895231087891901117</stp>
        <tr r="FY5" s="6"/>
      </tp>
      <tp t="e">
        <v>#N/A</v>
        <stp/>
        <stp>BDS|10640980316297519490</stp>
        <tr r="AJ5" s="69"/>
      </tp>
      <tp t="e">
        <v>#N/A</v>
        <stp/>
        <stp>BDS|11690228335922282977</stp>
        <tr r="F5" s="118"/>
      </tp>
      <tp t="e">
        <v>#N/A</v>
        <stp/>
        <stp>BDS|10102632911025140963</stp>
        <tr r="EF5" s="104"/>
      </tp>
      <tp t="e">
        <v>#N/A</v>
        <stp/>
        <stp>BDS|11530744154870121808</stp>
        <tr r="IG5" s="59"/>
      </tp>
      <tp t="e">
        <v>#N/A</v>
        <stp/>
        <stp>BDS|18336208713278641829</stp>
        <tr r="AE5" s="94"/>
      </tp>
      <tp t="e">
        <v>#N/A</v>
        <stp/>
        <stp>BDS|11255659397222422716</stp>
        <tr r="IG5" s="74"/>
      </tp>
      <tp t="e">
        <v>#N/A</v>
        <stp/>
        <stp>BDS|16752143523249493714</stp>
        <tr r="CR5" s="82"/>
      </tp>
      <tp t="e">
        <v>#N/A</v>
        <stp/>
        <stp>BDS|13422838832535545653</stp>
        <tr r="CC5" s="60"/>
      </tp>
      <tp t="e">
        <v>#N/A</v>
        <stp/>
        <stp>BDS|10993590813577605804</stp>
        <tr r="IL5" s="28"/>
      </tp>
      <tp t="e">
        <v>#N/A</v>
        <stp/>
        <stp>BDS|16567167014265640845</stp>
        <tr r="OA5" s="107"/>
      </tp>
      <tp t="e">
        <v>#N/A</v>
        <stp/>
        <stp>BDS|16040040693743611740</stp>
        <tr r="FO5" s="21"/>
      </tp>
      <tp t="e">
        <v>#N/A</v>
        <stp/>
        <stp>BDS|10435432654279324350</stp>
        <tr r="EK5" s="94"/>
      </tp>
      <tp t="e">
        <v>#N/A</v>
        <stp/>
        <stp>BDS|16307462749239021495</stp>
        <tr r="JP5" s="123"/>
      </tp>
      <tp t="e">
        <v>#N/A</v>
        <stp/>
        <stp>BDS|12221821209386541791</stp>
        <tr r="DG5" s="15"/>
      </tp>
      <tp t="e">
        <v>#N/A</v>
        <stp/>
        <stp>BDS|17385408517039630076</stp>
        <tr r="FJ5" s="17"/>
      </tp>
      <tp t="e">
        <v>#N/A</v>
        <stp/>
        <stp>BDS|12733346133660348963</stp>
        <tr r="FT5" s="27"/>
      </tp>
      <tp t="e">
        <v>#N/A</v>
        <stp/>
        <stp>BDS|14445684971869194795</stp>
        <tr r="EU5" s="101"/>
      </tp>
      <tp t="e">
        <v>#N/A</v>
        <stp/>
        <stp>BDS|11162397427558876327</stp>
        <tr r="LX5" s="104"/>
      </tp>
      <tp t="e">
        <v>#N/A</v>
        <stp/>
        <stp>BDS|13350382382112904152</stp>
        <tr r="NB5" s="16"/>
      </tp>
      <tp t="e">
        <v>#N/A</v>
        <stp/>
        <stp>BDS|11447888047181831495</stp>
        <tr r="EU5" s="106"/>
      </tp>
      <tp t="e">
        <v>#N/A</v>
        <stp/>
        <stp>BDS|13302104189442689062</stp>
        <tr r="LI5" s="124"/>
      </tp>
      <tp t="e">
        <v>#N/A</v>
        <stp/>
        <stp>BDS|13018745659299472038</stp>
        <tr r="BN5" s="107"/>
      </tp>
      <tp t="e">
        <v>#N/A</v>
        <stp/>
        <stp>BDS|16087822075489450895</stp>
        <tr r="NL5" s="64"/>
      </tp>
      <tp t="e">
        <v>#N/A</v>
        <stp/>
        <stp>BDS|14950744324379694055</stp>
        <tr r="Z5" s="98"/>
      </tp>
      <tp t="e">
        <v>#N/A</v>
        <stp/>
        <stp>BDS|11981264176669417578</stp>
        <tr r="EF5" s="84"/>
      </tp>
      <tp t="e">
        <v>#N/A</v>
        <stp/>
        <stp>BDS|18332488023435495364</stp>
        <tr r="BI5" s="36"/>
      </tp>
      <tp t="e">
        <v>#N/A</v>
        <stp/>
        <stp>BDS|14523800972195590688</stp>
        <tr r="LN5" s="2"/>
      </tp>
      <tp t="e">
        <v>#N/A</v>
        <stp/>
        <stp>BDS|15641961330875998235</stp>
        <tr r="JU5" s="88"/>
      </tp>
      <tp t="e">
        <v>#N/A</v>
        <stp/>
        <stp>BDS|12968548721895568831</stp>
        <tr r="KE5" s="56"/>
      </tp>
      <tp t="e">
        <v>#N/A</v>
        <stp/>
        <stp>BDS|15850277343342641905</stp>
        <tr r="NB5" s="29"/>
      </tp>
      <tp t="e">
        <v>#N/A</v>
        <stp/>
        <stp>BDS|13161391882503417344</stp>
        <tr r="JF5" s="55"/>
      </tp>
      <tp t="e">
        <v>#N/A</v>
        <stp/>
        <stp>BDS|11086164699585264479</stp>
        <tr r="P5" s="43"/>
      </tp>
      <tp t="e">
        <v>#N/A</v>
        <stp/>
        <stp>BDS|16087952938340747416</stp>
        <tr r="LX5" s="52"/>
      </tp>
      <tp t="e">
        <v>#N/A</v>
        <stp/>
        <stp>BDS|11994745796790065706</stp>
        <tr r="NV5" s="113"/>
      </tp>
      <tp t="e">
        <v>#N/A</v>
        <stp/>
        <stp>BDS|12003018421590807834</stp>
        <tr r="A5" s="97"/>
      </tp>
      <tp t="e">
        <v>#N/A</v>
        <stp/>
        <stp>BDS|12001835625767598783</stp>
        <tr r="HC5" s="85"/>
      </tp>
      <tp t="e">
        <v>#N/A</v>
        <stp/>
        <stp>BDS|18386626952046836502</stp>
        <tr r="Z5" s="120"/>
      </tp>
      <tp t="e">
        <v>#N/A</v>
        <stp/>
        <stp>BDS|11093849628866334544</stp>
        <tr r="JK5" s="46"/>
      </tp>
      <tp t="e">
        <v>#N/A</v>
        <stp/>
        <stp>BDS|12498122422351657893</stp>
        <tr r="JU5" s="96"/>
      </tp>
      <tp t="e">
        <v>#N/A</v>
        <stp/>
        <stp>BDS|12161124960718067580</stp>
        <tr r="NV5" s="4"/>
      </tp>
      <tp t="e">
        <v>#N/A</v>
        <stp/>
        <stp>BDS|12480766842378286196</stp>
        <tr r="BS5" s="52"/>
      </tp>
      <tp t="e">
        <v>#N/A</v>
        <stp/>
        <stp>BDS|14376946159420707025</stp>
        <tr r="GI5" s="13"/>
      </tp>
      <tp t="e">
        <v>#N/A</v>
        <stp/>
        <stp>BDS|16246392494354227061</stp>
        <tr r="AY5" s="49"/>
      </tp>
      <tp t="e">
        <v>#N/A</v>
        <stp/>
        <stp>BDS|10761302498103776134</stp>
        <tr r="GS5" s="81"/>
      </tp>
      <tp t="e">
        <v>#N/A</v>
        <stp/>
        <stp>BDS|12173603474493910874</stp>
        <tr r="KT5" s="96"/>
      </tp>
      <tp t="e">
        <v>#N/A</v>
        <stp/>
        <stp>BDS|15285322255969865260</stp>
        <tr r="GI5" s="8"/>
      </tp>
      <tp t="e">
        <v>#N/A</v>
        <stp/>
        <stp>BDS|14355085203379461570</stp>
        <tr r="JU5" s="103"/>
      </tp>
      <tp t="e">
        <v>#N/A</v>
        <stp/>
        <stp>BDS|10493352498662586071</stp>
        <tr r="AE5" s="76"/>
      </tp>
      <tp t="e">
        <v>#N/A</v>
        <stp/>
        <stp>BDS|14744068480172152683</stp>
        <tr r="NB5" s="112"/>
      </tp>
      <tp t="e">
        <v>#N/A</v>
        <stp/>
        <stp>BDS|13219911675246989371</stp>
        <tr r="JZ5" s="72"/>
      </tp>
      <tp t="e">
        <v>#N/A</v>
        <stp/>
        <stp>BDS|17195347089781713531</stp>
        <tr r="FT5" s="17"/>
      </tp>
      <tp t="e">
        <v>#N/A</v>
        <stp/>
        <stp>BDS|14245894786219288575</stp>
        <tr r="BS5" s="97"/>
      </tp>
      <tp t="e">
        <v>#N/A</v>
        <stp/>
        <stp>BDS|15642982241951402130</stp>
        <tr r="AE5" s="73"/>
      </tp>
      <tp t="e">
        <v>#N/A</v>
        <stp/>
        <stp>BDS|16224062686534832229</stp>
        <tr r="CR5" s="7"/>
      </tp>
      <tp t="e">
        <v>#N/A</v>
        <stp/>
        <stp>BDS|15679846116387975358</stp>
        <tr r="A5" s="122"/>
      </tp>
      <tp t="e">
        <v>#N/A</v>
        <stp/>
        <stp>BDS|14424016072638971369</stp>
        <tr r="HH5" s="68"/>
      </tp>
      <tp t="e">
        <v>#N/A</v>
        <stp/>
        <stp>BDS|14212858307612970614</stp>
        <tr r="HC5" s="56"/>
      </tp>
      <tp t="e">
        <v>#N/A</v>
        <stp/>
        <stp>BDS|10594779038338086428</stp>
        <tr r="KY5" s="89"/>
      </tp>
      <tp t="e">
        <v>#N/A</v>
        <stp/>
        <stp>BDS|11393957640457888363</stp>
        <tr r="CW5" s="12"/>
      </tp>
      <tp t="e">
        <v>#N/A</v>
        <stp/>
        <stp>BDS|15065509488158193816</stp>
        <tr r="NQ5" s="35"/>
      </tp>
      <tp t="e">
        <v>#N/A</v>
        <stp/>
        <stp>BDS|13959760632578005750</stp>
        <tr r="P5" s="67"/>
      </tp>
      <tp t="e">
        <v>#N/A</v>
        <stp/>
        <stp>BDS|10795518088254667105</stp>
        <tr r="BS5" s="39"/>
      </tp>
      <tp t="e">
        <v>#N/A</v>
        <stp/>
        <stp>BDS|12913969854993051534</stp>
        <tr r="JA5" s="59"/>
      </tp>
      <tp t="e">
        <v>#N/A</v>
        <stp/>
        <stp>BDS|13958254036278678240</stp>
        <tr r="MM5" s="10"/>
      </tp>
      <tp t="e">
        <v>#N/A</v>
        <stp/>
        <stp>BDS|10401479929528604657</stp>
        <tr r="NB5" s="62"/>
      </tp>
      <tp t="e">
        <v>#N/A</v>
        <stp/>
        <stp>BDS|11094436188770724551</stp>
        <tr r="CR5" s="14"/>
      </tp>
      <tp t="e">
        <v>#N/A</v>
        <stp/>
        <stp>BDS|11566008066646939931</stp>
        <tr r="FO5" s="38"/>
      </tp>
      <tp t="e">
        <v>#N/A</v>
        <stp/>
        <stp>BDS|15875621874598427438</stp>
        <tr r="FJ5" s="101"/>
      </tp>
      <tp t="e">
        <v>#N/A</v>
        <stp/>
        <stp>BDS|17865953723866534221</stp>
        <tr r="FJ5" s="60"/>
      </tp>
      <tp t="e">
        <v>#N/A</v>
        <stp/>
        <stp>BDS|11544168099058420970</stp>
        <tr r="EP5" s="88"/>
      </tp>
      <tp t="e">
        <v>#N/A</v>
        <stp/>
        <stp>BDS|17618358378799420262</stp>
        <tr r="BN5" s="121"/>
      </tp>
      <tp t="e">
        <v>#N/A</v>
        <stp/>
        <stp>BDS|15394525197426719785</stp>
        <tr r="KT5" s="66"/>
      </tp>
      <tp t="e">
        <v>#N/A</v>
        <stp/>
        <stp>BDS|13091368020022777887</stp>
        <tr r="LS5" s="92"/>
      </tp>
      <tp t="e">
        <v>#N/A</v>
        <stp/>
        <stp>BDS|13897870646874326332</stp>
        <tr r="AY5" s="105"/>
      </tp>
      <tp t="e">
        <v>#N/A</v>
        <stp/>
        <stp>BDS|11285564803088901406</stp>
        <tr r="U5" s="2"/>
      </tp>
      <tp t="e">
        <v>#N/A</v>
        <stp/>
        <stp>BDS|14575126217659898567</stp>
        <tr r="NB5" s="52"/>
      </tp>
      <tp t="e">
        <v>#N/A</v>
        <stp/>
        <stp>BDS|10755898037220140362</stp>
        <tr r="KY5" s="68"/>
      </tp>
      <tp t="e">
        <v>#N/A</v>
        <stp/>
        <stp>BDS|17283937648750019276</stp>
        <tr r="BI5" s="1"/>
      </tp>
      <tp t="e">
        <v>#N/A</v>
        <stp/>
        <stp>BDS|16608010788914760262</stp>
        <tr r="DV5" s="44"/>
      </tp>
      <tp t="e">
        <v>#N/A</v>
        <stp/>
        <stp>BDS|11182692694825510371</stp>
        <tr r="FE5" s="7"/>
      </tp>
      <tp t="e">
        <v>#N/A</v>
        <stp/>
        <stp>BDS|14380135973119595384</stp>
        <tr r="LN5" s="119"/>
      </tp>
      <tp t="e">
        <v>#N/A</v>
        <stp/>
        <stp>BDS|16570582752307576940</stp>
        <tr r="LI5" s="12"/>
      </tp>
      <tp t="e">
        <v>#N/A</v>
        <stp/>
        <stp>BDS|15405902208790174432</stp>
        <tr r="BI5" s="69"/>
      </tp>
      <tp t="e">
        <v>#N/A</v>
        <stp/>
        <stp>BDS|15432063491003977747</stp>
        <tr r="EU5" s="95"/>
      </tp>
      <tp t="e">
        <v>#N/A</v>
        <stp/>
        <stp>BDS|12614971496799000391</stp>
        <tr r="CH5" s="99"/>
      </tp>
      <tp t="e">
        <v>#N/A</v>
        <stp/>
        <stp>BDS|11071313165468821424</stp>
        <tr r="JF5" s="67"/>
      </tp>
      <tp t="e">
        <v>#N/A</v>
        <stp/>
        <stp>BDS|18133474048117023701</stp>
        <tr r="HR5" s="115"/>
      </tp>
      <tp t="e">
        <v>#N/A</v>
        <stp/>
        <stp>BDS|10625436081195817120</stp>
        <tr r="NG5" s="52"/>
      </tp>
      <tp t="e">
        <v>#N/A</v>
        <stp/>
        <stp>BDS|10790976088201639815</stp>
        <tr r="MR5" s="54"/>
      </tp>
      <tp t="e">
        <v>#N/A</v>
        <stp/>
        <stp>BDS|18242168101012205387</stp>
        <tr r="AT5" s="123"/>
      </tp>
      <tp t="e">
        <v>#N/A</v>
        <stp/>
        <stp>BDS|12145785524876769955</stp>
        <tr r="DB5" s="75"/>
      </tp>
      <tp t="e">
        <v>#N/A</v>
        <stp/>
        <stp>BDS|12102835743595695381</stp>
        <tr r="DB5" s="64"/>
      </tp>
      <tp t="e">
        <v>#N/A</v>
        <stp/>
        <stp>BDS|15878355544399592337</stp>
        <tr r="F5" s="97"/>
      </tp>
      <tp t="e">
        <v>#N/A</v>
        <stp/>
        <stp>BDS|18441505619091310513</stp>
        <tr r="AY5" s="106"/>
      </tp>
      <tp t="e">
        <v>#N/A</v>
        <stp/>
        <stp>BDS|16206464694256651591</stp>
        <tr r="IB5" s="22"/>
      </tp>
      <tp t="e">
        <v>#N/A</v>
        <stp/>
        <stp>BDS|10399998542540350540</stp>
        <tr r="JA5" s="21"/>
      </tp>
      <tp t="e">
        <v>#N/A</v>
        <stp/>
        <stp>BDS|12275508805819957613</stp>
        <tr r="MR5" s="87"/>
      </tp>
      <tp t="e">
        <v>#N/A</v>
        <stp/>
        <stp>BDS|11650691393652726441</stp>
        <tr r="FJ5" s="122"/>
      </tp>
      <tp t="e">
        <v>#N/A</v>
        <stp/>
        <stp>BDS|11394855223796326599</stp>
        <tr r="CW5" s="121"/>
      </tp>
      <tp t="e">
        <v>#N/A</v>
        <stp/>
        <stp>BDS|16717327766413433881</stp>
        <tr r="KO5" s="35"/>
      </tp>
      <tp t="e">
        <v>#N/A</v>
        <stp/>
        <stp>BDS|10719493526497618910</stp>
        <tr r="LX5" s="93"/>
      </tp>
      <tp t="e">
        <v>#N/A</v>
        <stp/>
        <stp>BDS|15781796596555277659</stp>
        <tr r="P5" s="93"/>
      </tp>
      <tp t="e">
        <v>#N/A</v>
        <stp/>
        <stp>BDS|13731296304639319066</stp>
        <tr r="HH5" s="21"/>
      </tp>
      <tp t="e">
        <v>#N/A</v>
        <stp/>
        <stp>BDS|10388855536317544491</stp>
        <tr r="NB5" s="13"/>
      </tp>
      <tp t="e">
        <v>#N/A</v>
        <stp/>
        <stp>BDS|12389913659017133161</stp>
        <tr r="IQ5" s="49"/>
      </tp>
      <tp t="e">
        <v>#N/A</v>
        <stp/>
        <stp>BDS|17658193595244257349</stp>
        <tr r="AY5" s="67"/>
      </tp>
      <tp t="e">
        <v>#N/A</v>
        <stp/>
        <stp>BDS|13246123453036907968</stp>
        <tr r="AY5" s="85"/>
      </tp>
      <tp t="e">
        <v>#N/A</v>
        <stp/>
        <stp>BDS|13556476388517216048</stp>
        <tr r="GN5" s="16"/>
      </tp>
      <tp t="e">
        <v>#N/A</v>
        <stp/>
        <stp>BDS|16137886051187230469</stp>
        <tr r="MM5" s="83"/>
      </tp>
      <tp t="e">
        <v>#N/A</v>
        <stp/>
        <stp>BDS|14571669898701531224</stp>
        <tr r="DV5" s="89"/>
      </tp>
      <tp t="e">
        <v>#N/A</v>
        <stp/>
        <stp>BDS|14786817570611300297</stp>
        <tr r="MH5" s="66"/>
      </tp>
      <tp t="e">
        <v>#N/A</v>
        <stp/>
        <stp>BDS|18332839591608545986</stp>
        <tr r="U5" s="39"/>
      </tp>
      <tp t="e">
        <v>#N/A</v>
        <stp/>
        <stp>BDS|14369169298035446156</stp>
        <tr r="LX5" s="9"/>
      </tp>
      <tp t="e">
        <v>#N/A</v>
        <stp/>
        <stp>BDS|10923054700978552056</stp>
        <tr r="IQ5" s="102"/>
      </tp>
      <tp t="e">
        <v>#N/A</v>
        <stp/>
        <stp>BDS|13161491438409910551</stp>
        <tr r="EA5" s="68"/>
      </tp>
      <tp t="e">
        <v>#N/A</v>
        <stp/>
        <stp>BDS|14738562554844825819</stp>
        <tr r="FE5" s="61"/>
      </tp>
      <tp t="e">
        <v>#N/A</v>
        <stp/>
        <stp>BDS|16907837911560111761</stp>
        <tr r="CC5" s="82"/>
      </tp>
      <tp t="e">
        <v>#N/A</v>
        <stp/>
        <stp>BDS|14457526882931196091</stp>
        <tr r="KY5" s="54"/>
      </tp>
      <tp t="e">
        <v>#N/A</v>
        <stp/>
        <stp>BDS|13747732915248970545</stp>
        <tr r="LD5" s="109"/>
      </tp>
      <tp t="e">
        <v>#N/A</v>
        <stp/>
        <stp>BDS|17238205522079530690</stp>
        <tr r="MM5" s="79"/>
      </tp>
      <tp t="e">
        <v>#N/A</v>
        <stp/>
        <stp>BDS|13284733869813795923</stp>
        <tr r="KY5" s="39"/>
      </tp>
      <tp t="e">
        <v>#N/A</v>
        <stp/>
        <stp>BDS|13563291600860425954</stp>
        <tr r="DB5" s="95"/>
      </tp>
      <tp t="e">
        <v>#N/A</v>
        <stp/>
        <stp>BDS|11831636120975606805</stp>
        <tr r="BI5" s="91"/>
      </tp>
      <tp t="e">
        <v>#N/A</v>
        <stp/>
        <stp>BDS|11513090583896103731</stp>
        <tr r="GD5" s="107"/>
      </tp>
      <tp t="e">
        <v>#N/A</v>
        <stp/>
        <stp>BDS|12417629194181721484</stp>
        <tr r="KY5" s="75"/>
      </tp>
      <tp t="e">
        <v>#N/A</v>
        <stp/>
        <stp>BDS|17146306650848559192</stp>
        <tr r="AY5" s="51"/>
      </tp>
      <tp t="e">
        <v>#N/A</v>
        <stp/>
        <stp>BDS|18020222958101343648</stp>
        <tr r="LD5" s="81"/>
      </tp>
      <tp t="e">
        <v>#N/A</v>
        <stp/>
        <stp>BDS|10035940808262845399</stp>
        <tr r="DB5" s="74"/>
      </tp>
      <tp t="e">
        <v>#N/A</v>
        <stp/>
        <stp>BDS|10529002074246886946</stp>
        <tr r="AT5" s="115"/>
      </tp>
      <tp t="e">
        <v>#N/A</v>
        <stp/>
        <stp>BDS|17351896810413369543</stp>
        <tr r="IB5" s="51"/>
      </tp>
      <tp t="e">
        <v>#N/A</v>
        <stp/>
        <stp>BDS|16870990072579835960</stp>
        <tr r="EF5" s="86"/>
      </tp>
      <tp t="e">
        <v>#N/A</v>
        <stp/>
        <stp>BDS|14976368337685092950</stp>
        <tr r="NQ5" s="25"/>
      </tp>
      <tp t="e">
        <v>#N/A</v>
        <stp/>
        <stp>BDS|18437509186894677995</stp>
        <tr r="KE5" s="43"/>
      </tp>
      <tp t="e">
        <v>#N/A</v>
        <stp/>
        <stp>BDS|15218324590664877353</stp>
        <tr r="BN5" s="2"/>
      </tp>
      <tp t="e">
        <v>#N/A</v>
        <stp/>
        <stp>BDS|18372709096276929818</stp>
        <tr r="NQ5" s="57"/>
      </tp>
      <tp t="e">
        <v>#N/A</v>
        <stp/>
        <stp>BDS|16575592495235378776</stp>
        <tr r="KT5" s="13"/>
      </tp>
      <tp t="e">
        <v>#N/A</v>
        <stp/>
        <stp>BDS|12912697368353053955</stp>
        <tr r="FO5" s="98"/>
      </tp>
      <tp t="e">
        <v>#N/A</v>
        <stp/>
        <stp>BDS|11686905032602463126</stp>
        <tr r="HM5" s="59"/>
      </tp>
      <tp t="e">
        <v>#N/A</v>
        <stp/>
        <stp>BDS|12021875285018497247</stp>
        <tr r="FY5" s="28"/>
      </tp>
      <tp t="e">
        <v>#N/A</v>
        <stp/>
        <stp>BDS|14056868854598742973</stp>
        <tr r="JF5" s="3"/>
      </tp>
      <tp t="e">
        <v>#N/A</v>
        <stp/>
        <stp>BDS|12685093419529028241</stp>
        <tr r="LD5" s="110"/>
      </tp>
      <tp t="e">
        <v>#N/A</v>
        <stp/>
        <stp>BDS|18144255455717092032</stp>
        <tr r="JF5" s="49"/>
      </tp>
      <tp t="e">
        <v>#N/A</v>
        <stp/>
        <stp>BDS|13742571966678145055</stp>
        <tr r="AJ5" s="85"/>
      </tp>
      <tp t="e">
        <v>#N/A</v>
        <stp/>
        <stp>BDS|11522112386102016202</stp>
        <tr r="BS5" s="5"/>
      </tp>
      <tp t="e">
        <v>#N/A</v>
        <stp/>
        <stp>BDS|12121390654749819565</stp>
        <tr r="GX5" s="12"/>
      </tp>
      <tp t="e">
        <v>#N/A</v>
        <stp/>
        <stp>BDS|11137013186031523013</stp>
        <tr r="DB5" s="18"/>
      </tp>
      <tp t="e">
        <v>#N/A</v>
        <stp/>
        <stp>BDS|14142641557646773975</stp>
        <tr r="NV5" s="106"/>
      </tp>
      <tp t="e">
        <v>#N/A</v>
        <stp/>
        <stp>BDS|17515517382434052647</stp>
        <tr r="MW5" s="19"/>
      </tp>
      <tp t="e">
        <v>#N/A</v>
        <stp/>
        <stp>BDS|13102947567065101117</stp>
        <tr r="IG5" s="34"/>
      </tp>
      <tp t="e">
        <v>#N/A</v>
        <stp/>
        <stp>BDS|14614081109014024852</stp>
        <tr r="BI5" s="23"/>
      </tp>
      <tp t="e">
        <v>#N/A</v>
        <stp/>
        <stp>BDS|15714552431682712962</stp>
        <tr r="BN5" s="91"/>
      </tp>
      <tp t="e">
        <v>#N/A</v>
        <stp/>
        <stp>BDS|15792480711690509899</stp>
        <tr r="LX5" s="122"/>
      </tp>
      <tp t="e">
        <v>#N/A</v>
        <stp/>
        <stp>BDS|11568543293767848283</stp>
        <tr r="JK5" s="96"/>
      </tp>
      <tp t="e">
        <v>#N/A</v>
        <stp/>
        <stp>BDS|12850084054849256648</stp>
        <tr r="MC5" s="3"/>
      </tp>
      <tp t="e">
        <v>#N/A</v>
        <stp/>
        <stp>BDS|13386854207734537773</stp>
        <tr r="GD5" s="30"/>
      </tp>
      <tp t="e">
        <v>#N/A</v>
        <stp/>
        <stp>BDS|17549520420838216062</stp>
        <tr r="BI5" s="93"/>
      </tp>
      <tp t="e">
        <v>#N/A</v>
        <stp/>
        <stp>BDS|10396202492203246002</stp>
        <tr r="JZ5" s="47"/>
      </tp>
      <tp t="e">
        <v>#N/A</v>
        <stp/>
        <stp>BDS|10235403107889631505</stp>
        <tr r="GI5" s="125"/>
      </tp>
      <tp t="e">
        <v>#N/A</v>
        <stp/>
        <stp>BDS|10167153685178225908</stp>
        <tr r="KT5" s="71"/>
      </tp>
      <tp t="e">
        <v>#N/A</v>
        <stp/>
        <stp>BDS|17735929390036348953</stp>
        <tr r="AT5" s="116"/>
      </tp>
      <tp t="e">
        <v>#N/A</v>
        <stp/>
        <stp>BDS|15590542461958210610</stp>
        <tr r="JP5" s="69"/>
      </tp>
      <tp t="e">
        <v>#N/A</v>
        <stp/>
        <stp>BDS|11339424233118970683</stp>
        <tr r="EF5" s="82"/>
      </tp>
      <tp t="e">
        <v>#N/A</v>
        <stp/>
        <stp>BDS|13616366512978491155</stp>
        <tr r="FE5" s="43"/>
      </tp>
      <tp t="e">
        <v>#N/A</v>
        <stp/>
        <stp>BDS|16665370653401668973</stp>
        <tr r="Z5" s="62"/>
      </tp>
      <tp t="e">
        <v>#N/A</v>
        <stp/>
        <stp>BDS|12678915642496543109</stp>
        <tr r="MH5" s="48"/>
      </tp>
      <tp t="e">
        <v>#N/A</v>
        <stp/>
        <stp>BDS|14069818941276072601</stp>
        <tr r="LD5" s="40"/>
      </tp>
      <tp t="e">
        <v>#N/A</v>
        <stp/>
        <stp>BDS|15457897109366591310</stp>
        <tr r="GX5" s="82"/>
      </tp>
      <tp t="e">
        <v>#N/A</v>
        <stp/>
        <stp>BDS|15279941364820006220</stp>
        <tr r="IG5" s="7"/>
      </tp>
      <tp t="e">
        <v>#N/A</v>
        <stp/>
        <stp>BDS|13164829385159566234</stp>
        <tr r="NG5" s="45"/>
      </tp>
      <tp t="e">
        <v>#N/A</v>
        <stp/>
        <stp>BDS|17671540914628189375</stp>
        <tr r="OF5" s="59"/>
      </tp>
      <tp t="e">
        <v>#N/A</v>
        <stp/>
        <stp>BDS|10132904866300600717</stp>
        <tr r="IB5" s="33"/>
      </tp>
      <tp t="e">
        <v>#N/A</v>
        <stp/>
        <stp>BDS|11667014642075047855</stp>
        <tr r="EK5" s="38"/>
      </tp>
      <tp t="e">
        <v>#N/A</v>
        <stp/>
        <stp>BDS|18056177919170959074</stp>
        <tr r="DG5" s="80"/>
      </tp>
      <tp t="e">
        <v>#N/A</v>
        <stp/>
        <stp>BDS|17091120590195296200</stp>
        <tr r="AE5" s="100"/>
      </tp>
      <tp t="e">
        <v>#N/A</v>
        <stp/>
        <stp>BDS|11924720007376837843</stp>
        <tr r="DB5" s="25"/>
      </tp>
      <tp t="e">
        <v>#N/A</v>
        <stp/>
        <stp>BDS|17337399539168671747</stp>
        <tr r="A5" s="67"/>
      </tp>
      <tp t="e">
        <v>#N/A</v>
        <stp/>
        <stp>BDS|11322793197642551598</stp>
        <tr r="FE5" s="4"/>
      </tp>
      <tp t="e">
        <v>#N/A</v>
        <stp/>
        <stp>BDS|14294869529054826248</stp>
        <tr r="JK5" s="4"/>
      </tp>
      <tp t="e">
        <v>#N/A</v>
        <stp/>
        <stp>BDS|17784407072124500817</stp>
        <tr r="HW5" s="120"/>
      </tp>
      <tp t="e">
        <v>#N/A</v>
        <stp/>
        <stp>BDS|11118118555018591518</stp>
        <tr r="A5" s="37"/>
      </tp>
      <tp t="e">
        <v>#N/A</v>
        <stp/>
        <stp>BDS|15725806452697186752</stp>
        <tr r="K5" s="83"/>
      </tp>
      <tp t="e">
        <v>#N/A</v>
        <stp/>
        <stp>BDS|17237198992467082088</stp>
        <tr r="F5" s="59"/>
      </tp>
      <tp t="e">
        <v>#N/A</v>
        <stp/>
        <stp>BDS|11813268689732650104</stp>
        <tr r="JU5" s="95"/>
      </tp>
      <tp t="e">
        <v>#N/A</v>
        <stp/>
        <stp>BDS|14782183668019409225</stp>
        <tr r="IB5" s="104"/>
      </tp>
      <tp t="e">
        <v>#N/A</v>
        <stp/>
        <stp>BDS|10877194408990960911</stp>
        <tr r="CR5" s="111"/>
      </tp>
      <tp t="e">
        <v>#N/A</v>
        <stp/>
        <stp>BDS|14283850576376334535</stp>
        <tr r="CR5" s="27"/>
      </tp>
      <tp t="e">
        <v>#N/A</v>
        <stp/>
        <stp>BDS|14035513687352777309</stp>
        <tr r="HR5" s="108"/>
      </tp>
      <tp t="e">
        <v>#N/A</v>
        <stp/>
        <stp>BDS|10038035082288869881</stp>
        <tr r="IG5" s="24"/>
      </tp>
      <tp t="e">
        <v>#N/A</v>
        <stp/>
        <stp>BDS|12782249344919594532</stp>
        <tr r="CM5" s="36"/>
      </tp>
      <tp t="e">
        <v>#N/A</v>
        <stp/>
        <stp>BDS|12137137261228576572</stp>
        <tr r="EU5" s="119"/>
      </tp>
      <tp t="e">
        <v>#N/A</v>
        <stp/>
        <stp>BDS|14220477335582652977</stp>
        <tr r="Z5" s="91"/>
      </tp>
      <tp t="e">
        <v>#N/A</v>
        <stp/>
        <stp>BDS|10750590824436338983</stp>
        <tr r="GS5" s="39"/>
      </tp>
      <tp t="e">
        <v>#N/A</v>
        <stp/>
        <stp>BDS|15214677590357146550</stp>
        <tr r="BS5" s="70"/>
      </tp>
      <tp t="e">
        <v>#N/A</v>
        <stp/>
        <stp>BDS|14388869258430562193</stp>
        <tr r="IQ5" s="28"/>
      </tp>
      <tp t="e">
        <v>#N/A</v>
        <stp/>
        <stp>BDS|12611805120466342644</stp>
        <tr r="NL5" s="71"/>
      </tp>
      <tp t="e">
        <v>#N/A</v>
        <stp/>
        <stp>BDS|13946186060429688569</stp>
        <tr r="CH5" s="1"/>
      </tp>
      <tp t="e">
        <v>#N/A</v>
        <stp/>
        <stp>BDS|17058950316605732257</stp>
        <tr r="AT5" s="101"/>
      </tp>
      <tp t="e">
        <v>#N/A</v>
        <stp/>
        <stp>BDS|15601585964748806636</stp>
        <tr r="AE5" s="40"/>
      </tp>
      <tp t="e">
        <v>#N/A</v>
        <stp/>
        <stp>BDS|14126457690023754224</stp>
        <tr r="HW5" s="27"/>
      </tp>
      <tp t="e">
        <v>#N/A</v>
        <stp/>
        <stp>BDS|16587272979172979947</stp>
        <tr r="MC5" s="45"/>
      </tp>
      <tp t="e">
        <v>#N/A</v>
        <stp/>
        <stp>BDS|17845815669896532730</stp>
        <tr r="OA5" s="121"/>
      </tp>
      <tp t="e">
        <v>#N/A</v>
        <stp/>
        <stp>BDS|17515932000315825388</stp>
        <tr r="NV5" s="74"/>
      </tp>
      <tp t="e">
        <v>#N/A</v>
        <stp/>
        <stp>BDS|13787552758103872846</stp>
        <tr r="A5" s="43"/>
      </tp>
      <tp t="e">
        <v>#N/A</v>
        <stp/>
        <stp>BDS|10012272520990365824</stp>
        <tr r="AE5" s="28"/>
      </tp>
      <tp t="e">
        <v>#N/A</v>
        <stp/>
        <stp>BDS|17935608898415359542</stp>
        <tr r="LI5" s="90"/>
      </tp>
      <tp t="e">
        <v>#N/A</v>
        <stp/>
        <stp>BDS|16896372879593357933</stp>
        <tr r="JP5" s="115"/>
      </tp>
      <tp t="e">
        <v>#N/A</v>
        <stp/>
        <stp>BDS|13892176743438334696</stp>
        <tr r="KT5" s="30"/>
      </tp>
      <tp t="e">
        <v>#N/A</v>
        <stp/>
        <stp>BDS|13877428892005875365</stp>
        <tr r="CW5" s="98"/>
      </tp>
      <tp t="e">
        <v>#N/A</v>
        <stp/>
        <stp>BDS|14343434587359171908</stp>
        <tr r="AJ5" s="75"/>
      </tp>
      <tp t="e">
        <v>#N/A</v>
        <stp/>
        <stp>BDS|13563424812376416873</stp>
        <tr r="NG5" s="38"/>
      </tp>
      <tp t="e">
        <v>#N/A</v>
        <stp/>
        <stp>BDS|15844536254345853815</stp>
        <tr r="BI5" s="106"/>
      </tp>
      <tp t="e">
        <v>#N/A</v>
        <stp/>
        <stp>BDS|11192163184115181544</stp>
        <tr r="BN5" s="106"/>
      </tp>
      <tp t="e">
        <v>#N/A</v>
        <stp/>
        <stp>BDS|11830893272735479316</stp>
        <tr r="AJ5" s="20"/>
      </tp>
      <tp t="e">
        <v>#N/A</v>
        <stp/>
        <stp>BDS|16061773305579130055</stp>
        <tr r="NG5" s="121"/>
      </tp>
      <tp t="e">
        <v>#N/A</v>
        <stp/>
        <stp>BDS|11249408873322495830</stp>
        <tr r="FJ5" s="2"/>
      </tp>
      <tp t="e">
        <v>#N/A</v>
        <stp/>
        <stp>BDS|17199004843168686321</stp>
        <tr r="BD5" s="51"/>
      </tp>
      <tp t="e">
        <v>#N/A</v>
        <stp/>
        <stp>BDS|18343936296664607461</stp>
        <tr r="NQ5" s="71"/>
      </tp>
      <tp t="e">
        <v>#N/A</v>
        <stp/>
        <stp>BDS|13999198747506964899</stp>
        <tr r="IG5" s="109"/>
      </tp>
      <tp t="e">
        <v>#N/A</v>
        <stp/>
        <stp>BDS|18426438365512751021</stp>
        <tr r="IB5" s="94"/>
      </tp>
      <tp t="e">
        <v>#N/A</v>
        <stp/>
        <stp>BDS|14067366178578866018</stp>
        <tr r="KJ5" s="85"/>
      </tp>
      <tp t="e">
        <v>#N/A</v>
        <stp/>
        <stp>BDS|18161400413534395160</stp>
        <tr r="BX5" s="75"/>
      </tp>
      <tp t="e">
        <v>#N/A</v>
        <stp/>
        <stp>BDS|13319521944878478266</stp>
        <tr r="BS5" s="60"/>
      </tp>
      <tp t="e">
        <v>#N/A</v>
        <stp/>
        <stp>BDS|16764553093162058068</stp>
        <tr r="CM5" s="89"/>
      </tp>
      <tp t="e">
        <v>#N/A</v>
        <stp/>
        <stp>BDS|18307039132851583200</stp>
        <tr r="HC5" s="76"/>
      </tp>
      <tp t="e">
        <v>#N/A</v>
        <stp/>
        <stp>BDS|10517068862136705817</stp>
        <tr r="IL5" s="119"/>
      </tp>
      <tp t="e">
        <v>#N/A</v>
        <stp/>
        <stp>BDS|11561139913340345917</stp>
        <tr r="DB5" s="121"/>
      </tp>
      <tp t="e">
        <v>#N/A</v>
        <stp/>
        <stp>BDS|12096972959036876013</stp>
        <tr r="MH5" s="116"/>
      </tp>
      <tp t="e">
        <v>#N/A</v>
        <stp/>
        <stp>BDS|14392206804778440642</stp>
        <tr r="GX5" s="8"/>
      </tp>
      <tp t="e">
        <v>#N/A</v>
        <stp/>
        <stp>BDS|18222491518425484001</stp>
        <tr r="GD5" s="112"/>
      </tp>
      <tp t="e">
        <v>#N/A</v>
        <stp/>
        <stp>BDS|13005930387953013936</stp>
        <tr r="AJ5" s="10"/>
      </tp>
      <tp t="e">
        <v>#N/A</v>
        <stp/>
        <stp>BDS|11326284861218916548</stp>
        <tr r="IB5" s="23"/>
      </tp>
      <tp t="e">
        <v>#N/A</v>
        <stp/>
        <stp>BDS|14220590997856354682</stp>
        <tr r="NV5" s="30"/>
      </tp>
      <tp t="e">
        <v>#N/A</v>
        <stp/>
        <stp>BDS|10774368263755504804</stp>
        <tr r="FE5" s="23"/>
      </tp>
      <tp t="e">
        <v>#N/A</v>
        <stp/>
        <stp>BDS|17012848388889829630</stp>
        <tr r="KY5" s="102"/>
      </tp>
      <tp t="e">
        <v>#N/A</v>
        <stp/>
        <stp>BDS|10117367990036576450</stp>
        <tr r="JU5" s="98"/>
      </tp>
      <tp t="e">
        <v>#N/A</v>
        <stp/>
        <stp>BDS|16039336907738231516</stp>
        <tr r="CM5" s="63"/>
      </tp>
      <tp t="e">
        <v>#N/A</v>
        <stp/>
        <stp>BDS|12140021420648228067</stp>
        <tr r="HH5" s="110"/>
      </tp>
      <tp t="e">
        <v>#N/A</v>
        <stp/>
        <stp>BDS|14211545834393058957</stp>
        <tr r="CW5" s="65"/>
      </tp>
      <tp t="e">
        <v>#N/A</v>
        <stp/>
        <stp>BDS|13069292835508920218</stp>
        <tr r="KJ5" s="62"/>
      </tp>
      <tp t="e">
        <v>#N/A</v>
        <stp/>
        <stp>BDS|15222668647456417936</stp>
        <tr r="DV5" s="30"/>
      </tp>
      <tp t="e">
        <v>#N/A</v>
        <stp/>
        <stp>BDS|13185985550443514487</stp>
        <tr r="U5" s="70"/>
      </tp>
      <tp t="e">
        <v>#N/A</v>
        <stp/>
        <stp>BDS|10459808002179341914</stp>
        <tr r="NQ5" s="114"/>
      </tp>
      <tp t="e">
        <v>#N/A</v>
        <stp/>
        <stp>BDS|16265078261411254923</stp>
        <tr r="CC5" s="3"/>
      </tp>
      <tp t="e">
        <v>#N/A</v>
        <stp/>
        <stp>BDS|16921283085574804088</stp>
        <tr r="GI5" s="55"/>
      </tp>
      <tp t="e">
        <v>#N/A</v>
        <stp/>
        <stp>BDS|13140531583114624234</stp>
        <tr r="Z5" s="11"/>
      </tp>
      <tp t="e">
        <v>#N/A</v>
        <stp/>
        <stp>BDS|10293654362439000118</stp>
        <tr r="EF5" s="99"/>
      </tp>
      <tp t="e">
        <v>#N/A</v>
        <stp/>
        <stp>BDS|15606513190588272911</stp>
        <tr r="OA5" s="76"/>
      </tp>
      <tp t="e">
        <v>#N/A</v>
        <stp/>
        <stp>BDS|18306802485322609241</stp>
        <tr r="BS5" s="49"/>
      </tp>
      <tp t="e">
        <v>#N/A</v>
        <stp/>
        <stp>BDS|11963774154949886263</stp>
        <tr r="MM5" s="27"/>
      </tp>
      <tp t="e">
        <v>#N/A</v>
        <stp/>
        <stp>BDS|15869514636538818330</stp>
        <tr r="IL5" s="117"/>
      </tp>
      <tp t="e">
        <v>#N/A</v>
        <stp/>
        <stp>BDS|16019845743540042231</stp>
        <tr r="CC5" s="33"/>
      </tp>
      <tp t="e">
        <v>#N/A</v>
        <stp/>
        <stp>BDS|16568323662368390335</stp>
        <tr r="CM5" s="121"/>
      </tp>
      <tp t="e">
        <v>#N/A</v>
        <stp/>
        <stp>BDS|12009670422267931998</stp>
        <tr r="FT5" s="18"/>
      </tp>
      <tp t="e">
        <v>#N/A</v>
        <stp/>
        <stp>BDS|11629598928276246805</stp>
        <tr r="MC5" s="56"/>
      </tp>
      <tp t="e">
        <v>#N/A</v>
        <stp/>
        <stp>BDS|14997693522229483139</stp>
        <tr r="NG5" s="65"/>
      </tp>
      <tp t="e">
        <v>#N/A</v>
        <stp/>
        <stp>BDS|17809403019349772338</stp>
        <tr r="IG5" s="63"/>
      </tp>
      <tp t="e">
        <v>#N/A</v>
        <stp/>
        <stp>BDS|11992132699062677303</stp>
        <tr r="LD5" s="65"/>
      </tp>
      <tp t="e">
        <v>#N/A</v>
        <stp/>
        <stp>BDS|16749270550520443918</stp>
        <tr r="CC5" s="98"/>
      </tp>
      <tp t="e">
        <v>#N/A</v>
        <stp/>
        <stp>BDS|10314478807078084462</stp>
        <tr r="OA5" s="108"/>
      </tp>
      <tp t="e">
        <v>#N/A</v>
        <stp/>
        <stp>BDS|16417001890525638274</stp>
        <tr r="OA5" s="24"/>
      </tp>
      <tp t="e">
        <v>#N/A</v>
        <stp/>
        <stp>BDS|18216600911923183470</stp>
        <tr r="DV5" s="77"/>
      </tp>
      <tp t="e">
        <v>#N/A</v>
        <stp/>
        <stp>BDS|17450773437563661875</stp>
        <tr r="NB5" s="73"/>
      </tp>
      <tp t="e">
        <v>#N/A</v>
        <stp/>
        <stp>BDS|18174660379613859233</stp>
        <tr r="OA5" s="95"/>
      </tp>
      <tp t="e">
        <v>#N/A</v>
        <stp/>
        <stp>BDS|13404037047796214977</stp>
        <tr r="MC5" s="4"/>
      </tp>
      <tp t="e">
        <v>#N/A</v>
        <stp/>
        <stp>BDS|12610473494153762473</stp>
        <tr r="KE5" s="79"/>
      </tp>
      <tp t="e">
        <v>#N/A</v>
        <stp/>
        <stp>BDS|17175215792115272151</stp>
        <tr r="GS5" s="67"/>
      </tp>
      <tp t="e">
        <v>#N/A</v>
        <stp/>
        <stp>BDS|12442285516459892078</stp>
        <tr r="HM5" s="31"/>
      </tp>
      <tp t="e">
        <v>#N/A</v>
        <stp/>
        <stp>BDS|15003938846561971060</stp>
        <tr r="KY5" s="29"/>
      </tp>
      <tp t="e">
        <v>#N/A</v>
        <stp/>
        <stp>BDS|15222796833298778059</stp>
        <tr r="CH5" s="109"/>
      </tp>
      <tp t="e">
        <v>#N/A</v>
        <stp/>
        <stp>BDS|13357899314492573110</stp>
        <tr r="CH5" s="34"/>
      </tp>
      <tp t="e">
        <v>#N/A</v>
        <stp/>
        <stp>BDS|11513798231408017472</stp>
        <tr r="A5" s="123"/>
      </tp>
      <tp t="e">
        <v>#N/A</v>
        <stp/>
        <stp>BDS|12109400824459976464</stp>
        <tr r="HW5" s="68"/>
      </tp>
      <tp t="e">
        <v>#N/A</v>
        <stp/>
        <stp>BDS|12664336235288804326</stp>
        <tr r="MH5" s="31"/>
      </tp>
      <tp t="e">
        <v>#N/A</v>
        <stp/>
        <stp>BDS|11687417778399516216</stp>
        <tr r="GI5" s="77"/>
      </tp>
      <tp t="e">
        <v>#N/A</v>
        <stp/>
        <stp>BDS|10403792393673460419</stp>
        <tr r="LS5" s="81"/>
      </tp>
      <tp t="e">
        <v>#N/A</v>
        <stp/>
        <stp>BDS|12704902026425851528</stp>
        <tr r="KY5" s="11"/>
      </tp>
      <tp t="e">
        <v>#N/A</v>
        <stp/>
        <stp>BDS|14307059957139328193</stp>
        <tr r="FJ5" s="15"/>
      </tp>
      <tp t="e">
        <v>#N/A</v>
        <stp/>
        <stp>BDS|18256732371550993123</stp>
        <tr r="IL5" s="59"/>
      </tp>
      <tp t="e">
        <v>#N/A</v>
        <stp/>
        <stp>BDS|17796753298128940880</stp>
        <tr r="HM5" s="120"/>
      </tp>
      <tp t="e">
        <v>#N/A</v>
        <stp/>
        <stp>BDS|17688823812585906243</stp>
        <tr r="OA5" s="8"/>
      </tp>
      <tp t="e">
        <v>#N/A</v>
        <stp/>
        <stp>BDS|11438223624111859917</stp>
        <tr r="HC5" s="45"/>
      </tp>
      <tp t="e">
        <v>#N/A</v>
        <stp/>
        <stp>BDS|11565415094156943325</stp>
        <tr r="KT5" s="97"/>
      </tp>
      <tp t="e">
        <v>#N/A</v>
        <stp/>
        <stp>BDS|13166016548398119621</stp>
        <tr r="OA5" s="92"/>
      </tp>
      <tp t="e">
        <v>#N/A</v>
        <stp/>
        <stp>BDS|11561961297200607897</stp>
        <tr r="FO5" s="19"/>
      </tp>
      <tp t="e">
        <v>#N/A</v>
        <stp/>
        <stp>BDS|10967280160075262882</stp>
        <tr r="FJ5" s="67"/>
      </tp>
      <tp t="e">
        <v>#N/A</v>
        <stp/>
        <stp>BDS|12534432698510669633</stp>
        <tr r="CM5" s="12"/>
      </tp>
      <tp t="e">
        <v>#N/A</v>
        <stp/>
        <stp>BDS|12753771494115950061</stp>
        <tr r="GD5" s="53"/>
      </tp>
      <tp t="e">
        <v>#N/A</v>
        <stp/>
        <stp>BDS|13615127676774177887</stp>
        <tr r="AT5" s="46"/>
      </tp>
      <tp t="e">
        <v>#N/A</v>
        <stp/>
        <stp>BDS|10326107199182821396</stp>
        <tr r="IQ5" s="114"/>
      </tp>
      <tp t="e">
        <v>#N/A</v>
        <stp/>
        <stp>BDS|16425999360911462122</stp>
        <tr r="DQ5" s="114"/>
      </tp>
      <tp t="e">
        <v>#N/A</v>
        <stp/>
        <stp>BDS|10669206655479946714</stp>
        <tr r="MC5" s="113"/>
      </tp>
      <tp t="e">
        <v>#N/A</v>
        <stp/>
        <stp>BDS|17285758085896928733</stp>
        <tr r="Z5" s="119"/>
      </tp>
      <tp t="e">
        <v>#N/A</v>
        <stp/>
        <stp>BDS|17798192397981855799</stp>
        <tr r="KJ5" s="83"/>
      </tp>
      <tp t="e">
        <v>#N/A</v>
        <stp/>
        <stp>BDS|13628831847675309398</stp>
        <tr r="GS5" s="120"/>
      </tp>
      <tp t="e">
        <v>#N/A</v>
        <stp/>
        <stp>BDS|13610657862458056295</stp>
        <tr r="NV5" s="57"/>
      </tp>
      <tp t="e">
        <v>#N/A</v>
        <stp/>
        <stp>BDS|10849920017259417816</stp>
        <tr r="JK5" s="7"/>
      </tp>
      <tp t="e">
        <v>#N/A</v>
        <stp/>
        <stp>BDS|12428853335026445685</stp>
        <tr r="BS5" s="30"/>
      </tp>
      <tp t="e">
        <v>#N/A</v>
        <stp/>
        <stp>BDS|13023678938708486733</stp>
        <tr r="LD5" s="43"/>
      </tp>
      <tp t="e">
        <v>#N/A</v>
        <stp/>
        <stp>BDS|11212621778619485048</stp>
        <tr r="NB5" s="65"/>
      </tp>
      <tp t="e">
        <v>#N/A</v>
        <stp/>
        <stp>BDS|16849590399077881488</stp>
        <tr r="CH5" s="9"/>
      </tp>
      <tp t="e">
        <v>#N/A</v>
        <stp/>
        <stp>BDS|15651718788424021761</stp>
        <tr r="P5" s="91"/>
      </tp>
      <tp t="e">
        <v>#N/A</v>
        <stp/>
        <stp>BDS|15180254510029840650</stp>
        <tr r="F5" s="54"/>
      </tp>
      <tp t="e">
        <v>#N/A</v>
        <stp/>
        <stp>BDS|14359918173344134792</stp>
        <tr r="DV5" s="123"/>
      </tp>
      <tp t="e">
        <v>#N/A</v>
        <stp/>
        <stp>BDS|16564426870058873468</stp>
        <tr r="MM5" s="42"/>
      </tp>
      <tp t="e">
        <v>#N/A</v>
        <stp/>
        <stp>BDS|11834429617518720532</stp>
        <tr r="F5" s="3"/>
      </tp>
      <tp t="e">
        <v>#N/A</v>
        <stp/>
        <stp>BDS|15582507680749553893</stp>
        <tr r="FO5" s="48"/>
      </tp>
      <tp t="e">
        <v>#N/A</v>
        <stp/>
        <stp>BDS|13059191760269097403</stp>
        <tr r="DV5" s="64"/>
      </tp>
      <tp t="e">
        <v>#N/A</v>
        <stp/>
        <stp>BDS|12302223375717579980</stp>
        <tr r="AY5" s="61"/>
      </tp>
      <tp t="e">
        <v>#N/A</v>
        <stp/>
        <stp>BDS|18239459265872803130</stp>
        <tr r="CH5" s="103"/>
      </tp>
      <tp t="e">
        <v>#N/A</v>
        <stp/>
        <stp>BDS|17632440866254595889</stp>
        <tr r="LD5" s="89"/>
      </tp>
      <tp t="e">
        <v>#N/A</v>
        <stp/>
        <stp>BDS|15956184998520334432</stp>
        <tr r="JA5" s="62"/>
      </tp>
      <tp t="e">
        <v>#N/A</v>
        <stp/>
        <stp>BDS|14391225996394995273</stp>
        <tr r="GN5" s="69"/>
      </tp>
      <tp t="e">
        <v>#N/A</v>
        <stp/>
        <stp>BDS|14549019394970036493</stp>
        <tr r="KJ5" s="24"/>
      </tp>
      <tp t="e">
        <v>#N/A</v>
        <stp/>
        <stp>BDS|16811574332931184850</stp>
        <tr r="DG5" s="35"/>
      </tp>
      <tp t="e">
        <v>#N/A</v>
        <stp/>
        <stp>BDS|10106711069351584921</stp>
        <tr r="EU5" s="61"/>
      </tp>
      <tp t="e">
        <v>#N/A</v>
        <stp/>
        <stp>BDS|14060031299744171058</stp>
        <tr r="LI5" s="83"/>
      </tp>
      <tp t="e">
        <v>#N/A</v>
        <stp/>
        <stp>BDS|10615816941222103798</stp>
        <tr r="JA5" s="5"/>
      </tp>
      <tp t="e">
        <v>#N/A</v>
        <stp/>
        <stp>BDS|18387457044653558291</stp>
        <tr r="LD5" s="49"/>
      </tp>
      <tp t="e">
        <v>#N/A</v>
        <stp/>
        <stp>BDS|15291991631536678026</stp>
        <tr r="GN5" s="125"/>
      </tp>
      <tp t="e">
        <v>#N/A</v>
        <stp/>
        <stp>BDS|16248438088130192367</stp>
        <tr r="CR5" s="102"/>
      </tp>
      <tp t="e">
        <v>#N/A</v>
        <stp/>
        <stp>BDS|14466611709383043822</stp>
        <tr r="CW5" s="110"/>
      </tp>
      <tp t="e">
        <v>#N/A</v>
        <stp/>
        <stp>BDS|16575545249169767717</stp>
        <tr r="AJ5" s="77"/>
      </tp>
      <tp t="e">
        <v>#N/A</v>
        <stp/>
        <stp>BDS|15008916826132073590</stp>
        <tr r="IL5" s="22"/>
      </tp>
      <tp t="e">
        <v>#N/A</v>
        <stp/>
        <stp>BDS|11716105368377845894</stp>
        <tr r="EF5" s="19"/>
      </tp>
      <tp t="e">
        <v>#N/A</v>
        <stp/>
        <stp>BDS|16651255619788403401</stp>
        <tr r="DL5" s="5"/>
      </tp>
      <tp t="e">
        <v>#N/A</v>
        <stp/>
        <stp>BDS|11455082494637156672</stp>
        <tr r="IB5" s="72"/>
      </tp>
      <tp t="e">
        <v>#N/A</v>
        <stp/>
        <stp>BDS|15814741386555398667</stp>
        <tr r="JZ5" s="73"/>
      </tp>
      <tp t="e">
        <v>#N/A</v>
        <stp/>
        <stp>BDS|11404996700695392410</stp>
        <tr r="CR5" s="115"/>
      </tp>
      <tp t="e">
        <v>#N/A</v>
        <stp/>
        <stp>BDS|16398392005794357830</stp>
        <tr r="IQ5" s="58"/>
      </tp>
      <tp t="e">
        <v>#N/A</v>
        <stp/>
        <stp>BDS|10000497084987555273</stp>
        <tr r="JZ5" s="42"/>
      </tp>
      <tp t="e">
        <v>#N/A</v>
        <stp/>
        <stp>BDS|15008113107264867918</stp>
        <tr r="HR5" s="6"/>
      </tp>
      <tp t="e">
        <v>#N/A</v>
        <stp/>
        <stp>BDS|15618573896260049089</stp>
        <tr r="JF5" s="96"/>
      </tp>
      <tp t="e">
        <v>#N/A</v>
        <stp/>
        <stp>BDS|18208246901452927113</stp>
        <tr r="BD5" s="29"/>
      </tp>
      <tp t="e">
        <v>#N/A</v>
        <stp/>
        <stp>BDS|10833254681703360007</stp>
        <tr r="EK5" s="101"/>
      </tp>
      <tp t="e">
        <v>#N/A</v>
        <stp/>
        <stp>BDS|11103664494635919253</stp>
        <tr r="U5" s="88"/>
      </tp>
      <tp t="e">
        <v>#N/A</v>
        <stp/>
        <stp>BDS|14899340430995057835</stp>
        <tr r="EP5" s="82"/>
      </tp>
      <tp t="e">
        <v>#N/A</v>
        <stp/>
        <stp>BDS|10865001335772603847</stp>
        <tr r="MH5" s="97"/>
      </tp>
      <tp t="e">
        <v>#N/A</v>
        <stp/>
        <stp>BDS|16309800177523803333</stp>
        <tr r="NB5" s="115"/>
      </tp>
      <tp t="e">
        <v>#N/A</v>
        <stp/>
        <stp>BDS|14154256122358023594</stp>
        <tr r="MR5" s="73"/>
      </tp>
      <tp t="e">
        <v>#N/A</v>
        <stp/>
        <stp>BDS|15697349480634840357</stp>
        <tr r="CW5" s="17"/>
      </tp>
      <tp t="e">
        <v>#N/A</v>
        <stp/>
        <stp>BDS|13895209497156414744</stp>
        <tr r="CC5" s="92"/>
      </tp>
      <tp t="e">
        <v>#N/A</v>
        <stp/>
        <stp>BDS|15808602615672787966</stp>
        <tr r="KE5" s="76"/>
      </tp>
      <tp t="e">
        <v>#N/A</v>
        <stp/>
        <stp>BDS|16050080095993756560</stp>
        <tr r="LX5" s="97"/>
      </tp>
      <tp t="e">
        <v>#N/A</v>
        <stp/>
        <stp>BDS|13961338567679742665</stp>
        <tr r="HM5" s="61"/>
      </tp>
      <tp t="e">
        <v>#N/A</v>
        <stp/>
        <stp>BDS|12840829691572359842</stp>
        <tr r="FJ5" s="27"/>
        <tr r="KJ5" s="1"/>
      </tp>
      <tp t="e">
        <v>#N/A</v>
        <stp/>
        <stp>BDS|17939625966986512843</stp>
        <tr r="AE5" s="88"/>
      </tp>
      <tp t="e">
        <v>#N/A</v>
        <stp/>
        <stp>BDS|12867369981657772742</stp>
        <tr r="LN5" s="106"/>
      </tp>
      <tp t="e">
        <v>#N/A</v>
        <stp/>
        <stp>BDS|13199313138659293365</stp>
        <tr r="DL5" s="51"/>
      </tp>
      <tp t="e">
        <v>#N/A</v>
        <stp/>
        <stp>BDS|14197072693197051398</stp>
        <tr r="GX5" s="37"/>
      </tp>
      <tp t="e">
        <v>#N/A</v>
        <stp/>
        <stp>BDS|17608917853524825607</stp>
        <tr r="EA5" s="46"/>
      </tp>
      <tp t="e">
        <v>#N/A</v>
        <stp/>
        <stp>BDS|13754513120048297588</stp>
        <tr r="AE5" s="16"/>
      </tp>
      <tp t="e">
        <v>#N/A</v>
        <stp/>
        <stp>BDS|11857838226762652078</stp>
        <tr r="AO5" s="19"/>
      </tp>
      <tp t="e">
        <v>#N/A</v>
        <stp/>
        <stp>BDS|18375996149678829470</stp>
        <tr r="KY5" s="103"/>
      </tp>
      <tp t="e">
        <v>#N/A</v>
        <stp/>
        <stp>BDS|16806456026430041973</stp>
        <tr r="MR5" s="33"/>
      </tp>
      <tp t="e">
        <v>#N/A</v>
        <stp/>
        <stp>BDS|16087438554129226796</stp>
        <tr r="FE5" s="123"/>
      </tp>
      <tp t="e">
        <v>#N/A</v>
        <stp/>
        <stp>BDS|10639724523134931821</stp>
        <tr r="DL5" s="56"/>
      </tp>
      <tp t="e">
        <v>#N/A</v>
        <stp/>
        <stp>BDS|12938440819268137689</stp>
        <tr r="A5" s="49"/>
      </tp>
      <tp t="e">
        <v>#N/A</v>
        <stp/>
        <stp>BDS|11771876842935956167</stp>
        <tr r="A5" s="6"/>
      </tp>
      <tp t="e">
        <v>#N/A</v>
        <stp/>
        <stp>BDS|17357284643520242878</stp>
        <tr r="MR5" s="31"/>
      </tp>
      <tp t="e">
        <v>#N/A</v>
        <stp/>
        <stp>BDS|17117690927853203906</stp>
        <tr r="IB5" s="59"/>
      </tp>
      <tp t="e">
        <v>#N/A</v>
        <stp/>
        <stp>BDS|17357389865342623953</stp>
        <tr r="LI5" s="3"/>
      </tp>
      <tp t="e">
        <v>#N/A</v>
        <stp/>
        <stp>BDS|16568594676358569529</stp>
        <tr r="HR5" s="72"/>
      </tp>
      <tp t="e">
        <v>#N/A</v>
        <stp/>
        <stp>BDS|11789506214068921470</stp>
        <tr r="K5" s="76"/>
      </tp>
      <tp t="e">
        <v>#N/A</v>
        <stp/>
        <stp>BDS|12125826860292904777</stp>
        <tr r="EZ5" s="123"/>
      </tp>
      <tp t="e">
        <v>#N/A</v>
        <stp/>
        <stp>BDS|15429093194476013342</stp>
        <tr r="EA5" s="35"/>
      </tp>
      <tp t="e">
        <v>#N/A</v>
        <stp/>
        <stp>BDS|12149666275803759989</stp>
        <tr r="NL5" s="40"/>
      </tp>
      <tp t="e">
        <v>#N/A</v>
        <stp/>
        <stp>BDS|15904337664380556965</stp>
        <tr r="LX5" s="84"/>
      </tp>
      <tp t="e">
        <v>#N/A</v>
        <stp/>
        <stp>BDS|11745845930705090614</stp>
        <tr r="KJ5" s="82"/>
      </tp>
      <tp t="e">
        <v>#N/A</v>
        <stp/>
        <stp>BDS|11328149711330653826</stp>
        <tr r="EK5" s="35"/>
      </tp>
      <tp t="e">
        <v>#N/A</v>
        <stp/>
        <stp>BDS|16058517185936468426</stp>
        <tr r="JZ5" s="68"/>
      </tp>
      <tp t="e">
        <v>#N/A</v>
        <stp/>
        <stp>BDS|17319883368714879499</stp>
        <tr r="U5" s="34"/>
      </tp>
      <tp t="e">
        <v>#N/A</v>
        <stp/>
        <stp>BDS|18226932658589985427</stp>
        <tr r="JK5" s="68"/>
      </tp>
      <tp t="e">
        <v>#N/A</v>
        <stp/>
        <stp>BDS|11082675667759025122</stp>
        <tr r="CW5" s="114"/>
      </tp>
      <tp t="e">
        <v>#N/A</v>
        <stp/>
        <stp>BDS|13102805741995240301</stp>
        <tr r="NQ5" s="96"/>
      </tp>
      <tp t="e">
        <v>#N/A</v>
        <stp/>
        <stp>BDS|17718458197583649017</stp>
        <tr r="MH5" s="12"/>
      </tp>
      <tp t="e">
        <v>#N/A</v>
        <stp/>
        <stp>BDS|18266560273033208078</stp>
        <tr r="AT5" s="63"/>
      </tp>
      <tp t="e">
        <v>#N/A</v>
        <stp/>
        <stp>BDS|10235793797811757690</stp>
        <tr r="CR5" s="68"/>
      </tp>
      <tp t="e">
        <v>#N/A</v>
        <stp/>
        <stp>BDS|17433910366358950986</stp>
        <tr r="GI5" s="66"/>
      </tp>
      <tp t="e">
        <v>#N/A</v>
        <stp/>
        <stp>BDS|16020317522178454652</stp>
        <tr r="HM5" s="44"/>
      </tp>
      <tp t="e">
        <v>#N/A</v>
        <stp/>
        <stp>BDS|12731199494125084680</stp>
        <tr r="HM5" s="117"/>
      </tp>
      <tp t="e">
        <v>#N/A</v>
        <stp/>
        <stp>BDS|12506645910685735943</stp>
        <tr r="P5" s="35"/>
      </tp>
      <tp t="e">
        <v>#N/A</v>
        <stp/>
        <stp>BDS|14169283700456390988</stp>
        <tr r="DQ5" s="106"/>
      </tp>
      <tp t="e">
        <v>#N/A</v>
        <stp/>
        <stp>BDS|16357925600714492279</stp>
        <tr r="NV5" s="83"/>
      </tp>
      <tp t="e">
        <v>#N/A</v>
        <stp/>
        <stp>BDS|16806074728479568402</stp>
        <tr r="JA5" s="35"/>
      </tp>
      <tp t="e">
        <v>#N/A</v>
        <stp/>
        <stp>BDS|10286801554963170753</stp>
        <tr r="LI5" s="76"/>
      </tp>
      <tp t="e">
        <v>#N/A</v>
        <stp/>
        <stp>BDS|15298622300338631250</stp>
        <tr r="EK5" s="7"/>
      </tp>
      <tp t="e">
        <v>#N/A</v>
        <stp/>
        <stp>BDS|11002686198935731246</stp>
        <tr r="AT5" s="70"/>
      </tp>
      <tp t="e">
        <v>#N/A</v>
        <stp/>
        <stp>BDS|12378189788791347335</stp>
        <tr r="CW5" s="105"/>
      </tp>
      <tp t="e">
        <v>#N/A</v>
        <stp/>
        <stp>BDS|13906742646188940118</stp>
        <tr r="AJ5" s="38"/>
      </tp>
      <tp t="e">
        <v>#N/A</v>
        <stp/>
        <stp>BDS|13521028599270566380</stp>
        <tr r="HR5" s="117"/>
      </tp>
      <tp t="e">
        <v>#N/A</v>
        <stp/>
        <stp>BDS|17092996509092078536</stp>
        <tr r="MR5" s="42"/>
      </tp>
      <tp t="e">
        <v>#N/A</v>
        <stp/>
        <stp>BDS|14578758673219123412</stp>
        <tr r="KO5" s="84"/>
      </tp>
      <tp t="e">
        <v>#N/A</v>
        <stp/>
        <stp>BDS|17701191719596718838</stp>
        <tr r="BN5" s="6"/>
      </tp>
      <tp t="e">
        <v>#N/A</v>
        <stp/>
        <stp>BDS|11507544375289271353</stp>
        <tr r="MC5" s="86"/>
      </tp>
      <tp t="e">
        <v>#N/A</v>
        <stp/>
        <stp>BDS|18365116227646004461</stp>
        <tr r="LI5" s="99"/>
      </tp>
      <tp t="e">
        <v>#N/A</v>
        <stp/>
        <stp>BDS|17361434425319507136</stp>
        <tr r="MR5" s="92"/>
      </tp>
      <tp t="e">
        <v>#N/A</v>
        <stp/>
        <stp>BDS|14344907737870120752</stp>
        <tr r="KY5" s="79"/>
      </tp>
      <tp t="e">
        <v>#N/A</v>
        <stp/>
        <stp>BDS|12273616770919603353</stp>
        <tr r="CC5" s="107"/>
      </tp>
      <tp t="e">
        <v>#N/A</v>
        <stp/>
        <stp>BDS|14229867361416683530</stp>
        <tr r="AE5" s="77"/>
      </tp>
      <tp t="e">
        <v>#N/A</v>
        <stp/>
        <stp>BDS|15927280652189391202</stp>
        <tr r="GS5" s="19"/>
      </tp>
      <tp t="e">
        <v>#N/A</v>
        <stp/>
        <stp>BDS|13878806658483652468</stp>
        <tr r="Z5" s="34"/>
      </tp>
      <tp t="e">
        <v>#N/A</v>
        <stp/>
        <stp>BDS|14681409574618427668</stp>
        <tr r="CM5" s="61"/>
      </tp>
      <tp t="e">
        <v>#N/A</v>
        <stp/>
        <stp>BDS|14896036079893392912</stp>
        <tr r="GX5" s="50"/>
      </tp>
      <tp t="e">
        <v>#N/A</v>
        <stp/>
        <stp>BDS|17249714766427694831</stp>
        <tr r="MC5" s="88"/>
      </tp>
      <tp t="e">
        <v>#N/A</v>
        <stp/>
        <stp>BDS|12634258735579004362</stp>
        <tr r="NG5" s="112"/>
      </tp>
      <tp t="e">
        <v>#N/A</v>
        <stp/>
        <stp>BDS|11575004714860489951</stp>
        <tr r="DB5" s="6"/>
      </tp>
      <tp t="e">
        <v>#N/A</v>
        <stp/>
        <stp>BDS|17768170191611031711</stp>
        <tr r="BN5" s="56"/>
      </tp>
      <tp t="e">
        <v>#N/A</v>
        <stp/>
        <stp>BDS|13458228947889829595</stp>
        <tr r="NB5" s="56"/>
      </tp>
      <tp t="e">
        <v>#N/A</v>
        <stp/>
        <stp>BDS|12329837161463740664</stp>
        <tr r="HW5" s="40"/>
      </tp>
      <tp t="e">
        <v>#N/A</v>
        <stp/>
        <stp>BDS|18263953550658439537</stp>
        <tr r="HR5" s="43"/>
      </tp>
      <tp t="e">
        <v>#N/A</v>
        <stp/>
        <stp>BDS|12595484463849932070</stp>
        <tr r="BS5" s="115"/>
      </tp>
      <tp t="e">
        <v>#N/A</v>
        <stp/>
        <stp>BDS|15055309321244435959</stp>
        <tr r="EA5" s="111"/>
      </tp>
      <tp t="e">
        <v>#N/A</v>
        <stp/>
        <stp>BDS|16440720699142624393</stp>
        <tr r="CH5" s="78"/>
      </tp>
      <tp t="e">
        <v>#N/A</v>
        <stp/>
        <stp>BDS|10365657684916043128</stp>
        <tr r="FE5" s="76"/>
      </tp>
      <tp t="e">
        <v>#N/A</v>
        <stp/>
        <stp>BDS|15061799148686252927</stp>
        <tr r="AE5" s="98"/>
      </tp>
      <tp t="e">
        <v>#N/A</v>
        <stp/>
        <stp>BDS|17611728901699256060</stp>
        <tr r="DL5" s="32"/>
      </tp>
      <tp t="e">
        <v>#N/A</v>
        <stp/>
        <stp>BDS|16506591136909392089</stp>
        <tr r="MR5" s="105"/>
      </tp>
      <tp t="e">
        <v>#N/A</v>
        <stp/>
        <stp>BDS|14809552328988305274</stp>
        <tr r="JZ5" s="10"/>
      </tp>
      <tp t="e">
        <v>#N/A</v>
        <stp/>
        <stp>BDS|12796866571516807296</stp>
        <tr r="FJ5" s="88"/>
      </tp>
      <tp t="e">
        <v>#N/A</v>
        <stp/>
        <stp>BDS|16181523642749462746</stp>
        <tr r="JZ5" s="70"/>
      </tp>
      <tp t="e">
        <v>#N/A</v>
        <stp/>
        <stp>BDS|15432224297244303336</stp>
        <tr r="MH5" s="21"/>
      </tp>
      <tp t="e">
        <v>#N/A</v>
        <stp/>
        <stp>BDS|11758873802418643855</stp>
        <tr r="JK5" s="88"/>
      </tp>
      <tp t="e">
        <v>#N/A</v>
        <stp/>
        <stp>BDS|15087308081322148516</stp>
        <tr r="MR5" s="1"/>
      </tp>
      <tp t="e">
        <v>#N/A</v>
        <stp/>
        <stp>BDS|12110536523034279820</stp>
        <tr r="BI5" s="53"/>
      </tp>
      <tp t="e">
        <v>#N/A</v>
        <stp/>
        <stp>BDS|11417037542789435505</stp>
        <tr r="LN5" s="12"/>
      </tp>
      <tp t="e">
        <v>#N/A</v>
        <stp/>
        <stp>BDS|10495187497727989636</stp>
        <tr r="DB5" s="92"/>
      </tp>
      <tp t="e">
        <v>#N/A</v>
        <stp/>
        <stp>BDS|11555977132694644676</stp>
        <tr r="K5" s="79"/>
      </tp>
      <tp t="e">
        <v>#N/A</v>
        <stp/>
        <stp>BDS|10264868145043097603</stp>
        <tr r="CH5" s="17"/>
      </tp>
      <tp t="e">
        <v>#N/A</v>
        <stp/>
        <stp>BDS|12451613203665174863</stp>
        <tr r="DG5" s="110"/>
      </tp>
      <tp t="e">
        <v>#N/A</v>
        <stp/>
        <stp>BDS|14090665905578311363</stp>
        <tr r="BD5" s="36"/>
      </tp>
      <tp t="e">
        <v>#N/A</v>
        <stp/>
        <stp>BDS|17749246901675664928</stp>
        <tr r="FO5" s="20"/>
      </tp>
      <tp t="e">
        <v>#N/A</v>
        <stp/>
        <stp>BDS|12311018396772229003</stp>
        <tr r="LN5" s="113"/>
      </tp>
      <tp t="e">
        <v>#N/A</v>
        <stp/>
        <stp>BDS|17291101305297433856</stp>
        <tr r="OA5" s="97"/>
      </tp>
      <tp t="e">
        <v>#N/A</v>
        <stp/>
        <stp>BDS|11581993743735020091</stp>
        <tr r="F5" s="30"/>
      </tp>
      <tp t="e">
        <v>#N/A</v>
        <stp/>
        <stp>BDS|10801526851139802054</stp>
        <tr r="KY5" s="10"/>
      </tp>
      <tp t="e">
        <v>#N/A</v>
        <stp/>
        <stp>BDS|13654823608445374795</stp>
        <tr r="NV5" s="29"/>
      </tp>
      <tp t="e">
        <v>#N/A</v>
        <stp/>
        <stp>BDS|11800557697220419482</stp>
        <tr r="AJ5" s="63"/>
      </tp>
      <tp t="e">
        <v>#N/A</v>
        <stp/>
        <stp>BDS|10561346995502396119</stp>
        <tr r="LI5" s="30"/>
      </tp>
      <tp t="e">
        <v>#N/A</v>
        <stp/>
        <stp>BDS|12466417320634051937</stp>
        <tr r="NG5" s="59"/>
      </tp>
      <tp t="e">
        <v>#N/A</v>
        <stp/>
        <stp>BDS|17302353194445448107</stp>
        <tr r="CM5" s="69"/>
      </tp>
      <tp t="e">
        <v>#N/A</v>
        <stp/>
        <stp>BDS|16008170695071727636</stp>
        <tr r="EA5" s="47"/>
      </tp>
      <tp t="e">
        <v>#N/A</v>
        <stp/>
        <stp>BDS|12406409166769131046</stp>
        <tr r="K5" s="105"/>
      </tp>
      <tp t="e">
        <v>#N/A</v>
        <stp/>
        <stp>BDS|14066863817401507538</stp>
        <tr r="Z5" s="81"/>
      </tp>
      <tp t="e">
        <v>#N/A</v>
        <stp/>
        <stp>BDS|14117697622031982847</stp>
        <tr r="JZ5" s="27"/>
      </tp>
      <tp t="e">
        <v>#N/A</v>
        <stp/>
        <stp>BDS|10128287715038803238</stp>
        <tr r="DL5" s="70"/>
      </tp>
      <tp t="e">
        <v>#N/A</v>
        <stp/>
        <stp>BDS|15715740947188441779</stp>
        <tr r="HH5" s="62"/>
      </tp>
      <tp t="e">
        <v>#N/A</v>
        <stp/>
        <stp>BDS|16421202124407100869</stp>
        <tr r="KE5" s="2"/>
      </tp>
      <tp t="e">
        <v>#N/A</v>
        <stp/>
        <stp>BDS|12076935744782492440</stp>
        <tr r="AT5" s="51"/>
      </tp>
      <tp t="e">
        <v>#N/A</v>
        <stp/>
        <stp>BDS|15486420111049636067</stp>
        <tr r="DQ5" s="122"/>
      </tp>
      <tp t="e">
        <v>#N/A</v>
        <stp/>
        <stp>BDS|13284882101876887449</stp>
        <tr r="LI5" s="46"/>
      </tp>
      <tp t="e">
        <v>#N/A</v>
        <stp/>
        <stp>BDS|15104543795305268554</stp>
        <tr r="EZ5" s="72"/>
        <tr r="CR5" s="35"/>
      </tp>
      <tp t="e">
        <v>#N/A</v>
        <stp/>
        <stp>BDS|11016780524399263494</stp>
        <tr r="HW5" s="44"/>
      </tp>
      <tp t="e">
        <v>#N/A</v>
        <stp/>
        <stp>BDS|10977945203183026391</stp>
        <tr r="BN5" s="59"/>
      </tp>
      <tp t="e">
        <v>#N/A</v>
        <stp/>
        <stp>BDS|11462893548254346013</stp>
        <tr r="JP5" s="4"/>
      </tp>
      <tp t="e">
        <v>#N/A</v>
        <stp/>
        <stp>BDS|10302219195557996595</stp>
        <tr r="GN5" s="76"/>
      </tp>
      <tp t="e">
        <v>#N/A</v>
        <stp/>
        <stp>BDS|10056884911674675487</stp>
        <tr r="KT5" s="21"/>
      </tp>
      <tp t="e">
        <v>#N/A</v>
        <stp/>
        <stp>BDS|13020807360920230458</stp>
        <tr r="IV5" s="79"/>
      </tp>
      <tp t="e">
        <v>#N/A</v>
        <stp/>
        <stp>BDS|13078910641323257457</stp>
        <tr r="MW5" s="84"/>
      </tp>
      <tp t="e">
        <v>#N/A</v>
        <stp/>
        <stp>BDS|17271303322376202951</stp>
        <tr r="LD5" s="93"/>
      </tp>
      <tp t="e">
        <v>#N/A</v>
        <stp/>
        <stp>BDS|16331903303552059475</stp>
        <tr r="EA5" s="23"/>
      </tp>
      <tp t="e">
        <v>#N/A</v>
        <stp/>
        <stp>BDS|17732756511671039945</stp>
        <tr r="KJ5" s="76"/>
      </tp>
      <tp t="e">
        <v>#N/A</v>
        <stp/>
        <stp>BDS|14619925812034916180</stp>
        <tr r="EA5" s="80"/>
      </tp>
      <tp t="e">
        <v>#N/A</v>
        <stp/>
        <stp>BDS|15638928861785104638</stp>
        <tr r="CW5" s="14"/>
      </tp>
      <tp t="e">
        <v>#N/A</v>
        <stp/>
        <stp>BDS|16284275485042247763</stp>
        <tr r="CH5" s="27"/>
      </tp>
      <tp t="e">
        <v>#N/A</v>
        <stp/>
        <stp>BDS|15317741889035916639</stp>
        <tr r="EA5" s="56"/>
      </tp>
      <tp t="e">
        <v>#N/A</v>
        <stp/>
        <stp>BDS|13030900955811721764</stp>
        <tr r="MH5" s="62"/>
      </tp>
      <tp t="e">
        <v>#N/A</v>
        <stp/>
        <stp>BDS|12557658154421713975</stp>
        <tr r="LS5" s="87"/>
      </tp>
      <tp t="e">
        <v>#N/A</v>
        <stp/>
        <stp>BDS|18024782566152257289</stp>
        <tr r="Z5" s="111"/>
      </tp>
      <tp t="e">
        <v>#N/A</v>
        <stp/>
        <stp>BDS|14809283051582118844</stp>
        <tr r="AT5" s="8"/>
      </tp>
      <tp t="e">
        <v>#N/A</v>
        <stp/>
        <stp>BDS|18243815735792314814</stp>
        <tr r="KE5" s="69"/>
      </tp>
      <tp t="e">
        <v>#N/A</v>
        <stp/>
        <stp>BDS|14865290093124418227</stp>
        <tr r="NQ5" s="4"/>
      </tp>
      <tp t="e">
        <v>#N/A</v>
        <stp/>
        <stp>BDS|10739387257667542896</stp>
        <tr r="HW5" s="10"/>
      </tp>
      <tp t="e">
        <v>#N/A</v>
        <stp/>
        <stp>BDS|15401241159173861856</stp>
        <tr r="FO5" s="54"/>
      </tp>
      <tp t="e">
        <v>#N/A</v>
        <stp/>
        <stp>BDS|10525946493930488921</stp>
        <tr r="NG5" s="86"/>
      </tp>
      <tp t="e">
        <v>#N/A</v>
        <stp/>
        <stp>BDS|17413201129317013996</stp>
        <tr r="KE5" s="33"/>
      </tp>
      <tp t="e">
        <v>#N/A</v>
        <stp/>
        <stp>BDS|14501836177300612230</stp>
        <tr r="JZ5" s="116"/>
      </tp>
      <tp t="e">
        <v>#N/A</v>
        <stp/>
        <stp>BDS|12087612994147976393</stp>
        <tr r="AJ5" s="109"/>
      </tp>
      <tp t="e">
        <v>#N/A</v>
        <stp/>
        <stp>BDS|16558254002204485939</stp>
        <tr r="KJ5" s="121"/>
      </tp>
      <tp t="e">
        <v>#N/A</v>
        <stp/>
        <stp>BDS|15745826174706301577</stp>
        <tr r="AT5" s="39"/>
      </tp>
      <tp t="e">
        <v>#N/A</v>
        <stp/>
        <stp>BDS|11417027151335640840</stp>
        <tr r="LI5" s="91"/>
      </tp>
      <tp t="e">
        <v>#N/A</v>
        <stp/>
        <stp>BDS|13914924748277432024</stp>
        <tr r="KJ5" s="51"/>
      </tp>
      <tp t="e">
        <v>#N/A</v>
        <stp/>
        <stp>BDS|15204940715435111175</stp>
        <tr r="KY5" s="21"/>
      </tp>
      <tp t="e">
        <v>#N/A</v>
        <stp/>
        <stp>BDS|12308119852828771726</stp>
        <tr r="A5" s="19"/>
      </tp>
      <tp t="e">
        <v>#N/A</v>
        <stp/>
        <stp>BDS|14458612020481614865</stp>
        <tr r="OA5" s="11"/>
      </tp>
      <tp t="e">
        <v>#N/A</v>
        <stp/>
        <stp>BDS|12790530470018756696</stp>
        <tr r="EZ5" s="97"/>
      </tp>
      <tp t="e">
        <v>#N/A</v>
        <stp/>
        <stp>BDS|12865929085369465415</stp>
        <tr r="JU5" s="26"/>
      </tp>
      <tp t="e">
        <v>#N/A</v>
        <stp/>
        <stp>BDS|13545558472419950613</stp>
        <tr r="IV5" s="3"/>
      </tp>
      <tp t="e">
        <v>#N/A</v>
        <stp/>
        <stp>BDS|10286015672059959025</stp>
        <tr r="LN5" s="75"/>
      </tp>
      <tp t="e">
        <v>#N/A</v>
        <stp/>
        <stp>BDS|15088782278963865829</stp>
        <tr r="IQ5" s="44"/>
      </tp>
      <tp t="e">
        <v>#N/A</v>
        <stp/>
        <stp>BDS|18121042777863123296</stp>
        <tr r="KT5" s="64"/>
      </tp>
      <tp t="e">
        <v>#N/A</v>
        <stp/>
        <stp>BDS|18283151121390507599</stp>
        <tr r="DL5" s="15"/>
      </tp>
      <tp t="e">
        <v>#N/A</v>
        <stp/>
        <stp>BDS|16875645899984796381</stp>
        <tr r="U5" s="83"/>
      </tp>
      <tp t="e">
        <v>#N/A</v>
        <stp/>
        <stp>BDS|14517126840048507785</stp>
        <tr r="CC5" s="50"/>
      </tp>
      <tp t="e">
        <v>#N/A</v>
        <stp/>
        <stp>BDS|11608836263140410184</stp>
        <tr r="F5" s="116"/>
      </tp>
      <tp t="e">
        <v>#N/A</v>
        <stp/>
        <stp>BDS|12640419851689489481</stp>
        <tr r="LI5" s="5"/>
      </tp>
      <tp t="e">
        <v>#N/A</v>
        <stp/>
        <stp>BDS|15587909648395714302</stp>
        <tr r="MC5" s="124"/>
      </tp>
      <tp t="e">
        <v>#N/A</v>
        <stp/>
        <stp>BDS|14076144668168513532</stp>
        <tr r="FE5" s="93"/>
      </tp>
      <tp t="e">
        <v>#N/A</v>
        <stp/>
        <stp>BDS|16903763066611202810</stp>
        <tr r="EU5" s="58"/>
      </tp>
      <tp t="e">
        <v>#N/A</v>
        <stp/>
        <stp>BDS|15314895566126376356</stp>
        <tr r="GS5" s="78"/>
      </tp>
      <tp t="e">
        <v>#N/A</v>
        <stp/>
        <stp>BDS|17411998155053654648</stp>
        <tr r="Z5" s="74"/>
      </tp>
      <tp t="e">
        <v>#N/A</v>
        <stp/>
        <stp>BDS|15090907741261811739</stp>
        <tr r="U5" s="21"/>
      </tp>
      <tp t="e">
        <v>#N/A</v>
        <stp/>
        <stp>BDS|12503692247556657876</stp>
        <tr r="MH5" s="93"/>
      </tp>
      <tp t="e">
        <v>#N/A</v>
        <stp/>
        <stp>BDS|10815354450978739016</stp>
        <tr r="KJ5" s="32"/>
      </tp>
      <tp t="e">
        <v>#N/A</v>
        <stp/>
        <stp>BDS|17521596324459080731</stp>
        <tr r="DL5" s="108"/>
      </tp>
      <tp t="e">
        <v>#N/A</v>
        <stp/>
        <stp>BDS|11618583695082743179</stp>
        <tr r="EF5" s="60"/>
      </tp>
      <tp t="e">
        <v>#N/A</v>
        <stp/>
        <stp>BDS|13334228154752772894</stp>
        <tr r="BI5" s="16"/>
      </tp>
      <tp t="e">
        <v>#N/A</v>
        <stp/>
        <stp>BDS|14827252191460688111</stp>
        <tr r="AY5" s="37"/>
      </tp>
      <tp t="e">
        <v>#N/A</v>
        <stp/>
        <stp>BDS|15222761577008063388</stp>
        <tr r="BI5" s="38"/>
      </tp>
      <tp t="e">
        <v>#N/A</v>
        <stp/>
        <stp>BDS|15748055190992138088</stp>
        <tr r="CM5" s="97"/>
      </tp>
      <tp t="e">
        <v>#N/A</v>
        <stp/>
        <stp>BDS|10374995524753639634</stp>
        <tr r="DQ5" s="109"/>
      </tp>
      <tp t="e">
        <v>#N/A</v>
        <stp/>
        <stp>BDS|11964221702914149938</stp>
        <tr r="CW5" s="37"/>
      </tp>
      <tp t="e">
        <v>#N/A</v>
        <stp/>
        <stp>BDS|13211595384391450103</stp>
        <tr r="FJ5" s="77"/>
      </tp>
      <tp t="e">
        <v>#N/A</v>
        <stp/>
        <stp>BDS|12594009818464746910</stp>
        <tr r="MH5" s="5"/>
      </tp>
      <tp t="e">
        <v>#N/A</v>
        <stp/>
        <stp>BDS|15386539583261913712</stp>
        <tr r="CW5" s="40"/>
      </tp>
      <tp t="e">
        <v>#N/A</v>
        <stp/>
        <stp>BDS|10779515280222919141</stp>
        <tr r="CH5" s="83"/>
      </tp>
      <tp t="e">
        <v>#N/A</v>
        <stp/>
        <stp>BDS|16842950940224657104</stp>
        <tr r="HC5" s="89"/>
      </tp>
      <tp t="e">
        <v>#N/A</v>
        <stp/>
        <stp>BDS|13710402286916998734</stp>
        <tr r="BX5" s="95"/>
      </tp>
      <tp t="e">
        <v>#N/A</v>
        <stp/>
        <stp>BDS|10891978930207720337</stp>
        <tr r="BD5" s="52"/>
      </tp>
      <tp t="e">
        <v>#N/A</v>
        <stp/>
        <stp>BDS|17333390253247660841</stp>
        <tr r="EP5" s="17"/>
        <tr r="IL5" s="6"/>
      </tp>
      <tp t="e">
        <v>#N/A</v>
        <stp/>
        <stp>BDS|15998171987906227438</stp>
        <tr r="A5" s="35"/>
      </tp>
      <tp t="e">
        <v>#N/A</v>
        <stp/>
        <stp>BDS|15967250452169049569</stp>
        <tr r="HC5" s="14"/>
      </tp>
      <tp t="e">
        <v>#N/A</v>
        <stp/>
        <stp>BDS|10281312598247343305</stp>
        <tr r="FY5" s="113"/>
      </tp>
      <tp t="e">
        <v>#N/A</v>
        <stp/>
        <stp>BDS|17575463590212389686</stp>
        <tr r="HR5" s="3"/>
      </tp>
      <tp t="e">
        <v>#N/A</v>
        <stp/>
        <stp>BDS|11788328505558083485</stp>
        <tr r="EF5" s="42"/>
      </tp>
      <tp t="e">
        <v>#N/A</v>
        <stp/>
        <stp>BDS|14720638987580927425</stp>
        <tr r="FT5" s="73"/>
      </tp>
      <tp t="e">
        <v>#N/A</v>
        <stp/>
        <stp>BDS|15762687701369286445</stp>
        <tr r="NV5" s="10"/>
      </tp>
      <tp t="e">
        <v>#N/A</v>
        <stp/>
        <stp>BDS|12812151617729310519</stp>
        <tr r="OF5" s="119"/>
      </tp>
      <tp t="e">
        <v>#N/A</v>
        <stp/>
        <stp>BDS|12306168572693618990</stp>
        <tr r="BD5" s="18"/>
      </tp>
      <tp t="e">
        <v>#N/A</v>
        <stp/>
        <stp>BDS|10147890176720179176</stp>
        <tr r="HC5" s="111"/>
      </tp>
      <tp t="e">
        <v>#N/A</v>
        <stp/>
        <stp>BDS|17840818234105580707</stp>
        <tr r="IL5" s="95"/>
      </tp>
      <tp t="e">
        <v>#N/A</v>
        <stp/>
        <stp>BDS|14008426099796379107</stp>
        <tr r="EA5" s="100"/>
      </tp>
      <tp t="e">
        <v>#N/A</v>
        <stp/>
        <stp>BDS|10288122451723194983</stp>
        <tr r="NG5" s="46"/>
      </tp>
      <tp t="e">
        <v>#N/A</v>
        <stp/>
        <stp>BDS|15788943827952849240</stp>
        <tr r="AO5" s="51"/>
      </tp>
      <tp t="e">
        <v>#N/A</v>
        <stp/>
        <stp>BDS|15139680971839262328</stp>
        <tr r="EZ5" s="77"/>
      </tp>
      <tp t="e">
        <v>#N/A</v>
        <stp/>
        <stp>BDS|11834849995607372932</stp>
        <tr r="NG5" s="1"/>
      </tp>
      <tp t="e">
        <v>#N/A</v>
        <stp/>
        <stp>BDS|18199806199370306720</stp>
        <tr r="LX5" s="53"/>
      </tp>
      <tp t="e">
        <v>#N/A</v>
        <stp/>
        <stp>BDS|17024753846482258883</stp>
        <tr r="GI5" s="64"/>
      </tp>
      <tp t="e">
        <v>#N/A</v>
        <stp/>
        <stp>BDS|13973102084540762434</stp>
        <tr r="IG5" s="39"/>
      </tp>
      <tp t="e">
        <v>#N/A</v>
        <stp/>
        <stp>BDS|16050767501528654780</stp>
        <tr r="IG5" s="47"/>
      </tp>
      <tp t="e">
        <v>#N/A</v>
        <stp/>
        <stp>BDS|10721736157535213980</stp>
        <tr r="AT5" s="68"/>
      </tp>
      <tp t="e">
        <v>#N/A</v>
        <stp/>
        <stp>BDS|12316132248551130803</stp>
        <tr r="GD5" s="88"/>
      </tp>
      <tp t="e">
        <v>#N/A</v>
        <stp/>
        <stp>BDS|12679006901738902472</stp>
        <tr r="U5" s="12"/>
      </tp>
      <tp t="e">
        <v>#N/A</v>
        <stp/>
        <stp>BDS|16303199386232346314</stp>
        <tr r="MR5" s="30"/>
      </tp>
      <tp t="e">
        <v>#N/A</v>
        <stp/>
        <stp>BDS|11259074792794987204</stp>
        <tr r="BS5" s="82"/>
      </tp>
      <tp t="e">
        <v>#N/A</v>
        <stp/>
        <stp>BDS|13745355389060095651</stp>
        <tr r="GD5" s="104"/>
      </tp>
      <tp t="e">
        <v>#N/A</v>
        <stp/>
        <stp>BDS|13079960101827178381</stp>
        <tr r="FY5" s="46"/>
      </tp>
      <tp t="e">
        <v>#N/A</v>
        <stp/>
        <stp>BDS|14947623487927250304</stp>
        <tr r="MR5" s="75"/>
      </tp>
      <tp t="e">
        <v>#N/A</v>
        <stp/>
        <stp>BDS|12995739721069387066</stp>
        <tr r="KJ5" s="40"/>
      </tp>
      <tp t="e">
        <v>#N/A</v>
        <stp/>
        <stp>BDS|12216205331998836553</stp>
        <tr r="HW5" s="2"/>
      </tp>
      <tp t="e">
        <v>#N/A</v>
        <stp/>
        <stp>BDS|12761520989623758257</stp>
        <tr r="KT5" s="46"/>
      </tp>
      <tp t="e">
        <v>#N/A</v>
        <stp/>
        <stp>BDS|11622503839611164800</stp>
        <tr r="F5" s="21"/>
      </tp>
      <tp t="e">
        <v>#N/A</v>
        <stp/>
        <stp>BDS|10107570649307724860</stp>
        <tr r="AE5" s="119"/>
      </tp>
      <tp t="e">
        <v>#N/A</v>
        <stp/>
        <stp>BDS|16446052789409071964</stp>
        <tr r="GS5" s="115"/>
      </tp>
      <tp t="e">
        <v>#N/A</v>
        <stp/>
        <stp>BDS|12722642993582816164</stp>
        <tr r="GS5" s="80"/>
      </tp>
      <tp t="e">
        <v>#N/A</v>
        <stp/>
        <stp>BDS|18298283115017167209</stp>
        <tr r="AY5" s="125"/>
      </tp>
      <tp t="e">
        <v>#N/A</v>
        <stp/>
        <stp>BDS|14265321645289396488</stp>
        <tr r="NQ5" s="2"/>
      </tp>
      <tp t="e">
        <v>#N/A</v>
        <stp/>
        <stp>BDS|10077449728901596964</stp>
        <tr r="LD5" s="64"/>
      </tp>
      <tp t="e">
        <v>#N/A</v>
        <stp/>
        <stp>BDS|16376952670457993102</stp>
        <tr r="LD5" s="77"/>
      </tp>
      <tp t="e">
        <v>#N/A</v>
        <stp/>
        <stp>BDS|13479188882662624672</stp>
        <tr r="EU5" s="9"/>
      </tp>
      <tp t="e">
        <v>#N/A</v>
        <stp/>
        <stp>BDS|18049444020093987327</stp>
        <tr r="EF5" s="108"/>
      </tp>
      <tp t="e">
        <v>#N/A</v>
        <stp/>
        <stp>BDS|17354858117013886368</stp>
        <tr r="BS5" s="14"/>
      </tp>
      <tp t="e">
        <v>#N/A</v>
        <stp/>
        <stp>BDS|13682801426864840379</stp>
        <tr r="GD5" s="65"/>
      </tp>
      <tp t="e">
        <v>#N/A</v>
        <stp/>
        <stp>BDS|11221196987521511763</stp>
        <tr r="NG5" s="13"/>
      </tp>
      <tp t="e">
        <v>#N/A</v>
        <stp/>
        <stp>BDS|17864209784886611555</stp>
        <tr r="AY5" s="96"/>
      </tp>
      <tp t="e">
        <v>#N/A</v>
        <stp/>
        <stp>BDS|17319707908466364877</stp>
        <tr r="JU5" s="41"/>
      </tp>
      <tp t="e">
        <v>#N/A</v>
        <stp/>
        <stp>BDS|15566926019325842696</stp>
        <tr r="BI5" s="66"/>
      </tp>
      <tp t="e">
        <v>#N/A</v>
        <stp/>
        <stp>BDS|15981518582407662133</stp>
        <tr r="KO5" s="108"/>
      </tp>
      <tp t="e">
        <v>#N/A</v>
        <stp/>
        <stp>BDS|15897019562064716930</stp>
        <tr r="K5" s="80"/>
      </tp>
      <tp t="e">
        <v>#N/A</v>
        <stp/>
        <stp>BDS|13002586061357375952</stp>
        <tr r="LX5" s="68"/>
      </tp>
      <tp t="e">
        <v>#N/A</v>
        <stp/>
        <stp>BDS|12355511504291845817</stp>
        <tr r="LI5" s="22"/>
      </tp>
      <tp t="e">
        <v>#N/A</v>
        <stp/>
        <stp>BDS|16184396498340920254</stp>
        <tr r="NL5" s="73"/>
      </tp>
      <tp t="e">
        <v>#N/A</v>
        <stp/>
        <stp>BDS|13986465402861163808</stp>
        <tr r="MR5" s="111"/>
      </tp>
      <tp t="e">
        <v>#N/A</v>
        <stp/>
        <stp>BDS|15185625122068410797</stp>
        <tr r="JK5" s="11"/>
      </tp>
      <tp t="e">
        <v>#N/A</v>
        <stp/>
        <stp>BDS|14224809077445115084</stp>
        <tr r="LS5" s="5"/>
      </tp>
      <tp t="e">
        <v>#N/A</v>
        <stp/>
        <stp>BDS|15230991360972658611</stp>
        <tr r="LS5" s="14"/>
      </tp>
      <tp t="e">
        <v>#N/A</v>
        <stp/>
        <stp>BDS|10074109380432979553</stp>
        <tr r="KT5" s="23"/>
      </tp>
      <tp t="e">
        <v>#N/A</v>
        <stp/>
        <stp>BDS|18257108325040371587</stp>
        <tr r="P5" s="1"/>
      </tp>
      <tp t="e">
        <v>#N/A</v>
        <stp/>
        <stp>BDS|13790856309503260651</stp>
        <tr r="EP5" s="103"/>
      </tp>
      <tp t="e">
        <v>#N/A</v>
        <stp/>
        <stp>BDS|10538052889770029658</stp>
        <tr r="HM5" s="75"/>
      </tp>
      <tp t="e">
        <v>#N/A</v>
        <stp/>
        <stp>BDS|11985906474868419955</stp>
        <tr r="U5" s="108"/>
      </tp>
      <tp t="e">
        <v>#N/A</v>
        <stp/>
        <stp>BDS|14830224086145733575</stp>
        <tr r="AJ5" s="115"/>
      </tp>
      <tp t="e">
        <v>#N/A</v>
        <stp/>
        <stp>BDS|18302245714721946461</stp>
        <tr r="KY5" s="101"/>
      </tp>
      <tp t="e">
        <v>#N/A</v>
        <stp/>
        <stp>BDS|11162954958517960494</stp>
        <tr r="JK5" s="78"/>
      </tp>
      <tp t="e">
        <v>#N/A</v>
        <stp/>
        <stp>BDS|13017058589474802188</stp>
        <tr r="FO5" s="80"/>
      </tp>
      <tp t="e">
        <v>#N/A</v>
        <stp/>
        <stp>BDS|14464478022374900857</stp>
        <tr r="JP5" s="62"/>
      </tp>
      <tp t="e">
        <v>#N/A</v>
        <stp/>
        <stp>BDS|14075474660910380898</stp>
        <tr r="FJ5" s="28"/>
      </tp>
      <tp t="e">
        <v>#N/A</v>
        <stp/>
        <stp>BDS|15112817643921743692</stp>
        <tr r="DG5" s="27"/>
      </tp>
      <tp t="e">
        <v>#N/A</v>
        <stp/>
        <stp>BDS|16794292243576418847</stp>
        <tr r="AO5" s="113"/>
      </tp>
      <tp t="e">
        <v>#N/A</v>
        <stp/>
        <stp>BDS|10778662339318029356</stp>
        <tr r="K5" s="116"/>
      </tp>
      <tp t="e">
        <v>#N/A</v>
        <stp/>
        <stp>BDS|15828420380460626715</stp>
        <tr r="BS5" s="54"/>
      </tp>
      <tp t="e">
        <v>#N/A</v>
        <stp/>
        <stp>BDS|13431972619030557525</stp>
        <tr r="KJ5" s="93"/>
      </tp>
      <tp t="e">
        <v>#N/A</v>
        <stp/>
        <stp>BDS|13787358400249667794</stp>
        <tr r="MH5" s="35"/>
      </tp>
      <tp t="e">
        <v>#N/A</v>
        <stp/>
        <stp>BDS|11103573665699971575</stp>
        <tr r="OA5" s="111"/>
      </tp>
      <tp t="e">
        <v>#N/A</v>
        <stp/>
        <stp>BDS|14431988752311687757</stp>
        <tr r="GN5" s="5"/>
      </tp>
      <tp t="e">
        <v>#N/A</v>
        <stp/>
        <stp>BDS|12901720446376573952</stp>
        <tr r="AE5" s="49"/>
      </tp>
      <tp t="e">
        <v>#N/A</v>
        <stp/>
        <stp>BDS|14395327688972536311</stp>
        <tr r="F5" s="111"/>
      </tp>
      <tp t="e">
        <v>#N/A</v>
        <stp/>
        <stp>BDS|14598881240935716389</stp>
        <tr r="EZ5" s="26"/>
      </tp>
      <tp t="e">
        <v>#N/A</v>
        <stp/>
        <stp>BDS|17299778990900131764</stp>
        <tr r="IV5" s="9"/>
      </tp>
      <tp t="e">
        <v>#N/A</v>
        <stp/>
        <stp>BDS|12503209305906563878</stp>
        <tr r="GN5" s="23"/>
      </tp>
      <tp t="e">
        <v>#N/A</v>
        <stp/>
        <stp>BDS|16403177104849255074</stp>
        <tr r="JK5" s="30"/>
      </tp>
      <tp t="e">
        <v>#N/A</v>
        <stp/>
        <stp>BDS|18119554547115282231</stp>
        <tr r="IL5" s="26"/>
      </tp>
      <tp t="e">
        <v>#N/A</v>
        <stp/>
        <stp>BDS|15968235937292816873</stp>
        <tr r="KY5" s="113"/>
        <tr r="LI5" s="105"/>
      </tp>
      <tp t="e">
        <v>#N/A</v>
        <stp/>
        <stp>BDS|18026120752164473666</stp>
        <tr r="LI5" s="26"/>
      </tp>
      <tp t="e">
        <v>#N/A</v>
        <stp/>
        <stp>BDS|11432093304977978829</stp>
        <tr r="BN5" s="45"/>
      </tp>
      <tp t="e">
        <v>#N/A</v>
        <stp/>
        <stp>BDS|18299343374842445042</stp>
        <tr r="NL5" s="109"/>
      </tp>
      <tp t="e">
        <v>#N/A</v>
        <stp/>
        <stp>BDS|18296133322097588246</stp>
        <tr r="GX5" s="48"/>
      </tp>
      <tp t="e">
        <v>#N/A</v>
        <stp/>
        <stp>BDS|13862888974995065765</stp>
        <tr r="AY5" s="33"/>
      </tp>
      <tp t="e">
        <v>#N/A</v>
        <stp/>
        <stp>BDS|10536526203828502326</stp>
        <tr r="A5" s="119"/>
      </tp>
      <tp t="e">
        <v>#N/A</v>
        <stp/>
        <stp>BDS|11156673257365570978</stp>
        <tr r="KE5" s="75"/>
      </tp>
      <tp t="e">
        <v>#N/A</v>
        <stp/>
        <stp>BDS|12678578441199526464</stp>
        <tr r="MH5" s="72"/>
      </tp>
      <tp t="e">
        <v>#N/A</v>
        <stp/>
        <stp>BDS|12784455301399221120</stp>
        <tr r="DL5" s="46"/>
      </tp>
      <tp t="e">
        <v>#N/A</v>
        <stp/>
        <stp>BDS|13095895004193887669</stp>
        <tr r="CC5" s="74"/>
      </tp>
      <tp t="e">
        <v>#N/A</v>
        <stp/>
        <stp>BDS|15358258764806804999</stp>
        <tr r="LN5" s="34"/>
      </tp>
      <tp t="e">
        <v>#N/A</v>
        <stp/>
        <stp>BDS|10421767795873499307</stp>
        <tr r="MW5" s="10"/>
      </tp>
      <tp t="e">
        <v>#N/A</v>
        <stp/>
        <stp>BDS|10179347789141714482</stp>
        <tr r="IV5" s="1"/>
      </tp>
      <tp t="e">
        <v>#N/A</v>
        <stp/>
        <stp>BDS|10737150597891613708</stp>
        <tr r="JK5" s="65"/>
      </tp>
      <tp t="e">
        <v>#N/A</v>
        <stp/>
        <stp>BDS|15294441557863227902</stp>
        <tr r="AJ5" s="87"/>
      </tp>
      <tp t="e">
        <v>#N/A</v>
        <stp/>
        <stp>BDS|14090866805341333339</stp>
        <tr r="EU5" s="35"/>
      </tp>
      <tp t="e">
        <v>#N/A</v>
        <stp/>
        <stp>BDS|17631723933058259561</stp>
        <tr r="IL5" s="106"/>
      </tp>
      <tp t="e">
        <v>#N/A</v>
        <stp/>
        <stp>BDS|16415826404351595176</stp>
        <tr r="BS5" s="89"/>
      </tp>
      <tp t="e">
        <v>#N/A</v>
        <stp/>
        <stp>BDS|17595087199533093348</stp>
        <tr r="IL5" s="104"/>
      </tp>
      <tp t="e">
        <v>#N/A</v>
        <stp/>
        <stp>BDS|15556798194061813405</stp>
        <tr r="JF5" s="37"/>
      </tp>
      <tp t="e">
        <v>#N/A</v>
        <stp/>
        <stp>BDS|14497271997176231765</stp>
        <tr r="NL5" s="87"/>
      </tp>
      <tp t="e">
        <v>#N/A</v>
        <stp/>
        <stp>BDS|12502944940972270337</stp>
        <tr r="GI5" s="21"/>
      </tp>
      <tp t="e">
        <v>#N/A</v>
        <stp/>
        <stp>BDS|10076880208615446348</stp>
        <tr r="GN5" s="99"/>
      </tp>
      <tp t="e">
        <v>#N/A</v>
        <stp/>
        <stp>BDS|14393732398387806304</stp>
        <tr r="CC5" s="56"/>
      </tp>
      <tp t="e">
        <v>#N/A</v>
        <stp/>
        <stp>BDS|18123190338585025104</stp>
        <tr r="CW5" s="49"/>
      </tp>
      <tp t="e">
        <v>#N/A</v>
        <stp/>
        <stp>BDS|10048756781195338471</stp>
        <tr r="KE5" s="27"/>
      </tp>
      <tp t="e">
        <v>#N/A</v>
        <stp/>
        <stp>BDS|15032506151593292838</stp>
        <tr r="AE5" s="17"/>
      </tp>
      <tp t="e">
        <v>#N/A</v>
        <stp/>
        <stp>BDS|16503900125486265525</stp>
        <tr r="A5" s="32"/>
      </tp>
      <tp t="e">
        <v>#N/A</v>
        <stp/>
        <stp>BDS|10324140309338718796</stp>
        <tr r="LD5" s="26"/>
      </tp>
      <tp t="e">
        <v>#N/A</v>
        <stp/>
        <stp>BDS|10741578277214098871</stp>
        <tr r="AO5" s="23"/>
      </tp>
      <tp t="e">
        <v>#N/A</v>
        <stp/>
        <stp>BDS|13616971067527131573</stp>
        <tr r="KJ5" s="63"/>
      </tp>
      <tp t="e">
        <v>#N/A</v>
        <stp/>
        <stp>BDS|15337155990550728314</stp>
        <tr r="KY5" s="50"/>
      </tp>
      <tp t="e">
        <v>#N/A</v>
        <stp/>
        <stp>BDS|14501207124362573859</stp>
        <tr r="BD5" s="79"/>
      </tp>
      <tp t="e">
        <v>#N/A</v>
        <stp/>
        <stp>BDS|17660408687536801381</stp>
        <tr r="MC5" s="25"/>
      </tp>
      <tp t="e">
        <v>#N/A</v>
        <stp/>
        <stp>BDS|16100137987835523414</stp>
        <tr r="IQ5" s="4"/>
      </tp>
      <tp t="e">
        <v>#N/A</v>
        <stp/>
        <stp>BDS|10561527395566240418</stp>
        <tr r="IG5" s="86"/>
      </tp>
      <tp t="e">
        <v>#N/A</v>
        <stp/>
        <stp>BDS|11144656456479180521</stp>
        <tr r="MR5" s="66"/>
      </tp>
      <tp t="e">
        <v>#N/A</v>
        <stp/>
        <stp>BDS|15296982853677863006</stp>
        <tr r="MC5" s="58"/>
      </tp>
      <tp t="e">
        <v>#N/A</v>
        <stp/>
        <stp>BDS|12114738452427535943</stp>
        <tr r="U5" s="112"/>
      </tp>
      <tp t="e">
        <v>#N/A</v>
        <stp/>
        <stp>BDS|14492736476182046806</stp>
        <tr r="MM5" s="52"/>
      </tp>
      <tp t="e">
        <v>#N/A</v>
        <stp/>
        <stp>BDS|10686440471359056422</stp>
        <tr r="EK5" s="125"/>
      </tp>
      <tp t="e">
        <v>#N/A</v>
        <stp/>
        <stp>BDS|15122523485482423435</stp>
        <tr r="OA5" s="110"/>
      </tp>
      <tp t="e">
        <v>#N/A</v>
        <stp/>
        <stp>BDS|17946245590464513696</stp>
        <tr r="LD5" s="85"/>
      </tp>
      <tp t="e">
        <v>#N/A</v>
        <stp/>
        <stp>BDS|13646030583153266651</stp>
        <tr r="EP5" s="80"/>
      </tp>
      <tp t="e">
        <v>#N/A</v>
        <stp/>
        <stp>BDS|15665479640203492845</stp>
        <tr r="JA5" s="93"/>
      </tp>
      <tp t="e">
        <v>#N/A</v>
        <stp/>
        <stp>BDS|16739900805854638558</stp>
        <tr r="NB5" s="78"/>
      </tp>
      <tp t="e">
        <v>#N/A</v>
        <stp/>
        <stp>BDS|17782547567809418316</stp>
        <tr r="BD5" s="100"/>
      </tp>
      <tp t="e">
        <v>#N/A</v>
        <stp/>
        <stp>BDS|14454814234390811183</stp>
        <tr r="IG5" s="70"/>
      </tp>
      <tp t="e">
        <v>#N/A</v>
        <stp/>
        <stp>BDS|13712595889425730514</stp>
        <tr r="EK5" s="47"/>
      </tp>
      <tp t="e">
        <v>#N/A</v>
        <stp/>
        <stp>BDS|15173751221877538919</stp>
        <tr r="IV5" s="43"/>
      </tp>
      <tp t="e">
        <v>#N/A</v>
        <stp/>
        <stp>BDS|12818585782487132658</stp>
        <tr r="Z5" s="116"/>
      </tp>
      <tp t="e">
        <v>#N/A</v>
        <stp/>
        <stp>BDS|11727968464055665557</stp>
        <tr r="IG5" s="84"/>
      </tp>
      <tp t="e">
        <v>#N/A</v>
        <stp/>
        <stp>BDS|16188539701498057559</stp>
        <tr r="DL5" s="105"/>
      </tp>
      <tp t="e">
        <v>#N/A</v>
        <stp/>
        <stp>BDS|14282186803358768383</stp>
        <tr r="NL5" s="98"/>
      </tp>
      <tp t="e">
        <v>#N/A</v>
        <stp/>
        <stp>BDS|14274967532826402640</stp>
        <tr r="MW5" s="17"/>
      </tp>
      <tp t="e">
        <v>#N/A</v>
        <stp/>
        <stp>BDS|14251010674878837592</stp>
        <tr r="HW5" s="91"/>
      </tp>
      <tp t="e">
        <v>#N/A</v>
        <stp/>
        <stp>BDS|18106752414001767116</stp>
        <tr r="EA5" s="61"/>
      </tp>
      <tp t="e">
        <v>#N/A</v>
        <stp/>
        <stp>BDS|17723176961568761606</stp>
        <tr r="CC5" s="86"/>
      </tp>
      <tp t="e">
        <v>#N/A</v>
        <stp/>
        <stp>BDS|15395450795150005659</stp>
        <tr r="FO5" s="68"/>
      </tp>
      <tp t="e">
        <v>#N/A</v>
        <stp/>
        <stp>BDS|13684808211093807790</stp>
        <tr r="BI5" s="100"/>
      </tp>
      <tp t="e">
        <v>#N/A</v>
        <stp/>
        <stp>BDS|17674209045787164848</stp>
        <tr r="IL5" s="72"/>
      </tp>
      <tp t="e">
        <v>#N/A</v>
        <stp/>
        <stp>BDS|12154662394911717228</stp>
        <tr r="CW5" s="41"/>
      </tp>
      <tp t="e">
        <v>#N/A</v>
        <stp/>
        <stp>BDS|17721459435627836999</stp>
        <tr r="MC5" s="81"/>
      </tp>
      <tp t="e">
        <v>#N/A</v>
        <stp/>
        <stp>BDS|17840822072396915072</stp>
        <tr r="HC5" s="71"/>
      </tp>
      <tp t="e">
        <v>#N/A</v>
        <stp/>
        <stp>BDS|16722922965877777019</stp>
        <tr r="KJ5" s="6"/>
        <tr r="GN5" s="10"/>
      </tp>
      <tp t="e">
        <v>#N/A</v>
        <stp/>
        <stp>BDS|17783977657860938582</stp>
        <tr r="AO5" s="120"/>
      </tp>
      <tp t="e">
        <v>#N/A</v>
        <stp/>
        <stp>BDS|11870809845650907333</stp>
        <tr r="BD5" s="16"/>
      </tp>
      <tp t="e">
        <v>#N/A</v>
        <stp/>
        <stp>BDS|16173041993824701564</stp>
        <tr r="OF5" s="108"/>
      </tp>
      <tp t="e">
        <v>#N/A</v>
        <stp/>
        <stp>BDS|18291291343711969163</stp>
        <tr r="NB5" s="35"/>
      </tp>
      <tp t="e">
        <v>#N/A</v>
        <stp/>
        <stp>BDS|11896832045956901508</stp>
        <tr r="DQ5" s="87"/>
      </tp>
      <tp t="e">
        <v>#N/A</v>
        <stp/>
        <stp>BDS|17892987667653176516</stp>
        <tr r="IG5" s="18"/>
      </tp>
      <tp t="e">
        <v>#N/A</v>
        <stp/>
        <stp>BDS|15499000798172308080</stp>
        <tr r="OA5" s="26"/>
      </tp>
      <tp t="e">
        <v>#N/A</v>
        <stp/>
        <stp>BDS|15344075196290491215</stp>
        <tr r="DL5" s="72"/>
      </tp>
      <tp t="e">
        <v>#N/A</v>
        <stp/>
        <stp>BDS|12549268124129855585</stp>
        <tr r="KT5" s="99"/>
        <tr r="GD5" s="124"/>
      </tp>
      <tp t="e">
        <v>#N/A</v>
        <stp/>
        <stp>BDS|12079607956626220938</stp>
        <tr r="IQ5" s="14"/>
      </tp>
      <tp t="e">
        <v>#N/A</v>
        <stp/>
        <stp>BDS|15268824257224705273</stp>
        <tr r="DG5" s="54"/>
      </tp>
      <tp t="e">
        <v>#N/A</v>
        <stp/>
        <stp>BDS|16595094847909465581</stp>
        <tr r="OF5" s="84"/>
      </tp>
      <tp t="e">
        <v>#N/A</v>
        <stp/>
        <stp>BDS|16576836503249666946</stp>
        <tr r="MC5" s="121"/>
      </tp>
      <tp t="e">
        <v>#N/A</v>
        <stp/>
        <stp>BDS|15956496836889484550</stp>
        <tr r="NL5" s="22"/>
      </tp>
      <tp t="e">
        <v>#N/A</v>
        <stp/>
        <stp>BDS|13034302983226391078</stp>
        <tr r="JZ5" s="28"/>
      </tp>
      <tp t="e">
        <v>#N/A</v>
        <stp/>
        <stp>BDS|15203210667169676654</stp>
        <tr r="JF5" s="58"/>
      </tp>
      <tp t="e">
        <v>#N/A</v>
        <stp/>
        <stp>BDS|10467591187714411790</stp>
        <tr r="GD5" s="22"/>
      </tp>
      <tp t="e">
        <v>#N/A</v>
        <stp/>
        <stp>BDS|13212690933780871870</stp>
        <tr r="CH5" s="120"/>
      </tp>
      <tp t="e">
        <v>#N/A</v>
        <stp/>
        <stp>BDS|16801632229698107444</stp>
        <tr r="BX5" s="53"/>
      </tp>
      <tp t="e">
        <v>#N/A</v>
        <stp/>
        <stp>BDS|18438035344645773737</stp>
        <tr r="MH5" s="79"/>
      </tp>
      <tp t="e">
        <v>#N/A</v>
        <stp/>
        <stp>BDS|18060080513660974757</stp>
        <tr r="MM5" s="115"/>
      </tp>
      <tp t="e">
        <v>#N/A</v>
        <stp/>
        <stp>BDS|10428930818102149490</stp>
        <tr r="EF5" s="111"/>
      </tp>
      <tp t="e">
        <v>#N/A</v>
        <stp/>
        <stp>BDS|16023068341414214828</stp>
        <tr r="NL5" s="120"/>
      </tp>
      <tp t="e">
        <v>#N/A</v>
        <stp/>
        <stp>BDS|12850957021327303086</stp>
        <tr r="JU5" s="23"/>
      </tp>
      <tp t="e">
        <v>#N/A</v>
        <stp/>
        <stp>BDS|13131790421209936175</stp>
        <tr r="BI5" s="81"/>
      </tp>
      <tp t="e">
        <v>#N/A</v>
        <stp/>
        <stp>BDS|10397781984796001789</stp>
        <tr r="IQ5" s="2"/>
      </tp>
      <tp t="e">
        <v>#N/A</v>
        <stp/>
        <stp>BDS|12112621472008144572</stp>
        <tr r="EU5" s="41"/>
        <tr r="K5" s="19"/>
      </tp>
      <tp t="e">
        <v>#N/A</v>
        <stp/>
        <stp>BDS|15083207590518710832</stp>
        <tr r="AO5" s="36"/>
      </tp>
      <tp t="e">
        <v>#N/A</v>
        <stp/>
        <stp>BDS|15549084370088113488</stp>
        <tr r="P5" s="17"/>
      </tp>
      <tp t="e">
        <v>#N/A</v>
        <stp/>
        <stp>BDS|10878894537231283406</stp>
        <tr r="GS5" s="96"/>
      </tp>
      <tp t="e">
        <v>#N/A</v>
        <stp/>
        <stp>BDS|15177895201660597382</stp>
        <tr r="IV5" s="37"/>
      </tp>
      <tp t="e">
        <v>#N/A</v>
        <stp/>
        <stp>BDS|12058876708476983222</stp>
        <tr r="FO5" s="119"/>
      </tp>
      <tp t="e">
        <v>#N/A</v>
        <stp/>
        <stp>BDS|17233373086090188265</stp>
        <tr r="P5" s="83"/>
      </tp>
      <tp t="e">
        <v>#N/A</v>
        <stp/>
        <stp>BDS|17797818006480618127</stp>
        <tr r="BD5" s="2"/>
      </tp>
      <tp t="e">
        <v>#N/A</v>
        <stp/>
        <stp>BDS|10090456910122683974</stp>
        <tr r="JP5" s="88"/>
      </tp>
      <tp t="e">
        <v>#N/A</v>
        <stp/>
        <stp>BDS|13559166117029752474</stp>
        <tr r="BI5" s="48"/>
      </tp>
      <tp t="e">
        <v>#N/A</v>
        <stp/>
        <stp>BDS|10435965925170361500</stp>
        <tr r="KE5" s="71"/>
      </tp>
      <tp t="e">
        <v>#N/A</v>
        <stp/>
        <stp>BDS|13131604974284445850</stp>
        <tr r="DG5" s="5"/>
      </tp>
      <tp t="e">
        <v>#N/A</v>
        <stp/>
        <stp>BDS|14714558031385739908</stp>
        <tr r="AE5" s="42"/>
      </tp>
      <tp t="e">
        <v>#N/A</v>
        <stp/>
        <stp>BDS|14048541051919683373</stp>
        <tr r="LN5" s="95"/>
      </tp>
      <tp t="e">
        <v>#N/A</v>
        <stp/>
        <stp>BDS|17239192017989176098</stp>
        <tr r="MW5" s="15"/>
      </tp>
      <tp t="e">
        <v>#N/A</v>
        <stp/>
        <stp>BDS|14102074646658500615</stp>
        <tr r="GX5" s="42"/>
      </tp>
      <tp t="e">
        <v>#N/A</v>
        <stp/>
        <stp>BDS|14119553546972187975</stp>
        <tr r="NL5" s="43"/>
      </tp>
      <tp t="e">
        <v>#N/A</v>
        <stp/>
        <stp>BDS|15587344686099687952</stp>
        <tr r="HR5" s="106"/>
      </tp>
      <tp t="e">
        <v>#N/A</v>
        <stp/>
        <stp>BDS|10848497560185113946</stp>
        <tr r="JZ5" s="119"/>
      </tp>
      <tp t="e">
        <v>#N/A</v>
        <stp/>
        <stp>BDS|16550204154677574805</stp>
        <tr r="FE5" s="110"/>
      </tp>
      <tp t="e">
        <v>#N/A</v>
        <stp/>
        <stp>BDS|17649897794298628097</stp>
        <tr r="HC5" s="9"/>
      </tp>
      <tp t="e">
        <v>#N/A</v>
        <stp/>
        <stp>BDS|14107670045599624113</stp>
        <tr r="GS5" s="107"/>
      </tp>
      <tp t="e">
        <v>#N/A</v>
        <stp/>
        <stp>BDS|18178212881555306964</stp>
        <tr r="FY5" s="22"/>
      </tp>
      <tp t="e">
        <v>#N/A</v>
        <stp/>
        <stp>BDS|11081913777280031131</stp>
        <tr r="LI5" s="125"/>
      </tp>
      <tp t="e">
        <v>#N/A</v>
        <stp/>
        <stp>BDS|16284225061148740433</stp>
        <tr r="IB5" s="99"/>
      </tp>
      <tp t="e">
        <v>#N/A</v>
        <stp/>
        <stp>BDS|16706087923882843811</stp>
        <tr r="NV5" s="26"/>
      </tp>
      <tp t="e">
        <v>#N/A</v>
        <stp/>
        <stp>BDS|16909671805659981777</stp>
        <tr r="JZ5" s="63"/>
      </tp>
      <tp t="e">
        <v>#N/A</v>
        <stp/>
        <stp>BDS|13225815260471391252</stp>
        <tr r="HH5" s="10"/>
      </tp>
      <tp t="e">
        <v>#N/A</v>
        <stp/>
        <stp>BDS|17380857090231432973</stp>
        <tr r="KT5" s="59"/>
      </tp>
      <tp t="e">
        <v>#N/A</v>
        <stp/>
        <stp>BDS|12885991319442425693</stp>
        <tr r="BI5" s="24"/>
      </tp>
      <tp t="e">
        <v>#N/A</v>
        <stp/>
        <stp>BDS|13982916355552142393</stp>
        <tr r="GX5" s="25"/>
      </tp>
      <tp t="e">
        <v>#N/A</v>
        <stp/>
        <stp>BDS|17379134867637017926</stp>
        <tr r="MR5" s="98"/>
      </tp>
      <tp t="e">
        <v>#N/A</v>
        <stp/>
        <stp>BDS|11464241596607246317</stp>
        <tr r="LD5" s="59"/>
        <tr r="GX5" s="56"/>
      </tp>
      <tp t="e">
        <v>#N/A</v>
        <stp/>
        <stp>BDS|10652743487454525552</stp>
        <tr r="HH5" s="124"/>
      </tp>
      <tp t="e">
        <v>#N/A</v>
        <stp/>
        <stp>BDS|10933789412911696908</stp>
        <tr r="LS5" s="116"/>
      </tp>
      <tp t="e">
        <v>#N/A</v>
        <stp/>
        <stp>BDS|11423541545388961697</stp>
        <tr r="IQ5" s="17"/>
      </tp>
      <tp t="e">
        <v>#N/A</v>
        <stp/>
        <stp>BDS|16712923408021910013</stp>
        <tr r="FY5" s="8"/>
      </tp>
      <tp t="e">
        <v>#N/A</v>
        <stp/>
        <stp>BDS|17103518722929380749</stp>
        <tr r="BX5" s="97"/>
      </tp>
      <tp t="e">
        <v>#N/A</v>
        <stp/>
        <stp>BDS|16530435791562510689</stp>
        <tr r="MR5" s="82"/>
      </tp>
      <tp t="e">
        <v>#N/A</v>
        <stp/>
        <stp>BDS|13861468560487495909</stp>
        <tr r="FE5" s="68"/>
      </tp>
      <tp t="e">
        <v>#N/A</v>
        <stp/>
        <stp>BDS|11554579181784887719</stp>
        <tr r="FJ5" s="46"/>
      </tp>
      <tp t="e">
        <v>#N/A</v>
        <stp/>
        <stp>BDS|17094614238665368804</stp>
        <tr r="IV5" s="4"/>
      </tp>
      <tp t="e">
        <v>#N/A</v>
        <stp/>
        <stp>BDS|10671787111220324968</stp>
        <tr r="LX5" s="80"/>
      </tp>
      <tp t="e">
        <v>#N/A</v>
        <stp/>
        <stp>BDS|16181980451431449467</stp>
        <tr r="DG5" s="36"/>
      </tp>
      <tp t="e">
        <v>#N/A</v>
        <stp/>
        <stp>BDS|12102886034386589022</stp>
        <tr r="NG5" s="99"/>
      </tp>
      <tp t="e">
        <v>#N/A</v>
        <stp/>
        <stp>BDS|14030060915059191384</stp>
        <tr r="NV5" s="3"/>
      </tp>
      <tp t="e">
        <v>#N/A</v>
        <stp/>
        <stp>BDS|11890815015182556536</stp>
        <tr r="GS5" s="37"/>
      </tp>
      <tp t="e">
        <v>#N/A</v>
        <stp/>
        <stp>BDS|12874916815433576631</stp>
        <tr r="FJ5" s="7"/>
      </tp>
      <tp t="e">
        <v>#N/A</v>
        <stp/>
        <stp>BDS|15519893516515821685</stp>
        <tr r="FT5" s="83"/>
      </tp>
      <tp t="e">
        <v>#N/A</v>
        <stp/>
        <stp>BDS|16787983440226783221</stp>
        <tr r="DG5" s="30"/>
      </tp>
      <tp t="e">
        <v>#N/A</v>
        <stp/>
        <stp>BDS|17701007004761155985</stp>
        <tr r="BX5" s="11"/>
      </tp>
      <tp t="e">
        <v>#N/A</v>
        <stp/>
        <stp>BDS|10440895301097201046</stp>
        <tr r="F5" s="74"/>
      </tp>
      <tp t="e">
        <v>#N/A</v>
        <stp/>
        <stp>BDS|10813411282432700163</stp>
        <tr r="K5" s="98"/>
      </tp>
      <tp t="e">
        <v>#N/A</v>
        <stp/>
        <stp>BDS|12295177342838967045</stp>
        <tr r="IV5" s="87"/>
      </tp>
      <tp t="e">
        <v>#N/A</v>
        <stp/>
        <stp>BDS|16271983189610886800</stp>
        <tr r="EU5" s="10"/>
      </tp>
      <tp t="e">
        <v>#N/A</v>
        <stp/>
        <stp>BDS|10205991226392181672</stp>
        <tr r="CH5" s="52"/>
      </tp>
      <tp t="e">
        <v>#N/A</v>
        <stp/>
        <stp>BDS|16174240690341696385</stp>
        <tr r="F5" s="42"/>
      </tp>
      <tp t="e">
        <v>#N/A</v>
        <stp/>
        <stp>BDS|15953943205803656055</stp>
        <tr r="KO5" s="53"/>
      </tp>
      <tp t="e">
        <v>#N/A</v>
        <stp/>
        <stp>BDS|11980801433926843397</stp>
        <tr r="GN5" s="101"/>
      </tp>
      <tp t="e">
        <v>#N/A</v>
        <stp/>
        <stp>BDS|17969245502068416203</stp>
        <tr r="MM5" s="60"/>
      </tp>
      <tp t="e">
        <v>#N/A</v>
        <stp/>
        <stp>BDS|17480943654217798380</stp>
        <tr r="EK5" s="51"/>
      </tp>
      <tp t="e">
        <v>#N/A</v>
        <stp/>
        <stp>BDS|17969028037169517228</stp>
        <tr r="DB5" s="85"/>
      </tp>
      <tp t="e">
        <v>#N/A</v>
        <stp/>
        <stp>BDS|14015158097120204383</stp>
        <tr r="BD5" s="90"/>
      </tp>
      <tp t="e">
        <v>#N/A</v>
        <stp/>
        <stp>BDS|14628879390102016891</stp>
        <tr r="DB5" s="48"/>
      </tp>
      <tp t="e">
        <v>#N/A</v>
        <stp/>
        <stp>BDS|10590450504982962958</stp>
        <tr r="AJ5" s="55"/>
      </tp>
      <tp t="e">
        <v>#N/A</v>
        <stp/>
        <stp>BDS|13512346358042783862</stp>
        <tr r="CW5" s="47"/>
      </tp>
      <tp t="e">
        <v>#N/A</v>
        <stp/>
        <stp>BDS|12939366453833219860</stp>
        <tr r="EP5" s="107"/>
      </tp>
      <tp t="e">
        <v>#N/A</v>
        <stp/>
        <stp>BDS|12585135404045937932</stp>
        <tr r="FE5" s="35"/>
      </tp>
      <tp t="e">
        <v>#N/A</v>
        <stp/>
        <stp>BDS|16449977809379754959</stp>
        <tr r="OF5" s="47"/>
      </tp>
      <tp t="e">
        <v>#N/A</v>
        <stp/>
        <stp>BDS|17010084209339917104</stp>
        <tr r="AJ5" s="16"/>
      </tp>
      <tp t="e">
        <v>#N/A</v>
        <stp/>
        <stp>BDS|11117984376800578028</stp>
        <tr r="EF5" s="36"/>
      </tp>
      <tp t="e">
        <v>#N/A</v>
        <stp/>
        <stp>BDS|15225996856331416711</stp>
        <tr r="DG5" s="99"/>
      </tp>
      <tp t="e">
        <v>#N/A</v>
        <stp/>
        <stp>BDS|10686924066967944736</stp>
        <tr r="KE5" s="121"/>
      </tp>
      <tp t="e">
        <v>#N/A</v>
        <stp/>
        <stp>BDS|15211361097011919127</stp>
        <tr r="FO5" s="50"/>
      </tp>
      <tp t="e">
        <v>#N/A</v>
        <stp/>
        <stp>BDS|15807141292414666605</stp>
        <tr r="EP5" s="57"/>
      </tp>
      <tp t="e">
        <v>#N/A</v>
        <stp/>
        <stp>BDS|14089428999792010433</stp>
        <tr r="DG5" s="66"/>
      </tp>
      <tp t="e">
        <v>#N/A</v>
        <stp/>
        <stp>BDS|11939139380486129138</stp>
        <tr r="KE5" s="73"/>
      </tp>
      <tp t="e">
        <v>#N/A</v>
        <stp/>
        <stp>BDS|10657191226475423949</stp>
        <tr r="IB5" s="45"/>
      </tp>
      <tp t="e">
        <v>#N/A</v>
        <stp/>
        <stp>BDS|17808710153278186220</stp>
        <tr r="IV5" s="54"/>
      </tp>
      <tp t="e">
        <v>#N/A</v>
        <stp/>
        <stp>BDS|12014287773270235808</stp>
        <tr r="NG5" s="41"/>
      </tp>
      <tp t="e">
        <v>#N/A</v>
        <stp/>
        <stp>BDS|15708819136483802213</stp>
        <tr r="DV5" s="18"/>
      </tp>
      <tp t="e">
        <v>#N/A</v>
        <stp/>
        <stp>BDS|12812210679511129984</stp>
        <tr r="KE5" s="65"/>
      </tp>
      <tp t="e">
        <v>#N/A</v>
        <stp/>
        <stp>BDS|12858835484059476426</stp>
        <tr r="CC5" s="95"/>
      </tp>
      <tp t="e">
        <v>#N/A</v>
        <stp/>
        <stp>BDS|18104515290768005393</stp>
        <tr r="HH5" s="114"/>
      </tp>
      <tp t="e">
        <v>#N/A</v>
        <stp/>
        <stp>BDS|12151802342612318397</stp>
        <tr r="IV5" s="105"/>
      </tp>
      <tp t="e">
        <v>#N/A</v>
        <stp/>
        <stp>BDS|17197927668816037122</stp>
        <tr r="GI5" s="114"/>
      </tp>
      <tp t="e">
        <v>#N/A</v>
        <stp/>
        <stp>BDS|14949233880422415375</stp>
        <tr r="KT5" s="60"/>
      </tp>
      <tp t="e">
        <v>#N/A</v>
        <stp/>
        <stp>BDS|13467366744068622394</stp>
        <tr r="FY5" s="110"/>
      </tp>
      <tp t="e">
        <v>#N/A</v>
        <stp/>
        <stp>BDS|14192046633569981167</stp>
        <tr r="EK5" s="61"/>
      </tp>
      <tp t="e">
        <v>#N/A</v>
        <stp/>
        <stp>BDS|11215322886602067789</stp>
        <tr r="OA5" s="100"/>
      </tp>
      <tp t="e">
        <v>#N/A</v>
        <stp/>
        <stp>BDS|15694846825401901102</stp>
        <tr r="KY5" s="42"/>
      </tp>
      <tp t="e">
        <v>#N/A</v>
        <stp/>
        <stp>BDS|15723715265112870959</stp>
        <tr r="F5" s="57"/>
      </tp>
      <tp t="e">
        <v>#N/A</v>
        <stp/>
        <stp>BDS|12419798308503243997</stp>
        <tr r="LS5" s="110"/>
      </tp>
      <tp t="e">
        <v>#N/A</v>
        <stp/>
        <stp>BDS|10397350836646891969</stp>
        <tr r="HW5" s="60"/>
      </tp>
      <tp t="e">
        <v>#N/A</v>
        <stp/>
        <stp>BDS|16607596277462497925</stp>
        <tr r="LD5" s="87"/>
      </tp>
      <tp t="e">
        <v>#N/A</v>
        <stp/>
        <stp>BDS|12548251295386229099</stp>
        <tr r="IQ5" s="35"/>
      </tp>
      <tp t="e">
        <v>#N/A</v>
        <stp/>
        <stp>BDS|14368355706001872968</stp>
        <tr r="DG5" s="109"/>
      </tp>
      <tp t="e">
        <v>#N/A</v>
        <stp/>
        <stp>BDS|13135196132496231860</stp>
        <tr r="FO5" s="87"/>
      </tp>
      <tp t="e">
        <v>#N/A</v>
        <stp/>
        <stp>BDS|13461360298192001445</stp>
        <tr r="KO5" s="121"/>
      </tp>
      <tp t="e">
        <v>#N/A</v>
        <stp/>
        <stp>BDS|12146380347622785878</stp>
        <tr r="EF5" s="124"/>
      </tp>
      <tp t="e">
        <v>#N/A</v>
        <stp/>
        <stp>BDS|14197888239464948471</stp>
        <tr r="DL5" s="83"/>
      </tp>
      <tp t="e">
        <v>#N/A</v>
        <stp/>
        <stp>BDS|13559346364648944121</stp>
        <tr r="EF5" s="62"/>
      </tp>
      <tp t="e">
        <v>#N/A</v>
        <stp/>
        <stp>BDS|11346800331544538195</stp>
        <tr r="A5" s="40"/>
      </tp>
      <tp t="e">
        <v>#N/A</v>
        <stp/>
        <stp>BDS|16369183034369094219</stp>
        <tr r="FT5" s="106"/>
      </tp>
      <tp t="e">
        <v>#N/A</v>
        <stp/>
        <stp>BDS|13584881266574474601</stp>
        <tr r="NV5" s="13"/>
      </tp>
      <tp t="e">
        <v>#N/A</v>
        <stp/>
        <stp>BDS|11274229276828894316</stp>
        <tr r="JK5" s="21"/>
      </tp>
      <tp t="e">
        <v>#N/A</v>
        <stp/>
        <stp>BDS|12757506317870658991</stp>
        <tr r="AE5" s="46"/>
      </tp>
      <tp t="e">
        <v>#N/A</v>
        <stp/>
        <stp>BDS|18361782610809016843</stp>
        <tr r="CR5" s="94"/>
      </tp>
      <tp t="e">
        <v>#N/A</v>
        <stp/>
        <stp>BDS|12783862406865973018</stp>
        <tr r="IL5" s="64"/>
      </tp>
      <tp t="e">
        <v>#N/A</v>
        <stp/>
        <stp>BDS|16206117679706785924</stp>
        <tr r="EK5" s="114"/>
      </tp>
      <tp t="e">
        <v>#N/A</v>
        <stp/>
        <stp>BDS|10216190861118548008</stp>
        <tr r="FO5" s="99"/>
      </tp>
      <tp t="e">
        <v>#N/A</v>
        <stp/>
        <stp>BDS|17470117381398856934</stp>
        <tr r="FO5" s="67"/>
      </tp>
      <tp t="e">
        <v>#N/A</v>
        <stp/>
        <stp>BDS|15390098141569108756</stp>
        <tr r="GN5" s="105"/>
      </tp>
      <tp t="e">
        <v>#N/A</v>
        <stp/>
        <stp>BDS|14681816640773094482</stp>
        <tr r="KE5" s="66"/>
      </tp>
      <tp t="e">
        <v>#N/A</v>
        <stp/>
        <stp>BDS|13710067727467859917</stp>
        <tr r="CM5" s="1"/>
      </tp>
      <tp t="e">
        <v>#N/A</v>
        <stp/>
        <stp>BDS|10836418374644345819</stp>
        <tr r="MW5" s="39"/>
      </tp>
      <tp t="e">
        <v>#N/A</v>
        <stp/>
        <stp>BDS|10937916806585456352</stp>
        <tr r="EK5" s="89"/>
      </tp>
      <tp t="e">
        <v>#N/A</v>
        <stp/>
        <stp>BDS|13758906567683649094</stp>
        <tr r="DQ5" s="75"/>
      </tp>
      <tp t="e">
        <v>#N/A</v>
        <stp/>
        <stp>BDS|14180031730451848962</stp>
        <tr r="EF5" s="113"/>
      </tp>
      <tp t="e">
        <v>#N/A</v>
        <stp/>
        <stp>BDS|14993686244378836114</stp>
        <tr r="F5" s="98"/>
      </tp>
      <tp t="e">
        <v>#N/A</v>
        <stp/>
        <stp>BDS|13412855169870549212</stp>
        <tr r="CM5" s="23"/>
      </tp>
      <tp t="e">
        <v>#N/A</v>
        <stp/>
        <stp>BDS|10415713006838873077</stp>
        <tr r="HW5" s="77"/>
      </tp>
      <tp t="e">
        <v>#N/A</v>
        <stp/>
        <stp>BDS|17324914216985913511</stp>
        <tr r="GD5" s="51"/>
      </tp>
      <tp t="e">
        <v>#N/A</v>
        <stp/>
        <stp>BDS|12067419244095125882</stp>
        <tr r="KY5" s="85"/>
      </tp>
      <tp t="e">
        <v>#N/A</v>
        <stp/>
        <stp>BDS|16108267799743082125</stp>
        <tr r="IB5" s="57"/>
      </tp>
      <tp t="e">
        <v>#N/A</v>
        <stp/>
        <stp>BDS|16975568854638323147</stp>
        <tr r="CH5" s="37"/>
      </tp>
      <tp t="e">
        <v>#N/A</v>
        <stp/>
        <stp>BDS|13629980446905006448</stp>
        <tr r="HC5" s="7"/>
      </tp>
      <tp t="e">
        <v>#N/A</v>
        <stp/>
        <stp>BDS|14244897800561661213</stp>
        <tr r="DV5" s="59"/>
      </tp>
      <tp t="e">
        <v>#N/A</v>
        <stp/>
        <stp>BDS|17137590752219310153</stp>
        <tr r="NG5" s="115"/>
      </tp>
      <tp t="e">
        <v>#N/A</v>
        <stp/>
        <stp>BDS|13301484564337510967</stp>
        <tr r="NB5" s="102"/>
      </tp>
      <tp t="e">
        <v>#N/A</v>
        <stp/>
        <stp>BDS|11687048683550574683</stp>
        <tr r="GS5" s="58"/>
      </tp>
      <tp t="e">
        <v>#N/A</v>
        <stp/>
        <stp>BDS|13195407789862528214</stp>
        <tr r="U5" s="124"/>
      </tp>
      <tp t="e">
        <v>#N/A</v>
        <stp/>
        <stp>BDS|13283869941734943402</stp>
        <tr r="EK5" s="113"/>
      </tp>
      <tp t="e">
        <v>#N/A</v>
        <stp/>
        <stp>BDS|16874510030666346965</stp>
        <tr r="EF5" s="39"/>
      </tp>
      <tp t="e">
        <v>#N/A</v>
        <stp/>
        <stp>BDS|12103477440435235886</stp>
        <tr r="CW5" s="1"/>
      </tp>
      <tp t="e">
        <v>#N/A</v>
        <stp/>
        <stp>BDS|18169468566553801640</stp>
        <tr r="BN5" s="92"/>
      </tp>
      <tp t="e">
        <v>#N/A</v>
        <stp/>
        <stp>BDS|12589049699283593701</stp>
        <tr r="F5" s="101"/>
      </tp>
      <tp t="e">
        <v>#N/A</v>
        <stp/>
        <stp>BDS|13544258961028955053</stp>
        <tr r="JA5" s="101"/>
      </tp>
      <tp t="e">
        <v>#N/A</v>
        <stp/>
        <stp>BDS|15485811780613987918</stp>
        <tr r="AY5" s="3"/>
      </tp>
      <tp t="e">
        <v>#N/A</v>
        <stp/>
        <stp>BDS|10642161576400873938</stp>
        <tr r="DB5" s="60"/>
      </tp>
      <tp t="e">
        <v>#N/A</v>
        <stp/>
        <stp>BDS|14307439297344841223</stp>
        <tr r="CC5" s="55"/>
      </tp>
      <tp t="e">
        <v>#N/A</v>
        <stp/>
        <stp>BDS|12526943563592699090</stp>
        <tr r="KJ5" s="59"/>
      </tp>
      <tp t="e">
        <v>#N/A</v>
        <stp/>
        <stp>BDS|14733991024917431735</stp>
        <tr r="NL5" s="19"/>
      </tp>
      <tp t="e">
        <v>#N/A</v>
        <stp/>
        <stp>BDS|16930024904691549879</stp>
        <tr r="MC5" s="32"/>
      </tp>
      <tp t="e">
        <v>#N/A</v>
        <stp/>
        <stp>BDS|11495939019904308208</stp>
        <tr r="AE5" s="79"/>
      </tp>
      <tp t="e">
        <v>#N/A</v>
        <stp/>
        <stp>BDS|14137257792644815432</stp>
        <tr r="CW5" s="48"/>
      </tp>
      <tp t="e">
        <v>#N/A</v>
        <stp/>
        <stp>BDS|16540924675370957766</stp>
        <tr r="MM5" s="78"/>
      </tp>
      <tp t="e">
        <v>#N/A</v>
        <stp/>
        <stp>BDS|10362953530536809336</stp>
        <tr r="IQ5" s="120"/>
      </tp>
      <tp t="e">
        <v>#N/A</v>
        <stp/>
        <stp>BDS|16967747322139578571</stp>
        <tr r="IL5" s="24"/>
      </tp>
      <tp t="e">
        <v>#N/A</v>
        <stp/>
        <stp>BDS|11136449018372292926</stp>
        <tr r="IV5" s="112"/>
      </tp>
      <tp t="e">
        <v>#N/A</v>
        <stp/>
        <stp>BDS|15149115129129026047</stp>
        <tr r="LS5" s="56"/>
      </tp>
      <tp t="e">
        <v>#N/A</v>
        <stp/>
        <stp>BDS|10145527557176051992</stp>
        <tr r="HM5" s="63"/>
      </tp>
      <tp t="e">
        <v>#N/A</v>
        <stp/>
        <stp>BDS|12925341283535066335</stp>
        <tr r="DG5" s="9"/>
      </tp>
      <tp t="e">
        <v>#N/A</v>
        <stp/>
        <stp>BDS|13818355329665871811</stp>
        <tr r="HC5" s="95"/>
      </tp>
      <tp t="e">
        <v>#N/A</v>
        <stp/>
        <stp>BDS|16520759122149340535</stp>
        <tr r="IQ5" s="9"/>
      </tp>
      <tp t="e">
        <v>#N/A</v>
        <stp/>
        <stp>BDS|13097969454383694360</stp>
        <tr r="GI5" s="17"/>
      </tp>
      <tp t="e">
        <v>#N/A</v>
        <stp/>
        <stp>BDS|12597996963376873451</stp>
        <tr r="KE5" s="112"/>
      </tp>
      <tp t="e">
        <v>#N/A</v>
        <stp/>
        <stp>BDS|15697442210357956897</stp>
        <tr r="HH5" s="12"/>
      </tp>
      <tp t="e">
        <v>#N/A</v>
        <stp/>
        <stp>BDS|11569815656440858388</stp>
        <tr r="FO5" s="103"/>
      </tp>
      <tp t="e">
        <v>#N/A</v>
        <stp/>
        <stp>BDS|15006300651404398805</stp>
        <tr r="NG5" s="95"/>
      </tp>
      <tp t="e">
        <v>#N/A</v>
        <stp/>
        <stp>BDS|15465541081445352209</stp>
        <tr r="GD5" s="27"/>
      </tp>
      <tp t="e">
        <v>#N/A</v>
        <stp/>
        <stp>BDS|17985841828674653614</stp>
        <tr r="JF5" s="111"/>
      </tp>
      <tp t="e">
        <v>#N/A</v>
        <stp/>
        <stp>BDS|15417951711740680243</stp>
        <tr r="LN5" s="80"/>
      </tp>
      <tp t="e">
        <v>#N/A</v>
        <stp/>
        <stp>BDS|10245935572812166303</stp>
        <tr r="DV5" s="106"/>
      </tp>
      <tp t="e">
        <v>#N/A</v>
        <stp/>
        <stp>BDS|14675463201606374907</stp>
        <tr r="NV5" s="122"/>
      </tp>
      <tp t="e">
        <v>#N/A</v>
        <stp/>
        <stp>BDS|14309350391573320261</stp>
        <tr r="JF5" s="15"/>
      </tp>
      <tp t="e">
        <v>#N/A</v>
        <stp/>
        <stp>BDS|18046697509948162939</stp>
        <tr r="FO5" s="43"/>
      </tp>
      <tp t="e">
        <v>#N/A</v>
        <stp/>
        <stp>BDS|12785866021924570375</stp>
        <tr r="NG5" s="49"/>
      </tp>
      <tp t="e">
        <v>#N/A</v>
        <stp/>
        <stp>BDS|14044632185630226567</stp>
        <tr r="LN5" s="28"/>
      </tp>
      <tp t="e">
        <v>#N/A</v>
        <stp/>
        <stp>BDS|15438978514513729128</stp>
        <tr r="NQ5" s="109"/>
      </tp>
      <tp t="e">
        <v>#N/A</v>
        <stp/>
        <stp>BDS|16407810245901457468</stp>
        <tr r="AO5" s="115"/>
      </tp>
      <tp t="e">
        <v>#N/A</v>
        <stp/>
        <stp>BDS|13919283883060800698</stp>
        <tr r="JA5" s="111"/>
      </tp>
      <tp t="e">
        <v>#N/A</v>
        <stp/>
        <stp>BDS|10044843859151690386</stp>
        <tr r="HH5" s="90"/>
      </tp>
      <tp t="e">
        <v>#N/A</v>
        <stp/>
        <stp>BDS|12694936054705574477</stp>
        <tr r="EK5" s="36"/>
      </tp>
      <tp t="e">
        <v>#N/A</v>
        <stp/>
        <stp>BDS|12689956436802097562</stp>
        <tr r="LX5" s="98"/>
      </tp>
      <tp t="e">
        <v>#N/A</v>
        <stp/>
        <stp>BDS|11080456891140717302</stp>
        <tr r="FY5" s="25"/>
      </tp>
      <tp t="e">
        <v>#N/A</v>
        <stp/>
        <stp>BDS|17831889206060740022</stp>
        <tr r="LN5" s="63"/>
      </tp>
      <tp t="e">
        <v>#N/A</v>
        <stp/>
        <stp>BDS|12179943577827687477</stp>
        <tr r="GS5" s="116"/>
      </tp>
      <tp t="e">
        <v>#N/A</v>
        <stp/>
        <stp>BDS|12213493341219865414</stp>
        <tr r="EP5" s="30"/>
      </tp>
      <tp t="e">
        <v>#N/A</v>
        <stp/>
        <stp>BDS|13446802324710304600</stp>
        <tr r="JK5" s="98"/>
      </tp>
      <tp t="e">
        <v>#N/A</v>
        <stp/>
        <stp>BDS|14573167202248478262</stp>
        <tr r="JP5" s="41"/>
      </tp>
      <tp t="e">
        <v>#N/A</v>
        <stp/>
        <stp>BDS|11441508615342290801</stp>
        <tr r="KT5" s="78"/>
      </tp>
      <tp t="e">
        <v>#N/A</v>
        <stp/>
        <stp>BDS|15872099875804347947</stp>
        <tr r="K5" s="95"/>
      </tp>
      <tp t="e">
        <v>#N/A</v>
        <stp/>
        <stp>BDS|11231439560929464560</stp>
        <tr r="GX5" s="117"/>
      </tp>
      <tp t="e">
        <v>#N/A</v>
        <stp/>
        <stp>BDS|10472012773858174073</stp>
        <tr r="NB5" s="11"/>
      </tp>
      <tp t="e">
        <v>#N/A</v>
        <stp/>
        <stp>BDS|17869314058977374924</stp>
        <tr r="NV5" s="46"/>
      </tp>
      <tp t="e">
        <v>#N/A</v>
        <stp/>
        <stp>BDS|15717949422393527244</stp>
        <tr r="KT5" s="43"/>
      </tp>
      <tp t="e">
        <v>#N/A</v>
        <stp/>
        <stp>BDS|16343969605713737374</stp>
        <tr r="MR5" s="89"/>
      </tp>
      <tp t="e">
        <v>#N/A</v>
        <stp/>
        <stp>BDS|10393856944947096423</stp>
        <tr r="U5" s="1"/>
      </tp>
      <tp t="e">
        <v>#N/A</v>
        <stp/>
        <stp>BDS|14197608412188753449</stp>
        <tr r="EZ5" s="39"/>
      </tp>
      <tp t="e">
        <v>#N/A</v>
        <stp/>
        <stp>BDS|16166302632718644154</stp>
        <tr r="BX5" s="42"/>
      </tp>
      <tp t="e">
        <v>#N/A</v>
        <stp/>
        <stp>BDS|13054573650379057577</stp>
        <tr r="BN5" s="64"/>
      </tp>
      <tp t="e">
        <v>#N/A</v>
        <stp/>
        <stp>BDS|16575596961033865952</stp>
        <tr r="HR5" s="10"/>
      </tp>
      <tp t="e">
        <v>#N/A</v>
        <stp/>
        <stp>BDS|11688617585611648149</stp>
        <tr r="IQ5" s="80"/>
      </tp>
      <tp t="e">
        <v>#N/A</v>
        <stp/>
        <stp>BDS|14317161352887279844</stp>
        <tr r="KO5" s="10"/>
      </tp>
      <tp t="e">
        <v>#N/A</v>
        <stp/>
        <stp>BDS|16192318765809020540</stp>
        <tr r="MH5" s="105"/>
      </tp>
      <tp t="e">
        <v>#N/A</v>
        <stp/>
        <stp>BDS|18021654402131681005</stp>
        <tr r="HC5" s="117"/>
      </tp>
      <tp t="e">
        <v>#N/A</v>
        <stp/>
        <stp>BDS|13613139865193271834</stp>
        <tr r="EF5" s="2"/>
      </tp>
      <tp t="e">
        <v>#N/A</v>
        <stp/>
        <stp>BDS|11854246599586194356</stp>
        <tr r="DQ5" s="21"/>
      </tp>
      <tp t="e">
        <v>#N/A</v>
        <stp/>
        <stp>BDS|16697086624578874332</stp>
        <tr r="JP5" s="16"/>
      </tp>
      <tp t="e">
        <v>#N/A</v>
        <stp/>
        <stp>BDS|11441593869918007550</stp>
        <tr r="HC5" s="53"/>
      </tp>
      <tp t="e">
        <v>#N/A</v>
        <stp/>
        <stp>BDS|11204597043938078794</stp>
        <tr r="AE5" s="80"/>
      </tp>
      <tp t="e">
        <v>#N/A</v>
        <stp/>
        <stp>BDS|17760118445294650945</stp>
        <tr r="JZ5" s="31"/>
      </tp>
      <tp t="e">
        <v>#N/A</v>
        <stp/>
        <stp>BDS|14044871433897066757</stp>
        <tr r="HH5" s="105"/>
      </tp>
      <tp t="e">
        <v>#N/A</v>
        <stp/>
        <stp>BDS|13272857305134246017</stp>
        <tr r="CM5" s="115"/>
      </tp>
      <tp t="e">
        <v>#N/A</v>
        <stp/>
        <stp>BDS|11961607886168819863</stp>
        <tr r="HR5" s="103"/>
      </tp>
      <tp t="e">
        <v>#N/A</v>
        <stp/>
        <stp>BDS|17826725199133517575</stp>
        <tr r="DQ5" s="36"/>
      </tp>
      <tp t="e">
        <v>#N/A</v>
        <stp/>
        <stp>BDS|15260246081035309551</stp>
        <tr r="DG5" s="53"/>
      </tp>
      <tp t="e">
        <v>#N/A</v>
        <stp/>
        <stp>BDS|11755982462597832641</stp>
        <tr r="GS5" s="98"/>
      </tp>
      <tp t="e">
        <v>#N/A</v>
        <stp/>
        <stp>BDS|17152958574393189506</stp>
        <tr r="LS5" s="115"/>
      </tp>
      <tp t="e">
        <v>#N/A</v>
        <stp/>
        <stp>BDS|12122534077248537717</stp>
        <tr r="EU5" s="15"/>
      </tp>
      <tp t="e">
        <v>#N/A</v>
        <stp/>
        <stp>BDS|13167982596355980979</stp>
        <tr r="EA5" s="117"/>
      </tp>
      <tp t="e">
        <v>#N/A</v>
        <stp/>
        <stp>BDS|17132941201540148146</stp>
        <tr r="JA5" s="40"/>
      </tp>
      <tp t="e">
        <v>#N/A</v>
        <stp/>
        <stp>BDS|10192618998559191988</stp>
        <tr r="BX5" s="35"/>
      </tp>
      <tp t="e">
        <v>#N/A</v>
        <stp/>
        <stp>BDS|10716071101747272825</stp>
        <tr r="CH5" s="43"/>
      </tp>
      <tp t="e">
        <v>#N/A</v>
        <stp/>
        <stp>BDS|15797103757938812697</stp>
        <tr r="MR5" s="45"/>
      </tp>
      <tp t="e">
        <v>#N/A</v>
        <stp/>
        <stp>BDS|12660692610313712992</stp>
        <tr r="A5" s="74"/>
      </tp>
      <tp t="e">
        <v>#N/A</v>
        <stp/>
        <stp>BDS|14312668590761665553</stp>
        <tr r="CC5" s="26"/>
        <tr r="KO5" s="40"/>
      </tp>
      <tp t="e">
        <v>#N/A</v>
        <stp/>
        <stp>BDS|10496881451963292193</stp>
        <tr r="FT5" s="54"/>
      </tp>
      <tp t="e">
        <v>#N/A</v>
        <stp/>
        <stp>BDS|15129256484978746810</stp>
        <tr r="JK5" s="80"/>
      </tp>
      <tp t="e">
        <v>#N/A</v>
        <stp/>
        <stp>BDS|14158102486347625578</stp>
        <tr r="KY5" s="65"/>
      </tp>
      <tp t="e">
        <v>#N/A</v>
        <stp/>
        <stp>BDS|17148322557879115731</stp>
        <tr r="EZ5" s="16"/>
      </tp>
      <tp t="e">
        <v>#N/A</v>
        <stp/>
        <stp>BDS|11488605783204822491</stp>
        <tr r="MR5" s="38"/>
      </tp>
      <tp t="e">
        <v>#N/A</v>
        <stp/>
        <stp>BDS|16328847296221495932</stp>
        <tr r="GN5" s="41"/>
      </tp>
      <tp t="e">
        <v>#N/A</v>
        <stp/>
        <stp>BDS|17185281321539857165</stp>
        <tr r="KJ5" s="12"/>
      </tp>
      <tp t="e">
        <v>#N/A</v>
        <stp/>
        <stp>BDS|10071235884477400255</stp>
        <tr r="CM5" s="106"/>
      </tp>
      <tp t="e">
        <v>#N/A</v>
        <stp/>
        <stp>BDS|10129252316044436801</stp>
        <tr r="EF5" s="98"/>
      </tp>
      <tp t="e">
        <v>#N/A</v>
        <stp/>
        <stp>BDS|14156457993633216534</stp>
        <tr r="AJ5" s="100"/>
      </tp>
      <tp t="e">
        <v>#N/A</v>
        <stp/>
        <stp>BDS|17015197889315109474</stp>
        <tr r="GX5" s="2"/>
      </tp>
      <tp t="e">
        <v>#N/A</v>
        <stp/>
        <stp>BDS|18443241174906692445</stp>
        <tr r="MH5" s="34"/>
      </tp>
      <tp t="e">
        <v>#N/A</v>
        <stp/>
        <stp>BDS|10440911620492445670</stp>
        <tr r="U5" s="63"/>
      </tp>
      <tp t="e">
        <v>#N/A</v>
        <stp/>
        <stp>BDS|12469843730595042361</stp>
        <tr r="EZ5" s="19"/>
      </tp>
      <tp t="e">
        <v>#N/A</v>
        <stp/>
        <stp>BDS|14811635225568902714</stp>
        <tr r="LS5" s="9"/>
      </tp>
      <tp t="e">
        <v>#N/A</v>
        <stp/>
        <stp>BDS|10250638991245735507</stp>
        <tr r="BS5" s="25"/>
      </tp>
      <tp t="e">
        <v>#N/A</v>
        <stp/>
        <stp>BDS|18031049166033206271</stp>
        <tr r="AT5" s="40"/>
      </tp>
      <tp t="e">
        <v>#N/A</v>
        <stp/>
        <stp>BDS|12055982526080067698</stp>
        <tr r="AT5" s="23"/>
      </tp>
      <tp t="e">
        <v>#N/A</v>
        <stp/>
        <stp>BDS|14349431695964351216</stp>
        <tr r="HC5" s="77"/>
      </tp>
      <tp t="e">
        <v>#N/A</v>
        <stp/>
        <stp>BDS|12985858417662411688</stp>
        <tr r="FE5" s="9"/>
      </tp>
      <tp t="e">
        <v>#N/A</v>
        <stp/>
        <stp>BDS|13520544312088306078</stp>
        <tr r="FT5" s="104"/>
      </tp>
      <tp t="e">
        <v>#N/A</v>
        <stp/>
        <stp>BDS|11404099845378947268</stp>
        <tr r="DQ5" s="62"/>
      </tp>
      <tp t="e">
        <v>#N/A</v>
        <stp/>
        <stp>BDS|17635275263268277475</stp>
        <tr r="LI5" s="58"/>
      </tp>
      <tp t="e">
        <v>#N/A</v>
        <stp/>
        <stp>BDS|16997734428975380969</stp>
        <tr r="AO5" s="44"/>
      </tp>
      <tp t="e">
        <v>#N/A</v>
        <stp/>
        <stp>BDS|10915624665526803915</stp>
        <tr r="EA5" s="53"/>
      </tp>
      <tp t="e">
        <v>#N/A</v>
        <stp/>
        <stp>BDS|13053244112448588749</stp>
        <tr r="JU5" s="50"/>
      </tp>
      <tp t="e">
        <v>#N/A</v>
        <stp/>
        <stp>BDS|14923753519028230506</stp>
        <tr r="BN5" s="54"/>
      </tp>
      <tp t="e">
        <v>#N/A</v>
        <stp/>
        <stp>BDS|12607773999450884344</stp>
        <tr r="FO5" s="93"/>
      </tp>
      <tp t="e">
        <v>#N/A</v>
        <stp/>
        <stp>BDS|14502660514925615953</stp>
        <tr r="NL5" s="8"/>
      </tp>
      <tp t="e">
        <v>#N/A</v>
        <stp/>
        <stp>BDS|11298520084564932796</stp>
        <tr r="KJ5" s="122"/>
      </tp>
      <tp t="e">
        <v>#N/A</v>
        <stp/>
        <stp>BDS|12568856405324522148</stp>
        <tr r="GI5" s="112"/>
      </tp>
      <tp t="e">
        <v>#N/A</v>
        <stp/>
        <stp>BDS|13110674402809030307</stp>
        <tr r="JU5" s="45"/>
      </tp>
      <tp t="e">
        <v>#N/A</v>
        <stp/>
        <stp>BDS|13236728766039179433</stp>
        <tr r="KT5" s="102"/>
      </tp>
      <tp t="e">
        <v>#N/A</v>
        <stp/>
        <stp>BDS|15325923301336020541</stp>
        <tr r="JP5" s="80"/>
      </tp>
      <tp t="e">
        <v>#N/A</v>
        <stp/>
        <stp>BDS|12085810166440148328</stp>
        <tr r="AJ5" s="28"/>
      </tp>
      <tp t="e">
        <v>#N/A</v>
        <stp/>
        <stp>BDS|12567101886105115167</stp>
        <tr r="BS5" s="103"/>
      </tp>
      <tp t="e">
        <v>#N/A</v>
        <stp/>
        <stp>BDS|16039888353051651599</stp>
        <tr r="GN5" s="96"/>
      </tp>
      <tp t="e">
        <v>#N/A</v>
        <stp/>
        <stp>BDS|10077507199667949446</stp>
        <tr r="KO5" s="77"/>
      </tp>
      <tp t="e">
        <v>#N/A</v>
        <stp/>
        <stp>BDS|15889966710495293787</stp>
        <tr r="FE5" s="115"/>
      </tp>
      <tp t="e">
        <v>#N/A</v>
        <stp/>
        <stp>BDS|15166521181820592732</stp>
        <tr r="GS5" s="24"/>
      </tp>
      <tp t="e">
        <v>#N/A</v>
        <stp/>
        <stp>BDS|11514835312912258531</stp>
        <tr r="AY5" s="93"/>
      </tp>
      <tp t="e">
        <v>#N/A</v>
        <stp/>
        <stp>BDS|16743719844083457931</stp>
        <tr r="BI5" s="63"/>
      </tp>
      <tp t="e">
        <v>#N/A</v>
        <stp/>
        <stp>BDS|15420676392963010644</stp>
        <tr r="EF5" s="61"/>
      </tp>
      <tp t="e">
        <v>#N/A</v>
        <stp/>
        <stp>BDS|18337774301401496142</stp>
        <tr r="EU5" s="98"/>
      </tp>
      <tp t="e">
        <v>#N/A</v>
        <stp/>
        <stp>BDS|15038280258285196847</stp>
        <tr r="AJ5" s="98"/>
      </tp>
      <tp t="e">
        <v>#N/A</v>
        <stp/>
        <stp>BDS|17508039897709645827</stp>
        <tr r="JA5" s="30"/>
      </tp>
      <tp t="e">
        <v>#N/A</v>
        <stp/>
        <stp>BDS|16639883544736871372</stp>
        <tr r="FE5" s="16"/>
      </tp>
      <tp t="e">
        <v>#N/A</v>
        <stp/>
        <stp>BDS|14150564945502642812</stp>
        <tr r="DG5" s="48"/>
      </tp>
      <tp t="e">
        <v>#N/A</v>
        <stp/>
        <stp>BDS|16477305995035427602</stp>
        <tr r="AE5" s="81"/>
      </tp>
      <tp t="e">
        <v>#N/A</v>
        <stp/>
        <stp>BDS|10395602531253400938</stp>
        <tr r="DQ5" s="117"/>
      </tp>
      <tp t="e">
        <v>#N/A</v>
        <stp/>
        <stp>BDS|17203056715229618010</stp>
        <tr r="GS5" s="118"/>
      </tp>
      <tp t="e">
        <v>#N/A</v>
        <stp/>
        <stp>BDS|17255956418926893626</stp>
        <tr r="AO5" s="90"/>
      </tp>
      <tp t="e">
        <v>#N/A</v>
        <stp/>
        <stp>BDS|15338907874441616544</stp>
        <tr r="AE5" s="2"/>
      </tp>
      <tp t="e">
        <v>#N/A</v>
        <stp/>
        <stp>BDS|14976913430027797557</stp>
        <tr r="CR5" s="124"/>
      </tp>
      <tp t="e">
        <v>#N/A</v>
        <stp/>
        <stp>BDS|16035786686410500518</stp>
        <tr r="DB5" s="104"/>
      </tp>
      <tp t="e">
        <v>#N/A</v>
        <stp/>
        <stp>BDS|10858327333815006932</stp>
        <tr r="JF5" s="80"/>
      </tp>
      <tp t="e">
        <v>#N/A</v>
        <stp/>
        <stp>BDS|17052310496323907248</stp>
        <tr r="GI5" s="116"/>
      </tp>
      <tp t="e">
        <v>#N/A</v>
        <stp/>
        <stp>BDS|10279859601457445382</stp>
        <tr r="EZ5" s="69"/>
      </tp>
      <tp t="e">
        <v>#N/A</v>
        <stp/>
        <stp>BDS|12486474665539431589</stp>
        <tr r="NQ5" s="11"/>
      </tp>
      <tp t="e">
        <v>#N/A</v>
        <stp/>
        <stp>BDS|13133309688587472378</stp>
        <tr r="OA5" s="32"/>
      </tp>
      <tp t="e">
        <v>#N/A</v>
        <stp/>
        <stp>BDS|10677786690266674423</stp>
        <tr r="AO5" s="14"/>
      </tp>
      <tp t="e">
        <v>#N/A</v>
        <stp/>
        <stp>BDS|16180932940510088781</stp>
        <tr r="P5" s="13"/>
      </tp>
      <tp t="e">
        <v>#N/A</v>
        <stp/>
        <stp>BDS|11621131008154238854</stp>
        <tr r="MH5" s="106"/>
      </tp>
      <tp t="e">
        <v>#N/A</v>
        <stp/>
        <stp>BDS|12703386776338324202</stp>
        <tr r="JA5" s="79"/>
      </tp>
      <tp t="e">
        <v>#N/A</v>
        <stp/>
        <stp>BDS|18151360668718484905</stp>
        <tr r="JU5" s="37"/>
      </tp>
      <tp t="e">
        <v>#N/A</v>
        <stp/>
        <stp>BDS|16440933809273102046</stp>
        <tr r="HM5" s="34"/>
      </tp>
      <tp t="e">
        <v>#N/A</v>
        <stp/>
        <stp>BDS|11879792148058511676</stp>
        <tr r="LI5" s="122"/>
      </tp>
      <tp t="e">
        <v>#N/A</v>
        <stp/>
        <stp>BDS|17891432975490449819</stp>
        <tr r="CR5" s="98"/>
      </tp>
      <tp t="e">
        <v>#N/A</v>
        <stp/>
        <stp>BDS|13041987642962104008</stp>
        <tr r="KO5" s="96"/>
      </tp>
      <tp t="e">
        <v>#N/A</v>
        <stp/>
        <stp>BDS|11924939523947321112</stp>
        <tr r="IV5" s="81"/>
      </tp>
      <tp t="e">
        <v>#N/A</v>
        <stp/>
        <stp>BDS|13127113062169197188</stp>
        <tr r="HR5" s="29"/>
      </tp>
      <tp t="e">
        <v>#N/A</v>
        <stp/>
        <stp>BDS|17689168839571266802</stp>
        <tr r="HC5" s="116"/>
      </tp>
      <tp t="e">
        <v>#N/A</v>
        <stp/>
        <stp>BDS|10498213780987678184</stp>
        <tr r="IB5" s="116"/>
      </tp>
      <tp t="e">
        <v>#N/A</v>
        <stp/>
        <stp>BDS|11599474285214975558</stp>
        <tr r="HC5" s="88"/>
      </tp>
      <tp t="e">
        <v>#N/A</v>
        <stp/>
        <stp>BDS|11152852878434300643</stp>
        <tr r="OF5" s="41"/>
      </tp>
      <tp t="e">
        <v>#N/A</v>
        <stp/>
        <stp>BDS|11763899966001080237</stp>
        <tr r="LX5" s="89"/>
      </tp>
      <tp t="e">
        <v>#N/A</v>
        <stp/>
        <stp>BDS|13228089662471913897</stp>
        <tr r="CW5" s="21"/>
      </tp>
      <tp t="e">
        <v>#N/A</v>
        <stp/>
        <stp>BDS|17014545356933210884</stp>
        <tr r="EU5" s="55"/>
      </tp>
      <tp t="e">
        <v>#N/A</v>
        <stp/>
        <stp>BDS|10204569238382678825</stp>
        <tr r="MR5" s="88"/>
      </tp>
      <tp t="e">
        <v>#N/A</v>
        <stp/>
        <stp>BDS|11856809170874829688</stp>
        <tr r="EA5" s="45"/>
      </tp>
      <tp t="e">
        <v>#N/A</v>
        <stp/>
        <stp>BDS|10400272448849378300</stp>
        <tr r="CM5" s="74"/>
      </tp>
      <tp t="e">
        <v>#N/A</v>
        <stp/>
        <stp>BDS|14192062077278901714</stp>
        <tr r="Z5" s="118"/>
      </tp>
      <tp t="e">
        <v>#N/A</v>
        <stp/>
        <stp>BDS|15480143686735922572</stp>
        <tr r="EA5" s="87"/>
      </tp>
      <tp t="e">
        <v>#N/A</v>
        <stp/>
        <stp>BDS|10883622882202094002</stp>
        <tr r="HR5" s="54"/>
      </tp>
      <tp t="e">
        <v>#N/A</v>
        <stp/>
        <stp>BDS|16775669474863469892</stp>
        <tr r="HR5" s="114"/>
      </tp>
      <tp t="e">
        <v>#N/A</v>
        <stp/>
        <stp>BDS|17824652154561054912</stp>
        <tr r="DB5" s="39"/>
      </tp>
      <tp t="e">
        <v>#N/A</v>
        <stp/>
        <stp>BDS|16914979900364387753</stp>
        <tr r="FY5" s="41"/>
      </tp>
      <tp t="e">
        <v>#N/A</v>
        <stp/>
        <stp>BDS|17885003944119291663</stp>
        <tr r="LI5" s="34"/>
      </tp>
      <tp t="e">
        <v>#N/A</v>
        <stp/>
        <stp>BDS|17769124158086267974</stp>
        <tr r="DQ5" s="107"/>
      </tp>
      <tp t="e">
        <v>#N/A</v>
        <stp/>
        <stp>BDS|15970101621329749376</stp>
        <tr r="EK5" s="27"/>
      </tp>
      <tp t="e">
        <v>#N/A</v>
        <stp/>
        <stp>BDS|14815134914680634817</stp>
        <tr r="BS5" s="99"/>
      </tp>
      <tp t="e">
        <v>#N/A</v>
        <stp/>
        <stp>BDS|15963880880341134880</stp>
        <tr r="BN5" s="93"/>
      </tp>
      <tp t="e">
        <v>#N/A</v>
        <stp/>
        <stp>BDS|12541080711448352773</stp>
        <tr r="EP5" s="87"/>
      </tp>
      <tp t="e">
        <v>#N/A</v>
        <stp/>
        <stp>BDS|11873971383159496508</stp>
        <tr r="JK5" s="19"/>
      </tp>
      <tp t="e">
        <v>#N/A</v>
        <stp/>
        <stp>BDS|12352895523526718260</stp>
        <tr r="HR5" s="68"/>
      </tp>
      <tp t="e">
        <v>#N/A</v>
        <stp/>
        <stp>BDS|14364151965766355981</stp>
        <tr r="HM5" s="118"/>
      </tp>
      <tp t="e">
        <v>#N/A</v>
        <stp/>
        <stp>BDS|13481275971502944826</stp>
        <tr r="AJ5" s="45"/>
      </tp>
      <tp t="e">
        <v>#N/A</v>
        <stp/>
        <stp>BDS|11000785808563997900</stp>
        <tr r="IG5" s="20"/>
      </tp>
      <tp t="e">
        <v>#N/A</v>
        <stp/>
        <stp>BDS|10363299916136528905</stp>
        <tr r="IL5" s="34"/>
      </tp>
      <tp t="e">
        <v>#N/A</v>
        <stp/>
        <stp>BDS|11729877352988261893</stp>
        <tr r="DB5" s="119"/>
      </tp>
      <tp t="e">
        <v>#N/A</v>
        <stp/>
        <stp>BDS|14786766827194823973</stp>
        <tr r="DB5" s="40"/>
      </tp>
      <tp t="e">
        <v>#N/A</v>
        <stp/>
        <stp>BDS|13243489998645308785</stp>
        <tr r="EF5" s="11"/>
      </tp>
      <tp t="e">
        <v>#N/A</v>
        <stp/>
        <stp>BDS|18277148666677149480</stp>
        <tr r="GS5" s="77"/>
      </tp>
      <tp t="e">
        <v>#N/A</v>
        <stp/>
        <stp>BDS|17492854037795762581</stp>
        <tr r="FT5" s="7"/>
      </tp>
      <tp t="e">
        <v>#N/A</v>
        <stp/>
        <stp>BDS|13309443788955563630</stp>
        <tr r="F5" s="75"/>
      </tp>
      <tp t="e">
        <v>#N/A</v>
        <stp/>
        <stp>BDS|16546851708072462051</stp>
        <tr r="U5" s="123"/>
      </tp>
      <tp t="e">
        <v>#N/A</v>
        <stp/>
        <stp>BDS|15984098736132966867</stp>
        <tr r="EP5" s="86"/>
      </tp>
      <tp t="e">
        <v>#N/A</v>
        <stp/>
        <stp>BDS|17238707438946525968</stp>
        <tr r="CR5" s="87"/>
      </tp>
      <tp t="e">
        <v>#N/A</v>
        <stp/>
        <stp>BDS|15553838326727882415</stp>
        <tr r="AE5" s="24"/>
      </tp>
      <tp t="e">
        <v>#N/A</v>
        <stp/>
        <stp>BDS|13476779880842363294</stp>
        <tr r="JF5" s="53"/>
      </tp>
      <tp t="e">
        <v>#N/A</v>
        <stp/>
        <stp>BDS|17566585854863181868</stp>
        <tr r="AY5" s="88"/>
      </tp>
      <tp t="e">
        <v>#N/A</v>
        <stp/>
        <stp>BDS|12329881673926054765</stp>
        <tr r="FT5" s="66"/>
      </tp>
      <tp t="e">
        <v>#N/A</v>
        <stp/>
        <stp>BDS|18139677279355088015</stp>
        <tr r="HM5" s="113"/>
      </tp>
      <tp t="e">
        <v>#N/A</v>
        <stp/>
        <stp>BDS|14164090371458585723</stp>
        <tr r="LX5" s="118"/>
      </tp>
      <tp t="e">
        <v>#N/A</v>
        <stp/>
        <stp>BDS|12236689070739405605</stp>
        <tr r="K5" s="18"/>
      </tp>
      <tp t="e">
        <v>#N/A</v>
        <stp/>
        <stp>BDS|16465758909168675507</stp>
        <tr r="EK5" s="84"/>
      </tp>
      <tp t="e">
        <v>#N/A</v>
        <stp/>
        <stp>BDS|15166596846891257922</stp>
        <tr r="HC5" s="120"/>
      </tp>
      <tp t="e">
        <v>#N/A</v>
        <stp/>
        <stp>BDS|15469082843054432959</stp>
        <tr r="AJ5" s="19"/>
      </tp>
      <tp t="e">
        <v>#N/A</v>
        <stp/>
        <stp>BDS|12945036598002483587</stp>
        <tr r="HM5" s="74"/>
      </tp>
      <tp t="e">
        <v>#N/A</v>
        <stp/>
        <stp>BDS|16433845796108826308</stp>
        <tr r="KJ5" s="38"/>
      </tp>
      <tp t="e">
        <v>#N/A</v>
        <stp/>
        <stp>BDS|13884656610749628158</stp>
        <tr r="GS5" s="83"/>
      </tp>
      <tp t="e">
        <v>#N/A</v>
        <stp/>
        <stp>BDS|10820549683538381925</stp>
        <tr r="AY5" s="20"/>
      </tp>
      <tp t="e">
        <v>#N/A</v>
        <stp/>
        <stp>BDS|13860856559045876724</stp>
        <tr r="DQ5" s="33"/>
      </tp>
      <tp t="e">
        <v>#N/A</v>
        <stp/>
        <stp>BDS|16026870354194908341</stp>
        <tr r="FE5" s="26"/>
      </tp>
      <tp t="e">
        <v>#N/A</v>
        <stp/>
        <stp>BDS|10656089058449980011</stp>
        <tr r="AT5" s="96"/>
      </tp>
      <tp t="e">
        <v>#N/A</v>
        <stp/>
        <stp>BDS|12623127792162975413</stp>
        <tr r="DQ5" s="54"/>
      </tp>
      <tp t="e">
        <v>#N/A</v>
        <stp/>
        <stp>BDS|10822948171473276119</stp>
        <tr r="GN5" s="48"/>
      </tp>
      <tp t="e">
        <v>#N/A</v>
        <stp/>
        <stp>BDS|15772514913168273592</stp>
        <tr r="JZ5" s="75"/>
      </tp>
      <tp t="e">
        <v>#N/A</v>
        <stp/>
        <stp>BDS|17240766249810043838</stp>
        <tr r="HM5" s="84"/>
      </tp>
      <tp t="e">
        <v>#N/A</v>
        <stp/>
        <stp>BDS|12393653396200783196</stp>
        <tr r="FT5" s="111"/>
      </tp>
      <tp t="e">
        <v>#N/A</v>
        <stp/>
        <stp>BDS|10877234188803547595</stp>
        <tr r="KT5" s="111"/>
      </tp>
      <tp t="e">
        <v>#N/A</v>
        <stp/>
        <stp>BDS|15222419689606338367</stp>
        <tr r="GI5" s="48"/>
      </tp>
      <tp t="e">
        <v>#N/A</v>
        <stp/>
        <stp>BDS|14247284694861035213</stp>
        <tr r="BX5" s="114"/>
      </tp>
      <tp t="e">
        <v>#N/A</v>
        <stp/>
        <stp>BDS|17049875211670985200</stp>
        <tr r="DG5" s="95"/>
      </tp>
      <tp t="e">
        <v>#N/A</v>
        <stp/>
        <stp>BDS|16151845426693517398</stp>
        <tr r="LN5" s="118"/>
      </tp>
      <tp t="e">
        <v>#N/A</v>
        <stp/>
        <stp>BDS|16285094404259875386</stp>
        <tr r="CR5" s="53"/>
      </tp>
      <tp t="e">
        <v>#N/A</v>
        <stp/>
        <stp>BDS|12444491054757742819</stp>
        <tr r="LD5" s="52"/>
      </tp>
      <tp t="e">
        <v>#N/A</v>
        <stp/>
        <stp>BDS|10439466726993885938</stp>
        <tr r="LS5" s="117"/>
      </tp>
      <tp t="e">
        <v>#N/A</v>
        <stp/>
        <stp>BDS|11798328231264975927</stp>
        <tr r="IG5" s="89"/>
      </tp>
      <tp t="e">
        <v>#N/A</v>
        <stp/>
        <stp>BDS|16628949962865962066</stp>
        <tr r="OA5" s="55"/>
      </tp>
      <tp t="e">
        <v>#N/A</v>
        <stp/>
        <stp>BDS|12537143779408467031</stp>
        <tr r="GN5" s="12"/>
      </tp>
      <tp t="e">
        <v>#N/A</v>
        <stp/>
        <stp>BDS|17904742891515502065</stp>
        <tr r="DG5" s="16"/>
      </tp>
      <tp t="e">
        <v>#N/A</v>
        <stp/>
        <stp>BDS|12871446786546043452</stp>
        <tr r="AO5" s="3"/>
      </tp>
      <tp t="e">
        <v>#N/A</v>
        <stp/>
        <stp>BDS|17325428884826811122</stp>
        <tr r="LI5" s="81"/>
      </tp>
      <tp t="e">
        <v>#N/A</v>
        <stp/>
        <stp>BDS|10666907026855815279</stp>
        <tr r="EZ5" s="57"/>
      </tp>
      <tp t="e">
        <v>#N/A</v>
        <stp/>
        <stp>BDS|17458130456939428695</stp>
        <tr r="Z5" s="82"/>
      </tp>
      <tp t="e">
        <v>#N/A</v>
        <stp/>
        <stp>BDS|10934227606766787860</stp>
        <tr r="KE5" s="39"/>
      </tp>
      <tp t="e">
        <v>#N/A</v>
        <stp/>
        <stp>BDS|13276119811999870668</stp>
        <tr r="LX5" s="100"/>
      </tp>
      <tp t="e">
        <v>#N/A</v>
        <stp/>
        <stp>BDS|10656364420528429588</stp>
        <tr r="KE5" s="37"/>
      </tp>
      <tp t="e">
        <v>#N/A</v>
        <stp/>
        <stp>BDS|13532159698634021340</stp>
        <tr r="KY5" s="80"/>
      </tp>
      <tp t="e">
        <v>#N/A</v>
        <stp/>
        <stp>BDS|10481977839640629608</stp>
        <tr r="BS5" s="98"/>
      </tp>
      <tp t="e">
        <v>#N/A</v>
        <stp/>
        <stp>BDS|15765027157174654887</stp>
        <tr r="DV5" s="38"/>
      </tp>
      <tp t="e">
        <v>#N/A</v>
        <stp/>
        <stp>BDS|13793939005206545087</stp>
        <tr r="MR5" s="79"/>
      </tp>
      <tp t="e">
        <v>#N/A</v>
        <stp/>
        <stp>BDS|17579943177763348690</stp>
        <tr r="FE5" s="75"/>
      </tp>
      <tp t="e">
        <v>#N/A</v>
        <stp/>
        <stp>BDS|17264210092204409491</stp>
        <tr r="IQ5" s="74"/>
      </tp>
      <tp t="e">
        <v>#N/A</v>
        <stp/>
        <stp>BDS|13153780670309161644</stp>
        <tr r="NL5" s="26"/>
      </tp>
      <tp t="e">
        <v>#N/A</v>
        <stp/>
        <stp>BDS|15821513293404285149</stp>
        <tr r="FJ5" s="82"/>
      </tp>
      <tp t="e">
        <v>#N/A</v>
        <stp/>
        <stp>BDS|15111662397384422299</stp>
        <tr r="MC5" s="108"/>
      </tp>
      <tp t="e">
        <v>#N/A</v>
        <stp/>
        <stp>BDS|16386707713345434995</stp>
        <tr r="EF5" s="51"/>
      </tp>
      <tp t="e">
        <v>#N/A</v>
        <stp/>
        <stp>BDS|15951115792932082378</stp>
        <tr r="IV5" s="103"/>
      </tp>
      <tp t="e">
        <v>#N/A</v>
        <stp/>
        <stp>BDS|11623014550868317097</stp>
        <tr r="AO5" s="27"/>
      </tp>
      <tp t="e">
        <v>#N/A</v>
        <stp/>
        <stp>BDS|18291916715015956922</stp>
        <tr r="CC5" s="119"/>
      </tp>
      <tp t="e">
        <v>#N/A</v>
        <stp/>
        <stp>BDS|11678641948799071679</stp>
        <tr r="CH5" s="66"/>
      </tp>
      <tp t="e">
        <v>#N/A</v>
        <stp/>
        <stp>BDS|14085677577700929944</stp>
        <tr r="LI5" s="65"/>
      </tp>
      <tp t="e">
        <v>#N/A</v>
        <stp/>
        <stp>BDS|10575520283661151088</stp>
        <tr r="HR5" s="91"/>
      </tp>
      <tp t="e">
        <v>#N/A</v>
        <stp/>
        <stp>BDS|11934993550654818556</stp>
        <tr r="BN5" s="51"/>
      </tp>
      <tp t="e">
        <v>#N/A</v>
        <stp/>
        <stp>BDS|16141929200171642288</stp>
        <tr r="LI5" s="87"/>
      </tp>
      <tp t="e">
        <v>#N/A</v>
        <stp/>
        <stp>BDS|10463420489730017025</stp>
        <tr r="OF5" s="61"/>
      </tp>
      <tp t="e">
        <v>#N/A</v>
        <stp/>
        <stp>BDS|13442745510150586977</stp>
        <tr r="EA5" s="7"/>
      </tp>
      <tp t="e">
        <v>#N/A</v>
        <stp/>
        <stp>BDS|11448143511724068939</stp>
        <tr r="KO5" s="106"/>
      </tp>
      <tp t="e">
        <v>#N/A</v>
        <stp/>
        <stp>BDS|11804314227419461589</stp>
        <tr r="NQ5" s="18"/>
      </tp>
      <tp t="e">
        <v>#N/A</v>
        <stp/>
        <stp>BDS|17704902399478485383</stp>
        <tr r="AO5" s="55"/>
      </tp>
      <tp t="e">
        <v>#N/A</v>
        <stp/>
        <stp>BDS|15788064328232844936</stp>
        <tr r="HW5" s="73"/>
      </tp>
      <tp t="e">
        <v>#N/A</v>
        <stp/>
        <stp>BDS|11448586598755424425</stp>
        <tr r="JA5" s="100"/>
      </tp>
      <tp t="e">
        <v>#N/A</v>
        <stp/>
        <stp>BDS|14868174883289846865</stp>
        <tr r="K5" s="42"/>
      </tp>
      <tp t="e">
        <v>#N/A</v>
        <stp/>
        <stp>BDS|17155372493268246950</stp>
        <tr r="KE5" s="77"/>
      </tp>
      <tp t="e">
        <v>#N/A</v>
        <stp/>
        <stp>BDS|14095829844101220564</stp>
        <tr r="AO5" s="99"/>
      </tp>
      <tp t="e">
        <v>#N/A</v>
        <stp/>
        <stp>BDS|15660932135395415661</stp>
        <tr r="A5" s="9"/>
      </tp>
      <tp t="e">
        <v>#N/A</v>
        <stp/>
        <stp>BDS|12333888238223091617</stp>
        <tr r="NB5" s="34"/>
      </tp>
      <tp t="e">
        <v>#N/A</v>
        <stp/>
        <stp>BDS|12697718472029555722</stp>
        <tr r="CM5" s="50"/>
      </tp>
      <tp t="e">
        <v>#N/A</v>
        <stp/>
        <stp>BDS|13688965206816398079</stp>
        <tr r="MH5" s="119"/>
      </tp>
      <tp t="e">
        <v>#N/A</v>
        <stp/>
        <stp>BDS|11158039603574003922</stp>
        <tr r="AE5" s="44"/>
      </tp>
      <tp t="e">
        <v>#N/A</v>
        <stp/>
        <stp>BDS|16662213350488590512</stp>
        <tr r="LD5" s="120"/>
      </tp>
      <tp t="e">
        <v>#N/A</v>
        <stp/>
        <stp>BDS|12969891113916306137</stp>
        <tr r="BN5" s="29"/>
      </tp>
      <tp t="e">
        <v>#N/A</v>
        <stp/>
        <stp>BDS|11294085875202966851</stp>
        <tr r="IB5" s="67"/>
      </tp>
      <tp t="e">
        <v>#N/A</v>
        <stp/>
        <stp>BDS|15069972365087951188</stp>
        <tr r="Z5" s="107"/>
      </tp>
      <tp t="e">
        <v>#N/A</v>
        <stp/>
        <stp>BDS|12135939333996320219</stp>
        <tr r="JZ5" s="4"/>
      </tp>
      <tp t="e">
        <v>#N/A</v>
        <stp/>
        <stp>BDS|13962938207176661086</stp>
        <tr r="GS5" s="27"/>
      </tp>
      <tp t="e">
        <v>#N/A</v>
        <stp/>
        <stp>BDS|10763024715379697456</stp>
        <tr r="U5" s="98"/>
      </tp>
      <tp t="e">
        <v>#N/A</v>
        <stp/>
        <stp>BDS|11483270580321454640</stp>
        <tr r="NB5" s="74"/>
      </tp>
      <tp t="e">
        <v>#N/A</v>
        <stp/>
        <stp>BDS|14686477280915105138</stp>
        <tr r="KO5" s="48"/>
      </tp>
      <tp t="e">
        <v>#N/A</v>
        <stp/>
        <stp>BDS|12726966218870800620</stp>
        <tr r="HH5" s="26"/>
      </tp>
      <tp t="e">
        <v>#N/A</v>
        <stp/>
        <stp>BDS|11591550490483680256</stp>
        <tr r="IL5" s="13"/>
      </tp>
      <tp t="e">
        <v>#N/A</v>
        <stp/>
        <stp>BDS|13843044404148908722</stp>
        <tr r="MC5" s="101"/>
      </tp>
      <tp t="e">
        <v>#N/A</v>
        <stp/>
        <stp>BDS|15087572383326180266</stp>
        <tr r="CR5" s="42"/>
      </tp>
      <tp t="e">
        <v>#N/A</v>
        <stp/>
        <stp>BDS|12247683592050359184</stp>
        <tr r="AJ5" s="110"/>
      </tp>
      <tp t="e">
        <v>#N/A</v>
        <stp/>
        <stp>BDS|13433603726129171203</stp>
        <tr r="BS5" s="72"/>
      </tp>
      <tp t="e">
        <v>#N/A</v>
        <stp/>
        <stp>BDS|16674857106017434527</stp>
        <tr r="GX5" s="111"/>
      </tp>
      <tp t="e">
        <v>#N/A</v>
        <stp/>
        <stp>BDS|13357911185377357949</stp>
        <tr r="FY5" s="116"/>
      </tp>
      <tp t="e">
        <v>#N/A</v>
        <stp/>
        <stp>BDS|10662354692114398220</stp>
        <tr r="IL5" s="114"/>
      </tp>
      <tp t="e">
        <v>#N/A</v>
        <stp/>
        <stp>BDS|12744658583448479856</stp>
        <tr r="BN5" s="40"/>
      </tp>
      <tp t="e">
        <v>#N/A</v>
        <stp/>
        <stp>BDS|18145192768940023304</stp>
        <tr r="MW5" s="73"/>
      </tp>
      <tp t="e">
        <v>#N/A</v>
        <stp/>
        <stp>BDS|13233904061906321605</stp>
        <tr r="CW5" s="69"/>
      </tp>
      <tp t="e">
        <v>#N/A</v>
        <stp/>
        <stp>BDS|14595506133056114871</stp>
        <tr r="GS5" s="31"/>
      </tp>
      <tp t="e">
        <v>#N/A</v>
        <stp/>
        <stp>BDS|17587223925142057921</stp>
        <tr r="FE5" s="64"/>
      </tp>
      <tp t="e">
        <v>#N/A</v>
        <stp/>
        <stp>BDS|13212332295895535014</stp>
        <tr r="GN5" s="89"/>
      </tp>
      <tp t="e">
        <v>#N/A</v>
        <stp/>
        <stp>BDS|11007538892804891595</stp>
        <tr r="NG5" s="108"/>
      </tp>
      <tp t="e">
        <v>#N/A</v>
        <stp/>
        <stp>BDS|17111964835951785058</stp>
        <tr r="EF5" s="1"/>
      </tp>
      <tp t="e">
        <v>#N/A</v>
        <stp/>
        <stp>BDS|11485463408630269987</stp>
        <tr r="U5" s="121"/>
      </tp>
      <tp t="e">
        <v>#N/A</v>
        <stp/>
        <stp>BDS|13362650047655250839</stp>
        <tr r="HW5" s="116"/>
      </tp>
      <tp t="e">
        <v>#N/A</v>
        <stp/>
        <stp>BDS|16160320853304824886</stp>
        <tr r="FE5" s="71"/>
      </tp>
      <tp t="e">
        <v>#N/A</v>
        <stp/>
        <stp>BDS|10037752597995480761</stp>
        <tr r="GN5" s="108"/>
      </tp>
      <tp t="e">
        <v>#N/A</v>
        <stp/>
        <stp>BDS|10703919821231432638</stp>
        <tr r="GI5" s="74"/>
      </tp>
      <tp t="e">
        <v>#N/A</v>
        <stp/>
        <stp>BDS|16939982272481447576</stp>
        <tr r="CR5" s="60"/>
      </tp>
      <tp t="e">
        <v>#N/A</v>
        <stp/>
        <stp>BDS|14224635590114293338</stp>
        <tr r="OF5" s="10"/>
      </tp>
      <tp t="e">
        <v>#N/A</v>
        <stp/>
        <stp>BDS|15053984429382850092</stp>
        <tr r="KE5" s="25"/>
      </tp>
      <tp t="e">
        <v>#N/A</v>
        <stp/>
        <stp>BDS|15099910186061180965</stp>
        <tr r="IQ5" s="116"/>
      </tp>
      <tp t="e">
        <v>#N/A</v>
        <stp/>
        <stp>BDS|11856900548682512256</stp>
        <tr r="IB5" s="74"/>
      </tp>
      <tp t="e">
        <v>#N/A</v>
        <stp/>
        <stp>BDS|13412768491096414763</stp>
        <tr r="EA5" s="90"/>
      </tp>
      <tp t="e">
        <v>#N/A</v>
        <stp/>
        <stp>BDS|12061891880399988716</stp>
        <tr r="U5" s="18"/>
      </tp>
      <tp t="e">
        <v>#N/A</v>
        <stp/>
        <stp>BDS|15035288830349930102</stp>
        <tr r="BN5" s="20"/>
      </tp>
      <tp t="e">
        <v>#N/A</v>
        <stp/>
        <stp>BDS|10636537016141592975</stp>
        <tr r="BS5" s="42"/>
      </tp>
      <tp t="e">
        <v>#N/A</v>
        <stp/>
        <stp>BDS|18228182819041414568</stp>
        <tr r="OF5" s="123"/>
      </tp>
      <tp t="e">
        <v>#N/A</v>
        <stp/>
        <stp>BDS|14769951051891533575</stp>
        <tr r="JF5" s="61"/>
      </tp>
      <tp t="e">
        <v>#N/A</v>
        <stp/>
        <stp>BDS|18307622922375594570</stp>
        <tr r="KT5" s="62"/>
      </tp>
      <tp t="e">
        <v>#N/A</v>
        <stp/>
        <stp>BDS|10660709946016914980</stp>
        <tr r="AT5" s="64"/>
      </tp>
      <tp t="e">
        <v>#N/A</v>
        <stp/>
        <stp>BDS|15762975046277358349</stp>
        <tr r="GI5" s="50"/>
      </tp>
      <tp t="e">
        <v>#N/A</v>
        <stp/>
        <stp>BDS|11286259258363766998</stp>
        <tr r="FO5" s="58"/>
      </tp>
      <tp t="e">
        <v>#N/A</v>
        <stp/>
        <stp>BDS|10597426081650481032</stp>
        <tr r="EK5" s="20"/>
      </tp>
      <tp t="e">
        <v>#N/A</v>
        <stp/>
        <stp>BDS|13027796958129212425</stp>
        <tr r="KT5" s="3"/>
      </tp>
      <tp t="e">
        <v>#N/A</v>
        <stp/>
        <stp>BDS|10532906651457739723</stp>
        <tr r="BD5" s="102"/>
      </tp>
      <tp t="e">
        <v>#N/A</v>
        <stp/>
        <stp>BDS|16045873897589757266</stp>
        <tr r="EP5" s="81"/>
      </tp>
      <tp t="e">
        <v>#N/A</v>
        <stp/>
        <stp>BDS|16173670584753481779</stp>
        <tr r="KJ5" s="106"/>
      </tp>
      <tp t="e">
        <v>#N/A</v>
        <stp/>
        <stp>BDS|17694919312382342177</stp>
        <tr r="LN5" s="42"/>
      </tp>
      <tp t="e">
        <v>#N/A</v>
        <stp/>
        <stp>BDS|14375488780824217082</stp>
        <tr r="JA5" s="4"/>
      </tp>
      <tp t="e">
        <v>#N/A</v>
        <stp/>
        <stp>BDS|12724030462080193810</stp>
        <tr r="DQ5" s="18"/>
      </tp>
      <tp t="e">
        <v>#N/A</v>
        <stp/>
        <stp>BDS|16344099268714026847</stp>
        <tr r="HW5" s="4"/>
      </tp>
      <tp t="e">
        <v>#N/A</v>
        <stp/>
        <stp>BDS|10745294020444125898</stp>
        <tr r="IL5" s="46"/>
      </tp>
      <tp t="e">
        <v>#N/A</v>
        <stp/>
        <stp>BDS|16754243974978819790</stp>
        <tr r="MR5" s="15"/>
      </tp>
      <tp t="e">
        <v>#N/A</v>
        <stp/>
        <stp>BDS|17988024677575918935</stp>
        <tr r="EA5" s="74"/>
      </tp>
      <tp t="e">
        <v>#N/A</v>
        <stp/>
        <stp>BDS|17237539473261338878</stp>
        <tr r="MR5" s="34"/>
      </tp>
      <tp t="e">
        <v>#N/A</v>
        <stp/>
        <stp>BDS|16459347797857783761</stp>
        <tr r="NB5" s="85"/>
      </tp>
      <tp t="e">
        <v>#N/A</v>
        <stp/>
        <stp>BDS|11736424730623174925</stp>
        <tr r="EP5" s="69"/>
      </tp>
      <tp t="e">
        <v>#N/A</v>
        <stp/>
        <stp>BDS|14494504595874561020</stp>
        <tr r="DQ5" s="76"/>
      </tp>
      <tp t="e">
        <v>#N/A</v>
        <stp/>
        <stp>BDS|12758714206169412023</stp>
        <tr r="LX5" s="46"/>
      </tp>
      <tp t="e">
        <v>#N/A</v>
        <stp/>
        <stp>BDS|15158600306307778863</stp>
        <tr r="F5" s="48"/>
      </tp>
      <tp t="e">
        <v>#N/A</v>
        <stp/>
        <stp>BDS|12299945206563182470</stp>
        <tr r="DV5" s="81"/>
      </tp>
      <tp t="e">
        <v>#N/A</v>
        <stp/>
        <stp>BDS|11780846545781171019</stp>
        <tr r="EP5" s="55"/>
      </tp>
      <tp t="e">
        <v>#N/A</v>
        <stp/>
        <stp>BDS|14555014393685357426</stp>
        <tr r="AT5" s="18"/>
      </tp>
      <tp t="e">
        <v>#N/A</v>
        <stp/>
        <stp>BDS|16720027882620872290</stp>
        <tr r="LD5" s="74"/>
      </tp>
      <tp t="e">
        <v>#N/A</v>
        <stp/>
        <stp>BDS|12070643483455694563</stp>
        <tr r="OA5" s="117"/>
      </tp>
      <tp t="e">
        <v>#N/A</v>
        <stp/>
        <stp>BDS|13872066481612186596</stp>
        <tr r="BD5" s="5"/>
      </tp>
      <tp t="e">
        <v>#N/A</v>
        <stp/>
        <stp>BDS|13562794343925927911</stp>
        <tr r="IB5" s="42"/>
      </tp>
      <tp t="e">
        <v>#N/A</v>
        <stp/>
        <stp>BDS|12717943936533215708</stp>
        <tr r="NB5" s="44"/>
      </tp>
      <tp t="e">
        <v>#N/A</v>
        <stp/>
        <stp>BDS|11290936602542273663</stp>
        <tr r="CR5" s="79"/>
      </tp>
      <tp t="e">
        <v>#N/A</v>
        <stp/>
        <stp>BDS|18300715136829288918</stp>
        <tr r="DQ5" s="119"/>
      </tp>
      <tp t="e">
        <v>#N/A</v>
        <stp/>
        <stp>BDS|15337748886335309355</stp>
        <tr r="NQ5" s="117"/>
      </tp>
      <tp t="e">
        <v>#N/A</v>
        <stp/>
        <stp>BDS|17261364464327440938</stp>
        <tr r="EF5" s="69"/>
      </tp>
      <tp t="e">
        <v>#N/A</v>
        <stp/>
        <stp>BDS|10400200097983737439</stp>
        <tr r="EF5" s="27"/>
      </tp>
      <tp t="e">
        <v>#N/A</v>
        <stp/>
        <stp>BDS|12620733603861525848</stp>
        <tr r="JZ5" s="74"/>
      </tp>
      <tp t="e">
        <v>#N/A</v>
        <stp/>
        <stp>BDS|12458187768940287911</stp>
        <tr r="KY5" s="124"/>
      </tp>
      <tp t="e">
        <v>#N/A</v>
        <stp/>
        <stp>BDS|11321555044764129843</stp>
        <tr r="JF5" s="27"/>
      </tp>
      <tp t="e">
        <v>#N/A</v>
        <stp/>
        <stp>BDS|14916530974272975804</stp>
        <tr r="BS5" s="84"/>
      </tp>
      <tp t="e">
        <v>#N/A</v>
        <stp/>
        <stp>BDS|13168104047273660971</stp>
        <tr r="MC5" s="69"/>
      </tp>
      <tp t="e">
        <v>#N/A</v>
        <stp/>
        <stp>BDS|18243823524578047631</stp>
        <tr r="AO5" s="125"/>
      </tp>
      <tp t="e">
        <v>#N/A</v>
        <stp/>
        <stp>BDS|17231712913724267955</stp>
        <tr r="JZ5" s="71"/>
      </tp>
      <tp t="e">
        <v>#N/A</v>
        <stp/>
        <stp>BDS|10008431125402592848</stp>
        <tr r="U5" s="101"/>
      </tp>
      <tp t="e">
        <v>#N/A</v>
        <stp/>
        <stp>BDS|13879658578636562844</stp>
        <tr r="DB5" s="29"/>
      </tp>
      <tp t="e">
        <v>#N/A</v>
        <stp/>
        <stp>BDS|16089240040255866987</stp>
        <tr r="CC5" s="114"/>
      </tp>
      <tp t="e">
        <v>#N/A</v>
        <stp/>
        <stp>BDS|17466650694911902584</stp>
        <tr r="HW5" s="11"/>
      </tp>
      <tp t="e">
        <v>#N/A</v>
        <stp/>
        <stp>BDS|11071943657128398946</stp>
        <tr r="AY5" s="103"/>
      </tp>
      <tp t="e">
        <v>#N/A</v>
        <stp/>
        <stp>BDS|10898285994307803086</stp>
        <tr r="LS5" s="103"/>
      </tp>
      <tp t="e">
        <v>#N/A</v>
        <stp/>
        <stp>BDS|14751919347435416011</stp>
        <tr r="FE5" s="5"/>
      </tp>
      <tp t="e">
        <v>#N/A</v>
        <stp/>
        <stp>BDS|15489271763574041947</stp>
        <tr r="AJ5" s="23"/>
      </tp>
      <tp t="e">
        <v>#N/A</v>
        <stp/>
        <stp>BDS|17077249051734974880</stp>
        <tr r="NV5" s="109"/>
      </tp>
      <tp t="e">
        <v>#N/A</v>
        <stp/>
        <stp>BDS|12020370899282848629</stp>
        <tr r="LI5" s="120"/>
      </tp>
      <tp t="e">
        <v>#N/A</v>
        <stp/>
        <stp>BDS|10055631016933075817</stp>
        <tr r="NQ5" s="55"/>
      </tp>
      <tp t="e">
        <v>#N/A</v>
        <stp/>
        <stp>BDS|13191916481567541903</stp>
        <tr r="JP5" s="103"/>
      </tp>
      <tp t="e">
        <v>#N/A</v>
        <stp/>
        <stp>BDS|17637356973056420904</stp>
        <tr r="GD5" s="57"/>
      </tp>
      <tp t="e">
        <v>#N/A</v>
        <stp/>
        <stp>BDS|11548802342492053336</stp>
        <tr r="CH5" s="44"/>
      </tp>
      <tp t="e">
        <v>#N/A</v>
        <stp/>
        <stp>BDS|16735394688369179833</stp>
        <tr r="IQ5" s="90"/>
      </tp>
      <tp t="e">
        <v>#N/A</v>
        <stp/>
        <stp>BDS|17184338376689008606</stp>
        <tr r="KJ5" s="55"/>
      </tp>
      <tp t="e">
        <v>#N/A</v>
        <stp/>
        <stp>BDS|18239325265810791161</stp>
        <tr r="EP5" s="100"/>
      </tp>
      <tp t="e">
        <v>#N/A</v>
        <stp/>
        <stp>BDS|10311825420614224276</stp>
        <tr r="Z5" s="39"/>
      </tp>
      <tp t="e">
        <v>#N/A</v>
        <stp/>
        <stp>BDS|16495612142849012134</stp>
        <tr r="JA5" s="70"/>
      </tp>
      <tp t="e">
        <v>#N/A</v>
        <stp/>
        <stp>BDS|17397173225069780126</stp>
        <tr r="HW5" s="79"/>
      </tp>
      <tp t="e">
        <v>#N/A</v>
        <stp/>
        <stp>BDS|17283836356505379316</stp>
        <tr r="K5" s="72"/>
      </tp>
      <tp t="e">
        <v>#N/A</v>
        <stp/>
        <stp>BDS|18025249706632064472</stp>
        <tr r="JZ5" s="85"/>
      </tp>
      <tp t="e">
        <v>#N/A</v>
        <stp/>
        <stp>BDS|15287908811709270848</stp>
        <tr r="Z5" s="61"/>
      </tp>
      <tp t="e">
        <v>#N/A</v>
        <stp/>
        <stp>BDS|10619435680952452240</stp>
        <tr r="BN5" s="15"/>
      </tp>
      <tp t="e">
        <v>#N/A</v>
        <stp/>
        <stp>BDS|17127133418369885272</stp>
        <tr r="HH5" s="48"/>
      </tp>
      <tp t="e">
        <v>#N/A</v>
        <stp/>
        <stp>BDS|10340938786494059932</stp>
        <tr r="JA5" s="39"/>
      </tp>
      <tp t="e">
        <v>#N/A</v>
        <stp/>
        <stp>BDS|10999297176559736046</stp>
        <tr r="KJ5" s="101"/>
      </tp>
      <tp t="e">
        <v>#N/A</v>
        <stp/>
        <stp>BDS|13805424019962514832</stp>
        <tr r="LX5" s="12"/>
      </tp>
      <tp t="e">
        <v>#N/A</v>
        <stp/>
        <stp>BDS|10431073291431286452</stp>
        <tr r="GD5" s="56"/>
      </tp>
      <tp t="e">
        <v>#N/A</v>
        <stp/>
        <stp>BDS|17147187657137893835</stp>
        <tr r="IB5" s="10"/>
      </tp>
      <tp t="e">
        <v>#N/A</v>
        <stp/>
        <stp>BDS|13819816548402284166</stp>
        <tr r="EF5" s="53"/>
      </tp>
      <tp t="e">
        <v>#N/A</v>
        <stp/>
        <stp>BDS|11801636371889926560</stp>
        <tr r="NG5" s="5"/>
      </tp>
      <tp t="e">
        <v>#N/A</v>
        <stp/>
        <stp>BDS|16955870390088800336</stp>
        <tr r="DL5" s="106"/>
      </tp>
      <tp t="e">
        <v>#N/A</v>
        <stp/>
        <stp>BDS|14671743097343249522</stp>
        <tr r="JK5" s="125"/>
      </tp>
      <tp t="e">
        <v>#N/A</v>
        <stp/>
        <stp>BDS|11648985592139913401</stp>
        <tr r="MM5" s="56"/>
      </tp>
      <tp t="e">
        <v>#N/A</v>
        <stp/>
        <stp>BDS|10401931636764790238</stp>
        <tr r="LS5" s="100"/>
      </tp>
      <tp t="e">
        <v>#N/A</v>
        <stp/>
        <stp>BDS|17472316343085775940</stp>
        <tr r="U5" s="53"/>
      </tp>
      <tp t="e">
        <v>#N/A</v>
        <stp/>
        <stp>BDS|10097696020798461088</stp>
        <tr r="IV5" s="94"/>
      </tp>
      <tp t="e">
        <v>#N/A</v>
        <stp/>
        <stp>BDS|14618830403752196229</stp>
        <tr r="HW5" s="106"/>
      </tp>
      <tp t="e">
        <v>#N/A</v>
        <stp/>
        <stp>BDS|10115556783467404666</stp>
        <tr r="FT5" s="62"/>
      </tp>
      <tp t="e">
        <v>#N/A</v>
        <stp/>
        <stp>BDS|14315675353089595279</stp>
        <tr r="EU5" s="50"/>
      </tp>
      <tp t="e">
        <v>#N/A</v>
        <stp/>
        <stp>BDS|10761114827166575910</stp>
        <tr r="JP5" s="49"/>
      </tp>
      <tp t="e">
        <v>#N/A</v>
        <stp/>
        <stp>BDS|10473490344035060838</stp>
        <tr r="MH5" s="51"/>
      </tp>
      <tp t="e">
        <v>#N/A</v>
        <stp/>
        <stp>BDS|15901258996664378736</stp>
        <tr r="KY5" s="32"/>
      </tp>
      <tp t="e">
        <v>#N/A</v>
        <stp/>
        <stp>BDS|12427541290421384291</stp>
        <tr r="BN5" s="22"/>
      </tp>
      <tp t="e">
        <v>#N/A</v>
        <stp/>
        <stp>BDS|10352232126658451589</stp>
        <tr r="HH5" s="104"/>
      </tp>
      <tp t="e">
        <v>#N/A</v>
        <stp/>
        <stp>BDS|15934959231185304748</stp>
        <tr r="IB5" s="40"/>
      </tp>
      <tp t="e">
        <v>#N/A</v>
        <stp/>
        <stp>BDS|12012481697082739021</stp>
        <tr r="EP5" s="16"/>
      </tp>
      <tp t="e">
        <v>#N/A</v>
        <stp/>
        <stp>BDS|16010836064366410397</stp>
        <tr r="FY5" s="107"/>
      </tp>
      <tp t="e">
        <v>#N/A</v>
        <stp/>
        <stp>BDS|11581391145468649358</stp>
        <tr r="BS5" s="63"/>
      </tp>
      <tp t="e">
        <v>#N/A</v>
        <stp/>
        <stp>BDS|16900663292331097578</stp>
        <tr r="AT5" s="13"/>
      </tp>
      <tp t="e">
        <v>#N/A</v>
        <stp/>
        <stp>BDS|15260565311278807470</stp>
        <tr r="DB5" s="31"/>
      </tp>
      <tp t="e">
        <v>#N/A</v>
        <stp/>
        <stp>BDS|16117615084824686184</stp>
        <tr r="HC5" s="30"/>
      </tp>
      <tp t="e">
        <v>#N/A</v>
        <stp/>
        <stp>BDS|10933874144196415741</stp>
        <tr r="DG5" s="87"/>
      </tp>
      <tp t="e">
        <v>#N/A</v>
        <stp/>
        <stp>BDS|17740495772790799919</stp>
        <tr r="GS5" s="93"/>
      </tp>
      <tp t="e">
        <v>#N/A</v>
        <stp/>
        <stp>BDS|14960017956038712434</stp>
        <tr r="Z5" s="96"/>
      </tp>
      <tp t="e">
        <v>#N/A</v>
        <stp/>
        <stp>BDS|16349994761001805594</stp>
        <tr r="U5" s="15"/>
      </tp>
      <tp t="e">
        <v>#N/A</v>
        <stp/>
        <stp>BDS|11855929113926785249</stp>
        <tr r="JF5" s="69"/>
      </tp>
      <tp t="e">
        <v>#N/A</v>
        <stp/>
        <stp>BDS|15219107184695536488</stp>
        <tr r="CH5" s="86"/>
      </tp>
      <tp t="e">
        <v>#N/A</v>
        <stp/>
        <stp>BDS|17291144507618304390</stp>
        <tr r="FY5" s="76"/>
      </tp>
      <tp t="e">
        <v>#N/A</v>
        <stp/>
        <stp>BDS|12066775589096695632</stp>
        <tr r="CR5" s="104"/>
      </tp>
      <tp t="e">
        <v>#N/A</v>
        <stp/>
        <stp>BDS|10925601146547441800</stp>
        <tr r="GS5" s="121"/>
      </tp>
      <tp t="e">
        <v>#N/A</v>
        <stp/>
        <stp>BDS|12888566468934852852</stp>
        <tr r="P5" s="48"/>
        <tr r="KT5" s="27"/>
      </tp>
      <tp t="e">
        <v>#N/A</v>
        <stp/>
        <stp>BDS|15830140183690220160</stp>
        <tr r="EK5" s="63"/>
      </tp>
      <tp t="e">
        <v>#N/A</v>
        <stp/>
        <stp>BDS|17206900928580003113</stp>
        <tr r="BN5" s="96"/>
      </tp>
      <tp t="e">
        <v>#N/A</v>
        <stp/>
        <stp>BDS|16900063064715552857</stp>
        <tr r="OA5" s="58"/>
      </tp>
      <tp t="e">
        <v>#N/A</v>
        <stp/>
        <stp>BDS|15218304835579447180</stp>
        <tr r="NG5" s="34"/>
      </tp>
      <tp t="e">
        <v>#N/A</v>
        <stp/>
        <stp>BDS|17494318703219814068</stp>
        <tr r="DB5" s="82"/>
      </tp>
      <tp t="e">
        <v>#N/A</v>
        <stp/>
        <stp>BDS|17470340519961608977</stp>
        <tr r="LS5" s="33"/>
      </tp>
      <tp t="e">
        <v>#N/A</v>
        <stp/>
        <stp>BDS|11321439888249076906</stp>
        <tr r="LN5" s="77"/>
      </tp>
      <tp t="e">
        <v>#N/A</v>
        <stp/>
        <stp>BDS|17961861031811517036</stp>
        <tr r="KJ5" s="41"/>
      </tp>
      <tp t="e">
        <v>#N/A</v>
        <stp/>
        <stp>BDS|13928365180962083779</stp>
        <tr r="OA5" s="44"/>
      </tp>
      <tp t="e">
        <v>#N/A</v>
        <stp/>
        <stp>BDS|17460819273030670587</stp>
        <tr r="MM5" s="4"/>
      </tp>
      <tp t="e">
        <v>#N/A</v>
        <stp/>
        <stp>BDS|13661802719203383440</stp>
        <tr r="DB5" s="68"/>
      </tp>
      <tp t="e">
        <v>#N/A</v>
        <stp/>
        <stp>BDS|10441733004659283397</stp>
        <tr r="HR5" s="56"/>
      </tp>
      <tp t="e">
        <v>#N/A</v>
        <stp/>
        <stp>BDS|15080312818199471352</stp>
        <tr r="CC5" s="75"/>
      </tp>
      <tp t="e">
        <v>#N/A</v>
        <stp/>
        <stp>BDS|17308801504466995460</stp>
        <tr r="DQ5" s="19"/>
      </tp>
      <tp t="e">
        <v>#N/A</v>
        <stp/>
        <stp>BDS|17725411473938939145</stp>
        <tr r="FY5" s="96"/>
      </tp>
      <tp t="e">
        <v>#N/A</v>
        <stp/>
        <stp>BDS|11413456093303232284</stp>
        <tr r="NB5" s="82"/>
      </tp>
      <tp t="e">
        <v>#N/A</v>
        <stp/>
        <stp>BDS|17858922550147705157</stp>
        <tr r="MW5" s="99"/>
      </tp>
      <tp t="e">
        <v>#N/A</v>
        <stp/>
        <stp>BDS|10473360695707837073</stp>
        <tr r="EZ5" s="62"/>
      </tp>
      <tp t="e">
        <v>#N/A</v>
        <stp/>
        <stp>BDS|18102127552298814912</stp>
        <tr r="F5" s="32"/>
      </tp>
      <tp t="e">
        <v>#N/A</v>
        <stp/>
        <stp>BDS|13974745621559447206</stp>
        <tr r="LI5" s="113"/>
      </tp>
      <tp t="e">
        <v>#N/A</v>
        <stp/>
        <stp>BDS|10889094638166923894</stp>
        <tr r="MR5" s="96"/>
      </tp>
      <tp t="e">
        <v>#N/A</v>
        <stp/>
        <stp>BDS|16120929220030891028</stp>
        <tr r="KJ5" s="81"/>
      </tp>
      <tp t="e">
        <v>#N/A</v>
        <stp/>
        <stp>BDS|11162087828556089885</stp>
        <tr r="GS5" s="15"/>
      </tp>
      <tp t="e">
        <v>#N/A</v>
        <stp/>
        <stp>BDS|17885410796154558333</stp>
        <tr r="JP5" s="27"/>
      </tp>
      <tp t="e">
        <v>#N/A</v>
        <stp/>
        <stp>BDS|13917704403521278818</stp>
        <tr r="NB5" s="12"/>
      </tp>
      <tp t="e">
        <v>#N/A</v>
        <stp/>
        <stp>BDS|17874990544882811541</stp>
        <tr r="KJ5" s="104"/>
      </tp>
      <tp t="e">
        <v>#N/A</v>
        <stp/>
        <stp>BDS|11911486865688568689</stp>
        <tr r="FJ5" s="106"/>
      </tp>
      <tp t="e">
        <v>#N/A</v>
        <stp/>
        <stp>BDS|11709989470063642100</stp>
        <tr r="JU5" s="32"/>
      </tp>
      <tp t="e">
        <v>#N/A</v>
        <stp/>
        <stp>BDS|10543388920334653827</stp>
        <tr r="KY5" s="120"/>
      </tp>
      <tp t="e">
        <v>#N/A</v>
        <stp/>
        <stp>BDS|12118568864384857823</stp>
        <tr r="NL5" s="55"/>
      </tp>
      <tp t="e">
        <v>#N/A</v>
        <stp/>
        <stp>BDS|18442757219993121004</stp>
        <tr r="GD5" s="79"/>
      </tp>
      <tp t="e">
        <v>#N/A</v>
        <stp/>
        <stp>BDS|15001798884281784630</stp>
        <tr r="AT5" s="65"/>
      </tp>
      <tp t="e">
        <v>#N/A</v>
        <stp/>
        <stp>BDS|11810547096321613151</stp>
        <tr r="MC5" s="89"/>
      </tp>
      <tp t="e">
        <v>#N/A</v>
        <stp/>
        <stp>BDS|15519835308923487331</stp>
        <tr r="LX5" s="29"/>
      </tp>
      <tp t="e">
        <v>#N/A</v>
        <stp/>
        <stp>BDS|11807237391551153623</stp>
        <tr r="NL5" s="63"/>
      </tp>
      <tp t="e">
        <v>#N/A</v>
        <stp/>
        <stp>BDS|15231030382358494891</stp>
        <tr r="P5" s="87"/>
      </tp>
      <tp t="e">
        <v>#N/A</v>
        <stp/>
        <stp>BDS|15411140388920408127</stp>
        <tr r="JK5" s="23"/>
      </tp>
      <tp t="e">
        <v>#N/A</v>
        <stp/>
        <stp>BDS|10483010386146467390</stp>
        <tr r="KE5" s="58"/>
      </tp>
      <tp t="e">
        <v>#N/A</v>
        <stp/>
        <stp>BDS|10532556080744989474</stp>
        <tr r="MH5" s="53"/>
      </tp>
      <tp t="e">
        <v>#N/A</v>
        <stp/>
        <stp>BDS|15804241539051383887</stp>
        <tr r="K5" s="1"/>
      </tp>
      <tp t="e">
        <v>#N/A</v>
        <stp/>
        <stp>BDS|11372278110407875822</stp>
        <tr r="HM5" s="69"/>
      </tp>
      <tp t="e">
        <v>#N/A</v>
        <stp/>
        <stp>BDS|15949431880692150655</stp>
        <tr r="FJ5" s="33"/>
      </tp>
      <tp t="e">
        <v>#N/A</v>
        <stp/>
        <stp>BDS|15223384189202439194</stp>
        <tr r="KT5" s="28"/>
      </tp>
      <tp t="e">
        <v>#N/A</v>
        <stp/>
        <stp>BDS|15931506203389274463</stp>
        <tr r="FY5" s="111"/>
      </tp>
      <tp t="e">
        <v>#N/A</v>
        <stp/>
        <stp>BDS|18167714877324055196</stp>
        <tr r="GS5" s="91"/>
      </tp>
      <tp t="e">
        <v>#N/A</v>
        <stp/>
        <stp>BDS|14426517538718677757</stp>
        <tr r="F5" s="114"/>
      </tp>
      <tp t="e">
        <v>#N/A</v>
        <stp/>
        <stp>BDS|11176883502955031159</stp>
        <tr r="DV5" s="23"/>
      </tp>
      <tp t="e">
        <v>#N/A</v>
        <stp/>
        <stp>BDS|10323454054685427987</stp>
        <tr r="DB5" s="118"/>
      </tp>
      <tp t="e">
        <v>#N/A</v>
        <stp/>
        <stp>BDS|17208981329338505986</stp>
        <tr r="IQ5" s="99"/>
      </tp>
      <tp t="e">
        <v>#N/A</v>
        <stp/>
        <stp>BDS|17932832572461043478</stp>
        <tr r="EF5" s="44"/>
      </tp>
      <tp t="e">
        <v>#N/A</v>
        <stp/>
        <stp>BDS|14184935578173677433</stp>
        <tr r="CM5" s="27"/>
      </tp>
      <tp t="e">
        <v>#N/A</v>
        <stp/>
        <stp>BDS|14385244088107544451</stp>
        <tr r="MM5" s="16"/>
      </tp>
      <tp t="e">
        <v>#N/A</v>
        <stp/>
        <stp>BDS|17029727809945034840</stp>
        <tr r="EZ5" s="91"/>
      </tp>
      <tp t="e">
        <v>#N/A</v>
        <stp/>
        <stp>BDS|10528878940826508781</stp>
        <tr r="LI5" s="72"/>
      </tp>
      <tp t="e">
        <v>#N/A</v>
        <stp/>
        <stp>BDS|14138012663577806846</stp>
        <tr r="GD5" s="35"/>
      </tp>
      <tp t="e">
        <v>#N/A</v>
        <stp/>
        <stp>BDS|11640842558226067753</stp>
        <tr r="MM5" s="39"/>
      </tp>
      <tp t="e">
        <v>#N/A</v>
        <stp/>
        <stp>BDS|17341899616837054431</stp>
        <tr r="EF5" s="9"/>
      </tp>
      <tp t="e">
        <v>#N/A</v>
        <stp/>
        <stp>BDS|14955572933179536672</stp>
        <tr r="IG5" s="119"/>
      </tp>
      <tp t="e">
        <v>#N/A</v>
        <stp/>
        <stp>BDS|12563382904188729412</stp>
        <tr r="BI5" s="77"/>
      </tp>
      <tp t="e">
        <v>#N/A</v>
        <stp/>
        <stp>BDS|12130878028415124008</stp>
        <tr r="JF5" s="99"/>
      </tp>
      <tp t="e">
        <v>#N/A</v>
        <stp/>
        <stp>BDS|17311072154769740685</stp>
        <tr r="JU5" s="15"/>
      </tp>
      <tp t="e">
        <v>#N/A</v>
        <stp/>
        <stp>BDS|10380136366332846822</stp>
        <tr r="GD5" s="43"/>
      </tp>
      <tp t="e">
        <v>#N/A</v>
        <stp/>
        <stp>BDS|11136907373732705098</stp>
        <tr r="A5" s="106"/>
      </tp>
      <tp t="e">
        <v>#N/A</v>
        <stp/>
        <stp>BDS|14994342842578754642</stp>
        <tr r="EU5" s="56"/>
      </tp>
      <tp t="e">
        <v>#N/A</v>
        <stp/>
        <stp>BDS|13526372589934267150</stp>
        <tr r="IL5" s="57"/>
      </tp>
      <tp t="e">
        <v>#N/A</v>
        <stp/>
        <stp>BDS|15750645750132887975</stp>
        <tr r="NG5" s="43"/>
      </tp>
      <tp t="e">
        <v>#N/A</v>
        <stp/>
        <stp>BDS|16943044984736200575</stp>
        <tr r="BX5" s="3"/>
      </tp>
      <tp t="e">
        <v>#N/A</v>
        <stp/>
        <stp>BDS|11664790411612095828</stp>
        <tr r="GI5" s="96"/>
      </tp>
      <tp t="e">
        <v>#N/A</v>
        <stp/>
        <stp>BDS|13551265790202670795</stp>
        <tr r="IG5" s="21"/>
      </tp>
      <tp t="e">
        <v>#N/A</v>
        <stp/>
        <stp>BDS|15199460425278692685</stp>
        <tr r="FT5" s="84"/>
      </tp>
      <tp t="e">
        <v>#N/A</v>
        <stp/>
        <stp>BDS|13344448716143400886</stp>
        <tr r="K5" s="35"/>
      </tp>
      <tp t="e">
        <v>#N/A</v>
        <stp/>
        <stp>BDS|10746634727921926872</stp>
        <tr r="LX5" s="71"/>
        <tr r="GD5" s="64"/>
        <tr r="P5" s="25"/>
      </tp>
      <tp t="e">
        <v>#N/A</v>
        <stp/>
        <stp>BDS|15610068979729393678</stp>
        <tr r="AE5" s="87"/>
      </tp>
      <tp t="e">
        <v>#N/A</v>
        <stp/>
        <stp>BDS|14828855977472488435</stp>
        <tr r="U5" s="10"/>
      </tp>
      <tp t="e">
        <v>#N/A</v>
        <stp/>
        <stp>BDS|16151623393804452095</stp>
        <tr r="DV5" s="116"/>
      </tp>
      <tp t="e">
        <v>#N/A</v>
        <stp/>
        <stp>BDS|15267492658878826163</stp>
        <tr r="DB5" s="102"/>
      </tp>
      <tp t="e">
        <v>#N/A</v>
        <stp/>
        <stp>BDS|13960501377184192823</stp>
        <tr r="A5" s="22"/>
      </tp>
      <tp t="e">
        <v>#N/A</v>
        <stp/>
        <stp>BDS|11919949613654262014</stp>
        <tr r="BD5" s="123"/>
      </tp>
      <tp t="e">
        <v>#N/A</v>
        <stp/>
        <stp>BDS|12316329948188754030</stp>
        <tr r="U5" s="60"/>
      </tp>
      <tp t="e">
        <v>#N/A</v>
        <stp/>
        <stp>BDS|16409959459756050158</stp>
        <tr r="AE5" s="78"/>
      </tp>
      <tp t="e">
        <v>#N/A</v>
        <stp/>
        <stp>BDS|10649695179758811436</stp>
        <tr r="IV5" s="80"/>
      </tp>
      <tp t="e">
        <v>#N/A</v>
        <stp/>
        <stp>BDS|13604684604139354147</stp>
        <tr r="MM5" s="77"/>
      </tp>
      <tp t="e">
        <v>#N/A</v>
        <stp/>
        <stp>BDS|17488469842759544385</stp>
        <tr r="Z5" s="99"/>
      </tp>
      <tp t="e">
        <v>#N/A</v>
        <stp/>
        <stp>BDS|11816882445230013087</stp>
        <tr r="BI5" s="67"/>
      </tp>
      <tp t="e">
        <v>#N/A</v>
        <stp/>
        <stp>BDS|17659334080988988916</stp>
        <tr r="BX5" s="118"/>
      </tp>
      <tp t="e">
        <v>#N/A</v>
        <stp/>
        <stp>BDS|14710666647902372973</stp>
        <tr r="CC5" s="8"/>
      </tp>
      <tp t="e">
        <v>#N/A</v>
        <stp/>
        <stp>BDS|13579872853823469072</stp>
        <tr r="GS5" s="40"/>
      </tp>
      <tp t="e">
        <v>#N/A</v>
        <stp/>
        <stp>BDS|12259228483234103107</stp>
        <tr r="IB5" s="107"/>
      </tp>
      <tp t="e">
        <v>#N/A</v>
        <stp/>
        <stp>BDS|12684065403659637670</stp>
        <tr r="AY5" s="79"/>
      </tp>
      <tp t="e">
        <v>#N/A</v>
        <stp/>
        <stp>BDS|18227140531681290672</stp>
        <tr r="BD5" s="95"/>
      </tp>
      <tp t="e">
        <v>#N/A</v>
        <stp/>
        <stp>BDS|13380645285310644065</stp>
        <tr r="AY5" s="114"/>
      </tp>
      <tp t="e">
        <v>#N/A</v>
        <stp/>
        <stp>BDS|17158108988254994728</stp>
        <tr r="OF5" s="20"/>
      </tp>
      <tp t="e">
        <v>#N/A</v>
        <stp/>
        <stp>BDS|13681049094971069642</stp>
        <tr r="AY5" s="94"/>
        <tr r="DG5" s="52"/>
      </tp>
      <tp t="e">
        <v>#N/A</v>
        <stp/>
        <stp>BDS|10211698838720540846</stp>
        <tr r="KE5" s="31"/>
      </tp>
      <tp t="e">
        <v>#N/A</v>
        <stp/>
        <stp>BDS|16757723602448261477</stp>
        <tr r="OA5" s="124"/>
      </tp>
      <tp t="e">
        <v>#N/A</v>
        <stp/>
        <stp>BDS|16149829895859733330</stp>
        <tr r="P5" s="90"/>
      </tp>
      <tp t="e">
        <v>#N/A</v>
        <stp/>
        <stp>BDS|10222003277368327245</stp>
        <tr r="AJ5" s="51"/>
      </tp>
      <tp t="e">
        <v>#N/A</v>
        <stp/>
        <stp>BDS|13064796799369143933</stp>
        <tr r="MW5" s="45"/>
      </tp>
      <tp t="e">
        <v>#N/A</v>
        <stp/>
        <stp>BDS|17211453326695083927</stp>
        <tr r="JP5" s="30"/>
      </tp>
      <tp t="e">
        <v>#N/A</v>
        <stp/>
        <stp>BDS|18322029503693242630</stp>
        <tr r="AT5" s="27"/>
      </tp>
      <tp t="e">
        <v>#N/A</v>
        <stp/>
        <stp>BDS|11462328275579859187</stp>
        <tr r="HC5" s="83"/>
      </tp>
      <tp t="e">
        <v>#N/A</v>
        <stp/>
        <stp>BDS|12891108413886844902</stp>
        <tr r="EP5" s="5"/>
      </tp>
      <tp t="e">
        <v>#N/A</v>
        <stp/>
        <stp>BDS|18441043400951103421</stp>
        <tr r="AJ5" s="29"/>
      </tp>
      <tp t="e">
        <v>#N/A</v>
        <stp/>
        <stp>BDS|12490827432687572322</stp>
        <tr r="HR5" s="5"/>
      </tp>
      <tp t="e">
        <v>#N/A</v>
        <stp/>
        <stp>BDS|13673863079858870926</stp>
        <tr r="LD5" s="37"/>
      </tp>
      <tp t="e">
        <v>#N/A</v>
        <stp/>
        <stp>BDS|14797262393317215534</stp>
        <tr r="JP5" s="122"/>
      </tp>
      <tp t="e">
        <v>#N/A</v>
        <stp/>
        <stp>BDS|14977815281181871827</stp>
        <tr r="DQ5" s="93"/>
        <tr r="EK5" s="45"/>
      </tp>
      <tp t="e">
        <v>#N/A</v>
        <stp/>
        <stp>BDS|15654956472061282709</stp>
        <tr r="F5" s="124"/>
      </tp>
      <tp t="e">
        <v>#N/A</v>
        <stp/>
        <stp>BDS|10007847517516559251</stp>
        <tr r="KY5" s="87"/>
      </tp>
      <tp t="e">
        <v>#N/A</v>
        <stp/>
        <stp>BDS|11051949916886725260</stp>
        <tr r="FJ5" s="85"/>
      </tp>
      <tp t="e">
        <v>#N/A</v>
        <stp/>
        <stp>BDS|17698110427450405978</stp>
        <tr r="KE5" s="116"/>
      </tp>
      <tp t="e">
        <v>#N/A</v>
        <stp/>
        <stp>BDS|12783854024822329762</stp>
        <tr r="AE5" s="123"/>
      </tp>
      <tp t="e">
        <v>#N/A</v>
        <stp/>
        <stp>BDS|16403192833508861155</stp>
        <tr r="MW5" s="124"/>
      </tp>
      <tp t="e">
        <v>#N/A</v>
        <stp/>
        <stp>BDS|14259830630846213436</stp>
        <tr r="OA5" s="70"/>
      </tp>
      <tp t="e">
        <v>#N/A</v>
        <stp/>
        <stp>BDS|13151020092863671470</stp>
        <tr r="JU5" s="8"/>
      </tp>
      <tp t="e">
        <v>#N/A</v>
        <stp/>
        <stp>BDS|14407716117599523679</stp>
        <tr r="GX5" s="16"/>
      </tp>
      <tp t="e">
        <v>#N/A</v>
        <stp/>
        <stp>BDS|12759140886830679637</stp>
        <tr r="GS5" s="60"/>
      </tp>
      <tp t="e">
        <v>#N/A</v>
        <stp/>
        <stp>BDS|17851698886791737504</stp>
        <tr r="GN5" s="68"/>
      </tp>
      <tp t="e">
        <v>#N/A</v>
        <stp/>
        <stp>BDS|17796223215620409940</stp>
        <tr r="HW5" s="26"/>
      </tp>
      <tp t="e">
        <v>#N/A</v>
        <stp/>
        <stp>BDS|11454986456119880926</stp>
        <tr r="LS5" s="70"/>
      </tp>
      <tp t="e">
        <v>#N/A</v>
        <stp/>
        <stp>BDS|11535432786258863887</stp>
        <tr r="IL5" s="91"/>
      </tp>
      <tp t="e">
        <v>#N/A</v>
        <stp/>
        <stp>BDS|14781361486997337542</stp>
        <tr r="JF5" s="125"/>
      </tp>
      <tp t="e">
        <v>#N/A</v>
        <stp/>
        <stp>BDS|15283145507770692974</stp>
        <tr r="JP5" s="11"/>
      </tp>
      <tp t="e">
        <v>#N/A</v>
        <stp/>
        <stp>BDS|16726897047232037593</stp>
        <tr r="LN5" s="23"/>
      </tp>
      <tp t="e">
        <v>#N/A</v>
        <stp/>
        <stp>BDS|14586809720291634235</stp>
        <tr r="JF5" s="108"/>
      </tp>
      <tp t="e">
        <v>#N/A</v>
        <stp/>
        <stp>BDS|17311887050361312681</stp>
        <tr r="DV5" s="19"/>
      </tp>
      <tp t="e">
        <v>#N/A</v>
        <stp/>
        <stp>BDS|11030436873266174914</stp>
        <tr r="KJ5" s="115"/>
      </tp>
      <tp t="e">
        <v>#N/A</v>
        <stp/>
        <stp>BDS|15297609493984845386</stp>
        <tr r="FT5" s="22"/>
      </tp>
      <tp t="e">
        <v>#N/A</v>
        <stp/>
        <stp>BDS|13733450951029031629</stp>
        <tr r="MH5" s="77"/>
      </tp>
      <tp t="e">
        <v>#N/A</v>
        <stp/>
        <stp>BDS|15503248047186133863</stp>
        <tr r="GI5" s="106"/>
      </tp>
      <tp t="e">
        <v>#N/A</v>
        <stp/>
        <stp>BDS|13305067297794769349</stp>
        <tr r="NB5" s="47"/>
      </tp>
      <tp t="e">
        <v>#N/A</v>
        <stp/>
        <stp>BDS|11729938055113551350</stp>
        <tr r="DV5" s="45"/>
      </tp>
      <tp t="e">
        <v>#N/A</v>
        <stp/>
        <stp>BDS|16599841826600302150</stp>
        <tr r="LS5" s="40"/>
      </tp>
      <tp t="e">
        <v>#N/A</v>
        <stp/>
        <stp>BDS|17003165261005184870</stp>
        <tr r="IB5" s="16"/>
      </tp>
      <tp t="e">
        <v>#N/A</v>
        <stp/>
        <stp>BDS|11040404817881240841</stp>
        <tr r="KJ5" s="18"/>
      </tp>
      <tp t="e">
        <v>#N/A</v>
        <stp/>
        <stp>BDS|15814958971406980049</stp>
        <tr r="HW5" s="9"/>
      </tp>
      <tp t="e">
        <v>#N/A</v>
        <stp/>
        <stp>BDS|14876594292144391118</stp>
        <tr r="OA5" s="53"/>
      </tp>
      <tp t="e">
        <v>#N/A</v>
        <stp/>
        <stp>BDS|17345212141709551575</stp>
        <tr r="IL5" s="69"/>
      </tp>
      <tp t="e">
        <v>#N/A</v>
        <stp/>
        <stp>BDS|18177588555542929748</stp>
        <tr r="BS5" s="11"/>
      </tp>
      <tp t="e">
        <v>#N/A</v>
        <stp/>
        <stp>BDS|15327047205608614052</stp>
        <tr r="GS5" s="95"/>
      </tp>
      <tp t="e">
        <v>#N/A</v>
        <stp/>
        <stp>BDS|14185670147329171219</stp>
        <tr r="LS5" s="29"/>
      </tp>
      <tp t="e">
        <v>#N/A</v>
        <stp/>
        <stp>BDS|11573808902576062268</stp>
        <tr r="CH5" s="58"/>
      </tp>
      <tp t="e">
        <v>#N/A</v>
        <stp/>
        <stp>BDS|13134820823603959784</stp>
        <tr r="NL5" s="48"/>
      </tp>
      <tp t="e">
        <v>#N/A</v>
        <stp/>
        <stp>BDS|14889785337074651973</stp>
        <tr r="KY5" s="40"/>
      </tp>
      <tp t="e">
        <v>#N/A</v>
        <stp/>
        <stp>BDS|12689069411236594821</stp>
        <tr r="CW5" s="18"/>
      </tp>
      <tp t="e">
        <v>#N/A</v>
        <stp/>
        <stp>BDS|12987862227622629786</stp>
        <tr r="AE5" s="92"/>
      </tp>
      <tp t="e">
        <v>#N/A</v>
        <stp/>
        <stp>BDS|14636921886430017848</stp>
        <tr r="MC5" s="71"/>
      </tp>
      <tp t="e">
        <v>#N/A</v>
        <stp/>
        <stp>BDS|12276266402855976891</stp>
        <tr r="DQ5" s="30"/>
      </tp>
      <tp t="e">
        <v>#N/A</v>
        <stp/>
        <stp>BDS|18400766652840621703</stp>
        <tr r="JA5" s="19"/>
      </tp>
      <tp t="e">
        <v>#N/A</v>
        <stp/>
        <stp>BDS|18196838829369479698</stp>
        <tr r="JU5" s="63"/>
      </tp>
      <tp t="e">
        <v>#N/A</v>
        <stp/>
        <stp>BDS|14046047383512499353</stp>
        <tr r="EK5" s="41"/>
      </tp>
      <tp t="e">
        <v>#N/A</v>
        <stp/>
        <stp>BDS|14680421385212360741</stp>
        <tr r="IL5" s="27"/>
      </tp>
      <tp t="e">
        <v>#N/A</v>
        <stp/>
        <stp>BDS|12494364915975612876</stp>
        <tr r="AT5" s="17"/>
      </tp>
      <tp t="e">
        <v>#N/A</v>
        <stp/>
        <stp>BDS|14297408795204993088</stp>
        <tr r="BD5" s="7"/>
      </tp>
      <tp t="e">
        <v>#N/A</v>
        <stp/>
        <stp>BDS|17355726047148963194</stp>
        <tr r="NV5" s="117"/>
      </tp>
      <tp t="e">
        <v>#N/A</v>
        <stp/>
        <stp>BDS|14300640372579349106</stp>
        <tr r="FJ5" s="31"/>
      </tp>
      <tp t="e">
        <v>#N/A</v>
        <stp/>
        <stp>BDS|13351026477081641860</stp>
        <tr r="HH5" s="100"/>
      </tp>
      <tp t="e">
        <v>#N/A</v>
        <stp/>
        <stp>BDS|16044227935438149204</stp>
        <tr r="DG5" s="51"/>
      </tp>
      <tp t="e">
        <v>#N/A</v>
        <stp/>
        <stp>BDS|17671954374235223134</stp>
        <tr r="JA5" s="53"/>
      </tp>
      <tp t="e">
        <v>#N/A</v>
        <stp/>
        <stp>BDS|11525857829002687498</stp>
        <tr r="KO5" s="11"/>
      </tp>
      <tp t="e">
        <v>#N/A</v>
        <stp/>
        <stp>BDS|12629812185498338773</stp>
        <tr r="IV5" s="61"/>
      </tp>
      <tp t="e">
        <v>#N/A</v>
        <stp/>
        <stp>BDS|14735579431007465827</stp>
        <tr r="EU5" s="46"/>
      </tp>
      <tp t="e">
        <v>#N/A</v>
        <stp/>
        <stp>BDS|17820211835062809938</stp>
        <tr r="AY5" s="60"/>
      </tp>
      <tp t="e">
        <v>#N/A</v>
        <stp/>
        <stp>BDS|13539633274986421912</stp>
        <tr r="DL5" s="7"/>
      </tp>
      <tp t="e">
        <v>#N/A</v>
        <stp/>
        <stp>BDS|17794463160128265044</stp>
        <tr r="MW5" s="5"/>
      </tp>
      <tp t="e">
        <v>#N/A</v>
        <stp/>
        <stp>BDS|18152209312213312576</stp>
        <tr r="LI5" s="33"/>
      </tp>
      <tp t="e">
        <v>#N/A</v>
        <stp/>
        <stp>BDS|16898413169368683119</stp>
        <tr r="NQ5" s="91"/>
      </tp>
      <tp t="e">
        <v>#N/A</v>
        <stp/>
        <stp>BDS|14581937501042046204</stp>
        <tr r="GS5" s="57"/>
      </tp>
      <tp t="e">
        <v>#N/A</v>
        <stp/>
        <stp>BDS|11411932700295771078</stp>
        <tr r="DG5" s="119"/>
      </tp>
      <tp t="e">
        <v>#N/A</v>
        <stp/>
        <stp>BDS|11380606364355403943</stp>
        <tr r="IQ5" s="52"/>
      </tp>
      <tp t="e">
        <v>#N/A</v>
        <stp/>
        <stp>BDS|18015189960070929267</stp>
        <tr r="KY5" s="55"/>
      </tp>
      <tp t="e">
        <v>#N/A</v>
        <stp/>
        <stp>BDS|12129909748421913372</stp>
        <tr r="OF5" s="16"/>
      </tp>
      <tp t="e">
        <v>#N/A</v>
        <stp/>
        <stp>BDS|12701554990744091758</stp>
        <tr r="EF5" s="103"/>
      </tp>
      <tp t="e">
        <v>#N/A</v>
        <stp/>
        <stp>BDS|13078592778148524434</stp>
        <tr r="F5" s="37"/>
      </tp>
      <tp t="e">
        <v>#N/A</v>
        <stp/>
        <stp>BDS|13653631384650641004</stp>
        <tr r="JA5" s="61"/>
      </tp>
      <tp t="e">
        <v>#N/A</v>
        <stp/>
        <stp>BDS|11129375676269418136</stp>
        <tr r="BX5" s="48"/>
      </tp>
      <tp t="e">
        <v>#N/A</v>
        <stp/>
        <stp>BDS|13530635070249674671</stp>
        <tr r="OA5" s="109"/>
      </tp>
      <tp t="e">
        <v>#N/A</v>
        <stp/>
        <stp>BDS|10519865376146405462</stp>
        <tr r="OF5" s="69"/>
      </tp>
      <tp t="e">
        <v>#N/A</v>
        <stp/>
        <stp>BDS|10040721347709064722</stp>
        <tr r="AT5" s="30"/>
      </tp>
      <tp t="e">
        <v>#N/A</v>
        <stp/>
        <stp>BDS|17581137456768363648</stp>
        <tr r="JF5" s="46"/>
      </tp>
      <tp t="e">
        <v>#N/A</v>
        <stp/>
        <stp>BDS|10710500784992741239</stp>
        <tr r="U5" s="95"/>
      </tp>
      <tp t="e">
        <v>#N/A</v>
        <stp/>
        <stp>BDS|12705846974759517955</stp>
        <tr r="EA5" s="125"/>
      </tp>
      <tp t="e">
        <v>#N/A</v>
        <stp/>
        <stp>BDS|13592447026541442974</stp>
        <tr r="NQ5" s="89"/>
      </tp>
      <tp t="e">
        <v>#N/A</v>
        <stp/>
        <stp>BDS|18043970832779310628</stp>
        <tr r="NL5" s="24"/>
      </tp>
      <tp t="e">
        <v>#N/A</v>
        <stp/>
        <stp>BDS|16581879845696753148</stp>
        <tr r="P5" s="31"/>
      </tp>
      <tp t="e">
        <v>#N/A</v>
        <stp/>
        <stp>BDS|14049834918542748289</stp>
        <tr r="CW5" s="113"/>
      </tp>
      <tp t="e">
        <v>#N/A</v>
        <stp/>
        <stp>BDS|12639232740129016019</stp>
        <tr r="IQ5" s="65"/>
      </tp>
      <tp t="e">
        <v>#N/A</v>
        <stp/>
        <stp>BDS|17880316666306933921</stp>
        <tr r="JU5" s="74"/>
      </tp>
      <tp t="e">
        <v>#N/A</v>
        <stp/>
        <stp>BDS|14309264065559582414</stp>
        <tr r="KT5" s="112"/>
      </tp>
      <tp t="e">
        <v>#N/A</v>
        <stp/>
        <stp>BDS|15747035464889252760</stp>
        <tr r="FE5" s="82"/>
      </tp>
      <tp t="e">
        <v>#N/A</v>
        <stp/>
        <stp>BDS|10958998341701517108</stp>
        <tr r="BS5" s="4"/>
      </tp>
      <tp t="e">
        <v>#N/A</v>
        <stp/>
        <stp>BDS|10154617961848611538</stp>
        <tr r="IV5" s="41"/>
      </tp>
      <tp t="e">
        <v>#N/A</v>
        <stp/>
        <stp>BDS|15139693496575372291</stp>
        <tr r="GD5" s="106"/>
      </tp>
      <tp t="e">
        <v>#N/A</v>
        <stp/>
        <stp>BDS|16026547567240269853</stp>
        <tr r="JA5" s="54"/>
      </tp>
      <tp t="e">
        <v>#N/A</v>
        <stp/>
        <stp>BDS|17216851546544109247</stp>
        <tr r="BI5" s="111"/>
      </tp>
      <tp t="e">
        <v>#N/A</v>
        <stp/>
        <stp>BDS|14470521863478157205</stp>
        <tr r="GX5" s="102"/>
      </tp>
      <tp t="e">
        <v>#N/A</v>
        <stp/>
        <stp>BDS|11906395364478301133</stp>
        <tr r="NL5" s="70"/>
      </tp>
      <tp t="e">
        <v>#N/A</v>
        <stp/>
        <stp>BDS|14659913321042133034</stp>
        <tr r="BN5" s="7"/>
      </tp>
      <tp t="e">
        <v>#N/A</v>
        <stp/>
        <stp>BDS|12099877473854202426</stp>
        <tr r="BN5" s="42"/>
      </tp>
      <tp t="e">
        <v>#N/A</v>
        <stp/>
        <stp>BDS|15136638481352182460</stp>
        <tr r="BS5" s="87"/>
      </tp>
      <tp t="e">
        <v>#N/A</v>
        <stp/>
        <stp>BDS|12593258906524277906</stp>
        <tr r="LX5" s="45"/>
      </tp>
      <tp t="e">
        <v>#N/A</v>
        <stp/>
        <stp>BDS|18342914294073376612</stp>
        <tr r="CW5" s="52"/>
      </tp>
      <tp t="e">
        <v>#N/A</v>
        <stp/>
        <stp>BDS|12219274440298923181</stp>
        <tr r="EK5" s="16"/>
      </tp>
      <tp t="e">
        <v>#N/A</v>
        <stp/>
        <stp>BDS|17852990453544325256</stp>
        <tr r="JZ5" s="32"/>
      </tp>
      <tp t="e">
        <v>#N/A</v>
        <stp/>
        <stp>BDS|10778573821988145252</stp>
        <tr r="CM5" s="72"/>
      </tp>
      <tp t="e">
        <v>#N/A</v>
        <stp/>
        <stp>BDS|17422878803645513707</stp>
        <tr r="KE5" s="34"/>
      </tp>
      <tp t="e">
        <v>#N/A</v>
        <stp/>
        <stp>BDS|14855986711236603728</stp>
        <tr r="FY5" s="37"/>
      </tp>
      <tp t="e">
        <v>#N/A</v>
        <stp/>
        <stp>BDS|13966789984206209725</stp>
        <tr r="LN5" s="56"/>
      </tp>
      <tp t="e">
        <v>#N/A</v>
        <stp/>
        <stp>BDS|17218212094831415065</stp>
        <tr r="GD5" s="101"/>
      </tp>
      <tp t="e">
        <v>#N/A</v>
        <stp/>
        <stp>BDS|11413700706793596820</stp>
        <tr r="JA5" s="112"/>
      </tp>
      <tp t="e">
        <v>#N/A</v>
        <stp/>
        <stp>BDS|14329095388103081271</stp>
        <tr r="IV5" s="58"/>
      </tp>
      <tp t="e">
        <v>#N/A</v>
        <stp/>
        <stp>BDS|14731919941096149230</stp>
        <tr r="EF5" s="97"/>
      </tp>
      <tp t="e">
        <v>#N/A</v>
        <stp/>
        <stp>BDS|10229235624985874887</stp>
        <tr r="CM5" s="90"/>
      </tp>
      <tp t="e">
        <v>#N/A</v>
        <stp/>
        <stp>BDS|18312907633808426711</stp>
        <tr r="JP5" s="58"/>
      </tp>
      <tp t="e">
        <v>#N/A</v>
        <stp/>
        <stp>BDS|17074730198985735191</stp>
        <tr r="LN5" s="76"/>
      </tp>
      <tp t="e">
        <v>#N/A</v>
        <stp/>
        <stp>BDS|14220309687162454043</stp>
        <tr r="JZ5" s="30"/>
      </tp>
      <tp t="e">
        <v>#N/A</v>
        <stp/>
        <stp>BDS|16146664807578688531</stp>
        <tr r="KE5" s="97"/>
      </tp>
      <tp t="e">
        <v>#N/A</v>
        <stp/>
        <stp>BDS|10984845027150781788</stp>
        <tr r="BN5" s="123"/>
      </tp>
      <tp t="e">
        <v>#N/A</v>
        <stp/>
        <stp>BDS|15934583784220606561</stp>
        <tr r="EK5" s="117"/>
      </tp>
      <tp t="e">
        <v>#N/A</v>
        <stp/>
        <stp>BDS|15317309593860556206</stp>
        <tr r="EA5" s="119"/>
      </tp>
      <tp t="e">
        <v>#N/A</v>
        <stp/>
        <stp>BDS|10575276488187814073</stp>
        <tr r="BN5" s="19"/>
      </tp>
      <tp t="e">
        <v>#N/A</v>
        <stp/>
        <stp>BDS|18109103380879292560</stp>
        <tr r="IG5" s="90"/>
      </tp>
      <tp t="e">
        <v>#N/A</v>
        <stp/>
        <stp>BDS|16382792794797941228</stp>
        <tr r="NV5" s="37"/>
      </tp>
      <tp t="e">
        <v>#N/A</v>
        <stp/>
        <stp>BDS|17632911033610175002</stp>
        <tr r="LI5" s="108"/>
      </tp>
      <tp t="e">
        <v>#N/A</v>
        <stp/>
        <stp>BDS|11830565988700775146</stp>
        <tr r="CH5" s="111"/>
      </tp>
      <tp t="e">
        <v>#N/A</v>
        <stp/>
        <stp>BDS|17385328280448053941</stp>
        <tr r="MC5" s="92"/>
      </tp>
      <tp t="e">
        <v>#N/A</v>
        <stp/>
        <stp>BDS|13716165106516215900</stp>
        <tr r="JZ5" s="61"/>
      </tp>
      <tp t="e">
        <v>#N/A</v>
        <stp/>
        <stp>BDS|12291673945148552508</stp>
        <tr r="BN5" s="46"/>
      </tp>
      <tp t="e">
        <v>#N/A</v>
        <stp/>
        <stp>BDS|17294908313110250263</stp>
        <tr r="DL5" s="99"/>
      </tp>
      <tp t="e">
        <v>#N/A</v>
        <stp/>
        <stp>BDS|14967727293500347819</stp>
        <tr r="NL5" s="60"/>
      </tp>
      <tp t="e">
        <v>#N/A</v>
        <stp/>
        <stp>BDS|13717089697928199030</stp>
        <tr r="NB5" s="117"/>
      </tp>
      <tp t="e">
        <v>#N/A</v>
        <stp/>
        <stp>BDS|12628826085863969322</stp>
        <tr r="KT5" s="119"/>
      </tp>
      <tp t="e">
        <v>#N/A</v>
        <stp/>
        <stp>BDS|17475968039758976787</stp>
        <tr r="CC5" s="104"/>
      </tp>
      <tp t="e">
        <v>#N/A</v>
        <stp/>
        <stp>BDS|12725282330911066050</stp>
        <tr r="KO5" s="81"/>
      </tp>
      <tp t="e">
        <v>#N/A</v>
        <stp/>
        <stp>BDS|10323993001252882995</stp>
        <tr r="NQ5" s="93"/>
      </tp>
      <tp t="e">
        <v>#N/A</v>
        <stp/>
        <stp>BDS|12711604639290777533</stp>
        <tr r="EK5" s="75"/>
      </tp>
      <tp t="e">
        <v>#N/A</v>
        <stp/>
        <stp>BDS|13928232087643054873</stp>
        <tr r="EU5" s="114"/>
      </tp>
      <tp t="e">
        <v>#N/A</v>
        <stp/>
        <stp>BDS|12635215628634644434</stp>
        <tr r="FE5" s="53"/>
      </tp>
      <tp t="e">
        <v>#N/A</v>
        <stp/>
        <stp>BDS|17244590813640528170</stp>
        <tr r="CR5" s="108"/>
      </tp>
      <tp t="e">
        <v>#N/A</v>
        <stp/>
        <stp>BDS|12770070265175728383</stp>
        <tr r="LN5" s="48"/>
      </tp>
      <tp t="e">
        <v>#N/A</v>
        <stp/>
        <stp>BDS|14853738496421770908</stp>
        <tr r="FT5" s="109"/>
      </tp>
      <tp t="e">
        <v>#N/A</v>
        <stp/>
        <stp>BDS|13961159410971514031</stp>
        <tr r="U5" s="29"/>
      </tp>
      <tp t="e">
        <v>#N/A</v>
        <stp/>
        <stp>BDS|16842334657274217646</stp>
        <tr r="MW5" s="65"/>
      </tp>
      <tp t="e">
        <v>#N/A</v>
        <stp/>
        <stp>BDS|11793705045519945918</stp>
        <tr r="GS5" s="69"/>
      </tp>
      <tp t="e">
        <v>#N/A</v>
        <stp/>
        <stp>BDS|15263168568703790315</stp>
        <tr r="KT5" s="109"/>
      </tp>
      <tp t="e">
        <v>#N/A</v>
        <stp/>
        <stp>BDS|12567081860062670414</stp>
        <tr r="KY5" s="9"/>
      </tp>
      <tp t="e">
        <v>#N/A</v>
        <stp/>
        <stp>BDS|16698308459713335161</stp>
        <tr r="GS5" s="72"/>
      </tp>
      <tp t="e">
        <v>#N/A</v>
        <stp/>
        <stp>BDS|12816920183867714653</stp>
        <tr r="GN5" s="13"/>
      </tp>
      <tp t="e">
        <v>#N/A</v>
        <stp/>
        <stp>BDS|11547866686816820563</stp>
        <tr r="LD5" s="27"/>
      </tp>
      <tp t="e">
        <v>#N/A</v>
        <stp/>
        <stp>BDS|14149390971953665141</stp>
        <tr r="FE5" s="99"/>
      </tp>
      <tp t="e">
        <v>#N/A</v>
        <stp/>
        <stp>BDS|17370275762484973548</stp>
        <tr r="U5" s="71"/>
      </tp>
      <tp t="e">
        <v>#N/A</v>
        <stp/>
        <stp>BDS|14267110066810716196</stp>
        <tr r="Z5" s="29"/>
      </tp>
      <tp t="e">
        <v>#N/A</v>
        <stp/>
        <stp>BDS|15079202180834204995</stp>
        <tr r="BD5" s="107"/>
      </tp>
      <tp t="e">
        <v>#N/A</v>
        <stp/>
        <stp>BDS|15380481237203216352</stp>
        <tr r="JZ5" s="114"/>
      </tp>
      <tp t="e">
        <v>#N/A</v>
        <stp/>
        <stp>BDS|11181697452357821796</stp>
        <tr r="KJ5" s="34"/>
      </tp>
      <tp t="e">
        <v>#N/A</v>
        <stp/>
        <stp>BDS|17327658928757473615</stp>
        <tr r="LX5" s="23"/>
      </tp>
      <tp t="e">
        <v>#N/A</v>
        <stp/>
        <stp>BDS|18249624186691895550</stp>
        <tr r="HM5" s="110"/>
      </tp>
      <tp t="e">
        <v>#N/A</v>
        <stp/>
        <stp>BDS|15199605913191113182</stp>
        <tr r="Z5" s="37"/>
      </tp>
      <tp t="e">
        <v>#N/A</v>
        <stp/>
        <stp>BDS|12221010075422507588</stp>
        <tr r="KO5" s="25"/>
      </tp>
      <tp t="e">
        <v>#N/A</v>
        <stp/>
        <stp>BDS|11069767063150780295</stp>
        <tr r="EF5" s="47"/>
      </tp>
      <tp t="e">
        <v>#N/A</v>
        <stp/>
        <stp>BDS|17439230575825840513</stp>
        <tr r="OA5" s="12"/>
      </tp>
      <tp t="e">
        <v>#N/A</v>
        <stp/>
        <stp>BDS|14846118276013444304</stp>
        <tr r="P5" s="106"/>
      </tp>
      <tp t="e">
        <v>#N/A</v>
        <stp/>
        <stp>BDS|11466253057611450594</stp>
        <tr r="JP5" s="5"/>
      </tp>
      <tp t="e">
        <v>#N/A</v>
        <stp/>
        <stp>BDS|18196584082707122019</stp>
        <tr r="EA5" s="79"/>
      </tp>
      <tp t="e">
        <v>#N/A</v>
        <stp/>
        <stp>BDS|16546532127324826726</stp>
        <tr r="NV5" s="44"/>
      </tp>
      <tp t="e">
        <v>#N/A</v>
        <stp/>
        <stp>BDS|14037773738347228561</stp>
        <tr r="IQ5" s="71"/>
      </tp>
      <tp t="e">
        <v>#N/A</v>
        <stp/>
        <stp>BDS|10700075076566951343</stp>
        <tr r="K5" s="23"/>
      </tp>
      <tp t="e">
        <v>#N/A</v>
        <stp/>
        <stp>BDS|17045221845812913158</stp>
        <tr r="GI5" s="30"/>
      </tp>
      <tp t="e">
        <v>#N/A</v>
        <stp/>
        <stp>BDS|13057948984588116892</stp>
        <tr r="KY5" s="41"/>
      </tp>
      <tp t="e">
        <v>#N/A</v>
        <stp/>
        <stp>BDS|10242289300235723557</stp>
        <tr r="EF5" s="41"/>
      </tp>
      <tp t="e">
        <v>#N/A</v>
        <stp/>
        <stp>BDS|10872089140240919614</stp>
        <tr r="MW5" s="95"/>
      </tp>
      <tp t="e">
        <v>#N/A</v>
        <stp/>
        <stp>BDS|12556145606521653098</stp>
        <tr r="DV5" s="4"/>
      </tp>
      <tp t="e">
        <v>#N/A</v>
        <stp/>
        <stp>BDS|14001646370352935558</stp>
        <tr r="EU5" s="28"/>
      </tp>
      <tp t="e">
        <v>#N/A</v>
        <stp/>
        <stp>BDS|15827368590024019966</stp>
        <tr r="EF5" s="50"/>
      </tp>
      <tp t="e">
        <v>#N/A</v>
        <stp/>
        <stp>BDS|17030914643628909030</stp>
        <tr r="MR5" s="14"/>
      </tp>
      <tp t="e">
        <v>#N/A</v>
        <stp/>
        <stp>BDS|11175558277608819938</stp>
        <tr r="KY5" s="83"/>
      </tp>
      <tp t="e">
        <v>#N/A</v>
        <stp/>
        <stp>BDS|11388317035005619699</stp>
        <tr r="DG5" s="4"/>
      </tp>
      <tp t="e">
        <v>#N/A</v>
        <stp/>
        <stp>BDS|17860088942924815520</stp>
        <tr r="FY5" s="81"/>
      </tp>
      <tp t="e">
        <v>#N/A</v>
        <stp/>
        <stp>BDS|10362395063404197308</stp>
        <tr r="LX5" s="119"/>
      </tp>
      <tp t="e">
        <v>#N/A</v>
        <stp/>
        <stp>BDS|11385588429191321596</stp>
        <tr r="HC5" s="107"/>
      </tp>
      <tp t="e">
        <v>#N/A</v>
        <stp/>
        <stp>BDS|14942039064803395346</stp>
        <tr r="FO5" s="47"/>
      </tp>
      <tp t="e">
        <v>#N/A</v>
        <stp/>
        <stp>BDS|15184280663710234316</stp>
        <tr r="IV5" s="48"/>
      </tp>
      <tp t="e">
        <v>#N/A</v>
        <stp/>
        <stp>BDS|12578032334872955121</stp>
        <tr r="MH5" s="28"/>
      </tp>
      <tp t="e">
        <v>#N/A</v>
        <stp/>
        <stp>BDS|10114743535497092196</stp>
        <tr r="AJ5" s="39"/>
      </tp>
      <tp t="e">
        <v>#N/A</v>
        <stp/>
        <stp>BDS|11156184915877442414</stp>
        <tr r="IL5" s="73"/>
      </tp>
      <tp t="e">
        <v>#N/A</v>
        <stp/>
        <stp>BDS|11576689036055666341</stp>
        <tr r="A5" s="39"/>
      </tp>
      <tp t="e">
        <v>#N/A</v>
        <stp/>
        <stp>BDS|16854148863180161373</stp>
        <tr r="HC5" s="72"/>
      </tp>
      <tp t="e">
        <v>#N/A</v>
        <stp/>
        <stp>BDS|14638482025644699446</stp>
        <tr r="IG5" s="33"/>
      </tp>
      <tp t="e">
        <v>#N/A</v>
        <stp/>
        <stp>BDS|14996216872064585768</stp>
        <tr r="FO5" s="100"/>
      </tp>
      <tp t="e">
        <v>#N/A</v>
        <stp/>
        <stp>BDS|11378290824485541628</stp>
        <tr r="BN5" s="122"/>
      </tp>
      <tp t="e">
        <v>#N/A</v>
        <stp/>
        <stp>BDS|13278058004355335490</stp>
        <tr r="LI5" s="84"/>
      </tp>
      <tp t="e">
        <v>#N/A</v>
        <stp/>
        <stp>BDS|17437938489377561321</stp>
        <tr r="IG5" s="30"/>
      </tp>
      <tp t="e">
        <v>#N/A</v>
        <stp/>
        <stp>BDS|17934445280981049847</stp>
        <tr r="DB5" s="43"/>
      </tp>
      <tp t="e">
        <v>#N/A</v>
        <stp/>
        <stp>BDS|13037983633172537971</stp>
        <tr r="HW5" s="62"/>
      </tp>
      <tp t="e">
        <v>#N/A</v>
        <stp/>
        <stp>BDS|14838224033207363031</stp>
        <tr r="HH5" s="67"/>
      </tp>
      <tp t="e">
        <v>#N/A</v>
        <stp/>
        <stp>BDS|13791567910506181392</stp>
        <tr r="MR5" s="114"/>
      </tp>
      <tp t="e">
        <v>#N/A</v>
        <stp/>
        <stp>BDS|12665284157540721775</stp>
        <tr r="GI5" s="88"/>
      </tp>
      <tp t="e">
        <v>#N/A</v>
        <stp/>
        <stp>BDS|13834715085848262678</stp>
        <tr r="MH5" s="25"/>
      </tp>
      <tp t="e">
        <v>#N/A</v>
        <stp/>
        <stp>BDS|14736184781086107960</stp>
        <tr r="DQ5" s="86"/>
      </tp>
      <tp t="e">
        <v>#N/A</v>
        <stp/>
        <stp>BDS|14017139283708033799</stp>
        <tr r="DL5" s="103"/>
      </tp>
      <tp t="e">
        <v>#N/A</v>
        <stp/>
        <stp>BDS|14394974986647842044</stp>
        <tr r="CM5" s="13"/>
      </tp>
      <tp t="e">
        <v>#N/A</v>
        <stp/>
        <stp>BDS|16659519678904584246</stp>
        <tr r="EK5" s="81"/>
      </tp>
      <tp t="e">
        <v>#N/A</v>
        <stp/>
        <stp>BDS|15975740015577286642</stp>
        <tr r="FO5" s="116"/>
      </tp>
      <tp t="e">
        <v>#N/A</v>
        <stp/>
        <stp>BDS|12895830099203836240</stp>
        <tr r="HH5" s="113"/>
      </tp>
      <tp t="e">
        <v>#N/A</v>
        <stp/>
        <stp>BDS|17825609444401393619</stp>
        <tr r="OF5" s="74"/>
      </tp>
      <tp t="e">
        <v>#N/A</v>
        <stp/>
        <stp>BDS|10795588845995351671</stp>
        <tr r="NV5" s="115"/>
      </tp>
      <tp t="e">
        <v>#N/A</v>
        <stp/>
        <stp>BDS|16771530522876995514</stp>
        <tr r="IV5" s="71"/>
      </tp>
      <tp t="e">
        <v>#N/A</v>
        <stp/>
        <stp>BDS|12044694991076665906</stp>
        <tr r="IL5" s="54"/>
      </tp>
      <tp t="e">
        <v>#N/A</v>
        <stp/>
        <stp>BDS|12089999891438234846</stp>
        <tr r="MC5" s="76"/>
      </tp>
      <tp t="e">
        <v>#N/A</v>
        <stp/>
        <stp>BDS|10991468240815112708</stp>
        <tr r="GI5" s="56"/>
      </tp>
      <tp t="e">
        <v>#N/A</v>
        <stp/>
        <stp>BDS|12403391963273112617</stp>
        <tr r="EU5" s="105"/>
      </tp>
      <tp t="e">
        <v>#N/A</v>
        <stp/>
        <stp>BDS|11258561327310441496</stp>
        <tr r="MM5" s="112"/>
      </tp>
      <tp t="e">
        <v>#N/A</v>
        <stp/>
        <stp>BDS|13825670661842777379</stp>
        <tr r="K5" s="104"/>
      </tp>
      <tp t="e">
        <v>#N/A</v>
        <stp/>
        <stp>BDS|11660697548976948717</stp>
        <tr r="IV5" s="30"/>
      </tp>
      <tp t="e">
        <v>#N/A</v>
        <stp/>
        <stp>BDS|17082337133700915562</stp>
        <tr r="CH5" s="20"/>
      </tp>
      <tp t="e">
        <v>#N/A</v>
        <stp/>
        <stp>BDS|15179469228698406941</stp>
        <tr r="AT5" s="35"/>
      </tp>
      <tp t="e">
        <v>#N/A</v>
        <stp/>
        <stp>BDS|13913275124958661933</stp>
        <tr r="HM5" s="103"/>
      </tp>
      <tp t="e">
        <v>#N/A</v>
        <stp/>
        <stp>BDS|12114669268019912996</stp>
        <tr r="FO5" s="118"/>
      </tp>
      <tp t="e">
        <v>#N/A</v>
        <stp/>
        <stp>BDS|16293360312064950203</stp>
        <tr r="IQ5" s="82"/>
      </tp>
      <tp t="e">
        <v>#N/A</v>
        <stp/>
        <stp>BDS|11150199846190542646</stp>
        <tr r="GN5" s="25"/>
      </tp>
      <tp t="e">
        <v>#N/A</v>
        <stp/>
        <stp>BDS|12282983886649058835</stp>
        <tr r="JK5" s="16"/>
      </tp>
      <tp t="e">
        <v>#N/A</v>
        <stp/>
        <stp>BDS|12521524659883159306</stp>
        <tr r="HH5" s="116"/>
      </tp>
      <tp t="e">
        <v>#N/A</v>
        <stp/>
        <stp>BDS|12384509140629958851</stp>
        <tr r="A5" s="84"/>
      </tp>
      <tp t="e">
        <v>#N/A</v>
        <stp/>
        <stp>BDS|13606164269690683609</stp>
        <tr r="AE5" s="115"/>
      </tp>
      <tp t="e">
        <v>#N/A</v>
        <stp/>
        <stp>BDS|17354930182682884659</stp>
        <tr r="BD5" s="40"/>
      </tp>
      <tp t="e">
        <v>#N/A</v>
        <stp/>
        <stp>BDS|10266962994991660399</stp>
        <tr r="IV5" s="19"/>
        <tr r="GX5" s="18"/>
      </tp>
      <tp t="e">
        <v>#N/A</v>
        <stp/>
        <stp>BDS|11826504878341867072</stp>
        <tr r="NQ5" s="123"/>
      </tp>
      <tp t="e">
        <v>#N/A</v>
        <stp/>
        <stp>BDS|10278535172244567497</stp>
        <tr r="OF5" s="1"/>
      </tp>
      <tp t="e">
        <v>#N/A</v>
        <stp/>
        <stp>BDS|10766880151939281637</stp>
        <tr r="DQ5" s="80"/>
      </tp>
      <tp t="e">
        <v>#N/A</v>
        <stp/>
        <stp>BDS|10320575065378841960</stp>
        <tr r="DG5" s="22"/>
      </tp>
      <tp t="e">
        <v>#N/A</v>
        <stp/>
        <stp>BDS|14137936779548646022</stp>
        <tr r="GS5" s="74"/>
      </tp>
      <tp t="e">
        <v>#N/A</v>
        <stp/>
        <stp>BDS|10689298302565240505</stp>
        <tr r="AE5" s="32"/>
      </tp>
      <tp t="e">
        <v>#N/A</v>
        <stp/>
        <stp>BDS|10410456513205995248</stp>
        <tr r="NV5" s="104"/>
      </tp>
      <tp t="e">
        <v>#N/A</v>
        <stp/>
        <stp>BDS|17539645974837133386</stp>
        <tr r="EK5" s="104"/>
      </tp>
      <tp t="e">
        <v>#N/A</v>
        <stp/>
        <stp>BDS|12689227429989484954</stp>
        <tr r="NB5" s="20"/>
      </tp>
      <tp t="e">
        <v>#N/A</v>
        <stp/>
        <stp>BDS|13211480494328486463</stp>
        <tr r="BN5" s="90"/>
      </tp>
      <tp t="e">
        <v>#N/A</v>
        <stp/>
        <stp>BDS|13931630577847148700</stp>
        <tr r="IB5" s="76"/>
      </tp>
      <tp t="e">
        <v>#N/A</v>
        <stp/>
        <stp>BDS|13160458144359457887</stp>
        <tr r="DL5" s="78"/>
      </tp>
      <tp t="e">
        <v>#N/A</v>
        <stp/>
        <stp>BDS|12330671008016981094</stp>
        <tr r="GX5" s="38"/>
      </tp>
      <tp t="e">
        <v>#N/A</v>
        <stp/>
        <stp>BDS|13560075328923019067</stp>
        <tr r="KJ5" s="77"/>
      </tp>
      <tp t="e">
        <v>#N/A</v>
        <stp/>
        <stp>BDS|12095741193569979726</stp>
        <tr r="AY5" s="107"/>
      </tp>
      <tp t="e">
        <v>#N/A</v>
        <stp/>
        <stp>BDS|11565619929873431458</stp>
        <tr r="HW5" s="111"/>
      </tp>
      <tp t="e">
        <v>#N/A</v>
        <stp/>
        <stp>BDS|11509444568707410613</stp>
        <tr r="OF5" s="18"/>
      </tp>
      <tp t="e">
        <v>#N/A</v>
        <stp/>
        <stp>BDS|16968075540050203002</stp>
        <tr r="NQ5" s="16"/>
      </tp>
      <tp t="e">
        <v>#N/A</v>
        <stp/>
        <stp>BDS|14251892080744134263</stp>
        <tr r="KO5" s="34"/>
      </tp>
      <tp t="e">
        <v>#N/A</v>
        <stp/>
        <stp>BDS|10522728597544893846</stp>
        <tr r="A5" s="64"/>
      </tp>
      <tp t="e">
        <v>#N/A</v>
        <stp/>
        <stp>BDS|10003921964378274582</stp>
        <tr r="NG5" s="100"/>
      </tp>
      <tp t="e">
        <v>#N/A</v>
        <stp/>
        <stp>BDS|10030010838263308267</stp>
        <tr r="EA5" s="72"/>
      </tp>
      <tp t="e">
        <v>#N/A</v>
        <stp/>
        <stp>BDS|10506820182355022797</stp>
        <tr r="EU5" s="45"/>
      </tp>
      <tp t="e">
        <v>#N/A</v>
        <stp/>
        <stp>BDS|13834317707452455060</stp>
        <tr r="CW5" s="85"/>
      </tp>
      <tp t="e">
        <v>#N/A</v>
        <stp/>
        <stp>BDS|17818312459954581796</stp>
        <tr r="KT5" s="45"/>
      </tp>
      <tp t="e">
        <v>#N/A</v>
        <stp/>
        <stp>BDS|11288067257870657696</stp>
        <tr r="CM5" s="3"/>
      </tp>
      <tp t="e">
        <v>#N/A</v>
        <stp/>
        <stp>BDS|10374191254140620641</stp>
        <tr r="AY5" s="76"/>
      </tp>
      <tp t="e">
        <v>#N/A</v>
        <stp/>
        <stp>BDS|18364504729614099976</stp>
        <tr r="KY5" s="34"/>
      </tp>
      <tp t="e">
        <v>#N/A</v>
        <stp/>
        <stp>BDS|17888244951417277524</stp>
        <tr r="CH5" s="121"/>
      </tp>
      <tp t="e">
        <v>#N/A</v>
        <stp/>
        <stp>BDS|13857381094293988805</stp>
        <tr r="JK5" s="20"/>
      </tp>
      <tp t="e">
        <v>#N/A</v>
        <stp/>
        <stp>BDS|17019470270243893523</stp>
        <tr r="FO5" s="25"/>
      </tp>
      <tp t="e">
        <v>#N/A</v>
        <stp/>
        <stp>BDS|15539893491906235023</stp>
        <tr r="CC5" s="65"/>
      </tp>
      <tp t="e">
        <v>#N/A</v>
        <stp/>
        <stp>BDS|12219720365934116591</stp>
        <tr r="K5" s="22"/>
      </tp>
      <tp t="e">
        <v>#N/A</v>
        <stp/>
        <stp>BDS|12253673579643508248</stp>
        <tr r="FY5" s="109"/>
      </tp>
      <tp t="e">
        <v>#N/A</v>
        <stp/>
        <stp>BDS|14384244642225815507</stp>
        <tr r="MW5" s="100"/>
      </tp>
      <tp t="e">
        <v>#N/A</v>
        <stp/>
        <stp>BDS|10774587176571188152</stp>
        <tr r="DL5" s="50"/>
      </tp>
      <tp t="e">
        <v>#N/A</v>
        <stp/>
        <stp>BDS|16351358565036843766</stp>
        <tr r="DQ5" s="69"/>
      </tp>
      <tp t="e">
        <v>#N/A</v>
        <stp/>
        <stp>BDS|11125731248644635418</stp>
        <tr r="JK5" s="71"/>
      </tp>
      <tp t="e">
        <v>#N/A</v>
        <stp/>
        <stp>BDS|11954042038115898502</stp>
        <tr r="NQ5" s="59"/>
      </tp>
      <tp t="e">
        <v>#N/A</v>
        <stp/>
        <stp>BDS|15314793509946749692</stp>
        <tr r="AT5" s="112"/>
      </tp>
      <tp t="e">
        <v>#N/A</v>
        <stp/>
        <stp>BDS|18391772959149671161</stp>
        <tr r="JF5" s="87"/>
      </tp>
      <tp t="e">
        <v>#N/A</v>
        <stp/>
        <stp>BDS|13524592036854309348</stp>
        <tr r="KE5" s="22"/>
      </tp>
      <tp t="e">
        <v>#N/A</v>
        <stp/>
        <stp>BDS|15114027251363868175</stp>
        <tr r="AY5" s="100"/>
      </tp>
      <tp t="e">
        <v>#N/A</v>
        <stp/>
        <stp>BDS|10594160027568032999</stp>
        <tr r="LS5" s="76"/>
      </tp>
      <tp t="e">
        <v>#N/A</v>
        <stp/>
        <stp>BDS|14462062417011968617</stp>
        <tr r="OF5" s="93"/>
      </tp>
      <tp t="e">
        <v>#N/A</v>
        <stp/>
        <stp>BDS|14701796089131338891</stp>
        <tr r="KT5" s="118"/>
      </tp>
      <tp t="e">
        <v>#N/A</v>
        <stp/>
        <stp>BDS|11428677968215452627</stp>
        <tr r="EU5" s="36"/>
      </tp>
      <tp t="e">
        <v>#N/A</v>
        <stp/>
        <stp>BDS|12831408236001972655</stp>
        <tr r="DQ5" s="77"/>
      </tp>
      <tp t="e">
        <v>#N/A</v>
        <stp/>
        <stp>BDS|11404653043387213629</stp>
        <tr r="KO5" s="120"/>
      </tp>
      <tp t="e">
        <v>#N/A</v>
        <stp/>
        <stp>BDS|12054883604540620889</stp>
        <tr r="K5" s="43"/>
      </tp>
      <tp t="e">
        <v>#N/A</v>
        <stp/>
        <stp>BDS|16447540501856352707</stp>
        <tr r="K5" s="61"/>
      </tp>
      <tp t="e">
        <v>#N/A</v>
        <stp/>
        <stp>BDS|11288635816453102747</stp>
        <tr r="DG5" s="69"/>
      </tp>
      <tp t="e">
        <v>#N/A</v>
        <stp/>
        <stp>BDS|14962771254945105193</stp>
        <tr r="KE5" s="40"/>
      </tp>
      <tp t="e">
        <v>#N/A</v>
        <stp/>
        <stp>BDS|13968982763797286926</stp>
        <tr r="CH5" s="63"/>
      </tp>
      <tp t="e">
        <v>#N/A</v>
        <stp/>
        <stp>BDS|14227220822152090409</stp>
        <tr r="EZ5" s="74"/>
      </tp>
      <tp t="e">
        <v>#N/A</v>
        <stp/>
        <stp>BDS|11567873230408936093</stp>
        <tr r="DB5" s="59"/>
      </tp>
      <tp t="e">
        <v>#N/A</v>
        <stp/>
        <stp>BDS|13043556803075043141</stp>
        <tr r="EK5" s="62"/>
      </tp>
      <tp t="e">
        <v>#N/A</v>
        <stp/>
        <stp>BDS|10854549118991449726</stp>
        <tr r="HR5" s="52"/>
      </tp>
      <tp t="e">
        <v>#N/A</v>
        <stp/>
        <stp>BDS|10947362650795934144</stp>
        <tr r="Z5" s="80"/>
      </tp>
      <tp t="e">
        <v>#N/A</v>
        <stp/>
        <stp>BDS|13663096913091749191</stp>
        <tr r="MC5" s="122"/>
      </tp>
      <tp t="e">
        <v>#N/A</v>
        <stp/>
        <stp>BDS|12324000362647416170</stp>
        <tr r="JZ5" s="66"/>
      </tp>
      <tp t="e">
        <v>#N/A</v>
        <stp/>
        <stp>BDS|14201096248047607573</stp>
        <tr r="AT5" s="28"/>
      </tp>
      <tp t="e">
        <v>#N/A</v>
        <stp/>
        <stp>BDS|17075729743985506363</stp>
        <tr r="LI5" s="16"/>
      </tp>
      <tp t="e">
        <v>#N/A</v>
        <stp/>
        <stp>BDS|12090556857331547140</stp>
        <tr r="EU5" s="67"/>
      </tp>
      <tp t="e">
        <v>#N/A</v>
        <stp/>
        <stp>BDS|13173118843820309438</stp>
        <tr r="AY5" s="86"/>
      </tp>
      <tp t="e">
        <v>#N/A</v>
        <stp/>
        <stp>BDS|12197684138676019324</stp>
        <tr r="U5" s="73"/>
      </tp>
      <tp t="e">
        <v>#N/A</v>
        <stp/>
        <stp>BDS|12147175924151555248</stp>
        <tr r="AJ5" s="119"/>
      </tp>
      <tp t="e">
        <v>#N/A</v>
        <stp/>
        <stp>BDS|15776438073585057143</stp>
        <tr r="LN5" s="65"/>
      </tp>
      <tp t="e">
        <v>#N/A</v>
        <stp/>
        <stp>BDS|11823452360338878968</stp>
        <tr r="LX5" s="65"/>
      </tp>
      <tp t="e">
        <v>#N/A</v>
        <stp/>
        <stp>BDS|12733471317876112357</stp>
        <tr r="IB5" s="15"/>
      </tp>
      <tp t="e">
        <v>#N/A</v>
        <stp/>
        <stp>BDS|13802080152732896692</stp>
        <tr r="U5" s="52"/>
      </tp>
      <tp t="e">
        <v>#N/A</v>
        <stp/>
        <stp>BDS|15793841537128194463</stp>
        <tr r="HH5" s="111"/>
      </tp>
      <tp t="e">
        <v>#N/A</v>
        <stp/>
        <stp>BDS|15588160476912012362</stp>
        <tr r="BX5" s="115"/>
      </tp>
      <tp t="e">
        <v>#N/A</v>
        <stp/>
        <stp>BDS|13765776699147370894</stp>
        <tr r="KT5" s="90"/>
      </tp>
      <tp t="e">
        <v>#N/A</v>
        <stp/>
        <stp>BDS|15934723843030305484</stp>
        <tr r="FO5" s="16"/>
      </tp>
      <tp t="e">
        <v>#N/A</v>
        <stp/>
        <stp>BDS|10278793521423958401</stp>
        <tr r="BD5" s="64"/>
      </tp>
      <tp t="e">
        <v>#N/A</v>
        <stp/>
        <stp>BDS|16266331183106346926</stp>
        <tr r="HC5" s="90"/>
      </tp>
      <tp t="e">
        <v>#N/A</v>
        <stp/>
        <stp>BDS|11991334868015626344</stp>
        <tr r="EA5" s="1"/>
      </tp>
      <tp t="e">
        <v>#N/A</v>
        <stp/>
        <stp>BDS|14162104571774778478</stp>
        <tr r="JK5" s="49"/>
      </tp>
      <tp t="e">
        <v>#N/A</v>
        <stp/>
        <stp>BDS|13143016503899108820</stp>
        <tr r="GN5" s="49"/>
      </tp>
      <tp t="e">
        <v>#N/A</v>
        <stp/>
        <stp>BDS|14714993232688445489</stp>
        <tr r="EZ5" s="46"/>
      </tp>
      <tp t="e">
        <v>#N/A</v>
        <stp/>
        <stp>BDS|15595571502175610761</stp>
        <tr r="CR5" s="8"/>
      </tp>
      <tp t="e">
        <v>#N/A</v>
        <stp/>
        <stp>BDS|11057823949897366881</stp>
        <tr r="IB5" s="2"/>
      </tp>
      <tp t="e">
        <v>#N/A</v>
        <stp/>
        <stp>BDS|12599685363752670284</stp>
        <tr r="BD5" s="54"/>
      </tp>
      <tp t="e">
        <v>#N/A</v>
        <stp/>
        <stp>BDS|15089481033150337084</stp>
        <tr r="MW5" s="6"/>
      </tp>
      <tp t="e">
        <v>#N/A</v>
        <stp/>
        <stp>BDS|13589858580456733778</stp>
        <tr r="MM5" s="7"/>
      </tp>
      <tp t="e">
        <v>#N/A</v>
        <stp/>
        <stp>BDS|16772520313088711818</stp>
        <tr r="CH5" s="48"/>
      </tp>
      <tp t="e">
        <v>#N/A</v>
        <stp/>
        <stp>BDS|16388201312962093514</stp>
        <tr r="FT5" s="34"/>
      </tp>
      <tp t="e">
        <v>#N/A</v>
        <stp/>
        <stp>BDS|17476331255861305212</stp>
        <tr r="MH5" s="3"/>
      </tp>
      <tp t="e">
        <v>#N/A</v>
        <stp/>
        <stp>BDS|17892780080782093804</stp>
        <tr r="LX5" s="50"/>
      </tp>
      <tp t="e">
        <v>#N/A</v>
        <stp/>
        <stp>BDS|10492358197139006163</stp>
        <tr r="IG5" s="4"/>
      </tp>
      <tp t="e">
        <v>#N/A</v>
        <stp/>
        <stp>BDS|11484744891809058413</stp>
        <tr r="P5" s="20"/>
      </tp>
      <tp t="e">
        <v>#N/A</v>
        <stp/>
        <stp>BDS|17149205331417132317</stp>
        <tr r="AT5" s="9"/>
      </tp>
      <tp t="e">
        <v>#N/A</v>
        <stp/>
        <stp>BDS|17677954901725469962</stp>
        <tr r="EF5" s="35"/>
      </tp>
      <tp t="e">
        <v>#N/A</v>
        <stp/>
        <stp>BDS|15162509860591848599</stp>
        <tr r="EA5" s="114"/>
      </tp>
      <tp t="e">
        <v>#N/A</v>
        <stp/>
        <stp>BDS|17703435897658112024</stp>
        <tr r="DQ5" s="27"/>
      </tp>
      <tp t="e">
        <v>#N/A</v>
        <stp/>
        <stp>BDS|11957241991201821942</stp>
        <tr r="IQ5" s="85"/>
      </tp>
      <tp t="e">
        <v>#N/A</v>
        <stp/>
        <stp>BDS|16777220452603510026</stp>
        <tr r="EK5" s="11"/>
      </tp>
      <tp t="e">
        <v>#N/A</v>
        <stp/>
        <stp>BDS|11343328955721765438</stp>
        <tr r="DL5" s="89"/>
      </tp>
      <tp t="e">
        <v>#N/A</v>
        <stp/>
        <stp>BDS|14115303836137765100</stp>
        <tr r="EK5" s="105"/>
      </tp>
      <tp t="e">
        <v>#N/A</v>
        <stp/>
        <stp>BDS|12717851632103074803</stp>
        <tr r="P5" s="53"/>
      </tp>
      <tp t="e">
        <v>#N/A</v>
        <stp/>
        <stp>BDS|11051397211007934614</stp>
        <tr r="DQ5" s="118"/>
      </tp>
      <tp t="e">
        <v>#N/A</v>
        <stp/>
        <stp>BDS|15093353134077676078</stp>
        <tr r="DV5" s="65"/>
      </tp>
      <tp t="e">
        <v>#N/A</v>
        <stp/>
        <stp>BDS|15735451471383630756</stp>
        <tr r="K5" s="31"/>
      </tp>
      <tp t="e">
        <v>#N/A</v>
        <stp/>
        <stp>BDS|16297340178845619584</stp>
        <tr r="BN5" s="34"/>
      </tp>
      <tp t="e">
        <v>#N/A</v>
        <stp/>
        <stp>BDS|15672543623574336426</stp>
        <tr r="KE5" s="118"/>
      </tp>
      <tp t="e">
        <v>#N/A</v>
        <stp/>
        <stp>BDS|14667027776244270500</stp>
        <tr r="EA5" s="36"/>
      </tp>
      <tp t="e">
        <v>#N/A</v>
        <stp/>
        <stp>BDS|17295572891121579819</stp>
        <tr r="BD5" s="4"/>
      </tp>
      <tp t="e">
        <v>#N/A</v>
        <stp/>
        <stp>BDS|17397770015511659262</stp>
        <tr r="DB5" s="15"/>
      </tp>
      <tp t="e">
        <v>#N/A</v>
        <stp/>
        <stp>BDS|17736231543467381455</stp>
        <tr r="KJ5" s="19"/>
      </tp>
      <tp t="e">
        <v>#N/A</v>
        <stp/>
        <stp>BDS|15200775270546480101</stp>
        <tr r="A5" s="65"/>
      </tp>
      <tp t="e">
        <v>#N/A</v>
        <stp/>
        <stp>BDS|17182305731912055718</stp>
        <tr r="LS5" s="26"/>
      </tp>
      <tp t="e">
        <v>#N/A</v>
        <stp/>
        <stp>BDS|14890592592023652946</stp>
        <tr r="Z5" s="114"/>
      </tp>
      <tp t="e">
        <v>#N/A</v>
        <stp/>
        <stp>BDS|17383853564309182228</stp>
        <tr r="IB5" s="78"/>
      </tp>
      <tp t="e">
        <v>#N/A</v>
        <stp/>
        <stp>BDS|10860071622915436585</stp>
        <tr r="P5" s="68"/>
      </tp>
      <tp t="e">
        <v>#N/A</v>
        <stp/>
        <stp>BDS|12041178212793637327</stp>
        <tr r="MH5" s="71"/>
      </tp>
      <tp t="e">
        <v>#N/A</v>
        <stp/>
        <stp>BDS|16293178861307682435</stp>
        <tr r="GS5" s="50"/>
      </tp>
      <tp t="e">
        <v>#N/A</v>
        <stp/>
        <stp>BDS|10016053255886151101</stp>
        <tr r="HH5" s="47"/>
      </tp>
      <tp t="e">
        <v>#N/A</v>
        <stp/>
        <stp>BDS|10739248913332438355</stp>
        <tr r="KE5" s="91"/>
      </tp>
      <tp t="e">
        <v>#N/A</v>
        <stp/>
        <stp>BDS|12747828286529076920</stp>
        <tr r="EP5" s="4"/>
      </tp>
      <tp t="e">
        <v>#N/A</v>
        <stp/>
        <stp>BDS|14067700836373693111</stp>
        <tr r="BN5" s="86"/>
      </tp>
      <tp t="e">
        <v>#N/A</v>
        <stp/>
        <stp>BDS|17779125561811228375</stp>
        <tr r="CH5" s="72"/>
      </tp>
      <tp t="e">
        <v>#N/A</v>
        <stp/>
        <stp>BDS|14222039381639623772</stp>
        <tr r="A5" s="124"/>
      </tp>
      <tp t="e">
        <v>#N/A</v>
        <stp/>
        <stp>BDS|12732150962352717562</stp>
        <tr r="JZ5" s="107"/>
      </tp>
      <tp t="e">
        <v>#N/A</v>
        <stp/>
        <stp>BDS|16453554836407236544</stp>
        <tr r="MW5" s="91"/>
      </tp>
      <tp t="e">
        <v>#N/A</v>
        <stp/>
        <stp>BDS|14410510986753004824</stp>
        <tr r="AJ5" s="97"/>
      </tp>
      <tp t="e">
        <v>#N/A</v>
        <stp/>
        <stp>BDS|15223634070050509656</stp>
        <tr r="IG5" s="78"/>
      </tp>
      <tp t="e">
        <v>#N/A</v>
        <stp/>
        <stp>BDS|15397762206397594771</stp>
        <tr r="BD5" s="48"/>
      </tp>
      <tp t="e">
        <v>#N/A</v>
        <stp/>
        <stp>BDS|12272645462226016656</stp>
        <tr r="BX5" s="8"/>
      </tp>
      <tp t="e">
        <v>#N/A</v>
        <stp/>
        <stp>BDS|12090423502955640171</stp>
        <tr r="KE5" s="4"/>
      </tp>
      <tp t="e">
        <v>#N/A</v>
        <stp/>
        <stp>BDS|15740040484516308954</stp>
        <tr r="GX5" s="74"/>
      </tp>
      <tp t="e">
        <v>#N/A</v>
        <stp/>
        <stp>BDS|11586408730991684525</stp>
        <tr r="EK5" s="43"/>
      </tp>
      <tp t="e">
        <v>#N/A</v>
        <stp/>
        <stp>BDS|16592674977021485401</stp>
        <tr r="NQ5" s="113"/>
      </tp>
      <tp t="e">
        <v>#N/A</v>
        <stp/>
        <stp>BDS|11757916244137158923</stp>
        <tr r="GI5" s="91"/>
      </tp>
      <tp t="e">
        <v>#N/A</v>
        <stp/>
        <stp>BDS|13137458263254086765</stp>
        <tr r="AT5" s="82"/>
      </tp>
      <tp t="e">
        <v>#N/A</v>
        <stp/>
        <stp>BDS|15860047958694721621</stp>
        <tr r="MC5" s="114"/>
      </tp>
      <tp t="e">
        <v>#N/A</v>
        <stp/>
        <stp>BDS|18172342384952278350</stp>
        <tr r="FT5" s="79"/>
      </tp>
      <tp t="e">
        <v>#N/A</v>
        <stp/>
        <stp>BDS|16614750038622887254</stp>
        <tr r="JP5" s="36"/>
      </tp>
      <tp t="e">
        <v>#N/A</v>
        <stp/>
        <stp>BDS|14431352525733242408</stp>
        <tr r="F5" s="25"/>
      </tp>
      <tp t="e">
        <v>#N/A</v>
        <stp/>
        <stp>BDS|11934258005709707886</stp>
        <tr r="GS5" s="100"/>
      </tp>
      <tp t="e">
        <v>#N/A</v>
        <stp/>
        <stp>BDS|15600276364474106728</stp>
        <tr r="HH5" s="23"/>
      </tp>
      <tp t="e">
        <v>#N/A</v>
        <stp/>
        <stp>BDS|13514571916875668047</stp>
        <tr r="IV5" s="124"/>
      </tp>
      <tp t="e">
        <v>#N/A</v>
        <stp/>
        <stp>BDS|10959666078945444650</stp>
        <tr r="LS5" s="7"/>
      </tp>
      <tp t="e">
        <v>#N/A</v>
        <stp/>
        <stp>BDS|10670766256064728470</stp>
        <tr r="MW5" s="92"/>
      </tp>
      <tp t="e">
        <v>#N/A</v>
        <stp/>
        <stp>BDS|12749296515521805254</stp>
        <tr r="MW5" s="1"/>
      </tp>
      <tp t="e">
        <v>#N/A</v>
        <stp/>
        <stp>BDS|12761072852194237164</stp>
        <tr r="EZ5" s="80"/>
      </tp>
      <tp t="e">
        <v>#N/A</v>
        <stp/>
        <stp>BDS|10325741721053112413</stp>
        <tr r="DL5" s="85"/>
      </tp>
      <tp t="e">
        <v>#N/A</v>
        <stp/>
        <stp>BDS|15920131723131800573</stp>
        <tr r="JF5" s="81"/>
      </tp>
      <tp t="e">
        <v>#N/A</v>
        <stp/>
        <stp>BDS|15022819081132584532</stp>
        <tr r="KJ5" s="25"/>
      </tp>
      <tp t="e">
        <v>#N/A</v>
        <stp/>
        <stp>BDS|16096145541637730649</stp>
        <tr r="HR5" s="39"/>
      </tp>
      <tp t="e">
        <v>#N/A</v>
        <stp/>
        <stp>BDS|12642460915564243112</stp>
        <tr r="AJ5" s="33"/>
      </tp>
      <tp t="e">
        <v>#N/A</v>
        <stp/>
        <stp>BDS|13959634957203961122</stp>
        <tr r="CR5" s="86"/>
      </tp>
      <tp t="e">
        <v>#N/A</v>
        <stp/>
        <stp>BDS|13106193948161764512</stp>
        <tr r="K5" s="94"/>
      </tp>
      <tp t="e">
        <v>#N/A</v>
        <stp/>
        <stp>BDS|15948385060353109164</stp>
        <tr r="IB5" s="24"/>
      </tp>
      <tp t="e">
        <v>#N/A</v>
        <stp/>
        <stp>BDS|14504405994853128869</stp>
        <tr r="NV5" s="123"/>
      </tp>
      <tp t="e">
        <v>#N/A</v>
        <stp/>
        <stp>BDS|18410772453499164174</stp>
        <tr r="CM5" s="20"/>
      </tp>
      <tp t="e">
        <v>#N/A</v>
        <stp/>
        <stp>BDS|14719515902041763257</stp>
        <tr r="IV5" s="59"/>
      </tp>
      <tp t="e">
        <v>#N/A</v>
        <stp/>
        <stp>BDS|13778198983550983839</stp>
        <tr r="FE5" s="38"/>
      </tp>
      <tp t="e">
        <v>#N/A</v>
        <stp/>
        <stp>BDS|12754432229483886524</stp>
        <tr r="IL5" s="75"/>
      </tp>
      <tp t="e">
        <v>#N/A</v>
        <stp/>
        <stp>BDS|14642557624322381337</stp>
        <tr r="KT5" s="108"/>
      </tp>
      <tp t="e">
        <v>#N/A</v>
        <stp/>
        <stp>BDS|11748915813393043828</stp>
        <tr r="NG5" s="31"/>
      </tp>
      <tp t="e">
        <v>#N/A</v>
        <stp/>
        <stp>BDS|15657508929633839306</stp>
        <tr r="K5" s="90"/>
      </tp>
      <tp t="e">
        <v>#N/A</v>
        <stp/>
        <stp>BDS|15563423846410091765</stp>
        <tr r="NG5" s="110"/>
      </tp>
      <tp t="e">
        <v>#N/A</v>
        <stp/>
        <stp>BDS|11751005697528791201</stp>
        <tr r="CR5" s="33"/>
      </tp>
      <tp t="e">
        <v>#N/A</v>
        <stp/>
        <stp>BDS|12356623866130639068</stp>
        <tr r="EF5" s="14"/>
      </tp>
      <tp t="e">
        <v>#N/A</v>
        <stp/>
        <stp>BDS|10390509817476312006</stp>
        <tr r="GI5" s="9"/>
      </tp>
      <tp t="e">
        <v>#N/A</v>
        <stp/>
        <stp>BDS|17466326233412557772</stp>
        <tr r="K5" s="5"/>
      </tp>
      <tp t="e">
        <v>#N/A</v>
        <stp/>
        <stp>BDS|16963637106066213492</stp>
        <tr r="MM5" s="36"/>
      </tp>
      <tp t="e">
        <v>#N/A</v>
        <stp/>
        <stp>BDS|14328973103079722673</stp>
        <tr r="HM5" s="123"/>
      </tp>
      <tp t="e">
        <v>#N/A</v>
        <stp/>
        <stp>BDS|18135110233190706832</stp>
        <tr r="EZ5" s="38"/>
      </tp>
      <tp t="e">
        <v>#N/A</v>
        <stp/>
        <stp>BDS|14263753677525145364</stp>
        <tr r="IQ5" s="8"/>
      </tp>
      <tp t="e">
        <v>#N/A</v>
        <stp/>
        <stp>BDS|15237201431017060144</stp>
        <tr r="NB5" s="120"/>
      </tp>
      <tp t="e">
        <v>#N/A</v>
        <stp/>
        <stp>BDS|11638158909567487590</stp>
        <tr r="Z5" s="121"/>
      </tp>
      <tp t="e">
        <v>#N/A</v>
        <stp/>
        <stp>BDS|10761368715811628151</stp>
        <tr r="IB5" s="38"/>
      </tp>
      <tp t="e">
        <v>#N/A</v>
        <stp/>
        <stp>BDS|14991307468622259148</stp>
        <tr r="A5" s="27"/>
      </tp>
      <tp t="e">
        <v>#N/A</v>
        <stp/>
        <stp>BDS|14151341368284909733</stp>
        <tr r="DB5" s="51"/>
      </tp>
      <tp t="e">
        <v>#N/A</v>
        <stp/>
        <stp>BDS|18277214097091881081</stp>
        <tr r="JK5" s="97"/>
      </tp>
      <tp t="e">
        <v>#N/A</v>
        <stp/>
        <stp>BDS|12518871854984673944</stp>
        <tr r="GI5" s="2"/>
      </tp>
      <tp t="e">
        <v>#N/A</v>
        <stp/>
        <stp>BDS|14206887988945706311</stp>
        <tr r="GS5" s="45"/>
      </tp>
      <tp t="e">
        <v>#N/A</v>
        <stp/>
        <stp>BDS|14164250856636571738</stp>
        <tr r="IG5" s="79"/>
      </tp>
      <tp t="e">
        <v>#N/A</v>
        <stp/>
        <stp>BDS|17469224842431586251</stp>
        <tr r="EK5" s="65"/>
      </tp>
      <tp t="e">
        <v>#N/A</v>
        <stp/>
        <stp>BDS|13006287798342134858</stp>
        <tr r="IG5" s="67"/>
      </tp>
      <tp t="e">
        <v>#N/A</v>
        <stp/>
        <stp>BDS|10795252006408054804</stp>
        <tr r="KO5" s="49"/>
      </tp>
      <tp t="e">
        <v>#N/A</v>
        <stp/>
        <stp>BDS|10828777314994763084</stp>
        <tr r="DG5" s="98"/>
      </tp>
      <tp t="e">
        <v>#N/A</v>
        <stp/>
        <stp>BDS|12804420558233283244</stp>
        <tr r="CH5" s="16"/>
      </tp>
      <tp t="e">
        <v>#N/A</v>
        <stp/>
        <stp>BDS|10205862038721894802</stp>
        <tr r="MW5" s="4"/>
      </tp>
      <tp t="e">
        <v>#N/A</v>
        <stp/>
        <stp>BDS|11845512867888326892</stp>
        <tr r="AT5" s="59"/>
      </tp>
      <tp t="e">
        <v>#N/A</v>
        <stp/>
        <stp>BDS|18357643339056928939</stp>
        <tr r="DQ5" s="112"/>
      </tp>
      <tp t="e">
        <v>#N/A</v>
        <stp/>
        <stp>BDS|14982411229292712229</stp>
        <tr r="EZ5" s="48"/>
      </tp>
      <tp t="e">
        <v>#N/A</v>
        <stp/>
        <stp>BDS|11430738356979169846</stp>
        <tr r="GN5" s="115"/>
      </tp>
      <tp t="e">
        <v>#N/A</v>
        <stp/>
        <stp>BDS|11005765570561458264</stp>
        <tr r="NB5" s="103"/>
      </tp>
      <tp t="e">
        <v>#N/A</v>
        <stp/>
        <stp>BDS|17100422567194729371</stp>
        <tr r="FE5" s="124"/>
      </tp>
      <tp t="e">
        <v>#N/A</v>
        <stp/>
        <stp>BDS|13811847729518843397</stp>
        <tr r="NL5" s="13"/>
      </tp>
      <tp t="e">
        <v>#N/A</v>
        <stp/>
        <stp>BDS|13436175822291743327</stp>
        <tr r="MH5" s="27"/>
      </tp>
      <tp t="e">
        <v>#N/A</v>
        <stp/>
        <stp>BDS|17760528269886869007</stp>
        <tr r="NV5" s="98"/>
      </tp>
      <tp t="e">
        <v>#N/A</v>
        <stp/>
        <stp>BDS|13262375456791153664</stp>
        <tr r="KE5" s="81"/>
      </tp>
      <tp t="e">
        <v>#N/A</v>
        <stp/>
        <stp>BDS|17916239460945958471</stp>
        <tr r="BN5" s="84"/>
      </tp>
      <tp t="e">
        <v>#N/A</v>
        <stp/>
        <stp>BDS|17668082358646356612</stp>
        <tr r="FE5" s="50"/>
      </tp>
      <tp t="e">
        <v>#N/A</v>
        <stp/>
        <stp>BDS|11130181029378710835</stp>
        <tr r="KJ5" s="4"/>
      </tp>
      <tp t="e">
        <v>#N/A</v>
        <stp/>
        <stp>BDS|16354639970282019754</stp>
        <tr r="LI5" s="45"/>
      </tp>
      <tp t="e">
        <v>#N/A</v>
        <stp/>
        <stp>BDS|11671230834296296466</stp>
        <tr r="JA5" s="3"/>
      </tp>
      <tp t="e">
        <v>#N/A</v>
        <stp/>
        <stp>BDS|15695183824350742483</stp>
        <tr r="CR5" s="117"/>
      </tp>
      <tp t="e">
        <v>#N/A</v>
        <stp/>
        <stp>BDS|10726509077153262372</stp>
        <tr r="IG5" s="115"/>
      </tp>
      <tp t="e">
        <v>#N/A</v>
        <stp/>
        <stp>BDS|16720760917001665358</stp>
        <tr r="DG5" s="26"/>
      </tp>
      <tp t="e">
        <v>#N/A</v>
        <stp/>
        <stp>BDS|16762097036444516387</stp>
        <tr r="JP5" s="74"/>
      </tp>
      <tp t="e">
        <v>#N/A</v>
        <stp/>
        <stp>BDS|17635871600308243566</stp>
        <tr r="EK5" s="34"/>
      </tp>
      <tp t="e">
        <v>#N/A</v>
        <stp/>
        <stp>BDS|12398880890789744898</stp>
        <tr r="KE5" s="29"/>
      </tp>
      <tp t="e">
        <v>#N/A</v>
        <stp/>
        <stp>BDS|18122513440612027957</stp>
        <tr r="DL5" s="76"/>
      </tp>
      <tp t="e">
        <v>#N/A</v>
        <stp/>
        <stp>BDS|11430436910336531074</stp>
        <tr r="AY5" s="104"/>
      </tp>
      <tp t="e">
        <v>#N/A</v>
        <stp/>
        <stp>BDS|12199857881938832884</stp>
        <tr r="JF5" s="71"/>
      </tp>
      <tp t="e">
        <v>#N/A</v>
        <stp/>
        <stp>BDS|16909521758376639201</stp>
        <tr r="KY5" s="7"/>
      </tp>
      <tp t="e">
        <v>#N/A</v>
        <stp/>
        <stp>BDS|16186060830587783052</stp>
        <tr r="JZ5" s="84"/>
      </tp>
      <tp t="e">
        <v>#N/A</v>
        <stp/>
        <stp>BDS|17158374223807799377</stp>
        <tr r="GI5" s="49"/>
      </tp>
      <tp t="e">
        <v>#N/A</v>
        <stp/>
        <stp>BDS|10450655732183667401</stp>
        <tr r="BX5" s="9"/>
      </tp>
      <tp t="e">
        <v>#N/A</v>
        <stp/>
        <stp>BDS|11938698059911538197</stp>
        <tr r="CR5" s="13"/>
      </tp>
      <tp t="e">
        <v>#N/A</v>
        <stp/>
        <stp>BDS|15090545476967220251</stp>
        <tr r="FT5" s="28"/>
      </tp>
      <tp t="e">
        <v>#N/A</v>
        <stp/>
        <stp>BDS|17580365910812295549</stp>
        <tr r="NG5" s="104"/>
      </tp>
      <tp t="e">
        <v>#N/A</v>
        <stp/>
        <stp>BDS|11097502854877057413</stp>
        <tr r="LS5" s="45"/>
      </tp>
      <tp t="e">
        <v>#N/A</v>
        <stp/>
        <stp>BDS|12830757604173951455</stp>
        <tr r="JF5" s="94"/>
      </tp>
      <tp t="e">
        <v>#N/A</v>
        <stp/>
        <stp>BDS|18334949818490559300</stp>
        <tr r="FY5" s="30"/>
      </tp>
      <tp t="e">
        <v>#N/A</v>
        <stp/>
        <stp>BDS|12989329567456185277</stp>
        <tr r="GS5" s="108"/>
      </tp>
      <tp t="e">
        <v>#N/A</v>
        <stp/>
        <stp>BDS|10518118128116667606</stp>
        <tr r="CH5" s="33"/>
      </tp>
      <tp t="e">
        <v>#N/A</v>
        <stp/>
        <stp>BDS|14483475378373502741</stp>
        <tr r="A5" s="61"/>
      </tp>
      <tp t="e">
        <v>#N/A</v>
        <stp/>
        <stp>BDS|11644095805377227522</stp>
        <tr r="BS5" s="116"/>
      </tp>
      <tp t="e">
        <v>#N/A</v>
        <stp/>
        <stp>BDS|16139254106731832601</stp>
        <tr r="BX5" s="76"/>
      </tp>
      <tp t="e">
        <v>#N/A</v>
        <stp/>
        <stp>BDS|16575951880637276385</stp>
        <tr r="KE5" s="74"/>
      </tp>
      <tp t="e">
        <v>#N/A</v>
        <stp/>
        <stp>BDS|10064166561222977645</stp>
        <tr r="DG5" s="21"/>
      </tp>
      <tp t="e">
        <v>#N/A</v>
        <stp/>
        <stp>BDS|13286161535134992621</stp>
        <tr r="KT5" s="95"/>
      </tp>
      <tp t="e">
        <v>#N/A</v>
        <stp/>
        <stp>BDS|10877431997459415724</stp>
        <tr r="Z5" s="95"/>
      </tp>
      <tp t="e">
        <v>#N/A</v>
        <stp/>
        <stp>BDS|14085719407042821244</stp>
        <tr r="BI5" s="54"/>
      </tp>
      <tp t="e">
        <v>#N/A</v>
        <stp/>
        <stp>BDS|16048316308195502365</stp>
        <tr r="EZ5" s="55"/>
      </tp>
      <tp t="e">
        <v>#N/A</v>
        <stp/>
        <stp>BDS|13688974641625261897</stp>
        <tr r="U5" s="6"/>
      </tp>
      <tp t="e">
        <v>#N/A</v>
        <stp/>
        <stp>BDS|16677986237379503679</stp>
        <tr r="IV5" s="107"/>
      </tp>
      <tp t="e">
        <v>#N/A</v>
        <stp/>
        <stp>BDS|10306292737476490427</stp>
        <tr r="AE5" s="56"/>
      </tp>
      <tp t="e">
        <v>#N/A</v>
        <stp/>
        <stp>BDS|14732999384611049717</stp>
        <tr r="DQ5" s="81"/>
      </tp>
      <tp t="e">
        <v>#N/A</v>
        <stp/>
        <stp>BDS|17696630949181337744</stp>
        <tr r="HM5" s="18"/>
      </tp>
      <tp t="e">
        <v>#N/A</v>
        <stp/>
        <stp>BDS|15193671208396526607</stp>
        <tr r="EK5" s="5"/>
      </tp>
      <tp t="e">
        <v>#N/A</v>
        <stp/>
        <stp>BDS|12495562178426502542</stp>
        <tr r="HH5" s="89"/>
      </tp>
      <tp t="e">
        <v>#N/A</v>
        <stp/>
        <stp>BDS|17060754871316754288</stp>
        <tr r="Z5" s="123"/>
      </tp>
      <tp t="e">
        <v>#N/A</v>
        <stp/>
        <stp>BDS|11005540408424381340</stp>
        <tr r="JA5" s="124"/>
      </tp>
      <tp t="e">
        <v>#N/A</v>
        <stp/>
        <stp>BDS|12072031769131026616</stp>
        <tr r="KE5" s="20"/>
      </tp>
      <tp t="e">
        <v>#N/A</v>
        <stp/>
        <stp>BDS|16207319979965518443</stp>
        <tr r="FE5" s="10"/>
      </tp>
      <tp t="e">
        <v>#N/A</v>
        <stp/>
        <stp>BDS|14654108588016583807</stp>
        <tr r="DB5" s="111"/>
      </tp>
      <tp t="e">
        <v>#N/A</v>
        <stp/>
        <stp>BDS|16385233708801466674</stp>
        <tr r="AY5" s="71"/>
      </tp>
      <tp t="e">
        <v>#N/A</v>
        <stp/>
        <stp>BDS|12948635054442309065</stp>
        <tr r="BX5" s="5"/>
      </tp>
      <tp t="e">
        <v>#N/A</v>
        <stp/>
        <stp>BDS|17918422164687113154</stp>
        <tr r="U5" s="50"/>
      </tp>
      <tp t="e">
        <v>#N/A</v>
        <stp/>
        <stp>BDS|17166039930396128189</stp>
        <tr r="CH5" s="115"/>
      </tp>
      <tp t="e">
        <v>#N/A</v>
        <stp/>
        <stp>BDS|16331355944297129581</stp>
        <tr r="NG5" s="119"/>
      </tp>
      <tp t="e">
        <v>#N/A</v>
        <stp/>
        <stp>BDS|15839297451463219297</stp>
        <tr r="JZ5" s="3"/>
      </tp>
      <tp t="e">
        <v>#N/A</v>
        <stp/>
        <stp>BDS|17079230569490959082</stp>
        <tr r="BN5" s="97"/>
      </tp>
      <tp t="e">
        <v>#N/A</v>
        <stp/>
        <stp>BDS|12227766727794826005</stp>
        <tr r="CR5" s="38"/>
      </tp>
      <tp t="e">
        <v>#N/A</v>
        <stp/>
        <stp>BDS|12445281241253190444</stp>
        <tr r="JZ5" s="35"/>
      </tp>
      <tp t="e">
        <v>#N/A</v>
        <stp/>
        <stp>BDS|16811452411963764335</stp>
        <tr r="EP5" s="77"/>
      </tp>
      <tp t="e">
        <v>#N/A</v>
        <stp/>
        <stp>BDS|16747824118564042858</stp>
        <tr r="GS5" s="109"/>
      </tp>
      <tp t="e">
        <v>#N/A</v>
        <stp/>
        <stp>BDS|10758228539566025449</stp>
        <tr r="BI5" s="101"/>
      </tp>
      <tp t="e">
        <v>#N/A</v>
        <stp/>
        <stp>BDS|15557820003197969951</stp>
        <tr r="BX5" s="109"/>
      </tp>
      <tp t="e">
        <v>#N/A</v>
        <stp/>
        <stp>BDS|11360644769732322054</stp>
        <tr r="DQ5" s="23"/>
      </tp>
      <tp t="e">
        <v>#N/A</v>
        <stp/>
        <stp>BDS|14955687353670807426</stp>
        <tr r="MM5" s="48"/>
      </tp>
      <tp t="e">
        <v>#N/A</v>
        <stp/>
        <stp>BDS|18270931539615988499</stp>
        <tr r="NB5" s="116"/>
      </tp>
      <tp t="e">
        <v>#N/A</v>
        <stp/>
        <stp>BDS|11565790967170268310</stp>
        <tr r="CC5" s="76"/>
      </tp>
      <tp t="e">
        <v>#N/A</v>
        <stp/>
        <stp>BDS|15821790917245939574</stp>
        <tr r="IQ5" s="32"/>
      </tp>
      <tp t="e">
        <v>#N/A</v>
        <stp/>
        <stp>BDS|14716477434711535195</stp>
        <tr r="DB5" s="98"/>
      </tp>
      <tp t="e">
        <v>#N/A</v>
        <stp/>
        <stp>BDS|13464422175522266190</stp>
        <tr r="F5" s="81"/>
      </tp>
      <tp t="e">
        <v>#N/A</v>
        <stp/>
        <stp>BDS|14478213617121806523</stp>
        <tr r="OF5" s="63"/>
      </tp>
      <tp t="e">
        <v>#N/A</v>
        <stp/>
        <stp>BDS|17579035803243903746</stp>
        <tr r="BN5" s="69"/>
      </tp>
      <tp t="e">
        <v>#N/A</v>
        <stp/>
        <stp>BDS|16738256179110686059</stp>
        <tr r="NL5" s="68"/>
      </tp>
      <tp t="e">
        <v>#N/A</v>
        <stp/>
        <stp>BDS|10342182486442485801</stp>
        <tr r="AE5" s="52"/>
      </tp>
      <tp t="e">
        <v>#N/A</v>
        <stp/>
        <stp>BDS|15525529308755622605</stp>
        <tr r="FJ5" s="114"/>
      </tp>
      <tp t="e">
        <v>#N/A</v>
        <stp/>
        <stp>BDS|15873807451123389833</stp>
        <tr r="JA5" s="20"/>
      </tp>
      <tp t="e">
        <v>#N/A</v>
        <stp/>
        <stp>BDS|10987843573739208554</stp>
        <tr r="BS5" s="106"/>
      </tp>
      <tp t="e">
        <v>#N/A</v>
        <stp/>
        <stp>BDS|16015119562644817627</stp>
        <tr r="GN5" s="66"/>
      </tp>
      <tp t="e">
        <v>#N/A</v>
        <stp/>
        <stp>BDS|11487999360959073447</stp>
        <tr r="FE5" s="33"/>
      </tp>
      <tp t="e">
        <v>#N/A</v>
        <stp/>
        <stp>BDS|15916337855155703518</stp>
        <tr r="LD5" s="12"/>
      </tp>
      <tp t="e">
        <v>#N/A</v>
        <stp/>
        <stp>BDS|12221867593308819869</stp>
        <tr r="DL5" s="16"/>
      </tp>
      <tp t="e">
        <v>#N/A</v>
        <stp/>
        <stp>BDS|16928364405764687257</stp>
        <tr r="GS5" s="25"/>
      </tp>
      <tp t="e">
        <v>#N/A</v>
        <stp/>
        <stp>BDS|12186386920809733972</stp>
        <tr r="FY5" s="120"/>
      </tp>
      <tp t="e">
        <v>#N/A</v>
        <stp/>
        <stp>BDS|11923081035266553783</stp>
        <tr r="EZ5" s="88"/>
      </tp>
      <tp t="e">
        <v>#N/A</v>
        <stp/>
        <stp>BDS|13134666045222320082</stp>
        <tr r="MH5" s="26"/>
      </tp>
      <tp t="e">
        <v>#N/A</v>
        <stp/>
        <stp>BDS|14255371879993686033</stp>
        <tr r="NQ5" s="85"/>
      </tp>
      <tp t="e">
        <v>#N/A</v>
        <stp/>
        <stp>BDS|18222044237241069987</stp>
        <tr r="FT5" s="95"/>
      </tp>
      <tp t="e">
        <v>#N/A</v>
        <stp/>
        <stp>BDS|13458390500000520313</stp>
        <tr r="K5" s="30"/>
      </tp>
      <tp t="e">
        <v>#N/A</v>
        <stp/>
        <stp>BDS|11822070345510389674</stp>
        <tr r="LX5" s="76"/>
      </tp>
      <tp t="e">
        <v>#N/A</v>
        <stp/>
        <stp>BDS|10156122090202984947</stp>
        <tr r="CM5" s="25"/>
      </tp>
      <tp t="e">
        <v>#N/A</v>
        <stp/>
        <stp>BDS|14577697526916782538</stp>
        <tr r="EF5" s="8"/>
      </tp>
      <tp t="e">
        <v>#N/A</v>
        <stp/>
        <stp>BDS|11745696145912469215</stp>
        <tr r="GX5" s="23"/>
      </tp>
      <tp t="e">
        <v>#N/A</v>
        <stp/>
        <stp>BDS|13046781052231389377</stp>
        <tr r="GI5" s="70"/>
      </tp>
      <tp t="e">
        <v>#N/A</v>
        <stp/>
        <stp>BDS|16498756464236317283</stp>
        <tr r="KT5" s="79"/>
      </tp>
      <tp t="e">
        <v>#N/A</v>
        <stp/>
        <stp>BDS|10927059334431713111</stp>
        <tr r="BN5" s="47"/>
      </tp>
      <tp t="e">
        <v>#N/A</v>
        <stp/>
        <stp>BDS|17603259288699027750</stp>
        <tr r="A5" s="20"/>
      </tp>
      <tp t="e">
        <v>#N/A</v>
        <stp/>
        <stp>BDS|14617566629949533921</stp>
        <tr r="JA5" s="95"/>
      </tp>
      <tp t="e">
        <v>#N/A</v>
        <stp/>
        <stp>BDS|15842538212120571228</stp>
        <tr r="EK5" s="99"/>
      </tp>
      <tp t="e">
        <v>#N/A</v>
        <stp/>
        <stp>BDS|15553312074411630382</stp>
        <tr r="IL5" s="8"/>
      </tp>
      <tp t="e">
        <v>#N/A</v>
        <stp/>
        <stp>BDS|17163589689168688187</stp>
        <tr r="GS5" s="21"/>
      </tp>
      <tp t="e">
        <v>#N/A</v>
        <stp/>
        <stp>BDS|17528063939782217562</stp>
        <tr r="LD5" s="98"/>
      </tp>
      <tp t="e">
        <v>#N/A</v>
        <stp/>
        <stp>BDS|15348774399561537963</stp>
        <tr r="LI5" s="94"/>
      </tp>
      <tp t="e">
        <v>#N/A</v>
        <stp/>
        <stp>BDS|17291802890043498686</stp>
        <tr r="GD5" s="93"/>
      </tp>
      <tp t="e">
        <v>#N/A</v>
        <stp/>
        <stp>BDS|16908559920710508264</stp>
        <tr r="NG5" s="44"/>
      </tp>
      <tp t="e">
        <v>#N/A</v>
        <stp/>
        <stp>BDS|16656250521856465393</stp>
        <tr r="HM5" s="56"/>
      </tp>
      <tp t="e">
        <v>#N/A</v>
        <stp/>
        <stp>BDS|18159471909208986791</stp>
        <tr r="MH5" s="14"/>
      </tp>
      <tp t="e">
        <v>#N/A</v>
        <stp/>
        <stp>BDS|15001202798725491832</stp>
        <tr r="CH5" s="64"/>
      </tp>
      <tp t="e">
        <v>#N/A</v>
        <stp/>
        <stp>BDS|16802700770851237457</stp>
        <tr r="GI5" s="67"/>
      </tp>
      <tp t="e">
        <v>#N/A</v>
        <stp/>
        <stp>BDS|12142814339098012262</stp>
        <tr r="KY5" s="44"/>
      </tp>
      <tp t="e">
        <v>#N/A</v>
        <stp/>
        <stp>BDS|12876134284520771872</stp>
        <tr r="LN5" s="96"/>
      </tp>
      <tp t="e">
        <v>#N/A</v>
        <stp/>
        <stp>BDS|14872014232080715430</stp>
        <tr r="BX5" s="67"/>
      </tp>
      <tp t="e">
        <v>#N/A</v>
        <stp/>
        <stp>BDS|14253472818356146431</stp>
        <tr r="MH5" s="70"/>
      </tp>
      <tp t="e">
        <v>#N/A</v>
        <stp/>
        <stp>BDS|15108993126314490958</stp>
        <tr r="EZ5" s="95"/>
      </tp>
      <tp t="e">
        <v>#N/A</v>
        <stp/>
        <stp>BDS|12577823479328846693</stp>
        <tr r="AY5" s="18"/>
      </tp>
      <tp t="e">
        <v>#N/A</v>
        <stp/>
        <stp>BDS|11053896990746638507</stp>
        <tr r="DQ5" s="73"/>
      </tp>
      <tp t="e">
        <v>#N/A</v>
        <stp/>
        <stp>BDS|17621268109887220145</stp>
        <tr r="EA5" s="54"/>
      </tp>
      <tp t="e">
        <v>#N/A</v>
        <stp/>
        <stp>BDS|17903324821721331465</stp>
        <tr r="MR5" s="49"/>
      </tp>
      <tp t="e">
        <v>#N/A</v>
        <stp/>
        <stp>BDS|17744563912197872744</stp>
        <tr r="LD5" s="119"/>
      </tp>
      <tp t="e">
        <v>#N/A</v>
        <stp/>
        <stp>BDS|17889055911195019038</stp>
        <tr r="IB5" s="37"/>
      </tp>
      <tp t="e">
        <v>#N/A</v>
        <stp/>
        <stp>BDS|16445792374397733212</stp>
        <tr r="EU5" s="16"/>
      </tp>
      <tp t="e">
        <v>#N/A</v>
        <stp/>
        <stp>BDS|17225980637599324711</stp>
        <tr r="LX5" s="115"/>
      </tp>
      <tp t="e">
        <v>#N/A</v>
        <stp/>
        <stp>BDS|12863442376802000058</stp>
        <tr r="EZ5" s="23"/>
      </tp>
      <tp t="e">
        <v>#N/A</v>
        <stp/>
        <stp>BDS|11224904486034371785</stp>
        <tr r="F5" s="103"/>
      </tp>
      <tp t="e">
        <v>#N/A</v>
        <stp/>
        <stp>BDS|12901023842452747728</stp>
        <tr r="NL5" s="80"/>
      </tp>
      <tp t="e">
        <v>#N/A</v>
        <stp/>
        <stp>BDS|14185344765736557494</stp>
        <tr r="KO5" s="112"/>
      </tp>
      <tp t="e">
        <v>#N/A</v>
        <stp/>
        <stp>BDS|17836465715804317545</stp>
        <tr r="AT5" s="22"/>
      </tp>
      <tp t="e">
        <v>#N/A</v>
        <stp/>
        <stp>BDS|15696184127522135741</stp>
        <tr r="NQ5" s="119"/>
      </tp>
      <tp t="e">
        <v>#N/A</v>
        <stp/>
        <stp>BDS|17225569922556852522</stp>
        <tr r="JP5" s="15"/>
      </tp>
      <tp t="e">
        <v>#N/A</v>
        <stp/>
        <stp>BDS|11126988584302469156</stp>
        <tr r="HH5" s="119"/>
      </tp>
      <tp t="e">
        <v>#N/A</v>
        <stp/>
        <stp>BDS|14863242435346160048</stp>
        <tr r="MR5" s="94"/>
      </tp>
      <tp t="e">
        <v>#N/A</v>
        <stp/>
        <stp>BDS|16775834415909835556</stp>
        <tr r="BS5" s="32"/>
      </tp>
      <tp t="e">
        <v>#N/A</v>
        <stp/>
        <stp>BDS|14992865050318738242</stp>
        <tr r="BD5" s="68"/>
      </tp>
      <tp t="e">
        <v>#N/A</v>
        <stp/>
        <stp>BDS|12532022338106483474</stp>
        <tr r="EP5" s="21"/>
      </tp>
      <tp t="e">
        <v>#N/A</v>
        <stp/>
        <stp>BDS|10271707539535728204</stp>
        <tr r="LS5" s="44"/>
      </tp>
      <tp t="e">
        <v>#N/A</v>
        <stp/>
        <stp>BDS|15847153006183355442</stp>
        <tr r="JK5" s="109"/>
      </tp>
      <tp t="e">
        <v>#N/A</v>
        <stp/>
        <stp>BDS|13664296273425470042</stp>
        <tr r="JU5" s="38"/>
      </tp>
      <tp t="e">
        <v>#N/A</v>
        <stp/>
        <stp>BDS|15201665258123616664</stp>
        <tr r="NQ5" s="95"/>
      </tp>
      <tp t="e">
        <v>#N/A</v>
        <stp/>
        <stp>BDS|11851551101342558552</stp>
        <tr r="AE5" s="63"/>
      </tp>
      <tp t="e">
        <v>#N/A</v>
        <stp/>
        <stp>BDS|11483219779537857086</stp>
        <tr r="P5" s="111"/>
      </tp>
      <tp t="e">
        <v>#N/A</v>
        <stp/>
        <stp>BDS|10947123407596475441</stp>
        <tr r="DG5" s="114"/>
      </tp>
      <tp t="e">
        <v>#N/A</v>
        <stp/>
        <stp>BDS|15500540977906954225</stp>
        <tr r="MR5" s="10"/>
      </tp>
      <tp t="e">
        <v>#N/A</v>
        <stp/>
        <stp>BDS|16492437327855961649</stp>
        <tr r="HC5" s="79"/>
      </tp>
      <tp t="e">
        <v>#N/A</v>
        <stp/>
        <stp>BDS|17576794258183020592</stp>
        <tr r="FO5" s="57"/>
      </tp>
      <tp t="e">
        <v>#N/A</v>
        <stp/>
        <stp>BDS|10155566515980716789</stp>
        <tr r="NB5" s="104"/>
      </tp>
      <tp t="e">
        <v>#N/A</v>
        <stp/>
        <stp>BDS|16469767827353846304</stp>
        <tr r="IL5" s="78"/>
      </tp>
      <tp t="e">
        <v>#N/A</v>
        <stp/>
        <stp>BDS|11832120874033326701</stp>
        <tr r="JA5" s="94"/>
      </tp>
      <tp t="e">
        <v>#N/A</v>
        <stp/>
        <stp>BDS|15333464868471851581</stp>
        <tr r="CM5" s="93"/>
      </tp>
      <tp t="e">
        <v>#N/A</v>
        <stp/>
        <stp>BDS|18084448104086935944</stp>
        <tr r="GI5" s="60"/>
      </tp>
      <tp t="e">
        <v>#N/A</v>
        <stp/>
        <stp>BDS|15649184644532677115</stp>
        <tr r="GD5" s="46"/>
      </tp>
      <tp t="e">
        <v>#N/A</v>
        <stp/>
        <stp>BDS|11897457464027490701</stp>
        <tr r="P5" s="6"/>
      </tp>
      <tp t="e">
        <v>#N/A</v>
        <stp/>
        <stp>BDS|12221953989085561562</stp>
        <tr r="LI5" s="86"/>
      </tp>
      <tp t="e">
        <v>#N/A</v>
        <stp/>
        <stp>BDS|10745788628831924732</stp>
        <tr r="AJ5" s="57"/>
      </tp>
      <tp t="e">
        <v>#N/A</v>
        <stp/>
        <stp>BDS|14485876451409399338</stp>
        <tr r="CM5" s="85"/>
      </tp>
      <tp t="e">
        <v>#N/A</v>
        <stp/>
        <stp>BDS|11631120823745767429</stp>
        <tr r="CH5" s="36"/>
      </tp>
      <tp t="e">
        <v>#N/A</v>
        <stp/>
        <stp>BDS|11607174400425229618</stp>
        <tr r="JU5" s="99"/>
      </tp>
      <tp t="e">
        <v>#N/A</v>
        <stp/>
        <stp>BDS|14407119121856035268</stp>
        <tr r="NQ5" s="1"/>
      </tp>
      <tp t="e">
        <v>#N/A</v>
        <stp/>
        <stp>BDS|11572030382039564339</stp>
        <tr r="AY5" s="30"/>
      </tp>
      <tp t="e">
        <v>#N/A</v>
        <stp/>
        <stp>BDS|15200470963410080443</stp>
        <tr r="JF5" s="36"/>
      </tp>
      <tp t="e">
        <v>#N/A</v>
        <stp/>
        <stp>BDS|17106960716498189423</stp>
        <tr r="BN5" s="79"/>
      </tp>
      <tp t="e">
        <v>#N/A</v>
        <stp/>
        <stp>BDS|11494817376714522945</stp>
        <tr r="AT5" s="2"/>
      </tp>
      <tp t="e">
        <v>#N/A</v>
        <stp/>
        <stp>BDS|17946905112599985501</stp>
        <tr r="LS5" s="99"/>
      </tp>
      <tp t="e">
        <v>#N/A</v>
        <stp/>
        <stp>BDS|10627132450165682215</stp>
        <tr r="NV5" s="101"/>
      </tp>
      <tp t="e">
        <v>#N/A</v>
        <stp/>
        <stp>BDS|16341112251363128205</stp>
        <tr r="CM5" s="11"/>
      </tp>
      <tp t="e">
        <v>#N/A</v>
        <stp/>
        <stp>BDS|12041207413242296039</stp>
        <tr r="BI5" s="107"/>
      </tp>
      <tp t="e">
        <v>#N/A</v>
        <stp/>
        <stp>BDS|15127248097725294825</stp>
        <tr r="HH5" s="77"/>
      </tp>
      <tp t="e">
        <v>#N/A</v>
        <stp/>
        <stp>BDS|17464443730824641748</stp>
        <tr r="IL5" s="92"/>
      </tp>
      <tp t="e">
        <v>#N/A</v>
        <stp/>
        <stp>BDS|11123002825574551430</stp>
        <tr r="DB5" s="23"/>
      </tp>
      <tp t="e">
        <v>#N/A</v>
        <stp/>
        <stp>BDS|11267507386696232944</stp>
        <tr r="AJ5" s="107"/>
      </tp>
      <tp t="e">
        <v>#N/A</v>
        <stp/>
        <stp>BDS|15778382533232954472</stp>
        <tr r="EU5" s="17"/>
      </tp>
      <tp t="e">
        <v>#N/A</v>
        <stp/>
        <stp>BDS|10661197801473419184</stp>
        <tr r="IV5" s="125"/>
      </tp>
      <tp t="e">
        <v>#N/A</v>
        <stp/>
        <stp>BDS|17932356807574014396</stp>
        <tr r="AJ5" s="40"/>
      </tp>
      <tp t="e">
        <v>#N/A</v>
        <stp/>
        <stp>BDS|17011955581050054566</stp>
        <tr r="Z5" s="7"/>
      </tp>
      <tp t="e">
        <v>#N/A</v>
        <stp/>
        <stp>BDS|14048400359884983223</stp>
        <tr r="MR5" s="36"/>
      </tp>
      <tp t="e">
        <v>#N/A</v>
        <stp/>
        <stp>BDS|10253867144477583878</stp>
        <tr r="BS5" s="79"/>
      </tp>
      <tp t="e">
        <v>#N/A</v>
        <stp/>
        <stp>BDS|12832066370714850241</stp>
        <tr r="GS5" s="92"/>
      </tp>
      <tp t="e">
        <v>#N/A</v>
        <stp/>
        <stp>BDS|10975339190131199893</stp>
        <tr r="U5" s="65"/>
      </tp>
      <tp t="e">
        <v>#N/A</v>
        <stp/>
        <stp>BDS|15251017453807482467</stp>
        <tr r="EF5" s="64"/>
      </tp>
      <tp t="e">
        <v>#N/A</v>
        <stp/>
        <stp>BDS|10081620441778439958</stp>
        <tr r="OA5" s="23"/>
      </tp>
      <tp t="e">
        <v>#N/A</v>
        <stp/>
        <stp>BDS|12624454800116950399</stp>
        <tr r="MC5" s="52"/>
      </tp>
      <tp t="e">
        <v>#N/A</v>
        <stp/>
        <stp>BDS|16869662385052094986</stp>
        <tr r="A5" s="96"/>
      </tp>
      <tp t="e">
        <v>#N/A</v>
        <stp/>
        <stp>BDS|11727526491716196860</stp>
        <tr r="EF5" s="91"/>
      </tp>
      <tp t="e">
        <v>#N/A</v>
        <stp/>
        <stp>BDS|14577260609884857113</stp>
        <tr r="NQ5" s="99"/>
      </tp>
      <tp t="e">
        <v>#N/A</v>
        <stp/>
        <stp>BDS|15282906930864375828</stp>
        <tr r="HC5" s="122"/>
      </tp>
      <tp t="e">
        <v>#N/A</v>
        <stp/>
        <stp>BDS|14019528778861106489</stp>
        <tr r="DV5" s="66"/>
      </tp>
      <tp t="e">
        <v>#N/A</v>
        <stp/>
        <stp>BDS|14796761550721481468</stp>
        <tr r="MH5" s="85"/>
      </tp>
      <tp t="e">
        <v>#N/A</v>
        <stp/>
        <stp>BDS|16087562217492553375</stp>
        <tr r="FO5" s="53"/>
      </tp>
      <tp t="e">
        <v>#N/A</v>
        <stp/>
        <stp>BDS|16034522600004698475</stp>
        <tr r="HC5" s="55"/>
      </tp>
      <tp t="e">
        <v>#N/A</v>
        <stp/>
        <stp>BDS|14932934019227482841</stp>
        <tr r="NB5" s="86"/>
      </tp>
      <tp t="e">
        <v>#N/A</v>
        <stp/>
        <stp>BDS|17311341172334673406</stp>
        <tr r="JZ5" s="101"/>
      </tp>
      <tp t="e">
        <v>#N/A</v>
        <stp/>
        <stp>BDS|13236592184744476980</stp>
        <tr r="DV5" s="1"/>
      </tp>
      <tp t="e">
        <v>#N/A</v>
        <stp/>
        <stp>BDS|17743455753481135436</stp>
        <tr r="LN5" s="50"/>
      </tp>
      <tp t="e">
        <v>#N/A</v>
        <stp/>
        <stp>BDS|17663455539340961301</stp>
        <tr r="KT5" s="94"/>
      </tp>
      <tp t="e">
        <v>#N/A</v>
        <stp/>
        <stp>BDS|17551613726477103705</stp>
        <tr r="FJ5" s="48"/>
      </tp>
      <tp t="e">
        <v>#N/A</v>
        <stp/>
        <stp>BDS|16261405607039468821</stp>
        <tr r="BI5" s="96"/>
      </tp>
      <tp t="e">
        <v>#N/A</v>
        <stp/>
        <stp>BDS|11469760552888001804</stp>
        <tr r="BS5" s="102"/>
      </tp>
      <tp t="e">
        <v>#N/A</v>
        <stp/>
        <stp>BDS|11513505102875263250</stp>
        <tr r="MH5" s="57"/>
      </tp>
      <tp t="e">
        <v>#N/A</v>
        <stp/>
        <stp>BDS|14698977130539006414</stp>
        <tr r="BI5" s="55"/>
      </tp>
      <tp t="e">
        <v>#N/A</v>
        <stp/>
        <stp>BDS|14014808813349535767</stp>
        <tr r="FY5" s="84"/>
      </tp>
      <tp t="e">
        <v>#N/A</v>
        <stp/>
        <stp>BDS|16959359063601648190</stp>
        <tr r="NQ5" s="46"/>
      </tp>
      <tp t="e">
        <v>#N/A</v>
        <stp/>
        <stp>BDS|11832952051388549698</stp>
        <tr r="Z5" s="25"/>
      </tp>
      <tp t="e">
        <v>#N/A</v>
        <stp/>
        <stp>BDS|15254205472894121717</stp>
        <tr r="A5" s="110"/>
      </tp>
      <tp t="e">
        <v>#N/A</v>
        <stp/>
        <stp>BDS|12929998896187175670</stp>
        <tr r="F5" s="107"/>
      </tp>
      <tp t="e">
        <v>#N/A</v>
        <stp/>
        <stp>BDS|10469617657356194638</stp>
        <tr r="CH5" s="107"/>
      </tp>
      <tp t="e">
        <v>#N/A</v>
        <stp/>
        <stp>BDS|10226264316381704156</stp>
        <tr r="IQ5" s="56"/>
      </tp>
      <tp t="e">
        <v>#N/A</v>
        <stp/>
        <stp>BDS|11438021933992203378</stp>
        <tr r="BD5" s="22"/>
      </tp>
      <tp t="e">
        <v>#N/A</v>
        <stp/>
        <stp>BDS|13460332264213637657</stp>
        <tr r="CC5" s="48"/>
      </tp>
      <tp t="e">
        <v>#N/A</v>
        <stp/>
        <stp>BDS|15185946615926915897</stp>
        <tr r="AY5" s="119"/>
      </tp>
      <tp t="e">
        <v>#N/A</v>
        <stp/>
        <stp>BDS|17626604533004764520</stp>
        <tr r="DV5" s="25"/>
      </tp>
      <tp t="e">
        <v>#N/A</v>
        <stp/>
        <stp>BDS|12364540124772634452</stp>
        <tr r="LS5" s="122"/>
      </tp>
      <tp t="e">
        <v>#N/A</v>
        <stp/>
        <stp>BDS|16994485704672046359</stp>
        <tr r="DG5" s="43"/>
      </tp>
      <tp t="e">
        <v>#N/A</v>
        <stp/>
        <stp>BDS|11080924762899402441</stp>
        <tr r="OA5" s="54"/>
      </tp>
      <tp t="e">
        <v>#N/A</v>
        <stp/>
        <stp>BDS|15988295422520382615</stp>
        <tr r="F5" s="17"/>
      </tp>
      <tp t="e">
        <v>#N/A</v>
        <stp/>
        <stp>BDS|13471546162183357011</stp>
        <tr r="AY5" s="7"/>
      </tp>
      <tp t="e">
        <v>#N/A</v>
        <stp/>
        <stp>BDS|16209402581758226113</stp>
        <tr r="DB5" s="33"/>
      </tp>
      <tp t="e">
        <v>#N/A</v>
        <stp/>
        <stp>BDS|10227179744287190104</stp>
        <tr r="OF5" s="102"/>
      </tp>
      <tp t="e">
        <v>#N/A</v>
        <stp/>
        <stp>BDS|16406760739225900426</stp>
        <tr r="LI5" s="40"/>
      </tp>
      <tp t="e">
        <v>#N/A</v>
        <stp/>
        <stp>BDS|16100883297932629693</stp>
        <tr r="AO5" s="95"/>
      </tp>
      <tp t="e">
        <v>#N/A</v>
        <stp/>
        <stp>BDS|16019731504816496428</stp>
        <tr r="GN5" s="106"/>
      </tp>
      <tp t="e">
        <v>#N/A</v>
        <stp/>
        <stp>BDS|14604218565391336207</stp>
        <tr r="Z5" s="14"/>
      </tp>
      <tp t="e">
        <v>#N/A</v>
        <stp/>
        <stp>BDS|11179689576711914277</stp>
        <tr r="BI5" s="83"/>
      </tp>
      <tp t="e">
        <v>#N/A</v>
        <stp/>
        <stp>BDS|16491054722111101633</stp>
        <tr r="JU5" s="80"/>
      </tp>
      <tp t="e">
        <v>#N/A</v>
        <stp/>
        <stp>BDS|13324174380690563908</stp>
        <tr r="GS5" s="103"/>
      </tp>
      <tp t="e">
        <v>#N/A</v>
        <stp/>
        <stp>BDS|13790545065381135262</stp>
        <tr r="KO5" s="15"/>
      </tp>
      <tp t="e">
        <v>#N/A</v>
        <stp/>
        <stp>BDS|16819214012406996036</stp>
        <tr r="BN5" s="36"/>
      </tp>
      <tp t="e">
        <v>#N/A</v>
        <stp/>
        <stp>BDS|12031152502603115378</stp>
        <tr r="JP5" s="85"/>
      </tp>
      <tp t="e">
        <v>#N/A</v>
        <stp/>
        <stp>BDS|13443797634275062189</stp>
        <tr r="LX5" s="43"/>
      </tp>
      <tp t="e">
        <v>#N/A</v>
        <stp/>
        <stp>BDS|12767478520575336226</stp>
        <tr r="DV5" s="107"/>
      </tp>
      <tp t="e">
        <v>#N/A</v>
        <stp/>
        <stp>BDS|17016337961018132926</stp>
        <tr r="K5" s="111"/>
      </tp>
      <tp t="e">
        <v>#N/A</v>
        <stp/>
        <stp>BDS|17564816191795350071</stp>
        <tr r="LN5" s="112"/>
      </tp>
      <tp t="e">
        <v>#N/A</v>
        <stp/>
        <stp>BDS|11806519399808923680</stp>
        <tr r="KY5" s="81"/>
      </tp>
      <tp t="e">
        <v>#N/A</v>
        <stp/>
        <stp>BDS|15522255563722635040</stp>
        <tr r="NV5" s="85"/>
      </tp>
      <tp t="e">
        <v>#N/A</v>
        <stp/>
        <stp>BDS|17491092338154502318</stp>
        <tr r="LI5" s="19"/>
      </tp>
      <tp t="e">
        <v>#N/A</v>
        <stp/>
        <stp>BDS|14024064355491418361</stp>
        <tr r="BS5" s="26"/>
      </tp>
      <tp t="e">
        <v>#N/A</v>
        <stp/>
        <stp>BDS|14978103330902948718</stp>
        <tr r="IQ5" s="121"/>
      </tp>
      <tp t="e">
        <v>#N/A</v>
        <stp/>
        <stp>BDS|12729558122945524341</stp>
        <tr r="JA5" s="90"/>
      </tp>
      <tp t="e">
        <v>#N/A</v>
        <stp/>
        <stp>BDS|17498496079120672739</stp>
        <tr r="AY5" s="89"/>
      </tp>
      <tp t="e">
        <v>#N/A</v>
        <stp/>
        <stp>BDS|14652187479727212644</stp>
        <tr r="LS5" s="15"/>
      </tp>
      <tp t="e">
        <v>#N/A</v>
        <stp/>
        <stp>BDS|14094806880661298637</stp>
        <tr r="LD5" s="68"/>
      </tp>
      <tp t="e">
        <v>#N/A</v>
        <stp/>
        <stp>BDS|14009321654725493439</stp>
        <tr r="GI5" s="121"/>
      </tp>
      <tp t="e">
        <v>#N/A</v>
        <stp/>
        <stp>BDS|13016673194719443665</stp>
        <tr r="GN5" s="21"/>
      </tp>
      <tp t="e">
        <v>#N/A</v>
        <stp/>
        <stp>BDS|18117497621969971461</stp>
        <tr r="EZ5" s="11"/>
      </tp>
      <tp t="e">
        <v>#N/A</v>
        <stp/>
        <stp>BDS|10951905749449050768</stp>
        <tr r="BX5" s="20"/>
      </tp>
      <tp t="e">
        <v>#N/A</v>
        <stp/>
        <stp>BDS|16334058775402538004</stp>
        <tr r="GX5" s="58"/>
      </tp>
      <tp t="e">
        <v>#N/A</v>
        <stp/>
        <stp>BDS|10516245026877120406</stp>
        <tr r="P5" s="125"/>
      </tp>
      <tp t="e">
        <v>#N/A</v>
        <stp/>
        <stp>BDS|12434336320074281435</stp>
        <tr r="AT5" s="76"/>
      </tp>
      <tp t="e">
        <v>#N/A</v>
        <stp/>
        <stp>BDS|17080259094146790904</stp>
        <tr r="NV5" s="11"/>
      </tp>
      <tp t="e">
        <v>#N/A</v>
        <stp/>
        <stp>BDS|14091098968279686817</stp>
        <tr r="KO5" s="26"/>
      </tp>
      <tp t="e">
        <v>#N/A</v>
        <stp/>
        <stp>BDS|12615530536226279178</stp>
        <tr r="DL5" s="110"/>
      </tp>
      <tp t="e">
        <v>#N/A</v>
        <stp/>
        <stp>BDS|15086123532771465526</stp>
        <tr r="MH5" s="29"/>
      </tp>
      <tp t="e">
        <v>#N/A</v>
        <stp/>
        <stp>BDS|16095254001897232004</stp>
        <tr r="JU5" s="108"/>
      </tp>
      <tp t="e">
        <v>#N/A</v>
        <stp/>
        <stp>BDS|11816904051816892876</stp>
        <tr r="NQ5" s="63"/>
      </tp>
      <tp t="e">
        <v>#N/A</v>
        <stp/>
        <stp>BDS|18211367290076124736</stp>
        <tr r="GX5" s="106"/>
      </tp>
      <tp t="e">
        <v>#N/A</v>
        <stp/>
        <stp>BDS|16398176421974410276</stp>
        <tr r="JF5" s="123"/>
      </tp>
      <tp t="e">
        <v>#N/A</v>
        <stp/>
        <stp>BDS|15973535102496911576</stp>
        <tr r="EZ5" s="83"/>
      </tp>
      <tp t="e">
        <v>#N/A</v>
        <stp/>
        <stp>BDS|11714048891859541215</stp>
        <tr r="HW5" s="75"/>
      </tp>
      <tp t="e">
        <v>#N/A</v>
        <stp/>
        <stp>BDS|15285521036845679561</stp>
        <tr r="EP5" s="49"/>
      </tp>
      <tp t="e">
        <v>#N/A</v>
        <stp/>
        <stp>BDS|10328335866501861782</stp>
        <tr r="HM5" s="1"/>
      </tp>
      <tp t="e">
        <v>#N/A</v>
        <stp/>
        <stp>BDS|13629216564157246375</stp>
        <tr r="FT5" s="76"/>
      </tp>
      <tp t="e">
        <v>#N/A</v>
        <stp/>
        <stp>BDS|13778656041581077357</stp>
        <tr r="JK5" s="61"/>
      </tp>
      <tp t="e">
        <v>#N/A</v>
        <stp/>
        <stp>BDS|16460329586727244956</stp>
        <tr r="AO5" s="33"/>
      </tp>
      <tp t="e">
        <v>#N/A</v>
        <stp/>
        <stp>BDS|10182707555711675057</stp>
        <tr r="BS5" s="3"/>
      </tp>
      <tp t="e">
        <v>#N/A</v>
        <stp/>
        <stp>BDS|16515506067997364166</stp>
        <tr r="LS5" s="41"/>
      </tp>
      <tp t="e">
        <v>#N/A</v>
        <stp/>
        <stp>BDS|14081554362422346632</stp>
        <tr r="EZ5" s="21"/>
      </tp>
      <tp t="e">
        <v>#N/A</v>
        <stp/>
        <stp>BDS|18202877734327598730</stp>
        <tr r="MH5" s="13"/>
      </tp>
      <tp t="e">
        <v>#N/A</v>
        <stp/>
        <stp>BDS|16718506104372286261</stp>
        <tr r="DQ5" s="64"/>
      </tp>
      <tp t="e">
        <v>#N/A</v>
        <stp/>
        <stp>BDS|13323690449637417508</stp>
        <tr r="AT5" s="7"/>
      </tp>
      <tp t="e">
        <v>#N/A</v>
        <stp/>
        <stp>BDS|15511321035987065153</stp>
        <tr r="GS5" s="85"/>
      </tp>
      <tp t="e">
        <v>#N/A</v>
        <stp/>
        <stp>BDS|10116979381477722572</stp>
        <tr r="FJ5" s="41"/>
      </tp>
      <tp t="e">
        <v>#N/A</v>
        <stp/>
        <stp>BDS|13294762314926618010</stp>
        <tr r="Z5" s="12"/>
      </tp>
      <tp t="e">
        <v>#N/A</v>
        <stp/>
        <stp>BDS|11513814790687699459</stp>
        <tr r="EZ5" s="2"/>
      </tp>
      <tp t="e">
        <v>#N/A</v>
        <stp/>
        <stp>BDS|11323495469721063145</stp>
        <tr r="CR5" s="109"/>
      </tp>
      <tp t="e">
        <v>#N/A</v>
        <stp/>
        <stp>BDS|11016031766413643743</stp>
        <tr r="DL5" s="43"/>
      </tp>
      <tp t="e">
        <v>#N/A</v>
        <stp/>
        <stp>BDS|15740621156970597514</stp>
        <tr r="HC5" s="51"/>
      </tp>
      <tp t="e">
        <v>#N/A</v>
        <stp/>
        <stp>BDS|11779731576466479414</stp>
        <tr r="BX5" s="101"/>
      </tp>
      <tp t="e">
        <v>#N/A</v>
        <stp/>
        <stp>BDS|10667664879623715193</stp>
        <tr r="K5" s="39"/>
      </tp>
      <tp t="e">
        <v>#N/A</v>
        <stp/>
        <stp>BDS|13404258251751494630</stp>
        <tr r="GX5" s="33"/>
      </tp>
      <tp t="e">
        <v>#N/A</v>
        <stp/>
        <stp>BDS|11675130920701131036</stp>
        <tr r="MC5" s="11"/>
      </tp>
      <tp t="e">
        <v>#N/A</v>
        <stp/>
        <stp>BDS|13869181057117312332</stp>
        <tr r="OF5" s="24"/>
      </tp>
      <tp t="e">
        <v>#N/A</v>
        <stp/>
        <stp>BDS|17268910276609381323</stp>
        <tr r="LX5" s="111"/>
      </tp>
      <tp t="e">
        <v>#N/A</v>
        <stp/>
        <stp>BDS|16579707625224099440</stp>
        <tr r="NV5" s="81"/>
      </tp>
      <tp t="e">
        <v>#N/A</v>
        <stp/>
        <stp>BDS|10229877577445422929</stp>
        <tr r="IG5" s="114"/>
      </tp>
      <tp t="e">
        <v>#N/A</v>
        <stp/>
        <stp>BDS|10397011849110681798</stp>
        <tr r="CH5" s="2"/>
      </tp>
      <tp t="e">
        <v>#N/A</v>
        <stp/>
        <stp>BDS|14143013628164982156</stp>
        <tr r="AY5" s="81"/>
      </tp>
      <tp t="e">
        <v>#N/A</v>
        <stp/>
        <stp>BDS|12136043876666380041</stp>
        <tr r="BD5" s="28"/>
      </tp>
      <tp t="e">
        <v>#N/A</v>
        <stp/>
        <stp>BDS|17297304561098021973</stp>
        <tr r="IL5" s="50"/>
      </tp>
      <tp t="e">
        <v>#N/A</v>
        <stp/>
        <stp>BDS|10656828845737148842</stp>
        <tr r="Z5" s="50"/>
      </tp>
      <tp t="e">
        <v>#N/A</v>
        <stp/>
        <stp>BDS|17056931067212736976</stp>
        <tr r="EZ5" s="106"/>
      </tp>
      <tp t="e">
        <v>#N/A</v>
        <stp/>
        <stp>BDS|12877449213652893632</stp>
        <tr r="KE5" s="68"/>
      </tp>
      <tp t="e">
        <v>#N/A</v>
        <stp/>
        <stp>BDS|16038078183954775975</stp>
        <tr r="NQ5" s="66"/>
      </tp>
      <tp t="e">
        <v>#N/A</v>
        <stp/>
        <stp>BDS|17242508743602137749</stp>
        <tr r="CH5" s="76"/>
      </tp>
      <tp t="e">
        <v>#N/A</v>
        <stp/>
        <stp>BDS|16410068076872049003</stp>
        <tr r="BI5" s="30"/>
      </tp>
      <tp t="e">
        <v>#N/A</v>
        <stp/>
        <stp>BDS|17889758764554435190</stp>
        <tr r="OF5" s="52"/>
      </tp>
      <tp t="e">
        <v>#N/A</v>
        <stp/>
        <stp>BDS|15260352683559566451</stp>
        <tr r="DG5" s="85"/>
      </tp>
      <tp t="e">
        <v>#N/A</v>
        <stp/>
        <stp>BDS|11128374397760294863</stp>
        <tr r="HR5" s="48"/>
      </tp>
      <tp t="e">
        <v>#N/A</v>
        <stp/>
        <stp>BDS|15620328022560603754</stp>
        <tr r="CW5" s="77"/>
      </tp>
      <tp t="e">
        <v>#N/A</v>
        <stp/>
        <stp>BDS|15499149600197288073</stp>
        <tr r="DQ5" s="115"/>
        <tr r="MM5" s="108"/>
      </tp>
      <tp t="e">
        <v>#N/A</v>
        <stp/>
        <stp>BDS|15636312429363389483</stp>
        <tr r="BS5" s="58"/>
      </tp>
      <tp t="e">
        <v>#N/A</v>
        <stp/>
        <stp>BDS|11987246948380947490</stp>
        <tr r="FE5" s="69"/>
      </tp>
      <tp t="e">
        <v>#N/A</v>
        <stp/>
        <stp>BDS|15136510706987129421</stp>
        <tr r="GD5" s="4"/>
      </tp>
      <tp t="e">
        <v>#N/A</v>
        <stp/>
        <stp>BDS|18181941104627253562</stp>
        <tr r="IL5" s="101"/>
      </tp>
      <tp t="e">
        <v>#N/A</v>
        <stp/>
        <stp>BDS|11140056533176291702</stp>
        <tr r="HH5" s="19"/>
      </tp>
      <tp t="e">
        <v>#N/A</v>
        <stp/>
        <stp>BDS|11429436031353208618</stp>
        <tr r="DG5" s="101"/>
      </tp>
      <tp t="e">
        <v>#N/A</v>
        <stp/>
        <stp>BDS|16388663315401007351</stp>
        <tr r="NL5" s="112"/>
      </tp>
      <tp t="e">
        <v>#N/A</v>
        <stp/>
        <stp>BDS|18414627626497550809</stp>
        <tr r="IB5" s="95"/>
      </tp>
      <tp t="e">
        <v>#N/A</v>
        <stp/>
        <stp>BDS|10617039273074005035</stp>
        <tr r="AY5" s="116"/>
      </tp>
      <tp t="e">
        <v>#N/A</v>
        <stp/>
        <stp>BDS|15135936252788162246</stp>
        <tr r="CH5" s="116"/>
      </tp>
      <tp t="e">
        <v>#N/A</v>
        <stp/>
        <stp>BDS|13365244937280189149</stp>
        <tr r="Z5" s="67"/>
      </tp>
      <tp t="e">
        <v>#N/A</v>
        <stp/>
        <stp>BDS|15147517731209619921</stp>
        <tr r="HM5" s="45"/>
      </tp>
      <tp t="e">
        <v>#N/A</v>
        <stp/>
        <stp>BDS|11812690653114246555</stp>
        <tr r="HM5" s="122"/>
      </tp>
      <tp t="e">
        <v>#N/A</v>
        <stp/>
        <stp>BDS|17791179978707505587</stp>
        <tr r="MC5" s="97"/>
      </tp>
      <tp t="e">
        <v>#N/A</v>
        <stp/>
        <stp>BDS|13946130844357210296</stp>
        <tr r="NQ5" s="64"/>
      </tp>
      <tp t="e">
        <v>#N/A</v>
        <stp/>
        <stp>BDS|15903752195271594999</stp>
        <tr r="AT5" s="43"/>
      </tp>
      <tp t="e">
        <v>#N/A</v>
        <stp/>
        <stp>BDS|14185529015311046236</stp>
        <tr r="CH5" s="97"/>
      </tp>
      <tp t="e">
        <v>#N/A</v>
        <stp/>
        <stp>BDS|13207810161087645913</stp>
        <tr r="FO5" s="63"/>
      </tp>
      <tp t="e">
        <v>#N/A</v>
        <stp/>
        <stp>BDS|12525516799165015880</stp>
        <tr r="JZ5" s="9"/>
      </tp>
      <tp t="e">
        <v>#N/A</v>
        <stp/>
        <stp>BDS|10792099852825163077</stp>
        <tr r="MR5" s="59"/>
      </tp>
      <tp t="e">
        <v>#N/A</v>
        <stp/>
        <stp>BDS|14130341097669084784</stp>
        <tr r="FJ5" s="66"/>
      </tp>
      <tp t="e">
        <v>#N/A</v>
        <stp/>
        <stp>BDS|14195581652487302323</stp>
        <tr r="KE5" s="42"/>
      </tp>
      <tp t="e">
        <v>#N/A</v>
        <stp/>
        <stp>BDS|16932307314410682417</stp>
        <tr r="NB5" s="7"/>
      </tp>
      <tp t="e">
        <v>#N/A</v>
        <stp/>
        <stp>BDS|17782239542143442288</stp>
        <tr r="JP5" s="28"/>
      </tp>
      <tp t="e">
        <v>#N/A</v>
        <stp/>
        <stp>BDS|17544780437855486648</stp>
        <tr r="JP5" s="57"/>
      </tp>
      <tp t="e">
        <v>#N/A</v>
        <stp/>
        <stp>BDS|16202624718591521070</stp>
        <tr r="A5" s="101"/>
      </tp>
      <tp t="e">
        <v>#N/A</v>
        <stp/>
        <stp>BDS|12129722021964833309</stp>
        <tr r="FJ5" s="3"/>
      </tp>
      <tp t="e">
        <v>#N/A</v>
        <stp/>
        <stp>BDS|10329372253143803553</stp>
        <tr r="NV5" s="72"/>
      </tp>
      <tp t="e">
        <v>#N/A</v>
        <stp/>
        <stp>BDS|15907104314947794206</stp>
        <tr r="BN5" s="60"/>
      </tp>
      <tp t="e">
        <v>#N/A</v>
        <stp/>
        <stp>BDS|17090489237660017050</stp>
        <tr r="BI5" s="41"/>
      </tp>
      <tp t="e">
        <v>#N/A</v>
        <stp/>
        <stp>BDS|12406998805072783954</stp>
        <tr r="DL5" s="88"/>
      </tp>
      <tp t="e">
        <v>#N/A</v>
        <stp/>
        <stp>BDS|13808237109645867403</stp>
        <tr r="JP5" s="91"/>
      </tp>
      <tp t="e">
        <v>#N/A</v>
        <stp/>
        <stp>BDS|11081499543905542458</stp>
        <tr r="LS5" s="51"/>
      </tp>
      <tp t="e">
        <v>#N/A</v>
        <stp/>
        <stp>BDS|17704343842721368199</stp>
        <tr r="MR5" s="118"/>
      </tp>
      <tp t="e">
        <v>#N/A</v>
        <stp/>
        <stp>BDS|16477662649951525555</stp>
        <tr r="EA5" s="115"/>
      </tp>
      <tp t="e">
        <v>#N/A</v>
        <stp/>
        <stp>BDS|10587093417029124813</stp>
        <tr r="AE5" s="91"/>
      </tp>
      <tp t="e">
        <v>#N/A</v>
        <stp/>
        <stp>BDS|14743470058031196424</stp>
        <tr r="KY5" s="46"/>
      </tp>
      <tp t="e">
        <v>#N/A</v>
        <stp/>
        <stp>BDS|14254579377072902405</stp>
        <tr r="MH5" s="101"/>
      </tp>
      <tp t="e">
        <v>#N/A</v>
        <stp/>
        <stp>BDS|17959184163516953609</stp>
        <tr r="BD5" s="39"/>
      </tp>
      <tp t="e">
        <v>#N/A</v>
        <stp/>
        <stp>BDS|13900455106801644671</stp>
        <tr r="HR5" s="97"/>
      </tp>
      <tp t="e">
        <v>#N/A</v>
        <stp/>
        <stp>BDS|12668691934411147618</stp>
        <tr r="DQ5" s="108"/>
      </tp>
      <tp t="e">
        <v>#N/A</v>
        <stp/>
        <stp>BDS|17518771267314989274</stp>
        <tr r="AO5" s="73"/>
      </tp>
      <tp t="e">
        <v>#N/A</v>
        <stp/>
        <stp>BDS|17870782162776864019</stp>
        <tr r="GX5" s="86"/>
      </tp>
      <tp t="e">
        <v>#N/A</v>
        <stp/>
        <stp>BDS|16963438410152876199</stp>
        <tr r="KJ5" s="71"/>
      </tp>
      <tp t="e">
        <v>#N/A</v>
        <stp/>
        <stp>BDS|11702094610686573605</stp>
        <tr r="K5" s="37"/>
      </tp>
      <tp t="e">
        <v>#N/A</v>
        <stp/>
        <stp>BDS|11358331923603978315</stp>
        <tr r="KO5" s="95"/>
      </tp>
      <tp t="e">
        <v>#N/A</v>
        <stp/>
        <stp>BDS|14994308069584979524</stp>
        <tr r="JA5" s="28"/>
      </tp>
      <tp t="e">
        <v>#N/A</v>
        <stp/>
        <stp>BDS|17006553791573982869</stp>
        <tr r="P5" s="47"/>
      </tp>
      <tp t="e">
        <v>#N/A</v>
        <stp/>
        <stp>BDS|11912101105607344745</stp>
        <tr r="KO5" s="83"/>
      </tp>
      <tp t="e">
        <v>#N/A</v>
        <stp/>
        <stp>BDS|17095226402963817631</stp>
        <tr r="HW5" s="109"/>
      </tp>
      <tp t="e">
        <v>#N/A</v>
        <stp/>
        <stp>BDS|11694889097009726954</stp>
        <tr r="KO5" s="16"/>
      </tp>
      <tp t="e">
        <v>#N/A</v>
        <stp/>
        <stp>BDS|12932269927770082230</stp>
        <tr r="MR5" s="90"/>
      </tp>
      <tp t="e">
        <v>#N/A</v>
        <stp/>
        <stp>BDS|15554187302267118355</stp>
        <tr r="K5" s="13"/>
      </tp>
      <tp t="e">
        <v>#N/A</v>
        <stp/>
        <stp>BDS|11143893603568225124</stp>
        <tr r="AE5" s="36"/>
      </tp>
      <tp t="e">
        <v>#N/A</v>
        <stp/>
        <stp>BDS|11001186837957154461</stp>
        <tr r="K5" s="67"/>
      </tp>
      <tp t="e">
        <v>#N/A</v>
        <stp/>
        <stp>BDS|10091044190411973855</stp>
        <tr r="EU5" s="8"/>
      </tp>
      <tp t="e">
        <v>#N/A</v>
        <stp/>
        <stp>BDS|13691737906574335086</stp>
        <tr r="DV5" s="119"/>
      </tp>
      <tp t="e">
        <v>#N/A</v>
        <stp/>
        <stp>BDS|17001294232592499476</stp>
        <tr r="JA5" s="80"/>
      </tp>
      <tp t="e">
        <v>#N/A</v>
        <stp/>
        <stp>BDS|16548498062006633202</stp>
        <tr r="HM5" s="33"/>
      </tp>
      <tp t="e">
        <v>#N/A</v>
        <stp/>
        <stp>BDS|12599556643143854037</stp>
        <tr r="EP5" s="64"/>
      </tp>
      <tp t="e">
        <v>#N/A</v>
        <stp/>
        <stp>BDS|16290010718063325409</stp>
        <tr r="IB5" s="27"/>
      </tp>
      <tp t="e">
        <v>#N/A</v>
        <stp/>
        <stp>BDS|11506298426073081221</stp>
        <tr r="AO5" s="10"/>
      </tp>
      <tp t="e">
        <v>#N/A</v>
        <stp/>
        <stp>BDS|18041440788047158351</stp>
        <tr r="AY5" s="55"/>
      </tp>
      <tp t="e">
        <v>#N/A</v>
        <stp/>
        <stp>BDS|11055437431426252083</stp>
        <tr r="FT5" s="10"/>
      </tp>
      <tp t="e">
        <v>#N/A</v>
        <stp/>
        <stp>BDS|13317534617192915563</stp>
        <tr r="AO5" s="31"/>
      </tp>
      <tp t="e">
        <v>#N/A</v>
        <stp/>
        <stp>BDS|15235466910175857547</stp>
        <tr r="U5" s="113"/>
      </tp>
      <tp t="e">
        <v>#N/A</v>
        <stp/>
        <stp>BDS|10714134596088298089</stp>
        <tr r="HW5" s="15"/>
      </tp>
      <tp t="e">
        <v>#N/A</v>
        <stp/>
        <stp>BDS|11518745914955584280</stp>
        <tr r="MR5" s="56"/>
      </tp>
      <tp t="e">
        <v>#N/A</v>
        <stp/>
        <stp>BDS|11029489626914500336</stp>
        <tr r="IV5" s="78"/>
      </tp>
      <tp t="e">
        <v>#N/A</v>
        <stp/>
        <stp>BDS|10915780002896858127</stp>
        <tr r="NL5" s="33"/>
      </tp>
      <tp t="e">
        <v>#N/A</v>
        <stp/>
        <stp>BDS|15784415411041942172</stp>
        <tr r="BN5" s="31"/>
      </tp>
      <tp t="e">
        <v>#N/A</v>
        <stp/>
        <stp>BDS|12994727861705135620</stp>
        <tr r="BX5" s="30"/>
      </tp>
      <tp t="e">
        <v>#N/A</v>
        <stp/>
        <stp>BDS|13994225413702638272</stp>
        <tr r="BD5" s="101"/>
      </tp>
      <tp t="e">
        <v>#N/A</v>
        <stp/>
        <stp>BDS|17883195623534303082</stp>
        <tr r="BI5" s="85"/>
      </tp>
      <tp t="e">
        <v>#N/A</v>
        <stp/>
        <stp>BDS|14730742429247584661</stp>
        <tr r="KY5" s="48"/>
      </tp>
      <tp t="e">
        <v>#N/A</v>
        <stp/>
        <stp>BDS|13875661525614133339</stp>
        <tr r="DV5" s="96"/>
      </tp>
      <tp t="e">
        <v>#N/A</v>
        <stp/>
        <stp>BDS|15130690251475163318</stp>
        <tr r="KT5" s="125"/>
      </tp>
      <tp t="e">
        <v>#N/A</v>
        <stp/>
        <stp>BDS|13219824754987565983</stp>
        <tr r="OA5" s="46"/>
      </tp>
      <tp t="e">
        <v>#N/A</v>
        <stp/>
        <stp>BDS|15236392137912686738</stp>
        <tr r="CC5" s="35"/>
      </tp>
      <tp t="e">
        <v>#N/A</v>
        <stp/>
        <stp>BDS|13847228417973629328</stp>
        <tr r="FE5" s="121"/>
      </tp>
      <tp t="e">
        <v>#N/A</v>
        <stp/>
        <stp>BDS|15214454321911919263</stp>
        <tr r="BS5" s="69"/>
      </tp>
      <tp t="e">
        <v>#N/A</v>
        <stp/>
        <stp>BDS|11575562781268297490</stp>
        <tr r="LI5" s="112"/>
      </tp>
      <tp t="e">
        <v>#N/A</v>
        <stp/>
        <stp>BDS|15868918190663700674</stp>
        <tr r="P5" s="42"/>
      </tp>
      <tp t="e">
        <v>#N/A</v>
        <stp/>
        <stp>BDS|13389468932244762097</stp>
        <tr r="LX5" s="38"/>
      </tp>
      <tp t="e">
        <v>#N/A</v>
        <stp/>
        <stp>BDS|16151236088445470972</stp>
        <tr r="LS5" s="95"/>
      </tp>
      <tp t="e">
        <v>#N/A</v>
        <stp/>
        <stp>BDS|15702352500850824638</stp>
        <tr r="A5" s="69"/>
      </tp>
      <tp t="e">
        <v>#N/A</v>
        <stp/>
        <stp>BDS|17572689807689484877</stp>
        <tr r="MR5" s="64"/>
      </tp>
      <tp t="e">
        <v>#N/A</v>
        <stp/>
        <stp>BDS|18254309529051399811</stp>
        <tr r="BD5" s="118"/>
      </tp>
      <tp t="e">
        <v>#N/A</v>
        <stp/>
        <stp>BDS|15979281457571865371</stp>
        <tr r="LX5" s="90"/>
      </tp>
      <tp t="e">
        <v>#N/A</v>
        <stp/>
        <stp>BDS|15332497440086697359</stp>
        <tr r="FE5" s="116"/>
      </tp>
      <tp t="e">
        <v>#N/A</v>
        <stp/>
        <stp>BDS|14958614230494856594</stp>
        <tr r="GS5" s="90"/>
      </tp>
      <tp t="e">
        <v>#N/A</v>
        <stp/>
        <stp>BDS|17553334908302195611</stp>
        <tr r="MM5" s="61"/>
      </tp>
      <tp t="e">
        <v>#N/A</v>
        <stp/>
        <stp>BDS|13430426165787435698</stp>
        <tr r="FO5" s="83"/>
      </tp>
      <tp t="e">
        <v>#N/A</v>
        <stp/>
        <stp>BDS|11555468715191046580</stp>
        <tr r="JK5" s="27"/>
      </tp>
      <tp t="e">
        <v>#N/A</v>
        <stp/>
        <stp>BDS|12680780222297435064</stp>
        <tr r="LX5" s="6"/>
      </tp>
      <tp t="e">
        <v>#N/A</v>
        <stp/>
        <stp>BDS|17702500398868047310</stp>
        <tr r="AJ5" s="114"/>
      </tp>
      <tp t="e">
        <v>#N/A</v>
        <stp/>
        <stp>BDS|14501434810988182999</stp>
        <tr r="JA5" s="67"/>
      </tp>
      <tp t="e">
        <v>#N/A</v>
        <stp/>
        <stp>BDS|12886158974273085779</stp>
        <tr r="JZ5" s="54"/>
      </tp>
      <tp t="e">
        <v>#N/A</v>
        <stp/>
        <stp>BDS|14055777835002826243</stp>
        <tr r="FJ5" s="95"/>
      </tp>
      <tp t="e">
        <v>#N/A</v>
        <stp/>
        <stp>BDS|17057420043863761488</stp>
        <tr r="NL5" s="42"/>
      </tp>
      <tp t="e">
        <v>#N/A</v>
        <stp/>
        <stp>BDS|18158152189647118627</stp>
        <tr r="DV5" s="12"/>
      </tp>
      <tp t="e">
        <v>#N/A</v>
        <stp/>
        <stp>BDS|10232520279366056471</stp>
        <tr r="IQ5" s="100"/>
      </tp>
      <tp t="e">
        <v>#N/A</v>
        <stp/>
        <stp>BDS|14045760841460918705</stp>
        <tr r="LD5" s="11"/>
      </tp>
      <tp t="e">
        <v>#N/A</v>
        <stp/>
        <stp>BDS|11808871315668042058</stp>
        <tr r="NQ5" s="116"/>
      </tp>
      <tp t="e">
        <v>#N/A</v>
        <stp/>
        <stp>BDS|16623188547856598530</stp>
        <tr r="AT5" s="53"/>
      </tp>
      <tp t="e">
        <v>#N/A</v>
        <stp/>
        <stp>BDS|18357924367901841617</stp>
        <tr r="CR5" s="106"/>
      </tp>
      <tp t="e">
        <v>#N/A</v>
        <stp/>
        <stp>BDS|11461472056324869428</stp>
        <tr r="IG5" s="3"/>
      </tp>
      <tp t="e">
        <v>#N/A</v>
        <stp/>
        <stp>BDS|18226858302743835327</stp>
        <tr r="MM5" s="24"/>
      </tp>
      <tp t="e">
        <v>#N/A</v>
        <stp/>
        <stp>BDS|13691147839567529616</stp>
        <tr r="JZ5" s="67"/>
        <tr r="EP5" s="28"/>
      </tp>
      <tp t="e">
        <v>#N/A</v>
        <stp/>
        <stp>BDS|15175948878612650941</stp>
        <tr r="GI5" s="4"/>
      </tp>
      <tp t="e">
        <v>#N/A</v>
        <stp/>
        <stp>BDS|14894070530685227220</stp>
        <tr r="HM5" s="65"/>
      </tp>
      <tp t="e">
        <v>#N/A</v>
        <stp/>
        <stp>BDS|17751664749220572529</stp>
        <tr r="EZ5" s="50"/>
      </tp>
      <tp t="e">
        <v>#N/A</v>
        <stp/>
        <stp>BDS|13184014951154749294</stp>
        <tr r="JA5" s="106"/>
      </tp>
      <tp t="e">
        <v>#N/A</v>
        <stp/>
        <stp>BDS|15234833195247393386</stp>
        <tr r="OA5" s="29"/>
      </tp>
      <tp t="e">
        <v>#N/A</v>
        <stp/>
        <stp>BDS|11051050159984722042</stp>
        <tr r="Z5" s="15"/>
      </tp>
      <tp t="e">
        <v>#N/A</v>
        <stp/>
        <stp>BDS|11947794931397868266</stp>
        <tr r="CM5" s="44"/>
      </tp>
      <tp t="e">
        <v>#N/A</v>
        <stp/>
        <stp>BDS|14315056338947453059</stp>
        <tr r="GI5" s="68"/>
      </tp>
      <tp t="e">
        <v>#N/A</v>
        <stp/>
        <stp>BDS|14921120501471422416</stp>
        <tr r="FO5" s="69"/>
      </tp>
      <tp t="e">
        <v>#N/A</v>
        <stp/>
        <stp>BDS|16630446344560178687</stp>
        <tr r="MH5" s="68"/>
      </tp>
      <tp t="e">
        <v>#N/A</v>
        <stp/>
        <stp>BDS|16312180953306429436</stp>
        <tr r="NB5" s="40"/>
      </tp>
      <tp t="e">
        <v>#N/A</v>
        <stp/>
        <stp>BDS|17348815681682903553</stp>
        <tr r="NV5" s="59"/>
      </tp>
      <tp t="e">
        <v>#N/A</v>
        <stp/>
        <stp>BDS|16418795060816841193</stp>
        <tr r="EF5" s="16"/>
      </tp>
      <tp t="e">
        <v>#N/A</v>
        <stp/>
        <stp>BDS|16700413222172980211</stp>
        <tr r="AJ5" s="44"/>
      </tp>
      <tp t="e">
        <v>#N/A</v>
        <stp/>
        <stp>BDS|10408887718760194993</stp>
        <tr r="FT5" s="123"/>
      </tp>
      <tp t="e">
        <v>#N/A</v>
        <stp/>
        <stp>BDS|16353293234431784650</stp>
        <tr r="DV5" s="122"/>
      </tp>
      <tp t="e">
        <v>#N/A</v>
        <stp/>
        <stp>BDS|17156545940372988401</stp>
        <tr r="GN5" s="27"/>
      </tp>
      <tp t="e">
        <v>#N/A</v>
        <stp/>
        <stp>BDS|13218666346791821068</stp>
        <tr r="BI5" s="73"/>
      </tp>
      <tp t="e">
        <v>#N/A</v>
        <stp/>
        <stp>BDS|14170882664342295833</stp>
        <tr r="FT5" s="110"/>
      </tp>
      <tp t="e">
        <v>#N/A</v>
        <stp/>
        <stp>BDS|15742822769603644868</stp>
        <tr r="JK5" s="35"/>
      </tp>
      <tp t="e">
        <v>#N/A</v>
        <stp/>
        <stp>BDS|15601055482778532582</stp>
        <tr r="BI5" s="39"/>
      </tp>
      <tp t="e">
        <v>#N/A</v>
        <stp/>
        <stp>BDS|13195400113923645587</stp>
        <tr r="FE5" s="80"/>
      </tp>
      <tp t="e">
        <v>#N/A</v>
        <stp/>
        <stp>BDS|15984371807464196245</stp>
        <tr r="P5" s="28"/>
      </tp>
      <tp t="e">
        <v>#N/A</v>
        <stp/>
        <stp>BDS|14821041440516731674</stp>
        <tr r="EA5" s="51"/>
      </tp>
      <tp t="e">
        <v>#N/A</v>
        <stp/>
        <stp>BDS|10373423470630534381</stp>
        <tr r="NQ5" s="61"/>
      </tp>
      <tp t="e">
        <v>#N/A</v>
        <stp/>
        <stp>BDS|17993918753669504221</stp>
        <tr r="OF5" s="120"/>
      </tp>
      <tp t="e">
        <v>#N/A</v>
        <stp/>
        <stp>BDS|11476883934489666320</stp>
        <tr r="LD5" s="107"/>
      </tp>
      <tp t="e">
        <v>#N/A</v>
        <stp/>
        <stp>BDS|14544670208221568335</stp>
        <tr r="GN5" s="9"/>
      </tp>
      <tp t="e">
        <v>#N/A</v>
        <stp/>
        <stp>BDS|12930195927744802534</stp>
        <tr r="IQ5" s="7"/>
      </tp>
      <tp t="e">
        <v>#N/A</v>
        <stp/>
        <stp>BDS|16741483887448713237</stp>
        <tr r="A5" s="57"/>
      </tp>
      <tp t="e">
        <v>#N/A</v>
        <stp/>
        <stp>BDS|15708132758997559645</stp>
        <tr r="FJ5" s="26"/>
      </tp>
      <tp t="e">
        <v>#N/A</v>
        <stp/>
        <stp>BDS|14469820476032447990</stp>
        <tr r="AJ5" s="74"/>
      </tp>
      <tp t="e">
        <v>#N/A</v>
        <stp/>
        <stp>BDS|15440953328507065946</stp>
        <tr r="EZ5" s="61"/>
      </tp>
      <tp t="e">
        <v>#N/A</v>
        <stp/>
        <stp>BDS|15853040902480113522</stp>
        <tr r="CM5" s="57"/>
      </tp>
      <tp t="e">
        <v>#N/A</v>
        <stp/>
        <stp>BDS|13725837290791869315</stp>
        <tr r="OF5" s="6"/>
      </tp>
      <tp t="e">
        <v>#N/A</v>
        <stp/>
        <stp>BDS|17068611825047872410</stp>
        <tr r="NL5" s="106"/>
      </tp>
      <tp t="e">
        <v>#N/A</v>
        <stp/>
        <stp>BDS|15890704004755097713</stp>
        <tr r="HW5" s="13"/>
      </tp>
      <tp t="e">
        <v>#N/A</v>
        <stp/>
        <stp>BDS|14243807098840185564</stp>
        <tr r="EP5" s="84"/>
      </tp>
      <tp t="e">
        <v>#N/A</v>
        <stp/>
        <stp>BDS|18012086824582470853</stp>
        <tr r="JP5" s="33"/>
      </tp>
      <tp t="e">
        <v>#N/A</v>
        <stp/>
        <stp>BDS|10049060146207401393</stp>
        <tr r="MC5" s="36"/>
      </tp>
      <tp t="e">
        <v>#N/A</v>
        <stp/>
        <stp>BDS|17737866733404927866</stp>
        <tr r="MH5" s="49"/>
      </tp>
      <tp t="e">
        <v>#N/A</v>
        <stp/>
        <stp>BDS|15955577035137120474</stp>
        <tr r="HM5" s="53"/>
      </tp>
      <tp t="e">
        <v>#N/A</v>
        <stp/>
        <stp>BDS|10411846047359385599</stp>
        <tr r="GS5" s="66"/>
      </tp>
      <tp t="e">
        <v>#N/A</v>
        <stp/>
        <stp>BDS|16795391505611229448</stp>
        <tr r="IG5" s="108"/>
      </tp>
      <tp t="e">
        <v>#N/A</v>
        <stp/>
        <stp>BDS|10695434343623450305</stp>
        <tr r="CW5" s="96"/>
      </tp>
      <tp t="e">
        <v>#N/A</v>
        <stp/>
        <stp>BDS|17229757762797107168</stp>
        <tr r="NG5" s="82"/>
      </tp>
      <tp t="e">
        <v>#N/A</v>
        <stp/>
        <stp>BDS|16059380379654192623</stp>
        <tr r="BX5" s="29"/>
      </tp>
      <tp t="e">
        <v>#N/A</v>
        <stp/>
        <stp>BDS|15361539575765528223</stp>
        <tr r="OA5" s="38"/>
      </tp>
      <tp t="e">
        <v>#N/A</v>
        <stp/>
        <stp>BDS|17062981139969634454</stp>
        <tr r="A5" s="93"/>
      </tp>
      <tp t="e">
        <v>#N/A</v>
        <stp/>
        <stp>BDS|13673029948010769791</stp>
        <tr r="IV5" s="15"/>
      </tp>
      <tp t="e">
        <v>#N/A</v>
        <stp/>
        <stp>BDS|16193311586384661925</stp>
        <tr r="JA5" s="87"/>
      </tp>
      <tp t="e">
        <v>#N/A</v>
        <stp/>
        <stp>BDS|14120616573262668778</stp>
        <tr r="CM5" s="55"/>
      </tp>
      <tp t="e">
        <v>#N/A</v>
        <stp/>
        <stp>BDS|16452702083131771829</stp>
        <tr r="JK5" s="79"/>
      </tp>
      <tp t="e">
        <v>#N/A</v>
        <stp/>
        <stp>BDS|10682874226413304966</stp>
        <tr r="FO5" s="66"/>
      </tp>
      <tp t="e">
        <v>#N/A</v>
        <stp/>
        <stp>BDS|15012123705167286375</stp>
        <tr r="IG5" s="19"/>
      </tp>
      <tp t="e">
        <v>#N/A</v>
        <stp/>
        <stp>BDS|11185902943565818980</stp>
        <tr r="IG5" s="94"/>
      </tp>
      <tp t="e">
        <v>#N/A</v>
        <stp/>
        <stp>BDS|11915092550616515279</stp>
        <tr r="BD5" s="110"/>
      </tp>
      <tp t="e">
        <v>#N/A</v>
        <stp/>
        <stp>BDS|12356744204722896792</stp>
        <tr r="P5" s="51"/>
      </tp>
      <tp t="e">
        <v>#N/A</v>
        <stp/>
        <stp>BDS|11383505923541056721</stp>
        <tr r="GD5" s="34"/>
      </tp>
      <tp t="e">
        <v>#N/A</v>
        <stp/>
        <stp>BDS|17507627012679074975</stp>
        <tr r="LS5" s="75"/>
      </tp>
      <tp t="e">
        <v>#N/A</v>
        <stp/>
        <stp>BDS|12262033133603850285</stp>
        <tr r="CR5" s="46"/>
      </tp>
      <tp t="e">
        <v>#N/A</v>
        <stp/>
        <stp>BDS|17519878960500676969</stp>
        <tr r="F5" s="11"/>
      </tp>
      <tp t="e">
        <v>#N/A</v>
        <stp/>
        <stp>BDS|11368628124642590720</stp>
        <tr r="Z5" s="57"/>
      </tp>
      <tp t="e">
        <v>#N/A</v>
        <stp/>
        <stp>BDS|12850696028103863535</stp>
        <tr r="LS5" s="63"/>
      </tp>
      <tp t="e">
        <v>#N/A</v>
        <stp/>
        <stp>BDS|18124170193683235357</stp>
        <tr r="DQ5" s="61"/>
      </tp>
      <tp t="e">
        <v>#N/A</v>
        <stp/>
        <stp>BDS|13813061289052017951</stp>
        <tr r="JU5" s="13"/>
      </tp>
      <tp t="e">
        <v>#N/A</v>
        <stp/>
        <stp>BDS|11104226748797965001</stp>
        <tr r="JU5" s="122"/>
      </tp>
      <tp t="e">
        <v>#N/A</v>
        <stp/>
        <stp>BDS|14017193430792225491</stp>
        <tr r="LD5" s="45"/>
      </tp>
      <tp t="e">
        <v>#N/A</v>
        <stp/>
        <stp>BDS|18206605297081303643</stp>
        <tr r="HH5" s="20"/>
      </tp>
      <tp t="e">
        <v>#N/A</v>
        <stp/>
        <stp>BDS|12187378405839592847</stp>
        <tr r="JF5" s="114"/>
      </tp>
      <tp t="e">
        <v>#N/A</v>
        <stp/>
        <stp>BDS|11623399323447790793</stp>
        <tr r="AO5" s="24"/>
      </tp>
      <tp t="e">
        <v>#N/A</v>
        <stp/>
        <stp>BDS|14662373634463603715</stp>
        <tr r="BX5" s="117"/>
      </tp>
      <tp t="e">
        <v>#N/A</v>
        <stp/>
        <stp>BDS|13159069582293669802</stp>
        <tr r="EU5" s="24"/>
      </tp>
      <tp t="e">
        <v>#N/A</v>
        <stp/>
        <stp>BDS|12557106810881318350</stp>
        <tr r="U5" s="41"/>
      </tp>
      <tp t="e">
        <v>#N/A</v>
        <stp/>
        <stp>BDS|14330764677971353523</stp>
        <tr r="NB5" s="43"/>
      </tp>
      <tp t="e">
        <v>#N/A</v>
        <stp/>
        <stp>BDS|15275162901186428229</stp>
        <tr r="BI5" s="116"/>
      </tp>
      <tp t="e">
        <v>#N/A</v>
        <stp/>
        <stp>BDS|17181676853027500331</stp>
        <tr r="IQ5" s="59"/>
      </tp>
      <tp t="e">
        <v>#N/A</v>
        <stp/>
        <stp>BDS|11062088967481926657</stp>
        <tr r="GN5" s="64"/>
      </tp>
      <tp t="e">
        <v>#N/A</v>
        <stp/>
        <stp>BDS|15654331146780960298</stp>
        <tr r="GI5" s="18"/>
      </tp>
      <tp t="e">
        <v>#N/A</v>
        <stp/>
        <stp>BDS|17629612017807434776</stp>
        <tr r="LN5" s="53"/>
      </tp>
      <tp t="e">
        <v>#N/A</v>
        <stp/>
        <stp>BDS|11276179947462848693</stp>
        <tr r="DV5" s="53"/>
      </tp>
      <tp t="e">
        <v>#N/A</v>
        <stp/>
        <stp>BDS|11303012021221811282</stp>
        <tr r="LD5" s="73"/>
      </tp>
      <tp t="e">
        <v>#N/A</v>
        <stp/>
        <stp>BDS|11685421167684582756</stp>
        <tr r="BN5" s="87"/>
      </tp>
      <tp t="e">
        <v>#N/A</v>
        <stp/>
        <stp>BDS|13436751575622642111</stp>
        <tr r="EP5" s="53"/>
      </tp>
      <tp t="e">
        <v>#N/A</v>
        <stp/>
        <stp>BDS|13370717512551572463</stp>
        <tr r="GD5" s="75"/>
      </tp>
      <tp t="e">
        <v>#N/A</v>
        <stp/>
        <stp>BDS|17360791351364962112</stp>
        <tr r="GS5" s="33"/>
      </tp>
      <tp t="e">
        <v>#N/A</v>
        <stp/>
        <stp>BDS|16865181055461545337</stp>
        <tr r="LS5" s="111"/>
      </tp>
      <tp t="e">
        <v>#N/A</v>
        <stp/>
        <stp>BDS|10479123902654041571</stp>
        <tr r="IV5" s="92"/>
      </tp>
      <tp t="e">
        <v>#N/A</v>
        <stp/>
        <stp>BDS|14948014601276327296</stp>
        <tr r="CC5" s="101"/>
      </tp>
      <tp t="e">
        <v>#N/A</v>
        <stp/>
        <stp>BDS|11335770790509435633</stp>
        <tr r="CR5" s="65"/>
      </tp>
      <tp t="e">
        <v>#N/A</v>
        <stp/>
        <stp>BDS|10106285567381438590</stp>
        <tr r="FY5" s="63"/>
      </tp>
      <tp t="e">
        <v>#N/A</v>
        <stp/>
        <stp>BDS|14287372230994172070</stp>
        <tr r="MC5" s="27"/>
      </tp>
      <tp t="e">
        <v>#N/A</v>
        <stp/>
        <stp>BDS|14879401308435107526</stp>
        <tr r="KT5" s="80"/>
      </tp>
      <tp t="e">
        <v>#N/A</v>
        <stp/>
        <stp>BDS|16024850083687588108</stp>
        <tr r="LS5" s="69"/>
      </tp>
      <tp t="e">
        <v>#N/A</v>
        <stp/>
        <stp>BDS|17656836400417099855</stp>
        <tr r="LI5" s="39"/>
      </tp>
      <tp t="e">
        <v>#N/A</v>
        <stp/>
        <stp>BDS|15518673220849502870</stp>
        <tr r="KE5" s="32"/>
      </tp>
      <tp t="e">
        <v>#N/A</v>
        <stp/>
        <stp>BDS|17191918205226528808</stp>
        <tr r="HH5" s="75"/>
      </tp>
      <tp t="e">
        <v>#N/A</v>
        <stp/>
        <stp>BDS|17282712841510343412</stp>
        <tr r="FJ5" s="78"/>
      </tp>
      <tp t="e">
        <v>#N/A</v>
        <stp/>
        <stp>BDS|14751370739915818115</stp>
        <tr r="P5" s="2"/>
      </tp>
      <tp t="e">
        <v>#N/A</v>
        <stp/>
        <stp>BDS|17280777031605608626</stp>
        <tr r="AJ5" s="11"/>
      </tp>
      <tp t="e">
        <v>#N/A</v>
        <stp/>
        <stp>BDS|12717011085602731849</stp>
        <tr r="F5" s="85"/>
      </tp>
      <tp t="e">
        <v>#N/A</v>
        <stp/>
        <stp>BDS|16705067593258419767</stp>
        <tr r="AJ5" s="21"/>
      </tp>
      <tp t="e">
        <v>#N/A</v>
        <stp/>
        <stp>BDS|11304006970464462277</stp>
        <tr r="MR5" s="115"/>
      </tp>
      <tp t="e">
        <v>#N/A</v>
        <stp/>
        <stp>BDS|13241324080439952192</stp>
        <tr r="BX5" s="37"/>
      </tp>
      <tp t="e">
        <v>#N/A</v>
        <stp/>
        <stp>BDS|11831397762151120525</stp>
        <tr r="JK5" s="105"/>
      </tp>
      <tp t="e">
        <v>#N/A</v>
        <stp/>
        <stp>BDS|16328294144833870368</stp>
        <tr r="BX5" s="61"/>
      </tp>
      <tp t="e">
        <v>#N/A</v>
        <stp/>
        <stp>BDS|14394621662936515261</stp>
        <tr r="DQ5" s="65"/>
      </tp>
      <tp t="e">
        <v>#N/A</v>
        <stp/>
        <stp>BDS|14196003603604191034</stp>
        <tr r="MC5" s="34"/>
      </tp>
      <tp t="e">
        <v>#N/A</v>
        <stp/>
        <stp>BDS|13212604946912187354</stp>
        <tr r="MH5" s="40"/>
      </tp>
      <tp t="e">
        <v>#N/A</v>
        <stp/>
        <stp>BDS|11745893256699817500</stp>
        <tr r="GD5" s="58"/>
      </tp>
      <tp t="e">
        <v>#N/A</v>
        <stp/>
        <stp>BDS|16449820902098316672</stp>
        <tr r="AY5" s="17"/>
      </tp>
      <tp t="e">
        <v>#N/A</v>
        <stp/>
        <stp>BDS|10573421941096027662</stp>
        <tr r="GS5" s="43"/>
      </tp>
      <tp t="e">
        <v>#N/A</v>
        <stp/>
        <stp>BDS|13717029140964771320</stp>
        <tr r="DV5" s="20"/>
      </tp>
      <tp t="e">
        <v>#N/A</v>
        <stp/>
        <stp>BDS|17872759169624591217</stp>
        <tr r="DV5" s="29"/>
      </tp>
      <tp t="e">
        <v>#N/A</v>
        <stp/>
        <stp>BDS|17581345271841249225</stp>
        <tr r="DV5" s="93"/>
        <tr r="EP5" s="45"/>
      </tp>
      <tp t="e">
        <v>#N/A</v>
        <stp/>
        <stp>BDS|12409513167416701753</stp>
        <tr r="HR5" s="1"/>
      </tp>
      <tp t="e">
        <v>#N/A</v>
        <stp/>
        <stp>BDS|10101934627499733239</stp>
        <tr r="FO5" s="91"/>
      </tp>
      <tp t="e">
        <v>#N/A</v>
        <stp/>
        <stp>BDS|14915684073602528768</stp>
        <tr r="HW5" s="66"/>
      </tp>
      <tp t="e">
        <v>#N/A</v>
        <stp/>
        <stp>BDS|10740811575016347918</stp>
        <tr r="DL5" s="60"/>
      </tp>
      <tp t="e">
        <v>#N/A</v>
        <stp/>
        <stp>BDS|16292556751422675415</stp>
        <tr r="BS5" s="1"/>
      </tp>
      <tp t="e">
        <v>#N/A</v>
        <stp/>
        <stp>BDS|16946108864791935054</stp>
        <tr r="GX5" s="7"/>
      </tp>
      <tp t="e">
        <v>#N/A</v>
        <stp/>
        <stp>BDS|12055180863505979034</stp>
        <tr r="EA5" s="93"/>
      </tp>
      <tp t="e">
        <v>#N/A</v>
        <stp/>
        <stp>BDS|16374174370085688539</stp>
        <tr r="AO5" s="17"/>
      </tp>
      <tp t="e">
        <v>#N/A</v>
        <stp/>
        <stp>BDS|13889458288596566913</stp>
        <tr r="DQ5" s="58"/>
      </tp>
      <tp t="e">
        <v>#N/A</v>
        <stp/>
        <stp>BDS|15502461393318153007</stp>
        <tr r="EA5" s="64"/>
      </tp>
      <tp t="e">
        <v>#N/A</v>
        <stp/>
        <stp>BDS|15895274027183986602</stp>
        <tr r="KE5" s="113"/>
      </tp>
      <tp t="e">
        <v>#N/A</v>
        <stp/>
        <stp>BDS|18324842410066363750</stp>
        <tr r="U5" s="7"/>
      </tp>
      <tp t="e">
        <v>#N/A</v>
        <stp/>
        <stp>BDS|16507391918607642337</stp>
        <tr r="GS5" s="114"/>
      </tp>
      <tp t="e">
        <v>#N/A</v>
        <stp/>
        <stp>BDS|11111359022388196866</stp>
        <tr r="DQ5" s="56"/>
      </tp>
      <tp t="e">
        <v>#N/A</v>
        <stp/>
        <stp>BDS|15708628030590214068</stp>
        <tr r="AJ5" s="73"/>
      </tp>
      <tp t="e">
        <v>#N/A</v>
        <stp/>
        <stp>BDS|10526701770541749149</stp>
        <tr r="FT5" s="49"/>
      </tp>
      <tp t="e">
        <v>#N/A</v>
        <stp/>
        <stp>BDS|13807497335383785757</stp>
        <tr r="KJ5" s="42"/>
      </tp>
      <tp t="e">
        <v>#N/A</v>
        <stp/>
        <stp>BDS|15446429237264635617</stp>
        <tr r="AY5" s="9"/>
      </tp>
      <tp t="e">
        <v>#N/A</v>
        <stp/>
        <stp>BDS|14224228318672621584</stp>
        <tr r="BX5" s="116"/>
      </tp>
      <tp t="e">
        <v>#N/A</v>
        <stp/>
        <stp>BDS|15499274314694493258</stp>
        <tr r="JP5" s="98"/>
      </tp>
      <tp t="e">
        <v>#N/A</v>
        <stp/>
        <stp>BDS|16667502301195153609</stp>
        <tr r="K5" s="73"/>
      </tp>
      <tp t="e">
        <v>#N/A</v>
        <stp/>
        <stp>BDS|15635608390543977990</stp>
        <tr r="KE5" s="26"/>
      </tp>
      <tp t="e">
        <v>#N/A</v>
        <stp/>
        <stp>BDS|16306546763420132539</stp>
        <tr r="BD5" s="99"/>
      </tp>
      <tp t="e">
        <v>#N/A</v>
        <stp/>
        <stp>BDS|11175622290856741827</stp>
        <tr r="JZ5" s="19"/>
      </tp>
      <tp t="e">
        <v>#N/A</v>
        <stp/>
        <stp>BDS|11974334250976479181</stp>
        <tr r="BD5" s="114"/>
      </tp>
      <tp t="e">
        <v>#N/A</v>
        <stp/>
        <stp>BDS|11689275353574695223</stp>
        <tr r="CW5" s="60"/>
      </tp>
      <tp t="e">
        <v>#N/A</v>
        <stp/>
        <stp>BDS|18419908418172800228</stp>
        <tr r="HR5" s="78"/>
      </tp>
      <tp t="e">
        <v>#N/A</v>
        <stp/>
        <stp>BDS|15273680042654797398</stp>
        <tr r="IG5" s="103"/>
      </tp>
      <tp t="e">
        <v>#N/A</v>
        <stp/>
        <stp>BDS|13816804781502781188</stp>
        <tr r="AY5" s="27"/>
      </tp>
      <tp t="e">
        <v>#N/A</v>
        <stp/>
        <stp>BDS|10681406172900102330</stp>
        <tr r="JZ5" s="80"/>
      </tp>
      <tp t="e">
        <v>#N/A</v>
        <stp/>
        <stp>BDS|15774338266838147854</stp>
        <tr r="FO5" s="32"/>
      </tp>
      <tp t="e">
        <v>#N/A</v>
        <stp/>
        <stp>BDS|10241595642773868275</stp>
        <tr r="JF5" s="19"/>
      </tp>
      <tp t="e">
        <v>#N/A</v>
        <stp/>
        <stp>BDS|12320885859726351970</stp>
        <tr r="CM5" s="104"/>
      </tp>
      <tp t="e">
        <v>#N/A</v>
        <stp/>
        <stp>BDS|14482992394606607298</stp>
        <tr r="CM5" s="18"/>
      </tp>
      <tp t="e">
        <v>#N/A</v>
        <stp/>
        <stp>BDS|18095410385480745442</stp>
        <tr r="EU5" s="70"/>
      </tp>
      <tp t="e">
        <v>#N/A</v>
        <stp/>
        <stp>BDS|12821690974080205309</stp>
        <tr r="MR5" s="123"/>
      </tp>
      <tp t="e">
        <v>#N/A</v>
        <stp/>
        <stp>BDS|17186509207873320120</stp>
        <tr r="GI5" s="11"/>
      </tp>
      <tp t="e">
        <v>#N/A</v>
        <stp/>
        <stp>BDS|12686270864447143132</stp>
        <tr r="GS5" s="75"/>
      </tp>
      <tp t="e">
        <v>#N/A</v>
        <stp/>
        <stp>BDS|14488532868096926111</stp>
        <tr r="A5" s="108"/>
      </tp>
      <tp t="e">
        <v>#N/A</v>
        <stp/>
        <stp>BDS|17708866324365297802</stp>
        <tr r="HH5" s="91"/>
      </tp>
      <tp t="e">
        <v>#N/A</v>
        <stp/>
        <stp>BDS|11426371361283091755</stp>
        <tr r="KO5" s="102"/>
      </tp>
      <tp t="e">
        <v>#N/A</v>
        <stp/>
        <stp>BDS|18220834044895522171</stp>
        <tr r="KJ5" s="90"/>
      </tp>
      <tp t="e">
        <v>#N/A</v>
        <stp/>
        <stp>BDS|16756364943184359569</stp>
        <tr r="DB5" s="83"/>
      </tp>
      <tp t="e">
        <v>#N/A</v>
        <stp/>
        <stp>BDS|15037114850674093564</stp>
        <tr r="DB5" s="63"/>
      </tp>
      <tp t="e">
        <v>#N/A</v>
        <stp/>
        <stp>BDS|16680520371367496361</stp>
        <tr r="FY5" s="73"/>
      </tp>
      <tp t="e">
        <v>#N/A</v>
        <stp/>
        <stp>BDS|12234289768017398161</stp>
        <tr r="JK5" s="86"/>
      </tp>
      <tp t="e">
        <v>#N/A</v>
        <stp/>
        <stp>BDS|17835784440442442635</stp>
        <tr r="CC5" s="64"/>
      </tp>
      <tp t="e">
        <v>#N/A</v>
        <stp/>
        <stp>BDS|14118084249238429837</stp>
        <tr r="IQ5" s="70"/>
      </tp>
      <tp t="e">
        <v>#N/A</v>
        <stp/>
        <stp>BDS|10190118932675362760</stp>
        <tr r="JZ5" s="53"/>
      </tp>
      <tp t="e">
        <v>#N/A</v>
        <stp/>
        <stp>BDS|10395129921241156266</stp>
        <tr r="LS5" s="24"/>
      </tp>
      <tp t="e">
        <v>#N/A</v>
        <stp/>
        <stp>BDS|12763616957864205549</stp>
        <tr r="DB5" s="20"/>
      </tp>
      <tp t="e">
        <v>#N/A</v>
        <stp/>
        <stp>BDS|12544423717494149366</stp>
        <tr r="OA5" s="21"/>
      </tp>
      <tp t="e">
        <v>#N/A</v>
        <stp/>
        <stp>BDS|11093002926793154009</stp>
        <tr r="CH5" s="93"/>
      </tp>
      <tp t="e">
        <v>#N/A</v>
        <stp/>
        <stp>BDS|13649328232682535149</stp>
        <tr r="IV5" s="17"/>
      </tp>
      <tp t="e">
        <v>#N/A</v>
        <stp/>
        <stp>BDS|13570779971962306170</stp>
        <tr r="AJ5" s="81"/>
      </tp>
      <tp t="e">
        <v>#N/A</v>
        <stp/>
        <stp>BDS|17600142116227533066</stp>
        <tr r="LI5" s="35"/>
      </tp>
      <tp t="e">
        <v>#N/A</v>
        <stp/>
        <stp>BDS|10385976173289572760</stp>
        <tr r="AJ5" s="124"/>
      </tp>
      <tp t="e">
        <v>#N/A</v>
        <stp/>
        <stp>BDS|17654314723293001509</stp>
        <tr r="IQ5" s="78"/>
      </tp>
      <tp t="e">
        <v>#N/A</v>
        <stp/>
        <stp>BDS|13576773472656503518</stp>
        <tr r="NQ5" s="28"/>
      </tp>
      <tp t="e">
        <v>#N/A</v>
        <stp/>
        <stp>BDS|15042695523820762195</stp>
        <tr r="KJ5" s="64"/>
      </tp>
      <tp t="e">
        <v>#N/A</v>
        <stp/>
        <stp>BDS|11991951338538212325</stp>
        <tr r="IL5" s="107"/>
      </tp>
      <tp t="e">
        <v>#N/A</v>
        <stp/>
        <stp>BDS|14495817685576177254</stp>
        <tr r="AE5" s="60"/>
      </tp>
      <tp t="e">
        <v>#N/A</v>
        <stp/>
        <stp>BDS|11748343167585790175</stp>
        <tr r="OF5" s="12"/>
      </tp>
      <tp t="e">
        <v>#N/A</v>
        <stp/>
        <stp>BDS|16543307032135461378</stp>
        <tr r="JP5" s="106"/>
      </tp>
      <tp t="e">
        <v>#N/A</v>
        <stp/>
        <stp>BDS|17903771144302780699</stp>
        <tr r="GS5" s="88"/>
      </tp>
      <tp t="e">
        <v>#N/A</v>
        <stp/>
        <stp>BDS|11418057751547549315</stp>
        <tr r="JF5" s="106"/>
      </tp>
      <tp t="e">
        <v>#N/A</v>
        <stp/>
        <stp>BDS|14659862030757571816</stp>
        <tr r="JA5" s="97"/>
      </tp>
      <tp t="e">
        <v>#N/A</v>
        <stp/>
        <stp>BDS|16182709282438024176</stp>
        <tr r="CR5" s="105"/>
      </tp>
      <tp t="e">
        <v>#N/A</v>
        <stp/>
        <stp>BDS|12467190798299148300</stp>
        <tr r="DV5" s="112"/>
      </tp>
      <tp t="e">
        <v>#N/A</v>
        <stp/>
        <stp>BDS|17969721943327960352</stp>
        <tr r="CM5" s="114"/>
      </tp>
      <tp t="e">
        <v>#N/A</v>
        <stp/>
        <stp>BDS|12621164575147178307</stp>
        <tr r="HC5" s="63"/>
      </tp>
      <tp t="e">
        <v>#N/A</v>
        <stp/>
        <stp>BDS|16017534795049589378</stp>
        <tr r="CH5" s="30"/>
      </tp>
      <tp t="e">
        <v>#N/A</v>
        <stp/>
        <stp>BDS|14850945139638908683</stp>
        <tr r="K5" s="110"/>
      </tp>
      <tp t="e">
        <v>#N/A</v>
        <stp/>
        <stp>BDS|17345854785080031777</stp>
        <tr r="CM5" s="120"/>
      </tp>
      <tp t="e">
        <v>#N/A</v>
        <stp/>
        <stp>BDS|17140072634622204644</stp>
        <tr r="MM5" s="55"/>
      </tp>
      <tp t="e">
        <v>#N/A</v>
        <stp/>
        <stp>BDS|13658142553172683525</stp>
        <tr r="EF5" s="121"/>
      </tp>
      <tp t="e">
        <v>#N/A</v>
        <stp/>
        <stp>BDS|16185124697369730767</stp>
        <tr r="LN5" s="13"/>
      </tp>
      <tp t="e">
        <v>#N/A</v>
        <stp/>
        <stp>BDS|16288286739281160671</stp>
        <tr r="NL5" s="76"/>
      </tp>
      <tp t="e">
        <v>#N/A</v>
        <stp/>
        <stp>BDS|14071968592061700564</stp>
        <tr r="EA5" s="96"/>
      </tp>
      <tp t="e">
        <v>#N/A</v>
        <stp/>
        <stp>BDS|10807133526821917213</stp>
        <tr r="K5" s="56"/>
      </tp>
      <tp t="e">
        <v>#N/A</v>
        <stp/>
        <stp>BDS|13512306404031518118</stp>
        <tr r="OF5" s="122"/>
      </tp>
      <tp t="e">
        <v>#N/A</v>
        <stp/>
        <stp>BDS|11338925961109734727</stp>
        <tr r="AE5" s="65"/>
      </tp>
      <tp t="e">
        <v>#N/A</v>
        <stp/>
        <stp>BDS|16254024764353697378</stp>
        <tr r="BS5" s="81"/>
      </tp>
      <tp t="e">
        <v>#N/A</v>
        <stp/>
        <stp>BDS|14903685671240202574</stp>
        <tr r="EK5" s="119"/>
      </tp>
      <tp t="e">
        <v>#N/A</v>
        <stp/>
        <stp>BDS|15545169431840778700</stp>
        <tr r="FE5" s="55"/>
      </tp>
      <tp t="e">
        <v>#N/A</v>
        <stp/>
        <stp>BDS|14414801285714624024</stp>
        <tr r="KE5" s="114"/>
      </tp>
      <tp t="e">
        <v>#N/A</v>
        <stp/>
        <stp>BDS|10329469335244278379</stp>
        <tr r="LN5" s="72"/>
      </tp>
      <tp t="e">
        <v>#N/A</v>
        <stp/>
        <stp>BDS|15804943555989889045</stp>
        <tr r="IQ5" s="51"/>
      </tp>
      <tp t="e">
        <v>#N/A</v>
        <stp/>
        <stp>BDS|12475362477520816687</stp>
        <tr r="JK5" s="60"/>
      </tp>
      <tp t="e">
        <v>#N/A</v>
        <stp/>
        <stp>BDS|13063459089009082693</stp>
        <tr r="GN5" s="42"/>
      </tp>
      <tp t="e">
        <v>#N/A</v>
        <stp/>
        <stp>BDS|13020317344126791279</stp>
        <tr r="MH5" s="45"/>
      </tp>
      <tp t="e">
        <v>#N/A</v>
        <stp/>
        <stp>BDS|10700047158862548640</stp>
        <tr r="KJ5" s="105"/>
      </tp>
      <tp t="e">
        <v>#N/A</v>
        <stp/>
        <stp>BDS|17809022160446587655</stp>
        <tr r="GI5" s="45"/>
      </tp>
      <tp t="e">
        <v>#N/A</v>
        <stp/>
        <stp>BDS|16749604667251887620</stp>
        <tr r="FE5" s="15"/>
      </tp>
      <tp t="e">
        <v>#N/A</v>
        <stp/>
        <stp>BDS|10108473224046912118</stp>
        <tr r="JF5" s="95"/>
      </tp>
      <tp t="e">
        <v>#N/A</v>
        <stp/>
        <stp>BDS|17266064563727476798</stp>
        <tr r="EP5" s="29"/>
      </tp>
      <tp t="e">
        <v>#N/A</v>
        <stp/>
        <stp>BDS|10349171102533584390</stp>
        <tr r="FJ5" s="56"/>
      </tp>
      <tp t="e">
        <v>#N/A</v>
        <stp/>
        <stp>BDS|16306336182668918419</stp>
        <tr r="HM5" s="99"/>
      </tp>
      <tp t="e">
        <v>#N/A</v>
        <stp/>
        <stp>BDS|14908277101953516407</stp>
        <tr r="JP5" s="17"/>
      </tp>
      <tp t="e">
        <v>#N/A</v>
        <stp/>
        <stp>BDS|12979519230221513472</stp>
        <tr r="EF5" s="125"/>
      </tp>
      <tp t="e">
        <v>#N/A</v>
        <stp/>
        <stp>BDS|17503860158899566243</stp>
        <tr r="HH5" s="125"/>
      </tp>
      <tp t="e">
        <v>#N/A</v>
        <stp/>
        <stp>BDS|13534493013680629739</stp>
        <tr r="DV5" s="121"/>
      </tp>
      <tp t="e">
        <v>#N/A</v>
        <stp/>
        <stp>BDS|10684240891979849319</stp>
        <tr r="U5" s="3"/>
      </tp>
      <tp t="e">
        <v>#N/A</v>
        <stp/>
        <stp>BDS|10774577045375716581</stp>
        <tr r="EF5" s="54"/>
      </tp>
      <tp t="e">
        <v>#N/A</v>
        <stp/>
        <stp>BDS|15150231979803489257</stp>
        <tr r="BI5" s="87"/>
      </tp>
      <tp t="e">
        <v>#N/A</v>
        <stp/>
        <stp>BDS|12044303139251102226</stp>
        <tr r="NL5" s="7"/>
      </tp>
      <tp t="e">
        <v>#N/A</v>
        <stp/>
        <stp>BDS|15487771929459444848</stp>
        <tr r="MH5" s="99"/>
      </tp>
      <tp t="e">
        <v>#N/A</v>
        <stp/>
        <stp>BDS|16318259518867780339</stp>
        <tr r="LX5" s="66"/>
      </tp>
      <tp t="e">
        <v>#N/A</v>
        <stp/>
        <stp>BDS|15767670220456239681</stp>
        <tr r="KO5" s="58"/>
      </tp>
      <tp t="e">
        <v>#N/A</v>
        <stp/>
        <stp>BDS|13543713948697603601</stp>
        <tr r="AY5" s="11"/>
      </tp>
      <tp t="e">
        <v>#N/A</v>
        <stp/>
        <stp>BDS|16339149660186497692</stp>
        <tr r="LS5" s="30"/>
      </tp>
      <tp t="e">
        <v>#N/A</v>
        <stp/>
        <stp>BDS|15118142057538883809</stp>
        <tr r="K5" s="71"/>
      </tp>
      <tp t="e">
        <v>#N/A</v>
        <stp/>
        <stp>BDS|11824376445202858585</stp>
        <tr r="JP5" s="29"/>
      </tp>
      <tp t="e">
        <v>#N/A</v>
        <stp/>
        <stp>BDS|15483421318911343072</stp>
        <tr r="KY5" s="109"/>
      </tp>
      <tp t="e">
        <v>#N/A</v>
        <stp/>
        <stp>BDS|10726640479799254924</stp>
        <tr r="LS5" s="13"/>
      </tp>
      <tp t="e">
        <v>#N/A</v>
        <stp/>
        <stp>BDS|14464288071017449721</stp>
        <tr r="HR5" s="94"/>
      </tp>
      <tp t="e">
        <v>#N/A</v>
        <stp/>
        <stp>BDS|15205437921560999220</stp>
        <tr r="IV5" s="34"/>
      </tp>
      <tp t="e">
        <v>#N/A</v>
        <stp/>
        <stp>BDS|13283166148315148263</stp>
        <tr r="DL5" s="109"/>
      </tp>
      <tp t="e">
        <v>#N/A</v>
        <stp/>
        <stp>BDS|15821458253173419613</stp>
        <tr r="GX5" s="81"/>
      </tp>
      <tp t="e">
        <v>#N/A</v>
        <stp/>
        <stp>BDS|12415113589419369349</stp>
        <tr r="DQ5" s="91"/>
      </tp>
      <tp t="e">
        <v>#N/A</v>
        <stp/>
        <stp>BDS|18370158540294516885</stp>
        <tr r="MM5" s="9"/>
      </tp>
      <tp t="e">
        <v>#N/A</v>
        <stp/>
        <stp>BDS|12926169100375149750</stp>
        <tr r="KT5" s="11"/>
      </tp>
      <tp t="e">
        <v>#N/A</v>
        <stp/>
        <stp>BDS|10734840952105864922</stp>
        <tr r="AJ5" s="56"/>
      </tp>
      <tp t="e">
        <v>#N/A</v>
        <stp/>
        <stp>BDS|13010964694700849213</stp>
        <tr r="KY5" s="66"/>
      </tp>
      <tp t="e">
        <v>#N/A</v>
        <stp/>
        <stp>BDS|10271302579160768577</stp>
        <tr r="EP5" s="121"/>
      </tp>
      <tp t="e">
        <v>#N/A</v>
        <stp/>
        <stp>BDS|11845373231699342961</stp>
        <tr r="CW5" s="7"/>
      </tp>
      <tp t="e">
        <v>#N/A</v>
        <stp/>
        <stp>BDS|17135232348021774162</stp>
        <tr r="LX5" s="41"/>
      </tp>
      <tp t="e">
        <v>#N/A</v>
        <stp/>
        <stp>BDS|17020508834231946156</stp>
        <tr r="CC5" s="116"/>
      </tp>
      <tp t="e">
        <v>#N/A</v>
        <stp/>
        <stp>BDS|12187379206483989317</stp>
        <tr r="A5" s="42"/>
      </tp>
      <tp t="e">
        <v>#N/A</v>
        <stp/>
        <stp>BDS|17526498260826499202</stp>
        <tr r="EZ5" s="92"/>
      </tp>
      <tp t="e">
        <v>#N/A</v>
        <stp/>
        <stp>BDS|10048170864622382483</stp>
        <tr r="AO5" s="102"/>
      </tp>
      <tp t="e">
        <v>#N/A</v>
        <stp/>
        <stp>BDS|16142288174032379063</stp>
        <tr r="KT5" s="110"/>
      </tp>
      <tp t="e">
        <v>#N/A</v>
        <stp/>
        <stp>BDS|10380311072633113696</stp>
        <tr r="FJ5" s="87"/>
      </tp>
      <tp t="e">
        <v>#N/A</v>
        <stp/>
        <stp>BDS|17495064435580950560</stp>
        <tr r="JP5" s="105"/>
      </tp>
      <tp t="e">
        <v>#N/A</v>
        <stp/>
        <stp>BDS|12934428495129278740</stp>
        <tr r="NG5" s="87"/>
      </tp>
      <tp t="e">
        <v>#N/A</v>
        <stp/>
        <stp>BDS|14384380962163538347</stp>
        <tr r="IG5" s="36"/>
      </tp>
      <tp t="e">
        <v>#N/A</v>
        <stp/>
        <stp>BDS|12357710816641475488</stp>
        <tr r="GI5" s="47"/>
      </tp>
      <tp t="e">
        <v>#N/A</v>
        <stp/>
        <stp>BDS|16684281738622770494</stp>
        <tr r="CC5" s="108"/>
      </tp>
      <tp t="e">
        <v>#N/A</v>
        <stp/>
        <stp>BDS|14748546234344826771</stp>
        <tr r="FY5" s="69"/>
      </tp>
      <tp t="e">
        <v>#N/A</v>
        <stp/>
        <stp>BDS|13040035528934492470</stp>
        <tr r="Z5" s="75"/>
      </tp>
      <tp t="e">
        <v>#N/A</v>
        <stp/>
        <stp>BDS|17246888382906405044</stp>
        <tr r="Z5" s="2"/>
      </tp>
      <tp t="e">
        <v>#N/A</v>
        <stp/>
        <stp>BDS|12511285731427117550</stp>
        <tr r="DB5" s="9"/>
      </tp>
      <tp t="e">
        <v>#N/A</v>
        <stp/>
        <stp>BDS|13092096385763189950</stp>
        <tr r="DV5" s="27"/>
      </tp>
      <tp t="e">
        <v>#N/A</v>
        <stp/>
        <stp>BDS|15289641671800677596</stp>
        <tr r="JZ5" s="96"/>
      </tp>
      <tp t="e">
        <v>#N/A</v>
        <stp/>
        <stp>BDS|12340196993082131906</stp>
        <tr r="JU5" s="104"/>
      </tp>
      <tp t="e">
        <v>#N/A</v>
        <stp/>
        <stp>BDS|11031463822990889647</stp>
        <tr r="DV5" s="13"/>
      </tp>
      <tp t="e">
        <v>#N/A</v>
        <stp/>
        <stp>BDS|18279786783762556446</stp>
        <tr r="MH5" s="113"/>
      </tp>
      <tp t="e">
        <v>#N/A</v>
        <stp/>
        <stp>BDS|16848478687973256824</stp>
        <tr r="AY5" s="123"/>
      </tp>
      <tp t="e">
        <v>#N/A</v>
        <stp/>
        <stp>BDS|11081463378837369451</stp>
        <tr r="NB5" s="98"/>
      </tp>
      <tp t="e">
        <v>#N/A</v>
        <stp/>
        <stp>BDS|16478896645762358937</stp>
        <tr r="MH5" s="88"/>
      </tp>
      <tp t="e">
        <v>#N/A</v>
        <stp/>
        <stp>BDS|12229307235004871769</stp>
        <tr r="JF5" s="6"/>
      </tp>
      <tp t="e">
        <v>#N/A</v>
        <stp/>
        <stp>BDS|16780755318526600752</stp>
        <tr r="CM5" s="32"/>
      </tp>
      <tp t="e">
        <v>#N/A</v>
        <stp/>
        <stp>BDS|13366670759302547318</stp>
        <tr r="HW5" s="35"/>
      </tp>
      <tp t="e">
        <v>#N/A</v>
        <stp/>
        <stp>BDS|15522088422591159773</stp>
        <tr r="IV5" s="47"/>
      </tp>
      <tp t="e">
        <v>#N/A</v>
        <stp/>
        <stp>BDS|11051497827170475639</stp>
        <tr r="DG5" s="111"/>
      </tp>
      <tp t="e">
        <v>#N/A</v>
        <stp/>
        <stp>BDS|15487173062603122092</stp>
        <tr r="MM5" s="106"/>
      </tp>
      <tp t="e">
        <v>#N/A</v>
        <stp/>
        <stp>BDS|18280292274898698406</stp>
        <tr r="CW5" s="67"/>
      </tp>
      <tp t="e">
        <v>#N/A</v>
        <stp/>
        <stp>BDS|11833705527612748718</stp>
        <tr r="A5" s="86"/>
      </tp>
      <tp t="e">
        <v>#N/A</v>
        <stp/>
        <stp>BDS|16093845787576979132</stp>
        <tr r="KJ5" s="91"/>
      </tp>
      <tp t="e">
        <v>#N/A</v>
        <stp/>
        <stp>BDS|10749437408964386160</stp>
        <tr r="BD5" s="111"/>
      </tp>
      <tp t="e">
        <v>#N/A</v>
        <stp/>
        <stp>BDS|16514649104963978254</stp>
        <tr r="JP5" s="9"/>
      </tp>
      <tp t="e">
        <v>#N/A</v>
        <stp/>
        <stp>BDS|17723222101992980640</stp>
        <tr r="OA5" s="51"/>
      </tp>
      <tp t="e">
        <v>#N/A</v>
        <stp/>
        <stp>BDS|12332581337864736128</stp>
        <tr r="EK5" s="102"/>
      </tp>
      <tp t="e">
        <v>#N/A</v>
        <stp/>
        <stp>BDS|11889565132862300465</stp>
        <tr r="AT5" s="73"/>
      </tp>
      <tp t="e">
        <v>#N/A</v>
        <stp/>
        <stp>BDS|16769585053743760424</stp>
        <tr r="FJ5" s="75"/>
      </tp>
      <tp t="e">
        <v>#N/A</v>
        <stp/>
        <stp>BDS|17380825172990893928</stp>
        <tr r="BD5" s="117"/>
      </tp>
      <tp t="e">
        <v>#N/A</v>
        <stp/>
        <stp>BDS|15313782265076165361</stp>
        <tr r="IL5" s="87"/>
      </tp>
      <tp t="e">
        <v>#N/A</v>
        <stp/>
        <stp>BDS|17766261261337649588</stp>
        <tr r="A5" s="118"/>
      </tp>
      <tp t="e">
        <v>#N/A</v>
        <stp/>
        <stp>BDS|12115607068867277451</stp>
        <tr r="A5" s="100"/>
      </tp>
      <tp t="e">
        <v>#N/A</v>
        <stp/>
        <stp>BDS|11507800894986647795</stp>
        <tr r="LD5" s="36"/>
      </tp>
      <tp t="e">
        <v>#N/A</v>
        <stp/>
        <stp>BDS|12625199845481518710</stp>
        <tr r="FO5" s="55"/>
      </tp>
      <tp t="e">
        <v>#N/A</v>
        <stp/>
        <stp>BDS|12822092129673281240</stp>
        <tr r="GN5" s="71"/>
      </tp>
      <tp t="e">
        <v>#N/A</v>
        <stp/>
        <stp>BDS|11116460719976961390</stp>
        <tr r="EZ5" s="9"/>
      </tp>
      <tp t="e">
        <v>#N/A</v>
        <stp/>
        <stp>BDS|11616266439968627911</stp>
        <tr r="K5" s="10"/>
      </tp>
      <tp t="e">
        <v>#N/A</v>
        <stp/>
        <stp>BDS|14239891708629816459</stp>
        <tr r="IQ5" s="96"/>
        <tr r="DG5" s="74"/>
      </tp>
      <tp t="e">
        <v>#N/A</v>
        <stp/>
        <stp>BDS|10184671619035404355</stp>
        <tr r="LD5" s="97"/>
      </tp>
      <tp t="e">
        <v>#N/A</v>
        <stp/>
        <stp>BDS|15193912120916847964</stp>
        <tr r="NV5" s="84"/>
      </tp>
      <tp t="e">
        <v>#N/A</v>
        <stp/>
        <stp>BDS|16989600007315209429</stp>
        <tr r="MR5" s="70"/>
      </tp>
      <tp t="e">
        <v>#N/A</v>
        <stp/>
        <stp>BDS|13784580974574354469</stp>
        <tr r="EA5" s="92"/>
      </tp>
      <tp t="e">
        <v>#N/A</v>
        <stp/>
        <stp>BDS|17346750416666733690</stp>
        <tr r="GI5" s="81"/>
      </tp>
      <tp t="e">
        <v>#N/A</v>
        <stp/>
        <stp>BDS|11402488761074682650</stp>
        <tr r="FO5" s="28"/>
      </tp>
      <tp t="e">
        <v>#N/A</v>
        <stp/>
        <stp>BDS|10420206079744479073</stp>
        <tr r="K5" s="112"/>
      </tp>
      <tp t="e">
        <v>#N/A</v>
        <stp/>
        <stp>BDS|14528312013255131286</stp>
        <tr r="AY5" s="41"/>
      </tp>
      <tp t="e">
        <v>#N/A</v>
        <stp/>
        <stp>BDS|13989477791479144609</stp>
        <tr r="JZ5" s="48"/>
      </tp>
      <tp t="e">
        <v>#N/A</v>
        <stp/>
        <stp>BDS|14233927969039565324</stp>
        <tr r="BX5" s="47"/>
      </tp>
      <tp t="e">
        <v>#N/A</v>
        <stp/>
        <stp>BDS|14315548231746835509</stp>
        <tr r="BS5" s="33"/>
      </tp>
      <tp t="e">
        <v>#N/A</v>
        <stp/>
        <stp>BDS|12283536179375217457</stp>
        <tr r="KT5" s="2"/>
      </tp>
      <tp t="e">
        <v>#N/A</v>
        <stp/>
        <stp>BDS|14991229672573362358</stp>
        <tr r="DL5" s="62"/>
      </tp>
      <tp t="e">
        <v>#N/A</v>
        <stp/>
        <stp>BDS|15867981444529889032</stp>
        <tr r="HM5" s="60"/>
      </tp>
      <tp t="e">
        <v>#N/A</v>
        <stp/>
        <stp>BDS|12853644492895804991</stp>
        <tr r="JP5" s="100"/>
      </tp>
      <tp t="e">
        <v>#N/A</v>
        <stp/>
        <stp>BDS|10749693780196395927</stp>
        <tr r="AJ5" s="78"/>
      </tp>
      <tp t="e">
        <v>#N/A</v>
        <stp/>
        <stp>BDS|13844575214804116257</stp>
        <tr r="U5" s="89"/>
      </tp>
      <tp t="e">
        <v>#N/A</v>
        <stp/>
        <stp>BDS|18143314999331797216</stp>
        <tr r="FO5" s="65"/>
      </tp>
      <tp t="e">
        <v>#N/A</v>
        <stp/>
        <stp>BDS|14912252512877005118</stp>
        <tr r="JA5" s="23"/>
      </tp>
      <tp t="e">
        <v>#N/A</v>
        <stp/>
        <stp>BDS|14471132108194513057</stp>
        <tr r="FT5" s="2"/>
      </tp>
      <tp t="e">
        <v>#N/A</v>
        <stp/>
        <stp>BDS|12485768747594377493</stp>
        <tr r="HR5" s="83"/>
      </tp>
      <tp t="e">
        <v>#N/A</v>
        <stp/>
        <stp>BDS|10487761023957829363</stp>
        <tr r="NB5" s="119"/>
      </tp>
      <tp t="e">
        <v>#N/A</v>
        <stp/>
        <stp>BDS|12089740650857210691</stp>
        <tr r="JA5" s="75"/>
      </tp>
      <tp t="e">
        <v>#N/A</v>
        <stp/>
        <stp>BDS|11009033180180413883</stp>
        <tr r="Z5" s="4"/>
      </tp>
      <tp t="e">
        <v>#N/A</v>
        <stp/>
        <stp>BDS|13836317385030359907</stp>
        <tr r="JU5" s="19"/>
      </tp>
      <tp t="e">
        <v>#N/A</v>
        <stp/>
        <stp>BDS|14884230507267075039</stp>
        <tr r="AT5" s="26"/>
      </tp>
      <tp t="e">
        <v>#N/A</v>
        <stp/>
        <stp>BDS|11015012030914948745</stp>
        <tr r="DQ5" s="57"/>
      </tp>
      <tp t="e">
        <v>#N/A</v>
        <stp/>
        <stp>BDS|17595216869442195008</stp>
        <tr r="NV5" s="45"/>
      </tp>
      <tp t="e">
        <v>#N/A</v>
        <stp/>
        <stp>BDS|15499468838362040169</stp>
        <tr r="BD5" s="44"/>
      </tp>
      <tp t="e">
        <v>#N/A</v>
        <stp/>
        <stp>BDS|13520318178743424541</stp>
        <tr r="BD5" s="72"/>
      </tp>
      <tp t="e">
        <v>#N/A</v>
        <stp/>
        <stp>BDS|17532289436413338440</stp>
        <tr r="A5" s="54"/>
      </tp>
      <tp t="e">
        <v>#N/A</v>
        <stp/>
        <stp>BDS|10131989384417972784</stp>
        <tr r="BD5" s="46"/>
      </tp>
      <tp t="e">
        <v>#N/A</v>
        <stp/>
        <stp>BDS|17252798021092788118</stp>
        <tr r="OA5" s="65"/>
      </tp>
      <tp t="e">
        <v>#N/A</v>
        <stp/>
        <stp>BDS|14080817404659868413</stp>
        <tr r="MW5" s="113"/>
      </tp>
      <tp t="e">
        <v>#N/A</v>
        <stp/>
        <stp>BDS|17016147113822941426</stp>
        <tr r="JZ5" s="46"/>
      </tp>
      <tp t="e">
        <v>#N/A</v>
        <stp/>
        <stp>BDS|13139091744581128716</stp>
        <tr r="MW5" s="36"/>
      </tp>
      <tp t="e">
        <v>#N/A</v>
        <stp/>
        <stp>BDS|14814927092183235667</stp>
        <tr r="KY5" s="28"/>
      </tp>
      <tp t="e">
        <v>#N/A</v>
        <stp/>
        <stp>BDS|15355144337644826246</stp>
        <tr r="EF5" s="73"/>
      </tp>
      <tp t="e">
        <v>#N/A</v>
        <stp/>
        <stp>BDS|15904353665159023853</stp>
        <tr r="KO5" s="24"/>
      </tp>
      <tp t="e">
        <v>#N/A</v>
        <stp/>
        <stp>BDS|11348660971712936313</stp>
        <tr r="MH5" s="125"/>
      </tp>
      <tp t="e">
        <v>#N/A</v>
        <stp/>
        <stp>BDS|17326285893424154957</stp>
        <tr r="KJ5" s="50"/>
      </tp>
      <tp t="e">
        <v>#N/A</v>
        <stp/>
        <stp>BDS|16993124708804960263</stp>
        <tr r="HW5" s="22"/>
      </tp>
      <tp t="e">
        <v>#N/A</v>
        <stp/>
        <stp>BDS|16903677764121059664</stp>
        <tr r="CH5" s="32"/>
      </tp>
      <tp t="e">
        <v>#N/A</v>
        <stp/>
        <stp>BDS|14920927084577009337</stp>
        <tr r="LS5" s="60"/>
      </tp>
      <tp t="e">
        <v>#N/A</v>
        <stp/>
        <stp>BDS|17910057931535561040</stp>
        <tr r="KY5" s="105"/>
      </tp>
      <tp t="e">
        <v>#N/A</v>
        <stp/>
        <stp>BDS|17194547328026618764</stp>
        <tr r="LS5" s="16"/>
      </tp>
      <tp t="e">
        <v>#N/A</v>
        <stp/>
        <stp>BDS|14651651678186183276</stp>
        <tr r="NL5" s="41"/>
      </tp>
      <tp t="e">
        <v>#N/A</v>
        <stp/>
        <stp>BDS|13928487914774998310</stp>
        <tr r="MW5" s="104"/>
      </tp>
      <tp t="e">
        <v>#N/A</v>
        <stp/>
        <stp>BDS|14696117824622832462</stp>
        <tr r="KE5" s="106"/>
      </tp>
      <tp t="e">
        <v>#N/A</v>
        <stp/>
        <stp>BDS|11155048465744462294</stp>
        <tr r="LX5" s="21"/>
      </tp>
      <tp t="e">
        <v>#N/A</v>
        <stp/>
        <stp>BDS|13027978183517117481</stp>
        <tr r="JA5" s="38"/>
      </tp>
      <tp t="e">
        <v>#N/A</v>
        <stp/>
        <stp>BDS|15953464813541489051</stp>
        <tr r="K5" s="96"/>
      </tp>
      <tp t="e">
        <v>#N/A</v>
        <stp/>
        <stp>BDS|15981439267200371639</stp>
        <tr r="BN5" s="100"/>
      </tp>
      <tp t="e">
        <v>#N/A</v>
        <stp/>
        <stp>BDS|10732327320940110090</stp>
        <tr r="LI5" s="59"/>
      </tp>
      <tp t="e">
        <v>#N/A</v>
        <stp/>
        <stp>BDS|18031299085441240236</stp>
        <tr r="BS5" s="64"/>
      </tp>
      <tp t="e">
        <v>#N/A</v>
        <stp/>
        <stp>BDS|14803655441076625174</stp>
        <tr r="FY5" s="105"/>
      </tp>
      <tp t="e">
        <v>#N/A</v>
        <stp/>
        <stp>BDS|10151571488685692959</stp>
        <tr r="CW5" s="99"/>
      </tp>
      <tp t="e">
        <v>#N/A</v>
        <stp/>
        <stp>BDS|12297144803702981010</stp>
        <tr r="HW5" s="84"/>
      </tp>
      <tp t="e">
        <v>#N/A</v>
        <stp/>
        <stp>BDS|14235071293789238597</stp>
        <tr r="GS5" s="11"/>
      </tp>
      <tp t="e">
        <v>#N/A</v>
        <stp/>
        <stp>BDS|17450913258579832380</stp>
        <tr r="JP5" s="59"/>
      </tp>
      <tp t="e">
        <v>#N/A</v>
        <stp/>
        <stp>BDS|15538884336997180876</stp>
        <tr r="FT5" s="32"/>
      </tp>
      <tp t="e">
        <v>#N/A</v>
        <stp/>
        <stp>BDS|14263427848231436417</stp>
        <tr r="KY5" s="33"/>
      </tp>
      <tp t="e">
        <v>#N/A</v>
        <stp/>
        <stp>BDS|11194012309847149751</stp>
        <tr r="IQ5" s="106"/>
      </tp>
      <tp t="e">
        <v>#N/A</v>
        <stp/>
        <stp>BDS|11506246346802396491</stp>
        <tr r="A5" s="80"/>
      </tp>
      <tp t="e">
        <v>#N/A</v>
        <stp/>
        <stp>BDS|13527522319561455774</stp>
        <tr r="P5" s="70"/>
      </tp>
      <tp t="e">
        <v>#N/A</v>
        <stp/>
        <stp>BDS|14237100037731476639</stp>
        <tr r="LD5" s="102"/>
      </tp>
      <tp t="e">
        <v>#N/A</v>
        <stp/>
        <stp>BDS|17109059835174631153</stp>
        <tr r="EF5" s="115"/>
      </tp>
      <tp t="e">
        <v>#N/A</v>
        <stp/>
        <stp>BDS|15920373228870102556</stp>
        <tr r="EP5" s="92"/>
      </tp>
      <tp t="e">
        <v>#N/A</v>
        <stp/>
        <stp>BDS|18104999178506053126</stp>
        <tr r="EZ5" s="60"/>
      </tp>
      <tp t="e">
        <v>#N/A</v>
        <stp/>
        <stp>BDS|13401123874501081500</stp>
        <tr r="Z5" s="8"/>
      </tp>
      <tp t="e">
        <v>#N/A</v>
        <stp/>
        <stp>BDS|14147405575473480523</stp>
        <tr r="EZ5" s="35"/>
      </tp>
      <tp t="e">
        <v>#N/A</v>
        <stp/>
        <stp>BDS|15629459601411365134</stp>
        <tr r="JF5" s="56"/>
      </tp>
      <tp t="e">
        <v>#N/A</v>
        <stp/>
        <stp>BDS|14094556276222019510</stp>
        <tr r="MH5" s="6"/>
      </tp>
      <tp t="e">
        <v>#N/A</v>
        <stp/>
        <stp>BDS|12177043972932535602</stp>
        <tr r="Z5" s="5"/>
      </tp>
      <tp t="e">
        <v>#N/A</v>
        <stp/>
        <stp>BDS|11106166125287062401</stp>
        <tr r="MW5" s="32"/>
      </tp>
      <tp t="e">
        <v>#N/A</v>
        <stp/>
        <stp>BDS|14289402072780196637</stp>
        <tr r="FE5" s="57"/>
        <tr r="EA5" s="102"/>
      </tp>
      <tp t="e">
        <v>#N/A</v>
        <stp/>
        <stp>BDS|16843421859282623476</stp>
        <tr r="IB5" s="47"/>
      </tp>
      <tp t="e">
        <v>#N/A</v>
        <stp/>
        <stp>BDS|12059827841038956785</stp>
        <tr r="KE5" s="125"/>
      </tp>
      <tp t="e">
        <v>#N/A</v>
        <stp/>
        <stp>BDS|13097889477469565480</stp>
        <tr r="GD5" s="76"/>
      </tp>
      <tp t="e">
        <v>#N/A</v>
        <stp/>
        <stp>BDS|14806662262057654286</stp>
        <tr r="HM5" s="5"/>
      </tp>
      <tp t="e">
        <v>#N/A</v>
        <stp/>
        <stp>BDS|17855444864804999031</stp>
        <tr r="HC5" s="37"/>
      </tp>
      <tp t="e">
        <v>#N/A</v>
        <stp/>
        <stp>BDS|17425842840192272807</stp>
        <tr r="EZ5" s="52"/>
      </tp>
      <tp t="e">
        <v>#N/A</v>
        <stp/>
        <stp>BDS|11107581923494905314</stp>
        <tr r="EZ5" s="82"/>
      </tp>
      <tp t="e">
        <v>#N/A</v>
        <stp/>
        <stp>BDS|10301035332270838284</stp>
        <tr r="LX5" s="110"/>
      </tp>
      <tp t="e">
        <v>#N/A</v>
        <stp/>
        <stp>BDS|10626030582719067053</stp>
        <tr r="HR5" s="86"/>
      </tp>
      <tp t="e">
        <v>#N/A</v>
        <stp/>
        <stp>BDS|12473097911483779194</stp>
        <tr r="NL5" s="108"/>
      </tp>
      <tp t="e">
        <v>#N/A</v>
        <stp/>
        <stp>BDS|16756228697809651566</stp>
        <tr r="OA5" s="80"/>
      </tp>
      <tp t="e">
        <v>#N/A</v>
        <stp/>
        <stp>BDS|13918482013161222625</stp>
        <tr r="IL5" s="42"/>
      </tp>
      <tp t="e">
        <v>#N/A</v>
        <stp/>
        <stp>BDS|15578882017208174595</stp>
        <tr r="GI5" s="16"/>
      </tp>
      <tp t="e">
        <v>#N/A</v>
        <stp/>
        <stp>BDS|18396747121895176955</stp>
        <tr r="GN5" s="70"/>
      </tp>
      <tp t="e">
        <v>#N/A</v>
        <stp/>
        <stp>BDS|15217660167671171504</stp>
        <tr r="EP5" s="42"/>
      </tp>
      <tp t="e">
        <v>#N/A</v>
        <stp/>
        <stp>BDS|15714628277273652675</stp>
        <tr r="MW5" s="47"/>
      </tp>
      <tp t="e">
        <v>#N/A</v>
        <stp/>
        <stp>BDS|15186545236302146011</stp>
        <tr r="KJ5" s="79"/>
      </tp>
      <tp t="e">
        <v>#N/A</v>
        <stp/>
        <stp>BDS|12117790812877835213</stp>
        <tr r="GN5" s="118"/>
      </tp>
      <tp t="e">
        <v>#N/A</v>
        <stp/>
        <stp>BDS|16672399632380901774</stp>
        <tr r="JP5" s="54"/>
      </tp>
      <tp t="e">
        <v>#N/A</v>
        <stp/>
        <stp>BDS|17945126149923270035</stp>
        <tr r="GX5" s="125"/>
      </tp>
      <tp t="e">
        <v>#N/A</v>
        <stp/>
        <stp>BDS|17748058924116111245</stp>
        <tr r="KO5" s="99"/>
        <tr r="FY5" s="124"/>
      </tp>
      <tp t="e">
        <v>#N/A</v>
        <stp/>
        <stp>BDS|13494427449765996759</stp>
        <tr r="GX5" s="29"/>
      </tp>
      <tp t="e">
        <v>#N/A</v>
        <stp/>
        <stp>BDS|11773837309830941875</stp>
        <tr r="AJ5" s="90"/>
      </tp>
      <tp t="e">
        <v>#N/A</v>
        <stp/>
        <stp>BDS|15885265326480225494</stp>
        <tr r="FY5" s="47"/>
      </tp>
      <tp t="e">
        <v>#N/A</v>
        <stp/>
        <stp>BDS|11201799463635933423</stp>
        <tr r="GD5" s="17"/>
      </tp>
      <tp t="e">
        <v>#N/A</v>
        <stp/>
        <stp>BDS|12758264970367398115</stp>
        <tr r="DG5" s="47"/>
      </tp>
      <tp t="e">
        <v>#N/A</v>
        <stp/>
        <stp>BDS|18102610429498931539</stp>
        <tr r="MC5" s="125"/>
      </tp>
      <tp t="e">
        <v>#N/A</v>
        <stp/>
        <stp>BDS|16786897875511976913</stp>
        <tr r="BX5" s="28"/>
      </tp>
      <tp t="e">
        <v>#N/A</v>
        <stp/>
        <stp>BDS|16495458424323345258</stp>
        <tr r="IQ5" s="113"/>
      </tp>
      <tp t="e">
        <v>#N/A</v>
        <stp/>
        <stp>BDS|11779178582558074110</stp>
        <tr r="HR5" s="38"/>
      </tp>
      <tp t="e">
        <v>#N/A</v>
        <stp/>
        <stp>BDS|13197160639663543387</stp>
        <tr r="P5" s="94"/>
      </tp>
      <tp t="e">
        <v>#N/A</v>
        <stp/>
        <stp>BDS|14325457222901630213</stp>
        <tr r="MH5" s="92"/>
      </tp>
      <tp t="e">
        <v>#N/A</v>
        <stp/>
        <stp>BDS|12582960000152576852</stp>
        <tr r="KT5" s="103"/>
      </tp>
      <tp t="e">
        <v>#N/A</v>
        <stp/>
        <stp>BDS|16173129276651106074</stp>
        <tr r="EU5" s="122"/>
      </tp>
      <tp t="e">
        <v>#N/A</v>
        <stp/>
        <stp>BDS|16355850996692214410</stp>
        <tr r="BD5" s="37"/>
      </tp>
      <tp t="e">
        <v>#N/A</v>
        <stp/>
        <stp>BDS|11500472494535649832</stp>
        <tr r="LD5" s="115"/>
      </tp>
      <tp t="e">
        <v>#N/A</v>
        <stp/>
        <stp>BDS|12376682844548973956</stp>
        <tr r="JA5" s="47"/>
      </tp>
      <tp t="e">
        <v>#N/A</v>
        <stp/>
        <stp>BDS|18355704912157482869</stp>
        <tr r="BI5" s="72"/>
      </tp>
      <tp t="e">
        <v>#N/A</v>
        <stp/>
        <stp>BDS|10390968882250420001</stp>
        <tr r="FY5" s="27"/>
      </tp>
      <tp t="e">
        <v>#N/A</v>
        <stp/>
        <stp>BDS|13526686319201401436</stp>
        <tr r="FJ5" s="53"/>
      </tp>
      <tp t="e">
        <v>#N/A</v>
        <stp/>
        <stp>BDS|12878385504564575426</stp>
        <tr r="GD5" s="13"/>
      </tp>
      <tp t="e">
        <v>#N/A</v>
        <stp/>
        <stp>BDS|13487304683039294063</stp>
        <tr r="JP5" s="109"/>
      </tp>
      <tp t="e">
        <v>#N/A</v>
        <stp/>
        <stp>BDS|10219334955795205257</stp>
        <tr r="GN5" s="62"/>
      </tp>
      <tp t="e">
        <v>#N/A</v>
        <stp/>
        <stp>BDS|11509543294474006862</stp>
        <tr r="AE5" s="7"/>
      </tp>
      <tp t="e">
        <v>#N/A</v>
        <stp/>
        <stp>BDS|13221154131625278572</stp>
        <tr r="KO5" s="51"/>
      </tp>
      <tp t="e">
        <v>#N/A</v>
        <stp/>
        <stp>BDS|12604910401818442218</stp>
        <tr r="CC5" s="12"/>
      </tp>
      <tp t="e">
        <v>#N/A</v>
        <stp/>
        <stp>BDS|14273859685690706552</stp>
        <tr r="HC5" s="82"/>
      </tp>
      <tp t="e">
        <v>#N/A</v>
        <stp/>
        <stp>BDS|17909067307862829404</stp>
        <tr r="HW5" s="42"/>
      </tp>
      <tp t="e">
        <v>#N/A</v>
        <stp/>
        <stp>BDS|15317520504622684336</stp>
        <tr r="NB5" s="14"/>
      </tp>
      <tp t="e">
        <v>#N/A</v>
        <stp/>
        <stp>BDS|15103463729343989170</stp>
        <tr r="HW5" s="21"/>
      </tp>
      <tp t="e">
        <v>#N/A</v>
        <stp/>
        <stp>BDS|15614555624814362742</stp>
        <tr r="LI5" s="17"/>
      </tp>
      <tp t="e">
        <v>#N/A</v>
        <stp/>
        <stp>BDS|14357013630935171330</stp>
        <tr r="CW5" s="90"/>
      </tp>
      <tp t="e">
        <v>#N/A</v>
        <stp/>
        <stp>BDS|13368713958644245489</stp>
        <tr r="AY5" s="16"/>
      </tp>
      <tp t="e">
        <v>#N/A</v>
        <stp/>
        <stp>BDS|15197548969862836547</stp>
        <tr r="BX5" s="74"/>
      </tp>
      <tp t="e">
        <v>#N/A</v>
        <stp/>
        <stp>BDS|17616756284178533129</stp>
        <tr r="FE5" s="3"/>
      </tp>
      <tp t="e">
        <v>#N/A</v>
        <stp/>
        <stp>BDS|13898816814382563989</stp>
        <tr r="EK5" s="82"/>
      </tp>
      <tp t="e">
        <v>#N/A</v>
        <stp/>
        <stp>BDS|12044133264734663014</stp>
        <tr r="NQ5" s="8"/>
      </tp>
      <tp t="e">
        <v>#N/A</v>
        <stp/>
        <stp>BDS|14025829910894401862</stp>
        <tr r="CR5" s="76"/>
      </tp>
      <tp t="e">
        <v>#N/A</v>
        <stp/>
        <stp>BDS|15028531747157704232</stp>
        <tr r="NL5" s="102"/>
      </tp>
      <tp t="e">
        <v>#N/A</v>
        <stp/>
        <stp>BDS|17924032841863214199</stp>
        <tr r="FY5" s="83"/>
      </tp>
      <tp t="e">
        <v>#N/A</v>
        <stp/>
        <stp>BDS|13874456247063241185</stp>
        <tr r="FT5" s="24"/>
      </tp>
      <tp t="e">
        <v>#N/A</v>
        <stp/>
        <stp>BDS|14429291269744220561</stp>
        <tr r="GD5" s="36"/>
      </tp>
      <tp t="e">
        <v>#N/A</v>
        <stp/>
        <stp>BDS|10549491169625440610</stp>
        <tr r="CH5" s="24"/>
      </tp>
      <tp t="e">
        <v>#N/A</v>
        <stp/>
        <stp>BDS|13562692336341891629</stp>
        <tr r="JZ5" s="98"/>
      </tp>
      <tp t="e">
        <v>#N/A</v>
        <stp/>
        <stp>BDS|16445080437096364284</stp>
        <tr r="JP5" s="66"/>
      </tp>
      <tp t="e">
        <v>#N/A</v>
        <stp/>
        <stp>BDS|11601951992663690378</stp>
        <tr r="NG5" s="24"/>
      </tp>
      <tp t="e">
        <v>#N/A</v>
        <stp/>
        <stp>BDS|13110250479145438295</stp>
        <tr r="JA5" s="115"/>
      </tp>
      <tp t="e">
        <v>#N/A</v>
        <stp/>
        <stp>BDS|14643451823190759377</stp>
        <tr r="U5" s="100"/>
      </tp>
      <tp t="e">
        <v>#N/A</v>
        <stp/>
        <stp>BDS|17326648832086392566</stp>
        <tr r="HC5" s="13"/>
      </tp>
      <tp t="e">
        <v>#N/A</v>
        <stp/>
        <stp>BDS|10191879142338224564</stp>
        <tr r="AY5" s="13"/>
      </tp>
      <tp t="e">
        <v>#N/A</v>
        <stp/>
        <stp>BDS|17586083563571651190</stp>
        <tr r="JP5" s="7"/>
      </tp>
      <tp t="e">
        <v>#N/A</v>
        <stp/>
        <stp>BDS|15634378340305670664</stp>
        <tr r="EF5" s="56"/>
      </tp>
      <tp t="e">
        <v>#N/A</v>
        <stp/>
        <stp>BDS|12740445503575584245</stp>
        <tr r="NV5" s="73"/>
      </tp>
      <tp t="e">
        <v>#N/A</v>
        <stp/>
        <stp>BDS|13878507722160989524</stp>
        <tr r="FY5" s="56"/>
      </tp>
      <tp t="e">
        <v>#N/A</v>
        <stp/>
        <stp>BDS|17294046753625709635</stp>
        <tr r="CR5" s="41"/>
      </tp>
      <tp t="e">
        <v>#N/A</v>
        <stp/>
        <stp>BDS|17102635836420443319</stp>
        <tr r="KO5" s="75"/>
      </tp>
      <tp t="e">
        <v>#N/A</v>
        <stp/>
        <stp>BDS|16903625468325622248</stp>
        <tr r="DV5" s="5"/>
      </tp>
      <tp t="e">
        <v>#N/A</v>
        <stp/>
        <stp>BDS|16472382324914956205</stp>
        <tr r="FY5" s="71"/>
      </tp>
      <tp t="e">
        <v>#N/A</v>
        <stp/>
        <stp>BDS|17688434151085602230</stp>
        <tr r="CW5" s="61"/>
      </tp>
      <tp t="e">
        <v>#N/A</v>
        <stp/>
        <stp>BDS|16201160295028468745</stp>
        <tr r="BX5" s="59"/>
      </tp>
      <tp t="e">
        <v>#N/A</v>
        <stp/>
        <stp>BDS|11142177835265777755</stp>
        <tr r="DB5" s="26"/>
      </tp>
      <tp t="e">
        <v>#N/A</v>
        <stp/>
        <stp>BDS|10727679784628453718</stp>
        <tr r="BS5" s="88"/>
      </tp>
      <tp t="e">
        <v>#N/A</v>
        <stp/>
        <stp>BDS|12075806661289875483</stp>
        <tr r="AT5" s="16"/>
      </tp>
      <tp t="e">
        <v>#N/A</v>
        <stp/>
        <stp>BDS|16971337597648945555</stp>
        <tr r="Z5" s="10"/>
      </tp>
      <tp t="e">
        <v>#N/A</v>
        <stp/>
        <stp>BDS|17865622540866830239</stp>
        <tr r="U5" s="20"/>
      </tp>
      <tp t="e">
        <v>#N/A</v>
        <stp/>
        <stp>BDS|14343131137152537531</stp>
        <tr r="KT5" s="100"/>
      </tp>
      <tp t="e">
        <v>#N/A</v>
        <stp/>
        <stp>BDS|10813881361489813680</stp>
        <tr r="KT5" s="18"/>
      </tp>
      <tp t="e">
        <v>#N/A</v>
        <stp/>
        <stp>BDS|15731210240942664019</stp>
        <tr r="CH5" s="47"/>
      </tp>
      <tp t="e">
        <v>#N/A</v>
        <stp/>
        <stp>BDS|10761168415440548174</stp>
        <tr r="P5" s="59"/>
      </tp>
      <tp t="e">
        <v>#N/A</v>
        <stp/>
        <stp>BDS|16698619525804135751</stp>
        <tr r="FY5" s="94"/>
      </tp>
      <tp t="e">
        <v>#N/A</v>
        <stp/>
        <stp>BDS|17680637633211102217</stp>
        <tr r="GI5" s="102"/>
      </tp>
      <tp t="e">
        <v>#N/A</v>
        <stp/>
        <stp>BDS|16835339029161577716</stp>
        <tr r="IV5" s="56"/>
      </tp>
      <tp t="e">
        <v>#N/A</v>
        <stp/>
        <stp>BDS|13471158322232370360</stp>
        <tr r="LS5" s="120"/>
      </tp>
      <tp t="e">
        <v>#N/A</v>
        <stp/>
        <stp>BDS|17475640219795783487</stp>
        <tr r="JF5" s="88"/>
      </tp>
      <tp t="e">
        <v>#N/A</v>
        <stp/>
        <stp>BDS|10148525626935651350</stp>
        <tr r="CR5" s="28"/>
      </tp>
      <tp t="e">
        <v>#N/A</v>
        <stp/>
        <stp>BDS|11356037837992278131</stp>
        <tr r="LS5" s="20"/>
      </tp>
      <tp t="e">
        <v>#N/A</v>
        <stp/>
        <stp>BDS|16358294165167175484</stp>
        <tr r="KO5" s="105"/>
      </tp>
      <tp t="e">
        <v>#N/A</v>
        <stp/>
        <stp>BDS|12931718769923054174</stp>
        <tr r="AT5" s="88"/>
      </tp>
      <tp t="e">
        <v>#N/A</v>
        <stp/>
        <stp>BDS|12375222889321770893</stp>
        <tr r="IQ5" s="73"/>
      </tp>
      <tp t="e">
        <v>#N/A</v>
        <stp/>
        <stp>BDS|16766312311467968287</stp>
        <tr r="EU5" s="89"/>
      </tp>
      <tp t="e">
        <v>#N/A</v>
        <stp/>
        <stp>BDS|11868417050717845672</stp>
        <tr r="FO5" s="76"/>
      </tp>
      <tp t="e">
        <v>#N/A</v>
        <stp/>
        <stp>BDS|17269251524714734224</stp>
        <tr r="EU5" s="71"/>
      </tp>
      <tp t="e">
        <v>#N/A</v>
        <stp/>
        <stp>BDS|13168723897839526578</stp>
        <tr r="Z5" s="84"/>
      </tp>
      <tp t="e">
        <v>#N/A</v>
        <stp/>
        <stp>BDS|15326480877591377696</stp>
        <tr r="MW5" s="67"/>
      </tp>
      <tp t="e">
        <v>#N/A</v>
        <stp/>
        <stp>BDS|15100280477274925515</stp>
        <tr r="JU5" s="115"/>
      </tp>
      <tp t="e">
        <v>#N/A</v>
        <stp/>
        <stp>BDS|11416304402713443042</stp>
        <tr r="BS5" s="36"/>
      </tp>
      <tp t="e">
        <v>#N/A</v>
        <stp/>
        <stp>BDS|15544123521472295531</stp>
        <tr r="IL5" s="102"/>
      </tp>
      <tp t="e">
        <v>#N/A</v>
        <stp/>
        <stp>BDS|15325311136642047638</stp>
        <tr r="EK5" s="59"/>
      </tp>
      <tp t="e">
        <v>#N/A</v>
        <stp/>
        <stp>BDS|14777019151595152510</stp>
        <tr r="KY5" s="112"/>
      </tp>
      <tp t="e">
        <v>#N/A</v>
        <stp/>
        <stp>BDS|11827672655196880557</stp>
        <tr r="NL5" s="44"/>
      </tp>
      <tp t="e">
        <v>#N/A</v>
        <stp/>
        <stp>BDS|11634032350674203109</stp>
        <tr r="JU5" s="118"/>
      </tp>
      <tp t="e">
        <v>#N/A</v>
        <stp/>
        <stp>BDS|12842514526111082584</stp>
        <tr r="DQ5" s="121"/>
      </tp>
      <tp t="e">
        <v>#N/A</v>
        <stp/>
        <stp>BDS|17317123462115763438</stp>
        <tr r="DL5" s="124"/>
      </tp>
      <tp t="e">
        <v>#N/A</v>
        <stp/>
        <stp>BDS|17461167134972527647</stp>
        <tr r="IG5" s="82"/>
      </tp>
      <tp t="e">
        <v>#N/A</v>
        <stp/>
        <stp>BDS|14015550304372499227</stp>
        <tr r="CR5" s="54"/>
      </tp>
      <tp t="e">
        <v>#N/A</v>
        <stp/>
        <stp>BDS|11593949497114311423</stp>
        <tr r="CC5" s="31"/>
      </tp>
      <tp t="e">
        <v>#N/A</v>
        <stp/>
        <stp>BDS|11703236922417153705</stp>
        <tr r="CW5" s="72"/>
      </tp>
      <tp t="e">
        <v>#N/A</v>
        <stp/>
        <stp>BDS|13406842026429855192</stp>
        <tr r="BD5" s="25"/>
      </tp>
      <tp t="e">
        <v>#N/A</v>
        <stp/>
        <stp>BDS|18192865104715691423</stp>
        <tr r="DL5" s="28"/>
      </tp>
      <tp t="e">
        <v>#N/A</v>
        <stp/>
        <stp>BDS|10975099340587352248</stp>
        <tr r="BN5" s="32"/>
      </tp>
      <tp t="e">
        <v>#N/A</v>
        <stp/>
        <stp>BDS|15608148764727885491</stp>
        <tr r="KJ5" s="45"/>
      </tp>
      <tp t="e">
        <v>#N/A</v>
        <stp/>
        <stp>BDS|11752080319094623571</stp>
        <tr r="EA5" s="8"/>
      </tp>
      <tp t="e">
        <v>#N/A</v>
        <stp/>
        <stp>BDS|10012265113306329413</stp>
        <tr r="A5" s="125"/>
      </tp>
      <tp t="e">
        <v>#N/A</v>
        <stp/>
        <stp>BDS|14622151678964896745</stp>
        <tr r="AE5" s="66"/>
      </tp>
      <tp t="e">
        <v>#N/A</v>
        <stp/>
        <stp>BDS|10255155010461877086</stp>
        <tr r="GI5" s="42"/>
      </tp>
      <tp t="e">
        <v>#N/A</v>
        <stp/>
        <stp>BDS|10892922345528213495</stp>
        <tr r="EF5" s="72"/>
      </tp>
      <tp t="e">
        <v>#N/A</v>
        <stp/>
        <stp>BDS|10193672261853622258</stp>
        <tr r="KO5" s="36"/>
      </tp>
      <tp t="e">
        <v>#N/A</v>
        <stp/>
        <stp>BDS|16543345554176699771</stp>
        <tr r="P5" s="88"/>
      </tp>
      <tp t="e">
        <v>#N/A</v>
        <stp/>
        <stp>BDS|11082765933675828196</stp>
        <tr r="KT5" s="104"/>
      </tp>
      <tp t="e">
        <v>#N/A</v>
        <stp/>
        <stp>BDS|16253653217265728538</stp>
        <tr r="FO5" s="61"/>
      </tp>
      <tp t="e">
        <v>#N/A</v>
        <stp/>
        <stp>BDS|12327289274031836736</stp>
        <tr r="FJ5" s="68"/>
      </tp>
      <tp t="e">
        <v>#N/A</v>
        <stp/>
        <stp>BDS|15400404144551195555</stp>
        <tr r="MM5" s="94"/>
      </tp>
      <tp t="e">
        <v>#N/A</v>
        <stp/>
        <stp>BDS|18287923192289145071</stp>
        <tr r="OA5" s="33"/>
      </tp>
      <tp t="e">
        <v>#N/A</v>
        <stp/>
        <stp>BDS|12845740008480543454</stp>
        <tr r="DL5" s="115"/>
      </tp>
      <tp t="e">
        <v>#N/A</v>
        <stp/>
        <stp>BDS|16414309374191598210</stp>
        <tr r="AJ5" s="30"/>
      </tp>
      <tp t="e">
        <v>#N/A</v>
        <stp/>
        <stp>BDS|14130244427227201243</stp>
        <tr r="A5" s="4"/>
      </tp>
      <tp t="e">
        <v>#N/A</v>
        <stp/>
        <stp>BDS|15889402431811446293</stp>
        <tr r="FO5" s="41"/>
      </tp>
      <tp t="e">
        <v>#N/A</v>
        <stp/>
        <stp>BDS|10600863086204431567</stp>
        <tr r="NQ5" s="17"/>
      </tp>
      <tp t="e">
        <v>#N/A</v>
        <stp/>
        <stp>BDS|14535724271236106330</stp>
        <tr r="AT5" s="85"/>
      </tp>
      <tp t="e">
        <v>#N/A</v>
        <stp/>
        <stp>BDS|13708213141601570566</stp>
        <tr r="EA5" s="11"/>
      </tp>
      <tp t="e">
        <v>#N/A</v>
        <stp/>
        <stp>BDS|15828611776976973336</stp>
        <tr r="OA5" s="89"/>
      </tp>
      <tp t="e">
        <v>#N/A</v>
        <stp/>
        <stp>BDS|15596603014003069046</stp>
        <tr r="DB5" s="11"/>
      </tp>
      <tp t="e">
        <v>#N/A</v>
        <stp/>
        <stp>BDS|14344757044284689213</stp>
        <tr r="MH5" s="123"/>
      </tp>
      <tp t="e">
        <v>#N/A</v>
        <stp/>
        <stp>BDS|15485004320006355020</stp>
        <tr r="JP5" s="35"/>
      </tp>
      <tp t="e">
        <v>#N/A</v>
        <stp/>
        <stp>BDS|11975758768992099316</stp>
        <tr r="BI5" s="4"/>
      </tp>
      <tp t="e">
        <v>#N/A</v>
        <stp/>
        <stp>BDS|10464842582148598924</stp>
        <tr r="CR5" s="81"/>
      </tp>
      <tp t="e">
        <v>#N/A</v>
        <stp/>
        <stp>BDS|11588020437536633536</stp>
        <tr r="EK5" s="21"/>
      </tp>
      <tp t="e">
        <v>#N/A</v>
        <stp/>
        <stp>BDS|17998489203260444239</stp>
        <tr r="GN5" s="120"/>
      </tp>
      <tp t="e">
        <v>#N/A</v>
        <stp/>
        <stp>BDS|12627659448454670587</stp>
        <tr r="NG5" s="9"/>
      </tp>
      <tp t="e">
        <v>#N/A</v>
        <stp/>
        <stp>BDS|11928862215550711989</stp>
        <tr r="Z5" s="124"/>
      </tp>
      <tp t="e">
        <v>#N/A</v>
        <stp/>
        <stp>BDS|12564676825443010428</stp>
        <tr r="P5" s="92"/>
      </tp>
      <tp t="e">
        <v>#N/A</v>
        <stp/>
        <stp>BDS|11773483553918009991</stp>
        <tr r="DL5" s="21"/>
      </tp>
      <tp t="e">
        <v>#N/A</v>
        <stp/>
        <stp>BDS|18302656488612263595</stp>
        <tr r="DQ5" s="8"/>
      </tp>
      <tp t="e">
        <v>#N/A</v>
        <stp/>
        <stp>BDS|10693220242477065039</stp>
        <tr r="EF5" s="3"/>
      </tp>
      <tp t="e">
        <v>#N/A</v>
        <stp/>
        <stp>BDS|16645690588491136832</stp>
        <tr r="IV5" s="108"/>
      </tp>
      <tp t="e">
        <v>#N/A</v>
        <stp/>
        <stp>BDS|11062330254956084026</stp>
        <tr r="NB5" s="99"/>
      </tp>
      <tp t="e">
        <v>#N/A</v>
        <stp/>
        <stp>BDS|11208238531862050352</stp>
        <tr r="IB5" s="101"/>
      </tp>
      <tp t="e">
        <v>#N/A</v>
        <stp/>
        <stp>BDS|15480916387926431333</stp>
        <tr r="FE5" s="66"/>
      </tp>
      <tp t="e">
        <v>#N/A</v>
        <stp/>
        <stp>BDS|14163252950863890193</stp>
        <tr r="MR5" s="52"/>
      </tp>
      <tp t="e">
        <v>#N/A</v>
        <stp/>
        <stp>BDS|16143895306667969827</stp>
        <tr r="DG5" s="92"/>
      </tp>
      <tp t="e">
        <v>#N/A</v>
        <stp/>
        <stp>BDS|15163830353529372072</stp>
        <tr r="KT5" s="117"/>
      </tp>
      <tp t="e">
        <v>#N/A</v>
        <stp/>
        <stp>BDS|14501616401667132416</stp>
        <tr r="GI5" s="76"/>
      </tp>
      <tp t="e">
        <v>#N/A</v>
        <stp/>
        <stp>BDS|17129233361720215243</stp>
        <tr r="LX5" s="4"/>
      </tp>
      <tp t="e">
        <v>#N/A</v>
        <stp/>
        <stp>BDS|13468928466328016558</stp>
        <tr r="GX5" s="24"/>
      </tp>
      <tp t="e">
        <v>#N/A</v>
        <stp/>
        <stp>BDS|10793000910640860752</stp>
        <tr r="DB5" s="2"/>
      </tp>
      <tp t="e">
        <v>#N/A</v>
        <stp/>
        <stp>BDS|11679322969914525625</stp>
        <tr r="AE5" s="1"/>
      </tp>
      <tp t="e">
        <v>#N/A</v>
        <stp/>
        <stp>BDS|11801417136250297076</stp>
        <tr r="FT5" s="115"/>
      </tp>
      <tp t="e">
        <v>#N/A</v>
        <stp/>
        <stp>BDS|13775930198824152173</stp>
        <tr r="FY5" s="85"/>
      </tp>
      <tp t="e">
        <v>#N/A</v>
        <stp/>
        <stp>BDS|11504619935872806039</stp>
        <tr r="HC5" s="44"/>
      </tp>
      <tp t="e">
        <v>#N/A</v>
        <stp/>
        <stp>BDS|13148139208075231120</stp>
        <tr r="K5" s="122"/>
      </tp>
      <tp t="e">
        <v>#N/A</v>
        <stp/>
        <stp>BDS|18367636414800871961</stp>
        <tr r="HH5" s="28"/>
      </tp>
      <tp t="e">
        <v>#N/A</v>
        <stp/>
        <stp>BDS|14595763212006872231</stp>
        <tr r="FY5" s="31"/>
      </tp>
      <tp t="e">
        <v>#N/A</v>
        <stp/>
        <stp>BDS|15827549796949476649</stp>
        <tr r="NG5" s="111"/>
      </tp>
      <tp t="e">
        <v>#N/A</v>
        <stp/>
        <stp>BDS|12584396157685595742</stp>
        <tr r="LX5" s="51"/>
      </tp>
      <tp t="e">
        <v>#N/A</v>
        <stp/>
        <stp>BDS|16931215715643637011</stp>
        <tr r="FY5" s="11"/>
      </tp>
      <tp t="e">
        <v>#N/A</v>
        <stp/>
        <stp>BDS|13526308934974810133</stp>
        <tr r="U5" s="28"/>
      </tp>
      <tp t="e">
        <v>#N/A</v>
        <stp/>
        <stp>BDS|14352489777350470129</stp>
        <tr r="F5" s="44"/>
      </tp>
      <tp t="e">
        <v>#N/A</v>
        <stp/>
        <stp>BDS|14936704208131215497</stp>
        <tr r="HM5" s="13"/>
      </tp>
      <tp t="e">
        <v>#N/A</v>
        <stp/>
        <stp>BDS|14069194131112039227</stp>
        <tr r="P5" s="44"/>
      </tp>
      <tp t="e">
        <v>#N/A</v>
        <stp/>
        <stp>BDS|10153213209820188420</stp>
        <tr r="OA5" s="63"/>
      </tp>
      <tp t="e">
        <v>#N/A</v>
        <stp/>
        <stp>BDS|16431585256469750972</stp>
        <tr r="FE5" s="81"/>
      </tp>
      <tp t="e">
        <v>#N/A</v>
        <stp/>
        <stp>BDS|10477716954275910139</stp>
        <tr r="IV5" s="73"/>
      </tp>
      <tp t="e">
        <v>#N/A</v>
        <stp/>
        <stp>BDS|15154497772698392827</stp>
        <tr r="CH5" s="119"/>
      </tp>
      <tp t="e">
        <v>#N/A</v>
        <stp/>
        <stp>BDS|11363373447502092283</stp>
        <tr r="AJ5" s="103"/>
      </tp>
      <tp t="e">
        <v>#N/A</v>
        <stp/>
        <stp>BDS|14086785172982747069</stp>
        <tr r="F5" s="15"/>
      </tp>
      <tp t="e">
        <v>#N/A</v>
        <stp/>
        <stp>BDS|11992606304531129070</stp>
        <tr r="CH5" s="40"/>
      </tp>
      <tp t="e">
        <v>#N/A</v>
        <stp/>
        <stp>BDS|15780841139988848097</stp>
        <tr r="EU5" s="39"/>
      </tp>
      <tp t="e">
        <v>#N/A</v>
        <stp/>
        <stp>BDS|11843006017406238067</stp>
        <tr r="IB5" s="11"/>
      </tp>
      <tp t="e">
        <v>#N/A</v>
        <stp/>
        <stp>BDS|14097441558896649515</stp>
        <tr r="NQ5" s="42"/>
      </tp>
      <tp t="e">
        <v>#N/A</v>
        <stp/>
        <stp>BDS|13294080412867739345</stp>
        <tr r="DB5" s="109"/>
      </tp>
      <tp t="e">
        <v>#N/A</v>
        <stp/>
        <stp>BDS|18074091551208778344</stp>
        <tr r="HC5" s="97"/>
      </tp>
      <tp t="e">
        <v>#N/A</v>
        <stp/>
        <stp>BDS|16315041203759688998</stp>
        <tr r="FE5" s="120"/>
      </tp>
      <tp t="e">
        <v>#N/A</v>
        <stp/>
        <stp>BDS|11264505454685402293</stp>
        <tr r="AJ5" s="67"/>
      </tp>
      <tp t="e">
        <v>#N/A</v>
        <stp/>
        <stp>BDS|13245797344420710630</stp>
        <tr r="FJ5" s="84"/>
      </tp>
      <tp t="e">
        <v>#N/A</v>
        <stp/>
        <stp>BDS|13187253900694528395</stp>
        <tr r="AE5" s="64"/>
      </tp>
      <tp t="e">
        <v>#N/A</v>
        <stp/>
        <stp>BDS|12077758803504976777</stp>
        <tr r="MR5" s="76"/>
      </tp>
      <tp t="e">
        <v>#N/A</v>
        <stp/>
        <stp>BDS|11049100899148988782</stp>
        <tr r="FE5" s="119"/>
      </tp>
      <tp t="e">
        <v>#N/A</v>
        <stp/>
        <stp>BDS|15774710206872019681</stp>
        <tr r="DB5" s="106"/>
      </tp>
      <tp t="e">
        <v>#N/A</v>
        <stp/>
        <stp>BDS|14034549571155471593</stp>
        <tr r="AY5" s="47"/>
      </tp>
      <tp t="e">
        <v>#N/A</v>
        <stp/>
        <stp>BDS|13878262644422485167</stp>
        <tr r="OF5" s="27"/>
      </tp>
      <tp t="e">
        <v>#N/A</v>
        <stp/>
        <stp>BDS|13645674239338584855</stp>
        <tr r="HR5" s="107"/>
      </tp>
      <tp t="e">
        <v>#N/A</v>
        <stp/>
        <stp>BDS|14524098224245110514</stp>
        <tr r="FO5" s="5"/>
      </tp>
      <tp t="e">
        <v>#N/A</v>
        <stp/>
        <stp>BDS|15907857491577786528</stp>
        <tr r="JZ5" s="62"/>
      </tp>
      <tp t="e">
        <v>#N/A</v>
        <stp/>
        <stp>BDS|11739328944444081496</stp>
        <tr r="JF5" s="117"/>
      </tp>
      <tp t="e">
        <v>#N/A</v>
        <stp/>
        <stp>BDS|14173964183250959354</stp>
        <tr r="AO5" s="22"/>
      </tp>
      <tp t="e">
        <v>#N/A</v>
        <stp/>
        <stp>BDS|12640719898918651211</stp>
        <tr r="CC5" s="6"/>
      </tp>
      <tp t="e">
        <v>#N/A</v>
        <stp/>
        <stp>BDS|14014682746089460922</stp>
        <tr r="JF5" s="35"/>
      </tp>
      <tp t="e">
        <v>#N/A</v>
        <stp/>
        <stp>BDS|11663120070554545590</stp>
        <tr r="EP5" s="89"/>
      </tp>
      <tp t="e">
        <v>#N/A</v>
        <stp/>
        <stp>BDS|12152251079237367664</stp>
        <tr r="GN5" s="6"/>
      </tp>
      <tp t="e">
        <v>#N/A</v>
        <stp/>
        <stp>BDS|10980031860759337904</stp>
        <tr r="U5" s="119"/>
      </tp>
      <tp t="e">
        <v>#N/A</v>
        <stp/>
        <stp>BDS|12863029388459332580</stp>
        <tr r="JZ5" s="45"/>
      </tp>
      <tp t="e">
        <v>#N/A</v>
        <stp/>
        <stp>BDS|14550288214299945895</stp>
        <tr r="JZ5" s="7"/>
      </tp>
      <tp t="e">
        <v>#N/A</v>
        <stp/>
        <stp>BDS|12093402949241636564</stp>
        <tr r="F5" s="61"/>
      </tp>
      <tp t="e">
        <v>#N/A</v>
        <stp/>
        <stp>BDS|13482817983782908765</stp>
        <tr r="FT5" s="67"/>
      </tp>
      <tp t="e">
        <v>#N/A</v>
        <stp/>
        <stp>BDS|14317173620892411399</stp>
        <tr r="BN5" s="85"/>
      </tp>
      <tp t="e">
        <v>#N/A</v>
        <stp/>
        <stp>BDS|15812771744675038527</stp>
        <tr r="LX5" s="2"/>
      </tp>
      <tp t="e">
        <v>#N/A</v>
        <stp/>
        <stp>BDS|11698560846943729583</stp>
        <tr r="HH5" s="31"/>
      </tp>
      <tp t="e">
        <v>#N/A</v>
        <stp/>
        <stp>BDS|12816040927667756153</stp>
        <tr r="GN5" s="44"/>
      </tp>
      <tp t="e">
        <v>#N/A</v>
        <stp/>
        <stp>BDS|11631343215136679386</stp>
        <tr r="HR5" s="69"/>
      </tp>
      <tp t="e">
        <v>#N/A</v>
        <stp/>
        <stp>BDS|10177670677494144390</stp>
        <tr r="GD5" s="89"/>
      </tp>
      <tp t="e">
        <v>#N/A</v>
        <stp/>
        <stp>BDS|12339541612158435885</stp>
        <tr r="NG5" s="118"/>
      </tp>
      <tp t="e">
        <v>#N/A</v>
        <stp/>
        <stp>BDS|16475082468654814257</stp>
        <tr r="FE5" s="86"/>
      </tp>
      <tp t="e">
        <v>#N/A</v>
        <stp/>
        <stp>BDS|11334075229830433576</stp>
        <tr r="JF5" s="42"/>
      </tp>
      <tp t="e">
        <v>#N/A</v>
        <stp/>
        <stp>BDS|16807454866690085250</stp>
        <tr r="BN5" s="44"/>
      </tp>
      <tp t="e">
        <v>#N/A</v>
        <stp/>
        <stp>BDS|15872186881038797280</stp>
        <tr r="KE5" s="6"/>
        <tr r="GI5" s="10"/>
      </tp>
      <tp t="e">
        <v>#N/A</v>
        <stp/>
        <stp>BDS|14924734750941793139</stp>
        <tr r="EA5" s="5"/>
      </tp>
      <tp t="e">
        <v>#N/A</v>
        <stp/>
        <stp>BDS|14512083263814068002</stp>
        <tr r="FY5" s="44"/>
      </tp>
      <tp t="e">
        <v>#N/A</v>
        <stp/>
        <stp>BDS|18432219198910299519</stp>
        <tr r="HC5" s="123"/>
      </tp>
      <tp t="e">
        <v>#N/A</v>
        <stp/>
        <stp>BDS|11009168222967918333</stp>
        <tr r="CH5" s="35"/>
      </tp>
      <tp t="e">
        <v>#N/A</v>
        <stp/>
        <stp>BDS|15897308122632370073</stp>
        <tr r="AJ5" s="108"/>
      </tp>
      <tp t="e">
        <v>#N/A</v>
        <stp/>
        <stp>BDS|11463820626519828463</stp>
        <tr r="BN5" s="25"/>
      </tp>
      <tp t="e">
        <v>#N/A</v>
        <stp/>
        <stp>BDS|15959281683271806844</stp>
        <tr r="MW5" s="88"/>
      </tp>
      <tp t="e">
        <v>#N/A</v>
        <stp/>
        <stp>BDS|13356598407097569769</stp>
        <tr r="CW5" s="81"/>
      </tp>
      <tp t="e">
        <v>#N/A</v>
        <stp/>
        <stp>BDS|16685607248147192516</stp>
        <tr r="MC5" s="112"/>
      </tp>
      <tp t="e">
        <v>#N/A</v>
        <stp/>
        <stp>BDS|11886939006017194928</stp>
        <tr r="DQ5" s="89"/>
      </tp>
      <tp t="e">
        <v>#N/A</v>
        <stp/>
        <stp>BDS|14277510052782702087</stp>
        <tr r="AO5" s="121"/>
      </tp>
      <tp t="e">
        <v>#N/A</v>
        <stp/>
        <stp>BDS|17802060219394021496</stp>
        <tr r="LD5" s="14"/>
      </tp>
      <tp t="e">
        <v>#N/A</v>
        <stp/>
        <stp>BDS|18051141115259686799</stp>
        <tr r="EZ5" s="105"/>
      </tp>
      <tp t="e">
        <v>#N/A</v>
        <stp/>
        <stp>BDS|13424751565150850421</stp>
        <tr r="IB5" s="21"/>
      </tp>
      <tp t="e">
        <v>#N/A</v>
        <stp/>
        <stp>BDS|15640738838955041234</stp>
        <tr r="U5" s="90"/>
      </tp>
      <tp t="e">
        <v>#N/A</v>
        <stp/>
        <stp>BDS|11484999065399644103</stp>
        <tr r="MR5" s="110"/>
      </tp>
      <tp t="e">
        <v>#N/A</v>
        <stp/>
        <stp>BDS|10433722499159202135</stp>
        <tr r="EZ5" s="63"/>
      </tp>
      <tp t="e">
        <v>#N/A</v>
        <stp/>
        <stp>BDS|17506087817268518811</stp>
        <tr r="NL5" s="93"/>
      </tp>
      <tp t="e">
        <v>#N/A</v>
        <stp/>
        <stp>BDS|15636189135509497812</stp>
        <tr r="AE5" s="108"/>
      </tp>
      <tp t="e">
        <v>#N/A</v>
        <stp/>
        <stp>BDS|14851599360217706695</stp>
        <tr r="DG5" s="29"/>
      </tp>
      <tp t="e">
        <v>#N/A</v>
        <stp/>
        <stp>BDS|14650823197836835547</stp>
        <tr r="OF5" s="92"/>
      </tp>
      <tp t="e">
        <v>#N/A</v>
        <stp/>
        <stp>BDS|12697761027727170691</stp>
        <tr r="FY5" s="93"/>
      </tp>
      <tp t="e">
        <v>#N/A</v>
        <stp/>
        <stp>BDS|15226470041481997227</stp>
        <tr r="IB5" s="77"/>
      </tp>
      <tp t="e">
        <v>#N/A</v>
        <stp/>
        <stp>BDS|12893372347084404735</stp>
        <tr r="CC5" s="4"/>
      </tp>
      <tp t="e">
        <v>#N/A</v>
        <stp/>
        <stp>BDS|14652328657777945353</stp>
        <tr r="BX5" s="88"/>
      </tp>
      <tp t="e">
        <v>#N/A</v>
        <stp/>
        <stp>BDS|10274101545937913413</stp>
        <tr r="GD5" s="113"/>
      </tp>
      <tp t="e">
        <v>#N/A</v>
        <stp/>
        <stp>BDS|13689672174822236682</stp>
        <tr r="CW5" s="91"/>
      </tp>
      <tp t="e">
        <v>#N/A</v>
        <stp/>
        <stp>BDS|17595996269796835828</stp>
        <tr r="GS5" s="4"/>
      </tp>
      <tp t="e">
        <v>#N/A</v>
        <stp/>
        <stp>BDS|16159699671959409827</stp>
        <tr r="IQ5" s="54"/>
      </tp>
      <tp t="e">
        <v>#N/A</v>
        <stp/>
        <stp>BDS|13146224683717619896</stp>
        <tr r="IL5" s="40"/>
      </tp>
      <tp t="e">
        <v>#N/A</v>
        <stp/>
        <stp>BDS|11266262940014951526</stp>
        <tr r="FE5" s="18"/>
      </tp>
      <tp t="e">
        <v>#N/A</v>
        <stp/>
        <stp>BDS|11056384205307525377</stp>
        <tr r="CR5" s="99"/>
      </tp>
      <tp t="e">
        <v>#N/A</v>
        <stp/>
        <stp>BDS|14099058276705481088</stp>
        <tr r="DG5" s="61"/>
      </tp>
      <tp t="e">
        <v>#N/A</v>
        <stp/>
        <stp>BDS|16702059055734807108</stp>
        <tr r="CR5" s="55"/>
      </tp>
      <tp t="e">
        <v>#N/A</v>
        <stp/>
        <stp>BDS|16571774665939167899</stp>
        <tr r="NQ5" s="115"/>
      </tp>
      <tp t="e">
        <v>#N/A</v>
        <stp/>
        <stp>BDS|13042710025869802938</stp>
        <tr r="A5" s="73"/>
      </tp>
      <tp t="e">
        <v>#N/A</v>
        <stp/>
        <stp>BDS|15857990537580029996</stp>
        <tr r="BS5" s="31"/>
      </tp>
      <tp t="e">
        <v>#N/A</v>
        <stp/>
        <stp>BDS|16009641359474086716</stp>
        <tr r="MM5" s="8"/>
      </tp>
      <tp t="e">
        <v>#N/A</v>
        <stp/>
        <stp>BDS|11034588254661021606</stp>
        <tr r="LD5" s="61"/>
      </tp>
      <tp t="e">
        <v>#N/A</v>
        <stp/>
        <stp>BDS|11287516985712875826</stp>
        <tr r="EP5" s="35"/>
      </tp>
      <tp t="e">
        <v>#N/A</v>
        <stp/>
        <stp>BDS|13092656569302124711</stp>
        <tr r="OF5" s="57"/>
      </tp>
      <tp t="e">
        <v>#N/A</v>
        <stp/>
        <stp>BDS|17792293395638352247</stp>
        <tr r="EA5" s="71"/>
      </tp>
      <tp t="e">
        <v>#N/A</v>
        <stp/>
        <stp>BDS|10213771129613823088</stp>
        <tr r="DL5" s="35"/>
      </tp>
      <tp t="e">
        <v>#N/A</v>
        <stp/>
        <stp>BDS|17166131145765301182</stp>
        <tr r="DL5" s="71"/>
      </tp>
      <tp t="e">
        <v>#N/A</v>
        <stp/>
        <stp>BDS|17205643551212928023</stp>
        <tr r="LD5" s="25"/>
      </tp>
      <tp t="e">
        <v>#N/A</v>
        <stp/>
        <stp>BDS|15084696728803962440</stp>
        <tr r="JA5" s="88"/>
      </tp>
      <tp t="e">
        <v>#N/A</v>
        <stp/>
        <stp>BDS|10079476719965770658</stp>
        <tr r="AO5" s="69"/>
      </tp>
      <tp t="e">
        <v>#N/A</v>
        <stp/>
        <stp>BDS|12881555910840521041</stp>
        <tr r="IQ5" s="124"/>
      </tp>
      <tp t="e">
        <v>#N/A</v>
        <stp/>
        <stp>BDS|18169925640206801577</stp>
        <tr r="FY5" s="1"/>
      </tp>
      <tp t="e">
        <v>#N/A</v>
        <stp/>
        <stp>BDS|17213662764456828740</stp>
        <tr r="JP5" s="43"/>
      </tp>
      <tp t="e">
        <v>#N/A</v>
        <stp/>
        <stp>BDS|10625599356853700526</stp>
        <tr r="KO5" s="27"/>
        <tr r="K5" s="48"/>
      </tp>
      <tp t="e">
        <v>#N/A</v>
        <stp/>
        <stp>BDS|17770294614831089367</stp>
        <tr r="EF5" s="78"/>
      </tp>
      <tp t="e">
        <v>#N/A</v>
        <stp/>
        <stp>BDS|13710614396392910853</stp>
        <tr r="IB5" s="30"/>
      </tp>
      <tp t="e">
        <v>#N/A</v>
        <stp/>
        <stp>BDS|17577778586108998613</stp>
        <tr r="CC5" s="52"/>
      </tp>
      <tp t="e">
        <v>#N/A</v>
        <stp/>
        <stp>BDS|15145534669617525720</stp>
        <tr r="NV5" s="89"/>
      </tp>
      <tp t="e">
        <v>#N/A</v>
        <stp/>
        <stp>BDS|11147011811122472488</stp>
        <tr r="EZ5" s="89"/>
      </tp>
      <tp t="e">
        <v>#N/A</v>
        <stp/>
        <stp>BDS|10197580924310995199</stp>
        <tr r="JA5" s="118"/>
      </tp>
      <tp t="e">
        <v>#N/A</v>
        <stp/>
        <stp>BDS|11564284173467656559</stp>
        <tr r="IB5" s="12"/>
      </tp>
      <tp t="e">
        <v>#N/A</v>
        <stp/>
        <stp>BDS|12422449033006742595</stp>
        <tr r="FT5" s="38"/>
      </tp>
      <tp t="e">
        <v>#N/A</v>
        <stp/>
        <stp>BDS|17915282119772156048</stp>
        <tr r="EU5" s="48"/>
      </tp>
      <tp t="e">
        <v>#N/A</v>
        <stp/>
        <stp>BDS|13081595416134740550</stp>
        <tr r="JZ5" s="106"/>
      </tp>
      <tp t="e">
        <v>#N/A</v>
        <stp/>
        <stp>BDS|12489465131797752497</stp>
        <tr r="DG5" s="68"/>
      </tp>
      <tp t="e">
        <v>#N/A</v>
        <stp/>
        <stp>BDS|10000729130230676293</stp>
        <tr r="K5" s="102"/>
      </tp>
      <tp t="e">
        <v>#N/A</v>
        <stp/>
        <stp>BDS|10770580122484148518</stp>
        <tr r="A5" s="70"/>
      </tp>
      <tp t="e">
        <v>#N/A</v>
        <stp/>
        <stp>BDS|13105738455852952536</stp>
        <tr r="EP5" s="8"/>
      </tp>
      <tp t="e">
        <v>#N/A</v>
        <stp/>
        <stp>BDS|11806434385763619850</stp>
        <tr r="CC5" s="97"/>
      </tp>
      <tp t="e">
        <v>#N/A</v>
        <stp/>
        <stp>BDS|12798262714175992211</stp>
        <tr r="CC5" s="19"/>
      </tp>
      <tp t="e">
        <v>#N/A</v>
        <stp/>
        <stp>BDS|15187588622256256246</stp>
        <tr r="EF5" s="57"/>
      </tp>
      <tp t="e">
        <v>#N/A</v>
        <stp/>
        <stp>BDS|15008371649747110327</stp>
        <tr r="P5" s="102"/>
      </tp>
      <tp t="e">
        <v>#N/A</v>
        <stp/>
        <stp>BDS|16431323449257225007</stp>
        <tr r="EP5" s="124"/>
      </tp>
      <tp t="e">
        <v>#N/A</v>
        <stp/>
        <stp>BDS|18030096381414543203</stp>
        <tr r="A5" s="30"/>
      </tp>
      <tp t="e">
        <v>#N/A</v>
        <stp/>
        <stp>BDS|14518536648961721249</stp>
        <tr r="LN5" s="60"/>
      </tp>
      <tp t="e">
        <v>#N/A</v>
        <stp/>
        <stp>BDS|16327352766796689344</stp>
        <tr r="MH5" s="118"/>
      </tp>
      <tp t="e">
        <v>#N/A</v>
        <stp/>
        <stp>BDS|12186264125045629161</stp>
        <tr r="NV5" s="17"/>
      </tp>
      <tp t="e">
        <v>#N/A</v>
        <stp/>
        <stp>BDS|12703610278532885742</stp>
        <tr r="IG5" s="55"/>
        <tr r="OA5" s="50"/>
      </tp>
      <tp t="e">
        <v>#N/A</v>
        <stp/>
        <stp>BDS|11004051110035464338</stp>
        <tr r="FY5" s="38"/>
      </tp>
      <tp t="e">
        <v>#N/A</v>
        <stp/>
        <stp>BDS|13445134165854374632</stp>
        <tr r="FT5" s="31"/>
      </tp>
      <tp t="e">
        <v>#N/A</v>
        <stp/>
        <stp>BDS|13689063226302079543</stp>
        <tr r="CW5" s="30"/>
      </tp>
      <tp t="e">
        <v>#N/A</v>
        <stp/>
        <stp>BDS|18058446028010727892</stp>
        <tr r="FO5" s="8"/>
      </tp>
      <tp t="e">
        <v>#N/A</v>
        <stp/>
        <stp>BDS|11535077556035760710</stp>
        <tr r="DV5" s="84"/>
      </tp>
      <tp t="e">
        <v>#N/A</v>
        <stp/>
        <stp>BDS|14025505046573538016</stp>
        <tr r="AJ5" s="2"/>
      </tp>
      <tp t="e">
        <v>#N/A</v>
        <stp/>
        <stp>BDS|10274919091805024302</stp>
        <tr r="HC5" s="4"/>
      </tp>
      <tp t="e">
        <v>#N/A</v>
        <stp/>
        <stp>BDS|14106249675976398102</stp>
        <tr r="NG5" s="27"/>
      </tp>
      <tp t="e">
        <v>#N/A</v>
        <stp/>
        <stp>BDS|18193713001030706951</stp>
        <tr r="LD5" s="92"/>
      </tp>
      <tp t="e">
        <v>#N/A</v>
        <stp/>
        <stp>BDS|15607662015241288542</stp>
        <tr r="IV5" s="67"/>
      </tp>
      <tp t="e">
        <v>#N/A</v>
        <stp/>
        <stp>BDS|12970304410581899725</stp>
        <tr r="NB5" s="22"/>
      </tp>
      <tp t="e">
        <v>#N/A</v>
        <stp/>
        <stp>BDS|14220461015824402361</stp>
        <tr r="IV5" s="46"/>
      </tp>
      <tp t="e">
        <v>#N/A</v>
        <stp/>
        <stp>BDS|16299461426012511441</stp>
        <tr r="MC5" s="24"/>
      </tp>
      <tp t="e">
        <v>#N/A</v>
        <stp/>
        <stp>BDS|16654840636829039276</stp>
        <tr r="IV5" s="38"/>
      </tp>
      <tp t="e">
        <v>#N/A</v>
        <stp/>
        <stp>BDS|17851281845587500039</stp>
        <tr r="LS5" s="21"/>
      </tp>
      <tp t="e">
        <v>#N/A</v>
        <stp/>
        <stp>BDS|10300612141695595152</stp>
        <tr r="K5" s="92"/>
      </tp>
      <tp t="e">
        <v>#N/A</v>
        <stp/>
        <stp>BDS|15179554101124784214</stp>
        <tr r="AE5" s="97"/>
      </tp>
      <tp t="e">
        <v>#N/A</v>
        <stp/>
        <stp>BDS|16967184312638535859</stp>
        <tr r="NL5" s="100"/>
      </tp>
      <tp t="e">
        <v>#N/A</v>
        <stp/>
        <stp>BDS|12384702595548545206</stp>
        <tr r="DG5" s="14"/>
      </tp>
      <tp t="e">
        <v>#N/A</v>
        <stp/>
        <stp>BDS|10894782673084236224</stp>
        <tr r="KT5" s="105"/>
      </tp>
      <tp t="e">
        <v>#N/A</v>
        <stp/>
        <stp>BDS|17644079976211693725</stp>
        <tr r="HH5" s="45"/>
      </tp>
      <tp t="e">
        <v>#N/A</v>
        <stp/>
        <stp>BDS|13381248365577264630</stp>
        <tr r="KO5" s="6"/>
        <tr r="AE5" s="15"/>
      </tp>
      <tp t="e">
        <v>#N/A</v>
        <stp/>
        <stp>BDS|12898470739224519708</stp>
        <tr r="DB5" s="108"/>
      </tp>
      <tp t="e">
        <v>#N/A</v>
        <stp/>
        <stp>BDS|10014364420755469215</stp>
        <tr r="LD5" s="53"/>
      </tp>
      <tp t="e">
        <v>#N/A</v>
        <stp/>
        <stp>BDS|12483421941321696522</stp>
        <tr r="JF5" s="68"/>
      </tp>
      <tp t="e">
        <v>#N/A</v>
        <stp/>
        <stp>BDS|16608531115070757445</stp>
        <tr r="FJ5" s="72"/>
      </tp>
      <tp t="e">
        <v>#N/A</v>
        <stp/>
        <stp>BDS|10934043689766062870</stp>
        <tr r="NQ5" s="58"/>
      </tp>
      <tp t="e">
        <v>#N/A</v>
        <stp/>
        <stp>BDS|16830838950754852909</stp>
        <tr r="KY5" s="26"/>
      </tp>
      <tp t="e">
        <v>#N/A</v>
        <stp/>
        <stp>BDS|15828859891874819675</stp>
        <tr r="BI5" s="95"/>
      </tp>
      <tp t="e">
        <v>#N/A</v>
        <stp/>
        <stp>BDS|15103715819556861320</stp>
        <tr r="NG5" s="120"/>
      </tp>
      <tp t="e">
        <v>#N/A</v>
        <stp/>
        <stp>BDS|18215729127128179358</stp>
        <tr r="LD5" s="116"/>
      </tp>
      <tp t="e">
        <v>#N/A</v>
        <stp/>
        <stp>BDS|14120968587966466573</stp>
        <tr r="GN5" s="45"/>
      </tp>
      <tp t="e">
        <v>#N/A</v>
        <stp/>
        <stp>BDS|11601950629294171881</stp>
        <tr r="HR5" s="82"/>
      </tp>
      <tp t="e">
        <v>#N/A</v>
        <stp/>
        <stp>BDS|16777343843713319406</stp>
        <tr r="BN5" s="55"/>
      </tp>
      <tp t="e">
        <v>#N/A</v>
        <stp/>
        <stp>BDS|17456639342097040452</stp>
        <tr r="IB5" s="29"/>
      </tp>
      <tp t="e">
        <v>#N/A</v>
        <stp/>
        <stp>BDS|12736323734385901189</stp>
        <tr r="CW5" s="86"/>
      </tp>
      <tp t="e">
        <v>#N/A</v>
        <stp/>
        <stp>BDS|14690552361876511778</stp>
        <tr r="JZ5" s="29"/>
      </tp>
      <tp t="e">
        <v>#N/A</v>
        <stp/>
        <stp>BDS|17140115379873831413</stp>
        <tr r="KE5" s="107"/>
      </tp>
      <tp t="e">
        <v>#N/A</v>
        <stp/>
        <stp>BDS|10292264603440566426</stp>
        <tr r="JF5" s="86"/>
      </tp>
      <tp t="e">
        <v>#N/A</v>
        <stp/>
        <stp>BDS|14001245031390784326</stp>
        <tr r="HC5" s="64"/>
      </tp>
      <tp t="e">
        <v>#N/A</v>
        <stp/>
        <stp>BDS|18216809541717051532</stp>
        <tr r="HC5" s="92"/>
      </tp>
      <tp t="e">
        <v>#N/A</v>
        <stp/>
        <stp>BDS|12813255532836967365</stp>
        <tr r="NV5" s="78"/>
      </tp>
      <tp t="e">
        <v>#N/A</v>
        <stp/>
        <stp>BDS|13336742917822955192</stp>
        <tr r="GD5" s="82"/>
      </tp>
      <tp t="e">
        <v>#N/A</v>
        <stp/>
        <stp>BDS|16782277605471608335</stp>
        <tr r="NB5" s="55"/>
      </tp>
      <tp t="e">
        <v>#N/A</v>
        <stp/>
        <stp>BDS|10749789801672836366</stp>
        <tr r="JA5" s="78"/>
      </tp>
      <tp t="e">
        <v>#N/A</v>
        <stp/>
        <stp>BDS|17720407174702589067</stp>
        <tr r="JF5" s="22"/>
      </tp>
      <tp t="e">
        <v>#N/A</v>
        <stp/>
        <stp>BDS|15512584785378022689</stp>
        <tr r="CW5" s="92"/>
      </tp>
      <tp t="e">
        <v>#N/A</v>
        <stp/>
        <stp>BDS|16550264534273677218</stp>
        <tr r="GI5" s="25"/>
      </tp>
      <tp t="e">
        <v>#N/A</v>
        <stp/>
        <stp>BDS|13212385348874032623</stp>
        <tr r="IB5" s="63"/>
      </tp>
      <tp t="e">
        <v>#N/A</v>
        <stp/>
        <stp>BDS|10437117871213477300</stp>
        <tr r="BI5" s="114"/>
      </tp>
      <tp t="e">
        <v>#N/A</v>
        <stp/>
        <stp>BDS|16171574691798179462</stp>
        <tr r="DB5" s="71"/>
      </tp>
      <tp t="e">
        <v>#N/A</v>
        <stp/>
        <stp>BDS|11634004166240625167</stp>
        <tr r="FT5" s="124"/>
      </tp>
      <tp t="e">
        <v>#N/A</v>
        <stp/>
        <stp>BDS|15474278927897307477</stp>
        <tr r="GX5" s="107"/>
      </tp>
      <tp t="e">
        <v>#N/A</v>
        <stp/>
        <stp>BDS|13022509503783530368</stp>
        <tr r="KO5" s="90"/>
      </tp>
      <tp t="e">
        <v>#N/A</v>
        <stp/>
        <stp>BDS|10052277764045507765</stp>
        <tr r="BS5" s="85"/>
      </tp>
      <tp t="e">
        <v>#N/A</v>
        <stp/>
        <stp>BDS|14884682073256456578</stp>
        <tr r="HW5" s="124"/>
      </tp>
      <tp t="e">
        <v>#N/A</v>
        <stp/>
        <stp>BDS|14173172493413447911</stp>
        <tr r="MM5" s="80"/>
      </tp>
      <tp t="e">
        <v>#N/A</v>
        <stp/>
        <stp>BDS|12163698579095660060</stp>
        <tr r="HC5" s="38"/>
      </tp>
      <tp t="e">
        <v>#N/A</v>
        <stp/>
        <stp>BDS|13658036224200002709</stp>
        <tr r="LN5" s="14"/>
      </tp>
      <tp t="e">
        <v>#N/A</v>
        <stp/>
        <stp>BDS|10662944241459576279</stp>
        <tr r="EZ5" s="10"/>
      </tp>
      <tp t="e">
        <v>#N/A</v>
        <stp/>
        <stp>BDS|11535019825407571256</stp>
        <tr r="JZ5" s="38"/>
      </tp>
      <tp t="e">
        <v>#N/A</v>
        <stp/>
        <stp>BDS|16429234946374734279</stp>
        <tr r="LX5" s="120"/>
      </tp>
      <tp t="e">
        <v>#N/A</v>
        <stp/>
        <stp>BDS|14569865060778733459</stp>
        <tr r="AE5" s="27"/>
      </tp>
      <tp t="e">
        <v>#N/A</v>
        <stp/>
        <stp>BDS|13542040643840454177</stp>
        <tr r="KJ5" s="58"/>
      </tp>
      <tp t="e">
        <v>#N/A</v>
        <stp/>
        <stp>BDS|14911104732905972536</stp>
        <tr r="FO5" s="17"/>
      </tp>
      <tp t="e">
        <v>#N/A</v>
        <stp/>
        <stp>BDS|11184347331702355560</stp>
        <tr r="KY5" s="60"/>
      </tp>
      <tp t="e">
        <v>#N/A</v>
        <stp/>
        <stp>BDS|15890238328375586677</stp>
        <tr r="FE5" s="30"/>
      </tp>
      <tp t="e">
        <v>#N/A</v>
        <stp/>
        <stp>BDS|12721037004985184107</stp>
        <tr r="JU5" s="77"/>
      </tp>
      <tp t="e">
        <v>#N/A</v>
        <stp/>
        <stp>BDS|17187329645096426030</stp>
        <tr r="GD5" s="103"/>
      </tp>
      <tp t="e">
        <v>#N/A</v>
        <stp/>
        <stp>BDS|12293358604383186439</stp>
        <tr r="LN5" s="25"/>
      </tp>
      <tp t="e">
        <v>#N/A</v>
        <stp/>
        <stp>BDS|11692358649990934029</stp>
        <tr r="CC5" s="62"/>
      </tp>
      <tp t="e">
        <v>#N/A</v>
        <stp/>
        <stp>BDS|15155637848253341285</stp>
        <tr r="BX5" s="64"/>
      </tp>
      <tp t="e">
        <v>#N/A</v>
        <stp/>
        <stp>BDS|15373341574756367110</stp>
        <tr r="NV5" s="68"/>
      </tp>
      <tp t="e">
        <v>#N/A</v>
        <stp/>
        <stp>BDS|13505665599882838839</stp>
        <tr r="CW5" s="95"/>
      </tp>
      <tp t="e">
        <v>#N/A</v>
        <stp/>
        <stp>BDS|14344612271640341313</stp>
        <tr r="P5" s="18"/>
      </tp>
      <tp t="e">
        <v>#N/A</v>
        <stp/>
        <stp>BDS|11244537856072460523</stp>
        <tr r="CM5" s="8"/>
      </tp>
      <tp t="e">
        <v>#N/A</v>
        <stp/>
        <stp>BDS|13522184753711638097</stp>
        <tr r="LI5" s="80"/>
      </tp>
      <tp t="e">
        <v>#N/A</v>
        <stp/>
        <stp>BDS|15385076404436787567</stp>
        <tr r="GX5" s="87"/>
      </tp>
      <tp t="e">
        <v>#N/A</v>
        <stp/>
        <stp>BDS|16470583535543856500</stp>
        <tr r="GD5" s="45"/>
      </tp>
      <tp t="e">
        <v>#N/A</v>
        <stp/>
        <stp>BDS|14285726823591574607</stp>
        <tr r="F5" s="96"/>
      </tp>
      <tp t="e">
        <v>#N/A</v>
        <stp/>
        <stp>BDS|17041539844338025816</stp>
        <tr r="CH5" s="54"/>
      </tp>
      <tp t="e">
        <v>#N/A</v>
        <stp/>
        <stp>BDS|16407744898567893962</stp>
        <tr r="EZ5" s="84"/>
      </tp>
      <tp t="e">
        <v>#N/A</v>
        <stp/>
        <stp>BDS|14399251404369168957</stp>
        <tr r="AE5" s="125"/>
      </tp>
      <tp t="e">
        <v>#N/A</v>
        <stp/>
        <stp>BDS|13285432940273273656</stp>
        <tr r="HM5" s="37"/>
      </tp>
      <tp t="e">
        <v>#N/A</v>
        <stp/>
        <stp>BDS|16915136864183163499</stp>
        <tr r="BI5" s="119"/>
      </tp>
      <tp t="e">
        <v>#N/A</v>
        <stp/>
        <stp>BDS|15174704867551389336</stp>
        <tr r="MC5" s="1"/>
      </tp>
      <tp t="e">
        <v>#N/A</v>
        <stp/>
        <stp>BDS|12785403858785951006</stp>
        <tr r="GI5" s="69"/>
      </tp>
      <tp t="e">
        <v>#N/A</v>
        <stp/>
        <stp>BDS|11454760221143481113</stp>
        <tr r="AO5" s="53"/>
      </tp>
      <tp t="e">
        <v>#N/A</v>
        <stp/>
        <stp>BDS|18253789667229915622</stp>
        <tr r="MW5" s="115"/>
      </tp>
      <tp t="e">
        <v>#N/A</v>
        <stp/>
        <stp>BDS|14238867082757078508</stp>
        <tr r="FT5" s="100"/>
      </tp>
      <tp t="e">
        <v>#N/A</v>
        <stp/>
        <stp>BDS|11378129166980024016</stp>
        <tr r="KY5" s="97"/>
      </tp>
      <tp t="e">
        <v>#N/A</v>
        <stp/>
        <stp>BDS|10650961545729418270</stp>
        <tr r="GD5" s="94"/>
      </tp>
      <tp t="e">
        <v>#N/A</v>
        <stp/>
        <stp>BDS|12585235212042599575</stp>
        <tr r="KJ5" s="30"/>
      </tp>
      <tp t="e">
        <v>#N/A</v>
        <stp/>
        <stp>BDS|12378468527680797231</stp>
        <tr r="IG5" s="9"/>
      </tp>
      <tp t="e">
        <v>#N/A</v>
        <stp/>
        <stp>BDS|13017283163320593188</stp>
        <tr r="FE5" s="104"/>
      </tp>
      <tp t="e">
        <v>#N/A</v>
        <stp/>
        <stp>BDS|11235572756242210572</stp>
        <tr r="IL5" s="36"/>
      </tp>
      <tp t="e">
        <v>#N/A</v>
        <stp/>
        <stp>BDS|12440981930447252982</stp>
        <tr r="DV5" s="50"/>
      </tp>
      <tp t="e">
        <v>#N/A</v>
        <stp/>
        <stp>BDS|14437221711512235332</stp>
        <tr r="IG5" s="121"/>
      </tp>
      <tp t="e">
        <v>#N/A</v>
        <stp/>
        <stp>BDS|12472720812181526371</stp>
        <tr r="EA5" s="62"/>
      </tp>
      <tp t="e">
        <v>#N/A</v>
        <stp/>
        <stp>BDS|14633186516334735690</stp>
        <tr r="AT5" s="4"/>
      </tp>
      <tp t="e">
        <v>#N/A</v>
        <stp/>
        <stp>BDS|11204107207415454373</stp>
        <tr r="GX5" s="15"/>
      </tp>
      <tp t="e">
        <v>#N/A</v>
        <stp/>
        <stp>BDS|15883954759998030722</stp>
        <tr r="IG5" s="56"/>
      </tp>
      <tp t="e">
        <v>#N/A</v>
        <stp/>
        <stp>BDS|17900216239656079673</stp>
        <tr r="FE5" s="45"/>
      </tp>
      <tp t="e">
        <v>#N/A</v>
        <stp/>
        <stp>BDS|15099126336139246811</stp>
        <tr r="FY5" s="29"/>
      </tp>
      <tp t="e">
        <v>#N/A</v>
        <stp/>
        <stp>BDS|17606351427470566068</stp>
        <tr r="P5" s="66"/>
      </tp>
      <tp t="e">
        <v>#N/A</v>
        <stp/>
        <stp>BDS|15871715774962848125</stp>
        <tr r="FT5" s="53"/>
      </tp>
      <tp t="e">
        <v>#N/A</v>
        <stp/>
        <stp>BDS|10053351382708712578</stp>
        <tr r="AJ5" s="17"/>
      </tp>
      <tp t="e">
        <v>#N/A</v>
        <stp/>
        <stp>BDS|13733578212399172847</stp>
        <tr r="DL5" s="117"/>
      </tp>
      <tp t="e">
        <v>#N/A</v>
        <stp/>
        <stp>BDS|18083724294390309020</stp>
        <tr r="EP5" s="15"/>
      </tp>
      <tp t="e">
        <v>#N/A</v>
        <stp/>
        <stp>BDS|12725148635647877195</stp>
        <tr r="DV5" s="39"/>
      </tp>
      <tp t="e">
        <v>#N/A</v>
        <stp/>
        <stp>BDS|17321311090853607837</stp>
        <tr r="NB5" s="106"/>
      </tp>
      <tp t="e">
        <v>#N/A</v>
        <stp/>
        <stp>BDS|12098050466966341476</stp>
        <tr r="AY5" s="26"/>
      </tp>
      <tp t="e">
        <v>#N/A</v>
        <stp/>
        <stp>BDS|10345675467382459405</stp>
        <tr r="BS5" s="96"/>
      </tp>
      <tp t="e">
        <v>#N/A</v>
        <stp/>
        <stp>BDS|17012631656317485569</stp>
        <tr r="GI5" s="89"/>
      </tp>
      <tp t="e">
        <v>#N/A</v>
        <stp/>
        <stp>BDS|11503045647231234236</stp>
        <tr r="KE5" s="60"/>
      </tp>
      <tp t="e">
        <v>#N/A</v>
        <stp/>
        <stp>BDS|11418471183128738303</stp>
        <tr r="AY5" s="64"/>
      </tp>
      <tp t="e">
        <v>#N/A</v>
        <stp/>
        <stp>BDS|16750633171445415463</stp>
        <tr r="LN5" s="69"/>
        <tr r="BD5" s="42"/>
      </tp>
      <tp t="e">
        <v>#N/A</v>
        <stp/>
        <stp>BDS|12712206174693061240</stp>
        <tr r="FT5" s="64"/>
      </tp>
      <tp t="e">
        <v>#N/A</v>
        <stp/>
        <stp>BDS|13412228996508131668</stp>
        <tr r="JP5" s="47"/>
      </tp>
      <tp t="e">
        <v>#N/A</v>
        <stp/>
        <stp>BDS|12382163755907048773</stp>
        <tr r="GD5" s="78"/>
      </tp>
      <tp t="e">
        <v>#N/A</v>
        <stp/>
        <stp>BDS|15739150294279914285</stp>
        <tr r="AY5" s="29"/>
      </tp>
      <tp t="e">
        <v>#N/A</v>
        <stp/>
        <stp>BDS|14653115981199276233</stp>
        <tr r="GN5" s="29"/>
      </tp>
      <tp t="e">
        <v>#N/A</v>
        <stp/>
        <stp>BDS|14452711731320053637</stp>
        <tr r="FT5" s="122"/>
      </tp>
      <tp t="e">
        <v>#N/A</v>
        <stp/>
        <stp>BDS|14213572374132074261</stp>
        <tr r="AT5" s="44"/>
      </tp>
      <tp t="e">
        <v>#N/A</v>
        <stp/>
        <stp>BDS|15060224479926869077</stp>
        <tr r="Z5" s="32"/>
      </tp>
      <tp t="e">
        <v>#N/A</v>
        <stp/>
        <stp>BDS|16262146186850227960</stp>
        <tr r="JP5" s="84"/>
      </tp>
      <tp t="e">
        <v>#N/A</v>
        <stp/>
        <stp>BDS|16026677711913663440</stp>
        <tr r="JK5" s="73"/>
      </tp>
      <tp t="e">
        <v>#N/A</v>
        <stp/>
        <stp>BDS|15814798410781354462</stp>
        <tr r="MR5" s="97"/>
      </tp>
      <tp t="e">
        <v>#N/A</v>
        <stp/>
        <stp>BDS|11578808784143740423</stp>
        <tr r="EP5" s="13"/>
      </tp>
      <tp t="e">
        <v>#N/A</v>
        <stp/>
        <stp>BDS|16401318915326478405</stp>
        <tr r="FO5" s="52"/>
      </tp>
      <tp t="e">
        <v>#N/A</v>
        <stp/>
        <stp>BDS|10699965864109359030</stp>
        <tr r="JP5" s="76"/>
      </tp>
      <tp t="e">
        <v>#N/A</v>
        <stp/>
        <stp>BDS|11133339402666557211</stp>
        <tr r="AO5" s="93"/>
      </tp>
      <tp t="e">
        <v>#N/A</v>
        <stp/>
        <stp>BDS|12601727833413496375</stp>
        <tr r="NV5" s="110"/>
      </tp>
      <tp t="e">
        <v>#N/A</v>
        <stp/>
        <stp>BDS|17739562440624207478</stp>
        <tr r="F5" s="94"/>
      </tp>
      <tp t="e">
        <v>#N/A</v>
        <stp/>
        <stp>BDS|11657584724866715697</stp>
        <tr r="MR5" s="58"/>
      </tp>
      <tp t="e">
        <v>#N/A</v>
        <stp/>
        <stp>BDS|12068727465462489772</stp>
        <tr r="CC5" s="61"/>
      </tp>
      <tp t="e">
        <v>#N/A</v>
        <stp/>
        <stp>BDS|14056795850825974542</stp>
        <tr r="CM5" s="58"/>
      </tp>
      <tp t="e">
        <v>#N/A</v>
        <stp/>
        <stp>BDS|15161737346319587957</stp>
        <tr r="LD5" s="111"/>
      </tp>
      <tp t="e">
        <v>#N/A</v>
        <stp/>
        <stp>BDS|10434548487792391909</stp>
        <tr r="CW5" s="62"/>
      </tp>
      <tp t="e">
        <v>#N/A</v>
        <stp/>
        <stp>BDS|12005212072318628910</stp>
        <tr r="LS5" s="106"/>
      </tp>
      <tp t="e">
        <v>#N/A</v>
        <stp/>
        <stp>BDS|15097650346957736601</stp>
        <tr r="LI5" s="70"/>
      </tp>
      <tp t="e">
        <v>#N/A</v>
        <stp/>
        <stp>BDS|16244992829668606301</stp>
        <tr r="HC5" s="66"/>
      </tp>
      <tp t="e">
        <v>#N/A</v>
        <stp/>
        <stp>BDS|18284877172523135228</stp>
        <tr r="KY5" s="107"/>
      </tp>
      <tp t="e">
        <v>#N/A</v>
        <stp/>
        <stp>BDS|12850677278004276115</stp>
        <tr r="CH5" s="65"/>
      </tp>
      <tp t="e">
        <v>#N/A</v>
        <stp/>
        <stp>BDS|12190224230403782601</stp>
        <tr r="K5" s="113"/>
      </tp>
      <tp t="e">
        <v>#N/A</v>
        <stp/>
        <stp>BDS|16977318748695397277</stp>
        <tr r="KT5" s="58"/>
      </tp>
      <tp t="e">
        <v>#N/A</v>
        <stp/>
        <stp>BDS|14943704406233804635</stp>
        <tr r="NQ5" s="124"/>
      </tp>
      <tp t="e">
        <v>#N/A</v>
        <stp/>
        <stp>BDS|13908847104055589889</stp>
        <tr r="A5" s="14"/>
      </tp>
      <tp t="e">
        <v>#N/A</v>
        <stp/>
        <stp>BDS|12201024027957327109</stp>
        <tr r="OF5" s="14"/>
      </tp>
      <tp t="e">
        <v>#N/A</v>
        <stp/>
        <stp>BDS|13001082312763997779</stp>
        <tr r="AY5" s="118"/>
      </tp>
      <tp t="e">
        <v>#N/A</v>
        <stp/>
        <stp>BDS|18144551741898070701</stp>
        <tr r="LX5" s="18"/>
      </tp>
      <tp t="e">
        <v>#N/A</v>
        <stp/>
        <stp>BDS|17183376137347673623</stp>
        <tr r="P5" s="81"/>
      </tp>
      <tp t="e">
        <v>#N/A</v>
        <stp/>
        <stp>BDS|13599576368154608297</stp>
        <tr r="IL5" s="112"/>
      </tp>
      <tp t="e">
        <v>#N/A</v>
        <stp/>
        <stp>BDS|10053395668116297561</stp>
        <tr r="P5" s="114"/>
      </tp>
      <tp t="e">
        <v>#N/A</v>
        <stp/>
        <stp>BDS|15776470750713096156</stp>
        <tr r="GX5" s="110"/>
      </tp>
      <tp t="e">
        <v>#N/A</v>
        <stp/>
        <stp>BDS|14586962872668763434</stp>
        <tr r="IL5" s="35"/>
      </tp>
      <tp t="e">
        <v>#N/A</v>
        <stp/>
        <stp>BDS|16225760565197675629</stp>
        <tr r="CM5" s="51"/>
      </tp>
      <tp t="e">
        <v>#N/A</v>
        <stp/>
        <stp>BDS|12970547527252873178</stp>
        <tr r="JF5" s="54"/>
      </tp>
      <tp t="e">
        <v>#N/A</v>
        <stp/>
        <stp>BDS|14700485759264738746</stp>
        <tr r="NQ5" s="120"/>
      </tp>
      <tp t="e">
        <v>#N/A</v>
        <stp/>
        <stp>BDS|17394835492085670519</stp>
        <tr r="P5" s="56"/>
      </tp>
      <tp t="e">
        <v>#N/A</v>
        <stp/>
        <stp>BDS|12831450951896986301</stp>
        <tr r="BS5" s="109"/>
      </tp>
      <tp t="e">
        <v>#N/A</v>
        <stp/>
        <stp>BDS|10761440432039163851</stp>
        <tr r="KT5" s="93"/>
      </tp>
      <tp t="e">
        <v>#N/A</v>
        <stp/>
        <stp>BDS|12966901989611658435</stp>
        <tr r="LX5" s="17"/>
      </tp>
      <tp t="e">
        <v>#N/A</v>
        <stp/>
        <stp>BDS|17876615830577540393</stp>
        <tr r="EF5" s="94"/>
      </tp>
      <tp t="e">
        <v>#N/A</v>
        <stp/>
        <stp>BDS|17116631075631638142</stp>
        <tr r="CR5" s="101"/>
      </tp>
      <tp t="e">
        <v>#N/A</v>
        <stp/>
        <stp>BDS|16019552415207010355</stp>
        <tr r="NV5" s="69"/>
      </tp>
      <tp t="e">
        <v>#N/A</v>
        <stp/>
        <stp>BDS|15816148338763836298</stp>
        <tr r="GS5" s="117"/>
      </tp>
      <tp t="e">
        <v>#N/A</v>
        <stp/>
        <stp>BDS|11180934676948686178</stp>
        <tr r="KJ5" s="107"/>
      </tp>
      <tp t="e">
        <v>#N/A</v>
        <stp/>
        <stp>BDS|16169480127524498301</stp>
        <tr r="DL5" s="121"/>
      </tp>
      <tp t="e">
        <v>#N/A</v>
        <stp/>
        <stp>BDS|13091641735116800733</stp>
        <tr r="BD5" s="53"/>
      </tp>
      <tp t="e">
        <v>#N/A</v>
        <stp/>
        <stp>BDS|16460007509896089778</stp>
        <tr r="EU5" s="118"/>
      </tp>
      <tp t="e">
        <v>#N/A</v>
        <stp/>
        <stp>BDS|14695724225443970527</stp>
        <tr r="BD5" s="63"/>
      </tp>
      <tp t="e">
        <v>#N/A</v>
        <stp/>
        <stp>BDS|16137648826736978303</stp>
        <tr r="EP5" s="2"/>
      </tp>
      <tp t="e">
        <v>#N/A</v>
        <stp/>
        <stp>BDS|16665180261843075556</stp>
        <tr r="IQ5" s="79"/>
      </tp>
      <tp t="e">
        <v>#N/A</v>
        <stp/>
        <stp>BDS|15982437937415139067</stp>
        <tr r="KY5" s="125"/>
      </tp>
      <tp t="e">
        <v>#N/A</v>
        <stp/>
        <stp>BDS|12084518751807838225</stp>
        <tr r="IV5" s="99"/>
      </tp>
      <tp t="e">
        <v>#N/A</v>
        <stp/>
        <stp>BDS|15978569835792825687</stp>
        <tr r="OF5" s="91"/>
      </tp>
      <tp t="e">
        <v>#N/A</v>
        <stp/>
        <stp>BDS|17441205658121269645</stp>
        <tr r="GI5" s="75"/>
      </tp>
      <tp t="e">
        <v>#N/A</v>
        <stp/>
        <stp>BDS|17470456009650511475</stp>
        <tr r="NV5" s="111"/>
      </tp>
      <tp t="e">
        <v>#N/A</v>
        <stp/>
        <stp>BDS|15091241669903069575</stp>
        <tr r="MC5" s="18"/>
      </tp>
      <tp t="e">
        <v>#N/A</v>
        <stp/>
        <stp>BDS|14418676784644813952</stp>
        <tr r="P5" s="37"/>
      </tp>
      <tp t="e">
        <v>#N/A</v>
        <stp/>
        <stp>BDS|14884622662091724258</stp>
        <tr r="JP5" s="83"/>
      </tp>
      <tp t="e">
        <v>#N/A</v>
        <stp/>
        <stp>BDS|15618323799901296952</stp>
        <tr r="BS5" s="45"/>
      </tp>
      <tp t="e">
        <v>#N/A</v>
        <stp/>
        <stp>BDS|13615024830483645482</stp>
        <tr r="F5" s="90"/>
      </tp>
      <tp t="e">
        <v>#N/A</v>
        <stp/>
        <stp>BDS|16336483653071447163</stp>
        <tr r="CW5" s="104"/>
      </tp>
      <tp t="e">
        <v>#N/A</v>
        <stp/>
        <stp>BDS|13650060357097878655</stp>
        <tr r="GD5" s="14"/>
      </tp>
      <tp t="e">
        <v>#N/A</v>
        <stp/>
        <stp>BDS|11529683910785687418</stp>
        <tr r="KJ5" s="28"/>
      </tp>
      <tp t="e">
        <v>#N/A</v>
        <stp/>
        <stp>BDS|15540347568536729142</stp>
        <tr r="NL5" s="123"/>
      </tp>
      <tp t="e">
        <v>#N/A</v>
        <stp/>
        <stp>BDS|13964660009940919258</stp>
        <tr r="GD5" s="81"/>
      </tp>
      <tp t="e">
        <v>#N/A</v>
        <stp/>
        <stp>BDS|17813375004692376120</stp>
        <tr r="JF5" s="90"/>
      </tp>
      <tp t="e">
        <v>#N/A</v>
        <stp/>
        <stp>BDS|11739602209958494804</stp>
        <tr r="MR5" s="4"/>
      </tp>
      <tp t="e">
        <v>#N/A</v>
        <stp/>
        <stp>BDS|14974562869194559495</stp>
        <tr r="OF5" s="43"/>
      </tp>
      <tp t="e">
        <v>#N/A</v>
        <stp/>
        <stp>BDS|11914363704327138206</stp>
        <tr r="JP5" s="121"/>
      </tp>
      <tp t="e">
        <v>#N/A</v>
        <stp/>
        <stp>BDS|10631563009630080225</stp>
        <tr r="BI5" s="80"/>
      </tp>
      <tp t="e">
        <v>#N/A</v>
        <stp/>
        <stp>BDS|13156112459824445461</stp>
        <tr r="OF5" s="21"/>
      </tp>
      <tp t="e">
        <v>#N/A</v>
        <stp/>
        <stp>BDS|13485281930144598129</stp>
        <tr r="DG5" s="113"/>
      </tp>
      <tp t="e">
        <v>#N/A</v>
        <stp/>
        <stp>BDS|10853222804317748228</stp>
        <tr r="AO5" s="101"/>
      </tp>
      <tp t="e">
        <v>#N/A</v>
        <stp/>
        <stp>BDS|12545027569186046558</stp>
        <tr r="K5" s="77"/>
      </tp>
      <tp t="e">
        <v>#N/A</v>
        <stp/>
        <stp>BDS|14856799208604022025</stp>
        <tr r="GX5" s="43"/>
      </tp>
      <tp t="e">
        <v>#N/A</v>
        <stp/>
        <stp>BDS|11179079387228899628</stp>
        <tr r="GD5" s="11"/>
      </tp>
      <tp t="e">
        <v>#N/A</v>
        <stp/>
        <stp>BDS|15094347116717916705</stp>
        <tr r="F5" s="9"/>
      </tp>
      <tp t="e">
        <v>#N/A</v>
        <stp/>
        <stp>BDS|12109295270505774544</stp>
        <tr r="IL5" s="122"/>
      </tp>
      <tp t="e">
        <v>#N/A</v>
        <stp/>
        <stp>BDS|14678871397793528180</stp>
        <tr r="CR5" s="97"/>
      </tp>
      <tp t="e">
        <v>#N/A</v>
        <stp/>
        <stp>BDS|12357974282530974443</stp>
        <tr r="IB5" s="48"/>
      </tp>
      <tp t="e">
        <v>#N/A</v>
        <stp/>
        <stp>BDS|13100190307011013447</stp>
        <tr r="JP5" s="53"/>
      </tp>
      <tp t="e">
        <v>#N/A</v>
        <stp/>
        <stp>BDS|11321925470558963032</stp>
        <tr r="LI5" s="75"/>
      </tp>
      <tp t="e">
        <v>#N/A</v>
        <stp/>
        <stp>BDS|14299189027084262440</stp>
        <tr r="AT5" s="99"/>
      </tp>
      <tp t="e">
        <v>#N/A</v>
        <stp/>
        <stp>BDS|11894434378301186493</stp>
        <tr r="AJ5" s="48"/>
      </tp>
      <tp t="e">
        <v>#N/A</v>
        <stp/>
        <stp>BDS|12874558414910957188</stp>
        <tr r="CR5" s="30"/>
      </tp>
      <tp t="e">
        <v>#N/A</v>
        <stp/>
        <stp>BDS|11011790756392321648</stp>
        <tr r="OA5" s="25"/>
      </tp>
      <tp t="e">
        <v>#N/A</v>
        <stp/>
        <stp>BDS|13421676319405491666</stp>
        <tr r="HH5" s="112"/>
      </tp>
      <tp t="e">
        <v>#N/A</v>
        <stp/>
        <stp>BDS|11948527114413205159</stp>
        <tr r="KE5" s="48"/>
      </tp>
      <tp t="e">
        <v>#N/A</v>
        <stp/>
        <stp>BDS|10909693467937944060</stp>
        <tr r="HW5" s="1"/>
      </tp>
      <tp t="e">
        <v>#N/A</v>
        <stp/>
        <stp>BDS|17562573275277738588</stp>
        <tr r="HC5" s="96"/>
      </tp>
      <tp t="e">
        <v>#N/A</v>
        <stp/>
        <stp>BDS|11020328824201736697</stp>
        <tr r="F5" s="47"/>
      </tp>
      <tp t="e">
        <v>#N/A</v>
        <stp/>
        <stp>BDS|15755196447326197105</stp>
        <tr r="JP5" s="2"/>
      </tp>
      <tp t="e">
        <v>#N/A</v>
        <stp/>
        <stp>BDS|16987802651045957993</stp>
        <tr r="AT5" s="118"/>
      </tp>
      <tp t="e">
        <v>#N/A</v>
        <stp/>
        <stp>BDS|11262488651964272313</stp>
        <tr r="IG5" s="16"/>
      </tp>
      <tp t="e">
        <v>#N/A</v>
        <stp/>
        <stp>BDS|15685680004865564174</stp>
        <tr r="GN5" s="79"/>
      </tp>
      <tp t="e">
        <v>#N/A</v>
        <stp/>
        <stp>BDS|14673712658042720306</stp>
        <tr r="OF5" s="95"/>
      </tp>
      <tp t="e">
        <v>#N/A</v>
        <stp/>
        <stp>BDS|16056905703500270892</stp>
        <tr r="HH5" s="16"/>
      </tp>
      <tp t="e">
        <v>#N/A</v>
        <stp/>
        <stp>BDS|17274475329796003042</stp>
        <tr r="GI5" s="28"/>
      </tp>
      <tp t="e">
        <v>#N/A</v>
        <stp/>
        <stp>BDS|18402858544167979449</stp>
        <tr r="LD5" s="79"/>
      </tp>
      <tp t="e">
        <v>#N/A</v>
        <stp/>
        <stp>BDS|17131055751953490691</stp>
        <tr r="MH5" s="54"/>
      </tp>
      <tp t="e">
        <v>#N/A</v>
        <stp/>
        <stp>BDS|15861655361190316275</stp>
        <tr r="K5" s="14"/>
      </tp>
      <tp t="e">
        <v>#N/A</v>
        <stp/>
        <stp>BDS|16392308015863675088</stp>
        <tr r="FJ5" s="58"/>
      </tp>
      <tp t="e">
        <v>#N/A</v>
        <stp/>
        <stp>BDS|12626250816516846056</stp>
        <tr r="K5" s="118"/>
      </tp>
      <tp t="e">
        <v>#N/A</v>
        <stp/>
        <stp>BDS|13195504369956100110</stp>
        <tr r="FJ5" s="63"/>
      </tp>
      <tp t="e">
        <v>#N/A</v>
        <stp/>
        <stp>BDS|15785561860475853402</stp>
        <tr r="EZ5" s="107"/>
      </tp>
      <tp t="e">
        <v>#N/A</v>
        <stp/>
        <stp>BDS|14589848732109324199</stp>
        <tr r="AY5" s="5"/>
      </tp>
      <tp t="e">
        <v>#N/A</v>
        <stp/>
        <stp>BDS|15942544367939118821</stp>
        <tr r="IB5" s="8"/>
      </tp>
      <tp t="e">
        <v>#N/A</v>
        <stp/>
        <stp>BDS|15719503008873333451</stp>
        <tr r="CM5" s="68"/>
      </tp>
      <tp t="e">
        <v>#N/A</v>
        <stp/>
        <stp>BDS|15280135758274304237</stp>
        <tr r="MM5" s="91"/>
      </tp>
      <tp t="e">
        <v>#N/A</v>
        <stp/>
        <stp>BDS|16792567757751693098</stp>
        <tr r="NG5" s="64"/>
      </tp>
      <tp t="e">
        <v>#N/A</v>
        <stp/>
        <stp>BDS|12721509506214838405</stp>
        <tr r="DL5" s="120"/>
      </tp>
      <tp t="e">
        <v>#N/A</v>
        <stp/>
        <stp>BDS|16549198647266630242</stp>
        <tr r="MC5" s="72"/>
      </tp>
      <tp t="e">
        <v>#N/A</v>
        <stp/>
        <stp>BDS|11123060368168097865</stp>
        <tr r="MC5" s="46"/>
      </tp>
      <tp t="e">
        <v>#N/A</v>
        <stp/>
        <stp>BDS|14610694225952278516</stp>
        <tr r="GI5" s="119"/>
      </tp>
      <tp t="e">
        <v>#N/A</v>
        <stp/>
        <stp>BDS|11722236328924056255</stp>
        <tr r="P5" s="23"/>
      </tp>
      <tp t="e">
        <v>#N/A</v>
        <stp/>
        <stp>BDS|16896750476292345313</stp>
        <tr r="EF5" s="90"/>
      </tp>
      <tp t="e">
        <v>#N/A</v>
        <stp/>
        <stp>BDS|10884291958104364432</stp>
        <tr r="NG5" s="10"/>
      </tp>
      <tp t="e">
        <v>#N/A</v>
        <stp/>
        <stp>BDS|10779600008734088564</stp>
        <tr r="BD5" s="73"/>
      </tp>
      <tp t="e">
        <v>#N/A</v>
        <stp/>
        <stp>BDS|14730453213037193195</stp>
        <tr r="AE5" s="62"/>
      </tp>
      <tp t="e">
        <v>#N/A</v>
        <stp/>
        <stp>BDS|15871030627040624036</stp>
        <tr r="OA5" s="22"/>
      </tp>
      <tp t="e">
        <v>#N/A</v>
        <stp/>
        <stp>BDS|13929676048362809474</stp>
        <tr r="CM5" s="77"/>
      </tp>
      <tp t="e">
        <v>#N/A</v>
        <stp/>
        <stp>BDS|12146392627210577431</stp>
        <tr r="CW5" s="9"/>
      </tp>
      <tp t="e">
        <v>#N/A</v>
        <stp/>
        <stp>BDS|15121670832286865157</stp>
        <tr r="OA5" s="13"/>
      </tp>
      <tp t="e">
        <v>#N/A</v>
        <stp/>
        <stp>BDS|10136056778457229773</stp>
        <tr r="BN5" s="74"/>
      </tp>
      <tp t="e">
        <v>#N/A</v>
        <stp/>
        <stp>BDS|17119068807679878918</stp>
        <tr r="DB5" s="123"/>
      </tp>
      <tp t="e">
        <v>#N/A</v>
        <stp/>
        <stp>BDS|12477015938661151756</stp>
        <tr r="AO5" s="75"/>
      </tp>
      <tp t="e">
        <v>#N/A</v>
        <stp/>
        <stp>BDS|14313784402677319334</stp>
        <tr r="F5" s="14"/>
      </tp>
      <tp t="e">
        <v>#N/A</v>
        <stp/>
        <stp>BDS|12289052229921265650</stp>
        <tr r="KO5" s="91"/>
      </tp>
      <tp t="e">
        <v>#N/A</v>
        <stp/>
        <stp>BDS|15447037530759928872</stp>
        <tr r="CH5" s="110"/>
      </tp>
      <tp t="e">
        <v>#N/A</v>
        <stp/>
        <stp>BDS|15322670233311768693</stp>
        <tr r="GI5" s="51"/>
      </tp>
      <tp t="e">
        <v>#N/A</v>
        <stp/>
        <stp>BDS|14594317910559296888</stp>
        <tr r="DV5" s="79"/>
      </tp>
      <tp t="e">
        <v>#N/A</v>
        <stp/>
        <stp>BDS|15246748806622627782</stp>
        <tr r="KY5" s="72"/>
      </tp>
      <tp t="e">
        <v>#N/A</v>
        <stp/>
        <stp>BDS|16968370592798334318</stp>
        <tr r="JA5" s="107"/>
      </tp>
      <tp t="e">
        <v>#N/A</v>
        <stp/>
        <stp>BDS|13637470602332492290</stp>
        <tr r="FJ5" s="99"/>
      </tp>
      <tp t="e">
        <v>#N/A</v>
        <stp/>
        <stp>BDS|11199468283828334292</stp>
        <tr r="DQ5" s="124"/>
      </tp>
      <tp t="e">
        <v>#N/A</v>
        <stp/>
        <stp>BDS|14050182631162593321</stp>
        <tr r="IB5" s="85"/>
        <tr r="MH5" s="83"/>
        <tr r="KJ5" s="49"/>
      </tp>
      <tp t="e">
        <v>#N/A</v>
        <stp/>
        <stp>BDS|10289090332355070170</stp>
        <tr r="KO5" s="123"/>
      </tp>
      <tp t="e">
        <v>#N/A</v>
        <stp/>
        <stp>BDS|15228843058927023806</stp>
        <tr r="OF5" s="64"/>
      </tp>
      <tp t="e">
        <v>#N/A</v>
        <stp/>
        <stp>BDS|13116254611511940628</stp>
        <tr r="FE5" s="118"/>
      </tp>
      <tp t="e">
        <v>#N/A</v>
        <stp/>
        <stp>BDS|15946650810391277403</stp>
        <tr r="FT5" s="63"/>
      </tp>
      <tp t="e">
        <v>#N/A</v>
        <stp/>
        <stp>BDS|13877256927652048641</stp>
        <tr r="CH5" s="92"/>
      </tp>
      <tp t="e">
        <v>#N/A</v>
        <stp/>
        <stp>BDS|10812234310653438711</stp>
        <tr r="GS5" s="6"/>
      </tp>
      <tp t="e">
        <v>#N/A</v>
        <stp/>
        <stp>BDS|13044908200565680880</stp>
        <tr r="NV5" s="7"/>
      </tp>
      <tp t="e">
        <v>#N/A</v>
        <stp/>
        <stp>BDS|18041899032607380363</stp>
        <tr r="MR5" s="102"/>
      </tp>
      <tp t="e">
        <v>#N/A</v>
        <stp/>
        <stp>BDS|13768703169402036705</stp>
        <tr r="HW5" s="5"/>
      </tp>
      <tp t="e">
        <v>#N/A</v>
        <stp/>
        <stp>BDS|16169203109691251241</stp>
        <tr r="KO5" s="60"/>
      </tp>
      <tp t="e">
        <v>#N/A</v>
        <stp/>
        <stp>BDS|12097157947733883344</stp>
        <tr r="GN5" s="72"/>
      </tp>
      <tp t="e">
        <v>#N/A</v>
        <stp/>
        <stp>BDS|12163195522304318274</stp>
        <tr r="MC5" s="55"/>
      </tp>
      <tp t="e">
        <v>#N/A</v>
        <stp/>
        <stp>BDS|14613517485417464980</stp>
        <tr r="EF5" s="32"/>
      </tp>
      <tp t="e">
        <v>#N/A</v>
        <stp/>
        <stp>BDS|10145509929233014371</stp>
        <tr r="IB5" s="75"/>
      </tp>
      <tp t="e">
        <v>#N/A</v>
        <stp/>
        <stp>BDS|18016661388629913889</stp>
        <tr r="IQ5" s="111"/>
      </tp>
      <tp t="e">
        <v>#N/A</v>
        <stp/>
        <stp>BDS|15788423544184914675</stp>
        <tr r="DB5" s="116"/>
      </tp>
      <tp t="e">
        <v>#N/A</v>
        <stp/>
        <stp>BDS|14706996011558580356</stp>
        <tr r="HC5" s="104"/>
      </tp>
      <tp t="e">
        <v>#N/A</v>
        <stp/>
        <stp>BDS|12769290251835647766</stp>
        <tr r="IV5" s="60"/>
      </tp>
      <tp t="e">
        <v>#N/A</v>
        <stp/>
        <stp>BDS|17889277250733871483</stp>
        <tr r="F5" s="119"/>
      </tp>
      <tp t="e">
        <v>#N/A</v>
        <stp/>
        <stp>BDS|11789738705480773190</stp>
        <tr r="U5" s="14"/>
      </tp>
      <tp t="e">
        <v>#N/A</v>
        <stp/>
        <stp>BDS|13562836348060602873</stp>
        <tr r="EU5" s="111"/>
      </tp>
      <tp t="e">
        <v>#N/A</v>
        <stp/>
        <stp>BDS|16205794664593900393</stp>
        <tr r="KE5" s="103"/>
      </tp>
      <tp t="e">
        <v>#N/A</v>
        <stp/>
        <stp>BDS|17539543348533604204</stp>
        <tr r="JP5" s="113"/>
      </tp>
      <tp t="e">
        <v>#N/A</v>
        <stp/>
        <stp>BDS|13705122849097670654</stp>
        <tr r="EZ5" s="64"/>
      </tp>
      <tp t="e">
        <v>#N/A</v>
        <stp/>
        <stp>BDS|11366217751804919558</stp>
        <tr r="OA5" s="16"/>
      </tp>
      <tp t="e">
        <v>#N/A</v>
        <stp/>
        <stp>BDS|18043633638689208366</stp>
        <tr r="NV5" s="61"/>
      </tp>
      <tp t="e">
        <v>#N/A</v>
        <stp/>
        <stp>BDS|15855606766963552148</stp>
        <tr r="CC5" s="47"/>
      </tp>
      <tp t="e">
        <v>#N/A</v>
        <stp/>
        <stp>BDS|10240133518130559735</stp>
        <tr r="U5" s="117"/>
      </tp>
      <tp t="e">
        <v>#N/A</v>
        <stp/>
        <stp>BDS|12829723126012733244</stp>
        <tr r="EK5" s="124"/>
      </tp>
      <tp t="e">
        <v>#N/A</v>
        <stp/>
        <stp>BDS|15855899012992805941</stp>
        <tr r="EZ5" s="54"/>
      </tp>
      <tp t="e">
        <v>#N/A</v>
        <stp/>
        <stp>BDS|17083783611232393454</stp>
        <tr r="IV5" s="115"/>
      </tp>
      <tp t="e">
        <v>#N/A</v>
        <stp/>
        <stp>BDS|15898772415091328553</stp>
        <tr r="EF5" s="26"/>
      </tp>
      <tp t="e">
        <v>#N/A</v>
        <stp/>
        <stp>BDS|10342462166564819178</stp>
        <tr r="DV5" s="98"/>
      </tp>
      <tp t="e">
        <v>#N/A</v>
        <stp/>
        <stp>BDS|15677673349719281961</stp>
        <tr r="HC5" s="67"/>
      </tp>
      <tp t="e">
        <v>#N/A</v>
        <stp/>
        <stp>BDS|13603330718133403558</stp>
        <tr r="CR5" s="120"/>
      </tp>
      <tp t="e">
        <v>#N/A</v>
        <stp/>
        <stp>BDS|13732334754220981254</stp>
        <tr r="NQ5" s="108"/>
      </tp>
      <tp t="e">
        <v>#N/A</v>
        <stp/>
        <stp>BDS|12103354853394998721</stp>
        <tr r="JK5" s="106"/>
      </tp>
      <tp t="e">
        <v>#N/A</v>
        <stp/>
        <stp>BDS|10044900311839904641</stp>
        <tr r="AT5" s="10"/>
      </tp>
      <tp t="e">
        <v>#N/A</v>
        <stp/>
        <stp>BDS|16125827216140801819</stp>
        <tr r="F5" s="27"/>
      </tp>
      <tp t="e">
        <v>#N/A</v>
        <stp/>
        <stp>BDS|18261698495762288202</stp>
        <tr r="CR5" s="96"/>
      </tp>
      <tp t="e">
        <v>#N/A</v>
        <stp/>
        <stp>BDS|10264161640920891204</stp>
        <tr r="GD5" s="85"/>
      </tp>
      <tp t="e">
        <v>#N/A</v>
        <stp/>
        <stp>BDS|13816625950093024465</stp>
        <tr r="JF5" s="1"/>
      </tp>
      <tp t="e">
        <v>#N/A</v>
        <stp/>
        <stp>BDS|14164849259729635769</stp>
        <tr r="MW5" s="41"/>
      </tp>
      <tp t="e">
        <v>#N/A</v>
        <stp/>
        <stp>BDS|16913585519175115055</stp>
        <tr r="A5" s="13"/>
      </tp>
      <tp t="e">
        <v>#N/A</v>
        <stp/>
        <stp>BDS|13231747453747945107</stp>
        <tr r="HC5" s="91"/>
      </tp>
      <tp t="e">
        <v>#N/A</v>
        <stp/>
        <stp>BDS|13353180615440657444</stp>
        <tr r="GN5" s="87"/>
      </tp>
      <tp t="e">
        <v>#N/A</v>
        <stp/>
        <stp>BDS|15828824107662434854</stp>
        <tr r="BI5" s="21"/>
      </tp>
      <tp t="e">
        <v>#N/A</v>
        <stp/>
        <stp>BDS|17992504776972067034</stp>
        <tr r="FY5" s="16"/>
      </tp>
      <tp t="e">
        <v>#N/A</v>
        <stp/>
        <stp>BDS|16771594041372046232</stp>
        <tr r="U5" s="38"/>
      </tp>
      <tp t="e">
        <v>#N/A</v>
        <stp/>
        <stp>BDS|13039262716416885148</stp>
        <tr r="GI5" s="33"/>
      </tp>
      <tp t="e">
        <v>#N/A</v>
        <stp/>
        <stp>BDS|17895560519921862533</stp>
        <tr r="JA5" s="42"/>
      </tp>
      <tp t="e">
        <v>#N/A</v>
        <stp/>
        <stp>BDS|14160054131449098986</stp>
        <tr r="BX5" s="81"/>
      </tp>
      <tp t="e">
        <v>#N/A</v>
        <stp/>
        <stp>BDS|11669226131227891006</stp>
        <tr r="AE5" s="4"/>
      </tp>
      <tp t="e">
        <v>#N/A</v>
        <stp/>
        <stp>BDS|13333665109071991382</stp>
        <tr r="EK5" s="103"/>
      </tp>
      <tp t="e">
        <v>#N/A</v>
        <stp/>
        <stp>BDS|13094385550355170744</stp>
        <tr r="OA5" s="59"/>
      </tp>
      <tp t="e">
        <v>#N/A</v>
        <stp/>
        <stp>BDS|15176313949797275268</stp>
        <tr r="DQ5" s="79"/>
      </tp>
      <tp t="e">
        <v>#N/A</v>
        <stp/>
        <stp>BDS|16043225439696037667</stp>
        <tr r="EA5" s="20"/>
      </tp>
      <tp t="e">
        <v>#N/A</v>
        <stp/>
        <stp>BDS|15857174136134336471</stp>
        <tr r="DQ5" s="10"/>
      </tp>
      <tp t="e">
        <v>#N/A</v>
        <stp/>
        <stp>BDS|11093289230554317365</stp>
        <tr r="F5" s="4"/>
      </tp>
      <tp t="e">
        <v>#N/A</v>
        <stp/>
        <stp>BDS|16550035569422148530</stp>
        <tr r="FJ5" s="18"/>
      </tp>
      <tp t="e">
        <v>#N/A</v>
        <stp/>
        <stp>BDS|15593083852916054121</stp>
        <tr r="LI5" s="63"/>
      </tp>
      <tp t="e">
        <v>#N/A</v>
        <stp/>
        <stp>BDS|15676823374194508982</stp>
        <tr r="AO5" s="108"/>
      </tp>
      <tp t="e">
        <v>#N/A</v>
        <stp/>
        <stp>BDS|14980149397723710800</stp>
        <tr r="DG5" s="20"/>
      </tp>
      <tp t="e">
        <v>#N/A</v>
        <stp/>
        <stp>BDS|17943090204547157783</stp>
        <tr r="CH5" s="69"/>
      </tp>
      <tp t="e">
        <v>#N/A</v>
        <stp/>
        <stp>BDS|15826383139773681128</stp>
        <tr r="EP5" s="120"/>
      </tp>
      <tp t="e">
        <v>#N/A</v>
        <stp/>
        <stp>BDS|10859753060241572757</stp>
        <tr r="CC5" s="46"/>
      </tp>
      <tp t="e">
        <v>#N/A</v>
        <stp/>
        <stp>BDS|11013340803217211286</stp>
        <tr r="BX5" s="40"/>
      </tp>
      <tp t="e">
        <v>#N/A</v>
        <stp/>
        <stp>BDS|13882675217403240086</stp>
        <tr r="KE5" s="83"/>
      </tp>
      <tp t="e">
        <v>#N/A</v>
        <stp/>
        <stp>BDS|12188001183738542550</stp>
        <tr r="K5" s="121"/>
      </tp>
      <tp t="e">
        <v>#N/A</v>
        <stp/>
        <stp>BDS|11913323288929046415</stp>
        <tr r="MH5" s="55"/>
      </tp>
      <tp t="e">
        <v>#N/A</v>
        <stp/>
        <stp>BDS|13985106519706536270</stp>
        <tr r="BI5" s="90"/>
      </tp>
      <tp t="e">
        <v>#N/A</v>
        <stp/>
        <stp>BDS|13606541136371290341</stp>
        <tr r="IG5" s="48"/>
      </tp>
      <tp t="e">
        <v>#N/A</v>
        <stp/>
        <stp>BDS|12048610437764627428</stp>
        <tr r="GD5" s="61"/>
      </tp>
      <tp t="e">
        <v>#N/A</v>
        <stp/>
        <stp>BDS|11400444972227885287</stp>
        <tr r="IV5" s="86"/>
      </tp>
      <tp t="e">
        <v>#N/A</v>
        <stp/>
        <stp>BDS|12540695838898266846</stp>
        <tr r="JF5" s="40"/>
      </tp>
      <tp t="e">
        <v>#N/A</v>
        <stp/>
        <stp>BDS|16118042134914149621</stp>
        <tr r="OA5" s="15"/>
      </tp>
      <tp t="e">
        <v>#N/A</v>
        <stp/>
        <stp>BDS|12445104162905048740</stp>
        <tr r="IQ5" s="66"/>
      </tp>
      <tp t="e">
        <v>#N/A</v>
        <stp/>
        <stp>BDS|13808445447825068196</stp>
        <tr r="JF5" s="11"/>
      </tp>
      <tp t="e">
        <v>#N/A</v>
        <stp/>
        <stp>BDS|16083735502353571564</stp>
        <tr r="BI5" s="10"/>
      </tp>
      <tp t="e">
        <v>#N/A</v>
        <stp/>
        <stp>BDS|15558242293269522054</stp>
        <tr r="HC5" s="73"/>
        <tr r="JK5" s="40"/>
      </tp>
      <tp t="e">
        <v>#N/A</v>
        <stp/>
        <stp>BDS|18020432460309055415</stp>
        <tr r="KT5" s="37"/>
      </tp>
      <tp t="e">
        <v>#N/A</v>
        <stp/>
        <stp>BDS|10514346951618367915</stp>
        <tr r="FY5" s="87"/>
      </tp>
      <tp t="e">
        <v>#N/A</v>
        <stp/>
        <stp>BDS|11240875585695712357</stp>
        <tr r="IQ5" s="55"/>
      </tp>
      <tp t="e">
        <v>#N/A</v>
        <stp/>
        <stp>BDS|12351056416725027127</stp>
        <tr r="GX5" s="40"/>
      </tp>
      <tp t="e">
        <v>#N/A</v>
        <stp/>
        <stp>BDS|15256384262561965632</stp>
        <tr r="NG5" s="80"/>
      </tp>
      <tp t="e">
        <v>#N/A</v>
        <stp/>
        <stp>BDS|10653510690229222273</stp>
        <tr r="NB5" s="105"/>
      </tp>
      <tp t="e">
        <v>#N/A</v>
        <stp/>
        <stp>BDS|17774031135941086231</stp>
        <tr r="EA5" s="26"/>
      </tp>
      <tp t="e">
        <v>#N/A</v>
        <stp/>
        <stp>BDS|18424814586726800997</stp>
        <tr r="LD5" s="90"/>
      </tp>
      <tp t="e">
        <v>#N/A</v>
        <stp/>
        <stp>BDS|13748570940707772251</stp>
        <tr r="FY5" s="2"/>
      </tp>
      <tp t="e">
        <v>#N/A</v>
        <stp/>
        <stp>BDS|10036374560256724422</stp>
        <tr r="U5" s="13"/>
      </tp>
      <tp t="e">
        <v>#N/A</v>
        <stp/>
        <stp>BDS|16017392024677957764</stp>
        <tr r="MH5" s="109"/>
      </tp>
      <tp t="e">
        <v>#N/A</v>
        <stp/>
        <stp>BDS|17170643297209362634</stp>
        <tr r="DG5" s="117"/>
      </tp>
      <tp t="e">
        <v>#N/A</v>
        <stp/>
        <stp>BDS|12809485082338985185</stp>
        <tr r="LN5" s="4"/>
      </tp>
      <tp t="e">
        <v>#N/A</v>
        <stp/>
        <stp>BDS|16269238107041332267</stp>
        <tr r="IG5" s="125"/>
      </tp>
      <tp t="e">
        <v>#N/A</v>
        <stp/>
        <stp>BDS|15962022320126160699</stp>
        <tr r="FE5" s="39"/>
      </tp>
      <tp t="e">
        <v>#N/A</v>
        <stp/>
        <stp>BDS|17773556166390331348</stp>
        <tr r="KT5" s="39"/>
      </tp>
      <tp t="e">
        <v>#N/A</v>
        <stp/>
        <stp>BDS|10345195129997745374</stp>
        <tr r="NQ5" s="86"/>
      </tp>
      <tp t="e">
        <v>#N/A</v>
        <stp/>
        <stp>BDS|15002160425356888783</stp>
        <tr r="HC5" s="100"/>
      </tp>
      <tp t="e">
        <v>#N/A</v>
        <stp/>
        <stp>BDS|16419336041944217277</stp>
        <tr r="EA5" s="123"/>
      </tp>
      <tp t="e">
        <v>#N/A</v>
        <stp/>
        <stp>BDS|17517598602811960448</stp>
        <tr r="KE5" s="5"/>
      </tp>
      <tp t="e">
        <v>#N/A</v>
        <stp/>
        <stp>BDS|17095465341233631321</stp>
        <tr r="KO5" s="115"/>
      </tp>
      <tp t="e">
        <v>#N/A</v>
        <stp/>
        <stp>BDS|13350366622655015047</stp>
        <tr r="JK5" s="70"/>
      </tp>
      <tp t="e">
        <v>#N/A</v>
        <stp/>
        <stp>BDS|17760976383915121418</stp>
        <tr r="CR5" s="21"/>
      </tp>
      <tp t="e">
        <v>#N/A</v>
        <stp/>
        <stp>BDS|14955271927242912135</stp>
        <tr r="IQ5" s="76"/>
      </tp>
      <tp t="e">
        <v>#N/A</v>
        <stp/>
        <stp>BDS|17141767356457776552</stp>
        <tr r="AE5" s="116"/>
      </tp>
      <tp t="e">
        <v>#N/A</v>
        <stp/>
        <stp>BDS|14516475232987682355</stp>
        <tr r="CC5" s="81"/>
      </tp>
      <tp t="e">
        <v>#N/A</v>
        <stp/>
        <stp>BDS|12566384868969799912</stp>
        <tr r="KJ5" s="35"/>
      </tp>
      <tp t="e">
        <v>#N/A</v>
        <stp/>
        <stp>BDS|18211836615626315040</stp>
        <tr r="NB5" s="124"/>
      </tp>
      <tp t="e">
        <v>#N/A</v>
        <stp/>
        <stp>BDS|16582117175064586377</stp>
        <tr r="DQ5" s="103"/>
      </tp>
      <tp t="e">
        <v>#N/A</v>
        <stp/>
        <stp>BDS|12054936431338276730</stp>
        <tr r="HW5" s="69"/>
      </tp>
      <tp t="e">
        <v>#N/A</v>
        <stp/>
        <stp>BDS|15474870799970181381</stp>
        <tr r="IL5" s="4"/>
      </tp>
      <tp t="e">
        <v>#N/A</v>
        <stp/>
        <stp>BDS|11771608261973163547</stp>
        <tr r="EZ5" s="79"/>
      </tp>
      <tp t="e">
        <v>#N/A</v>
        <stp/>
        <stp>BDS|11420159513233385526</stp>
        <tr r="OA5" s="62"/>
      </tp>
      <tp t="e">
        <v>#N/A</v>
        <stp/>
        <stp>BDS|10912794732076041517</stp>
        <tr r="KE5" s="109"/>
      </tp>
      <tp t="e">
        <v>#N/A</v>
        <stp/>
        <stp>BDS|12609201331117526317</stp>
        <tr r="AE5" s="104"/>
      </tp>
      <tp t="e">
        <v>#N/A</v>
        <stp/>
        <stp>BDS|16525716338330833571</stp>
        <tr r="DG5" s="107"/>
      </tp>
      <tp t="e">
        <v>#N/A</v>
        <stp/>
        <stp>BDS|16339788870287081685</stp>
        <tr r="GX5" s="103"/>
      </tp>
      <tp t="e">
        <v>#N/A</v>
        <stp/>
        <stp>BDS|18330494693014962635</stp>
        <tr r="MR5" s="86"/>
      </tp>
      <tp t="e">
        <v>#N/A</v>
        <stp/>
        <stp>BDS|12886318528440287408</stp>
        <tr r="EZ5" s="85"/>
      </tp>
      <tp t="e">
        <v>#N/A</v>
        <stp/>
        <stp>BDS|10261782918286302722</stp>
        <tr r="JU5" s="87"/>
      </tp>
      <tp t="e">
        <v>#N/A</v>
        <stp/>
        <stp>BDS|16562014549934969147</stp>
        <tr r="EZ5" s="115"/>
      </tp>
      <tp t="e">
        <v>#N/A</v>
        <stp/>
        <stp>BDS|13249873040249786127</stp>
        <tr r="NB5" s="32"/>
      </tp>
      <tp t="e">
        <v>#N/A</v>
        <stp/>
        <stp>BDS|12196863683382190758</stp>
        <tr r="NL5" s="85"/>
      </tp>
      <tp t="e">
        <v>#N/A</v>
        <stp/>
        <stp>BDS|10086714200971095114</stp>
        <tr r="EA5" s="107"/>
      </tp>
      <tp t="e">
        <v>#N/A</v>
        <stp/>
        <stp>BDS|15027852781901014346</stp>
        <tr r="CR5" s="78"/>
      </tp>
      <tp t="e">
        <v>#N/A</v>
        <stp/>
        <stp>BDS|16086696570082941207</stp>
        <tr r="KY5" s="67"/>
      </tp>
      <tp t="e">
        <v>#N/A</v>
        <stp/>
        <stp>BDS|14613516270864013573</stp>
        <tr r="DQ5" s="42"/>
      </tp>
      <tp t="e">
        <v>#N/A</v>
        <stp/>
        <stp>BDS|13056068211473759600</stp>
        <tr r="EA5" s="86"/>
      </tp>
      <tp t="e">
        <v>#N/A</v>
        <stp/>
        <stp>BDS|11797196577604943401</stp>
        <tr r="AO5" s="49"/>
      </tp>
      <tp t="e">
        <v>#N/A</v>
        <stp/>
        <stp>BDS|15983693851562848399</stp>
        <tr r="HC5" s="18"/>
      </tp>
      <tp t="e">
        <v>#N/A</v>
        <stp/>
        <stp>BDS|10511661136731417315</stp>
        <tr r="HC5" s="22"/>
      </tp>
      <tp t="e">
        <v>#N/A</v>
        <stp/>
        <stp>BDS|12740525528315883759</stp>
        <tr r="AT5" s="86"/>
      </tp>
      <tp t="e">
        <v>#N/A</v>
        <stp/>
        <stp>BDS|14968891493293373101</stp>
        <tr r="NQ5" s="90"/>
      </tp>
      <tp t="e">
        <v>#N/A</v>
        <stp/>
        <stp>BDS|13813385470168373831</stp>
        <tr r="MH5" s="110"/>
      </tp>
      <tp t="e">
        <v>#N/A</v>
        <stp/>
        <stp>BDS|17851731408894281316</stp>
        <tr r="LS5" s="77"/>
      </tp>
      <tp t="e">
        <v>#N/A</v>
        <stp/>
        <stp>BDS|13229656054545222211</stp>
        <tr r="CC5" s="110"/>
      </tp>
      <tp t="e">
        <v>#N/A</v>
        <stp/>
        <stp>BDS|17787474477522039178</stp>
        <tr r="JP5" s="1"/>
      </tp>
      <tp t="e">
        <v>#N/A</v>
        <stp/>
        <stp>BDS|18235299415195682983</stp>
        <tr r="HW5" s="86"/>
      </tp>
      <tp t="e">
        <v>#N/A</v>
        <stp/>
        <stp>BDS|16179382733755907435</stp>
        <tr r="IG5" s="15"/>
      </tp>
      <tp t="e">
        <v>#N/A</v>
        <stp/>
        <stp>BDS|13130543295658971096</stp>
        <tr r="GN5" s="110"/>
      </tp>
      <tp t="e">
        <v>#N/A</v>
        <stp/>
        <stp>BDS|14468670747626655720</stp>
        <tr r="DB5" s="45"/>
      </tp>
      <tp t="e">
        <v>#N/A</v>
        <stp/>
        <stp>BDS|16286832087996764710</stp>
        <tr r="NL5" s="122"/>
      </tp>
      <tp t="e">
        <v>#N/A</v>
        <stp/>
        <stp>BDS|15913188726462094371</stp>
        <tr r="HW5" s="72"/>
      </tp>
      <tp t="e">
        <v>#N/A</v>
        <stp/>
        <stp>BDS|13579947299293053782</stp>
        <tr r="DL5" s="6"/>
      </tp>
      <tp t="e">
        <v>#N/A</v>
        <stp/>
        <stp>BDS|12932620459316679043</stp>
        <tr r="Z5" s="87"/>
      </tp>
      <tp t="e">
        <v>#N/A</v>
        <stp/>
        <stp>BDS|17148745229573459685</stp>
        <tr r="IQ5" s="21"/>
      </tp>
      <tp t="e">
        <v>#N/A</v>
        <stp/>
        <stp>BDS|13411777434810303055</stp>
        <tr r="IL5" s="70"/>
      </tp>
      <tp t="e">
        <v>#N/A</v>
        <stp/>
        <stp>BDS|17198623061846783643</stp>
        <tr r="CW5" s="79"/>
      </tp>
      <tp t="e">
        <v>#N/A</v>
        <stp/>
        <stp>BDS|13529549359120944406</stp>
        <tr r="Z5" s="89"/>
      </tp>
      <tp t="e">
        <v>#N/A</v>
        <stp/>
        <stp>BDS|11295434422659017925</stp>
        <tr r="NV5" s="86"/>
      </tp>
      <tp t="e">
        <v>#N/A</v>
        <stp/>
        <stp>BDS|15425942290795502749</stp>
        <tr r="JA5" s="56"/>
      </tp>
      <tp t="e">
        <v>#N/A</v>
        <stp/>
        <stp>BDS|13420164853817237720</stp>
        <tr r="K5" s="55"/>
      </tp>
      <tp t="e">
        <v>#N/A</v>
        <stp/>
        <stp>BDS|14764980926409964119</stp>
        <tr r="KE5" s="13"/>
      </tp>
      <tp t="e">
        <v>#N/A</v>
        <stp/>
        <stp>BDS|16991416875550416288</stp>
        <tr r="JK5" s="56"/>
      </tp>
      <tp t="e">
        <v>#N/A</v>
        <stp/>
        <stp>BDS|17726640116345063244</stp>
        <tr r="MW5" s="58"/>
      </tp>
      <tp t="e">
        <v>#N/A</v>
        <stp/>
        <stp>BDS|13506730110501402335</stp>
        <tr r="FO5" s="107"/>
      </tp>
      <tp t="e">
        <v>#N/A</v>
        <stp/>
        <stp>BDS|16709140410610291108</stp>
        <tr r="KO5" s="107"/>
      </tp>
      <tp t="e">
        <v>#N/A</v>
        <stp/>
        <stp>BDS|17222676241831586303</stp>
        <tr r="MR5" s="37"/>
      </tp>
      <tp t="e">
        <v>#N/A</v>
        <stp/>
        <stp>BDS|18241635296610025063</stp>
        <tr r="K5" s="100"/>
      </tp>
      <tp t="e">
        <v>#N/A</v>
        <stp/>
        <stp>BDS|10810530950700366795</stp>
        <tr r="GX5" s="54"/>
      </tp>
      <tp t="e">
        <v>#N/A</v>
        <stp/>
        <stp>BDS|13163341673286555625</stp>
        <tr r="LX5" s="91"/>
      </tp>
      <tp t="e">
        <v>#N/A</v>
        <stp/>
        <stp>BDS|17704384882412518994</stp>
        <tr r="MM5" s="125"/>
      </tp>
      <tp t="e">
        <v>#N/A</v>
        <stp/>
        <stp>BDS|12373725926256158670</stp>
        <tr r="GX5" s="49"/>
      </tp>
      <tp t="e">
        <v>#N/A</v>
        <stp/>
        <stp>BDS|11142039351910784327</stp>
        <tr r="KO5" s="88"/>
      </tp>
      <tp t="e">
        <v>#N/A</v>
        <stp/>
        <stp>BDS|11403232334412353569</stp>
        <tr r="BN5" s="102"/>
      </tp>
      <tp t="e">
        <v>#N/A</v>
        <stp/>
        <stp>BDS|12771354067644047438</stp>
        <tr r="U5" s="30"/>
      </tp>
      <tp t="e">
        <v>#N/A</v>
        <stp/>
        <stp>BDS|18319672791044689453</stp>
        <tr r="GD5" s="6"/>
      </tp>
      <tp t="e">
        <v>#N/A</v>
        <stp/>
        <stp>BDS|10915684927805531651</stp>
        <tr r="LD5" s="105"/>
      </tp>
      <tp t="e">
        <v>#N/A</v>
        <stp/>
        <stp>BDS|14634406023160223519</stp>
        <tr r="DG5" s="77"/>
      </tp>
      <tp t="e">
        <v>#N/A</v>
        <stp/>
        <stp>BDS|17871391407231421248</stp>
        <tr r="CM5" s="101"/>
      </tp>
      <tp t="e">
        <v>#N/A</v>
        <stp/>
        <stp>BDS|18257610799823874344</stp>
        <tr r="CR5" s="73"/>
      </tp>
      <tp t="e">
        <v>#N/A</v>
        <stp/>
        <stp>BDS|13421163504572690763</stp>
        <tr r="P5" s="98"/>
      </tp>
      <tp t="e">
        <v>#N/A</v>
        <stp/>
        <stp>BDS|16258398172724643193</stp>
        <tr r="FO5" s="102"/>
      </tp>
      <tp t="e">
        <v>#N/A</v>
        <stp/>
        <stp>BDS|17738938325208619314</stp>
        <tr r="LN5" s="39"/>
      </tp>
      <tp t="e">
        <v>#N/A</v>
        <stp/>
        <stp>BDS|17644256951550659721</stp>
        <tr r="HH5" s="22"/>
      </tp>
      <tp t="e">
        <v>#N/A</v>
        <stp/>
        <stp>BDS|17193048177572528514</stp>
        <tr r="KT5" s="124"/>
      </tp>
      <tp t="e">
        <v>#N/A</v>
        <stp/>
        <stp>BDS|10467721172197654041</stp>
        <tr r="DG5" s="84"/>
      </tp>
      <tp t="e">
        <v>#N/A</v>
        <stp/>
        <stp>BDS|12688644554427997190</stp>
        <tr r="OF5" s="39"/>
      </tp>
      <tp t="e">
        <v>#N/A</v>
        <stp/>
        <stp>BDS|16017238824852910381</stp>
        <tr r="HC5" s="62"/>
      </tp>
      <tp t="e">
        <v>#N/A</v>
        <stp/>
        <stp>BDS|11340608750752356769</stp>
        <tr r="NB5" s="67"/>
      </tp>
      <tp t="e">
        <v>#N/A</v>
        <stp/>
        <stp>BDS|10599992025248790486</stp>
        <tr r="GN5" s="93"/>
      </tp>
      <tp t="e">
        <v>#N/A</v>
        <stp/>
        <stp>BDS|15310700554673167307</stp>
        <tr r="MW5" s="106"/>
      </tp>
      <tp t="e">
        <v>#N/A</v>
        <stp/>
        <stp>BDS|16550036023461123220</stp>
        <tr r="BD5" s="124"/>
      </tp>
      <tp t="e">
        <v>#N/A</v>
        <stp/>
        <stp>BDS|12287752774021381466</stp>
        <tr r="EU5" s="65"/>
      </tp>
      <tp t="e">
        <v>#N/A</v>
        <stp/>
        <stp>BDS|11250217887248484472</stp>
        <tr r="DB5" s="28"/>
      </tp>
      <tp t="e">
        <v>#N/A</v>
        <stp/>
        <stp>BDS|17152450003601788574</stp>
        <tr r="EU5" s="63"/>
      </tp>
      <tp t="e">
        <v>#N/A</v>
        <stp/>
        <stp>BDS|12303053522127641059</stp>
        <tr r="BI5" s="60"/>
      </tp>
      <tp t="e">
        <v>#N/A</v>
        <stp/>
        <stp>BDS|11335975984196602118</stp>
        <tr r="AT5" s="107"/>
      </tp>
      <tp t="e">
        <v>#N/A</v>
        <stp/>
        <stp>BDS|17604152232811226346</stp>
        <tr r="GI5" s="79"/>
      </tp>
      <tp t="e">
        <v>#N/A</v>
        <stp/>
        <stp>BDS|13521210575696670700</stp>
        <tr r="KO5" s="30"/>
      </tp>
      <tp t="e">
        <v>#N/A</v>
        <stp/>
        <stp>BDS|12289537303802638237</stp>
        <tr r="GI5" s="122"/>
      </tp>
      <tp t="e">
        <v>#N/A</v>
        <stp/>
        <stp>BDS|14018033471740534404</stp>
        <tr r="MM5" s="95"/>
      </tp>
      <tp t="e">
        <v>#N/A</v>
        <stp/>
        <stp>BDS|17295210310201511218</stp>
        <tr r="FE5" s="52"/>
      </tp>
      <tp t="e">
        <v>#N/A</v>
        <stp/>
        <stp>BDS|12154524547077467375</stp>
        <tr r="FJ5" s="96"/>
      </tp>
      <tp t="e">
        <v>#N/A</v>
        <stp/>
        <stp>BDS|10686559610580545317</stp>
        <tr r="NG5" s="35"/>
      </tp>
      <tp t="e">
        <v>#N/A</v>
        <stp/>
        <stp>BDS|14292429717493260525</stp>
        <tr r="HR5" s="8"/>
      </tp>
      <tp t="e">
        <v>#N/A</v>
        <stp/>
        <stp>BDS|14488895919798284215</stp>
        <tr r="U5" s="109"/>
      </tp>
      <tp t="e">
        <v>#N/A</v>
        <stp/>
        <stp>BDS|15122449447994101645</stp>
        <tr r="OA5" s="48"/>
      </tp>
      <tp t="e">
        <v>#N/A</v>
        <stp/>
        <stp>BDS|10181358564166714407</stp>
        <tr r="HC5" s="1"/>
      </tp>
      <tp t="e">
        <v>#N/A</v>
        <stp/>
        <stp>BDS|10830010530697828362</stp>
        <tr r="GS5" s="55"/>
      </tp>
      <tp t="e">
        <v>#N/A</v>
        <stp/>
        <stp>BDS|14556090421726973730</stp>
        <tr r="MW5" s="94"/>
      </tp>
      <tp t="e">
        <v>#N/A</v>
        <stp/>
        <stp>BDS|14373306051626553306</stp>
        <tr r="DB5" s="107"/>
      </tp>
      <tp t="e">
        <v>#N/A</v>
        <stp/>
        <stp>BDS|14589236378113800524</stp>
        <tr r="KT5" s="9"/>
      </tp>
      <tp t="e">
        <v>#N/A</v>
        <stp/>
        <stp>BDS|10927368447009467987</stp>
        <tr r="IB5" s="5"/>
      </tp>
      <tp t="e">
        <v>#N/A</v>
        <stp/>
        <stp>BDS|11111342000992328723</stp>
        <tr r="MW5" s="78"/>
      </tp>
      <tp t="e">
        <v>#N/A</v>
        <stp/>
        <stp>BDS|17348186189569690007</stp>
        <tr r="EA5" s="10"/>
      </tp>
      <tp t="e">
        <v>#N/A</v>
        <stp/>
        <stp>BDS|18134939867408353822</stp>
        <tr r="IQ5" s="39"/>
      </tp>
      <tp t="e">
        <v>#N/A</v>
        <stp/>
        <stp>BDS|16065538765227436566</stp>
        <tr r="HH5" s="71"/>
      </tp>
      <tp t="e">
        <v>#N/A</v>
        <stp/>
        <stp>BDS|15274938352197016977</stp>
        <tr r="IV5" s="65"/>
      </tp>
      <tp t="e">
        <v>#N/A</v>
        <stp/>
        <stp>BDS|17817154608891142006</stp>
        <tr r="Z5" s="24"/>
      </tp>
      <tp t="e">
        <v>#N/A</v>
        <stp/>
        <stp>BDS|11999092919262937545</stp>
        <tr r="EP5" s="22"/>
      </tp>
      <tp t="e">
        <v>#N/A</v>
        <stp/>
        <stp>BDS|11635210274322393147</stp>
        <tr r="CW5" s="103"/>
      </tp>
      <tp t="e">
        <v>#N/A</v>
        <stp/>
        <stp>BDS|18065772579908226781</stp>
        <tr r="AT5" s="97"/>
      </tp>
      <tp t="e">
        <v>#N/A</v>
        <stp/>
        <stp>BDS|17106475123996926083</stp>
        <tr r="EZ5" s="73"/>
      </tp>
      <tp t="e">
        <v>#N/A</v>
        <stp/>
        <stp>BDS|16067746843492505068</stp>
        <tr r="KY5" s="88"/>
      </tp>
      <tp t="e">
        <v>#N/A</v>
        <stp/>
        <stp>BDS|17842567125101635692</stp>
        <tr r="CC5" s="28"/>
      </tp>
      <tp t="e">
        <v>#N/A</v>
        <stp/>
        <stp>BDS|13195130928067685083</stp>
        <tr r="FT5" s="3"/>
      </tp>
      <tp t="e">
        <v>#N/A</v>
        <stp/>
        <stp>BDS|15473814892347550467</stp>
        <tr r="LN5" s="62"/>
      </tp>
      <tp t="e">
        <v>#N/A</v>
        <stp/>
        <stp>BDS|16893146393960969922</stp>
        <tr r="JK5" s="10"/>
      </tp>
      <tp t="e">
        <v>#N/A</v>
        <stp/>
        <stp>BDS|15649371660163459413</stp>
        <tr r="K5" s="114"/>
      </tp>
      <tp t="e">
        <v>#N/A</v>
        <stp/>
        <stp>BDS|13135254001194160201</stp>
        <tr r="MM5" s="68"/>
      </tp>
      <tp t="e">
        <v>#N/A</v>
        <stp/>
        <stp>BDS|10795558323782731224</stp>
        <tr r="FY5" s="78"/>
      </tp>
      <tp t="e">
        <v>#N/A</v>
        <stp/>
        <stp>BDS|15115141970864805099</stp>
        <tr r="DG5" s="19"/>
      </tp>
      <tp t="e">
        <v>#N/A</v>
        <stp/>
        <stp>BDS|12506584069480388638</stp>
        <tr r="GN5" s="82"/>
      </tp>
      <tp t="e">
        <v>#N/A</v>
        <stp/>
        <stp>BDS|10874601658765407101</stp>
        <tr r="CH5" s="8"/>
      </tp>
      <tp t="e">
        <v>#N/A</v>
        <stp/>
        <stp>BDS|15337707745692474362</stp>
        <tr r="K5" s="69"/>
      </tp>
      <tp t="e">
        <v>#N/A</v>
        <stp/>
        <stp>BDS|16873194574777416053</stp>
        <tr r="HH5" s="17"/>
      </tp>
      <tp t="e">
        <v>#N/A</v>
        <stp/>
        <stp>BDS|17225964491444366422</stp>
        <tr r="KT5" s="7"/>
      </tp>
      <tp t="e">
        <v>#N/A</v>
        <stp/>
        <stp>BDS|17908312879552649637</stp>
        <tr r="CM5" s="43"/>
      </tp>
      <tp t="e">
        <v>#N/A</v>
        <stp/>
        <stp>BDS|16309154395238500122</stp>
        <tr r="IV5" s="77"/>
      </tp>
      <tp t="e">
        <v>#N/A</v>
        <stp/>
        <stp>BDS|17179274174613242645</stp>
        <tr r="FJ5" s="43"/>
      </tp>
      <tp t="e">
        <v>#N/A</v>
        <stp/>
        <stp>BDS|11697061231044387164</stp>
        <tr r="GX5" s="80"/>
      </tp>
      <tp t="e">
        <v>#N/A</v>
        <stp/>
        <stp>BDS|13434792771854957018</stp>
        <tr r="JK5" s="100"/>
      </tp>
      <tp t="e">
        <v>#N/A</v>
        <stp/>
        <stp>BDS|11183307958815587595</stp>
        <tr r="HR5" s="95"/>
      </tp>
      <tp t="e">
        <v>#N/A</v>
        <stp/>
        <stp>BDS|14499224851517607342</stp>
        <tr r="AT5" s="105"/>
      </tp>
      <tp t="e">
        <v>#N/A</v>
        <stp/>
        <stp>BDS|17729356431514392451</stp>
        <tr r="AY5" s="117"/>
      </tp>
      <tp t="e">
        <v>#N/A</v>
        <stp/>
        <stp>BDS|18385523164039500554</stp>
        <tr r="NV5" s="65"/>
      </tp>
      <tp t="e">
        <v>#N/A</v>
        <stp/>
        <stp>BDS|10273039060030600121</stp>
        <tr r="DQ5" s="41"/>
      </tp>
      <tp t="e">
        <v>#N/A</v>
        <stp/>
        <stp>BDS|12014479973666544047</stp>
        <tr r="Z5" s="1"/>
      </tp>
      <tp t="e">
        <v>#N/A</v>
        <stp/>
        <stp>BDS|17812965124922668996</stp>
        <tr r="LD5" s="86"/>
      </tp>
      <tp t="e">
        <v>#N/A</v>
        <stp/>
        <stp>BDS|14539630586674706929</stp>
        <tr r="EA5" s="63"/>
      </tp>
      <tp t="e">
        <v>#N/A</v>
        <stp/>
        <stp>BDS|11528716364644244377</stp>
        <tr r="GN5" s="7"/>
      </tp>
      <tp t="e">
        <v>#N/A</v>
        <stp/>
        <stp>BDS|12876443075597915151</stp>
        <tr r="EF5" s="52"/>
      </tp>
      <tp t="e">
        <v>#N/A</v>
        <stp/>
        <stp>BDS|13352762227788776907</stp>
        <tr r="JA5" s="76"/>
      </tp>
      <tp t="e">
        <v>#N/A</v>
        <stp/>
        <stp>BDS|12223738409280882257</stp>
        <tr r="DV5" s="9"/>
      </tp>
      <tp t="e">
        <v>#N/A</v>
        <stp/>
        <stp>BDS|11956469230101381092</stp>
        <tr r="JZ5" s="43"/>
      </tp>
      <tp t="e">
        <v>#N/A</v>
        <stp/>
        <stp>BDS|17188382743791836678</stp>
        <tr r="NL5" s="3"/>
      </tp>
      <tp t="e">
        <v>#N/A</v>
        <stp/>
        <stp>BDS|17144410944811414159</stp>
        <tr r="KO5" s="78"/>
      </tp>
      <tp t="e">
        <v>#N/A</v>
        <stp/>
        <stp>BDS|16157664263332802396</stp>
        <tr r="KJ5" s="14"/>
      </tp>
      <tp t="e">
        <v>#N/A</v>
        <stp/>
        <stp>BDS|16635257031616315647</stp>
        <tr r="Z5" s="43"/>
      </tp>
      <tp t="e">
        <v>#N/A</v>
        <stp/>
        <stp>BDS|17746709545990185097</stp>
        <tr r="IG5" s="49"/>
      </tp>
      <tp t="e">
        <v>#N/A</v>
        <stp/>
        <stp>BDS|14880300402141975297</stp>
        <tr r="NV5" s="14"/>
      </tp>
      <tp t="e">
        <v>#N/A</v>
        <stp/>
        <stp>BDS|13651409532432618281</stp>
        <tr r="IG5" s="50"/>
      </tp>
      <tp t="e">
        <v>#N/A</v>
        <stp/>
        <stp>BDS|15610097495951944994</stp>
        <tr r="LN5" s="114"/>
      </tp>
      <tp t="e">
        <v>#N/A</v>
        <stp/>
        <stp>BDS|10103978159639441115</stp>
        <tr r="EK5" s="76"/>
      </tp>
      <tp t="e">
        <v>#N/A</v>
        <stp/>
        <stp>BDS|14489829061596532889</stp>
        <tr r="DV5" s="26"/>
      </tp>
      <tp t="e">
        <v>#N/A</v>
        <stp/>
        <stp>BDS|11772598393348353145</stp>
        <tr r="LX5" s="85"/>
      </tp>
      <tp t="e">
        <v>#N/A</v>
        <stp/>
        <stp>BDS|11805353603096304070</stp>
        <tr r="F5" s="76"/>
      </tp>
      <tp t="e">
        <v>#N/A</v>
        <stp/>
        <stp>BDS|16655683964453084108</stp>
        <tr r="IB5" s="6"/>
      </tp>
      <tp t="e">
        <v>#N/A</v>
        <stp/>
        <stp>BDS|13441185342795432704</stp>
        <tr r="A5" s="21"/>
      </tp>
      <tp t="e">
        <v>#N/A</v>
        <stp/>
        <stp>BDS|10647611124235154583</stp>
        <tr r="MH5" s="74"/>
      </tp>
      <tp t="e">
        <v>#N/A</v>
        <stp/>
        <stp>BDS|16979329712290739048</stp>
        <tr r="IL5" s="60"/>
      </tp>
      <tp t="e">
        <v>#N/A</v>
        <stp/>
        <stp>BDS|13264930528169577567</stp>
        <tr r="MM5" s="100"/>
      </tp>
      <tp t="e">
        <v>#N/A</v>
        <stp/>
        <stp>BDS|12991762557304696046</stp>
        <tr r="P5" s="34"/>
      </tp>
      <tp t="e">
        <v>#N/A</v>
        <stp/>
        <stp>BDS|17451473038685717167</stp>
        <tr r="JP5" s="52"/>
      </tp>
      <tp t="e">
        <v>#N/A</v>
        <stp/>
        <stp>BDS|13035663625923962009</stp>
        <tr r="IB5" s="100"/>
      </tp>
      <tp t="e">
        <v>#N/A</v>
        <stp/>
        <stp>BDS|13733374957953491292</stp>
        <tr r="CH5" s="41"/>
      </tp>
      <tp t="e">
        <v>#N/A</v>
        <stp/>
        <stp>BDS|18194990002567114218</stp>
        <tr r="GN5" s="90"/>
      </tp>
      <tp t="e">
        <v>#N/A</v>
        <stp/>
        <stp>BDS|15510013219036313647</stp>
        <tr r="JA5" s="10"/>
      </tp>
      <tp t="e">
        <v>#N/A</v>
        <stp/>
        <stp>BDS|15689770206740840640</stp>
        <tr r="P5" s="80"/>
      </tp>
      <tp t="e">
        <v>#N/A</v>
        <stp/>
        <stp>BDS|13446551350924349392</stp>
        <tr r="FE5" s="79"/>
      </tp>
      <tp t="e">
        <v>#N/A</v>
        <stp/>
        <stp>BDS|10585448569977014131</stp>
        <tr r="HW5" s="83"/>
      </tp>
      <tp t="e">
        <v>#N/A</v>
        <stp/>
        <stp>BDS|12656271898289784457</stp>
        <tr r="LN5" s="43"/>
      </tp>
      <tp t="e">
        <v>#N/A</v>
        <stp/>
        <stp>BDS|15787640379006489658</stp>
        <tr r="MW5" s="107"/>
      </tp>
      <tp t="e">
        <v>#N/A</v>
        <stp/>
        <stp>BDS|11419331553630985366</stp>
        <tr r="U5" s="84"/>
      </tp>
      <tp t="e">
        <v>#N/A</v>
        <stp/>
        <stp>BDS|15165359421372705294</stp>
        <tr r="EK5" s="9"/>
      </tp>
      <tp t="e">
        <v>#N/A</v>
        <stp/>
        <stp>BDS|14492787145481602245</stp>
        <tr r="BD5" s="66"/>
      </tp>
      <tp t="e">
        <v>#N/A</v>
        <stp/>
        <stp>BDS|11815707131337631649</stp>
        <tr r="FT5" s="96"/>
      </tp>
      <tp t="e">
        <v>#N/A</v>
        <stp/>
        <stp>BDS|14237023801399840928</stp>
        <tr r="JF5" s="63"/>
      </tp>
      <tp t="e">
        <v>#N/A</v>
        <stp/>
        <stp>BDS|16203770723053446499</stp>
        <tr r="LS5" s="80"/>
      </tp>
      <tp t="e">
        <v>#N/A</v>
        <stp/>
        <stp>BDS|15647131856990010580</stp>
        <tr r="BN5" s="16"/>
      </tp>
      <tp t="e">
        <v>#N/A</v>
        <stp/>
        <stp>BDS|10105618858367307007</stp>
        <tr r="KT5" s="33"/>
      </tp>
      <tp t="e">
        <v>#N/A</v>
        <stp/>
        <stp>BDS|17138165168427597317</stp>
        <tr r="BX5" s="56"/>
      </tp>
      <tp t="e">
        <v>#N/A</v>
        <stp/>
        <stp>BDS|17264430847895457697</stp>
        <tr r="CM5" s="95"/>
      </tp>
      <tp t="e">
        <v>#N/A</v>
        <stp/>
        <stp>BDS|14547667272082315390</stp>
        <tr r="CW5" s="35"/>
      </tp>
      <tp t="e">
        <v>#N/A</v>
        <stp/>
        <stp>BDS|17686677769766133529</stp>
        <tr r="HH5" s="107"/>
      </tp>
      <tp t="e">
        <v>#N/A</v>
        <stp/>
        <stp>BDS|14788907896635284583</stp>
        <tr r="IL5" s="17"/>
      </tp>
      <tp t="e">
        <v>#N/A</v>
        <stp/>
        <stp>BDS|14262276439027362644</stp>
        <tr r="CC5" s="45"/>
      </tp>
      <tp t="e">
        <v>#N/A</v>
        <stp/>
        <stp>BDS|16544496975463304217</stp>
        <tr r="FJ5" s="124"/>
      </tp>
      <tp t="e">
        <v>#N/A</v>
        <stp/>
        <stp>BDS|17660738249929279951</stp>
        <tr r="EU5" s="59"/>
      </tp>
      <tp t="e">
        <v>#N/A</v>
        <stp/>
        <stp>BDS|10894771414483830188</stp>
        <tr r="KO5" s="109"/>
      </tp>
      <tp t="e">
        <v>#N/A</v>
        <stp/>
        <stp>BDS|16426246568331084739</stp>
        <tr r="OF5" s="38"/>
      </tp>
      <tp t="e">
        <v>#N/A</v>
        <stp/>
        <stp>BDS|12272445878145303066</stp>
        <tr r="NB5" s="96"/>
      </tp>
      <tp t="e">
        <v>#N/A</v>
        <stp/>
        <stp>BDS|11749538470662455584</stp>
        <tr r="NG5" s="23"/>
      </tp>
      <tp t="e">
        <v>#N/A</v>
        <stp/>
        <stp>BDS|12913732213194706468</stp>
        <tr r="CM5" s="52"/>
      </tp>
      <tp t="e">
        <v>#N/A</v>
        <stp/>
        <stp>BDS|10058364279372099271</stp>
        <tr r="DL5" s="4"/>
      </tp>
      <tp t="e">
        <v>#N/A</v>
        <stp/>
        <stp>BDS|13075774937904141797</stp>
        <tr r="DL5" s="30"/>
      </tp>
      <tp t="e">
        <v>#N/A</v>
        <stp/>
        <stp>BDS|16499230474296947120</stp>
        <tr r="GX5" s="3"/>
      </tp>
      <tp t="e">
        <v>#N/A</v>
        <stp/>
        <stp>BDS|12981299928261882785</stp>
        <tr r="DQ5" s="11"/>
      </tp>
      <tp t="e">
        <v>#N/A</v>
        <stp/>
        <stp>BDS|18411683841616791820</stp>
        <tr r="MC5" s="102"/>
      </tp>
      <tp t="e">
        <v>#N/A</v>
        <stp/>
        <stp>BDS|18317989744775215452</stp>
        <tr r="BI5" s="2"/>
      </tp>
      <tp t="e">
        <v>#N/A</v>
        <stp/>
        <stp>BDS|10183082855412045349</stp>
        <tr r="K5" s="46"/>
      </tp>
      <tp t="e">
        <v>#N/A</v>
        <stp/>
        <stp>BDS|18044998967426680503</stp>
        <tr r="GI5" s="118"/>
      </tp>
      <tp t="e">
        <v>#N/A</v>
        <stp/>
        <stp>BDS|15082994506579090173</stp>
        <tr r="MW5" s="71"/>
      </tp>
      <tp t="e">
        <v>#N/A</v>
        <stp/>
        <stp>BDS|15611478926135798282</stp>
        <tr r="LX5" s="3"/>
      </tp>
      <tp t="e">
        <v>#N/A</v>
        <stp/>
        <stp>BDS|11553359579275548448</stp>
        <tr r="EK5" s="1"/>
        <tr r="K5" s="15"/>
      </tp>
      <tp t="e">
        <v>#N/A</v>
        <stp/>
        <stp>BDS|18421973318291420573</stp>
        <tr r="AO5" s="106"/>
      </tp>
      <tp t="e">
        <v>#N/A</v>
        <stp/>
        <stp>BDS|14622450209154063027</stp>
        <tr r="JP5" s="13"/>
      </tp>
      <tp t="e">
        <v>#N/A</v>
        <stp/>
        <stp>BDS|13332308618967726241</stp>
        <tr r="BD5" s="74"/>
      </tp>
      <tp t="e">
        <v>#N/A</v>
        <stp/>
        <stp>BDS|14664829087259851939</stp>
        <tr r="NQ5" s="19"/>
      </tp>
      <tp t="e">
        <v>#N/A</v>
        <stp/>
        <stp>BDS|18210835043145932536</stp>
        <tr r="IG5" s="75"/>
      </tp>
      <tp t="e">
        <v>#N/A</v>
        <stp/>
        <stp>BDS|15429061816294560491</stp>
        <tr r="NL5" s="53"/>
      </tp>
      <tp t="e">
        <v>#N/A</v>
        <stp/>
        <stp>BDS|12373596804376775510</stp>
        <tr r="GX5" s="105"/>
      </tp>
      <tp t="e">
        <v>#N/A</v>
        <stp/>
        <stp>BDS|14912808627093047968</stp>
        <tr r="KT5" s="25"/>
      </tp>
      <tp t="e">
        <v>#N/A</v>
        <stp/>
        <stp>BDS|11004562914145918436</stp>
        <tr r="HW5" s="119"/>
      </tp>
      <tp t="e">
        <v>#N/A</v>
        <stp/>
        <stp>BDS|13049788067017279140</stp>
        <tr r="F5" s="106"/>
      </tp>
      <tp t="e">
        <v>#N/A</v>
        <stp/>
        <stp>BDS|13836545221256781637</stp>
        <tr r="JA5" s="120"/>
      </tp>
      <tp t="e">
        <v>#N/A</v>
        <stp/>
        <stp>BDS|10752139842916998767</stp>
        <tr r="FJ5" s="92"/>
      </tp>
      <tp t="e">
        <v>#N/A</v>
        <stp/>
        <stp>BDS|15335210098842242814</stp>
        <tr r="LN5" s="116"/>
      </tp>
      <tp t="e">
        <v>#N/A</v>
        <stp/>
        <stp>BDS|10649443805932735297</stp>
        <tr r="EA5" s="104"/>
      </tp>
      <tp t="e">
        <v>#N/A</v>
        <stp/>
        <stp>BDS|13583363304077978374</stp>
        <tr r="GX5" s="113"/>
      </tp>
      <tp t="e">
        <v>#N/A</v>
        <stp/>
        <stp>BDS|12679199833300323467</stp>
        <tr r="AE5" s="110"/>
      </tp>
      <tp t="e">
        <v>#N/A</v>
        <stp/>
        <stp>BDS|11544090427483770458</stp>
        <tr r="LN5" s="123"/>
      </tp>
      <tp t="e">
        <v>#N/A</v>
        <stp/>
        <stp>BDS|10759760918941342337</stp>
        <tr r="KO5" s="74"/>
      </tp>
      <tp t="e">
        <v>#N/A</v>
        <stp/>
        <stp>BDS|15735054776442587484</stp>
        <tr r="K5" s="12"/>
      </tp>
      <tp t="e">
        <v>#N/A</v>
        <stp/>
        <stp>BDS|13840112824202627628</stp>
        <tr r="EU5" s="124"/>
      </tp>
      <tp t="e">
        <v>#N/A</v>
        <stp/>
        <stp>BDS|11843116759164867518</stp>
        <tr r="BX5" s="44"/>
      </tp>
      <tp t="e">
        <v>#N/A</v>
        <stp/>
        <stp>BDS|17693238168234267368</stp>
        <tr r="AO5" s="60"/>
      </tp>
      <tp t="e">
        <v>#N/A</v>
        <stp/>
        <stp>BDS|10504737769722793714</stp>
        <tr r="CC5" s="118"/>
      </tp>
      <tp t="e">
        <v>#N/A</v>
        <stp/>
        <stp>BDS|11558487423791771201</stp>
        <tr r="HM5" s="125"/>
      </tp>
      <tp t="e">
        <v>#N/A</v>
        <stp/>
        <stp>BDS|11345610199192247803</stp>
        <tr r="NL5" s="104"/>
      </tp>
      <tp t="e">
        <v>#N/A</v>
        <stp/>
        <stp>BDS|12881531124803539233</stp>
        <tr r="KJ5" s="43"/>
      </tp>
      <tp t="e">
        <v>#N/A</v>
        <stp/>
        <stp>BDS|17809831622320408943</stp>
        <tr r="BX5" s="15"/>
      </tp>
      <tp t="e">
        <v>#N/A</v>
        <stp/>
        <stp>BDS|16620067218486003511</stp>
        <tr r="DG5" s="65"/>
      </tp>
      <tp t="e">
        <v>#N/A</v>
        <stp/>
        <stp>BDS|17164814582784360783</stp>
        <tr r="HC5" s="28"/>
      </tp>
      <tp t="e">
        <v>#N/A</v>
        <stp/>
        <stp>BDS|12521478172195188083</stp>
        <tr r="DG5" s="59"/>
      </tp>
      <tp t="e">
        <v>#N/A</v>
        <stp/>
        <stp>BDS|16273221460282100483</stp>
        <tr r="CH5" s="67"/>
      </tp>
      <tp t="e">
        <v>#N/A</v>
        <stp/>
        <stp>BDS|18109966035465828337</stp>
        <tr r="KT5" s="14"/>
      </tp>
      <tp t="e">
        <v>#N/A</v>
        <stp/>
        <stp>BDS|13439651294538811040</stp>
        <tr r="KE5" s="64"/>
      </tp>
      <tp t="e">
        <v>#N/A</v>
        <stp/>
        <stp>BDS|14660364144513485499</stp>
        <tr r="NL5" s="97"/>
      </tp>
      <tp t="e">
        <v>#N/A</v>
        <stp/>
        <stp>BDS|16550189435372015218</stp>
        <tr r="KJ5" s="9"/>
      </tp>
      <tp t="e">
        <v>#N/A</v>
        <stp/>
        <stp>BDS|13521447851933803518</stp>
        <tr r="FJ5" s="73"/>
      </tp>
      <tp t="e">
        <v>#N/A</v>
        <stp/>
        <stp>BDS|13605633269167497061</stp>
        <tr r="CH5" s="89"/>
      </tp>
      <tp t="e">
        <v>#N/A</v>
        <stp/>
        <stp>BDS|10697595250526175207</stp>
        <tr r="CH5" s="12"/>
      </tp>
      <tp t="e">
        <v>#N/A</v>
        <stp/>
        <stp>BDS|16980327250785191149</stp>
        <tr r="GN5" s="103"/>
      </tp>
      <tp t="e">
        <v>#N/A</v>
        <stp/>
        <stp>BDS|17902278711478643870</stp>
        <tr r="DL5" s="38"/>
      </tp>
      <tp t="e">
        <v>#N/A</v>
        <stp/>
        <stp>BDS|10625486115573513208</stp>
        <tr r="JP5" s="94"/>
        <tr r="BN5" s="115"/>
      </tp>
      <tp t="e">
        <v>#N/A</v>
        <stp/>
        <stp>BDS|11500991898383330699</stp>
        <tr r="IV5" s="26"/>
      </tp>
      <tp t="e">
        <v>#N/A</v>
        <stp/>
        <stp>BDS|15768592820975109313</stp>
        <tr r="GI5" s="52"/>
      </tp>
      <tp t="e">
        <v>#N/A</v>
        <stp/>
        <stp>BDS|13246298490624648830</stp>
        <tr r="GX5" s="78"/>
      </tp>
      <tp t="e">
        <v>#N/A</v>
        <stp/>
        <stp>BDS|18048567653249991526</stp>
        <tr r="AE5" s="89"/>
      </tp>
      <tp t="e">
        <v>#N/A</v>
        <stp/>
        <stp>BDS|13692108652582897120</stp>
        <tr r="MW5" s="20"/>
      </tp>
      <tp t="e">
        <v>#N/A</v>
        <stp/>
        <stp>BDS|16050321900386904756</stp>
        <tr r="EU5" s="76"/>
      </tp>
      <tp t="e">
        <v>#N/A</v>
        <stp/>
        <stp>BDS|10267897284501071512</stp>
        <tr r="BS5" s="7"/>
      </tp>
      <tp t="e">
        <v>#N/A</v>
        <stp/>
        <stp>BDS|10890729200204035740</stp>
        <tr r="KT5" s="57"/>
      </tp>
      <tp t="e">
        <v>#N/A</v>
        <stp/>
        <stp>BDS|14153931799533550305</stp>
        <tr r="IQ5" s="122"/>
      </tp>
      <tp t="e">
        <v>#N/A</v>
        <stp/>
        <stp>BDS|17446997282392138004</stp>
        <tr r="MM5" s="59"/>
      </tp>
      <tp t="e">
        <v>#N/A</v>
        <stp/>
        <stp>BDS|17274471765914792591</stp>
        <tr r="DV5" s="55"/>
      </tp>
      <tp t="e">
        <v>#N/A</v>
        <stp/>
        <stp>BDS|15892350858372282594</stp>
        <tr r="CW5" s="10"/>
      </tp>
      <tp t="e">
        <v>#N/A</v>
        <stp/>
        <stp>BDS|16298648541371831117</stp>
        <tr r="AE5" s="95"/>
      </tp>
      <tp t="e">
        <v>#N/A</v>
        <stp/>
        <stp>BDS|13383820439139328540</stp>
        <tr r="EU5" s="92"/>
      </tp>
      <tp t="e">
        <v>#N/A</v>
        <stp/>
        <stp>BDS|15752445532982978474</stp>
        <tr r="FO5" s="94"/>
      </tp>
      <tp t="e">
        <v>#N/A</v>
        <stp/>
        <stp>BDS|11709218044372573185</stp>
        <tr r="MC5" s="93"/>
      </tp>
      <tp t="e">
        <v>#N/A</v>
        <stp/>
        <stp>BDS|12680344088655678835</stp>
        <tr r="MM5" s="34"/>
      </tp>
      <tp t="e">
        <v>#N/A</v>
        <stp/>
        <stp>BDS|15972765280697556959</stp>
        <tr r="MW5" s="63"/>
      </tp>
      <tp t="e">
        <v>#N/A</v>
        <stp/>
        <stp>BDS|11784127016852994751</stp>
        <tr r="MC5" s="16"/>
      </tp>
      <tp t="e">
        <v>#N/A</v>
        <stp/>
        <stp>BDS|15294425535727346190</stp>
        <tr r="GD5" s="24"/>
      </tp>
      <tp t="e">
        <v>#N/A</v>
        <stp/>
        <stp>BDS|13450705458540694553</stp>
        <tr r="AO5" s="2"/>
      </tp>
      <tp t="e">
        <v>#N/A</v>
        <stp/>
        <stp>BDS|10616570135111899337</stp>
        <tr r="KJ5" s="70"/>
      </tp>
      <tp t="e">
        <v>#N/A</v>
        <stp/>
        <stp>BDS|14460592472667860589</stp>
        <tr r="LD5" s="28"/>
      </tp>
      <tp t="e">
        <v>#N/A</v>
        <stp/>
        <stp>BDS|10205770038981244101</stp>
        <tr r="GI5" s="19"/>
      </tp>
      <tp t="e">
        <v>#N/A</v>
        <stp/>
        <stp>BDS|17907950358888839737</stp>
        <tr r="FJ5" s="47"/>
      </tp>
      <tp t="e">
        <v>#N/A</v>
        <stp/>
        <stp>BDS|11054732152870911772</stp>
        <tr r="AT5" s="32"/>
      </tp>
      <tp t="e">
        <v>#N/A</v>
        <stp/>
        <stp>BDS|14401225917676708590</stp>
        <tr r="GD5" s="102"/>
      </tp>
      <tp t="e">
        <v>#N/A</v>
        <stp/>
        <stp>BDS|16440623238762345526</stp>
        <tr r="K5" s="34"/>
      </tp>
      <tp t="e">
        <v>#N/A</v>
        <stp/>
        <stp>BDS|12457114448273343017</stp>
        <tr r="HM5" s="96"/>
      </tp>
      <tp t="e">
        <v>#N/A</v>
        <stp/>
        <stp>BDS|12111087441133225155</stp>
        <tr r="NL5" s="124"/>
      </tp>
      <tp t="e">
        <v>#N/A</v>
        <stp/>
        <stp>BDS|11528433609342712374</stp>
        <tr r="HR5" s="73"/>
      </tp>
      <tp t="e">
        <v>#N/A</v>
        <stp/>
        <stp>BDS|12738166151294748684</stp>
        <tr r="CC5" s="91"/>
      </tp>
      <tp t="e">
        <v>#N/A</v>
        <stp/>
        <stp>BDS|16791848983307807574</stp>
        <tr r="FO5" s="9"/>
      </tp>
      <tp t="e">
        <v>#N/A</v>
        <stp/>
        <stp>BDS|17462040005393215082</stp>
        <tr r="AJ5" s="25"/>
      </tp>
      <tp t="e">
        <v>#N/A</v>
        <stp/>
        <stp>BDS|11702205508136905192</stp>
        <tr r="DV5" s="52"/>
      </tp>
      <tp t="e">
        <v>#N/A</v>
        <stp/>
        <stp>BDS|11907161342055409564</stp>
        <tr r="DG5" s="76"/>
      </tp>
      <tp t="e">
        <v>#N/A</v>
        <stp/>
        <stp>BDS|13935016554174744645</stp>
        <tr r="FE5" s="51"/>
      </tp>
      <tp t="e">
        <v>#N/A</v>
        <stp/>
        <stp>BDS|14201503943562712393</stp>
        <tr r="KE5" s="101"/>
      </tp>
      <tp t="e">
        <v>#N/A</v>
        <stp/>
        <stp>BDS|12644842589894127258</stp>
        <tr r="HH5" s="98"/>
      </tp>
      <tp t="e">
        <v>#N/A</v>
        <stp/>
        <stp>BDS|12671168666488380998</stp>
        <tr r="BX5" s="70"/>
      </tp>
      <tp t="e">
        <v>#N/A</v>
        <stp/>
        <stp>BDS|18074707309839583209</stp>
        <tr r="FO5" s="31"/>
      </tp>
      <tp t="e">
        <v>#N/A</v>
        <stp/>
        <stp>BDS|17696729159633894296</stp>
        <tr r="GS5" s="122"/>
      </tp>
      <tp t="e">
        <v>#N/A</v>
        <stp/>
        <stp>BDS|14974386407147815429</stp>
        <tr r="AO5" s="92"/>
      </tp>
      <tp t="e">
        <v>#N/A</v>
        <stp/>
        <stp>BDS|16323777514825815143</stp>
        <tr r="IL5" s="99"/>
      </tp>
      <tp t="e">
        <v>#N/A</v>
        <stp/>
        <stp>BDS|12115004006926956025</stp>
        <tr r="EZ5" s="103"/>
      </tp>
      <tp t="e">
        <v>#N/A</v>
        <stp/>
        <stp>BDS|13970663470195014337</stp>
        <tr r="MC5" s="104"/>
      </tp>
      <tp t="e">
        <v>#N/A</v>
        <stp/>
        <stp>BDS|11274434028173592008</stp>
        <tr r="GN5" s="78"/>
      </tp>
      <tp t="e">
        <v>#N/A</v>
        <stp/>
        <stp>BDS|13059841216737662987</stp>
        <tr r="EU5" s="103"/>
      </tp>
      <tp t="e">
        <v>#N/A</v>
        <stp/>
        <stp>BDS|11972820345588613142</stp>
        <tr r="F5" s="50"/>
      </tp>
      <tp t="e">
        <v>#N/A</v>
        <stp/>
        <stp>BDS|10935771344757000065</stp>
        <tr r="KY5" s="1"/>
      </tp>
      <tp t="e">
        <v>#N/A</v>
        <stp/>
        <stp>BDS|17270480244321601243</stp>
        <tr r="JP5" s="104"/>
      </tp>
      <tp t="e">
        <v>#N/A</v>
        <stp/>
        <stp>BDS|13878482272844991071</stp>
        <tr r="JF5" s="116"/>
      </tp>
      <tp t="e">
        <v>#N/A</v>
        <stp/>
        <stp>BDS|17182449065102557390</stp>
        <tr r="KO5" s="114"/>
      </tp>
      <tp t="e">
        <v>#N/A</v>
        <stp/>
        <stp>BDS|16545439957043979050</stp>
        <tr r="IG5" s="83"/>
      </tp>
      <tp t="e">
        <v>#N/A</v>
        <stp/>
        <stp>BDS|15939647617956573023</stp>
        <tr r="DB5" s="90"/>
      </tp>
      <tp t="e">
        <v>#N/A</v>
        <stp/>
        <stp>BDS|14942452643911720154</stp>
        <tr r="BX5" s="4"/>
      </tp>
      <tp t="e">
        <v>#N/A</v>
        <stp/>
        <stp>BDS|14858668730603151626</stp>
        <tr r="IL5" s="9"/>
      </tp>
      <tp t="e">
        <v>#N/A</v>
        <stp/>
        <stp>BDS|17888640967976288541</stp>
        <tr r="K5" s="120"/>
      </tp>
      <tp t="e">
        <v>#N/A</v>
        <stp/>
        <stp>BDS|18406278021095967966</stp>
        <tr r="KJ5" s="110"/>
      </tp>
      <tp t="e">
        <v>#N/A</v>
        <stp/>
        <stp>BDS|14681464660465905747</stp>
        <tr r="MH5" s="9"/>
      </tp>
      <tp t="e">
        <v>#N/A</v>
        <stp/>
        <stp>BDS|12782544288029322250</stp>
        <tr r="CW5" s="73"/>
      </tp>
      <tp t="e">
        <v>#N/A</v>
        <stp/>
        <stp>BDS|14991155511057833782</stp>
        <tr r="NV5" s="125"/>
      </tp>
      <tp t="e">
        <v>#N/A</v>
        <stp/>
        <stp>BDS|10430416000583057386</stp>
        <tr r="GI5" s="34"/>
      </tp>
      <tp t="e">
        <v>#N/A</v>
        <stp/>
        <stp>BDS|10654950569383336846</stp>
        <tr r="IV5" s="89"/>
      </tp>
      <tp t="e">
        <v>#N/A</v>
        <stp/>
        <stp>BDS|15917543954544732535</stp>
        <tr r="NV5" s="105"/>
      </tp>
      <tp t="e">
        <v>#N/A</v>
        <stp/>
        <stp>BDS|12224357167217927444</stp>
        <tr r="NG5" s="83"/>
      </tp>
      <tp t="e">
        <v>#N/A</v>
        <stp/>
        <stp>BDS|17267558446591923359</stp>
        <tr r="FJ5" s="79"/>
      </tp>
      <tp t="e">
        <v>#N/A</v>
        <stp/>
        <stp>BDS|12534907528788641560</stp>
        <tr r="NL5" s="21"/>
      </tp>
      <tp t="e">
        <v>#N/A</v>
        <stp/>
        <stp>BDS|18249190551281734903</stp>
        <tr r="EZ5" s="7"/>
      </tp>
      <tp t="e">
        <v>#N/A</v>
        <stp/>
        <stp>BDS|12579560631340651094</stp>
        <tr r="HR5" s="89"/>
      </tp>
      <tp t="e">
        <v>#N/A</v>
        <stp/>
        <stp>BDS|16474613116324621180</stp>
        <tr r="JP5" s="81"/>
      </tp>
      <tp t="e">
        <v>#N/A</v>
        <stp/>
        <stp>BDS|11920986017444801934</stp>
        <tr r="JF5" s="118"/>
      </tp>
      <tp t="e">
        <v>#N/A</v>
        <stp/>
        <stp>BDS|14473470438305252245</stp>
        <tr r="GI5" s="78"/>
      </tp>
      <tp t="e">
        <v>#N/A</v>
        <stp/>
        <stp>BDS|13322962093866505113</stp>
        <tr r="MC5" s="50"/>
      </tp>
      <tp t="e">
        <v>#N/A</v>
        <stp/>
        <stp>BDS|13128578277611037435</stp>
        <tr r="FT5" s="117"/>
      </tp>
      <tp t="e">
        <v>#N/A</v>
        <stp/>
        <stp>BDS|10155245577486783776</stp>
        <tr r="JP5" s="97"/>
      </tp>
      <tp t="e">
        <v>#N/A</v>
        <stp/>
        <stp>BDS|10077696370360300588</stp>
        <tr r="EK5" s="18"/>
      </tp>
      <tp t="e">
        <v>#N/A</v>
        <stp/>
        <stp>BDS|16784271365610628614</stp>
        <tr r="KO5" s="28"/>
      </tp>
      <tp t="e">
        <v>#N/A</v>
        <stp/>
        <stp>BDS|17289257091461606924</stp>
        <tr r="LS5" s="11"/>
      </tp>
      <tp t="e">
        <v>#N/A</v>
        <stp/>
        <stp>BDS|16052509523941695472</stp>
        <tr r="EU5" s="22"/>
      </tp>
      <tp t="e">
        <v>#N/A</v>
        <stp/>
        <stp>BDS|10133162502032387747</stp>
        <tr r="OF5" s="44"/>
      </tp>
      <tp t="e">
        <v>#N/A</v>
        <stp/>
        <stp>BDS|17232254332963532120</stp>
        <tr r="HR5" s="31"/>
      </tp>
      <tp t="e">
        <v>#N/A</v>
        <stp/>
        <stp>BDS|15463731095618386734</stp>
        <tr r="AT5" s="74"/>
      </tp>
      <tp t="e">
        <v>#N/A</v>
        <stp/>
        <stp>BDS|10993806584711844571</stp>
        <tr r="Z5" s="40"/>
      </tp>
      <tp t="e">
        <v>#N/A</v>
        <stp/>
        <stp>BDS|13772816434628669462</stp>
        <tr r="HH5" s="95"/>
      </tp>
      <tp t="e">
        <v>#N/A</v>
        <stp/>
        <stp>BDS|12931162332194722081</stp>
        <tr r="IQ5" s="107"/>
      </tp>
      <tp t="e">
        <v>#N/A</v>
        <stp/>
        <stp>BDS|10703623747564569253</stp>
        <tr r="NB5" s="64"/>
      </tp>
      <tp t="e">
        <v>#N/A</v>
        <stp/>
        <stp>BDS|11364375202276470005</stp>
        <tr r="KE5" s="11"/>
      </tp>
      <tp t="e">
        <v>#N/A</v>
        <stp/>
        <stp>BDS|10614355937541679505</stp>
        <tr r="FJ5" s="61"/>
      </tp>
      <tp t="e">
        <v>#N/A</v>
        <stp/>
        <stp>BDS|12085938428509171483</stp>
        <tr r="GN5" s="57"/>
      </tp>
      <tp t="e">
        <v>#N/A</v>
        <stp/>
        <stp>BDS|12697174945971425226</stp>
        <tr r="OF5" s="8"/>
      </tp>
      <tp t="e">
        <v>#N/A</v>
        <stp/>
        <stp>BDS|14565416307536747261</stp>
        <tr r="LX5" s="113"/>
      </tp>
      <tp t="e">
        <v>#N/A</v>
        <stp/>
        <stp>BDS|15520631875522585249</stp>
        <tr r="GS5" s="106"/>
      </tp>
      <tp t="e">
        <v>#N/A</v>
        <stp/>
        <stp>BDS|15444163267703718506</stp>
        <tr r="AO5" s="39"/>
      </tp>
      <tp t="e">
        <v>#N/A</v>
        <stp/>
        <stp>BDS|16624450110151079613</stp>
        <tr r="EZ5" s="13"/>
      </tp>
      <tp t="e">
        <v>#N/A</v>
        <stp/>
        <stp>BDS|14252645078783879246</stp>
        <tr r="FY5" s="54"/>
      </tp>
      <tp t="e">
        <v>#N/A</v>
        <stp/>
        <stp>BDS|15029404135022104463</stp>
        <tr r="EZ5" s="99"/>
      </tp>
      <tp t="e">
        <v>#N/A</v>
        <stp/>
        <stp>BDS|11548722031316752734</stp>
        <tr r="EP5" s="60"/>
      </tp>
      <tp t="e">
        <v>#N/A</v>
        <stp/>
        <stp>BDS|16921973183731753298</stp>
        <tr r="MM5" s="29"/>
      </tp>
      <tp t="e">
        <v>#N/A</v>
        <stp/>
        <stp>BDS|18265130670072494864</stp>
        <tr r="CR5" s="24"/>
      </tp>
      <tp t="e">
        <v>#N/A</v>
        <stp/>
        <stp>BDS|16744144692528780257</stp>
        <tr r="JA5" s="81"/>
      </tp>
      <tp t="e">
        <v>#N/A</v>
        <stp/>
        <stp>BDS|10315694949001685764</stp>
        <tr r="FT5" s="52"/>
      </tp>
      <tp t="e">
        <v>#N/A</v>
        <stp/>
        <stp>BDS|18083082691042268784</stp>
        <tr r="GS5" s="105"/>
      </tp>
      <tp t="e">
        <v>#N/A</v>
        <stp/>
        <stp>BDS|11496653826546191759</stp>
        <tr r="CH5" s="39"/>
      </tp>
      <tp t="e">
        <v>#N/A</v>
        <stp/>
        <stp>BDS|15075618802163097409</stp>
        <tr r="NQ5" s="107"/>
      </tp>
      <tp t="e">
        <v>#N/A</v>
        <stp/>
        <stp>BDS|10173029553225540466</stp>
        <tr r="BD5" s="93"/>
      </tp>
      <tp t="e">
        <v>#N/A</v>
        <stp/>
        <stp>BDS|15695030031071725305</stp>
        <tr r="HH5" s="103"/>
      </tp>
      <tp t="e">
        <v>#N/A</v>
        <stp/>
        <stp>BDS|16090161414424385629</stp>
        <tr r="JF5" s="89"/>
      </tp>
      <tp t="e">
        <v>#N/A</v>
        <stp/>
        <stp>BDS|14272274145971209716</stp>
        <tr r="LS5" s="68"/>
      </tp>
      <tp t="e">
        <v>#N/A</v>
        <stp/>
        <stp>BDS|15580567142324612441</stp>
        <tr r="BX5" s="1"/>
      </tp>
      <tp t="e">
        <v>#N/A</v>
        <stp/>
        <stp>BDS|14824105009778683944</stp>
        <tr r="FT5" s="5"/>
      </tp>
      <tp t="e">
        <v>#N/A</v>
        <stp/>
        <stp>BDS|10568571306469683818</stp>
        <tr r="F5" s="55"/>
      </tp>
      <tp t="e">
        <v>#N/A</v>
        <stp/>
        <stp>BDS|11350331834544321143</stp>
        <tr r="EK5" s="88"/>
      </tp>
      <tp t="e">
        <v>#N/A</v>
        <stp/>
        <stp>BDS|10559216861043119372</stp>
        <tr r="DL5" s="14"/>
      </tp>
      <tp t="e">
        <v>#N/A</v>
        <stp/>
        <stp>BDS|16080685649991263105</stp>
        <tr r="HW5" s="57"/>
      </tp>
      <tp t="e">
        <v>#N/A</v>
        <stp/>
        <stp>BDS|16623419670089141858</stp>
        <tr r="GN5" s="117"/>
      </tp>
      <tp t="e">
        <v>#N/A</v>
        <stp/>
        <stp>BDS|12691426170913355644</stp>
        <tr r="FO5" s="23"/>
      </tp>
      <tp t="e">
        <v>#N/A</v>
        <stp/>
        <stp>BDS|16402345151816530279</stp>
        <tr r="EU5" s="96"/>
      </tp>
      <tp t="e">
        <v>#N/A</v>
        <stp/>
        <stp>BDS|17922102098742755954</stp>
        <tr r="AY5" s="12"/>
      </tp>
      <tp t="e">
        <v>#N/A</v>
        <stp/>
        <stp>BDS|14918787263704073513</stp>
        <tr r="HR5" s="14"/>
      </tp>
      <tp t="e">
        <v>#N/A</v>
        <stp/>
        <stp>BDS|11686748201721371335</stp>
        <tr r="MC5" s="19"/>
      </tp>
      <tp t="e">
        <v>#N/A</v>
        <stp/>
        <stp>BDS|11802806988357342205</stp>
        <tr r="IG5" s="57"/>
      </tp>
      <tp t="e">
        <v>#N/A</v>
        <stp/>
        <stp>BDS|17968880414023714913</stp>
        <tr r="LX5" s="121"/>
      </tp>
      <tp t="e">
        <v>#N/A</v>
        <stp/>
        <stp>BDS|17317075430105156564</stp>
        <tr r="BI5" s="78"/>
      </tp>
      <tp t="e">
        <v>#N/A</v>
        <stp/>
        <stp>BDS|15717553767770623203</stp>
        <tr r="LI5" s="107"/>
      </tp>
      <tp t="e">
        <v>#N/A</v>
        <stp/>
        <stp>BDS|11094061935622423477</stp>
        <tr r="CH5" s="101"/>
      </tp>
      <tp t="e">
        <v>#N/A</v>
        <stp/>
        <stp>BDS|10800171408350286551</stp>
        <tr r="HH5" s="88"/>
      </tp>
      <tp t="e">
        <v>#N/A</v>
        <stp/>
        <stp>BDS|13098210912381351505</stp>
        <tr r="HM5" s="80"/>
      </tp>
      <tp t="e">
        <v>#N/A</v>
        <stp/>
        <stp>BDS|16864994447926325953</stp>
        <tr r="BD5" s="55"/>
      </tp>
      <tp t="e">
        <v>#N/A</v>
        <stp/>
        <stp>BDS|17221736752899402875</stp>
        <tr r="LI5" s="38"/>
      </tp>
      <tp t="e">
        <v>#N/A</v>
        <stp/>
        <stp>BDS|10997395668788172994</stp>
        <tr r="AT5" s="50"/>
      </tp>
      <tp t="e">
        <v>#N/A</v>
        <stp/>
        <stp>BDS|11756724373812351754</stp>
        <tr r="GD5" s="5"/>
      </tp>
      <tp t="e">
        <v>#N/A</v>
        <stp/>
        <stp>BDS|10481660171597044236</stp>
        <tr r="BX5" s="106"/>
      </tp>
      <tp t="e">
        <v>#N/A</v>
        <stp/>
        <stp>BDS|14803943498905515514</stp>
        <tr r="GN5" s="20"/>
      </tp>
      <tp t="e">
        <v>#N/A</v>
        <stp/>
        <stp>BDS|18039603582975149732</stp>
        <tr r="MW5" s="85"/>
      </tp>
      <tp t="e">
        <v>#N/A</v>
        <stp/>
        <stp>BDS|16445845681047998586</stp>
        <tr r="AO5" s="97"/>
      </tp>
      <tp t="e">
        <v>#N/A</v>
        <stp/>
        <stp>BDS|11993025014170851476</stp>
        <tr r="IQ5" s="23"/>
      </tp>
      <tp t="e">
        <v>#N/A</v>
        <stp/>
        <stp>BDS|17227397265053939574</stp>
        <tr r="GN5" s="91"/>
      </tp>
      <tp t="e">
        <v>#N/A</v>
        <stp/>
        <stp>BDS|10762357402577577051</stp>
        <tr r="OF5" s="118"/>
      </tp>
      <tp t="e">
        <v>#N/A</v>
        <stp/>
        <stp>BDS|12884525745437681090</stp>
        <tr r="LS5" s="97"/>
      </tp>
      <tp t="e">
        <v>#N/A</v>
        <stp/>
        <stp>BDS|15144854414930269828</stp>
        <tr r="CR5" s="43"/>
      </tp>
      <tp t="e">
        <v>#N/A</v>
        <stp/>
        <stp>BDS|11815137746040960047</stp>
        <tr r="LD5" s="21"/>
      </tp>
      <tp t="e">
        <v>#N/A</v>
        <stp/>
        <stp>BDS|16239029937878775902</stp>
        <tr r="CH5" s="96"/>
      </tp>
      <tp t="e">
        <v>#N/A</v>
        <stp/>
        <stp>BDS|11611724300357679527</stp>
        <tr r="MR5" s="43"/>
      </tp>
      <tp t="e">
        <v>#N/A</v>
        <stp/>
        <stp>BDS|10680010705174673048</stp>
        <tr r="DV5" s="47"/>
      </tp>
      <tp t="e">
        <v>#N/A</v>
        <stp/>
        <stp>BDS|11124164339276678186</stp>
        <tr r="GD5" s="7"/>
      </tp>
      <tp t="e">
        <v>#N/A</v>
        <stp/>
        <stp>BDS|15342037744607385264</stp>
        <tr r="OF5" s="40"/>
      </tp>
      <tp t="e">
        <v>#N/A</v>
        <stp/>
        <stp>BDS|10215675451742396563</stp>
        <tr r="OF5" s="114"/>
      </tp>
      <tp t="e">
        <v>#N/A</v>
        <stp/>
        <stp>BDS|16163191148921890698</stp>
        <tr r="LN5" s="64"/>
      </tp>
      <tp t="e">
        <v>#N/A</v>
        <stp/>
        <stp>BDS|12026959764798574155</stp>
        <tr r="CC5" s="70"/>
        <tr r="JA5" s="29"/>
      </tp>
      <tp t="e">
        <v>#N/A</v>
        <stp/>
        <stp>BDS|16196560322754177157</stp>
        <tr r="KO5" s="97"/>
      </tp>
      <tp t="e">
        <v>#N/A</v>
        <stp/>
        <stp>BDS|12989200521767055197</stp>
        <tr r="MC5" s="29"/>
      </tp>
      <tp t="e">
        <v>#N/A</v>
        <stp/>
        <stp>BDS|15383332934343528207</stp>
        <tr r="BN5" s="124"/>
      </tp>
      <tp t="e">
        <v>#N/A</v>
        <stp/>
        <stp>BDS|18121246796235671242</stp>
        <tr r="CR5" s="36"/>
      </tp>
      <tp t="e">
        <v>#N/A</v>
        <stp/>
        <stp>BDS|15963596661245958795</stp>
        <tr r="MM5" s="26"/>
      </tp>
      <tp t="e">
        <v>#N/A</v>
        <stp/>
        <stp>BDS|12558196602384613393</stp>
        <tr r="F5" s="18"/>
      </tp>
      <tp t="e">
        <v>#N/A</v>
        <stp/>
        <stp>BDS|18389013901874183839</stp>
        <tr r="IB5" s="105"/>
      </tp>
      <tp t="e">
        <v>#N/A</v>
        <stp/>
        <stp>BDS|12989641836370211389</stp>
        <tr r="F5" s="45"/>
      </tp>
      <tp t="e">
        <v>#N/A</v>
        <stp/>
        <stp>BDS|11110277713014248262</stp>
        <tr r="EZ5" s="30"/>
      </tp>
      <tp t="e">
        <v>#N/A</v>
        <stp/>
        <stp>BDS|13043038703520192707</stp>
        <tr r="AJ5" s="59"/>
      </tp>
      <tp t="e">
        <v>#N/A</v>
        <stp/>
        <stp>BDS|10106521652234800084</stp>
        <tr r="JK5" s="34"/>
      </tp>
      <tp t="e">
        <v>#N/A</v>
        <stp/>
        <stp>BDS|18216636882313743156</stp>
        <tr r="KY5" s="24"/>
      </tp>
      <tp t="e">
        <v>#N/A</v>
        <stp/>
        <stp>BDS|17315973904513300922</stp>
        <tr r="DB5" s="56"/>
      </tp>
      <tp t="e">
        <v>#N/A</v>
        <stp/>
        <stp>BDS|17793376075972154556</stp>
        <tr r="KJ5" s="102"/>
      </tp>
      <tp t="e">
        <v>#N/A</v>
        <stp/>
        <stp>BDS|15067433917645048152</stp>
        <tr r="BS5" s="91"/>
      </tp>
      <tp t="e">
        <v>#N/A</v>
        <stp/>
        <stp>BDS|10023399639790201447</stp>
        <tr r="MC5" s="48"/>
      </tp>
      <tp t="e">
        <v>#N/A</v>
        <stp/>
        <stp>BDS|15145638800552286568</stp>
        <tr r="KE5" s="30"/>
      </tp>
      <tp t="e">
        <v>#N/A</v>
        <stp/>
        <stp>BDS|10276839392590327560</stp>
        <tr r="FT5" s="51"/>
      </tp>
      <tp t="e">
        <v>#N/A</v>
        <stp/>
        <stp>BDS|16296821380581705315</stp>
        <tr r="EK5" s="72"/>
      </tp>
      <tp t="e">
        <v>#N/A</v>
        <stp/>
        <stp>BDS|15158344053894567350</stp>
        <tr r="F5" s="84"/>
      </tp>
      <tp t="e">
        <v>#N/A</v>
        <stp/>
        <stp>BDS|17117078642103036425</stp>
        <tr r="CR5" s="6"/>
        <tr r="JZ5" s="1"/>
        <tr r="HH5" s="6"/>
      </tp>
      <tp t="e">
        <v>#N/A</v>
        <stp/>
        <stp>BDS|15528376604250888282</stp>
        <tr r="OF5" s="4"/>
      </tp>
      <tp t="e">
        <v>#N/A</v>
        <stp/>
        <stp>BDS|16477506950180439261</stp>
        <tr r="IQ5" s="53"/>
      </tp>
      <tp t="e">
        <v>#N/A</v>
        <stp/>
        <stp>BDS|10661176921565704217</stp>
        <tr r="DL5" s="13"/>
      </tp>
      <tp t="e">
        <v>#N/A</v>
        <stp/>
        <stp>BDS|13841260848473950295</stp>
        <tr r="F5" s="95"/>
      </tp>
      <tp t="e">
        <v>#N/A</v>
        <stp/>
        <stp>BDS|16181092731483707289</stp>
        <tr r="EA5" s="105"/>
      </tp>
      <tp t="e">
        <v>#N/A</v>
        <stp/>
        <stp>BDS|11794544904563992385</stp>
        <tr r="JF5" s="48"/>
      </tp>
      <tp t="e">
        <v>#N/A</v>
        <stp/>
        <stp>BDS|17769903250409510644</stp>
        <tr r="HW5" s="102"/>
      </tp>
      <tp t="e">
        <v>#N/A</v>
        <stp/>
        <stp>BDS|10726493258026310334</stp>
        <tr r="FY5" s="55"/>
      </tp>
      <tp t="e">
        <v>#N/A</v>
        <stp/>
        <stp>BDS|10554417771823563477</stp>
        <tr r="MW5" s="86"/>
      </tp>
      <tp t="e">
        <v>#N/A</v>
        <stp/>
        <stp>BDS|10065272377568028979</stp>
        <tr r="FJ5" s="5"/>
      </tp>
      <tp t="e">
        <v>#N/A</v>
        <stp/>
        <stp>BDS|10730452713669647809</stp>
        <tr r="NQ5" s="70"/>
      </tp>
      <tp t="e">
        <v>#N/A</v>
        <stp/>
        <stp>BDS|14965829252765624883</stp>
        <tr r="DG5" s="56"/>
      </tp>
      <tp t="e">
        <v>#N/A</v>
        <stp/>
        <stp>BDS|14167479047775238543</stp>
        <tr r="HR5" s="79"/>
      </tp>
      <tp t="e">
        <v>#N/A</v>
        <stp/>
        <stp>BDS|17650629150586643655</stp>
        <tr r="JK5" s="89"/>
      </tp>
      <tp t="e">
        <v>#N/A</v>
        <stp/>
        <stp>BDS|10122429740876182253</stp>
        <tr r="F5" s="39"/>
      </tp>
      <tp t="e">
        <v>#N/A</v>
        <stp/>
        <stp>BDS|12575520593478759248</stp>
        <tr r="HC5" s="87"/>
      </tp>
      <tp t="e">
        <v>#N/A</v>
        <stp/>
        <stp>BDS|10752622465811086579</stp>
        <tr r="DL5" s="10"/>
      </tp>
      <tp t="e">
        <v>#N/A</v>
        <stp/>
        <stp>BDS|16522603457338787927</stp>
        <tr r="LN5" s="110"/>
      </tp>
      <tp t="e">
        <v>#N/A</v>
        <stp/>
        <stp>BDS|11211194228394488202</stp>
        <tr r="U5" s="69"/>
      </tp>
      <tp t="e">
        <v>#N/A</v>
        <stp/>
        <stp>BDS|11569467251511677531</stp>
        <tr r="LD5" s="3"/>
        <tr r="DL5" s="12"/>
      </tp>
      <tp t="e">
        <v>#N/A</v>
        <stp/>
        <stp>BDS|11506846075593308902</stp>
        <tr r="JU5" s="76"/>
      </tp>
      <tp t="e">
        <v>#N/A</v>
        <stp/>
        <stp>BDS|10180215131561117478</stp>
        <tr r="KJ5" s="78"/>
      </tp>
      <tp t="e">
        <v>#N/A</v>
        <stp/>
        <stp>BDS|17266138286113688967</stp>
        <tr r="DV5" s="86"/>
      </tp>
      <tp t="e">
        <v>#N/A</v>
        <stp/>
        <stp>BDS|17633470582866131958</stp>
        <tr r="U5" s="104"/>
      </tp>
      <tp t="e">
        <v>#N/A</v>
        <stp/>
        <stp>BDS|14501313371271619547</stp>
        <tr r="P5" s="36"/>
      </tp>
      <tp t="e">
        <v>#N/A</v>
        <stp/>
        <stp>BDS|10601833396522235762</stp>
        <tr r="JF5" s="64"/>
      </tp>
      <tp t="e">
        <v>#N/A</v>
        <stp/>
        <stp>BDS|10804051764091856361</stp>
        <tr r="FE5" s="74"/>
      </tp>
      <tp t="e">
        <v>#N/A</v>
        <stp/>
        <stp>BDS|14640774560162219345</stp>
        <tr r="CW5" s="42"/>
      </tp>
      <tp t="e">
        <v>#N/A</v>
        <stp/>
        <stp>BDS|13066875983584400373</stp>
        <tr r="JP5" s="72"/>
      </tp>
      <tp t="e">
        <v>#N/A</v>
        <stp/>
        <stp>BDS|15412809142998033516</stp>
        <tr r="U5" s="44"/>
      </tp>
      <tp t="e">
        <v>#N/A</v>
        <stp/>
        <stp>BDS|16315258416003652218</stp>
        <tr r="MM5" s="90"/>
      </tp>
      <tp t="e">
        <v>#N/A</v>
        <stp/>
        <stp>BDS|13272460817867235557</stp>
        <tr r="JK5" s="25"/>
      </tp>
      <tp t="e">
        <v>#N/A</v>
        <stp/>
        <stp>BDS|10094555852661321503</stp>
        <tr r="HH5" s="4"/>
      </tp>
      <tp t="e">
        <v>#N/A</v>
        <stp/>
        <stp>BDS|15097320673471560400</stp>
        <tr r="GD5" s="60"/>
      </tp>
      <tp t="e">
        <v>#N/A</v>
        <stp/>
        <stp>BDS|15315908390389028872</stp>
        <tr r="NG5" s="102"/>
      </tp>
      <tp t="e">
        <v>#N/A</v>
        <stp/>
        <stp>BDS|10579889264328452291</stp>
        <tr r="JP5" s="12"/>
      </tp>
      <tp t="e">
        <v>#N/A</v>
        <stp/>
        <stp>BDS|12441798416088863872</stp>
        <tr r="MM5" s="45"/>
      </tp>
      <tp t="e">
        <v>#N/A</v>
        <stp/>
        <stp>BDS|11085704864110919492</stp>
        <tr r="NV5" s="47"/>
      </tp>
      <tp t="e">
        <v>#N/A</v>
        <stp/>
        <stp>BDS|11468236370163340309</stp>
        <tr r="F5" s="109"/>
      </tp>
      <tp t="e">
        <v>#N/A</v>
        <stp/>
        <stp>BDS|14807737717415937312</stp>
        <tr r="LS5" s="43"/>
      </tp>
      <tp t="e">
        <v>#N/A</v>
        <stp/>
        <stp>BDS|15766585014045602091</stp>
        <tr r="BI5" s="5"/>
      </tp>
      <tp t="e">
        <v>#N/A</v>
        <stp/>
        <stp>BDS|14666358834728288810</stp>
        <tr r="AT5" s="103"/>
      </tp>
      <tp t="e">
        <v>#N/A</v>
        <stp/>
        <stp>BDS|14109236640465009363</stp>
        <tr r="AT5" s="54"/>
      </tp>
      <tp t="e">
        <v>#N/A</v>
        <stp/>
        <stp>BDS|11623546885629662154</stp>
        <tr r="HM5" s="105"/>
      </tp>
      <tp t="e">
        <v>#N/A</v>
        <stp/>
        <stp>BDS|15876084367245242215</stp>
        <tr r="LX5" s="13"/>
      </tp>
      <tp t="e">
        <v>#N/A</v>
        <stp/>
        <stp>BDS|13390996079360139968</stp>
        <tr r="EF5" s="95"/>
      </tp>
      <tp t="e">
        <v>#N/A</v>
        <stp/>
        <stp>BDS|16222190919344120674</stp>
        <tr r="AY5" s="46"/>
      </tp>
      <tp t="e">
        <v>#N/A</v>
        <stp/>
        <stp>BDS|16549000514145706623</stp>
        <tr r="DB5" s="94"/>
      </tp>
      <tp t="e">
        <v>#N/A</v>
        <stp/>
        <stp>BDS|17486491472929320984</stp>
        <tr r="JU5" s="82"/>
      </tp>
      <tp t="e">
        <v>#N/A</v>
        <stp/>
        <stp>BDS|12582077603686481014</stp>
        <tr r="KY5" s="23"/>
      </tp>
      <tp t="e">
        <v>#N/A</v>
        <stp/>
        <stp>BDS|17018723415773076637</stp>
        <tr r="KT5" s="87"/>
      </tp>
      <tp t="e">
        <v>#N/A</v>
        <stp/>
        <stp>BDS|12358138010700790636</stp>
        <tr r="IG5" s="38"/>
      </tp>
      <tp t="e">
        <v>#N/A</v>
        <stp/>
        <stp>BDS|15590994676676878968</stp>
        <tr r="LS5" s="27"/>
      </tp>
      <tp t="e">
        <v>#N/A</v>
        <stp/>
        <stp>BDS|12769014711016512178</stp>
        <tr r="HW5" s="90"/>
      </tp>
      <tp t="e">
        <v>#N/A</v>
        <stp/>
        <stp>BDS|17946015217975239780</stp>
        <tr r="OF5" s="17"/>
      </tp>
      <tp t="e">
        <v>#N/A</v>
        <stp/>
        <stp>BDS|11774157632300313769</stp>
        <tr r="DL5" s="93"/>
      </tp>
      <tp t="e">
        <v>#N/A</v>
        <stp/>
        <stp>BDS|11029611559370539688</stp>
        <tr r="EU5" s="5"/>
      </tp>
      <tp t="e">
        <v>#N/A</v>
        <stp/>
        <stp>BDS|10973747621362188381</stp>
        <tr r="JF5" s="21"/>
      </tp>
      <tp t="e">
        <v>#N/A</v>
        <stp/>
        <stp>BDS|13936209256012856227</stp>
        <tr r="HC5" s="16"/>
      </tp>
      <tp t="e">
        <v>#N/A</v>
        <stp/>
        <stp>BDS|12566673207080829088</stp>
        <tr r="U5" s="114"/>
      </tp>
      <tp t="e">
        <v>#N/A</v>
        <stp/>
        <stp>BDS|16157100594979639361</stp>
        <tr r="HW5" s="80"/>
      </tp>
      <tp t="e">
        <v>#N/A</v>
        <stp/>
        <stp>BDS|15798978866456690852</stp>
        <tr r="FT5" s="14"/>
      </tp>
      <tp t="e">
        <v>#N/A</v>
        <stp/>
        <stp>BDS|10728307891986648856</stp>
        <tr r="FO5" s="81"/>
      </tp>
      <tp t="e">
        <v>#N/A</v>
        <stp/>
        <stp>BDS|15341316037460728179</stp>
        <tr r="EZ5" s="18"/>
      </tp>
      <tp t="e">
        <v>#N/A</v>
        <stp/>
        <stp>BDS|12090531661061647411</stp>
        <tr r="FO5" s="39"/>
      </tp>
      <tp t="e">
        <v>#N/A</v>
        <stp/>
        <stp>BDS|11530502059864040190</stp>
        <tr r="LD5" s="8"/>
      </tp>
      <tp t="e">
        <v>#N/A</v>
        <stp/>
        <stp>BDS|18099402595107369630</stp>
        <tr r="IB5" s="103"/>
      </tp>
      <tp t="e">
        <v>#N/A</v>
        <stp/>
        <stp>BDS|15515314633489752857</stp>
        <tr r="LN5" s="71"/>
      </tp>
      <tp t="e">
        <v>#N/A</v>
        <stp/>
        <stp>BDS|17918386505388934885</stp>
        <tr r="MH5" s="111"/>
      </tp>
      <tp t="e">
        <v>#N/A</v>
        <stp/>
        <stp>BDS|11433006184658608533</stp>
        <tr r="GS5" s="99"/>
      </tp>
      <tp t="e">
        <v>#N/A</v>
        <stp/>
        <stp>BDS|10415717266156306350</stp>
        <tr r="FJ5" s="38"/>
      </tp>
      <tp t="e">
        <v>#N/A</v>
        <stp/>
        <stp>BDS|14621445247072804280</stp>
        <tr r="KY5" s="2"/>
      </tp>
      <tp t="e">
        <v>#N/A</v>
        <stp/>
        <stp>BDS|11132717843141017762</stp>
        <tr r="IB5" s="54"/>
      </tp>
      <tp t="e">
        <v>#N/A</v>
        <stp/>
        <stp>BDS|10044014584299063501</stp>
        <tr r="FT5" s="112"/>
      </tp>
      <tp t="e">
        <v>#N/A</v>
        <stp/>
        <stp>BDS|17875373524044693689</stp>
        <tr r="EK5" s="122"/>
      </tp>
      <tp t="e">
        <v>#N/A</v>
        <stp/>
        <stp>BDS|15098897591509044824</stp>
        <tr r="DL5" s="3"/>
      </tp>
      <tp t="e">
        <v>#N/A</v>
        <stp/>
        <stp>BDS|12079158489329647702</stp>
        <tr r="EA5" s="33"/>
      </tp>
      <tp t="e">
        <v>#N/A</v>
        <stp/>
        <stp>BDS|10721002488558774528</stp>
        <tr r="A5" s="82"/>
      </tp>
      <tp t="e">
        <v>#N/A</v>
        <stp/>
        <stp>BDS|16122754304237366398</stp>
        <tr r="GI5" s="26"/>
      </tp>
      <tp t="e">
        <v>#N/A</v>
        <stp/>
        <stp>BDS|18370587096835770405</stp>
        <tr r="CW5" s="66"/>
      </tp>
      <tp t="e">
        <v>#N/A</v>
        <stp/>
        <stp>BDS|15378296816284580733</stp>
        <tr r="NQ5" s="49"/>
      </tp>
      <tp t="e">
        <v>#N/A</v>
        <stp/>
        <stp>BDS|17727022344950975626</stp>
        <tr r="CH5" s="75"/>
      </tp>
      <tp t="e">
        <v>#N/A</v>
        <stp/>
        <stp>BDS|10292977088660135463</stp>
        <tr r="IQ5" s="93"/>
      </tp>
      <tp t="e">
        <v>#N/A</v>
        <stp/>
        <stp>BDS|15788628205850851622</stp>
        <tr r="CM5" s="15"/>
      </tp>
      <tp t="e">
        <v>#N/A</v>
        <stp/>
        <stp>BDS|16819298929781123233</stp>
        <tr r="IB5" s="125"/>
      </tp>
      <tp t="e">
        <v>#N/A</v>
        <stp/>
        <stp>BDS|17317122138702794242</stp>
        <tr r="IL5" s="77"/>
      </tp>
      <tp t="e">
        <v>#N/A</v>
        <stp/>
        <stp>BDS|14426015803563877249</stp>
        <tr r="KJ5" s="98"/>
      </tp>
      <tp t="e">
        <v>#N/A</v>
        <stp/>
        <stp>BDS|12339626307087818645</stp>
        <tr r="LD5" s="41"/>
      </tp>
      <tp t="e">
        <v>#N/A</v>
        <stp/>
        <stp>BDS|11535520154274800011</stp>
        <tr r="MW5" s="119"/>
      </tp>
      <tp t="e">
        <v>#N/A</v>
        <stp/>
        <stp>BDS|12807147016640640765</stp>
        <tr r="EK5" s="17"/>
        <tr r="IG5" s="6"/>
      </tp>
      <tp t="e">
        <v>#N/A</v>
        <stp/>
        <stp>BDS|15650032808991108168</stp>
        <tr r="Z5" s="66"/>
      </tp>
      <tp t="e">
        <v>#N/A</v>
        <stp/>
        <stp>BDS|10474053326992484593</stp>
        <tr r="CR5" s="11"/>
      </tp>
      <tp t="e">
        <v>#N/A</v>
        <stp/>
        <stp>BDS|16803532965183747331</stp>
        <tr r="CC5" s="43"/>
      </tp>
      <tp t="e">
        <v>#N/A</v>
        <stp/>
        <stp>BDS|14191296827307489612</stp>
        <tr r="MM5" s="66"/>
      </tp>
      <tp t="e">
        <v>#N/A</v>
        <stp/>
        <stp>BDS|14137661418344074250</stp>
        <tr r="OF5" s="98"/>
      </tp>
      <tp t="e">
        <v>#N/A</v>
        <stp/>
        <stp>BDS|10799617407364887731</stp>
        <tr r="HH5" s="29"/>
      </tp>
      <tp t="e">
        <v>#N/A</v>
        <stp/>
        <stp>BDS|10901701720919000923</stp>
        <tr r="EU5" s="102"/>
      </tp>
      <tp t="e">
        <v>#N/A</v>
        <stp/>
        <stp>BDS|11661648550772964504</stp>
        <tr r="JP5" s="111"/>
      </tp>
      <tp t="e">
        <v>#N/A</v>
        <stp/>
        <stp>BDS|14753731618103767408</stp>
        <tr r="JZ5" s="90"/>
      </tp>
      <tp t="e">
        <v>#N/A</v>
        <stp/>
        <stp>BDS|17024061565900927411</stp>
        <tr r="MR5" s="17"/>
      </tp>
      <tp t="e">
        <v>#N/A</v>
        <stp/>
        <stp>BDS|16599084866271704476</stp>
        <tr r="EK5" s="31"/>
      </tp>
      <tp t="e">
        <v>#N/A</v>
        <stp/>
        <stp>BDS|12644545826800637095</stp>
        <tr r="GI5" s="1"/>
      </tp>
      <tp t="e">
        <v>#N/A</v>
        <stp/>
        <stp>BDS|10535272425987547290</stp>
        <tr r="MC5" s="70"/>
      </tp>
      <tp t="e">
        <v>#N/A</v>
        <stp/>
        <stp>BDS|12256446259480327679</stp>
        <tr r="DL5" s="20"/>
      </tp>
      <tp t="e">
        <v>#N/A</v>
        <stp/>
        <stp>BDS|12375414858463576543</stp>
        <tr r="EU5" s="44"/>
      </tp>
      <tp t="e">
        <v>#N/A</v>
        <stp/>
        <stp>BDS|15078248874091397485</stp>
        <tr r="GI5" s="93"/>
      </tp>
      <tp t="e">
        <v>#N/A</v>
        <stp/>
        <stp>BDS|12058045476471802117</stp>
        <tr r="HR5" s="28"/>
      </tp>
      <tp t="e">
        <v>#N/A</v>
        <stp/>
        <stp>BDS|11184949114428952433</stp>
        <tr r="HH5" s="33"/>
      </tp>
      <tp t="e">
        <v>#N/A</v>
        <stp/>
        <stp>BDS|10145291865597563637</stp>
        <tr r="MH5" s="73"/>
      </tp>
      <tp t="e">
        <v>#N/A</v>
        <stp/>
        <stp>BDS|10315466898799555134</stp>
        <tr r="JP5" s="31"/>
      </tp>
      <tp t="e">
        <v>#N/A</v>
        <stp/>
        <stp>BDS|11188943989493292656</stp>
        <tr r="JP5" s="90"/>
      </tp>
      <tp t="e">
        <v>#N/A</v>
        <stp/>
        <stp>BDS|10578855201378338595</stp>
        <tr r="IQ5" s="64"/>
      </tp>
      <tp t="e">
        <v>#N/A</v>
        <stp/>
        <stp>BDS|11785591453445698102</stp>
        <tr r="U5" s="42"/>
      </tp>
      <tp t="e">
        <v>#N/A</v>
        <stp/>
        <stp>BDS|16718668672762913019</stp>
        <tr r="BX5" s="13"/>
      </tp>
      <tp t="e">
        <v>#N/A</v>
        <stp/>
        <stp>BDS|15163385717942256079</stp>
        <tr r="FE5" s="62"/>
      </tp>
      <tp t="e">
        <v>#N/A</v>
        <stp/>
        <stp>BDS|17768234364280863630</stp>
        <tr r="MH5" s="50"/>
      </tp>
      <tp t="e">
        <v>#N/A</v>
        <stp/>
        <stp>BDS|16334022444330931777</stp>
        <tr r="LI5" s="31"/>
      </tp>
      <tp t="e">
        <v>#N/A</v>
        <stp/>
        <stp>BDS|17462167833881996134</stp>
        <tr r="HW5" s="88"/>
      </tp>
      <tp t="e">
        <v>#N/A</v>
        <stp/>
        <stp>BDS|12110387642036763648</stp>
        <tr r="MH5" s="58"/>
      </tp>
      <tp t="e">
        <v>#N/A</v>
        <stp/>
        <stp>BDS|15964528262495677673</stp>
        <tr r="MW5" s="62"/>
      </tp>
      <tp t="e">
        <v>#N/A</v>
        <stp/>
        <stp>BDS|15702231836046279788</stp>
        <tr r="F5" s="87"/>
      </tp>
      <tp t="e">
        <v>#N/A</v>
        <stp/>
        <stp>BDS|12294795183678150011</stp>
        <tr r="IL5" s="15"/>
      </tp>
      <tp t="e">
        <v>#N/A</v>
        <stp/>
        <stp>BDS|17055565582856865943</stp>
        <tr r="JU5" s="105"/>
      </tp>
      <tp t="e">
        <v>#N/A</v>
        <stp/>
        <stp>BDS|13393172735080030499</stp>
        <tr r="JP5" s="108"/>
      </tp>
      <tp t="e">
        <v>#N/A</v>
        <stp/>
        <stp>BDS|14948337325247414731</stp>
        <tr r="HH5" s="13"/>
      </tp>
      <tp t="e">
        <v>#N/A</v>
        <stp/>
        <stp>BDS|10415048121103816419</stp>
        <tr r="JP5" s="117"/>
      </tp>
      <tp t="e">
        <v>#N/A</v>
        <stp/>
        <stp>BDS|11281834928629353728</stp>
        <tr r="NQ5" s="30"/>
      </tp>
      <tp t="e">
        <v>#N/A</v>
        <stp/>
        <stp>BDS|15159842657195859827</stp>
        <tr r="JZ5" s="50"/>
      </tp>
      <tp t="e">
        <v>#N/A</v>
        <stp/>
        <stp>BDS|18102947967705202784</stp>
        <tr r="AJ5" s="92"/>
      </tp>
      <tp t="e">
        <v>#N/A</v>
        <stp/>
        <stp>BDS|13663791045022121731</stp>
        <tr r="CM5" s="30"/>
      </tp>
      <tp t="e">
        <v>#N/A</v>
        <stp/>
        <stp>BDS|13451829221055748993</stp>
        <tr r="EF5" s="93"/>
      </tp>
      <tp t="e">
        <v>#N/A</v>
        <stp/>
        <stp>BDS|12785494465407603241</stp>
        <tr r="MH5" s="121"/>
      </tp>
      <tp t="e">
        <v>#N/A</v>
        <stp/>
        <stp>BDS|14048458719265231172</stp>
        <tr r="BX5" s="85"/>
      </tp>
      <tp t="e">
        <v>#N/A</v>
        <stp/>
        <stp>BDS|13374638168734005217</stp>
        <tr r="HM5" s="101"/>
      </tp>
      <tp t="e">
        <v>#N/A</v>
        <stp/>
        <stp>BDS|13883969163008249169</stp>
        <tr r="NV5" s="124"/>
      </tp>
      <tp t="e">
        <v>#N/A</v>
        <stp/>
        <stp>BDS|16961536045474301658</stp>
        <tr r="HH5" s="32"/>
      </tp>
      <tp t="e">
        <v>#N/A</v>
        <stp/>
        <stp>BDS|17224120856153785588</stp>
        <tr r="LS5" s="3"/>
      </tp>
      <tp t="e">
        <v>#N/A</v>
        <stp/>
        <stp>BDS|15191478233352512590</stp>
        <tr r="NB5" s="69"/>
      </tp>
      <tp t="e">
        <v>#N/A</v>
        <stp/>
        <stp>BDS|17835665249568806860</stp>
        <tr r="KY5" s="30"/>
      </tp>
      <tp t="e">
        <v>#N/A</v>
        <stp/>
        <stp>BDS|13444675432516842503</stp>
        <tr r="FO5" s="112"/>
      </tp>
      <tp t="e">
        <v>#N/A</v>
        <stp/>
        <stp>BDS|15035342069380343574</stp>
        <tr r="EP5" s="20"/>
      </tp>
      <tp t="e">
        <v>#N/A</v>
        <stp/>
        <stp>BDS|10767493181008669103</stp>
        <tr r="EK5" s="97"/>
      </tp>
      <tp t="e">
        <v>#N/A</v>
        <stp/>
        <stp>BDS|16131612841253137290</stp>
        <tr r="IL5" s="38"/>
      </tp>
      <tp t="e">
        <v>#N/A</v>
        <stp/>
        <stp>BDS|13199652993438796191</stp>
        <tr r="NG5" s="11"/>
      </tp>
      <tp t="e">
        <v>#N/A</v>
        <stp/>
        <stp>BDS|14007757785379804713</stp>
        <tr r="GX5" s="121"/>
      </tp>
      <tp t="e">
        <v>#N/A</v>
        <stp/>
        <stp>BDS|10150123696428428586</stp>
        <tr r="OA5" s="99"/>
      </tp>
      <tp t="e">
        <v>#N/A</v>
        <stp/>
        <stp>BDS|13087858926209941530</stp>
        <tr r="AO5" s="81"/>
      </tp>
      <tp t="e">
        <v>#N/A</v>
        <stp/>
        <stp>BDS|18148341261689436194</stp>
        <tr r="EZ5" s="101"/>
      </tp>
      <tp t="e">
        <v>#N/A</v>
        <stp/>
        <stp>BDS|13161176287269975611</stp>
        <tr r="F5" s="60"/>
      </tp>
      <tp t="e">
        <v>#N/A</v>
        <stp/>
        <stp>BDS|12655496593949738352</stp>
        <tr r="KY5" s="76"/>
      </tp>
      <tp t="e">
        <v>#N/A</v>
        <stp/>
        <stp>BDS|17462799865751520230</stp>
        <tr r="MW5" s="110"/>
      </tp>
      <tp t="e">
        <v>#N/A</v>
        <stp/>
        <stp>BDS|16687480029057946206</stp>
        <tr r="MW5" s="112"/>
      </tp>
      <tp t="e">
        <v>#N/A</v>
        <stp/>
        <stp>BDS|16874411740757013479</stp>
        <tr r="HH5" s="3"/>
      </tp>
      <tp t="e">
        <v>#N/A</v>
        <stp/>
        <stp>BDS|12857125641461285374</stp>
        <tr r="LS5" s="39"/>
      </tp>
      <tp t="e">
        <v>#N/A</v>
        <stp/>
        <stp>BDS|15385489257933212206</stp>
        <tr r="BI5" s="56"/>
      </tp>
      <tp t="e">
        <v>#N/A</v>
        <stp/>
        <stp>BDS|12371185607613734558</stp>
        <tr r="JK5" s="62"/>
      </tp>
      <tp t="e">
        <v>#N/A</v>
        <stp/>
        <stp>BDS|17306459418471867684</stp>
        <tr r="AE5" s="38"/>
      </tp>
      <tp t="e">
        <v>#N/A</v>
        <stp/>
        <stp>BDS|11639081070564686762</stp>
        <tr r="JP5" s="18"/>
      </tp>
      <tp t="e">
        <v>#N/A</v>
        <stp/>
        <stp>BDS|12498171518662052557</stp>
        <tr r="JP5" s="22"/>
      </tp>
      <tp t="e">
        <v>#N/A</v>
        <stp/>
        <stp>BDS|16295162600651224383</stp>
        <tr r="DG5" s="1"/>
      </tp>
      <tp t="e">
        <v>#N/A</v>
        <stp/>
        <stp>BDS|17941716109562970763</stp>
        <tr r="NB5" s="17"/>
      </tp>
      <tp t="e">
        <v>#N/A</v>
        <stp/>
        <stp>BDS|18193996625850570663</stp>
        <tr r="IV5" s="52"/>
      </tp>
      <tp t="e">
        <v>#N/A</v>
        <stp/>
        <stp>BDS|11599589205192529334</stp>
        <tr r="HW5" s="99"/>
      </tp>
      <tp t="e">
        <v>#N/A</v>
        <stp/>
        <stp>BDS|14164316014072909137</stp>
        <tr r="CM5" s="46"/>
      </tp>
      <tp t="e">
        <v>#N/A</v>
        <stp/>
        <stp>BDS|11114182525250304716</stp>
        <tr r="GS5" s="87"/>
      </tp>
      <tp t="e">
        <v>#N/A</v>
        <stp/>
        <stp>BDS|11353051318332328733</stp>
        <tr r="HM5" s="88"/>
      </tp>
      <tp t="e">
        <v>#N/A</v>
        <stp/>
        <stp>BDS|11701533967415593288</stp>
        <tr r="U5" s="56"/>
      </tp>
      <tp t="e">
        <v>#N/A</v>
        <stp/>
        <stp>BDS|15866787739512325643</stp>
        <tr r="EZ5" s="4"/>
      </tp>
      <tp t="e">
        <v>#N/A</v>
        <stp/>
        <stp>BDS|11583575252796871269</stp>
        <tr r="EF5" s="24"/>
      </tp>
      <tp t="e">
        <v>#N/A</v>
        <stp/>
        <stp>BDS|16477589144696254457</stp>
        <tr r="JF5" s="12"/>
      </tp>
      <tp t="e">
        <v>#N/A</v>
        <stp/>
        <stp>BDS|16020615370055853768</stp>
        <tr r="GD5" s="72"/>
      </tp>
      <tp t="e">
        <v>#N/A</v>
        <stp/>
        <stp>BDS|16331775488215192922</stp>
        <tr r="OA5" s="41"/>
      </tp>
      <tp t="e">
        <v>#N/A</v>
        <stp/>
        <stp>BDS|10067182923370708638</stp>
        <tr r="BX5" s="122"/>
      </tp>
      <tp t="e">
        <v>#N/A</v>
        <stp/>
        <stp>BDS|12505782956681690423</stp>
        <tr r="BD5" s="86"/>
      </tp>
      <tp t="e">
        <v>#N/A</v>
        <stp/>
        <stp>BDS|11800231676333572278</stp>
        <tr r="DB5" s="84"/>
      </tp>
      <tp t="e">
        <v>#N/A</v>
        <stp/>
        <stp>BDS|11568865492085796096</stp>
        <tr r="A5" s="105"/>
      </tp>
      <tp t="e">
        <v>#N/A</v>
        <stp/>
        <stp>BDS|17434185893149015305</stp>
        <tr r="BS5" s="9"/>
      </tp>
      <tp t="e">
        <v>#N/A</v>
        <stp/>
        <stp>BDS|16270479114412983472</stp>
        <tr r="GX5" s="97"/>
      </tp>
      <tp t="e">
        <v>#N/A</v>
        <stp/>
        <stp>BDS|15313960354055677986</stp>
        <tr r="KT5" s="69"/>
      </tp>
      <tp t="e">
        <v>#N/A</v>
        <stp/>
        <stp>BDS|10053660230464108486</stp>
        <tr r="BD5" s="84"/>
      </tp>
      <tp t="e">
        <v>#N/A</v>
        <stp/>
        <stp>BDS|14209105719599170851</stp>
        <tr r="JF5" s="50"/>
      </tp>
      <tp t="e">
        <v>#N/A</v>
        <stp/>
        <stp>BDS|15776257415743058087</stp>
        <tr r="LN5" s="51"/>
      </tp>
      <tp t="e">
        <v>#N/A</v>
        <stp/>
        <stp>BDS|10529120408191925595</stp>
        <tr r="AT5" s="11"/>
      </tp>
      <tp t="e">
        <v>#N/A</v>
        <stp/>
        <stp>BDS|15218919595715272583</stp>
        <tr r="FY5" s="34"/>
      </tp>
      <tp t="e">
        <v>#N/A</v>
        <stp/>
        <stp>BDS|17412091833407056628</stp>
        <tr r="NB5" s="48"/>
      </tp>
      <tp t="e">
        <v>#N/A</v>
        <stp/>
        <stp>BDS|10469780163235051138</stp>
        <tr r="IQ5" s="62"/>
      </tp>
      <tp t="e">
        <v>#N/A</v>
        <stp/>
        <stp>BDS|12502338969953308108</stp>
        <tr r="GN5" s="97"/>
      </tp>
      <tp t="e">
        <v>#N/A</v>
        <stp/>
        <stp>BDS|10721216076866934656</stp>
        <tr r="LX5" s="96"/>
      </tp>
      <tp t="e">
        <v>#N/A</v>
        <stp/>
        <stp>BDS|10083093880704476913</stp>
        <tr r="KJ5" s="65"/>
      </tp>
      <tp t="e">
        <v>#N/A</v>
        <stp/>
        <stp>BDS|18020279608366249912</stp>
        <tr r="IB5" s="70"/>
        <tr r="JP5" s="118"/>
      </tp>
      <tp t="e">
        <v>#N/A</v>
        <stp/>
        <stp>BDS|11960513651861667536</stp>
        <tr r="JA5" s="96"/>
      </tp>
      <tp t="e">
        <v>#N/A</v>
        <stp/>
        <stp>BDS|16282382194270559971</stp>
        <tr r="DL5" s="102"/>
      </tp>
      <tp t="e">
        <v>#N/A</v>
        <stp/>
        <stp>BDS|11719690579242820732</stp>
        <tr r="P5" s="82"/>
      </tp>
      <tp t="e">
        <v>#N/A</v>
        <stp/>
        <stp>BDS|16599501155840574394</stp>
        <tr r="A5" s="48"/>
      </tp>
      <tp t="e">
        <v>#N/A</v>
        <stp/>
        <stp>BDS|12884973782895327320</stp>
        <tr r="BX5" s="57"/>
      </tp>
      <tp t="e">
        <v>#N/A</v>
        <stp/>
        <stp>BDS|15498293033943510272</stp>
        <tr r="NL5" s="62"/>
      </tp>
      <tp t="e">
        <v>#N/A</v>
        <stp/>
        <stp>BDS|13835765872535731370</stp>
        <tr r="AY5" s="91"/>
      </tp>
      <tp t="e">
        <v>#N/A</v>
        <stp/>
        <stp>BDS|17794490802464793274</stp>
        <tr r="DQ5" s="97"/>
      </tp>
      <tp t="e">
        <v>#N/A</v>
        <stp/>
        <stp>BDS|11633491696419008053</stp>
        <tr r="EU5" s="32"/>
      </tp>
      <tp t="e">
        <v>#N/A</v>
        <stp/>
        <stp>BDS|10324040669081104237</stp>
        <tr r="HR5" s="70"/>
      </tp>
      <tp t="e">
        <v>#N/A</v>
        <stp/>
        <stp>BDS|15178865096683859254</stp>
        <tr r="HH5" s="72"/>
      </tp>
      <tp t="e">
        <v>#N/A</v>
        <stp/>
        <stp>BDS|11016386477678603854</stp>
        <tr r="OA5" s="40"/>
      </tp>
      <tp t="e">
        <v>#N/A</v>
        <stp/>
        <stp>BDS|14980507062864740607</stp>
        <tr r="A5" s="85"/>
      </tp>
      <tp t="e">
        <v>#N/A</v>
        <stp/>
        <stp>BDS|10298027072901896377</stp>
        <tr r="FO5" s="106"/>
      </tp>
      <tp t="e">
        <v>#N/A</v>
        <stp/>
        <stp>BDS|10427799628064834401</stp>
        <tr r="JK5" s="87"/>
      </tp>
      <tp t="e">
        <v>#N/A</v>
        <stp/>
        <stp>BDS|14608540118207593223</stp>
        <tr r="IV5" s="35"/>
      </tp>
      <tp t="e">
        <v>#N/A</v>
        <stp/>
        <stp>BDS|17555479242820894255</stp>
        <tr r="AJ5" s="41"/>
      </tp>
      <tp t="e">
        <v>#N/A</v>
        <stp/>
        <stp>BDS|16169554775291487080</stp>
        <tr r="P5" s="60"/>
      </tp>
      <tp t="e">
        <v>#N/A</v>
        <stp/>
        <stp>BDS|14310668215381432794</stp>
        <tr r="AO5" s="70"/>
      </tp>
      <tp t="e">
        <v>#N/A</v>
        <stp/>
        <stp>BDS|14315718449255161770</stp>
        <tr r="F5" s="115"/>
      </tp>
      <tp t="e">
        <v>#N/A</v>
        <stp/>
        <stp>BDS|17763164134758117899</stp>
        <tr r="JP5" s="99"/>
      </tp>
      <tp t="e">
        <v>#N/A</v>
        <stp/>
        <stp>BDS|10923689339624680438</stp>
        <tr r="CR5" s="17"/>
      </tp>
      <tp t="e">
        <v>#N/A</v>
        <stp/>
        <stp>BDS|17965711871105425708</stp>
        <tr r="GN5" s="30"/>
      </tp>
      <tp t="e">
        <v>#N/A</v>
        <stp/>
        <stp>BDS|17053773368962770154</stp>
        <tr r="NL5" s="89"/>
      </tp>
      <tp t="e">
        <v>#N/A</v>
        <stp/>
        <stp>BDS|14491087447896257341</stp>
        <tr r="F5" s="79"/>
      </tp>
      <tp t="e">
        <v>#N/A</v>
        <stp/>
        <stp>BDS|16283782521110014668</stp>
        <tr r="A5" s="94"/>
      </tp>
      <tp t="e">
        <v>#N/A</v>
        <stp/>
        <stp>BDS|10563787416266247546</stp>
        <tr r="FY5" s="39"/>
      </tp>
      <tp t="e">
        <v>#N/A</v>
        <stp/>
        <stp>BDS|14702284398719804324</stp>
        <tr r="BS5" s="107"/>
      </tp>
      <tp t="e">
        <v>#N/A</v>
        <stp/>
        <stp>BDS|11076891186024600040</stp>
        <tr r="FJ5" s="103"/>
      </tp>
      <tp t="e">
        <v>#N/A</v>
        <stp/>
        <stp>BDS|14078285041555335271</stp>
        <tr r="BN5" s="118"/>
      </tp>
      <tp t="e">
        <v>#N/A</v>
        <stp/>
        <stp>BDS|15814730095229402776</stp>
        <tr r="CR5" s="40"/>
      </tp>
      <tp t="e">
        <v>#N/A</v>
        <stp/>
        <stp>BDS|16577538028831115522</stp>
        <tr r="FO5" s="108"/>
      </tp>
      <tp t="e">
        <v>#N/A</v>
        <stp/>
        <stp>BDS|12115717371722807545</stp>
        <tr r="CR5" s="85"/>
      </tp>
      <tp t="e">
        <v>#N/A</v>
        <stp/>
        <stp>BDS|18423529852158437522</stp>
        <tr r="AE5" s="35"/>
      </tp>
      <tp t="e">
        <v>#N/A</v>
        <stp/>
        <stp>BDS|10251720544122565439</stp>
        <tr r="DL5" s="41"/>
      </tp>
      <tp t="e">
        <v>#N/A</v>
        <stp/>
        <stp>BDS|16443661961437585443</stp>
        <tr r="GI5" s="59"/>
      </tp>
      <tp t="e">
        <v>#N/A</v>
        <stp/>
        <stp>BDS|11673635581433683904</stp>
        <tr r="LI5" s="36"/>
      </tp>
      <tp t="e">
        <v>#N/A</v>
        <stp/>
        <stp>BDS|12683373854353477236</stp>
        <tr r="CH5" s="29"/>
      </tp>
      <tp t="e">
        <v>#N/A</v>
        <stp/>
        <stp>BDS|14933026639246374439</stp>
        <tr r="MW5" s="28"/>
      </tp>
      <tp t="e">
        <v>#N/A</v>
        <stp/>
        <stp>BDS|15760170640793484661</stp>
        <tr r="Z5" s="73"/>
      </tp>
      <tp t="e">
        <v>#N/A</v>
        <stp/>
        <stp>BDS|17349401244914269675</stp>
        <tr r="NV5" s="102"/>
      </tp>
      <tp t="e">
        <v>#N/A</v>
        <stp/>
        <stp>BDS|14168457195914013834</stp>
        <tr r="BN5" s="21"/>
      </tp>
      <tp t="e">
        <v>#N/A</v>
        <stp/>
        <stp>BDS|18289985424667461181</stp>
        <tr r="EP5" s="66"/>
      </tp>
      <tp t="e">
        <v>#N/A</v>
        <stp/>
        <stp>BDS|16756758613136330303</stp>
        <tr r="EK5" s="109"/>
      </tp>
      <tp t="e">
        <v>#N/A</v>
        <stp/>
        <stp>BDS|10774797956856935138</stp>
        <tr r="CH5" s="124"/>
      </tp>
      <tp t="e">
        <v>#N/A</v>
        <stp/>
        <stp>BDS|12172685174576900064</stp>
        <tr r="F5" s="7"/>
      </tp>
      <tp t="e">
        <v>#N/A</v>
        <stp/>
        <stp>BDS|14584715170526095760</stp>
        <tr r="OF5" s="68"/>
      </tp>
      <tp t="e">
        <v>#N/A</v>
        <stp/>
        <stp>BDS|12085460826080590171</stp>
        <tr r="AO5" s="96"/>
      </tp>
      <tp t="e">
        <v>#N/A</v>
        <stp/>
        <stp>BDS|15528545239495811322</stp>
        <tr r="HH5" s="80"/>
      </tp>
      <tp t="e">
        <v>#N/A</v>
        <stp/>
        <stp>BDS|14034624046070108370</stp>
        <tr r="CH5" s="106"/>
      </tp>
      <tp t="e">
        <v>#N/A</v>
        <stp/>
        <stp>BDS|17307316619429068993</stp>
        <tr r="FT5" s="25"/>
      </tp>
      <tp t="e">
        <v>#N/A</v>
        <stp/>
        <stp>BDS|14091013359070248488</stp>
        <tr r="GS5" s="1"/>
      </tp>
      <tp t="e">
        <v>#N/A</v>
        <stp/>
        <stp>BDS|10191374011803168446</stp>
        <tr r="FJ5" s="44"/>
      </tp>
      <tp t="e">
        <v>#N/A</v>
        <stp/>
        <stp>BDS|12400559926265195546</stp>
        <tr r="JK5" s="28"/>
      </tp>
      <tp t="e">
        <v>#N/A</v>
        <stp/>
        <stp>BDS|14332850081209557800</stp>
        <tr r="KO5" s="50"/>
      </tp>
      <tp t="e">
        <v>#N/A</v>
        <stp/>
        <stp>BDS|15590250331125211403</stp>
        <tr r="IB5" s="111"/>
      </tp>
      <tp t="e">
        <v>#N/A</v>
        <stp/>
        <stp>BDS|15019201830056627758</stp>
        <tr r="EU5" s="80"/>
      </tp>
      <tp t="e">
        <v>#N/A</v>
        <stp/>
        <stp>BDS|15996770515352095489</stp>
        <tr r="AE5" s="114"/>
      </tp>
      <tp t="e">
        <v>#N/A</v>
        <stp/>
        <stp>BDS|13459039734784008102</stp>
        <tr r="MM5" s="37"/>
      </tp>
      <tp t="e">
        <v>#N/A</v>
        <stp/>
        <stp>BDS|13561159284286430937</stp>
        <tr r="CW5" s="20"/>
      </tp>
      <tp t="e">
        <v>#N/A</v>
        <stp/>
        <stp>BDS|11661757230238086803</stp>
        <tr r="CW5" s="31"/>
      </tp>
      <tp t="e">
        <v>#N/A</v>
        <stp/>
        <stp>BDS|16891027114494519684</stp>
        <tr r="JU5" s="124"/>
      </tp>
      <tp t="e">
        <v>#N/A</v>
        <stp/>
        <stp>BDS|12708906573311613818</stp>
        <tr r="NB5" s="57"/>
      </tp>
      <tp t="e">
        <v>#N/A</v>
        <stp/>
        <stp>BDS|17734503432702629609</stp>
        <tr r="MW5" s="93"/>
      </tp>
      <tp t="e">
        <v>#N/A</v>
        <stp/>
        <stp>BDS|14788075786561359861</stp>
        <tr r="DV5" s="94"/>
      </tp>
      <tp t="e">
        <v>#N/A</v>
        <stp/>
        <stp>BDS|15129845663626110841</stp>
        <tr r="EK5" s="87"/>
      </tp>
      <tp t="e">
        <v>#N/A</v>
        <stp/>
        <stp>BDS|13245184769742076301</stp>
        <tr r="NL5" s="69"/>
      </tp>
      <tp t="e">
        <v>#N/A</v>
        <stp/>
        <stp>BDS|16523503683067097958</stp>
        <tr r="KE5" s="87"/>
      </tp>
      <tp t="e">
        <v>#N/A</v>
        <stp/>
        <stp>BDS|13554576527659335856</stp>
        <tr r="A5" s="114"/>
      </tp>
      <tp t="e">
        <v>#N/A</v>
        <stp/>
        <stp>BDS|15228104247661300457</stp>
        <tr r="NG5" s="92"/>
      </tp>
      <tp t="e">
        <v>#N/A</v>
        <stp/>
        <stp>BDS|14659981994411972000</stp>
        <tr r="BN5" s="18"/>
      </tp>
      <tp t="e">
        <v>#N/A</v>
        <stp/>
        <stp>BDS|15500146877173670536</stp>
        <tr r="LX5" s="81"/>
      </tp>
      <tp t="e">
        <v>#N/A</v>
        <stp/>
        <stp>BDS|13725554897108406221</stp>
        <tr r="U5" s="27"/>
      </tp>
      <tp t="e">
        <v>#N/A</v>
        <stp/>
        <stp>BDS|10693110653541649023</stp>
        <tr r="IL5" s="120"/>
      </tp>
      <tp t="e">
        <v>#N/A</v>
        <stp/>
        <stp>BDS|11890433035405718695</stp>
        <tr r="JA5" s="45"/>
      </tp>
      <tp t="e">
        <v>#N/A</v>
        <stp/>
        <stp>BDS|13036651103121400129</stp>
        <tr r="BN5" s="108"/>
      </tp>
      <tp t="e">
        <v>#N/A</v>
        <stp/>
        <stp>BDS|15695168350930066404</stp>
        <tr r="HW5" s="114"/>
      </tp>
      <tp t="e">
        <v>#N/A</v>
        <stp/>
        <stp>BDS|16523166995242195976</stp>
        <tr r="LN5" s="32"/>
      </tp>
      <tp t="e">
        <v>#N/A</v>
        <stp/>
        <stp>BDS|12584740322851058339</stp>
        <tr r="AY5" s="50"/>
      </tp>
      <tp t="e">
        <v>#N/A</v>
        <stp/>
        <stp>BDS|17796967771519315536</stp>
        <tr r="KE5" s="17"/>
      </tp>
      <tp t="e">
        <v>#N/A</v>
        <stp/>
        <stp>BDS|16552655750500992090</stp>
        <tr r="K5" s="65"/>
      </tp>
      <tp t="e">
        <v>#N/A</v>
        <stp/>
        <stp>BDS|16371542976687127600</stp>
        <tr r="P5" s="103"/>
      </tp>
      <tp t="e">
        <v>#N/A</v>
        <stp/>
        <stp>BDS|17719605738015623296</stp>
        <tr r="LX5" s="109"/>
      </tp>
      <tp t="e">
        <v>#N/A</v>
        <stp/>
        <stp>BDS|15211236755655527214</stp>
        <tr r="HC5" s="68"/>
      </tp>
      <tp t="e">
        <v>#N/A</v>
        <stp/>
        <stp>BDS|15123843741268604424</stp>
        <tr r="DQ5" s="67"/>
      </tp>
      <tp t="e">
        <v>#N/A</v>
        <stp/>
        <stp>BDS|13993280844076194646</stp>
        <tr r="NL5" s="28"/>
      </tp>
      <tp t="e">
        <v>#N/A</v>
        <stp/>
        <stp>BDS|18315250051398754203</stp>
        <tr r="GI5" s="95"/>
      </tp>
      <tp t="e">
        <v>#N/A</v>
        <stp/>
        <stp>BDS|11469710010010168244</stp>
        <tr r="IQ5" s="101"/>
      </tp>
      <tp t="e">
        <v>#N/A</v>
        <stp/>
        <stp>BDS|10706008854460340012</stp>
        <tr r="CM5" s="96"/>
      </tp>
      <tp t="e">
        <v>#N/A</v>
        <stp/>
        <stp>BDS|15596052781129636163</stp>
        <tr r="KE5" s="84"/>
      </tp>
      <tp t="e">
        <v>#N/A</v>
        <stp/>
        <stp>BDS|18201765868864427896</stp>
        <tr r="JF5" s="16"/>
      </tp>
      <tp t="e">
        <v>#N/A</v>
        <stp/>
        <stp>BDS|12531142753340298313</stp>
        <tr r="KJ5" s="84"/>
      </tp>
      <tp t="e">
        <v>#N/A</v>
        <stp/>
        <stp>BDS|14290357963766359264</stp>
        <tr r="NL5" s="96"/>
      </tp>
      <tp t="e">
        <v>#N/A</v>
        <stp/>
        <stp>BDS|16591673652786143606</stp>
        <tr r="GS5" s="23"/>
      </tp>
      <tp t="e">
        <v>#N/A</v>
        <stp/>
        <stp>BDS|18286056307659827495</stp>
        <tr r="LN5" s="124"/>
      </tp>
      <tp t="e">
        <v>#N/A</v>
        <stp/>
        <stp>BDS|12887417145112597588</stp>
        <tr r="NV5" s="92"/>
      </tp>
      <tp t="e">
        <v>#N/A</v>
        <stp/>
        <stp>BDS|18011771698154748798</stp>
        <tr r="DL5" s="19"/>
      </tp>
      <tp t="e">
        <v>#N/A</v>
        <stp/>
        <stp>BDS|13128028676990274168</stp>
        <tr r="MH5" s="32"/>
      </tp>
      <tp t="e">
        <v>#N/A</v>
        <stp/>
        <stp>BDS|17492425244767114526</stp>
        <tr r="JK5" s="121"/>
      </tp>
      <tp t="e">
        <v>#N/A</v>
        <stp/>
        <stp>BDS|16413665295599134571</stp>
        <tr r="KJ5" s="97"/>
      </tp>
      <tp t="e">
        <v>#N/A</v>
        <stp/>
        <stp>BDS|15467350783098400375</stp>
        <tr r="NV5" s="43"/>
      </tp>
      <tp t="e">
        <v>#N/A</v>
        <stp/>
        <stp>BDS|11173899344830459890</stp>
        <tr r="NB5" s="28"/>
      </tp>
      <tp t="e">
        <v>#N/A</v>
        <stp/>
        <stp>BDS|17156254402062791209</stp>
        <tr r="EA5" s="120"/>
      </tp>
      <tp t="e">
        <v>#N/A</v>
        <stp/>
        <stp>BDS|17121935048009242693</stp>
        <tr r="AJ5" s="83"/>
      </tp>
      <tp t="e">
        <v>#N/A</v>
        <stp/>
        <stp>BDS|13207346679982993071</stp>
        <tr r="AO5" s="56"/>
      </tp>
      <tp t="e">
        <v>#N/A</v>
        <stp/>
        <stp>BDS|16142354326211575363</stp>
        <tr r="JU5" s="111"/>
      </tp>
      <tp t="e">
        <v>#N/A</v>
        <stp/>
        <stp>BDS|16219227646490527526</stp>
        <tr r="KY5" s="86"/>
      </tp>
      <tp t="e">
        <v>#N/A</v>
        <stp/>
        <stp>BDS|10928282790907141918</stp>
        <tr r="BI5" s="123"/>
      </tp>
      <tp t="e">
        <v>#N/A</v>
        <stp/>
        <stp>BDS|16363453522974181141</stp>
        <tr r="BS5" s="18"/>
      </tp>
      <tp t="e">
        <v>#N/A</v>
        <stp/>
        <stp>BDS|13761016363590080049</stp>
        <tr r="AT5" s="24"/>
      </tp>
      <tp t="e">
        <v>#N/A</v>
        <stp/>
        <stp>BDS|15614257782349952394</stp>
        <tr r="BS5" s="100"/>
      </tp>
      <tp t="e">
        <v>#N/A</v>
        <stp/>
        <stp>BDS|18056553087647576763</stp>
        <tr r="AT5" s="113"/>
      </tp>
      <tp t="e">
        <v>#N/A</v>
        <stp/>
        <stp>BDS|12731873045508076346</stp>
        <tr r="GI5" s="84"/>
      </tp>
      <tp t="e">
        <v>#N/A</v>
        <stp/>
        <stp>BDS|12976181512013160434</stp>
        <tr r="MM5" s="17"/>
      </tp>
      <tp t="e">
        <v>#N/A</v>
        <stp/>
        <stp>BDS|16457187641707999127</stp>
        <tr r="EK5" s="115"/>
      </tp>
      <tp t="e">
        <v>#N/A</v>
        <stp/>
        <stp>BDS|10421734212270694356</stp>
        <tr r="CR5" s="116"/>
      </tp>
      <tp t="e">
        <v>#N/A</v>
        <stp/>
        <stp>BDS|15957116845576395385</stp>
        <tr r="GN5" s="53"/>
      </tp>
      <tp t="e">
        <v>#N/A</v>
        <stp/>
        <stp>BDS|12272208433073158560</stp>
        <tr r="CH5" s="22"/>
      </tp>
      <tp t="e">
        <v>#N/A</v>
        <stp/>
        <stp>BDS|11137629903912197070</stp>
        <tr r="HH5" s="93"/>
      </tp>
      <tp t="e">
        <v>#N/A</v>
        <stp/>
        <stp>BDS|11306027221357584135</stp>
        <tr r="IB5" s="69"/>
      </tp>
      <tp t="e">
        <v>#N/A</v>
        <stp/>
        <stp>BDS|17837652158438039939</stp>
        <tr r="GX5" s="77"/>
      </tp>
      <tp t="e">
        <v>#N/A</v>
        <stp/>
        <stp>BDS|10186596394970315998</stp>
        <tr r="BN5" s="4"/>
      </tp>
      <tp t="e">
        <v>#N/A</v>
        <stp/>
        <stp>BDS|11435890929057487967</stp>
        <tr r="JK5" s="42"/>
      </tp>
      <tp t="e">
        <v>#N/A</v>
        <stp/>
        <stp>BDS|12223604233380193260</stp>
        <tr r="HR5" s="41"/>
      </tp>
      <tp t="e">
        <v>#N/A</v>
        <stp/>
        <stp>BDS|12341126707802499440</stp>
        <tr r="GD5" s="123"/>
      </tp>
      <tp t="e">
        <v>#N/A</v>
        <stp/>
        <stp>BDS|16700650311792317664</stp>
        <tr r="MC5" s="30"/>
      </tp>
      <tp t="e">
        <v>#N/A</v>
        <stp/>
        <stp>BDS|16360278223820376323</stp>
        <tr r="AE5" s="41"/>
      </tp>
      <tp t="e">
        <v>#N/A</v>
        <stp/>
        <stp>BDS|15364510647901793047</stp>
        <tr r="AO5" s="63"/>
      </tp>
      <tp t="e">
        <v>#N/A</v>
        <stp/>
        <stp>BDS|16541122404596429411</stp>
        <tr r="NG5" s="39"/>
      </tp>
      <tp t="e">
        <v>#N/A</v>
        <stp/>
        <stp>BDS|10011969089311831518</stp>
        <tr r="HM5" s="62"/>
      </tp>
      <tp t="e">
        <v>#N/A</v>
        <stp/>
        <stp>BDS|16668470167798021905</stp>
        <tr r="BN5" s="78"/>
      </tp>
      <tp t="e">
        <v>#N/A</v>
        <stp/>
        <stp>BDS|13149156535492795609</stp>
        <tr r="A5" s="71"/>
      </tp>
      <tp t="e">
        <v>#N/A</v>
        <stp/>
        <stp>BDS|15274366305770579324</stp>
        <tr r="FY5" s="117"/>
      </tp>
      <tp t="e">
        <v>#N/A</v>
        <stp/>
        <stp>BDS|13049067387348008675</stp>
        <tr r="EZ5" s="114"/>
      </tp>
      <tp t="e">
        <v>#N/A</v>
        <stp/>
        <stp>BDS|18401404823939193200</stp>
        <tr r="GX5" s="31"/>
      </tp>
      <tp t="e">
        <v>#N/A</v>
        <stp/>
        <stp>BDS|11359241221572824687</stp>
        <tr r="AE5" s="70"/>
      </tp>
      <tp t="e">
        <v>#N/A</v>
        <stp/>
        <stp>BDS|17406250595580380919</stp>
        <tr r="AJ5" s="6"/>
      </tp>
      <tp t="e">
        <v>#N/A</v>
        <stp/>
        <stp>BDS|11773637322173651360</stp>
        <tr r="DL5" s="61"/>
      </tp>
      <tp t="e">
        <v>#N/A</v>
        <stp/>
        <stp>BDS|13666413900891410347</stp>
        <tr r="K5" s="58"/>
      </tp>
      <tp t="e">
        <v>#N/A</v>
        <stp/>
        <stp>BDS|12114102725234738048</stp>
        <tr r="AO5" s="8"/>
      </tp>
      <tp t="e">
        <v>#N/A</v>
        <stp/>
        <stp>BDS|16663062521077070669</stp>
        <tr r="EK5" s="13"/>
      </tp>
      <tp t="e">
        <v>#N/A</v>
        <stp/>
        <stp>BDS|17073025445176999092</stp>
        <tr r="DV5" s="54"/>
      </tp>
      <tp t="e">
        <v>#N/A</v>
        <stp/>
        <stp>BDS|14831365958613708468</stp>
        <tr r="HR5" s="84"/>
      </tp>
      <tp t="e">
        <v>#N/A</v>
        <stp/>
        <stp>BDS|13684332014502124675</stp>
        <tr r="KT5" s="54"/>
      </tp>
      <tp t="e">
        <v>#N/A</v>
        <stp/>
        <stp>BDS|10384206355214748667</stp>
        <tr r="IV5" s="7"/>
      </tp>
      <tp t="e">
        <v>#N/A</v>
        <stp/>
        <stp>BDS|11747067422890110655</stp>
        <tr r="HW5" s="92"/>
      </tp>
      <tp t="e">
        <v>#N/A</v>
        <stp/>
        <stp>BDS|11179696290472904969</stp>
        <tr r="NB5" s="125"/>
      </tp>
      <tp t="e">
        <v>#N/A</v>
        <stp/>
        <stp>BDS|10014008354652052236</stp>
        <tr r="IL5" s="96"/>
      </tp>
      <tp t="e">
        <v>#N/A</v>
        <stp/>
        <stp>BDS|17134046003621462356</stp>
        <tr r="Z5" s="41"/>
      </tp>
      <tp t="e">
        <v>#N/A</v>
        <stp/>
        <stp>BDS|14928102113394945546</stp>
        <tr r="FO5" s="82"/>
      </tp>
      <tp t="e">
        <v>#N/A</v>
        <stp/>
        <stp>BDS|11788312783488363719</stp>
        <tr r="JZ5" s="37"/>
      </tp>
      <tp t="e">
        <v>#N/A</v>
        <stp/>
        <stp>BDS|10774956496547154220</stp>
        <tr r="F5" s="64"/>
      </tp>
      <tp t="e">
        <v>#N/A</v>
        <stp/>
        <stp>BDS|10105367292318059721</stp>
        <tr r="CM5" s="102"/>
      </tp>
      <tp t="e">
        <v>#N/A</v>
        <stp/>
        <stp>BDS|14471410936021115751</stp>
        <tr r="JZ5" s="99"/>
      </tp>
      <tp t="e">
        <v>#N/A</v>
        <stp/>
        <stp>BDS|14010331863480758406</stp>
        <tr r="IB5" s="120"/>
      </tp>
      <tp t="e">
        <v>#N/A</v>
        <stp/>
        <stp>BDS|16945279306923635290</stp>
        <tr r="GS5" s="110"/>
      </tp>
      <tp t="e">
        <v>#N/A</v>
        <stp/>
        <stp>BDS|12563765815470690178</stp>
        <tr r="Z5" s="21"/>
      </tp>
      <tp t="e">
        <v>#N/A</v>
        <stp/>
        <stp>BDS|13940544573410852414</stp>
        <tr r="OA5" s="10"/>
      </tp>
      <tp t="e">
        <v>#N/A</v>
        <stp/>
        <stp>BDS|16528075901322102151</stp>
        <tr r="JA5" s="64"/>
      </tp>
      <tp t="e">
        <v>#N/A</v>
        <stp/>
        <stp>BDS|13308791981958947159</stp>
        <tr r="FE5" s="20"/>
      </tp>
      <tp t="e">
        <v>#N/A</v>
        <stp/>
        <stp>BDS|10022224523461718428</stp>
        <tr r="CH5" s="91"/>
      </tp>
      <tp t="e">
        <v>#N/A</v>
        <stp/>
        <stp>BDS|15697031462464602257</stp>
        <tr r="OA5" s="1"/>
      </tp>
      <tp t="e">
        <v>#N/A</v>
        <stp/>
        <stp>BDS|11501335510856051027</stp>
        <tr r="FO5" s="64"/>
      </tp>
      <tp t="e">
        <v>#N/A</v>
        <stp/>
        <stp>BDS|13128468613041919294</stp>
        <tr r="F5" s="73"/>
      </tp>
      <tp t="e">
        <v>#N/A</v>
        <stp/>
        <stp>BDS|14613710642791232339</stp>
        <tr r="JZ5" s="34"/>
      </tp>
      <tp t="e">
        <v>#N/A</v>
        <stp/>
        <stp>BDS|17923785002111329448</stp>
        <tr r="DB5" s="93"/>
      </tp>
      <tp t="e">
        <v>#N/A</v>
        <stp/>
        <stp>BDS|17438794723186981132</stp>
        <tr r="AE5" s="57"/>
      </tp>
      <tp t="e">
        <v>#N/A</v>
        <stp/>
        <stp>BDS|12683843845909152224</stp>
        <tr r="NQ5" s="50"/>
      </tp>
      <tp t="e">
        <v>#N/A</v>
        <stp/>
        <stp>BDS|14279277167707514234</stp>
        <tr r="KJ5" s="61"/>
      </tp>
      <tp t="e">
        <v>#N/A</v>
        <stp/>
        <stp>BDS|16624172517636304514</stp>
        <tr r="IQ5" s="61"/>
      </tp>
      <tp t="e">
        <v>#N/A</v>
        <stp/>
        <stp>BDS|15700236874212516714</stp>
        <tr r="OA5" s="104"/>
      </tp>
      <tp t="e">
        <v>#N/A</v>
        <stp/>
        <stp>BDS|12578008620322542749</stp>
        <tr r="HH5" s="118"/>
      </tp>
      <tp t="e">
        <v>#N/A</v>
        <stp/>
        <stp>BDS|15771505342397445654</stp>
        <tr r="JA5" s="33"/>
        <tr r="BI5" s="17"/>
      </tp>
      <tp t="e">
        <v>#N/A</v>
        <stp/>
        <stp>BDS|13551562941660189778</stp>
        <tr r="A5" s="117"/>
      </tp>
      <tp t="e">
        <v>#N/A</v>
        <stp/>
        <stp>BDS|11977430597761015890</stp>
        <tr r="BS5" s="75"/>
      </tp>
      <tp t="e">
        <v>#N/A</v>
        <stp/>
        <stp>BDS|12425513656584109364</stp>
        <tr r="KT5" s="88"/>
      </tp>
      <tp t="e">
        <v>#N/A</v>
        <stp/>
        <stp>BDS|12878207412521857567</stp>
        <tr r="KT5" s="101"/>
      </tp>
      <tp t="e">
        <v>#N/A</v>
        <stp/>
        <stp>BDS|16718266252017467337</stp>
        <tr r="KE5" s="50"/>
      </tp>
      <tp t="e">
        <v>#N/A</v>
        <stp/>
        <stp>BDS|10508296841677130487</stp>
        <tr r="GN5" s="85"/>
      </tp>
      <tp t="e">
        <v>#N/A</v>
        <stp/>
        <stp>BDS|11607018723210413650</stp>
        <tr r="IG5" s="101"/>
      </tp>
      <tp t="e">
        <v>#N/A</v>
        <stp/>
        <stp>BDS|13668086594568963769</stp>
        <tr r="FY5" s="58"/>
      </tp>
      <tp t="e">
        <v>#N/A</v>
        <stp/>
        <stp>BDS|12954375456999938842</stp>
        <tr r="AY5" s="6"/>
      </tp>
      <tp t="e">
        <v>#N/A</v>
        <stp/>
        <stp>BDS|10811077305172908768</stp>
        <tr r="NL5" s="34"/>
      </tp>
      <tp t="e">
        <v>#N/A</v>
        <stp/>
        <stp>BDS|11500342305594000318</stp>
        <tr r="CM5" s="41"/>
      </tp>
      <tp t="e">
        <v>#N/A</v>
        <stp/>
        <stp>BDS|13402746171876033042</stp>
        <tr r="OA5" s="27"/>
      </tp>
      <tp t="e">
        <v>#N/A</v>
        <stp/>
        <stp>BDS|15252489748536539624</stp>
        <tr r="U5" s="68"/>
      </tp>
      <tp t="e">
        <v>#N/A</v>
        <stp/>
        <stp>BDS|13581123548170935337</stp>
        <tr r="FY5" s="4"/>
      </tp>
      <tp t="e">
        <v>#N/A</v>
        <stp/>
        <stp>BDS|10020918464542962897</stp>
        <tr r="MR5" s="81"/>
      </tp>
      <tp t="e">
        <v>#N/A</v>
        <stp/>
        <stp>BDS|13773328188658008584</stp>
        <tr r="MR5" s="62"/>
      </tp>
      <tp t="e">
        <v>#N/A</v>
        <stp/>
        <stp>BDS|12407523951266096125</stp>
        <tr r="JA5" s="77"/>
      </tp>
      <tp t="e">
        <v>#N/A</v>
        <stp/>
        <stp>BDS|10529152740093780325</stp>
        <tr r="K5" s="62"/>
      </tp>
      <tp t="e">
        <v>#N/A</v>
        <stp/>
        <stp>BDS|10343430184958066116</stp>
        <tr r="HM5" s="50"/>
      </tp>
      <tp t="e">
        <v>#N/A</v>
        <stp/>
        <stp>BDS|15968090827885457767</stp>
        <tr r="CC5" s="78"/>
      </tp>
      <tp t="e">
        <v>#N/A</v>
        <stp/>
        <stp>BDS|10704540403048183844</stp>
        <tr r="OA5" s="68"/>
      </tp>
      <tp t="e">
        <v>#N/A</v>
        <stp/>
        <stp>BDS|17382743217566151247</stp>
        <tr r="U5" s="103"/>
      </tp>
      <tp t="e">
        <v>#N/A</v>
        <stp/>
        <stp>BDS|13771267021942656430</stp>
        <tr r="BN5" s="39"/>
      </tp>
      <tp t="e">
        <v>#N/A</v>
        <stp/>
        <stp>BDS|14592712215356107154</stp>
        <tr r="NG5" s="54"/>
      </tp>
      <tp t="e">
        <v>#N/A</v>
        <stp/>
        <stp>BDS|11046201930465501003</stp>
        <tr r="MW5" s="116"/>
      </tp>
      <tp t="e">
        <v>#N/A</v>
        <stp/>
        <stp>BDS|17242180967244007187</stp>
        <tr r="FO5" s="6"/>
      </tp>
      <tp t="e">
        <v>#N/A</v>
        <stp/>
        <stp>BDS|10612456774735180339</stp>
        <tr r="HH5" s="117"/>
      </tp>
      <tp t="e">
        <v>#N/A</v>
        <stp/>
        <stp>BDS|12446257609483558683</stp>
        <tr r="EP5" s="36"/>
      </tp>
      <tp t="e">
        <v>#N/A</v>
        <stp/>
        <stp>BDS|16343227521710745327</stp>
        <tr r="AE5" s="50"/>
      </tp>
      <tp t="e">
        <v>#N/A</v>
        <stp/>
        <stp>BDS|14133228243970748723</stp>
        <tr r="JP5" s="119"/>
      </tp>
    </main>
    <main first="bofaddin.rtdserver">
      <tp t="e">
        <v>#N/A</v>
        <stp/>
        <stp>BDS|6810752423869544</stp>
        <tr r="BN5" s="80"/>
      </tp>
      <tp t="e">
        <v>#N/A</v>
        <stp/>
        <stp>BDS|4628218021436911</stp>
        <tr r="GS5" s="70"/>
      </tp>
      <tp t="e">
        <v>#N/A</v>
        <stp/>
        <stp>BDS|6501580737326994</stp>
        <tr r="BI5" s="34"/>
      </tp>
      <tp t="e">
        <v>#N/A</v>
        <stp/>
        <stp>BDS|7142989256654309363</stp>
        <tr r="MH5" s="100"/>
      </tp>
      <tp t="e">
        <v>#N/A</v>
        <stp/>
        <stp>BDS|9935359851250406334</stp>
        <tr r="CR5" s="84"/>
      </tp>
      <tp t="e">
        <v>#N/A</v>
        <stp/>
        <stp>BDS|5531879828080759373</stp>
        <tr r="KJ5" s="20"/>
      </tp>
      <tp t="e">
        <v>#N/A</v>
        <stp/>
        <stp>BDS|2489462579524842996</stp>
        <tr r="HM5" s="108"/>
      </tp>
      <tp t="e">
        <v>#N/A</v>
        <stp/>
        <stp>BDS|3160359634356859924</stp>
        <tr r="LD5" s="117"/>
      </tp>
      <tp t="e">
        <v>#N/A</v>
        <stp/>
        <stp>BDS|2431996839244811064</stp>
        <tr r="NB5" s="4"/>
      </tp>
      <tp t="e">
        <v>#N/A</v>
        <stp/>
        <stp>BDS|4351148870769515788</stp>
        <tr r="GI5" s="40"/>
      </tp>
      <tp t="e">
        <v>#N/A</v>
        <stp/>
        <stp>BDS|1297068390627740392</stp>
        <tr r="IL5" s="11"/>
      </tp>
      <tp t="e">
        <v>#N/A</v>
        <stp/>
        <stp>BDS|5648691088935454298</stp>
        <tr r="HM5" s="66"/>
      </tp>
      <tp t="e">
        <v>#N/A</v>
        <stp/>
        <stp>BDS|5771397155856799967</stp>
        <tr r="MH5" s="44"/>
      </tp>
      <tp t="e">
        <v>#N/A</v>
        <stp/>
        <stp>BDS|7254164528540502833</stp>
        <tr r="JZ5" s="88"/>
      </tp>
      <tp t="e">
        <v>#N/A</v>
        <stp/>
        <stp>BDS|3640358474433866859</stp>
        <tr r="EU5" s="91"/>
      </tp>
      <tp t="e">
        <v>#N/A</v>
        <stp/>
        <stp>BDS|8802300835355009177</stp>
        <tr r="IV5" s="106"/>
      </tp>
      <tp t="e">
        <v>#N/A</v>
        <stp/>
        <stp>BDS|2158636881610078097</stp>
        <tr r="DQ5" s="71"/>
      </tp>
      <tp t="e">
        <v>#N/A</v>
        <stp/>
        <stp>BDS|3898430653717366902</stp>
        <tr r="NL5" s="18"/>
      </tp>
      <tp t="e">
        <v>#N/A</v>
        <stp/>
        <stp>BDS|4179408231549234692</stp>
        <tr r="OF5" s="78"/>
      </tp>
      <tp t="e">
        <v>#N/A</v>
        <stp/>
        <stp>BDS|8771198654559217933</stp>
        <tr r="BI5" s="8"/>
      </tp>
      <tp t="e">
        <v>#N/A</v>
        <stp/>
        <stp>BDS|5386707922164220885</stp>
        <tr r="JZ5" s="92"/>
      </tp>
      <tp t="e">
        <v>#N/A</v>
        <stp/>
        <stp>BDS|4496213620361625984</stp>
        <tr r="BS5" s="78"/>
      </tp>
      <tp t="e">
        <v>#N/A</v>
        <stp/>
        <stp>BDS|3588674350614167883</stp>
        <tr r="MW5" s="34"/>
      </tp>
      <tp t="e">
        <v>#N/A</v>
        <stp/>
        <stp>BDS|8731283441982531009</stp>
        <tr r="MC5" s="96"/>
      </tp>
      <tp t="e">
        <v>#N/A</v>
        <stp/>
        <stp>BDS|5502829131336992443</stp>
        <tr r="AJ5" s="26"/>
      </tp>
      <tp t="e">
        <v>#N/A</v>
        <stp/>
        <stp>BDS|3441651163619847616</stp>
        <tr r="EF5" s="43"/>
      </tp>
      <tp t="e">
        <v>#N/A</v>
        <stp/>
        <stp>BDS|1206916609567160303</stp>
        <tr r="CH5" s="51"/>
      </tp>
      <tp t="e">
        <v>#N/A</v>
        <stp/>
        <stp>BDS|7958430567138169174</stp>
        <tr r="K5" s="2"/>
      </tp>
      <tp t="e">
        <v>#N/A</v>
        <stp/>
        <stp>BDS|3645331122679848741</stp>
        <tr r="NQ5" s="98"/>
      </tp>
      <tp t="e">
        <v>#N/A</v>
        <stp/>
        <stp>BDS|9068205161044224586</stp>
        <tr r="LI5" s="57"/>
      </tp>
      <tp t="e">
        <v>#N/A</v>
        <stp/>
        <stp>BDS|1433431339252522838</stp>
        <tr r="EZ5" s="76"/>
      </tp>
      <tp t="e">
        <v>#N/A</v>
        <stp/>
        <stp>BDS|3084905024206471283</stp>
        <tr r="KE5" s="124"/>
      </tp>
      <tp t="e">
        <v>#N/A</v>
        <stp/>
        <stp>BDS|5859397134241535888</stp>
        <tr r="HR5" s="33"/>
      </tp>
      <tp t="e">
        <v>#N/A</v>
        <stp/>
        <stp>BDS|7354950360042852669</stp>
        <tr r="MM5" s="62"/>
      </tp>
      <tp t="e">
        <v>#N/A</v>
        <stp/>
        <stp>BDS|2387420250598065792</stp>
        <tr r="LS5" s="84"/>
      </tp>
      <tp t="e">
        <v>#N/A</v>
        <stp/>
        <stp>BDS|4934107706449063078</stp>
        <tr r="BN5" s="13"/>
      </tp>
      <tp t="e">
        <v>#N/A</v>
        <stp/>
        <stp>BDS|6012683410005266828</stp>
        <tr r="JA5" s="74"/>
      </tp>
      <tp t="e">
        <v>#N/A</v>
        <stp/>
        <stp>BDS|4122867730541683294</stp>
        <tr r="LN5" s="49"/>
      </tp>
      <tp t="e">
        <v>#N/A</v>
        <stp/>
        <stp>BDS|3395653085673228292</stp>
        <tr r="LD5" s="7"/>
      </tp>
      <tp t="e">
        <v>#N/A</v>
        <stp/>
        <stp>BDS|5000350229679011145</stp>
        <tr r="FY5" s="19"/>
      </tp>
      <tp t="e">
        <v>#N/A</v>
        <stp/>
        <stp>BDS|6506546583236361190</stp>
        <tr r="DV5" s="36"/>
      </tp>
      <tp t="e">
        <v>#N/A</v>
        <stp/>
        <stp>BDS|5774943555495710093</stp>
        <tr r="CR5" s="77"/>
      </tp>
      <tp t="e">
        <v>#N/A</v>
        <stp/>
        <stp>BDS|2072614191185874406</stp>
        <tr r="P5" s="16"/>
      </tp>
      <tp t="e">
        <v>#N/A</v>
        <stp/>
        <stp>BDS|8108175265793877034</stp>
        <tr r="AJ5" s="42"/>
      </tp>
      <tp t="e">
        <v>#N/A</v>
        <stp/>
        <stp>BDS|2157243191604401186</stp>
        <tr r="JU5" s="22"/>
      </tp>
      <tp t="e">
        <v>#N/A</v>
        <stp/>
        <stp>BDS|6606557239365241906</stp>
        <tr r="DB5" s="100"/>
      </tp>
      <tp t="e">
        <v>#N/A</v>
        <stp/>
        <stp>BDS|9512280191209510715</stp>
        <tr r="MC5" s="75"/>
      </tp>
      <tp t="e">
        <v>#N/A</v>
        <stp/>
        <stp>BDS|5683833308629398863</stp>
        <tr r="IL5" s="105"/>
      </tp>
      <tp t="e">
        <v>#N/A</v>
        <stp/>
        <stp>BDS|2987865039766783396</stp>
        <tr r="DL5" s="42"/>
      </tp>
      <tp t="e">
        <v>#N/A</v>
        <stp/>
        <stp>BDS|1254089702105094801</stp>
        <tr r="EA5" s="95"/>
      </tp>
      <tp t="e">
        <v>#N/A</v>
        <stp/>
        <stp>BDS|2663124223459718482</stp>
        <tr r="KO5" s="56"/>
      </tp>
      <tp t="e">
        <v>#N/A</v>
        <stp/>
        <stp>BDS|8197569977265821305</stp>
        <tr r="FY5" s="72"/>
      </tp>
      <tp t="e">
        <v>#N/A</v>
        <stp/>
        <stp>BDS|2145278359740667907</stp>
        <tr r="AT5" s="6"/>
      </tp>
      <tp t="e">
        <v>#N/A</v>
        <stp/>
        <stp>BDS|8384434902463945326</stp>
        <tr r="FJ5" s="80"/>
      </tp>
      <tp t="e">
        <v>#N/A</v>
        <stp/>
        <stp>BDS|4806214294590135358</stp>
        <tr r="GS5" s="124"/>
      </tp>
      <tp t="e">
        <v>#N/A</v>
        <stp/>
        <stp>BDS|4858257234280733978</stp>
        <tr r="KO5" s="13"/>
      </tp>
      <tp t="e">
        <v>#N/A</v>
        <stp/>
        <stp>BDS|5429812909332280370</stp>
        <tr r="IG5" s="32"/>
      </tp>
      <tp t="e">
        <v>#N/A</v>
        <stp/>
        <stp>BDS|2003833697939800652</stp>
        <tr r="EP5" s="117"/>
      </tp>
      <tp t="e">
        <v>#N/A</v>
        <stp/>
        <stp>BDS|6417304259739356579</stp>
        <tr r="GN5" s="63"/>
      </tp>
      <tp t="e">
        <v>#N/A</v>
        <stp/>
        <stp>BDS|7490140880014834614</stp>
        <tr r="AE5" s="118"/>
      </tp>
      <tp t="e">
        <v>#N/A</v>
        <stp/>
        <stp>BDS|9848907384496465213</stp>
        <tr r="CR5" s="125"/>
      </tp>
      <tp t="e">
        <v>#N/A</v>
        <stp/>
        <stp>BDS|9313207817335459392</stp>
        <tr r="MW5" s="111"/>
      </tp>
      <tp t="e">
        <v>#N/A</v>
        <stp/>
        <stp>BDS|3143082854838786234</stp>
        <tr r="GD5" s="62"/>
      </tp>
      <tp t="e">
        <v>#N/A</v>
        <stp/>
        <stp>BDS|5487741183532265489</stp>
        <tr r="CM5" s="87"/>
      </tp>
      <tp t="e">
        <v>#N/A</v>
        <stp/>
        <stp>BDS|4129388411222480853</stp>
        <tr r="JP5" s="19"/>
      </tp>
      <tp t="e">
        <v>#N/A</v>
        <stp/>
        <stp>BDS|8664720309792231162</stp>
        <tr r="AY5" s="52"/>
      </tp>
      <tp t="e">
        <v>#N/A</v>
        <stp/>
        <stp>BDS|6031002099483870082</stp>
        <tr r="CC5" s="94"/>
      </tp>
      <tp t="e">
        <v>#N/A</v>
        <stp/>
        <stp>BDS|8003727439349614941</stp>
        <tr r="KY5" s="117"/>
      </tp>
      <tp t="e">
        <v>#N/A</v>
        <stp/>
        <stp>BDS|4978912586720417936</stp>
        <tr r="Z5" s="110"/>
      </tp>
      <tp t="e">
        <v>#N/A</v>
        <stp/>
        <stp>BDS|1969033087314798145</stp>
        <tr r="LD5" s="67"/>
      </tp>
      <tp t="e">
        <v>#N/A</v>
        <stp/>
        <stp>BDS|1390999017932418772</stp>
        <tr r="HM5" s="28"/>
      </tp>
      <tp t="e">
        <v>#N/A</v>
        <stp/>
        <stp>BDS|7468197798924346786</stp>
        <tr r="K5" s="36"/>
      </tp>
      <tp t="e">
        <v>#N/A</v>
        <stp/>
        <stp>BDS|4075496503354788831</stp>
        <tr r="AY5" s="38"/>
      </tp>
      <tp t="e">
        <v>#N/A</v>
        <stp/>
        <stp>BDS|8150365336981865574</stp>
        <tr r="NB5" s="59"/>
      </tp>
      <tp t="e">
        <v>#N/A</v>
        <stp/>
        <stp>BDS|9694583900036634662</stp>
        <tr r="K5" s="123"/>
      </tp>
      <tp t="e">
        <v>#N/A</v>
        <stp/>
        <stp>BDS|2511892783889860795</stp>
        <tr r="LX5" s="107"/>
      </tp>
      <tp t="e">
        <v>#N/A</v>
        <stp/>
        <stp>BDS|8530782066554395164</stp>
        <tr r="EP5" s="97"/>
      </tp>
      <tp t="e">
        <v>#N/A</v>
        <stp/>
        <stp>BDS|8127634270934574191</stp>
        <tr r="LX5" s="30"/>
      </tp>
      <tp t="e">
        <v>#N/A</v>
        <stp/>
        <stp>BDS|9993662967712156776</stp>
        <tr r="MR5" s="24"/>
      </tp>
      <tp t="e">
        <v>#N/A</v>
        <stp/>
        <stp>BDS|1849368667478570020</stp>
        <tr r="GI5" s="44"/>
      </tp>
      <tp t="e">
        <v>#N/A</v>
        <stp/>
        <stp>BDS|2898330011194565812</stp>
        <tr r="CW5" s="6"/>
      </tp>
      <tp t="e">
        <v>#N/A</v>
        <stp/>
        <stp>BDS|6341585007906265903</stp>
        <tr r="DQ5" s="17"/>
      </tp>
      <tp t="e">
        <v>#N/A</v>
        <stp/>
        <stp>BDS|5060867415775833558</stp>
        <tr r="DV5" s="88"/>
      </tp>
      <tp t="e">
        <v>#N/A</v>
        <stp/>
        <stp>BDS|8214357751631136390</stp>
        <tr r="BX5" s="66"/>
      </tp>
      <tp t="e">
        <v>#N/A</v>
        <stp/>
        <stp>BDS|9347160109661007521</stp>
        <tr r="HR5" s="85"/>
      </tp>
      <tp t="e">
        <v>#N/A</v>
        <stp/>
        <stp>BDS|5163346339401029825</stp>
        <tr r="LD5" s="18"/>
      </tp>
      <tp t="e">
        <v>#N/A</v>
        <stp/>
        <stp>BDS|5447207995592905066</stp>
        <tr r="JZ5" s="65"/>
      </tp>
      <tp t="e">
        <v>#N/A</v>
        <stp/>
        <stp>BDS|3974130283653639512</stp>
        <tr r="IL5" s="83"/>
      </tp>
      <tp t="e">
        <v>#N/A</v>
        <stp/>
        <stp>BDS|9056380775297243613</stp>
        <tr r="KJ5" s="39"/>
      </tp>
      <tp t="e">
        <v>#N/A</v>
        <stp/>
        <stp>BDS|2005904662050914153</stp>
        <tr r="JZ5" s="55"/>
      </tp>
      <tp t="e">
        <v>#N/A</v>
        <stp/>
        <stp>BDS|9754510645390975446</stp>
        <tr r="MW5" s="50"/>
      </tp>
      <tp t="e">
        <v>#N/A</v>
        <stp/>
        <stp>BDS|3967227783061768413</stp>
        <tr r="HC5" s="80"/>
      </tp>
      <tp t="e">
        <v>#N/A</v>
        <stp/>
        <stp>BDS|9881842922176589956</stp>
        <tr r="MH5" s="10"/>
      </tp>
      <tp t="e">
        <v>#N/A</v>
        <stp/>
        <stp>BDS|4869049162707755967</stp>
        <tr r="IG5" s="25"/>
      </tp>
      <tp t="e">
        <v>#N/A</v>
        <stp/>
        <stp>BDS|2568630457764728998</stp>
        <tr r="NV5" s="107"/>
      </tp>
      <tp t="e">
        <v>#N/A</v>
        <stp/>
        <stp>BDS|3264597686906092429</stp>
        <tr r="LD5" s="83"/>
      </tp>
      <tp t="e">
        <v>#N/A</v>
        <stp/>
        <stp>BDS|6875854872374498141</stp>
        <tr r="MM5" s="11"/>
      </tp>
      <tp t="e">
        <v>#N/A</v>
        <stp/>
        <stp>BDS|8987546103786897798</stp>
        <tr r="Z5" s="42"/>
      </tp>
      <tp t="e">
        <v>#N/A</v>
        <stp/>
        <stp>BDS|2530702382206125798</stp>
        <tr r="K5" s="82"/>
      </tp>
      <tp t="e">
        <v>#N/A</v>
        <stp/>
        <stp>BDS|6392966323875980401</stp>
        <tr r="KJ5" s="87"/>
      </tp>
      <tp t="e">
        <v>#N/A</v>
        <stp/>
        <stp>BDS|1910489170799796798</stp>
        <tr r="IB5" s="31"/>
      </tp>
      <tp t="e">
        <v>#N/A</v>
        <stp/>
        <stp>BDS|1963989077532901105</stp>
        <tr r="KY5" s="19"/>
      </tp>
      <tp t="e">
        <v>#N/A</v>
        <stp/>
        <stp>BDS|6888047719242860926</stp>
        <tr r="K5" s="11"/>
      </tp>
      <tp t="e">
        <v>#N/A</v>
        <stp/>
        <stp>BDS|8773998192593015739</stp>
        <tr r="CH5" s="113"/>
      </tp>
      <tp t="e">
        <v>#N/A</v>
        <stp/>
        <stp>BDS|6820958471690163429</stp>
        <tr r="FE5" s="34"/>
      </tp>
      <tp t="e">
        <v>#N/A</v>
        <stp/>
        <stp>BDS|1849204271068460026</stp>
        <tr r="JK5" s="12"/>
      </tp>
      <tp t="e">
        <v>#N/A</v>
        <stp/>
        <stp>BDS|4670156775217053990</stp>
        <tr r="JF5" s="105"/>
      </tp>
      <tp t="e">
        <v>#N/A</v>
        <stp/>
        <stp>BDS|9178714612496598589</stp>
        <tr r="LI5" s="93"/>
      </tp>
      <tp t="e">
        <v>#N/A</v>
        <stp/>
        <stp>BDS|8831857580946484261</stp>
        <tr r="EP5" s="105"/>
      </tp>
      <tp t="e">
        <v>#N/A</v>
        <stp/>
        <stp>BDS|9873547086421441914</stp>
        <tr r="GI5" s="80"/>
      </tp>
      <tp t="e">
        <v>#N/A</v>
        <stp/>
        <stp>BDS|9913399613923502494</stp>
        <tr r="EZ5" s="86"/>
      </tp>
      <tp t="e">
        <v>#N/A</v>
        <stp/>
        <stp>BDS|7466348487882005283</stp>
        <tr r="HC5" s="42"/>
      </tp>
      <tp t="e">
        <v>#N/A</v>
        <stp/>
        <stp>BDS|9061678623166841701</stp>
        <tr r="P5" s="113"/>
      </tp>
      <tp t="e">
        <v>#N/A</v>
        <stp/>
        <stp>BDS|2906858626990631408</stp>
        <tr r="EP5" s="58"/>
      </tp>
      <tp t="e">
        <v>#N/A</v>
        <stp/>
        <stp>BDS|4890242705288086258</stp>
        <tr r="HM5" s="46"/>
      </tp>
      <tp t="e">
        <v>#N/A</v>
        <stp/>
        <stp>BDS|4973570631996341804</stp>
        <tr r="EZ5" s="125"/>
      </tp>
      <tp t="e">
        <v>#N/A</v>
        <stp/>
        <stp>BDS|1420025208885203800</stp>
        <tr r="BX5" s="23"/>
      </tp>
      <tp t="e">
        <v>#N/A</v>
        <stp/>
        <stp>BDS|4804223996701396230</stp>
        <tr r="DG5" s="3"/>
      </tp>
      <tp t="e">
        <v>#N/A</v>
        <stp/>
        <stp>BDS|1194422393939530992</stp>
        <tr r="EP5" s="65"/>
      </tp>
      <tp t="e">
        <v>#N/A</v>
        <stp/>
        <stp>BDS|2867959411850504654</stp>
        <tr r="CW5" s="55"/>
      </tp>
      <tp t="e">
        <v>#N/A</v>
        <stp/>
        <stp>BDS|5178414655341108983</stp>
        <tr r="NG5" s="17"/>
      </tp>
      <tp t="e">
        <v>#N/A</v>
        <stp/>
        <stp>BDS|6834990061150957553</stp>
        <tr r="HM5" s="51"/>
      </tp>
      <tp t="e">
        <v>#N/A</v>
        <stp/>
        <stp>BDS|3651892280156413972</stp>
        <tr r="HW5" s="53"/>
      </tp>
      <tp t="e">
        <v>#N/A</v>
        <stp/>
        <stp>BDS|3978058867161781803</stp>
        <tr r="GX5" s="124"/>
      </tp>
      <tp t="e">
        <v>#N/A</v>
        <stp/>
        <stp>BDS|6082326616711965905</stp>
        <tr r="LI5" s="32"/>
      </tp>
      <tp t="e">
        <v>#N/A</v>
        <stp/>
        <stp>BDS|5573361488495279749</stp>
        <tr r="JU5" s="123"/>
      </tp>
      <tp t="e">
        <v>#N/A</v>
        <stp/>
        <stp>BDS|7823056937488782004</stp>
        <tr r="LI5" s="104"/>
      </tp>
      <tp t="e">
        <v>#N/A</v>
        <stp/>
        <stp>BDS|7535799515549545416</stp>
        <tr r="MC5" s="67"/>
      </tp>
      <tp t="e">
        <v>#N/A</v>
        <stp/>
        <stp>BDS|8396357603461179690</stp>
        <tr r="EU5" s="125"/>
      </tp>
      <tp t="e">
        <v>#N/A</v>
        <stp/>
        <stp>BDS|7034051591000174287</stp>
        <tr r="NB5" s="84"/>
      </tp>
      <tp t="e">
        <v>#N/A</v>
        <stp/>
        <stp>BDS|6683078599194758726</stp>
        <tr r="AY5" s="122"/>
      </tp>
      <tp t="e">
        <v>#N/A</v>
        <stp/>
        <stp>BDS|8827288358813449015</stp>
        <tr r="EA5" s="40"/>
      </tp>
      <tp t="e">
        <v>#N/A</v>
        <stp/>
        <stp>BDS|4629987637521174354</stp>
        <tr r="KY5" s="121"/>
      </tp>
      <tp t="e">
        <v>#N/A</v>
        <stp/>
        <stp>BDS|8057960601295866821</stp>
        <tr r="KE5" s="45"/>
      </tp>
      <tp t="e">
        <v>#N/A</v>
        <stp/>
        <stp>BDS|9179270274602826272</stp>
        <tr r="GI5" s="110"/>
      </tp>
      <tp t="e">
        <v>#N/A</v>
        <stp/>
        <stp>BDS|2727882120460765454</stp>
        <tr r="KY5" s="114"/>
      </tp>
      <tp t="e">
        <v>#N/A</v>
        <stp/>
        <stp>BDS|8869025656182554340</stp>
        <tr r="DG5" s="108"/>
      </tp>
      <tp t="e">
        <v>#N/A</v>
        <stp/>
        <stp>BDS|6623992898028866221</stp>
        <tr r="OF5" s="65"/>
      </tp>
      <tp t="e">
        <v>#N/A</v>
        <stp/>
        <stp>BDS|3377961752585276681</stp>
        <tr r="JK5" s="47"/>
      </tp>
      <tp t="e">
        <v>#N/A</v>
        <stp/>
        <stp>BDS|9115033165385353691</stp>
        <tr r="GS5" s="2"/>
      </tp>
      <tp t="e">
        <v>#N/A</v>
        <stp/>
        <stp>BDS|9985884684474143166</stp>
        <tr r="EZ5" s="41"/>
        <tr r="P5" s="19"/>
      </tp>
      <tp t="e">
        <v>#N/A</v>
        <stp/>
        <stp>BDS|6639917341424097343</stp>
        <tr r="IL5" s="97"/>
      </tp>
      <tp t="e">
        <v>#N/A</v>
        <stp/>
        <stp>BDS|1074894904851612490</stp>
        <tr r="LX5" s="31"/>
      </tp>
      <tp t="e">
        <v>#N/A</v>
        <stp/>
        <stp>BDS|9420908753578071153</stp>
        <tr r="GX5" s="96"/>
      </tp>
      <tp t="e">
        <v>#N/A</v>
        <stp/>
        <stp>BDS|4121558974298502270</stp>
        <tr r="JA5" s="121"/>
      </tp>
      <tp t="e">
        <v>#N/A</v>
        <stp/>
        <stp>BDS|9633199227222933435</stp>
        <tr r="OA5" s="30"/>
      </tp>
      <tp t="e">
        <v>#N/A</v>
        <stp/>
        <stp>BDS|2297836485248079664</stp>
        <tr r="CR5" s="51"/>
      </tp>
      <tp t="e">
        <v>#N/A</v>
        <stp/>
        <stp>BDS|8887456586030187889</stp>
        <tr r="LN5" s="1"/>
      </tp>
      <tp t="e">
        <v>#N/A</v>
        <stp/>
        <stp>BDS|1631916775451070209</stp>
        <tr r="FJ5" s="45"/>
      </tp>
      <tp t="e">
        <v>#N/A</v>
        <stp/>
        <stp>BDS|2981790696953447309</stp>
        <tr r="EK5" s="24"/>
      </tp>
      <tp t="e">
        <v>#N/A</v>
        <stp/>
        <stp>BDS|1228909060661642365</stp>
        <tr r="MM5" s="23"/>
      </tp>
      <tp t="e">
        <v>#N/A</v>
        <stp/>
        <stp>BDS|2929839151693082098</stp>
        <tr r="GI5" s="117"/>
      </tp>
      <tp t="e">
        <v>#N/A</v>
        <stp/>
        <stp>BDS|5003670917768697643</stp>
        <tr r="DQ5" s="43"/>
      </tp>
      <tp t="e">
        <v>#N/A</v>
        <stp/>
        <stp>BDS|3896942159890142364</stp>
        <tr r="AO5" s="40"/>
      </tp>
      <tp t="e">
        <v>#N/A</v>
        <stp/>
        <stp>BDS|2384862884608272618</stp>
        <tr r="GX5" s="6"/>
      </tp>
      <tp t="e">
        <v>#N/A</v>
        <stp/>
        <stp>BDS|5267843788091879843</stp>
        <tr r="CH5" s="62"/>
      </tp>
      <tp t="e">
        <v>#N/A</v>
        <stp/>
        <stp>BDS|2433457197225638623</stp>
        <tr r="LI5" s="95"/>
      </tp>
      <tp t="e">
        <v>#N/A</v>
        <stp/>
        <stp>BDS|1108475402989699002</stp>
        <tr r="LX5" s="99"/>
      </tp>
      <tp t="e">
        <v>#N/A</v>
        <stp/>
        <stp>BDS|3095159011058077762</stp>
        <tr r="DV5" s="49"/>
      </tp>
      <tp t="e">
        <v>#N/A</v>
        <stp/>
        <stp>BDS|7754334313390589910</stp>
        <tr r="GS5" s="7"/>
      </tp>
      <tp t="e">
        <v>#N/A</v>
        <stp/>
        <stp>BDS|7768989503726707482</stp>
        <tr r="DL5" s="59"/>
      </tp>
      <tp t="e">
        <v>#N/A</v>
        <stp/>
        <stp>BDS|6252477473501780824</stp>
        <tr r="BD5" s="59"/>
      </tp>
      <tp t="e">
        <v>#N/A</v>
        <stp/>
        <stp>BDS|9522373962976471674</stp>
        <tr r="FY5" s="60"/>
      </tp>
      <tp t="e">
        <v>#N/A</v>
        <stp/>
        <stp>BDS|8657629643730565615</stp>
        <tr r="MM5" s="47"/>
      </tp>
      <tp t="e">
        <v>#N/A</v>
        <stp/>
        <stp>BDS|4211653496725087225</stp>
        <tr r="GI5" s="111"/>
      </tp>
      <tp t="e">
        <v>#N/A</v>
        <stp/>
        <stp>BDS|5341302772858579571</stp>
        <tr r="NV5" s="42"/>
      </tp>
      <tp t="e">
        <v>#N/A</v>
        <stp/>
        <stp>BDS|9572828395614761066</stp>
        <tr r="GX5" s="99"/>
      </tp>
      <tp t="e">
        <v>#N/A</v>
        <stp/>
        <stp>BDS|6393377791653561330</stp>
        <tr r="KO5" s="33"/>
      </tp>
      <tp t="e">
        <v>#N/A</v>
        <stp/>
        <stp>BDS|7394063290391641302</stp>
        <tr r="FT5" s="99"/>
      </tp>
      <tp t="e">
        <v>#N/A</v>
        <stp/>
        <stp>BDS|7092780287597586398</stp>
        <tr r="AO5" s="21"/>
      </tp>
      <tp t="e">
        <v>#N/A</v>
        <stp/>
        <stp>BDS|1452495202371999857</stp>
        <tr r="IV5" s="64"/>
      </tp>
      <tp t="e">
        <v>#N/A</v>
        <stp/>
        <stp>BDS|2089206894172752708</stp>
        <tr r="FJ5" s="125"/>
      </tp>
      <tp t="e">
        <v>#N/A</v>
        <stp/>
        <stp>BDS|3294856025896049310</stp>
        <tr r="FJ5" s="25"/>
      </tp>
      <tp t="e">
        <v>#N/A</v>
        <stp/>
        <stp>BDS|8212476274073726456</stp>
        <tr r="JK5" s="117"/>
      </tp>
      <tp t="e">
        <v>#N/A</v>
        <stp/>
        <stp>BDS|1739923137552769563</stp>
        <tr r="EU5" s="97"/>
      </tp>
      <tp t="e">
        <v>#N/A</v>
        <stp/>
        <stp>BDS|1120779413823150876</stp>
        <tr r="LI5" s="11"/>
      </tp>
      <tp t="e">
        <v>#N/A</v>
        <stp/>
        <stp>BDS|6483112797314202639</stp>
        <tr r="IL5" s="93"/>
      </tp>
      <tp t="e">
        <v>#N/A</v>
        <stp/>
        <stp>BDS|7757510027915325918</stp>
        <tr r="GX5" s="91"/>
      </tp>
      <tp t="e">
        <v>#N/A</v>
        <stp/>
        <stp>BDS|1951216199523061527</stp>
        <tr r="U5" s="111"/>
      </tp>
      <tp t="e">
        <v>#N/A</v>
        <stp/>
        <stp>BDS|7141817133791520151</stp>
        <tr r="NG5" s="3"/>
      </tp>
      <tp t="e">
        <v>#N/A</v>
        <stp/>
        <stp>BDS|1530622565289328424</stp>
        <tr r="NL5" s="81"/>
      </tp>
      <tp t="e">
        <v>#N/A</v>
        <stp/>
        <stp>BDS|7926393150355600857</stp>
        <tr r="GS5" s="38"/>
      </tp>
      <tp t="e">
        <v>#N/A</v>
        <stp/>
        <stp>BDS|4075915976575428300</stp>
        <tr r="IG5" s="85"/>
      </tp>
      <tp t="e">
        <v>#N/A</v>
        <stp/>
        <stp>BDS|9309039267774596712</stp>
        <tr r="FY5" s="70"/>
      </tp>
      <tp t="e">
        <v>#N/A</v>
        <stp/>
        <stp>BDS|6799822336603513266</stp>
        <tr r="BI5" s="74"/>
      </tp>
      <tp t="e">
        <v>#N/A</v>
        <stp/>
        <stp>BDS|7015708725019491719</stp>
        <tr r="DQ5" s="105"/>
      </tp>
      <tp t="e">
        <v>#N/A</v>
        <stp/>
        <stp>BDS|2947490895853336066</stp>
        <tr r="JP5" s="86"/>
      </tp>
      <tp t="e">
        <v>#N/A</v>
        <stp/>
        <stp>BDS|6499106287165308600</stp>
        <tr r="BD5" s="26"/>
      </tp>
      <tp t="e">
        <v>#N/A</v>
        <stp/>
        <stp>BDS|7094805357271315740</stp>
        <tr r="LI5" s="62"/>
      </tp>
      <tp t="e">
        <v>#N/A</v>
        <stp/>
        <stp>BDS|2843659429713631925</stp>
        <tr r="MC5" s="87"/>
      </tp>
      <tp t="e">
        <v>#N/A</v>
        <stp/>
        <stp>BDS|8246302453520538242</stp>
        <tr r="NG5" s="105"/>
      </tp>
      <tp t="e">
        <v>#N/A</v>
        <stp/>
        <stp>BDS|2015377081780678506</stp>
        <tr r="DG5" s="89"/>
      </tp>
      <tp t="e">
        <v>#N/A</v>
        <stp/>
        <stp>BDS|6652445287792752422</stp>
        <tr r="HW5" s="31"/>
      </tp>
      <tp t="e">
        <v>#N/A</v>
        <stp/>
        <stp>BDS|2881139472458116085</stp>
        <tr r="MW5" s="105"/>
      </tp>
      <tp t="e">
        <v>#N/A</v>
        <stp/>
        <stp>BDS|9134372856591212224</stp>
        <tr r="DV5" s="22"/>
      </tp>
      <tp t="e">
        <v>#N/A</v>
        <stp/>
        <stp>BDS|4151869176726630179</stp>
        <tr r="EP5" s="79"/>
      </tp>
      <tp t="e">
        <v>#N/A</v>
        <stp/>
        <stp>BDS|1623712186253129101</stp>
        <tr r="AY5" s="28"/>
      </tp>
      <tp t="e">
        <v>#N/A</v>
        <stp/>
        <stp>BDS|8203346924732153735</stp>
        <tr r="AY5" s="101"/>
      </tp>
      <tp t="e">
        <v>#N/A</v>
        <stp/>
        <stp>BDS|8567376506383011443</stp>
        <tr r="OF5" s="9"/>
      </tp>
      <tp t="e">
        <v>#N/A</v>
        <stp/>
        <stp>BDS|2740089864791894937</stp>
        <tr r="BD5" s="77"/>
      </tp>
      <tp t="e">
        <v>#N/A</v>
        <stp/>
        <stp>BDS|7117839263243094617</stp>
        <tr r="IG5" s="96"/>
      </tp>
      <tp t="e">
        <v>#N/A</v>
        <stp/>
        <stp>BDS|2547672882357476746</stp>
        <tr r="NB5" s="24"/>
      </tp>
      <tp t="e">
        <v>#N/A</v>
        <stp/>
        <stp>BDS|8125879734779689640</stp>
        <tr r="IV5" s="5"/>
      </tp>
      <tp t="e">
        <v>#N/A</v>
        <stp/>
        <stp>BDS|9194004994859502500</stp>
        <tr r="HW5" s="20"/>
      </tp>
      <tp t="e">
        <v>#N/A</v>
        <stp/>
        <stp>BDS|6089252197694528564</stp>
        <tr r="NQ5" s="84"/>
      </tp>
      <tp t="e">
        <v>#N/A</v>
        <stp/>
        <stp>BDS|8619029157421010027</stp>
        <tr r="HR5" s="20"/>
      </tp>
      <tp t="e">
        <v>#N/A</v>
        <stp/>
        <stp>BDS|3175927835441179468</stp>
        <tr r="JF5" s="73"/>
      </tp>
      <tp t="e">
        <v>#N/A</v>
        <stp/>
        <stp>BDS|5703631665411852888</stp>
        <tr r="CW5" s="2"/>
      </tp>
      <tp t="e">
        <v>#N/A</v>
        <stp/>
        <stp>BDS|3227730461828254631</stp>
        <tr r="EP5" s="74"/>
      </tp>
      <tp t="e">
        <v>#N/A</v>
        <stp/>
        <stp>BDS|3809868360107943662</stp>
        <tr r="JF5" s="8"/>
      </tp>
      <tp t="e">
        <v>#N/A</v>
        <stp/>
        <stp>BDS|9690093697795937902</stp>
        <tr r="IG5" s="100"/>
      </tp>
      <tp t="e">
        <v>#N/A</v>
        <stp/>
        <stp>BDS|9240075054222493247</stp>
        <tr r="BN5" s="103"/>
      </tp>
      <tp t="e">
        <v>#N/A</v>
        <stp/>
        <stp>BDS|2127052890407006059</stp>
        <tr r="DG5" s="70"/>
      </tp>
      <tp t="e">
        <v>#N/A</v>
        <stp/>
        <stp>BDS|3269357785752532668</stp>
        <tr r="FT5" s="68"/>
      </tp>
      <tp t="e">
        <v>#N/A</v>
        <stp/>
        <stp>BDS|2875615178797687860</stp>
        <tr r="AJ5" s="80"/>
      </tp>
      <tp t="e">
        <v>#N/A</v>
        <stp/>
        <stp>BDS|4636474684530264466</stp>
        <tr r="NV5" s="18"/>
      </tp>
      <tp t="e">
        <v>#N/A</v>
        <stp/>
        <stp>BDS|4621760544903588801</stp>
        <tr r="HR5" s="46"/>
      </tp>
      <tp t="e">
        <v>#N/A</v>
        <stp/>
        <stp>BDS|1381911554740650118</stp>
        <tr r="NB5" s="26"/>
      </tp>
      <tp t="e">
        <v>#N/A</v>
        <stp/>
        <stp>BDS|2920497856177551825</stp>
        <tr r="BN5" s="1"/>
      </tp>
      <tp t="e">
        <v>#N/A</v>
        <stp/>
        <stp>BDS|9538437311231033160</stp>
        <tr r="FJ5" s="118"/>
      </tp>
      <tp t="e">
        <v>#N/A</v>
        <stp/>
        <stp>BDS|1695878765936476565</stp>
        <tr r="KY5" s="82"/>
      </tp>
      <tp t="e">
        <v>#N/A</v>
        <stp/>
        <stp>BDS|1120937766194386616</stp>
        <tr r="HW5" s="39"/>
      </tp>
      <tp t="e">
        <v>#N/A</v>
        <stp/>
        <stp>BDS|6667622907314742828</stp>
        <tr r="Z5" s="27"/>
      </tp>
      <tp t="e">
        <v>#N/A</v>
        <stp/>
        <stp>BDS|5327162597141010048</stp>
        <tr r="MM5" s="71"/>
      </tp>
      <tp t="e">
        <v>#N/A</v>
        <stp/>
        <stp>BDS|4372223398714636799</stp>
        <tr r="CR5" s="10"/>
      </tp>
      <tp t="e">
        <v>#N/A</v>
        <stp/>
        <stp>BDS|8677430604124272458</stp>
        <tr r="JZ5" s="93"/>
      </tp>
      <tp t="e">
        <v>#N/A</v>
        <stp/>
        <stp>BDS|5710687573988979037</stp>
        <tr r="CR5" s="57"/>
      </tp>
      <tp t="e">
        <v>#N/A</v>
        <stp/>
        <stp>BDS|5405703375509013078</stp>
        <tr r="BX5" s="18"/>
      </tp>
      <tp t="e">
        <v>#N/A</v>
        <stp/>
        <stp>BDS|4924097862036449803</stp>
        <tr r="EU5" s="88"/>
      </tp>
      <tp t="e">
        <v>#N/A</v>
        <stp/>
        <stp>BDS|9351832277109274332</stp>
        <tr r="JZ5" s="110"/>
      </tp>
      <tp t="e">
        <v>#N/A</v>
        <stp/>
        <stp>BDS|9527003228730948721</stp>
        <tr r="LS5" s="67"/>
      </tp>
      <tp t="e">
        <v>#N/A</v>
        <stp/>
        <stp>BDS|6348994644133868407</stp>
        <tr r="IG5" s="80"/>
      </tp>
      <tp t="e">
        <v>#N/A</v>
        <stp/>
        <stp>BDS|9129452218052226282</stp>
        <tr r="NG5" s="124"/>
      </tp>
      <tp t="e">
        <v>#N/A</v>
        <stp/>
        <stp>BDS|2338315192115268147</stp>
        <tr r="DV5" s="31"/>
      </tp>
      <tp t="e">
        <v>#N/A</v>
        <stp/>
        <stp>BDS|6705826515183118070</stp>
        <tr r="MW5" s="27"/>
      </tp>
      <tp t="e">
        <v>#N/A</v>
        <stp/>
        <stp>BDS|4727672996165204227</stp>
        <tr r="AO5" s="16"/>
      </tp>
      <tp t="e">
        <v>#N/A</v>
        <stp/>
        <stp>BDS|7096102802499494301</stp>
        <tr r="LI5" s="10"/>
      </tp>
      <tp t="e">
        <v>#N/A</v>
        <stp/>
        <stp>BDS|2084747941378798541</stp>
        <tr r="U5" s="46"/>
      </tp>
      <tp t="e">
        <v>#N/A</v>
        <stp/>
        <stp>BDS|4341342966984394943</stp>
        <tr r="Z5" s="17"/>
      </tp>
      <tp t="e">
        <v>#N/A</v>
        <stp/>
        <stp>BDS|1230709066559686542</stp>
        <tr r="BX5" s="68"/>
      </tp>
      <tp t="e">
        <v>#N/A</v>
        <stp/>
        <stp>BDS|7798290727838755381</stp>
        <tr r="AJ5" s="52"/>
      </tp>
      <tp t="e">
        <v>#N/A</v>
        <stp/>
        <stp>BDS|9175569772803251409</stp>
        <tr r="JZ5" s="36"/>
      </tp>
      <tp t="e">
        <v>#N/A</v>
        <stp/>
        <stp>BDS|6150803981939115365</stp>
        <tr r="CW5" s="102"/>
      </tp>
      <tp t="e">
        <v>#N/A</v>
        <stp/>
        <stp>BDS|9837629342045672295</stp>
        <tr r="CH5" s="104"/>
      </tp>
      <tp t="e">
        <v>#N/A</v>
        <stp/>
        <stp>BDS|2874163835095413987</stp>
        <tr r="IV5" s="44"/>
      </tp>
      <tp t="e">
        <v>#N/A</v>
        <stp/>
        <stp>BDS|3059379506864764810</stp>
        <tr r="MW5" s="57"/>
      </tp>
      <tp t="e">
        <v>#N/A</v>
        <stp/>
        <stp>BDS|7774419544852471912</stp>
        <tr r="JK5" s="6"/>
      </tp>
      <tp t="e">
        <v>#N/A</v>
        <stp/>
        <stp>BDS|4615410341308205031</stp>
        <tr r="GI5" s="27"/>
      </tp>
      <tp t="e">
        <v>#N/A</v>
        <stp/>
        <stp>BDS|3160534642538202657</stp>
        <tr r="IG5" s="107"/>
      </tp>
      <tp t="e">
        <v>#N/A</v>
        <stp/>
        <stp>BDS|1317882511330922442</stp>
        <tr r="HM5" s="70"/>
      </tp>
      <tp t="e">
        <v>#N/A</v>
        <stp/>
        <stp>BDS|6747670700165540927</stp>
        <tr r="CW5" s="38"/>
      </tp>
      <tp t="e">
        <v>#N/A</v>
        <stp/>
        <stp>BDS|7237924942246156046</stp>
        <tr r="AJ5" s="13"/>
      </tp>
      <tp t="e">
        <v>#N/A</v>
        <stp/>
        <stp>BDS|4205933379474856275</stp>
        <tr r="MR5" s="18"/>
      </tp>
      <tp t="e">
        <v>#N/A</v>
        <stp/>
        <stp>BDS|6405554511599204756</stp>
        <tr r="IG5" s="52"/>
      </tp>
      <tp t="e">
        <v>#N/A</v>
        <stp/>
        <stp>BDS|8474136216001767513</stp>
        <tr r="OA5" s="77"/>
      </tp>
      <tp t="e">
        <v>#N/A</v>
        <stp/>
        <stp>BDS|5056819364665239233</stp>
        <tr r="LN5" s="99"/>
      </tp>
      <tp t="e">
        <v>#N/A</v>
        <stp/>
        <stp>BDS|9534313189086818819</stp>
        <tr r="NV5" s="35"/>
      </tp>
      <tp t="e">
        <v>#N/A</v>
        <stp/>
        <stp>BDS|1429514305229144158</stp>
        <tr r="GN5" s="43"/>
      </tp>
      <tp t="e">
        <v>#N/A</v>
        <stp/>
        <stp>BDS|1519918524294556217</stp>
        <tr r="EF5" s="75"/>
      </tp>
      <tp t="e">
        <v>#N/A</v>
        <stp/>
        <stp>BDS|2313889869864168479</stp>
        <tr r="JK5" s="107"/>
      </tp>
      <tp t="e">
        <v>#N/A</v>
        <stp/>
        <stp>BDS|3564370376159815289</stp>
        <tr r="LX5" s="54"/>
      </tp>
      <tp t="e">
        <v>#N/A</v>
        <stp/>
        <stp>BDS|3525577282903384178</stp>
        <tr r="NB5" s="109"/>
      </tp>
      <tp t="e">
        <v>#N/A</v>
        <stp/>
        <stp>BDS|2041963705116615114</stp>
        <tr r="BD5" s="62"/>
      </tp>
      <tp t="e">
        <v>#N/A</v>
        <stp/>
        <stp>BDS|6967454368099334132</stp>
        <tr r="OF5" s="85"/>
      </tp>
      <tp t="e">
        <v>#N/A</v>
        <stp/>
        <stp>BDS|1215400884088239902</stp>
        <tr r="BS5" s="92"/>
      </tp>
      <tp t="e">
        <v>#N/A</v>
        <stp/>
        <stp>BDS|1219920204503176713</stp>
        <tr r="BS5" s="125"/>
      </tp>
      <tp t="e">
        <v>#N/A</v>
        <stp/>
        <stp>BDS|9054024205891711448</stp>
        <tr r="JP5" s="102"/>
      </tp>
      <tp t="e">
        <v>#N/A</v>
        <stp/>
        <stp>BDS|7746991433548143985</stp>
        <tr r="P5" s="40"/>
      </tp>
      <tp t="e">
        <v>#N/A</v>
        <stp/>
        <stp>BDS|9683541487249565156</stp>
        <tr r="MH5" s="78"/>
      </tp>
      <tp t="e">
        <v>#N/A</v>
        <stp/>
        <stp>BDS|4796442317314545947</stp>
        <tr r="BD5" s="13"/>
      </tp>
      <tp t="e">
        <v>#N/A</v>
        <stp/>
        <stp>BDS|3422726342588836499</stp>
        <tr r="GI5" s="12"/>
      </tp>
      <tp t="e">
        <v>#N/A</v>
        <stp/>
        <stp>BDS|8988143126253988473</stp>
        <tr r="AO5" s="30"/>
      </tp>
      <tp t="e">
        <v>#N/A</v>
        <stp/>
        <stp>BDS|5889518859918282173</stp>
        <tr r="FJ5" s="9"/>
      </tp>
      <tp t="e">
        <v>#N/A</v>
        <stp/>
        <stp>BDS|5728404454509063166</stp>
        <tr r="HH5" s="57"/>
      </tp>
      <tp t="e">
        <v>#N/A</v>
        <stp/>
        <stp>BDS|6884808364350008493</stp>
        <tr r="IG5" s="112"/>
      </tp>
      <tp t="e">
        <v>#N/A</v>
        <stp/>
        <stp>BDS|8302424582609467125</stp>
        <tr r="HC5" s="11"/>
      </tp>
      <tp t="e">
        <v>#N/A</v>
        <stp/>
        <stp>BDS|3802511057367337880</stp>
        <tr r="IL5" s="43"/>
      </tp>
      <tp t="e">
        <v>#N/A</v>
        <stp/>
        <stp>BDS|6842666101084960835</stp>
        <tr r="MW5" s="96"/>
      </tp>
      <tp t="e">
        <v>#N/A</v>
        <stp/>
        <stp>BDS|4481437982896227223</stp>
        <tr r="MR5" s="9"/>
      </tp>
      <tp t="e">
        <v>#N/A</v>
        <stp/>
        <stp>BDS|9367971905288231462</stp>
        <tr r="BX5" s="90"/>
      </tp>
      <tp t="e">
        <v>#N/A</v>
        <stp/>
        <stp>BDS|3332401579348805474</stp>
        <tr r="DV5" s="99"/>
      </tp>
      <tp t="e">
        <v>#N/A</v>
        <stp/>
        <stp>BDS|8867359943550967329</stp>
        <tr r="MH5" s="124"/>
      </tp>
      <tp t="e">
        <v>#N/A</v>
        <stp/>
        <stp>BDS|5141671790172956558</stp>
        <tr r="HM5" s="8"/>
      </tp>
      <tp t="e">
        <v>#N/A</v>
        <stp/>
        <stp>BDS|4734458806714748994</stp>
        <tr r="LN5" s="21"/>
      </tp>
      <tp t="e">
        <v>#N/A</v>
        <stp/>
        <stp>BDS|8646510646657995327</stp>
        <tr r="AJ5" s="9"/>
      </tp>
      <tp t="e">
        <v>#N/A</v>
        <stp/>
        <stp>BDS|5070589137378156645</stp>
        <tr r="Z5" s="18"/>
      </tp>
      <tp t="e">
        <v>#N/A</v>
        <stp/>
        <stp>BDS|2214282550390444849</stp>
        <tr r="FJ5" s="81"/>
      </tp>
      <tp t="e">
        <v>#N/A</v>
        <stp/>
        <stp>BDS|3994959505390455775</stp>
        <tr r="AO5" s="78"/>
      </tp>
      <tp t="e">
        <v>#N/A</v>
        <stp/>
        <stp>BDS|8959328958196049599</stp>
        <tr r="CH5" s="114"/>
      </tp>
      <tp t="e">
        <v>#N/A</v>
        <stp/>
        <stp>BDS|2924731790735752477</stp>
        <tr r="IV5" s="51"/>
      </tp>
      <tp t="e">
        <v>#N/A</v>
        <stp/>
        <stp>BDS|2723865707293587498</stp>
        <tr r="FJ5" s="35"/>
      </tp>
      <tp t="e">
        <v>#N/A</v>
        <stp/>
        <stp>BDS|8575558646610478495</stp>
        <tr r="AY5" s="54"/>
      </tp>
      <tp t="e">
        <v>#N/A</v>
        <stp/>
        <stp>BDS|3055006631885951836</stp>
        <tr r="U5" s="59"/>
      </tp>
      <tp t="e">
        <v>#N/A</v>
        <stp/>
        <stp>BDS|7747863017135471698</stp>
        <tr r="NL5" s="84"/>
      </tp>
      <tp t="e">
        <v>#N/A</v>
        <stp/>
        <stp>BDS|6584389149835831975</stp>
        <tr r="CH5" s="53"/>
      </tp>
      <tp t="e">
        <v>#N/A</v>
        <stp/>
        <stp>BDS|1425881831584686302</stp>
        <tr r="JZ5" s="20"/>
      </tp>
      <tp t="e">
        <v>#N/A</v>
        <stp/>
        <stp>BDS|4897684982901913609</stp>
        <tr r="BI5" s="98"/>
      </tp>
      <tp t="e">
        <v>#N/A</v>
        <stp/>
        <stp>BDS|4630243555789835749</stp>
        <tr r="K5" s="119"/>
      </tp>
      <tp t="e">
        <v>#N/A</v>
        <stp/>
        <stp>BDS|6103623862088965336</stp>
        <tr r="HR5" s="55"/>
      </tp>
      <tp t="e">
        <v>#N/A</v>
        <stp/>
        <stp>BDS|3177593432358050013</stp>
        <tr r="CR5" s="93"/>
      </tp>
      <tp t="e">
        <v>#N/A</v>
        <stp/>
        <stp>BDS|5736836320101739386</stp>
        <tr r="MC5" s="9"/>
      </tp>
      <tp t="e">
        <v>#N/A</v>
        <stp/>
        <stp>BDS|9514962887207691299</stp>
        <tr r="MR5" s="16"/>
      </tp>
      <tp t="e">
        <v>#N/A</v>
        <stp/>
        <stp>BDS|1554156014204915866</stp>
        <tr r="BI5" s="37"/>
      </tp>
      <tp t="e">
        <v>#N/A</v>
        <stp/>
        <stp>BDS|4321394566279581528</stp>
        <tr r="EK5" s="116"/>
      </tp>
      <tp t="e">
        <v>#N/A</v>
        <stp/>
        <stp>BDS|5688511671943925946</stp>
        <tr r="DB5" s="35"/>
      </tp>
      <tp t="e">
        <v>#N/A</v>
        <stp/>
        <stp>BDS|8808270527363763641</stp>
        <tr r="HM5" s="87"/>
      </tp>
      <tp t="e">
        <v>#N/A</v>
        <stp/>
        <stp>BDS|4354570091897997271</stp>
        <tr r="OF5" s="111"/>
      </tp>
      <tp t="e">
        <v>#N/A</v>
        <stp/>
        <stp>BDS|5999565597696086209</stp>
        <tr r="GS5" s="52"/>
      </tp>
      <tp t="e">
        <v>#N/A</v>
        <stp/>
        <stp>BDS|1438821653879832850</stp>
        <tr r="BX5" s="96"/>
      </tp>
      <tp t="e">
        <v>#N/A</v>
        <stp/>
        <stp>BDS|3800213384140196445</stp>
        <tr r="EF5" s="13"/>
      </tp>
      <tp t="e">
        <v>#N/A</v>
        <stp/>
        <stp>BDS|1186535519500662852</stp>
        <tr r="GN5" s="3"/>
      </tp>
      <tp t="e">
        <v>#N/A</v>
        <stp/>
        <stp>BDS|1119380427788297542</stp>
        <tr r="BI5" s="82"/>
      </tp>
      <tp t="e">
        <v>#N/A</v>
        <stp/>
        <stp>BDS|2377775573057998866</stp>
        <tr r="EU5" s="29"/>
      </tp>
      <tp t="e">
        <v>#N/A</v>
        <stp/>
        <stp>BDS|1028227389836772047</stp>
        <tr r="U5" s="61"/>
      </tp>
      <tp t="e">
        <v>#N/A</v>
        <stp/>
        <stp>BDS|5212573371002965856</stp>
        <tr r="CR5" s="112"/>
      </tp>
      <tp t="e">
        <v>#N/A</v>
        <stp/>
        <stp>BDS|2960289467538933378</stp>
        <tr r="AO5" s="43"/>
      </tp>
      <tp t="e">
        <v>#N/A</v>
        <stp/>
        <stp>BDS|8760401956447053390</stp>
        <tr r="AJ5" s="66"/>
      </tp>
      <tp t="e">
        <v>#N/A</v>
        <stp/>
        <stp>BDS|5509193299410967045</stp>
        <tr r="P5" s="64"/>
      </tp>
      <tp t="e">
        <v>#N/A</v>
        <stp/>
        <stp>BDS|3535224628909536728</stp>
        <tr r="HR5" s="34"/>
      </tp>
      <tp t="e">
        <v>#N/A</v>
        <stp/>
        <stp>BDS|8146391883026096827</stp>
        <tr r="OF5" s="110"/>
      </tp>
      <tp t="e">
        <v>#N/A</v>
        <stp/>
        <stp>BDS|3277305712054831819</stp>
        <tr r="JP5" s="23"/>
      </tp>
      <tp t="e">
        <v>#N/A</v>
        <stp/>
        <stp>BDS|7160661089806106267</stp>
        <tr r="HH5" s="41"/>
      </tp>
      <tp t="e">
        <v>#N/A</v>
        <stp/>
        <stp>BDS|3326773684468158988</stp>
        <tr r="JP5" s="3"/>
      </tp>
      <tp t="e">
        <v>#N/A</v>
        <stp/>
        <stp>BDS|1054994455914034454</stp>
        <tr r="MC5" s="74"/>
      </tp>
      <tp t="e">
        <v>#N/A</v>
        <stp/>
        <stp>BDS|2049876549296173568</stp>
        <tr r="IB5" s="96"/>
      </tp>
      <tp t="e">
        <v>#N/A</v>
        <stp/>
        <stp>BDS|6060844823339899867</stp>
        <tr r="EA5" s="112"/>
      </tp>
      <tp t="e">
        <v>#N/A</v>
        <stp/>
        <stp>BDS|4331019494408933861</stp>
        <tr r="EF5" s="34"/>
      </tp>
      <tp t="e">
        <v>#N/A</v>
        <stp/>
        <stp>BDS|9096234039522346700</stp>
        <tr r="BD5" s="8"/>
      </tp>
      <tp t="e">
        <v>#N/A</v>
        <stp/>
        <stp>BDS|6551955207691624389</stp>
        <tr r="DG5" s="82"/>
      </tp>
      <tp t="e">
        <v>#N/A</v>
        <stp/>
        <stp>BDS|3985265542860531814</stp>
        <tr r="AY5" s="95"/>
      </tp>
      <tp t="e">
        <v>#N/A</v>
        <stp/>
        <stp>BDS|5178128987805437497</stp>
        <tr r="EK5" s="71"/>
      </tp>
      <tp t="e">
        <v>#N/A</v>
        <stp/>
        <stp>BDS|5746495122099567704</stp>
        <tr r="A5" s="78"/>
      </tp>
      <tp t="e">
        <v>#N/A</v>
        <stp/>
        <stp>BDS|4874526284271402533</stp>
        <tr r="IB5" s="117"/>
      </tp>
      <tp t="e">
        <v>#N/A</v>
        <stp/>
        <stp>BDS|3102176587702019580</stp>
        <tr r="AJ5" s="32"/>
      </tp>
      <tp t="e">
        <v>#N/A</v>
        <stp/>
        <stp>BDS|4422824248727104260</stp>
        <tr r="DB5" s="69"/>
      </tp>
      <tp t="e">
        <v>#N/A</v>
        <stp/>
        <stp>BDS|2347026234738522491</stp>
        <tr r="DQ5" s="9"/>
      </tp>
      <tp t="e">
        <v>#N/A</v>
        <stp/>
        <stp>BDS|9540831836298059796</stp>
        <tr r="BN5" s="27"/>
      </tp>
      <tp t="e">
        <v>#N/A</v>
        <stp/>
        <stp>BDS|7704790516125376923</stp>
        <tr r="JU5" s="48"/>
      </tp>
      <tp t="e">
        <v>#N/A</v>
        <stp/>
        <stp>BDS|7459047027798606080</stp>
        <tr r="FT5" s="97"/>
      </tp>
      <tp t="e">
        <v>#N/A</v>
        <stp/>
        <stp>BDS|8925626272491318534</stp>
        <tr r="DG5" s="33"/>
      </tp>
      <tp t="e">
        <v>#N/A</v>
        <stp/>
        <stp>BDS|2661406307483057884</stp>
        <tr r="LX5" s="32"/>
      </tp>
      <tp t="e">
        <v>#N/A</v>
        <stp/>
        <stp>BDS|6542218357029425595</stp>
        <tr r="MH5" s="65"/>
      </tp>
      <tp t="e">
        <v>#N/A</v>
        <stp/>
        <stp>BDS|8033359829763068723</stp>
        <tr r="HC5" s="15"/>
      </tp>
      <tp t="e">
        <v>#N/A</v>
        <stp/>
        <stp>BDS|7056549879529451174</stp>
        <tr r="AE5" s="112"/>
      </tp>
      <tp t="e">
        <v>#N/A</v>
        <stp/>
        <stp>BDS|2753201889122952799</stp>
        <tr r="GI5" s="22"/>
      </tp>
      <tp t="e">
        <v>#N/A</v>
        <stp/>
        <stp>BDS|4172542817978979555</stp>
        <tr r="HR5" s="74"/>
      </tp>
      <tp t="e">
        <v>#N/A</v>
        <stp/>
        <stp>BDS|4483472290574853054</stp>
        <tr r="CC5" s="85"/>
      </tp>
      <tp t="e">
        <v>#N/A</v>
        <stp/>
        <stp>BDS|4087030726002932925</stp>
        <tr r="NL5" s="1"/>
      </tp>
      <tp t="e">
        <v>#N/A</v>
        <stp/>
        <stp>BDS|8482693922292469353</stp>
        <tr r="GI5" s="53"/>
      </tp>
      <tp t="e">
        <v>#N/A</v>
        <stp/>
        <stp>BDS|2853901637115208038</stp>
        <tr r="NG5" s="70"/>
      </tp>
      <tp t="e">
        <v>#N/A</v>
        <stp/>
        <stp>BDS|3237361471219226390</stp>
        <tr r="JF5" s="110"/>
      </tp>
      <tp t="e">
        <v>#N/A</v>
        <stp/>
        <stp>BDS|8194279769747369621</stp>
        <tr r="DL5" s="123"/>
      </tp>
      <tp t="e">
        <v>#N/A</v>
        <stp/>
        <stp>BDS|4870407828357827861</stp>
        <tr r="MR5" s="39"/>
      </tp>
      <tp t="e">
        <v>#N/A</v>
        <stp/>
        <stp>BDS|8499805917539596586</stp>
        <tr r="A5" s="83"/>
      </tp>
      <tp t="e">
        <v>#N/A</v>
        <stp/>
        <stp>BDS|7627035873158877507</stp>
        <tr r="P5" s="107"/>
      </tp>
      <tp t="e">
        <v>#N/A</v>
        <stp/>
        <stp>BDS|2944852564303459227</stp>
        <tr r="FT5" s="71"/>
      </tp>
      <tp t="e">
        <v>#N/A</v>
        <stp/>
        <stp>BDS|7720037494594844760</stp>
        <tr r="CM5" s="91"/>
      </tp>
      <tp t="e">
        <v>#N/A</v>
        <stp/>
        <stp>BDS|2865353725257179975</stp>
        <tr r="FE5" s="63"/>
      </tp>
      <tp t="e">
        <v>#N/A</v>
        <stp/>
        <stp>BDS|8962403416139280927</stp>
        <tr r="BI5" s="44"/>
      </tp>
      <tp t="e">
        <v>#N/A</v>
        <stp/>
        <stp>BDS|8611343938690485513</stp>
        <tr r="FY5" s="32"/>
      </tp>
      <tp t="e">
        <v>#N/A</v>
        <stp/>
        <stp>BDS|1852465031219685266</stp>
        <tr r="U5" s="93"/>
      </tp>
      <tp t="e">
        <v>#N/A</v>
        <stp/>
        <stp>BDS|2791025250188233282</stp>
        <tr r="AE5" s="13"/>
      </tp>
      <tp t="e">
        <v>#N/A</v>
        <stp/>
        <stp>BDS|7834569526095463830</stp>
        <tr r="IG5" s="51"/>
      </tp>
      <tp t="e">
        <v>#N/A</v>
        <stp/>
        <stp>BDS|6989960876157353251</stp>
        <tr r="LS5" s="48"/>
      </tp>
      <tp t="e">
        <v>#N/A</v>
        <stp/>
        <stp>BDS|5013530570019896345</stp>
        <tr r="MH5" s="18"/>
      </tp>
      <tp t="e">
        <v>#N/A</v>
        <stp/>
        <stp>BDS|2648994978751020087</stp>
        <tr r="MH5" s="24"/>
      </tp>
      <tp t="e">
        <v>#N/A</v>
        <stp/>
        <stp>BDS|3214863649406523474</stp>
        <tr r="DL5" s="47"/>
      </tp>
      <tp t="e">
        <v>#N/A</v>
        <stp/>
        <stp>BDS|3620095983623318501</stp>
        <tr r="FJ5" s="10"/>
      </tp>
      <tp t="e">
        <v>#N/A</v>
        <stp/>
        <stp>BDS|3577957328041307446</stp>
        <tr r="FT5" s="9"/>
      </tp>
      <tp t="e">
        <v>#N/A</v>
        <stp/>
        <stp>BDS|1209594277247492979</stp>
        <tr r="EZ5" s="110"/>
      </tp>
      <tp t="e">
        <v>#N/A</v>
        <stp/>
        <stp>BDS|1348170707195551897</stp>
        <tr r="KE5" s="99"/>
      </tp>
      <tp t="e">
        <v>#N/A</v>
        <stp/>
        <stp>BDS|8302700737186801736</stp>
        <tr r="AE5" s="21"/>
      </tp>
      <tp t="e">
        <v>#N/A</v>
        <stp/>
        <stp>BDS|5059340578474127827</stp>
        <tr r="HH5" s="50"/>
        <tr r="OF5" s="45"/>
      </tp>
      <tp t="e">
        <v>#N/A</v>
        <stp/>
        <stp>BDS|2164888133992172645</stp>
        <tr r="CR5" s="45"/>
      </tp>
      <tp t="e">
        <v>#N/A</v>
        <stp/>
        <stp>BDS|4881288999192049060</stp>
        <tr r="MC5" s="51"/>
      </tp>
      <tp t="e">
        <v>#N/A</v>
        <stp/>
        <stp>BDS|1436099897977085261</stp>
        <tr r="MR5" s="84"/>
      </tp>
      <tp t="e">
        <v>#N/A</v>
        <stp/>
        <stp>BDS|7697644880267900374</stp>
        <tr r="GD5" s="25"/>
      </tp>
      <tp t="e">
        <v>#N/A</v>
        <stp/>
        <stp>BDS|4795332438628058106</stp>
        <tr r="EA5" s="37"/>
      </tp>
      <tp t="e">
        <v>#N/A</v>
        <stp/>
        <stp>BDS|4604089616149130154</stp>
        <tr r="GI5" s="29"/>
      </tp>
      <tp t="e">
        <v>#N/A</v>
        <stp/>
        <stp>BDS|5474200995846895559</stp>
        <tr r="HM5" s="30"/>
      </tp>
      <tp t="e">
        <v>#N/A</v>
        <stp/>
        <stp>BDS|6366446755729656380</stp>
        <tr r="DV5" s="67"/>
      </tp>
      <tp t="e">
        <v>#N/A</v>
        <stp/>
        <stp>BDS|2063287375939394323</stp>
        <tr r="EA5" s="122"/>
      </tp>
      <tp t="e">
        <v>#N/A</v>
        <stp/>
        <stp>BDS|8195960019954461966</stp>
        <tr r="F5" s="51"/>
      </tp>
      <tp t="e">
        <v>#N/A</v>
        <stp/>
        <stp>BDS|8318878081827938202</stp>
        <tr r="HW5" s="93"/>
      </tp>
      <tp t="e">
        <v>#N/A</v>
        <stp/>
        <stp>BDS|5802446503344310804</stp>
        <tr r="DL5" s="17"/>
      </tp>
      <tp t="e">
        <v>#N/A</v>
        <stp/>
        <stp>BDS|1937444883127267701</stp>
        <tr r="EP5" s="23"/>
      </tp>
      <tp t="e">
        <v>#N/A</v>
        <stp/>
        <stp>BDS|1034361126888492585</stp>
        <tr r="MR5" s="47"/>
      </tp>
      <tp t="e">
        <v>#N/A</v>
        <stp/>
        <stp>BDS|8660726237486875775</stp>
        <tr r="EF5" s="117"/>
      </tp>
      <tp t="e">
        <v>#N/A</v>
        <stp/>
        <stp>BDS|5683014329918237201</stp>
        <tr r="JP5" s="89"/>
      </tp>
      <tp t="e">
        <v>#N/A</v>
        <stp/>
        <stp>BDS|1744180282056941384</stp>
        <tr r="BS5" s="48"/>
      </tp>
      <tp t="e">
        <v>#N/A</v>
        <stp/>
        <stp>BDS|7173579994901968774</stp>
        <tr r="JU5" s="20"/>
      </tp>
      <tp t="e">
        <v>#N/A</v>
        <stp/>
        <stp>BDS|3252938520560900552</stp>
        <tr r="NQ5" s="81"/>
      </tp>
      <tp t="e">
        <v>#N/A</v>
        <stp/>
        <stp>BDS|8989347662085746550</stp>
        <tr r="MR5" s="23"/>
      </tp>
      <tp t="e">
        <v>#N/A</v>
        <stp/>
        <stp>BDS|5998900873400721606</stp>
        <tr r="GN5" s="107"/>
      </tp>
      <tp t="e">
        <v>#N/A</v>
        <stp/>
        <stp>BDS|3749414490805227693</stp>
        <tr r="BN5" s="114"/>
      </tp>
      <tp t="e">
        <v>#N/A</v>
        <stp/>
        <stp>BDS|3199613806059219197</stp>
        <tr r="MW5" s="55"/>
      </tp>
      <tp t="e">
        <v>#N/A</v>
        <stp/>
        <stp>BDS|3844808030004076156</stp>
        <tr r="NG5" s="30"/>
      </tp>
      <tp t="e">
        <v>#N/A</v>
        <stp/>
        <stp>BDS|2728899656583345167</stp>
        <tr r="BS5" s="44"/>
      </tp>
      <tp t="e">
        <v>#N/A</v>
        <stp/>
        <stp>BDS|8440622435256640682</stp>
        <tr r="JA5" s="51"/>
      </tp>
      <tp t="e">
        <v>#N/A</v>
        <stp/>
        <stp>BDS|1446820484798703481</stp>
        <tr r="CC5" s="100"/>
      </tp>
      <tp t="e">
        <v>#N/A</v>
        <stp/>
        <stp>BDS|3436102818126956887</stp>
        <tr r="FJ5" s="74"/>
      </tp>
      <tp t="e">
        <v>#N/A</v>
        <stp/>
        <stp>BDS|5587900473834294298</stp>
        <tr r="F5" s="53"/>
      </tp>
      <tp t="e">
        <v>#N/A</v>
        <stp/>
        <stp>BDS|2765008164801804867</stp>
        <tr r="IQ5" s="119"/>
      </tp>
      <tp t="e">
        <v>#N/A</v>
        <stp/>
        <stp>BDS|8453085601617704277</stp>
        <tr r="IG5" s="8"/>
      </tp>
      <tp t="e">
        <v>#N/A</v>
        <stp/>
        <stp>BDS|8572058098534094855</stp>
        <tr r="KJ5" s="96"/>
      </tp>
      <tp t="e">
        <v>#N/A</v>
        <stp/>
        <stp>BDS|7014931357285178383</stp>
        <tr r="P5" s="8"/>
      </tp>
      <tp t="e">
        <v>#N/A</v>
        <stp/>
        <stp>BDS|6952863186609461201</stp>
        <tr r="NQ5" s="65"/>
      </tp>
      <tp t="e">
        <v>#N/A</v>
        <stp/>
        <stp>BDS|1991401836783590872</stp>
        <tr r="Z5" s="83"/>
      </tp>
      <tp t="e">
        <v>#N/A</v>
        <stp/>
        <stp>BDS|4737969394491307844</stp>
        <tr r="EP5" s="106"/>
      </tp>
      <tp t="e">
        <v>#N/A</v>
        <stp/>
        <stp>BDS|2936099160211463865</stp>
        <tr r="BI5" s="15"/>
      </tp>
      <tp t="e">
        <v>#N/A</v>
        <stp/>
        <stp>BDS|8186036971831154308</stp>
        <tr r="JA5" s="98"/>
      </tp>
      <tp t="e">
        <v>#N/A</v>
        <stp/>
        <stp>BDS|1939908249297141635</stp>
        <tr r="KO5" s="20"/>
      </tp>
      <tp t="e">
        <v>#N/A</v>
        <stp/>
        <stp>BDS|1783320577319602165</stp>
        <tr r="P5" s="4"/>
      </tp>
      <tp t="e">
        <v>#N/A</v>
        <stp/>
        <stp>BDS|5346990381419991007</stp>
        <tr r="CM5" s="24"/>
      </tp>
      <tp t="e">
        <v>#N/A</v>
        <stp/>
        <stp>BDS|5357476081612131668</stp>
        <tr r="IG5" s="42"/>
      </tp>
      <tp t="e">
        <v>#N/A</v>
        <stp/>
        <stp>BDS|5384839420836453462</stp>
        <tr r="LX5" s="62"/>
      </tp>
      <tp t="e">
        <v>#N/A</v>
        <stp/>
        <stp>BDS|9559640364060180463</stp>
        <tr r="KO5" s="8"/>
      </tp>
      <tp t="e">
        <v>#N/A</v>
        <stp/>
        <stp>BDS|7611668227089032754</stp>
        <tr r="BD5" s="87"/>
      </tp>
      <tp t="e">
        <v>#N/A</v>
        <stp/>
        <stp>BDS|7690126560264500932</stp>
        <tr r="AE5" s="45"/>
      </tp>
      <tp t="e">
        <v>#N/A</v>
        <stp/>
        <stp>BDS|8415500565973750540</stp>
        <tr r="JP5" s="101"/>
      </tp>
      <tp t="e">
        <v>#N/A</v>
        <stp/>
        <stp>BDS|8479708075117656256</stp>
        <tr r="EP5" s="73"/>
      </tp>
      <tp t="e">
        <v>#N/A</v>
        <stp/>
        <stp>BDS|4822434476553747984</stp>
        <tr r="GX5" s="30"/>
      </tp>
      <tp t="e">
        <v>#N/A</v>
        <stp/>
        <stp>BDS|7611562108587379892</stp>
        <tr r="AY5" s="34"/>
      </tp>
      <tp t="e">
        <v>#N/A</v>
        <stp/>
        <stp>BDS|4578872075223405514</stp>
        <tr r="CM5" s="19"/>
      </tp>
      <tp t="e">
        <v>#N/A</v>
        <stp/>
        <stp>BDS|4978923663482231483</stp>
        <tr r="CC5" s="80"/>
      </tp>
      <tp t="e">
        <v>#N/A</v>
        <stp/>
        <stp>BDS|3417454775708775513</stp>
        <tr r="HW5" s="64"/>
      </tp>
      <tp t="e">
        <v>#N/A</v>
        <stp/>
        <stp>BDS|1548370045053336861</stp>
        <tr r="HR5" s="109"/>
      </tp>
      <tp t="e">
        <v>#N/A</v>
        <stp/>
        <stp>BDS|7752468586667795125</stp>
        <tr r="OA5" s="69"/>
      </tp>
      <tp t="e">
        <v>#N/A</v>
        <stp/>
        <stp>BDS|3290140385104094315</stp>
        <tr r="JK5" s="124"/>
      </tp>
      <tp t="e">
        <v>#N/A</v>
        <stp/>
        <stp>BDS|9076001638827231097</stp>
        <tr r="LS5" s="98"/>
      </tp>
      <tp t="e">
        <v>#N/A</v>
        <stp/>
        <stp>BDS|2280603890726764662</stp>
        <tr r="JA5" s="104"/>
      </tp>
      <tp t="e">
        <v>#N/A</v>
        <stp/>
        <stp>BDS|5794711475188679067</stp>
        <tr r="MH5" s="91"/>
      </tp>
      <tp t="e">
        <v>#N/A</v>
        <stp/>
        <stp>BDS|4796589533736662998</stp>
        <tr r="MW5" s="109"/>
      </tp>
      <tp t="e">
        <v>#N/A</v>
        <stp/>
        <stp>BDS|6600668567448454307</stp>
        <tr r="JU5" s="27"/>
      </tp>
      <tp t="e">
        <v>#N/A</v>
        <stp/>
        <stp>BDS|4053544526886359820</stp>
        <tr r="K5" s="108"/>
      </tp>
      <tp t="e">
        <v>#N/A</v>
        <stp/>
        <stp>BDS|8598167683144527860</stp>
        <tr r="FJ5" s="6"/>
      </tp>
      <tp t="e">
        <v>#N/A</v>
        <stp/>
        <stp>BDS|7472794943690440993</stp>
        <tr r="BD5" s="78"/>
      </tp>
      <tp t="e">
        <v>#N/A</v>
        <stp/>
        <stp>BDS|4325148785213235338</stp>
        <tr r="GI5" s="61"/>
      </tp>
      <tp t="e">
        <v>#N/A</v>
        <stp/>
        <stp>BDS|2121514143418104613</stp>
        <tr r="EP5" s="123"/>
      </tp>
      <tp t="e">
        <v>#N/A</v>
        <stp/>
        <stp>BDS|5417657989387840130</stp>
        <tr r="NQ5" s="45"/>
      </tp>
      <tp t="e">
        <v>#N/A</v>
        <stp/>
        <stp>BDS|1707366127718235573</stp>
        <tr r="BD5" s="92"/>
      </tp>
      <tp t="e">
        <v>#N/A</v>
        <stp/>
        <stp>BDS|8473490332247404583</stp>
        <tr r="EP5" s="34"/>
      </tp>
      <tp t="e">
        <v>#N/A</v>
        <stp/>
        <stp>BDS|5027282509352016824</stp>
        <tr r="LI5" s="118"/>
      </tp>
      <tp t="e">
        <v>#N/A</v>
        <stp/>
        <stp>BDS|8462800447270108910</stp>
        <tr r="NL5" s="46"/>
      </tp>
      <tp t="e">
        <v>#N/A</v>
        <stp/>
        <stp>BDS|9353888689037402358</stp>
        <tr r="F5" s="38"/>
        <tr r="OF5" s="37"/>
      </tp>
      <tp t="e">
        <v>#N/A</v>
        <stp/>
        <stp>BDS|6380040150326660817</stp>
        <tr r="BX5" s="105"/>
      </tp>
      <tp t="e">
        <v>#N/A</v>
        <stp/>
        <stp>BDS|4894776371769741094</stp>
        <tr r="NB5" s="75"/>
      </tp>
      <tp t="e">
        <v>#N/A</v>
        <stp/>
        <stp>BDS|8262981919485524868</stp>
        <tr r="BX5" s="50"/>
      </tp>
      <tp t="e">
        <v>#N/A</v>
        <stp/>
        <stp>BDS|7015209787662106260</stp>
        <tr r="LI5" s="2"/>
      </tp>
      <tp t="e">
        <v>#N/A</v>
        <stp/>
        <stp>BDS|6153508487782446422</stp>
        <tr r="NB5" s="108"/>
      </tp>
      <tp t="e">
        <v>#N/A</v>
        <stp/>
        <stp>BDS|5067313532988246015</stp>
        <tr r="GX5" s="19"/>
      </tp>
      <tp t="e">
        <v>#N/A</v>
        <stp/>
        <stp>BDS|5553942331203059102</stp>
        <tr r="JU5" s="85"/>
      </tp>
      <tp t="e">
        <v>#N/A</v>
        <stp/>
        <stp>BDS|9164404111319669864</stp>
        <tr r="LN5" s="30"/>
      </tp>
      <tp t="e">
        <v>#N/A</v>
        <stp/>
        <stp>BDS|9001096249115169512</stp>
        <tr r="FO5" s="37"/>
      </tp>
      <tp t="e">
        <v>#N/A</v>
        <stp/>
        <stp>BDS|8602100149356943666</stp>
        <tr r="NL5" s="117"/>
      </tp>
      <tp t="e">
        <v>#N/A</v>
        <stp/>
        <stp>BDS|7476256521472669862</stp>
        <tr r="FY5" s="48"/>
      </tp>
      <tp t="e">
        <v>#N/A</v>
        <stp/>
        <stp>BDS|4121365882215731727</stp>
        <tr r="JA5" s="18"/>
      </tp>
      <tp t="e">
        <v>#N/A</v>
        <stp/>
        <stp>BDS|9810428539350086334</stp>
        <tr r="IB5" s="87"/>
      </tp>
      <tp t="e">
        <v>#N/A</v>
        <stp/>
        <stp>BDS|3602706590605457523</stp>
        <tr r="P5" s="58"/>
      </tp>
      <tp t="e">
        <v>#N/A</v>
        <stp/>
        <stp>BDS|6539620739748675685</stp>
        <tr r="K5" s="24"/>
      </tp>
      <tp t="e">
        <v>#N/A</v>
        <stp/>
        <stp>BDS|2001375042528537004</stp>
        <tr r="EU5" s="94"/>
      </tp>
      <tp t="e">
        <v>#N/A</v>
        <stp/>
        <stp>BDS|5200510000388323506</stp>
        <tr r="BS5" s="40"/>
      </tp>
      <tp t="e">
        <v>#N/A</v>
        <stp/>
        <stp>BDS|5507986110056926640</stp>
        <tr r="IL5" s="79"/>
      </tp>
      <tp t="e">
        <v>#N/A</v>
        <stp/>
        <stp>BDS|8443430253967430314</stp>
        <tr r="KT5" s="81"/>
      </tp>
      <tp t="e">
        <v>#N/A</v>
        <stp/>
        <stp>BDS|8961384395128119748</stp>
        <tr r="K5" s="101"/>
      </tp>
      <tp t="e">
        <v>#N/A</v>
        <stp/>
        <stp>BDS|9565366071942116223</stp>
        <tr r="GX5" s="41"/>
      </tp>
      <tp t="e">
        <v>#N/A</v>
        <stp/>
        <stp>BDS|6585013894086526441</stp>
        <tr r="LI5" s="7"/>
      </tp>
      <tp t="e">
        <v>#N/A</v>
        <stp/>
        <stp>BDS|4268552694453512679</stp>
        <tr r="HM5" s="97"/>
      </tp>
      <tp t="e">
        <v>#N/A</v>
        <stp/>
        <stp>BDS|9481644672771124420</stp>
        <tr r="BS5" s="57"/>
      </tp>
      <tp t="e">
        <v>#N/A</v>
        <stp/>
        <stp>BDS|1992566007308865113</stp>
        <tr r="DL5" s="81"/>
      </tp>
      <tp t="e">
        <v>#N/A</v>
        <stp/>
        <stp>BDS|4699947006118579806</stp>
        <tr r="EP5" s="122"/>
      </tp>
      <tp t="e">
        <v>#N/A</v>
        <stp/>
        <stp>BDS|8901518007724959476</stp>
        <tr r="BI5" s="19"/>
      </tp>
      <tp t="e">
        <v>#N/A</v>
        <stp/>
        <stp>BDS|1329765906902714952</stp>
        <tr r="HW5" s="82"/>
      </tp>
      <tp t="e">
        <v>#N/A</v>
        <stp/>
        <stp>BDS|1261185498040286419</stp>
        <tr r="FO5" s="3"/>
      </tp>
      <tp t="e">
        <v>#N/A</v>
        <stp/>
        <stp>BDS|7572745780653117617</stp>
        <tr r="JP5" s="68"/>
      </tp>
      <tp t="e">
        <v>#N/A</v>
        <stp/>
        <stp>BDS|3166055947462223807</stp>
        <tr r="AJ5" s="122"/>
      </tp>
      <tp t="e">
        <v>#N/A</v>
        <stp/>
        <stp>BDS|2806231776229933353</stp>
        <tr r="BD5" s="83"/>
      </tp>
      <tp t="e">
        <v>#N/A</v>
        <stp/>
        <stp>BDS|9769581869447655015</stp>
        <tr r="FE5" s="73"/>
      </tp>
      <tp t="e">
        <v>#N/A</v>
        <stp/>
        <stp>BDS|5739902821301503221</stp>
        <tr r="CM5" s="105"/>
      </tp>
      <tp t="e">
        <v>#N/A</v>
        <stp/>
        <stp>BDS|7708922590488723235</stp>
        <tr r="MM5" s="123"/>
      </tp>
      <tp t="e">
        <v>#N/A</v>
        <stp/>
        <stp>BDS|6808096062425256806</stp>
        <tr r="OF5" s="26"/>
      </tp>
      <tp t="e">
        <v>#N/A</v>
        <stp/>
        <stp>BDS|8253674125665009416</stp>
        <tr r="KO5" s="72"/>
      </tp>
      <tp t="e">
        <v>#N/A</v>
        <stp/>
        <stp>BDS|1536624109343919964</stp>
        <tr r="NB5" s="38"/>
      </tp>
      <tp t="e">
        <v>#N/A</v>
        <stp/>
        <stp>BDS|7980638284502647696</stp>
        <tr r="DL5" s="125"/>
      </tp>
      <tp t="e">
        <v>#N/A</v>
        <stp/>
        <stp>BDS|7038848868753922749</stp>
        <tr r="HC5" s="59"/>
      </tp>
      <tp t="e">
        <v>#N/A</v>
        <stp/>
        <stp>BDS|9200563159117813344</stp>
        <tr r="HR5" s="42"/>
      </tp>
      <tp t="e">
        <v>#N/A</v>
        <stp/>
        <stp>BDS|7213411182271134714</stp>
        <tr r="MH5" s="8"/>
      </tp>
      <tp t="e">
        <v>#N/A</v>
        <stp/>
        <stp>BDS|5603608640419764370</stp>
        <tr r="P5" s="57"/>
      </tp>
      <tp t="e">
        <v>#N/A</v>
        <stp/>
        <stp>BDS|3993157783553018490</stp>
        <tr r="BX5" s="100"/>
      </tp>
      <tp t="e">
        <v>#N/A</v>
        <stp/>
        <stp>BDS|5531551185620273518</stp>
        <tr r="AE5" s="85"/>
      </tp>
      <tp t="e">
        <v>#N/A</v>
        <stp/>
        <stp>BDS|5576178381568242976</stp>
        <tr r="HH5" s="9"/>
      </tp>
      <tp t="e">
        <v>#N/A</v>
        <stp/>
        <stp>BDS|7805028874724836902</stp>
        <tr r="NQ5" s="68"/>
      </tp>
      <tp t="e">
        <v>#N/A</v>
        <stp/>
        <stp>BDS|6515834539873176385</stp>
        <tr r="P5" s="121"/>
      </tp>
      <tp t="e">
        <v>#N/A</v>
        <stp/>
        <stp>BDS|6147996548852468420</stp>
        <tr r="JF5" s="76"/>
      </tp>
      <tp t="e">
        <v>#N/A</v>
        <stp/>
        <stp>BDS|9619946814019238528</stp>
        <tr r="MM5" s="119"/>
      </tp>
      <tp t="e">
        <v>#N/A</v>
        <stp/>
        <stp>BDS|1364740799021830308</stp>
        <tr r="K5" s="91"/>
      </tp>
      <tp t="e">
        <v>#N/A</v>
        <stp/>
        <stp>BDS|5265285646079288786</stp>
        <tr r="CH5" s="6"/>
      </tp>
      <tp t="e">
        <v>#N/A</v>
        <stp/>
        <stp>BDS|6173973597919763209</stp>
        <tr r="LN5" s="100"/>
      </tp>
      <tp t="e">
        <v>#N/A</v>
        <stp/>
        <stp>BDS|2174738193833346241</stp>
        <tr r="LD5" s="95"/>
      </tp>
      <tp t="e">
        <v>#N/A</v>
        <stp/>
        <stp>BDS|6305224595659261904</stp>
        <tr r="GN5" s="123"/>
      </tp>
      <tp t="e">
        <v>#N/A</v>
        <stp/>
        <stp>BDS|5927276426418757095</stp>
        <tr r="GN5" s="51"/>
      </tp>
      <tp t="e">
        <v>#N/A</v>
        <stp/>
        <stp>BDS|8487320159597049499</stp>
        <tr r="CC5" s="115"/>
      </tp>
      <tp t="e">
        <v>#N/A</v>
        <stp/>
        <stp>BDS|4747394835981890850</stp>
        <tr r="KO5" s="86"/>
      </tp>
      <tp t="e">
        <v>#N/A</v>
        <stp/>
        <stp>BDS|1243011182301389549</stp>
        <tr r="LD5" s="38"/>
      </tp>
      <tp t="e">
        <v>#N/A</v>
        <stp/>
        <stp>BDS|7104835084179879387</stp>
        <tr r="HR5" s="87"/>
      </tp>
      <tp t="e">
        <v>#N/A</v>
        <stp/>
        <stp>BDS|4562589969279712359</stp>
        <tr r="MC5" s="94"/>
      </tp>
      <tp t="e">
        <v>#N/A</v>
        <stp/>
        <stp>BDS|7134955921360212111</stp>
        <tr r="NQ5" s="75"/>
      </tp>
      <tp t="e">
        <v>#N/A</v>
        <stp/>
        <stp>BDS|2817813427591860404</stp>
        <tr r="OF5" s="58"/>
      </tp>
      <tp t="e">
        <v>#N/A</v>
        <stp/>
        <stp>BDS|1593973023751153672</stp>
        <tr r="CR5" s="34"/>
      </tp>
      <tp t="e">
        <v>#N/A</v>
        <stp/>
        <stp>BDS|5970699459113844861</stp>
        <tr r="DG5" s="78"/>
      </tp>
      <tp t="e">
        <v>#N/A</v>
        <stp/>
        <stp>BDS|8782451933065108772</stp>
        <tr r="HW5" s="38"/>
      </tp>
      <tp t="e">
        <v>#N/A</v>
        <stp/>
        <stp>BDS|5346574782404886194</stp>
        <tr r="AE5" s="103"/>
      </tp>
      <tp t="e">
        <v>#N/A</v>
        <stp/>
        <stp>BDS|4836486867878644361</stp>
        <tr r="HC5" s="40"/>
      </tp>
      <tp t="e">
        <v>#N/A</v>
        <stp/>
        <stp>BDS|2262929037264749170</stp>
        <tr r="GN5" s="4"/>
      </tp>
      <tp t="e">
        <v>#N/A</v>
        <stp/>
        <stp>BDS|1778338457202344870</stp>
        <tr r="HR5" s="64"/>
      </tp>
      <tp t="e">
        <v>#N/A</v>
        <stp/>
        <stp>BDS|7304195676169985522</stp>
        <tr r="BX5" s="119"/>
      </tp>
      <tp t="e">
        <v>#N/A</v>
        <stp/>
        <stp>BDS|2102695588602643318</stp>
        <tr r="BI5" s="104"/>
      </tp>
      <tp t="e">
        <v>#N/A</v>
        <stp/>
        <stp>BDS|7724838008997966528</stp>
        <tr r="JZ5" s="24"/>
      </tp>
      <tp t="e">
        <v>#N/A</v>
        <stp/>
        <stp>BDS|5012647993716901193</stp>
        <tr r="KE5" s="47"/>
      </tp>
      <tp t="e">
        <v>#N/A</v>
        <stp/>
        <stp>BDS|9072163832584447275</stp>
        <tr r="HW5" s="63"/>
      </tp>
      <tp t="e">
        <v>#N/A</v>
        <stp/>
        <stp>BDS|4942650955762603882</stp>
        <tr r="BS5" s="62"/>
      </tp>
      <tp t="e">
        <v>#N/A</v>
        <stp/>
        <stp>BDS|3734029867511702929</stp>
        <tr r="HM5" s="93"/>
      </tp>
      <tp t="e">
        <v>#N/A</v>
        <stp/>
        <stp>BDS|5023406523557211967</stp>
        <tr r="HC5" s="78"/>
      </tp>
      <tp t="e">
        <v>#N/A</v>
        <stp/>
        <stp>BDS|3433722609869949019</stp>
        <tr r="BI5" s="79"/>
      </tp>
      <tp t="e">
        <v>#N/A</v>
        <stp/>
        <stp>BDS|3632190659738484259</stp>
        <tr r="EP5" s="70"/>
      </tp>
      <tp t="e">
        <v>#N/A</v>
        <stp/>
        <stp>BDS|1481499906110434886</stp>
        <tr r="FJ5" s="39"/>
      </tp>
      <tp t="e">
        <v>#N/A</v>
        <stp/>
        <stp>BDS|8745958892464683115</stp>
        <tr r="GS5" s="47"/>
      </tp>
      <tp t="e">
        <v>#N/A</v>
        <stp/>
        <stp>BDS|1688801521625309305</stp>
        <tr r="CH5" s="21"/>
      </tp>
      <tp t="e">
        <v>#N/A</v>
        <stp/>
        <stp>BDS|8698509655815343046</stp>
        <tr r="NV5" s="120"/>
      </tp>
      <tp t="e">
        <v>#N/A</v>
        <stp/>
        <stp>BDS|9431151633873458524</stp>
        <tr r="CC5" s="63"/>
      </tp>
      <tp t="e">
        <v>#N/A</v>
        <stp/>
        <stp>BDS|1383107294183606756</stp>
        <tr r="OF5" s="107"/>
      </tp>
      <tp t="e">
        <v>#N/A</v>
        <stp/>
        <stp>BDS|1783064953029078062</stp>
        <tr r="NV5" s="121"/>
      </tp>
      <tp t="e">
        <v>#N/A</v>
        <stp/>
        <stp>BDS|4558312271939008411</stp>
        <tr r="NL5" s="15"/>
      </tp>
      <tp t="e">
        <v>#N/A</v>
        <stp/>
        <stp>BDS|7667359750995498930</stp>
        <tr r="NL5" s="31"/>
      </tp>
      <tp t="e">
        <v>#N/A</v>
        <stp/>
        <stp>BDS|7905094096315207608</stp>
        <tr r="DL5" s="92"/>
      </tp>
      <tp t="e">
        <v>#N/A</v>
        <stp/>
        <stp>BDS|7139863427733095342</stp>
        <tr r="NB5" s="71"/>
      </tp>
      <tp t="e">
        <v>#N/A</v>
        <stp/>
        <stp>BDS|8540037442637584650</stp>
        <tr r="Z5" s="22"/>
      </tp>
      <tp t="e">
        <v>#N/A</v>
        <stp/>
        <stp>BDS|9309089413901445489</stp>
        <tr r="GN5" s="98"/>
      </tp>
      <tp t="e">
        <v>#N/A</v>
        <stp/>
        <stp>BDS|4043858119695152592</stp>
        <tr r="KE5" s="53"/>
      </tp>
      <tp t="e">
        <v>#N/A</v>
        <stp/>
        <stp>BDS|6460184585096599488</stp>
        <tr r="AT5" s="98"/>
      </tp>
      <tp t="e">
        <v>#N/A</v>
        <stp/>
        <stp>BDS|3897104640592492982</stp>
        <tr r="IQ5" s="22"/>
      </tp>
      <tp t="e">
        <v>#N/A</v>
        <stp/>
        <stp>BDS|7891880630383287263</stp>
        <tr r="OA5" s="81"/>
      </tp>
      <tp t="e">
        <v>#N/A</v>
        <stp/>
        <stp>BDS|1626493305058964071</stp>
        <tr r="HW5" s="33"/>
      </tp>
      <tp t="e">
        <v>#N/A</v>
        <stp/>
        <stp>BDS|6688610921759101639</stp>
        <tr r="EU5" s="40"/>
      </tp>
      <tp t="e">
        <v>#N/A</v>
        <stp/>
        <stp>BDS|8826610073744633080</stp>
        <tr r="NL5" s="61"/>
      </tp>
      <tp t="e">
        <v>#N/A</v>
        <stp/>
        <stp>BDS|2640454346569978685</stp>
        <tr r="LD5" s="101"/>
      </tp>
      <tp t="e">
        <v>#N/A</v>
        <stp/>
        <stp>BDS|4410762071049530024</stp>
        <tr r="MW5" s="51"/>
      </tp>
      <tp t="e">
        <v>#N/A</v>
        <stp/>
        <stp>BDS|5085049464949793734</stp>
        <tr r="DG5" s="45"/>
      </tp>
      <tp t="e">
        <v>#N/A</v>
        <stp/>
        <stp>BDS|5743234750897341839</stp>
        <tr r="JZ5" s="104"/>
      </tp>
      <tp t="e">
        <v>#N/A</v>
        <stp/>
        <stp>BDS|7787630230398783776</stp>
        <tr r="FO5" s="46"/>
      </tp>
      <tp t="e">
        <v>#N/A</v>
        <stp/>
        <stp>BDS|8801611948045687223</stp>
        <tr r="MM5" s="15"/>
      </tp>
      <tp t="e">
        <v>#N/A</v>
        <stp/>
        <stp>BDS|8124453163857306012</stp>
        <tr r="U5" s="26"/>
      </tp>
      <tp t="e">
        <v>#N/A</v>
        <stp/>
        <stp>BDS|4994801760661562693</stp>
        <tr r="A5" s="116"/>
      </tp>
      <tp t="e">
        <v>#N/A</v>
        <stp/>
        <stp>BDS|5648587031958240685</stp>
        <tr r="NG5" s="98"/>
      </tp>
      <tp t="e">
        <v>#N/A</v>
        <stp/>
        <stp>BDS|8635404252762285630</stp>
        <tr r="HC5" s="24"/>
      </tp>
      <tp t="e">
        <v>#N/A</v>
        <stp/>
        <stp>BDS|3112895326381299596</stp>
        <tr r="KO5" s="122"/>
      </tp>
      <tp t="e">
        <v>#N/A</v>
        <stp/>
        <stp>BDS|2903063219536104828</stp>
        <tr r="MR5" s="103"/>
      </tp>
      <tp t="e">
        <v>#N/A</v>
        <stp/>
        <stp>BDS|3230941444526503528</stp>
        <tr r="AJ5" s="61"/>
      </tp>
      <tp t="e">
        <v>#N/A</v>
        <stp/>
        <stp>BDS|1799721696614369657</stp>
        <tr r="KO5" s="19"/>
      </tp>
      <tp t="e">
        <v>#N/A</v>
        <stp/>
        <stp>BDS|7415499283732256495</stp>
        <tr r="LN5" s="79"/>
      </tp>
      <tp t="e">
        <v>#N/A</v>
        <stp/>
        <stp>BDS|2545815785149085647</stp>
        <tr r="DQ5" s="5"/>
      </tp>
      <tp t="e">
        <v>#N/A</v>
        <stp/>
        <stp>BDS|9928207233102921769</stp>
        <tr r="OF5" s="72"/>
      </tp>
      <tp t="e">
        <v>#N/A</v>
        <stp/>
        <stp>BDS|2848536033371496894</stp>
        <tr r="EU5" s="117"/>
      </tp>
      <tp t="e">
        <v>#N/A</v>
        <stp/>
        <stp>BDS|4051180284570058095</stp>
        <tr r="AT5" s="120"/>
      </tp>
      <tp t="e">
        <v>#N/A</v>
        <stp/>
        <stp>BDS|6068688624639808619</stp>
        <tr r="LX5" s="59"/>
      </tp>
      <tp t="e">
        <v>#N/A</v>
        <stp/>
        <stp>BDS|6459278214080083821</stp>
        <tr r="BX5" s="38"/>
      </tp>
      <tp t="e">
        <v>#N/A</v>
        <stp/>
        <stp>BDS|1252816644331176133</stp>
        <tr r="IG5" s="54"/>
      </tp>
      <tp t="e">
        <v>#N/A</v>
        <stp/>
        <stp>BDS|9420977917108978487</stp>
        <tr r="KJ5" s="37"/>
      </tp>
      <tp t="e">
        <v>#N/A</v>
        <stp/>
        <stp>BDS|2593372637327481845</stp>
        <tr r="HM5" s="98"/>
      </tp>
      <tp t="e">
        <v>#N/A</v>
        <stp/>
        <stp>BDS|4387642708734162841</stp>
        <tr r="DV5" s="83"/>
      </tp>
      <tp t="e">
        <v>#N/A</v>
        <stp/>
        <stp>BDS|6885203327691110946</stp>
        <tr r="MM5" s="69"/>
      </tp>
      <tp t="e">
        <v>#N/A</v>
        <stp/>
        <stp>BDS|8781468551435291285</stp>
        <tr r="BI5" s="105"/>
      </tp>
      <tp t="e">
        <v>#N/A</v>
        <stp/>
        <stp>BDS|1360328788305246111</stp>
        <tr r="BN5" s="99"/>
      </tp>
      <tp t="e">
        <v>#N/A</v>
        <stp/>
        <stp>BDS|7115359399791162261</stp>
        <tr r="KE5" s="63"/>
      </tp>
      <tp t="e">
        <v>#N/A</v>
        <stp/>
        <stp>BDS|8052693224776098470</stp>
        <tr r="LI5" s="64"/>
      </tp>
      <tp t="e">
        <v>#N/A</v>
        <stp/>
        <stp>BDS|8934522837044102478</stp>
        <tr r="FJ5" s="30"/>
      </tp>
      <tp t="e">
        <v>#N/A</v>
        <stp/>
        <stp>BDS|7608040698572387233</stp>
        <tr r="LD5" s="56"/>
      </tp>
      <tp t="e">
        <v>#N/A</v>
        <stp/>
        <stp>BDS|2568708784400906325</stp>
        <tr r="BN5" s="65"/>
      </tp>
      <tp t="e">
        <v>#N/A</v>
        <stp/>
        <stp>BDS|9193513760052324694</stp>
        <tr r="HC5" s="49"/>
      </tp>
      <tp t="e">
        <v>#N/A</v>
        <stp/>
        <stp>BDS|9042324178133050009</stp>
        <tr r="MC5" s="98"/>
      </tp>
      <tp t="e">
        <v>#N/A</v>
        <stp/>
        <stp>BDS|3998398556513548892</stp>
        <tr r="IG5" s="27"/>
      </tp>
      <tp t="e">
        <v>#N/A</v>
        <stp/>
        <stp>BDS|6348691934779026440</stp>
        <tr r="CH5" s="88"/>
      </tp>
      <tp t="e">
        <v>#N/A</v>
        <stp/>
        <stp>BDS|6063915634517777581</stp>
        <tr r="IL5" s="115"/>
      </tp>
      <tp t="e">
        <v>#N/A</v>
        <stp/>
        <stp>BDS|3917126525606013841</stp>
        <tr r="BS5" s="122"/>
      </tp>
      <tp t="e">
        <v>#N/A</v>
        <stp/>
        <stp>BDS|5564341288009343905</stp>
        <tr r="HR5" s="21"/>
      </tp>
      <tp t="e">
        <v>#N/A</v>
        <stp/>
        <stp>BDS|8017334274790870252</stp>
        <tr r="P5" s="110"/>
      </tp>
      <tp t="e">
        <v>#N/A</v>
        <stp/>
        <stp>BDS|8954516454604170276</stp>
        <tr r="KT5" s="53"/>
      </tp>
      <tp t="e">
        <v>#N/A</v>
        <stp/>
        <stp>BDS|8471322530017883156</stp>
        <tr r="MH5" s="103"/>
      </tp>
      <tp t="e">
        <v>#N/A</v>
        <stp/>
        <stp>BDS|5784836759730603601</stp>
        <tr r="EA5" s="121"/>
      </tp>
      <tp t="e">
        <v>#N/A</v>
        <stp/>
        <stp>BDS|4742077619278518378</stp>
        <tr r="BI5" s="64"/>
      </tp>
      <tp t="e">
        <v>#N/A</v>
        <stp/>
        <stp>BDS|1619498090033173157</stp>
        <tr r="KT5" s="73"/>
      </tp>
      <tp t="e">
        <v>#N/A</v>
        <stp/>
        <stp>BDS|5047890132467078709</stp>
        <tr r="EP5" s="90"/>
      </tp>
      <tp t="e">
        <v>#N/A</v>
        <stp/>
        <stp>BDS|7386617788197866097</stp>
        <tr r="EA5" s="12"/>
      </tp>
      <tp t="e">
        <v>#N/A</v>
        <stp/>
        <stp>BDS|3682020831966697887</stp>
        <tr r="DG5" s="112"/>
      </tp>
      <tp t="e">
        <v>#N/A</v>
        <stp/>
        <stp>BDS|8133058416491925601</stp>
        <tr r="NL5" s="35"/>
      </tp>
      <tp t="e">
        <v>#N/A</v>
        <stp/>
        <stp>BDS|5948956721879345953</stp>
        <tr r="IB5" s="88"/>
      </tp>
      <tp t="e">
        <v>#N/A</v>
        <stp/>
        <stp>BDS|5821762248558815056</stp>
        <tr r="EA5" s="67"/>
      </tp>
      <tp t="e">
        <v>#N/A</v>
        <stp/>
        <stp>BDS|2186290012446876998</stp>
        <tr r="LD5" s="106"/>
      </tp>
      <tp t="e">
        <v>#N/A</v>
        <stp/>
        <stp>BDS|2242395155458127241</stp>
        <tr r="JK5" s="51"/>
      </tp>
      <tp t="e">
        <v>#N/A</v>
        <stp/>
        <stp>BDS|1844675042558256546</stp>
        <tr r="CC5" s="9"/>
      </tp>
      <tp t="e">
        <v>#N/A</v>
        <stp/>
        <stp>BDS|9890340336774203339</stp>
        <tr r="BX5" s="124"/>
      </tp>
      <tp t="e">
        <v>#N/A</v>
        <stp/>
        <stp>BDS|4019710728729167634</stp>
        <tr r="U5" s="22"/>
      </tp>
      <tp t="e">
        <v>#N/A</v>
        <stp/>
        <stp>BDS|5349192093274275706</stp>
        <tr r="LX5" s="39"/>
      </tp>
      <tp t="e">
        <v>#N/A</v>
        <stp/>
        <stp>BDS|7812362686402092004</stp>
        <tr r="LI5" s="41"/>
      </tp>
      <tp t="e">
        <v>#N/A</v>
        <stp/>
        <stp>BDS|3937182503875337991</stp>
        <tr r="BN5" s="117"/>
      </tp>
      <tp t="e">
        <v>#N/A</v>
        <stp/>
        <stp>BDS|9119715333863840033</stp>
        <tr r="HW5" s="49"/>
      </tp>
      <tp t="e">
        <v>#N/A</v>
        <stp/>
        <stp>BDS|9284725734101540290</stp>
        <tr r="IG5" s="43"/>
      </tp>
      <tp t="e">
        <v>#N/A</v>
        <stp/>
        <stp>BDS|6515795038209866549</stp>
        <tr r="HW5" s="45"/>
      </tp>
      <tp t="e">
        <v>#N/A</v>
        <stp/>
        <stp>BDS|5684982151326000176</stp>
        <tr r="AJ5" s="71"/>
      </tp>
      <tp t="e">
        <v>#N/A</v>
        <stp/>
        <stp>BDS|4748694191235249059</stp>
        <tr r="F5" s="91"/>
      </tp>
      <tp t="e">
        <v>#N/A</v>
        <stp/>
        <stp>BDS|3867157883923727716</stp>
        <tr r="AJ5" s="93"/>
      </tp>
      <tp t="e">
        <v>#N/A</v>
        <stp/>
        <stp>BDS|9418621817207080797</stp>
        <tr r="DL5" s="104"/>
      </tp>
      <tp t="e">
        <v>#N/A</v>
        <stp/>
        <stp>BDS|3198734586417939558</stp>
        <tr r="AY5" s="111"/>
      </tp>
      <tp t="e">
        <v>#N/A</v>
        <stp/>
        <stp>BDS|1036071278651619917</stp>
        <tr r="HC5" s="46"/>
      </tp>
      <tp t="e">
        <v>#N/A</v>
        <stp/>
        <stp>BDS|4165345399374431403</stp>
        <tr r="AY5" s="109"/>
      </tp>
      <tp t="e">
        <v>#N/A</v>
        <stp/>
        <stp>BDS|4372962050925554388</stp>
        <tr r="CH5" s="57"/>
      </tp>
      <tp t="e">
        <v>#N/A</v>
        <stp/>
        <stp>BDS|6454832709459561934</stp>
        <tr r="LS5" s="109"/>
      </tp>
      <tp t="e">
        <v>#N/A</v>
        <stp/>
        <stp>BDS|1161120643122937813</stp>
        <tr r="BN5" s="14"/>
      </tp>
      <tp t="e">
        <v>#N/A</v>
        <stp/>
        <stp>BDS|6602527701664941942</stp>
        <tr r="AT5" s="100"/>
      </tp>
      <tp t="e">
        <v>#N/A</v>
        <stp/>
        <stp>BDS|1030770118908678118</stp>
        <tr r="AO5" s="6"/>
      </tp>
      <tp t="e">
        <v>#N/A</v>
        <stp/>
        <stp>BDS|9802699678997116104</stp>
        <tr r="MM5" s="2"/>
      </tp>
      <tp t="e">
        <v>#N/A</v>
        <stp/>
        <stp>BDS|3533406050829858542</stp>
        <tr r="GX5" s="5"/>
      </tp>
      <tp t="e">
        <v>#N/A</v>
        <stp/>
        <stp>BDS|6883419984844463007</stp>
        <tr r="DB5" s="79"/>
      </tp>
      <tp t="e">
        <v>#N/A</v>
        <stp/>
        <stp>BDS|8233804606847973944</stp>
        <tr r="BS5" s="21"/>
      </tp>
      <tp t="e">
        <v>#N/A</v>
        <stp/>
        <stp>BDS|5994118680451140303</stp>
        <tr r="MR5" s="26"/>
      </tp>
      <tp t="e">
        <v>#N/A</v>
        <stp/>
        <stp>BDS|2575216828195434910</stp>
        <tr r="Z5" s="72"/>
      </tp>
      <tp t="e">
        <v>#N/A</v>
        <stp/>
        <stp>BDS|7606387732269334065</stp>
        <tr r="AJ5" s="99"/>
      </tp>
      <tp t="e">
        <v>#N/A</v>
        <stp/>
        <stp>BDS|7687593282463500719</stp>
        <tr r="EF5" s="105"/>
      </tp>
      <tp t="e">
        <v>#N/A</v>
        <stp/>
        <stp>BDS|2966678686245581743</stp>
        <tr r="NB5" s="107"/>
      </tp>
      <tp t="e">
        <v>#N/A</v>
        <stp/>
        <stp>BDS|2114984921480499722</stp>
        <tr r="HM5" s="40"/>
      </tp>
      <tp t="e">
        <v>#N/A</v>
        <stp/>
        <stp>BDS|3508812202445092084</stp>
        <tr r="MH5" s="4"/>
      </tp>
      <tp t="e">
        <v>#N/A</v>
        <stp/>
        <stp>BDS|1905162908037096990</stp>
        <tr r="IG5" s="11"/>
      </tp>
      <tp t="e">
        <v>#N/A</v>
        <stp/>
        <stp>BDS|2336897437123179429</stp>
        <tr r="JF5" s="100"/>
      </tp>
      <tp t="e">
        <v>#N/A</v>
        <stp/>
        <stp>BDS|3862417882826422712</stp>
        <tr r="MM5" s="31"/>
      </tp>
      <tp t="e">
        <v>#N/A</v>
        <stp/>
        <stp>BDS|3991220630888191444</stp>
        <tr r="LD5" s="100"/>
      </tp>
      <tp t="e">
        <v>#N/A</v>
        <stp/>
        <stp>BDS|2564782495742421021</stp>
        <tr r="AY5" s="97"/>
      </tp>
      <tp t="e">
        <v>#N/A</v>
        <stp/>
        <stp>BDS|8910538291882186849</stp>
        <tr r="JK5" s="31"/>
      </tp>
      <tp t="e">
        <v>#N/A</v>
        <stp/>
        <stp>BDS|3222476126773424890</stp>
        <tr r="GD5" s="63"/>
      </tp>
      <tp t="e">
        <v>#N/A</v>
        <stp/>
        <stp>BDS|3628837552924889412</stp>
        <tr r="FJ5" s="102"/>
      </tp>
      <tp t="e">
        <v>#N/A</v>
        <stp/>
        <stp>BDS|9939284529684640302</stp>
        <tr r="EZ5" s="119"/>
      </tp>
      <tp t="e">
        <v>#N/A</v>
        <stp/>
        <stp>BDS|1054730780704856450</stp>
        <tr r="GD5" s="71"/>
      </tp>
      <tp t="e">
        <v>#N/A</v>
        <stp/>
        <stp>BDS|2516840834931386685</stp>
        <tr r="NL5" s="77"/>
      </tp>
      <tp t="e">
        <v>#N/A</v>
        <stp/>
        <stp>BDS|7297758478848337130</stp>
        <tr r="LI5" s="8"/>
      </tp>
      <tp t="e">
        <v>#N/A</v>
        <stp/>
        <stp>BDS|1052608264547343887</stp>
        <tr r="HC5" s="23"/>
      </tp>
      <tp t="e">
        <v>#N/A</v>
        <stp/>
        <stp>BDS|7724022289372482373</stp>
        <tr r="OA5" s="112"/>
      </tp>
      <tp t="e">
        <v>#N/A</v>
        <stp/>
        <stp>BDS|5946135266318392402</stp>
        <tr r="A5" s="2"/>
      </tp>
      <tp t="e">
        <v>#N/A</v>
        <stp/>
        <stp>BDS|4145636642060781888</stp>
        <tr r="EA5" s="9"/>
      </tp>
      <tp t="e">
        <v>#N/A</v>
        <stp/>
        <stp>BDS|1946833948931549288</stp>
        <tr r="NV5" s="2"/>
      </tp>
      <tp t="e">
        <v>#N/A</v>
        <stp/>
        <stp>BDS|9296978959693453871</stp>
        <tr r="U5" s="32"/>
      </tp>
      <tp t="e">
        <v>#N/A</v>
        <stp/>
        <stp>BDS|8566296880619448574</stp>
        <tr r="JZ5" s="22"/>
      </tp>
      <tp t="e">
        <v>#N/A</v>
        <stp/>
        <stp>BDS|2608939420914853322</stp>
        <tr r="HR5" s="19"/>
      </tp>
      <tp t="e">
        <v>#N/A</v>
        <stp/>
        <stp>BDS|8134045909211624751</stp>
        <tr r="IG5" s="12"/>
      </tp>
      <tp t="e">
        <v>#N/A</v>
        <stp/>
        <stp>BDS|8838301156860387026</stp>
        <tr r="CW5" s="75"/>
      </tp>
      <tp t="e">
        <v>#N/A</v>
        <stp/>
        <stp>BDS|3765298049569164298</stp>
        <tr r="AO5" s="35"/>
      </tp>
      <tp t="e">
        <v>#N/A</v>
        <stp/>
        <stp>BDS|9638559441885828355</stp>
        <tr r="IG5" s="60"/>
      </tp>
      <tp t="e">
        <v>#N/A</v>
        <stp/>
        <stp>BDS|1284309477508838322</stp>
        <tr r="U5" s="51"/>
      </tp>
      <tp t="e">
        <v>#N/A</v>
        <stp/>
        <stp>BDS|2044466289443792340</stp>
        <tr r="NG5" s="74"/>
      </tp>
      <tp t="e">
        <v>#N/A</v>
        <stp/>
        <stp>BDS|4131429129125761912</stp>
        <tr r="LS5" s="64"/>
      </tp>
      <tp t="e">
        <v>#N/A</v>
        <stp/>
        <stp>BDS|1799209358798783043</stp>
        <tr r="NB5" s="77"/>
      </tp>
      <tp t="e">
        <v>#N/A</v>
        <stp/>
        <stp>BDS|8123488653752760516</stp>
        <tr r="KY5" s="43"/>
      </tp>
      <tp t="e">
        <v>#N/A</v>
        <stp/>
        <stp>BDS|3414035588304790143</stp>
        <tr r="HC5" s="99"/>
      </tp>
      <tp t="e">
        <v>#N/A</v>
        <stp/>
        <stp>BDS|3381817404043296684</stp>
        <tr r="Z5" s="78"/>
      </tp>
      <tp t="e">
        <v>#N/A</v>
        <stp/>
        <stp>BDS|3911906709144845041</stp>
        <tr r="JU5" s="44"/>
      </tp>
      <tp t="e">
        <v>#N/A</v>
        <stp/>
        <stp>BDS|9845206378107416581</stp>
        <tr r="OA5" s="74"/>
      </tp>
      <tp t="e">
        <v>#N/A</v>
        <stp/>
        <stp>BDS|9802319532857576026</stp>
        <tr r="JA5" s="22"/>
      </tp>
      <tp t="e">
        <v>#N/A</v>
        <stp/>
        <stp>BDS|5945745714205132840</stp>
        <tr r="DG5" s="81"/>
      </tp>
      <tp t="e">
        <v>#N/A</v>
        <stp/>
        <stp>BDS|1737234994135589185</stp>
        <tr r="NG5" s="96"/>
      </tp>
      <tp t="e">
        <v>#N/A</v>
        <stp/>
        <stp>BDS|9120471730828297899</stp>
        <tr r="DG5" s="57"/>
      </tp>
      <tp t="e">
        <v>#N/A</v>
        <stp/>
        <stp>BDS|9830785330246594586</stp>
        <tr r="JK5" s="82"/>
      </tp>
      <tp t="e">
        <v>#N/A</v>
        <stp/>
        <stp>BDS|9122619447372936733</stp>
        <tr r="FY5" s="67"/>
      </tp>
      <tp t="e">
        <v>#N/A</v>
        <stp/>
        <stp>BDS|6796977152785660197</stp>
        <tr r="EU5" s="27"/>
      </tp>
      <tp t="e">
        <v>#N/A</v>
        <stp/>
        <stp>BDS|5803931130144202549</stp>
        <tr r="NQ5" s="54"/>
      </tp>
      <tp t="e">
        <v>#N/A</v>
        <stp/>
        <stp>BDS|2497679392215884643</stp>
        <tr r="KO5" s="111"/>
      </tp>
      <tp t="e">
        <v>#N/A</v>
        <stp/>
        <stp>BDS|9319947289153194521</stp>
        <tr r="GN5" s="59"/>
      </tp>
      <tp t="e">
        <v>#N/A</v>
        <stp/>
        <stp>BDS|1305211828067151868</stp>
        <tr r="EZ5" s="49"/>
      </tp>
      <tp t="e">
        <v>#N/A</v>
        <stp/>
        <stp>BDS|8736030217012669587</stp>
        <tr r="NQ5" s="78"/>
      </tp>
      <tp t="e">
        <v>#N/A</v>
        <stp/>
        <stp>BDS|5929549243662378809</stp>
        <tr r="EK5" s="15"/>
      </tp>
      <tp t="e">
        <v>#N/A</v>
        <stp/>
        <stp>BDS|8135797207955191437</stp>
        <tr r="LX5" s="37"/>
      </tp>
      <tp t="e">
        <v>#N/A</v>
        <stp/>
        <stp>BDS|6608994362952746579</stp>
        <tr r="BX5" s="94"/>
      </tp>
      <tp t="e">
        <v>#N/A</v>
        <stp/>
        <stp>BDS|3621898452774832488</stp>
        <tr r="GI5" s="98"/>
      </tp>
      <tp t="e">
        <v>#N/A</v>
        <stp/>
        <stp>BDS|5318784102739616525</stp>
        <tr r="IQ5" s="92"/>
      </tp>
      <tp t="e">
        <v>#N/A</v>
        <stp/>
        <stp>BDS|4954130896333748165</stp>
        <tr r="IV5" s="75"/>
      </tp>
      <tp t="e">
        <v>#N/A</v>
        <stp/>
        <stp>BDS|2833696418213250866</stp>
        <tr r="HC5" s="113"/>
      </tp>
      <tp t="e">
        <v>#N/A</v>
        <stp/>
        <stp>BDS|9299623955520985413</stp>
        <tr r="Z5" s="88"/>
      </tp>
      <tp t="e">
        <v>#N/A</v>
        <stp/>
        <stp>BDS|3889610641848727726</stp>
        <tr r="FE5" s="88"/>
      </tp>
      <tp t="e">
        <v>#N/A</v>
        <stp/>
        <stp>BDS|3130284484615730277</stp>
        <tr r="DB5" s="89"/>
      </tp>
      <tp t="e">
        <v>#N/A</v>
        <stp/>
        <stp>BDS|8333291912076112346</stp>
        <tr r="EA5" s="118"/>
      </tp>
      <tp t="e">
        <v>#N/A</v>
        <stp/>
        <stp>BDS|5282464856249333337</stp>
        <tr r="FJ5" s="90"/>
      </tp>
      <tp t="e">
        <v>#N/A</v>
        <stp/>
        <stp>BDS|2613039734108695758</stp>
        <tr r="FE5" s="98"/>
      </tp>
      <tp t="e">
        <v>#N/A</v>
        <stp/>
        <stp>BDS|4678877776941253474</stp>
        <tr r="NG5" s="26"/>
      </tp>
      <tp t="e">
        <v>#N/A</v>
        <stp/>
        <stp>BDS|4898416014196641993</stp>
        <tr r="GX5" s="83"/>
      </tp>
      <tp t="e">
        <v>#N/A</v>
        <stp/>
        <stp>BDS|1676849823290663554</stp>
        <tr r="JZ5" s="16"/>
      </tp>
      <tp t="e">
        <v>#N/A</v>
        <stp/>
        <stp>BDS|9337578124314119437</stp>
        <tr r="FJ5" s="59"/>
      </tp>
      <tp t="e">
        <v>#N/A</v>
        <stp/>
        <stp>BDS|1861772561179984752</stp>
        <tr r="GS5" s="119"/>
      </tp>
      <tp t="e">
        <v>#N/A</v>
        <stp/>
        <stp>BDS|7492323093710613313</stp>
        <tr r="AJ5" s="125"/>
      </tp>
      <tp t="e">
        <v>#N/A</v>
        <stp/>
        <stp>BDS|5253375062369070758</stp>
        <tr r="KO5" s="73"/>
      </tp>
      <tp t="e">
        <v>#N/A</v>
        <stp/>
        <stp>BDS|9554550135856734703</stp>
        <tr r="FO5" s="7"/>
      </tp>
      <tp t="e">
        <v>#N/A</v>
        <stp/>
        <stp>BDS|1740420592372371062</stp>
        <tr r="CH5" s="125"/>
      </tp>
      <tp t="e">
        <v>#N/A</v>
        <stp/>
        <stp>BDS|3043347324405543971</stp>
        <tr r="NB5" s="79"/>
      </tp>
      <tp t="e">
        <v>#N/A</v>
        <stp/>
        <stp>BDS|6034895758121410475</stp>
        <tr r="NL5" s="65"/>
      </tp>
      <tp t="e">
        <v>#N/A</v>
        <stp/>
        <stp>BDS|4626133977448760473</stp>
        <tr r="HM5" s="121"/>
      </tp>
      <tp t="e">
        <v>#N/A</v>
        <stp/>
        <stp>BDS|9937086985277621804</stp>
        <tr r="A5" s="113"/>
      </tp>
      <tp t="e">
        <v>#N/A</v>
        <stp/>
        <stp>BDS|4528508670828355046</stp>
        <tr r="FY5" s="100"/>
      </tp>
      <tp t="e">
        <v>#N/A</v>
        <stp/>
        <stp>BDS|8511034481567641932</stp>
        <tr r="KY5" s="95"/>
      </tp>
      <tp t="e">
        <v>#N/A</v>
        <stp/>
        <stp>BDS|7552607673079273160</stp>
        <tr r="GD5" s="67"/>
      </tp>
      <tp t="e">
        <v>#N/A</v>
        <stp/>
        <stp>BDS|6751809567250164622</stp>
        <tr r="CC5" s="59"/>
      </tp>
      <tp t="e">
        <v>#N/A</v>
        <stp/>
        <stp>BDS|5343032813919773373</stp>
        <tr r="NQ5" s="69"/>
      </tp>
      <tp t="e">
        <v>#N/A</v>
        <stp/>
        <stp>BDS|7696911744213100712</stp>
        <tr r="CH5" s="100"/>
      </tp>
      <tp t="e">
        <v>#N/A</v>
        <stp/>
        <stp>BDS|8500518621085461420</stp>
        <tr r="FJ5" s="52"/>
      </tp>
      <tp t="e">
        <v>#N/A</v>
        <stp/>
        <stp>BDS|9721142222505383112</stp>
        <tr r="AT5" s="48"/>
      </tp>
      <tp t="e">
        <v>#N/A</v>
        <stp/>
        <stp>BDS|5452513560128093062</stp>
        <tr r="EA5" s="29"/>
      </tp>
      <tp t="e">
        <v>#N/A</v>
        <stp/>
        <stp>BDS|9368218919511856502</stp>
        <tr r="FT5" s="57"/>
      </tp>
      <tp t="e">
        <v>#N/A</v>
        <stp/>
        <stp>BDS|9581772472047063030</stp>
        <tr r="JU5" s="39"/>
      </tp>
      <tp t="e">
        <v>#N/A</v>
        <stp/>
        <stp>BDS|1123261856288010022</stp>
        <tr r="DQ5" s="88"/>
      </tp>
      <tp t="e">
        <v>#N/A</v>
        <stp/>
        <stp>BDS|9437657155930378448</stp>
        <tr r="K5" s="16"/>
      </tp>
      <tp t="e">
        <v>#N/A</v>
        <stp/>
        <stp>BDS|9172312694559430435</stp>
        <tr r="BS5" s="61"/>
      </tp>
      <tp t="e">
        <v>#N/A</v>
        <stp/>
        <stp>BDS|3701102601144176841</stp>
        <tr r="HM5" s="38"/>
      </tp>
      <tp t="e">
        <v>#N/A</v>
        <stp/>
        <stp>BDS|1469482582403844051</stp>
        <tr r="MC5" s="65"/>
      </tp>
      <tp t="e">
        <v>#N/A</v>
        <stp/>
        <stp>BDS|5348910340161475757</stp>
        <tr r="HW5" s="18"/>
      </tp>
      <tp t="e">
        <v>#N/A</v>
        <stp/>
        <stp>BDS|5821748838179173652</stp>
        <tr r="OA5" s="90"/>
      </tp>
      <tp t="e">
        <v>#N/A</v>
        <stp/>
        <stp>BDS|2694813350816298755</stp>
        <tr r="GD5" s="83"/>
      </tp>
      <tp t="e">
        <v>#N/A</v>
        <stp/>
        <stp>BDS|8281104860181398018</stp>
        <tr r="JU5" s="71"/>
      </tp>
      <tp t="e">
        <v>#N/A</v>
        <stp/>
        <stp>BDS|1317164687424289205</stp>
        <tr r="K5" s="125"/>
      </tp>
      <tp t="e">
        <v>#N/A</v>
        <stp/>
        <stp>BDS|3613365649089097391</stp>
        <tr r="IG5" s="99"/>
      </tp>
      <tp t="e">
        <v>#N/A</v>
        <stp/>
        <stp>BDS|8030673767195735371</stp>
        <tr r="EA5" s="77"/>
      </tp>
      <tp t="e">
        <v>#N/A</v>
        <stp/>
        <stp>BDS|8910531755175982369</stp>
        <tr r="FJ5" s="21"/>
      </tp>
      <tp t="e">
        <v>#N/A</v>
        <stp/>
        <stp>BDS|9818052679128735830</stp>
        <tr r="HR5" s="7"/>
      </tp>
      <tp t="e">
        <v>#N/A</v>
        <stp/>
        <stp>BDS|8113193414517961157</stp>
        <tr r="CM5" s="71"/>
      </tp>
      <tp t="e">
        <v>#N/A</v>
        <stp/>
        <stp>BDS|8698665711530467158</stp>
        <tr r="FO5" s="104"/>
      </tp>
      <tp t="e">
        <v>#N/A</v>
        <stp/>
        <stp>BDS|5027083907918747388</stp>
        <tr r="JF5" s="9"/>
      </tp>
      <tp t="e">
        <v>#N/A</v>
        <stp/>
        <stp>BDS|7119052517659429172</stp>
        <tr r="MW5" s="87"/>
      </tp>
      <tp t="e">
        <v>#N/A</v>
        <stp/>
        <stp>BDS|9432354185628391460</stp>
        <tr r="OF5" s="89"/>
      </tp>
      <tp t="e">
        <v>#N/A</v>
        <stp/>
        <stp>BDS|9151219821355300237</stp>
        <tr r="FY5" s="79"/>
      </tp>
      <tp t="e">
        <v>#N/A</v>
        <stp/>
        <stp>BDS|9114062365001533069</stp>
        <tr r="MC5" s="43"/>
      </tp>
      <tp t="e">
        <v>#N/A</v>
        <stp/>
        <stp>BDS|9902664608260690102</stp>
        <tr r="LN5" s="40"/>
      </tp>
      <tp t="e">
        <v>#N/A</v>
        <stp/>
        <stp>BDS|9854209938475833396</stp>
        <tr r="MC5" s="115"/>
      </tp>
      <tp t="e">
        <v>#N/A</v>
        <stp/>
        <stp>BDS|9310857864221544862</stp>
        <tr r="OA5" s="84"/>
      </tp>
      <tp t="e">
        <v>#N/A</v>
        <stp/>
        <stp>BDS|2664782710168738285</stp>
        <tr r="NQ5" s="100"/>
      </tp>
      <tp t="e">
        <v>#N/A</v>
        <stp/>
        <stp>BDS|5190084279014879899</stp>
        <tr r="NL5" s="95"/>
      </tp>
      <tp t="e">
        <v>#N/A</v>
        <stp/>
        <stp>BDS|8313576461651791438</stp>
        <tr r="NV5" s="71"/>
      </tp>
      <tp t="e">
        <v>#N/A</v>
        <stp/>
        <stp>BDS|5124977832372050353</stp>
        <tr r="FE5" s="67"/>
      </tp>
      <tp t="e">
        <v>#N/A</v>
        <stp/>
        <stp>BDS|7171013181463336232</stp>
        <tr r="DQ5" s="14"/>
      </tp>
      <tp t="e">
        <v>#N/A</v>
        <stp/>
        <stp>BDS|8935510324726926747</stp>
        <tr r="NG5" s="63"/>
      </tp>
      <tp t="e">
        <v>#N/A</v>
        <stp/>
        <stp>BDS|1243606843668949596</stp>
        <tr r="EK5" s="40"/>
      </tp>
      <tp t="e">
        <v>#N/A</v>
        <stp/>
        <stp>BDS|2322824740859407949</stp>
        <tr r="NL5" s="9"/>
      </tp>
      <tp t="e">
        <v>#N/A</v>
        <stp/>
        <stp>BDS|5926752778169000256</stp>
        <tr r="DG5" s="118"/>
      </tp>
      <tp t="e">
        <v>#N/A</v>
        <stp/>
        <stp>BDS|2887038582225075181</stp>
        <tr r="FY5" s="7"/>
      </tp>
      <tp t="e">
        <v>#N/A</v>
        <stp/>
        <stp>BDS|5026757304978688460</stp>
        <tr r="BD5" s="30"/>
      </tp>
      <tp t="e">
        <v>#N/A</v>
        <stp/>
        <stp>BDS|6431812471094658331</stp>
        <tr r="AT5" s="52"/>
      </tp>
      <tp t="e">
        <v>#N/A</v>
        <stp/>
        <stp>BDS|2601746387763146050</stp>
        <tr r="BD5" s="45"/>
      </tp>
      <tp t="e">
        <v>#N/A</v>
        <stp/>
        <stp>BDS|8296351779741836379</stp>
        <tr r="HM5" s="19"/>
      </tp>
      <tp t="e">
        <v>#N/A</v>
        <stp/>
        <stp>BDS|8244416084913810990</stp>
        <tr r="GI5" s="101"/>
      </tp>
      <tp t="e">
        <v>#N/A</v>
        <stp/>
        <stp>BDS|8482684511452233390</stp>
        <tr r="IG5" s="71"/>
      </tp>
      <tp t="e">
        <v>#N/A</v>
        <stp/>
        <stp>BDS|8255233255829228807</stp>
        <tr r="BX5" s="84"/>
      </tp>
      <tp t="e">
        <v>#N/A</v>
        <stp/>
        <stp>BDS|4876866823786982626</stp>
        <tr r="U5" s="9"/>
      </tp>
      <tp t="e">
        <v>#N/A</v>
        <stp/>
        <stp>BDS|9789807692295025337</stp>
        <tr r="JF5" s="57"/>
      </tp>
      <tp t="e">
        <v>#N/A</v>
        <stp/>
        <stp>BDS|1432521864148027449</stp>
        <tr r="LX5" s="49"/>
      </tp>
      <tp t="e">
        <v>#N/A</v>
        <stp/>
        <stp>BDS|7370831801010562128</stp>
        <tr r="HW5" s="65"/>
      </tp>
      <tp t="e">
        <v>#N/A</v>
        <stp/>
        <stp>BDS|2554503097737702738</stp>
        <tr r="HH5" s="73"/>
        <tr r="JP5" s="40"/>
      </tp>
      <tp t="e">
        <v>#N/A</v>
        <stp/>
        <stp>BDS|7336618636375739955</stp>
        <tr r="GS5" s="101"/>
      </tp>
      <tp t="e">
        <v>#N/A</v>
        <stp/>
        <stp>BDS|3571029061309564257</stp>
        <tr r="EP5" s="114"/>
      </tp>
      <tp t="e">
        <v>#N/A</v>
        <stp/>
        <stp>BDS|8847980890252186472</stp>
        <tr r="MM5" s="85"/>
      </tp>
      <tp t="e">
        <v>#N/A</v>
        <stp/>
        <stp>BDS|7933628448662244974</stp>
        <tr r="GI5" s="71"/>
      </tp>
      <tp t="e">
        <v>#N/A</v>
        <stp/>
        <stp>BDS|8564091408892039421</stp>
        <tr r="IB5" s="34"/>
      </tp>
      <tp t="e">
        <v>#N/A</v>
        <stp/>
        <stp>BDS|4530273680310400001</stp>
        <tr r="MM5" s="120"/>
      </tp>
      <tp t="e">
        <v>#N/A</v>
        <stp/>
        <stp>BDS|6179123856355644951</stp>
        <tr r="FE5" s="94"/>
      </tp>
      <tp t="e">
        <v>#N/A</v>
        <stp/>
        <stp>BDS|8724534366575431002</stp>
        <tr r="LS5" s="66"/>
      </tp>
      <tp t="e">
        <v>#N/A</v>
        <stp/>
        <stp>BDS|6603810326475007774</stp>
        <tr r="FT5" s="60"/>
      </tp>
      <tp t="e">
        <v>#N/A</v>
        <stp/>
        <stp>BDS|7024967765792249476</stp>
        <tr r="EA5" s="116"/>
      </tp>
      <tp t="e">
        <v>#N/A</v>
        <stp/>
        <stp>BDS|1966805996836130889</stp>
        <tr r="P5" s="26"/>
      </tp>
      <tp t="e">
        <v>#N/A</v>
        <stp/>
        <stp>BDS|1470756280667219757</stp>
        <tr r="OF5" s="19"/>
      </tp>
      <tp t="e">
        <v>#N/A</v>
        <stp/>
        <stp>BDS|1141736498444862547</stp>
        <tr r="EZ5" s="116"/>
      </tp>
      <tp t="e">
        <v>#N/A</v>
        <stp/>
        <stp>BDS|5457720502974300818</stp>
        <tr r="JP5" s="51"/>
      </tp>
      <tp t="e">
        <v>#N/A</v>
        <stp/>
        <stp>BDS|5313735789321948567</stp>
        <tr r="DV5" s="35"/>
      </tp>
      <tp t="e">
        <v>#N/A</v>
        <stp/>
        <stp>BDS|5481778236897445878</stp>
        <tr r="JZ5" s="44"/>
      </tp>
      <tp t="e">
        <v>#N/A</v>
        <stp/>
        <stp>BDS|2608244786763611546</stp>
        <tr r="IG5" s="35"/>
      </tp>
      <tp t="e">
        <v>#N/A</v>
        <stp/>
        <stp>BDS|6209527327048486745</stp>
        <tr r="GD5" s="41"/>
      </tp>
      <tp t="e">
        <v>#N/A</v>
        <stp/>
        <stp>BDS|3320418236272657854</stp>
        <tr r="MW5" s="98"/>
      </tp>
      <tp t="e">
        <v>#N/A</v>
        <stp/>
        <stp>BDS|3879733896246283581</stp>
        <tr r="GX5" s="85"/>
      </tp>
      <tp t="e">
        <v>#N/A</v>
        <stp/>
        <stp>BDS|8350130233372791633</stp>
        <tr r="AO5" s="47"/>
      </tp>
      <tp t="e">
        <v>#N/A</v>
        <stp/>
        <stp>BDS|9477582852776982107</stp>
        <tr r="MW5" s="117"/>
      </tp>
      <tp t="e">
        <v>#N/A</v>
        <stp/>
        <stp>BDS|5308973332419149801</stp>
        <tr r="EF5" s="15"/>
      </tp>
      <tp t="e">
        <v>#N/A</v>
        <stp/>
        <stp>BDS|9954354308674123026</stp>
        <tr r="LS5" s="101"/>
      </tp>
      <tp t="e">
        <v>#N/A</v>
        <stp/>
        <stp>BDS|7739692199026467044</stp>
        <tr r="AT5" s="37"/>
      </tp>
      <tp t="e">
        <v>#N/A</v>
        <stp/>
        <stp>BDS|4556690729699114732</stp>
        <tr r="BD5" s="49"/>
      </tp>
      <tp t="e">
        <v>#N/A</v>
        <stp/>
        <stp>BDS|9478691032202919014</stp>
        <tr r="EA5" s="2"/>
      </tp>
      <tp t="e">
        <v>#N/A</v>
        <stp/>
        <stp>BDS|3747845067305470673</stp>
        <tr r="JP5" s="8"/>
      </tp>
      <tp t="e">
        <v>#N/A</v>
        <stp/>
        <stp>BDS|6143816471995785215</stp>
        <tr r="DB5" s="62"/>
      </tp>
      <tp t="e">
        <v>#N/A</v>
        <stp/>
        <stp>BDS|7588204720969430062</stp>
        <tr r="FT5" s="26"/>
      </tp>
      <tp t="e">
        <v>#N/A</v>
        <stp/>
        <stp>BDS|7198460862303194836</stp>
        <tr r="LS5" s="107"/>
      </tp>
      <tp t="e">
        <v>#N/A</v>
        <stp/>
        <stp>BDS|1273073356438735236</stp>
        <tr r="BN5" s="73"/>
      </tp>
      <tp t="e">
        <v>#N/A</v>
        <stp/>
        <stp>BDS|8200674277207366058</stp>
        <tr r="KE5" s="36"/>
      </tp>
      <tp t="e">
        <v>#N/A</v>
        <stp/>
        <stp>BDS|2410173315589375518</stp>
        <tr r="K5" s="21"/>
      </tp>
      <tp t="e">
        <v>#N/A</v>
        <stp/>
        <stp>BDS|6748134678587089985</stp>
        <tr r="LD5" s="84"/>
      </tp>
      <tp t="e">
        <v>#N/A</v>
        <stp/>
        <stp>BDS|8935106863311871068</stp>
        <tr r="EU5" s="66"/>
      </tp>
      <tp t="e">
        <v>#N/A</v>
        <stp/>
        <stp>BDS|8373845208976219893</stp>
        <tr r="MC5" s="123"/>
      </tp>
      <tp t="e">
        <v>#N/A</v>
        <stp/>
        <stp>BDS|4600981159540331609</stp>
        <tr r="HH5" s="51"/>
      </tp>
      <tp t="e">
        <v>#N/A</v>
        <stp/>
        <stp>BDS|5859867428185393414</stp>
        <tr r="DQ5" s="84"/>
      </tp>
      <tp t="e">
        <v>#N/A</v>
        <stp/>
        <stp>BDS|3204708687787024513</stp>
        <tr r="K5" s="124"/>
      </tp>
      <tp t="e">
        <v>#N/A</v>
        <stp/>
        <stp>BDS|2722737323801716843</stp>
        <tr r="OF5" s="99"/>
      </tp>
      <tp t="e">
        <v>#N/A</v>
        <stp/>
        <stp>BDS|7957744279939312035</stp>
        <tr r="GX5" s="27"/>
      </tp>
      <tp t="e">
        <v>#N/A</v>
        <stp/>
        <stp>BDS|5849986006376699444</stp>
        <tr r="FO5" s="26"/>
      </tp>
      <tp t="e">
        <v>#N/A</v>
        <stp/>
        <stp>BDS|1080921029571975566</stp>
        <tr r="NL5" s="49"/>
      </tp>
      <tp t="e">
        <v>#N/A</v>
        <stp/>
        <stp>BDS|7181430407314958983</stp>
        <tr r="P5" s="12"/>
      </tp>
      <tp t="e">
        <v>#N/A</v>
        <stp/>
        <stp>BDS|9161880569250527917</stp>
        <tr r="LS5" s="108"/>
      </tp>
      <tp t="e">
        <v>#N/A</v>
        <stp/>
        <stp>BDS|3482832164516612519</stp>
        <tr r="NG5" s="20"/>
      </tp>
      <tp t="e">
        <v>#N/A</v>
        <stp/>
        <stp>BDS|5778034754556747835</stp>
        <tr r="AY5" s="121"/>
      </tp>
      <tp t="e">
        <v>#N/A</v>
        <stp/>
        <stp>BDS|8036522732857342778</stp>
        <tr r="U5" s="49"/>
      </tp>
      <tp t="e">
        <v>#N/A</v>
        <stp/>
        <stp>BDS|1842150208177693966</stp>
        <tr r="JA5" s="69"/>
      </tp>
      <tp t="e">
        <v>#N/A</v>
        <stp/>
        <stp>BDS|3608130984855243167</stp>
        <tr r="KY5" s="63"/>
      </tp>
      <tp t="e">
        <v>#N/A</v>
        <stp/>
        <stp>BDS|7352034661937467805</stp>
        <tr r="IG5" s="5"/>
      </tp>
      <tp t="e">
        <v>#N/A</v>
        <stp/>
        <stp>BDS|5946999210744502701</stp>
        <tr r="MH5" s="112"/>
      </tp>
      <tp t="e">
        <v>#N/A</v>
        <stp/>
        <stp>BDS|3287852905865003079</stp>
        <tr r="K5" s="109"/>
      </tp>
      <tp t="e">
        <v>#N/A</v>
        <stp/>
        <stp>BDS|3180932176306250534</stp>
        <tr r="IB5" s="65"/>
      </tp>
      <tp t="e">
        <v>#N/A</v>
        <stp/>
        <stp>BDS|2703000433987193809</stp>
        <tr r="FO5" s="22"/>
      </tp>
      <tp t="e">
        <v>#N/A</v>
        <stp/>
        <stp>BDS|9504574622705541509</stp>
        <tr r="EU5" s="108"/>
      </tp>
      <tp t="e">
        <v>#N/A</v>
        <stp/>
        <stp>BDS|4741670596872221711</stp>
        <tr r="IG5" s="81"/>
      </tp>
      <tp t="e">
        <v>#N/A</v>
        <stp/>
        <stp>BDS|3284420240159769420</stp>
        <tr r="KY5" s="22"/>
      </tp>
      <tp t="e">
        <v>#N/A</v>
        <stp/>
        <stp>BDS|5401325140009210518</stp>
        <tr r="NQ5" s="12"/>
      </tp>
      <tp t="e">
        <v>#N/A</v>
        <stp/>
        <stp>BDS|8505450536428617957</stp>
        <tr r="FO5" s="49"/>
      </tp>
      <tp t="e">
        <v>#N/A</v>
        <stp/>
        <stp>BDS|9759563112067555430</stp>
        <tr r="BN5" s="111"/>
      </tp>
      <tp t="e">
        <v>#N/A</v>
        <stp/>
        <stp>BDS|9949320021421677797</stp>
        <tr r="MC5" s="6"/>
      </tp>
      <tp t="e">
        <v>#N/A</v>
        <stp/>
        <stp>BDS|5157952736549569824</stp>
        <tr r="LX5" s="114"/>
      </tp>
      <tp t="e">
        <v>#N/A</v>
        <stp/>
        <stp>BDS|8665640019952892367</stp>
        <tr r="DQ5" s="38"/>
      </tp>
      <tp t="e">
        <v>#N/A</v>
        <stp/>
        <stp>BDS|4486142660674333969</stp>
        <tr r="KO5" s="4"/>
      </tp>
      <tp t="e">
        <v>#N/A</v>
        <stp/>
        <stp>BDS|2683948116733033712</stp>
        <tr r="EK5" s="96"/>
      </tp>
      <tp t="e">
        <v>#N/A</v>
        <stp/>
        <stp>BDS|7636042195452723250</stp>
        <tr r="CM5" s="83"/>
      </tp>
      <tp t="e">
        <v>#N/A</v>
        <stp/>
        <stp>BDS|9115023545634592697</stp>
        <tr r="FE5" s="95"/>
      </tp>
      <tp t="e">
        <v>#N/A</v>
        <stp/>
        <stp>BDS|2932448403020636920</stp>
        <tr r="AO5" s="111"/>
      </tp>
      <tp t="e">
        <v>#N/A</v>
        <stp/>
        <stp>BDS|5987155755667145927</stp>
        <tr r="HW5" s="36"/>
      </tp>
      <tp t="e">
        <v>#N/A</v>
        <stp/>
        <stp>BDS|9854773585940575951</stp>
        <tr r="KT5" s="85"/>
      </tp>
      <tp t="e">
        <v>#N/A</v>
        <stp/>
        <stp>BDS|8935734609272891210</stp>
        <tr r="DB5" s="8"/>
      </tp>
      <tp t="e">
        <v>#N/A</v>
        <stp/>
        <stp>BDS|3420516688327029679</stp>
        <tr r="NB5" s="50"/>
      </tp>
      <tp t="e">
        <v>#N/A</v>
        <stp/>
        <stp>BDS|9021546662535439082</stp>
        <tr r="P5" s="116"/>
      </tp>
      <tp t="e">
        <v>#N/A</v>
        <stp/>
        <stp>BDS|7374839979891460671</stp>
        <tr r="LN5" s="66"/>
      </tp>
      <tp t="e">
        <v>#N/A</v>
        <stp/>
        <stp>BDS|1377052691187823057</stp>
        <tr r="Z5" s="38"/>
      </tp>
      <tp t="e">
        <v>#N/A</v>
        <stp/>
        <stp>BDS|6460322329449560100</stp>
        <tr r="BD5" s="121"/>
      </tp>
      <tp t="e">
        <v>#N/A</v>
        <stp/>
        <stp>BDS|7228026777936835959</stp>
        <tr r="CR5" s="9"/>
      </tp>
      <tp t="e">
        <v>#N/A</v>
        <stp/>
        <stp>BDS|2553539285898095899</stp>
        <tr r="CW5" s="87"/>
      </tp>
      <tp t="e">
        <v>#N/A</v>
        <stp/>
        <stp>BDS|2298722377745415898</stp>
        <tr r="CR5" s="23"/>
      </tp>
      <tp t="e">
        <v>#N/A</v>
        <stp/>
        <stp>BDS|9815339551488412848</stp>
        <tr r="P5" s="85"/>
      </tp>
      <tp t="e">
        <v>#N/A</v>
        <stp/>
        <stp>BDS|8603520438123535228</stp>
        <tr r="FE5" s="106"/>
      </tp>
      <tp t="e">
        <v>#N/A</v>
        <stp/>
        <stp>BDS|8909323698168195591</stp>
        <tr r="A5" s="34"/>
      </tp>
      <tp t="e">
        <v>#N/A</v>
        <stp/>
        <stp>BDS|5985716715239437524</stp>
        <tr r="DL5" s="45"/>
      </tp>
      <tp t="e">
        <v>#N/A</v>
        <stp/>
        <stp>BDS|9533038518540200776</stp>
        <tr r="GN5" s="75"/>
      </tp>
      <tp t="e">
        <v>#N/A</v>
        <stp/>
        <stp>BDS|2041892872844919690</stp>
        <tr r="FE5" s="97"/>
        <tr r="FO5" s="86"/>
      </tp>
      <tp t="e">
        <v>#N/A</v>
        <stp/>
        <stp>BDS|5371719479458713277</stp>
        <tr r="CM5" s="113"/>
      </tp>
      <tp t="e">
        <v>#N/A</v>
        <stp/>
        <stp>BDS|6216679777408130082</stp>
        <tr r="MM5" s="38"/>
      </tp>
      <tp t="e">
        <v>#N/A</v>
        <stp/>
        <stp>BDS|1432649223888850205</stp>
        <tr r="BD5" s="34"/>
      </tp>
      <tp t="e">
        <v>#N/A</v>
        <stp/>
        <stp>BDS|8964046854531604347</stp>
        <tr r="BS5" s="86"/>
      </tp>
      <tp t="e">
        <v>#N/A</v>
        <stp/>
        <stp>BDS|9316638518745062438</stp>
        <tr r="AE5" s="37"/>
      </tp>
      <tp t="e">
        <v>#N/A</v>
        <stp/>
        <stp>BDS|8356702408500619062</stp>
        <tr r="P5" s="74"/>
      </tp>
      <tp t="e">
        <v>#N/A</v>
        <stp/>
        <stp>BDS|3634807247189839921</stp>
        <tr r="GD5" s="28"/>
      </tp>
      <tp t="e">
        <v>#N/A</v>
        <stp/>
        <stp>BDS|8500672908833635243</stp>
        <tr r="F5" s="26"/>
      </tp>
      <tp t="e">
        <v>#N/A</v>
        <stp/>
        <stp>BDS|1068355029519644629</stp>
        <tr r="LN5" s="108"/>
      </tp>
      <tp t="e">
        <v>#N/A</v>
        <stp/>
        <stp>BDS|3380384456993459918</stp>
        <tr r="JZ5" s="40"/>
      </tp>
      <tp t="e">
        <v>#N/A</v>
        <stp/>
        <stp>BDS|3359489492108840991</stp>
        <tr r="HH5" s="94"/>
      </tp>
      <tp t="e">
        <v>#N/A</v>
        <stp/>
        <stp>BDS|9822380707897612293</stp>
        <tr r="OA5" s="93"/>
      </tp>
      <tp t="e">
        <v>#N/A</v>
        <stp/>
        <stp>BDS|9511788156773023735</stp>
        <tr r="EP5" s="51"/>
      </tp>
      <tp t="e">
        <v>#N/A</v>
        <stp/>
        <stp>BDS|3976418472138414766</stp>
        <tr r="MR5" s="6"/>
      </tp>
      <tp t="e">
        <v>#N/A</v>
        <stp/>
        <stp>BDS|7835503574792472809</stp>
        <tr r="LD5" s="88"/>
      </tp>
      <tp t="e">
        <v>#N/A</v>
        <stp/>
        <stp>BDS|8994152243391535324</stp>
        <tr r="BN5" s="112"/>
      </tp>
      <tp t="e">
        <v>#N/A</v>
        <stp/>
        <stp>BDS|9879505772516046221</stp>
        <tr r="NV5" s="56"/>
      </tp>
      <tp t="e">
        <v>#N/A</v>
        <stp/>
        <stp>BDS|9098756725336976519</stp>
        <tr r="IL5" s="85"/>
      </tp>
      <tp t="e">
        <v>#N/A</v>
        <stp/>
        <stp>BDS|8826364647201061114</stp>
        <tr r="AJ5" s="102"/>
      </tp>
      <tp t="e">
        <v>#N/A</v>
        <stp/>
        <stp>BDS|4732494796072807480</stp>
        <tr r="EZ5" s="28"/>
      </tp>
      <tp t="e">
        <v>#N/A</v>
        <stp/>
        <stp>BDS|7135233165448737480</stp>
        <tr r="KT5" s="84"/>
      </tp>
      <tp t="e">
        <v>#N/A</v>
        <stp/>
        <stp>BDS|8606204845660804135</stp>
        <tr r="KY5" s="5"/>
      </tp>
      <tp t="e">
        <v>#N/A</v>
        <stp/>
        <stp>BDS|7401761589636165124</stp>
        <tr r="HW5" s="74"/>
      </tp>
      <tp t="e">
        <v>#N/A</v>
        <stp/>
        <stp>BDS|2673894762864007740</stp>
        <tr r="DB5" s="4"/>
      </tp>
      <tp t="e">
        <v>#N/A</v>
        <stp/>
        <stp>BDS|7244066099218022949</stp>
        <tr r="KJ5" s="73"/>
      </tp>
      <tp t="e">
        <v>#N/A</v>
        <stp/>
        <stp>BDS|9783313018440643412</stp>
        <tr r="NG5" s="68"/>
      </tp>
      <tp t="e">
        <v>#N/A</v>
        <stp/>
        <stp>BDS|5149868348054778212</stp>
        <tr r="MR5" s="29"/>
      </tp>
      <tp t="e">
        <v>#N/A</v>
        <stp/>
        <stp>BDS|7903027756014094947</stp>
        <tr r="HC5" s="5"/>
      </tp>
      <tp t="e">
        <v>#N/A</v>
        <stp/>
        <stp>BDS|3465624454816334987</stp>
        <tr r="KJ5" s="10"/>
      </tp>
      <tp t="e">
        <v>#N/A</v>
        <stp/>
        <stp>BDS|7084933310465300591</stp>
        <tr r="HW5" s="95"/>
      </tp>
      <tp t="e">
        <v>#N/A</v>
        <stp/>
        <stp>BDS|2910813327107382057</stp>
        <tr r="DV5" s="32"/>
      </tp>
      <tp t="e">
        <v>#N/A</v>
        <stp/>
        <stp>BDS|2469777139941637857</stp>
        <tr r="DV5" s="78"/>
      </tp>
      <tp t="e">
        <v>#N/A</v>
        <stp/>
        <stp>BDS|1824753761076019952</stp>
        <tr r="CC5" s="123"/>
      </tp>
      <tp t="e">
        <v>#N/A</v>
        <stp/>
        <stp>BDS|6511604089570158745</stp>
        <tr r="Z5" s="64"/>
      </tp>
      <tp t="e">
        <v>#N/A</v>
        <stp/>
        <stp>BDS|9949084168110089008</stp>
        <tr r="AO5" s="7"/>
      </tp>
      <tp t="e">
        <v>#N/A</v>
        <stp/>
        <stp>BDS|5404864798589719241</stp>
        <tr r="FO5" s="70"/>
      </tp>
      <tp t="e">
        <v>#N/A</v>
        <stp/>
        <stp>BDS|5950224972077712875</stp>
        <tr r="A5" s="12"/>
      </tp>
      <tp t="e">
        <v>#N/A</v>
        <stp/>
        <stp>BDS|8896903230175466827</stp>
        <tr r="CH5" s="112"/>
      </tp>
      <tp t="e">
        <v>#N/A</v>
        <stp/>
        <stp>BDS|7031796497586631068</stp>
        <tr r="AT5" s="62"/>
      </tp>
      <tp t="e">
        <v>#N/A</v>
        <stp/>
        <stp>BDS|3104348670289280199</stp>
        <tr r="IG5" s="120"/>
      </tp>
      <tp t="e">
        <v>#N/A</v>
        <stp/>
        <stp>BDS|7975702364550395901</stp>
        <tr r="OF5" s="66"/>
      </tp>
      <tp t="e">
        <v>#N/A</v>
        <stp/>
        <stp>BDS|2349698181173569005</stp>
        <tr r="MC5" s="38"/>
      </tp>
      <tp t="e">
        <v>#N/A</v>
        <stp/>
        <stp>BDS|3028549877277977940</stp>
        <tr r="BI5" s="28"/>
      </tp>
      <tp t="e">
        <v>#N/A</v>
        <stp/>
        <stp>BDS|8894558845820530634</stp>
        <tr r="MW5" s="35"/>
      </tp>
      <tp t="e">
        <v>#N/A</v>
        <stp/>
        <stp>BDS|4710430908969745652</stp>
        <tr r="P5" s="30"/>
      </tp>
      <tp t="e">
        <v>#N/A</v>
        <stp/>
        <stp>BDS|6370198465489167703</stp>
        <tr r="MM5" s="110"/>
      </tp>
      <tp t="e">
        <v>#N/A</v>
        <stp/>
        <stp>BDS|3719589141734797979</stp>
        <tr r="GD5" s="80"/>
      </tp>
      <tp t="e">
        <v>#N/A</v>
        <stp/>
        <stp>BDS|1838100092663623528</stp>
        <tr r="NG5" s="73"/>
      </tp>
      <tp t="e">
        <v>#N/A</v>
        <stp/>
        <stp>BDS|9752206407593892763</stp>
        <tr r="GN5" s="55"/>
      </tp>
      <tp t="e">
        <v>#N/A</v>
        <stp/>
        <stp>BDS|9813916739994840866</stp>
        <tr r="IV5" s="8"/>
      </tp>
      <tp t="e">
        <v>#N/A</v>
        <stp/>
        <stp>BDS|6512418217769838551</stp>
        <tr r="NV5" s="79"/>
      </tp>
      <tp t="e">
        <v>#N/A</v>
        <stp/>
        <stp>BDS|6809004949249960467</stp>
        <tr r="GD5" s="110"/>
      </tp>
      <tp t="e">
        <v>#N/A</v>
        <stp/>
        <stp>BDS|2305912367993285194</stp>
        <tr r="HW5" s="3"/>
      </tp>
      <tp t="e">
        <v>#N/A</v>
        <stp/>
        <stp>BDS|3896189376913129981</stp>
        <tr r="A5" s="38"/>
        <tr r="OA5" s="37"/>
      </tp>
      <tp t="e">
        <v>#N/A</v>
        <stp/>
        <stp>BDS|5894922515485112715</stp>
        <tr r="HC5" s="74"/>
      </tp>
      <tp t="e">
        <v>#N/A</v>
        <stp/>
        <stp>BDS|2393566219029407076</stp>
        <tr r="MH5" s="33"/>
      </tp>
      <tp t="e">
        <v>#N/A</v>
        <stp/>
        <stp>BDS|2677639550667271986</stp>
        <tr r="IV5" s="29"/>
      </tp>
      <tp t="e">
        <v>#N/A</v>
        <stp/>
        <stp>BDS|5889932062026525331</stp>
        <tr r="KT5" s="98"/>
      </tp>
      <tp t="e">
        <v>#N/A</v>
        <stp/>
        <stp>BDS|9678785634714187642</stp>
        <tr r="IV5" s="11"/>
      </tp>
      <tp t="e">
        <v>#N/A</v>
        <stp/>
        <stp>BDS|5111712099060770417</stp>
        <tr r="EF5" s="123"/>
      </tp>
      <tp t="e">
        <v>#N/A</v>
        <stp/>
        <stp>BDS|1952160287483568427</stp>
        <tr r="HM5" s="15"/>
      </tp>
      <tp t="e">
        <v>#N/A</v>
        <stp/>
        <stp>BDS|7969177491197609760</stp>
        <tr r="IB5" s="55"/>
      </tp>
      <tp t="e">
        <v>#N/A</v>
        <stp/>
        <stp>BDS|7956268969855010994</stp>
        <tr r="AO5" s="45"/>
      </tp>
      <tp t="e">
        <v>#N/A</v>
        <stp/>
        <stp>BDS|7901048755598788503</stp>
        <tr r="BD5" s="76"/>
      </tp>
      <tp t="e">
        <v>#N/A</v>
        <stp/>
        <stp>BDS|9774019920476046299</stp>
        <tr r="GS5" s="17"/>
      </tp>
      <tp t="e">
        <v>#N/A</v>
        <stp/>
        <stp>BDS|2676691991397258537</stp>
        <tr r="U5" s="75"/>
      </tp>
      <tp t="e">
        <v>#N/A</v>
        <stp/>
        <stp>BDS|6760081170736663862</stp>
        <tr r="DL5" s="1"/>
      </tp>
      <tp t="e">
        <v>#N/A</v>
        <stp/>
        <stp>BDS|9794150371073553398</stp>
        <tr r="JK5" s="116"/>
      </tp>
      <tp t="e">
        <v>#N/A</v>
        <stp/>
        <stp>BDS|1254955181169201688</stp>
        <tr r="JP5" s="25"/>
      </tp>
      <tp t="e">
        <v>#N/A</v>
        <stp/>
        <stp>BDS|7903835442853228763</stp>
        <tr r="KY5" s="35"/>
      </tp>
      <tp t="e">
        <v>#N/A</v>
        <stp/>
        <stp>BDS|7220191716479112106</stp>
        <tr r="KE5" s="108"/>
      </tp>
      <tp t="e">
        <v>#N/A</v>
        <stp/>
        <stp>BDS|8965268913045271129</stp>
        <tr r="NL5" s="86"/>
      </tp>
      <tp t="e">
        <v>#N/A</v>
        <stp/>
        <stp>BDS|3047932161622656183</stp>
        <tr r="AJ5" s="4"/>
      </tp>
      <tp t="e">
        <v>#N/A</v>
        <stp/>
        <stp>BDS|3378439878448697725</stp>
        <tr r="HR5" s="110"/>
      </tp>
      <tp t="e">
        <v>#N/A</v>
        <stp/>
        <stp>BDS|6865475215084142871</stp>
        <tr r="JP5" s="114"/>
      </tp>
      <tp t="e">
        <v>#N/A</v>
        <stp/>
        <stp>BDS|8635633205761938052</stp>
        <tr r="CM5" s="84"/>
      </tp>
      <tp t="e">
        <v>#N/A</v>
        <stp/>
        <stp>BDS|1922425454097195828</stp>
        <tr r="LI5" s="4"/>
      </tp>
      <tp t="e">
        <v>#N/A</v>
        <stp/>
        <stp>BDS|1390866478857140604</stp>
        <tr r="FT5" s="21"/>
      </tp>
      <tp t="e">
        <v>#N/A</v>
        <stp/>
        <stp>BDS|1983844349662073089</stp>
        <tr r="NG5" s="84"/>
      </tp>
      <tp t="e">
        <v>#N/A</v>
        <stp/>
        <stp>BDS|2671455644435222890</stp>
        <tr r="BN5" s="11"/>
      </tp>
      <tp t="e">
        <v>#N/A</v>
        <stp/>
        <stp>BDS|3140805333555657285</stp>
        <tr r="DQ5" s="85"/>
      </tp>
      <tp t="e">
        <v>#N/A</v>
        <stp/>
        <stp>BDS|7023494205404345833</stp>
        <tr r="KJ5" s="44"/>
      </tp>
      <tp t="e">
        <v>#N/A</v>
        <stp/>
        <stp>BDS|2994095988650283567</stp>
        <tr r="NV5" s="51"/>
      </tp>
      <tp t="e">
        <v>#N/A</v>
        <stp/>
        <stp>BDS|5103006359248047759</stp>
        <tr r="NV5" s="50"/>
      </tp>
      <tp t="e">
        <v>#N/A</v>
        <stp/>
        <stp>BDS|3660345309439200649</stp>
        <tr r="BD5" s="1"/>
      </tp>
      <tp t="e">
        <v>#N/A</v>
        <stp/>
        <stp>BDS|8699354528151451727</stp>
        <tr r="CM5" s="99"/>
      </tp>
      <tp t="e">
        <v>#N/A</v>
        <stp/>
        <stp>BDS|9196944382052800520</stp>
        <tr r="CC5" s="13"/>
      </tp>
      <tp t="e">
        <v>#N/A</v>
        <stp/>
        <stp>BDS|8357084536556340232</stp>
        <tr r="GN5" s="73"/>
        <tr r="NL5" s="57"/>
      </tp>
      <tp t="e">
        <v>#N/A</v>
        <stp/>
        <stp>BDS|1692560489932629120</stp>
        <tr r="DG5" s="102"/>
      </tp>
      <tp t="e">
        <v>#N/A</v>
        <stp/>
        <stp>BDS|8694352802346824248</stp>
        <tr r="BX5" s="52"/>
      </tp>
      <tp t="e">
        <v>#N/A</v>
        <stp/>
        <stp>BDS|9341249277926979543</stp>
        <tr r="F5" s="99"/>
      </tp>
      <tp t="e">
        <v>#N/A</v>
        <stp/>
        <stp>BDS|9440476943700518685</stp>
        <tr r="FJ5" s="57"/>
        <tr r="EF5" s="102"/>
      </tp>
      <tp t="e">
        <v>#N/A</v>
        <stp/>
        <stp>BDS|5664690549409954120</stp>
        <tr r="MR5" s="35"/>
      </tp>
      <tp t="e">
        <v>#N/A</v>
        <stp/>
        <stp>BDS|3438146978363004951</stp>
        <tr r="EU5" s="52"/>
      </tp>
      <tp t="e">
        <v>#N/A</v>
        <stp/>
        <stp>BDS|8392901240233898964</stp>
        <tr r="LN5" s="26"/>
      </tp>
      <tp t="e">
        <v>#N/A</v>
        <stp/>
        <stp>BDS|5926460481275228316</stp>
        <tr r="HC5" s="54"/>
      </tp>
      <tp t="e">
        <v>#N/A</v>
        <stp/>
        <stp>BDS|5701470957152248980</stp>
        <tr r="BN5" s="95"/>
      </tp>
      <tp t="e">
        <v>#N/A</v>
        <stp/>
        <stp>BDS|2264329078699954036</stp>
        <tr r="JK5" s="44"/>
      </tp>
      <tp t="e">
        <v>#N/A</v>
        <stp/>
        <stp>BDS|9695204701303167743</stp>
        <tr r="JK5" s="54"/>
      </tp>
      <tp t="e">
        <v>#N/A</v>
        <stp/>
        <stp>BDS|9668878832494948985</stp>
        <tr r="GN5" s="109"/>
      </tp>
      <tp t="e">
        <v>#N/A</v>
        <stp/>
        <stp>BDS|7094217125279571130</stp>
        <tr r="KO5" s="93"/>
      </tp>
      <tp t="e">
        <v>#N/A</v>
        <stp/>
        <stp>BDS|4666144901623295936</stp>
        <tr r="JK5" s="111"/>
      </tp>
      <tp t="e">
        <v>#N/A</v>
        <stp/>
        <stp>BDS|6676428802968566518</stp>
        <tr r="LX5" s="64"/>
      </tp>
      <tp t="e">
        <v>#N/A</v>
        <stp/>
        <stp>BDS|1477705474299792751</stp>
        <tr r="HH5" s="15"/>
      </tp>
      <tp t="e">
        <v>#N/A</v>
        <stp/>
        <stp>BDS|1698410194111340224</stp>
        <tr r="EF5" s="38"/>
      </tp>
      <tp t="e">
        <v>#N/A</v>
        <stp/>
        <stp>BDS|1574820160066311668</stp>
        <tr r="EZ5" s="122"/>
      </tp>
      <tp t="e">
        <v>#N/A</v>
        <stp/>
        <stp>BDS|2694665669799851430</stp>
        <tr r="NG5" s="22"/>
      </tp>
      <tp t="e">
        <v>#N/A</v>
        <stp/>
        <stp>BDS|1085867341887585502</stp>
        <tr r="LN5" s="87"/>
      </tp>
      <tp t="e">
        <v>#N/A</v>
        <stp/>
        <stp>BDS|8811693895188314050</stp>
        <tr r="JF5" s="78"/>
      </tp>
      <tp t="e">
        <v>#N/A</v>
        <stp/>
        <stp>BDS|7173635695397471014</stp>
        <tr r="FJ5" s="111"/>
      </tp>
      <tp t="e">
        <v>#N/A</v>
        <stp/>
        <stp>BDS|6407653526775750822</stp>
        <tr r="EF5" s="48"/>
      </tp>
      <tp t="e">
        <v>#N/A</v>
        <stp/>
        <stp>BDS|7641551518179056591</stp>
        <tr r="CW5" s="88"/>
      </tp>
      <tp t="e">
        <v>#N/A</v>
        <stp/>
        <stp>BDS|5931982352112914480</stp>
        <tr r="DB5" s="37"/>
      </tp>
      <tp t="e">
        <v>#N/A</v>
        <stp/>
        <stp>BDS|2059351338589863470</stp>
        <tr r="EF5" s="74"/>
      </tp>
      <tp t="e">
        <v>#N/A</v>
        <stp/>
        <stp>BDS|7488658998187834035</stp>
        <tr r="IL5" s="80"/>
      </tp>
      <tp t="e">
        <v>#N/A</v>
        <stp/>
        <stp>BDS|6363873931293240157</stp>
        <tr r="P5" s="122"/>
      </tp>
      <tp t="e">
        <v>#N/A</v>
        <stp/>
        <stp>BDS|9972848210887964865</stp>
        <tr r="CR5" s="2"/>
      </tp>
      <tp t="e">
        <v>#N/A</v>
        <stp/>
        <stp>BDS|2888771301928477283</stp>
        <tr r="AJ5" s="35"/>
      </tp>
      <tp t="e">
        <v>#N/A</v>
        <stp/>
        <stp>BDS|3073987812865951118</stp>
        <tr r="AE5" s="59"/>
      </tp>
      <tp t="e">
        <v>#N/A</v>
        <stp/>
        <stp>BDS|1780862418344925331</stp>
        <tr r="KE5" s="18"/>
      </tp>
      <tp t="e">
        <v>#N/A</v>
        <stp/>
        <stp>BDS|8089926759082952910</stp>
        <tr r="LD5" s="34"/>
      </tp>
      <tp t="e">
        <v>#N/A</v>
        <stp/>
        <stp>BDS|6091187351528822522</stp>
        <tr r="DV5" s="103"/>
      </tp>
      <tp t="e">
        <v>#N/A</v>
        <stp/>
        <stp>BDS|3980443729962402839</stp>
        <tr r="CW5" s="76"/>
      </tp>
      <tp t="e">
        <v>#N/A</v>
        <stp/>
        <stp>BDS|8475517171535585024</stp>
        <tr r="Z5" s="100"/>
      </tp>
      <tp t="e">
        <v>#N/A</v>
        <stp/>
        <stp>BDS|3226661917443086801</stp>
        <tr r="BX5" s="31"/>
      </tp>
      <tp t="e">
        <v>#N/A</v>
        <stp/>
        <stp>BDS|6275584001129198595</stp>
        <tr r="CH5" s="5"/>
      </tp>
      <tp t="e">
        <v>#N/A</v>
        <stp/>
        <stp>BDS|3057397128525297801</stp>
        <tr r="OF5" s="94"/>
      </tp>
      <tp t="e">
        <v>#N/A</v>
        <stp/>
        <stp>BDS|4225833242121450649</stp>
        <tr r="AO5" s="58"/>
      </tp>
      <tp t="e">
        <v>#N/A</v>
        <stp/>
        <stp>BDS|7084129103389592077</stp>
        <tr r="IQ5" s="5"/>
      </tp>
      <tp t="e">
        <v>#N/A</v>
        <stp/>
        <stp>BDS|6193634465351559817</stp>
        <tr r="HC5" s="61"/>
      </tp>
      <tp t="e">
        <v>#N/A</v>
        <stp/>
        <stp>BDS|1689516521421165841</stp>
        <tr r="GI5" s="5"/>
      </tp>
      <tp t="e">
        <v>#N/A</v>
        <stp/>
        <stp>BDS|9878290842513715373</stp>
        <tr r="BS5" s="73"/>
      </tp>
      <tp t="e">
        <v>#N/A</v>
        <stp/>
        <stp>BDS|2178751829908992077</stp>
        <tr r="EA5" s="58"/>
      </tp>
      <tp t="e">
        <v>#N/A</v>
        <stp/>
        <stp>BDS|4946107104333775993</stp>
        <tr r="HR5" s="53"/>
      </tp>
      <tp t="e">
        <v>#N/A</v>
        <stp/>
        <stp>BDS|2572763955399212673</stp>
        <tr r="Z5" s="63"/>
      </tp>
      <tp t="e">
        <v>#N/A</v>
        <stp/>
        <stp>BDS|6761280323658834149</stp>
        <tr r="IG5" s="118"/>
      </tp>
      <tp t="e">
        <v>#N/A</v>
        <stp/>
        <stp>BDS|3164321460811772843</stp>
        <tr r="CR5" s="59"/>
      </tp>
      <tp t="e">
        <v>#N/A</v>
        <stp/>
        <stp>BDS|6309503377879211261</stp>
        <tr r="IB5" s="19"/>
      </tp>
      <tp t="e">
        <v>#N/A</v>
        <stp/>
        <stp>BDS|8231184673802908307</stp>
        <tr r="JA5" s="13"/>
      </tp>
      <tp t="e">
        <v>#N/A</v>
        <stp/>
        <stp>BDS|4929386912789097034</stp>
        <tr r="K5" s="86"/>
      </tp>
      <tp t="e">
        <v>#N/A</v>
        <stp/>
        <stp>BDS|5755529632544429834</stp>
        <tr r="DV5" s="76"/>
      </tp>
      <tp t="e">
        <v>#N/A</v>
        <stp/>
        <stp>BDS|8501360045837433727</stp>
        <tr r="IV5" s="33"/>
      </tp>
      <tp t="e">
        <v>#N/A</v>
        <stp/>
        <stp>BDS|8473009933951430538</stp>
        <tr r="CH5" s="4"/>
      </tp>
      <tp t="e">
        <v>#N/A</v>
        <stp/>
        <stp>BDS|6270455234639591760</stp>
        <tr r="OA5" s="86"/>
      </tp>
      <tp t="e">
        <v>#N/A</v>
        <stp/>
        <stp>BDS|6209729611989294634</stp>
        <tr r="FT5" s="93"/>
      </tp>
      <tp t="e">
        <v>#N/A</v>
        <stp/>
        <stp>BDS|9547218923453474532</stp>
        <tr r="P5" s="21"/>
      </tp>
      <tp t="e">
        <v>#N/A</v>
        <stp/>
        <stp>BDS|3361721191365648762</stp>
        <tr r="MW5" s="12"/>
      </tp>
      <tp t="e">
        <v>#N/A</v>
        <stp/>
        <stp>BDS|4228849675366597263</stp>
        <tr r="EF5" s="31"/>
      </tp>
      <tp t="e">
        <v>#N/A</v>
        <stp/>
        <stp>BDS|7511973127105361666</stp>
        <tr r="FY5" s="90"/>
      </tp>
      <tp t="e">
        <v>#N/A</v>
        <stp/>
        <stp>BDS|3298702021860763945</stp>
        <tr r="LX5" s="72"/>
      </tp>
      <tp t="e">
        <v>#N/A</v>
        <stp/>
        <stp>BDS|3218700719332301883</stp>
        <tr r="DV5" s="3"/>
      </tp>
      <tp t="e">
        <v>#N/A</v>
        <stp/>
        <stp>BDS|3950404279876275928</stp>
        <tr r="LS5" s="93"/>
      </tp>
      <tp t="e">
        <v>#N/A</v>
        <stp/>
        <stp>BDS|2721637144978428748</stp>
        <tr r="JK5" s="122"/>
      </tp>
      <tp t="e">
        <v>#N/A</v>
        <stp/>
        <stp>BDS|3011531393118677862</stp>
        <tr r="IV5" s="63"/>
      </tp>
      <tp t="e">
        <v>#N/A</v>
        <stp/>
        <stp>BDS|4760850657921485712</stp>
        <tr r="EA5" s="13"/>
      </tp>
      <tp t="e">
        <v>#N/A</v>
        <stp/>
        <stp>BDS|1924413949529683779</stp>
        <tr r="GX5" s="60"/>
      </tp>
      <tp t="e">
        <v>#N/A</v>
        <stp/>
        <stp>BDS|3539505715740413845</stp>
        <tr r="P5" s="123"/>
      </tp>
      <tp t="e">
        <v>#N/A</v>
        <stp/>
        <stp>BDS|6778533583364088065</stp>
        <tr r="FE5" s="105"/>
      </tp>
      <tp t="e">
        <v>#N/A</v>
        <stp/>
        <stp>BDS|1987486456529626602</stp>
        <tr r="BD5" s="21"/>
      </tp>
      <tp t="e">
        <v>#N/A</v>
        <stp/>
        <stp>BDS|6874608309799575654</stp>
        <tr r="FE5" s="8"/>
      </tp>
      <tp t="e">
        <v>#N/A</v>
        <stp/>
        <stp>BDS|5440424571348258148</stp>
        <tr r="JF5" s="85"/>
      </tp>
      <tp t="e">
        <v>#N/A</v>
        <stp/>
        <stp>BDS|7357101898429279988</stp>
        <tr r="HW5" s="34"/>
      </tp>
      <tp t="e">
        <v>#N/A</v>
        <stp/>
        <stp>BDS|8155240119101983540</stp>
        <tr r="DV5" s="40"/>
      </tp>
      <tp t="e">
        <v>#N/A</v>
        <stp/>
        <stp>BDS|5509032236139669079</stp>
        <tr r="MC5" s="68"/>
      </tp>
      <tp t="e">
        <v>#N/A</v>
        <stp/>
        <stp>BDS|2194576627138705273</stp>
        <tr r="BX5" s="79"/>
      </tp>
      <tp t="e">
        <v>#N/A</v>
        <stp/>
        <stp>BDS|4213181581837933536</stp>
        <tr r="FJ5" s="36"/>
      </tp>
      <tp t="e">
        <v>#N/A</v>
        <stp/>
        <stp>BDS|5666682081657903370</stp>
        <tr r="GS5" s="59"/>
      </tp>
      <tp t="e">
        <v>#N/A</v>
        <stp/>
        <stp>BDS|5257064413662274942</stp>
        <tr r="HW5" s="48"/>
      </tp>
      <tp t="e">
        <v>#N/A</v>
        <stp/>
        <stp>BDS|5730132402188708303</stp>
        <tr r="NV5" s="108"/>
      </tp>
      <tp t="e">
        <v>#N/A</v>
        <stp/>
        <stp>BDS|7587372552536795865</stp>
        <tr r="FT5" s="46"/>
      </tp>
      <tp t="e">
        <v>#N/A</v>
        <stp/>
        <stp>BDS|3608403987368325832</stp>
        <tr r="BS5" s="15"/>
      </tp>
      <tp t="e">
        <v>#N/A</v>
        <stp/>
        <stp>BDS|8229189323287883300</stp>
        <tr r="HC5" s="47"/>
      </tp>
      <tp t="e">
        <v>#N/A</v>
        <stp/>
        <stp>BDS|9793148003780038714</stp>
        <tr r="EK5" s="8"/>
      </tp>
      <tp t="e">
        <v>#N/A</v>
        <stp/>
        <stp>BDS|6632071784819379879</stp>
        <tr r="MR5" s="119"/>
      </tp>
      <tp t="e">
        <v>#N/A</v>
        <stp/>
        <stp>BDS|7323531803275741851</stp>
        <tr r="GN5" s="86"/>
      </tp>
      <tp t="e">
        <v>#N/A</v>
        <stp/>
        <stp>BDS|7166822689038939022</stp>
        <tr r="AO5" s="28"/>
      </tp>
      <tp t="e">
        <v>#N/A</v>
        <stp/>
        <stp>BDS|7858137213771107980</stp>
        <tr r="DQ5" s="53"/>
      </tp>
      <tp t="e">
        <v>#N/A</v>
        <stp/>
        <stp>BDS|9700460721911440127</stp>
        <tr r="MM5" s="67"/>
      </tp>
      <tp t="e">
        <v>#N/A</v>
        <stp/>
        <stp>BDS|8958010620753686680</stp>
        <tr r="IB5" s="1"/>
      </tp>
      <tp t="e">
        <v>#N/A</v>
        <stp/>
        <stp>BDS|5901878379690416556</stp>
        <tr r="LN5" s="41"/>
      </tp>
      <tp t="e">
        <v>#N/A</v>
        <stp/>
        <stp>BDS|2254944497664787900</stp>
        <tr r="DG5" s="91"/>
      </tp>
      <tp t="e">
        <v>#N/A</v>
        <stp/>
        <stp>BDS|4526976118583935051</stp>
        <tr r="BI5" s="35"/>
      </tp>
      <tp t="e">
        <v>#N/A</v>
        <stp/>
        <stp>BDS|4982361015540557999</stp>
        <tr r="AT5" s="110"/>
      </tp>
      <tp t="e">
        <v>#N/A</v>
        <stp/>
        <stp>BDS|9184540617956116450</stp>
        <tr r="AY5" s="53"/>
      </tp>
      <tp t="e">
        <v>#N/A</v>
        <stp/>
        <stp>BDS|4913920222710863077</stp>
        <tr r="NG5" s="15"/>
      </tp>
      <tp t="e">
        <v>#N/A</v>
        <stp/>
        <stp>BDS|1776315450721109912</stp>
        <tr r="EP5" s="125"/>
      </tp>
      <tp t="e">
        <v>#N/A</v>
        <stp/>
        <stp>BDS|6117913171601720602</stp>
        <tr r="GD5" s="40"/>
      </tp>
      <tp t="e">
        <v>#N/A</v>
        <stp/>
        <stp>BDS|8086204350610183076</stp>
        <tr r="Z5" s="3"/>
      </tp>
      <tp t="e">
        <v>#N/A</v>
        <stp/>
        <stp>BDS|4698342638378890345</stp>
        <tr r="EP5" s="38"/>
      </tp>
      <tp t="e">
        <v>#N/A</v>
        <stp/>
        <stp>BDS|4127461038088815417</stp>
        <tr r="KE5" s="38"/>
      </tp>
      <tp t="e">
        <v>#N/A</v>
        <stp/>
        <stp>BDS|7530563268489470296</stp>
        <tr r="GX5" s="21"/>
      </tp>
      <tp t="e">
        <v>#N/A</v>
        <stp/>
        <stp>BDS|2186701771224630912</stp>
        <tr r="GS5" s="73"/>
      </tp>
      <tp t="e">
        <v>#N/A</v>
        <stp/>
        <stp>BDS|6692195219961359828</stp>
        <tr r="GN5" s="119"/>
      </tp>
      <tp t="e">
        <v>#N/A</v>
        <stp/>
        <stp>BDS|4413006972938736464</stp>
        <tr r="KJ5" s="123"/>
      </tp>
      <tp t="e">
        <v>#N/A</v>
        <stp/>
        <stp>BDS|7576259326451204934</stp>
        <tr r="FO5" s="115"/>
      </tp>
      <tp t="e">
        <v>#N/A</v>
        <stp/>
        <stp>BDS|8741712374172481511</stp>
        <tr r="JF5" s="23"/>
      </tp>
      <tp t="e">
        <v>#N/A</v>
        <stp/>
        <stp>BDS|8213629007657836682</stp>
        <tr r="EK5" s="92"/>
      </tp>
      <tp t="e">
        <v>#N/A</v>
        <stp/>
        <stp>BDS|1184490283407584598</stp>
        <tr r="IV5" s="66"/>
      </tp>
      <tp t="e">
        <v>#N/A</v>
        <stp/>
        <stp>BDS|1220814154845928691</stp>
        <tr r="NQ5" s="118"/>
      </tp>
      <tp t="e">
        <v>#N/A</v>
        <stp/>
        <stp>BDS|9115448752687991096</stp>
        <tr r="EF5" s="58"/>
      </tp>
      <tp t="e">
        <v>#N/A</v>
        <stp/>
        <stp>BDS|1858621863307966970</stp>
        <tr r="LI5" s="78"/>
      </tp>
      <tp t="e">
        <v>#N/A</v>
        <stp/>
        <stp>BDS|4362404869541858854</stp>
        <tr r="FO5" s="97"/>
      </tp>
      <tp t="e">
        <v>#N/A</v>
        <stp/>
        <stp>BDS|3569220937028753505</stp>
        <tr r="LX5" s="36"/>
      </tp>
      <tp t="e">
        <v>#N/A</v>
        <stp/>
        <stp>BDS|5429068394055780665</stp>
        <tr r="JF5" s="60"/>
      </tp>
      <tp t="e">
        <v>#N/A</v>
        <stp/>
        <stp>BDS|9773458070761197445</stp>
        <tr r="CW5" s="39"/>
      </tp>
      <tp t="e">
        <v>#N/A</v>
        <stp/>
        <stp>BDS|5145822715194130700</stp>
        <tr r="MR5" s="3"/>
      </tp>
      <tp t="e">
        <v>#N/A</v>
        <stp/>
        <stp>BDS|8303683373652646494</stp>
        <tr r="CM5" s="22"/>
      </tp>
      <tp t="e">
        <v>#N/A</v>
        <stp/>
        <stp>BDS|7352819416073706276</stp>
        <tr r="EP5" s="101"/>
      </tp>
      <tp t="e">
        <v>#N/A</v>
        <stp/>
        <stp>BDS|4214234385205495445</stp>
        <tr r="DB5" s="10"/>
      </tp>
      <tp t="e">
        <v>#N/A</v>
        <stp/>
        <stp>BDS|8296088330845951174</stp>
        <tr r="CM5" s="78"/>
      </tp>
      <tp t="e">
        <v>#N/A</v>
        <stp/>
        <stp>BDS|1211131372971027972</stp>
        <tr r="JU5" s="24"/>
      </tp>
      <tp t="e">
        <v>#N/A</v>
        <stp/>
        <stp>BDS|6073539286666146202</stp>
        <tr r="LI5" s="106"/>
      </tp>
      <tp t="e">
        <v>#N/A</v>
        <stp/>
        <stp>BDS|2442977604916256210</stp>
        <tr r="KO5" s="79"/>
      </tp>
      <tp t="e">
        <v>#N/A</v>
        <stp/>
        <stp>BDS|1018729017501864994</stp>
        <tr r="GD5" s="16"/>
      </tp>
      <tp t="e">
        <v>#N/A</v>
        <stp/>
        <stp>BDS|8883486360705534016</stp>
        <tr r="KO5" s="62"/>
      </tp>
      <tp t="e">
        <v>#N/A</v>
        <stp/>
        <stp>BDS|2752223950912404853</stp>
        <tr r="BN5" s="50"/>
      </tp>
      <tp t="e">
        <v>#N/A</v>
        <stp/>
        <stp>BDS|9541045093748023769</stp>
        <tr r="EP5" s="18"/>
      </tp>
      <tp t="e">
        <v>#N/A</v>
        <stp/>
        <stp>BDS|2481512238289132286</stp>
        <tr r="A5" s="60"/>
      </tp>
      <tp t="e">
        <v>#N/A</v>
        <stp/>
        <stp>BDS|9519620135350121373</stp>
        <tr r="NB5" s="18"/>
      </tp>
      <tp t="e">
        <v>#N/A</v>
        <stp/>
        <stp>BDS|7718991705054648594</stp>
        <tr r="CW5" s="93"/>
      </tp>
      <tp t="e">
        <v>#N/A</v>
        <stp/>
        <stp>BDS|2933384330294727927</stp>
        <tr r="JU5" s="84"/>
      </tp>
      <tp t="e">
        <v>#N/A</v>
        <stp/>
        <stp>BDS|2750485347098872546</stp>
        <tr r="IV5" s="53"/>
      </tp>
      <tp t="e">
        <v>#N/A</v>
        <stp/>
        <stp>BDS|2274307196755309231</stp>
        <tr r="LN5" s="81"/>
      </tp>
      <tp t="e">
        <v>#N/A</v>
        <stp/>
        <stp>BDS|4840755560693015991</stp>
        <tr r="LI5" s="52"/>
      </tp>
      <tp t="e">
        <v>#N/A</v>
        <stp/>
        <stp>BDS|6390878723842441179</stp>
        <tr r="NQ5" s="44"/>
      </tp>
      <tp t="e">
        <v>#N/A</v>
        <stp/>
        <stp>BDS|3972244708519209732</stp>
        <tr r="GI5" s="99"/>
      </tp>
      <tp t="e">
        <v>#N/A</v>
        <stp/>
        <stp>BDS|3732635098657950410</stp>
        <tr r="CM5" s="75"/>
      </tp>
      <tp t="e">
        <v>#N/A</v>
        <stp/>
        <stp>BDS|2729586987071854144</stp>
        <tr r="HW5" s="107"/>
      </tp>
      <tp t="e">
        <v>#N/A</v>
        <stp/>
        <stp>BDS|9888028326757177395</stp>
        <tr r="HR5" s="112"/>
      </tp>
      <tp t="e">
        <v>#N/A</v>
        <stp/>
        <stp>BDS|5356803913773433007</stp>
        <tr r="P5" s="52"/>
      </tp>
      <tp t="e">
        <v>#N/A</v>
        <stp/>
        <stp>BDS|5999887062467144374</stp>
        <tr r="EF5" s="46"/>
      </tp>
      <tp t="e">
        <v>#N/A</v>
        <stp/>
        <stp>BDS|3339640921781240918</stp>
        <tr r="JA5" s="105"/>
      </tp>
      <tp t="e">
        <v>#N/A</v>
        <stp/>
        <stp>BDS|8534202518106168294</stp>
        <tr r="MR5" s="72"/>
      </tp>
      <tp t="e">
        <v>#N/A</v>
        <stp/>
        <stp>BDS|4610904872774234132</stp>
        <tr r="HM5" s="4"/>
      </tp>
      <tp t="e">
        <v>#N/A</v>
        <stp/>
        <stp>BDS|8615666140863349668</stp>
        <tr r="BI5" s="47"/>
      </tp>
      <tp t="e">
        <v>#N/A</v>
        <stp/>
        <stp>BDS|8450255344122094308</stp>
        <tr r="OA5" s="101"/>
      </tp>
      <tp t="e">
        <v>#N/A</v>
        <stp/>
        <stp>BDS|7784049687145515540</stp>
        <tr r="BI5" s="125"/>
      </tp>
      <tp t="e">
        <v>#N/A</v>
        <stp/>
        <stp>BDS|3922415896626295799</stp>
        <tr r="DL5" s="95"/>
      </tp>
      <tp t="e">
        <v>#N/A</v>
        <stp/>
        <stp>BDS|8077845598794059296</stp>
        <tr r="NQ5" s="34"/>
      </tp>
      <tp t="e">
        <v>#N/A</v>
        <stp/>
        <stp>BDS|3377579828203998801</stp>
        <tr r="CW5" s="27"/>
      </tp>
      <tp t="e">
        <v>#N/A</v>
        <stp/>
        <stp>BDS|6657675284231837685</stp>
        <tr r="LI5" s="97"/>
      </tp>
      <tp t="e">
        <v>#N/A</v>
        <stp/>
        <stp>BDS|7338243753787219833</stp>
        <tr r="MM5" s="58"/>
      </tp>
      <tp t="e">
        <v>#N/A</v>
        <stp/>
        <stp>BDS|4462979661613135092</stp>
        <tr r="DV5" s="68"/>
      </tp>
      <tp t="e">
        <v>#N/A</v>
        <stp/>
        <stp>BDS|6487070729069021503</stp>
        <tr r="DL5" s="112"/>
      </tp>
      <tp t="e">
        <v>#N/A</v>
        <stp/>
        <stp>BDS|1246124538693396811</stp>
        <tr r="Z5" s="113"/>
      </tp>
      <tp t="e">
        <v>#N/A</v>
        <stp/>
        <stp>BDS|2626731298837023376</stp>
        <tr r="KT5" s="50"/>
      </tp>
      <tp t="e">
        <v>#N/A</v>
        <stp/>
        <stp>BDS|5842106017249481415</stp>
        <tr r="MR5" s="107"/>
      </tp>
      <tp t="e">
        <v>#N/A</v>
        <stp/>
        <stp>BDS|3606512583174913270</stp>
        <tr r="OF5" s="87"/>
      </tp>
      <tp t="e">
        <v>#N/A</v>
        <stp/>
        <stp>BDS|3090361799322581300</stp>
        <tr r="FE5" s="54"/>
      </tp>
      <tp t="e">
        <v>#N/A</v>
        <stp/>
        <stp>BDS|8157251359425566225</stp>
        <tr r="CC5" s="25"/>
      </tp>
      <tp t="e">
        <v>#N/A</v>
        <stp/>
        <stp>BDS|8859933825763742835</stp>
        <tr r="FT5" s="116"/>
      </tp>
      <tp t="e">
        <v>#N/A</v>
        <stp/>
        <stp>BDS|9052454268431512224</stp>
        <tr r="JP5" s="26"/>
      </tp>
      <tp t="e">
        <v>#N/A</v>
        <stp/>
        <stp>BDS|7811019101659568678</stp>
        <tr r="DG5" s="96"/>
      </tp>
      <tp t="e">
        <v>#N/A</v>
        <stp/>
        <stp>BDS|5560298170941232945</stp>
        <tr r="CR5" s="95"/>
      </tp>
      <tp t="e">
        <v>#N/A</v>
        <stp/>
        <stp>BDS|7067432508543556841</stp>
        <tr r="DB5" s="73"/>
      </tp>
      <tp t="e">
        <v>#N/A</v>
        <stp/>
        <stp>BDS|9257696270309757960</stp>
        <tr r="CW5" s="29"/>
      </tp>
      <tp t="e">
        <v>#N/A</v>
        <stp/>
        <stp>BDS|5026860783288956560</stp>
        <tr r="AT5" s="87"/>
      </tp>
      <tp t="e">
        <v>#N/A</v>
        <stp/>
        <stp>BDS|5835319588553870523</stp>
        <tr r="CH5" s="15"/>
      </tp>
      <tp t="e">
        <v>#N/A</v>
        <stp/>
        <stp>BDS|1486116612350563990</stp>
        <tr r="F5" s="89"/>
      </tp>
      <tp t="e">
        <v>#N/A</v>
        <stp/>
        <stp>BDS|3193434019129828785</stp>
        <tr r="HM5" s="77"/>
      </tp>
      <tp t="e">
        <v>#N/A</v>
        <stp/>
        <stp>BDS|8542765289177007818</stp>
        <tr r="HW5" s="113"/>
      </tp>
      <tp t="e">
        <v>#N/A</v>
        <stp/>
        <stp>BDS|2981481547409505383</stp>
        <tr r="DB5" s="114"/>
      </tp>
      <tp t="e">
        <v>#N/A</v>
        <stp/>
        <stp>BDS|9731177359463166638</stp>
        <tr r="IQ5" s="75"/>
      </tp>
      <tp t="e">
        <v>#N/A</v>
        <stp/>
        <stp>BDS|9936031935451217368</stp>
        <tr r="CC5" s="124"/>
      </tp>
      <tp t="e">
        <v>#N/A</v>
        <stp/>
        <stp>BDS|1460999594599609046</stp>
        <tr r="JA5" s="83"/>
      </tp>
      <tp t="e">
        <v>#N/A</v>
        <stp/>
        <stp>BDS|8934345523100041151</stp>
        <tr r="BI5" s="7"/>
      </tp>
      <tp t="e">
        <v>#N/A</v>
        <stp/>
        <stp>BDS|2393244091104470599</stp>
        <tr r="DV5" s="115"/>
        <tr r="MR5" s="108"/>
      </tp>
      <tp t="e">
        <v>#N/A</v>
        <stp/>
        <stp>BDS|3713757679288177312</stp>
        <tr r="EP5" s="32"/>
      </tp>
      <tp t="e">
        <v>#N/A</v>
        <stp/>
        <stp>BDS|4641084007129023525</stp>
        <tr r="FE5" s="46"/>
      </tp>
      <tp t="e">
        <v>#N/A</v>
        <stp/>
        <stp>BDS|7063787989444304493</stp>
        <tr r="NG5" s="2"/>
      </tp>
      <tp t="e">
        <v>#N/A</v>
        <stp/>
        <stp>BDS|4255692227478462031</stp>
        <tr r="CM5" s="123"/>
      </tp>
      <tp t="e">
        <v>#N/A</v>
        <stp/>
        <stp>BDS|5764000142678627187</stp>
        <tr r="EK5" s="95"/>
      </tp>
      <tp t="e">
        <v>#N/A</v>
        <stp/>
        <stp>BDS|7709484787116589568</stp>
        <tr r="CM5" s="70"/>
      </tp>
      <tp t="e">
        <v>#N/A</v>
        <stp/>
        <stp>BDS|4981793968414129928</stp>
        <tr r="EA5" s="65"/>
      </tp>
      <tp t="e">
        <v>#N/A</v>
        <stp/>
        <stp>BDS|6728685189790984072</stp>
        <tr r="DG5" s="83"/>
      </tp>
      <tp t="e">
        <v>#N/A</v>
        <stp/>
        <stp>BDS|9920593369960951286</stp>
        <tr r="LN5" s="68"/>
      </tp>
      <tp t="e">
        <v>#N/A</v>
        <stp/>
        <stp>BDS|3999172926809688160</stp>
        <tr r="HH5" s="37"/>
      </tp>
      <tp t="e">
        <v>#N/A</v>
        <stp/>
        <stp>BDS|7964809401436579157</stp>
        <tr r="CH5" s="71"/>
      </tp>
      <tp t="e">
        <v>#N/A</v>
        <stp/>
        <stp>BDS|8575381779980855442</stp>
        <tr r="HW5" s="6"/>
      </tp>
      <tp t="e">
        <v>#N/A</v>
        <stp/>
        <stp>BDS|9061308338302817385</stp>
        <tr r="JP5" s="95"/>
      </tp>
      <tp t="e">
        <v>#N/A</v>
        <stp/>
        <stp>BDS|6388025082096807033</stp>
        <tr r="KY5" s="96"/>
      </tp>
      <tp t="e">
        <v>#N/A</v>
        <stp/>
        <stp>BDS|7496055388056440156</stp>
        <tr r="JZ5" s="108"/>
      </tp>
      <tp t="e">
        <v>#N/A</v>
        <stp/>
        <stp>BDS|4869343520154296962</stp>
        <tr r="FT5" s="105"/>
      </tp>
      <tp t="e">
        <v>#N/A</v>
        <stp/>
        <stp>BDS|4663989756848170812</stp>
        <tr r="FO5" s="1"/>
      </tp>
      <tp t="e">
        <v>#N/A</v>
        <stp/>
        <stp>BDS|6753769789781490040</stp>
        <tr r="AJ5" s="22"/>
      </tp>
      <tp t="e">
        <v>#N/A</v>
        <stp/>
        <stp>BDS|6988178277749831196</stp>
        <tr r="BS5" s="65"/>
      </tp>
      <tp t="e">
        <v>#N/A</v>
        <stp/>
        <stp>BDS|3784860076833648794</stp>
        <tr r="BI5" s="29"/>
      </tp>
      <tp t="e">
        <v>#N/A</v>
        <stp/>
        <stp>BDS|6255327623549218697</stp>
        <tr r="P5" s="9"/>
      </tp>
      <tp t="e">
        <v>#N/A</v>
        <stp/>
        <stp>BDS|5221110751481831823</stp>
        <tr r="DG5" s="120"/>
      </tp>
      <tp t="e">
        <v>#N/A</v>
        <stp/>
        <stp>BDS|8221626129297531343</stp>
        <tr r="AT5" s="14"/>
      </tp>
      <tp t="e">
        <v>#N/A</v>
        <stp/>
        <stp>BDS|9177450892774921875</stp>
        <tr r="LS5" s="49"/>
      </tp>
      <tp t="e">
        <v>#N/A</v>
        <stp/>
        <stp>BDS|2878164984225108636</stp>
        <tr r="IQ5" s="29"/>
      </tp>
      <tp t="e">
        <v>#N/A</v>
        <stp/>
        <stp>BDS|6283930377723919379</stp>
        <tr r="GS5" s="53"/>
      </tp>
      <tp t="e">
        <v>#N/A</v>
        <stp/>
        <stp>BDS|9861153610620029155</stp>
        <tr r="EU5" s="116"/>
      </tp>
      <tp t="e">
        <v>#N/A</v>
        <stp/>
        <stp>BDS|2700342032143945902</stp>
        <tr r="EU5" s="6"/>
      </tp>
      <tp t="e">
        <v>#N/A</v>
        <stp/>
        <stp>BDS|1964029397778737821</stp>
        <tr r="KE5" s="70"/>
      </tp>
      <tp t="e">
        <v>#N/A</v>
        <stp/>
        <stp>BDS|5922666117462483853</stp>
        <tr r="CC5" s="36"/>
      </tp>
      <tp t="e">
        <v>#N/A</v>
        <stp/>
        <stp>BDS|6899575692450456205</stp>
        <tr r="LX5" s="86"/>
      </tp>
      <tp t="e">
        <v>#N/A</v>
        <stp/>
        <stp>BDS|1198999057440538539</stp>
        <tr r="BS5" s="120"/>
      </tp>
      <tp t="e">
        <v>#N/A</v>
        <stp/>
        <stp>BDS|8843884830132869919</stp>
        <tr r="NV5" s="82"/>
      </tp>
      <tp t="e">
        <v>#N/A</v>
        <stp/>
        <stp>BDS|4766498316989197000</stp>
        <tr r="HW5" s="23"/>
      </tp>
      <tp t="e">
        <v>#N/A</v>
        <stp/>
        <stp>BDS|9776734535564088182</stp>
        <tr r="DQ5" s="70"/>
      </tp>
      <tp t="e">
        <v>#N/A</v>
        <stp/>
        <stp>BDS|5445950830114996310</stp>
        <tr r="AE5" s="86"/>
      </tp>
      <tp t="e">
        <v>#N/A</v>
        <stp/>
        <stp>BDS|1698145291187223682</stp>
        <tr r="GD5" s="39"/>
      </tp>
      <tp t="e">
        <v>#N/A</v>
        <stp/>
        <stp>BDS|8415408274011825216</stp>
        <tr r="NG5" s="94"/>
      </tp>
      <tp t="e">
        <v>#N/A</v>
        <stp/>
        <stp>BDS|4459263768161658950</stp>
        <tr r="EK5" s="85"/>
      </tp>
      <tp t="e">
        <v>#N/A</v>
        <stp/>
        <stp>BDS|9719762719755015217</stp>
        <tr r="CW5" s="25"/>
      </tp>
      <tp t="e">
        <v>#N/A</v>
        <stp/>
        <stp>BDS|9932071190009056174</stp>
        <tr r="FE5" s="87"/>
      </tp>
      <tp t="e">
        <v>#N/A</v>
        <stp/>
        <stp>BDS|6126587290170255222</stp>
        <tr r="IG5" s="106"/>
      </tp>
      <tp t="e">
        <v>#N/A</v>
        <stp/>
        <stp>BDS|7625120788275668336</stp>
        <tr r="MR5" s="40"/>
      </tp>
      <tp t="e">
        <v>#N/A</v>
        <stp/>
        <stp>BDS|2148614505725878941</stp>
        <tr r="AY5" s="21"/>
      </tp>
      <tp t="e">
        <v>#N/A</v>
        <stp/>
        <stp>BDS|4772452128453101927</stp>
        <tr r="K5" s="103"/>
      </tp>
      <tp t="e">
        <v>#N/A</v>
        <stp/>
        <stp>BDS|3037875143145498299</stp>
        <tr r="HC5" s="36"/>
      </tp>
      <tp t="e">
        <v>#N/A</v>
        <stp/>
        <stp>BDS|5904713859106925914</stp>
        <tr r="FE5" s="85"/>
      </tp>
      <tp t="e">
        <v>#N/A</v>
        <stp/>
        <stp>BDS|5587581183833656311</stp>
        <tr r="NG5" s="37"/>
      </tp>
      <tp t="e">
        <v>#N/A</v>
        <stp/>
        <stp>BDS|5520903648970648029</stp>
        <tr r="EK5" s="67"/>
      </tp>
      <tp t="e">
        <v>#N/A</v>
        <stp/>
        <stp>BDS|9267786051662755129</stp>
        <tr r="NV5" s="22"/>
      </tp>
      <tp t="e">
        <v>#N/A</v>
        <stp/>
        <stp>BDS|7504511488150484262</stp>
        <tr r="CC5" s="51"/>
      </tp>
      <tp t="e">
        <v>#N/A</v>
        <stp/>
        <stp>BDS|6298695855369871481</stp>
        <tr r="CC5" s="29"/>
      </tp>
      <tp t="e">
        <v>#N/A</v>
        <stp/>
        <stp>BDS|8805432059034984554</stp>
        <tr r="AO5" s="48"/>
      </tp>
      <tp t="e">
        <v>#N/A</v>
        <stp/>
        <stp>BDS|6972711797744168409</stp>
        <tr r="IG5" s="95"/>
      </tp>
      <tp t="e">
        <v>#N/A</v>
        <stp/>
        <stp>BDS|2861481625865931920</stp>
        <tr r="FE5" s="21"/>
      </tp>
      <tp t="e">
        <v>#N/A</v>
        <stp/>
        <stp>BDS|3343948228396673675</stp>
        <tr r="FJ5" s="51"/>
      </tp>
      <tp t="e">
        <v>#N/A</v>
        <stp/>
        <stp>BDS|6649516857658962670</stp>
        <tr r="JU5" s="12"/>
      </tp>
      <tp t="e">
        <v>#N/A</v>
        <stp/>
        <stp>BDS|9720777246033150192</stp>
        <tr r="EF5" s="106"/>
      </tp>
      <tp t="e">
        <v>#N/A</v>
        <stp/>
        <stp>BDS|9050717759433155070</stp>
        <tr r="CC5" s="1"/>
      </tp>
      <tp t="e">
        <v>#N/A</v>
        <stp/>
        <stp>BDS|9579964779329437600</stp>
        <tr r="CC5" s="10"/>
      </tp>
      <tp t="e">
        <v>#N/A</v>
        <stp/>
        <stp>BDS|3354208278038782625</stp>
        <tr r="JU5" s="119"/>
      </tp>
      <tp t="e">
        <v>#N/A</v>
        <stp/>
        <stp>BDS|4155726990165815752</stp>
        <tr r="FE5" s="28"/>
      </tp>
      <tp t="e">
        <v>#N/A</v>
        <stp/>
        <stp>BDS|5711937676395865642</stp>
        <tr r="GX5" s="109"/>
      </tp>
      <tp t="e">
        <v>#N/A</v>
        <stp/>
        <stp>BDS|8780898571389403657</stp>
        <tr r="FJ5" s="50"/>
      </tp>
      <tp t="e">
        <v>#N/A</v>
        <stp/>
        <stp>BDS|6711832362842084299</stp>
        <tr r="AY5" s="82"/>
      </tp>
      <tp t="e">
        <v>#N/A</v>
        <stp/>
        <stp>BDS|8709165873100493697</stp>
        <tr r="FT5" s="33"/>
      </tp>
      <tp t="e">
        <v>#N/A</v>
        <stp/>
        <stp>BDS|1610048797600269083</stp>
        <tr r="BX5" s="102"/>
      </tp>
      <tp t="e">
        <v>#N/A</v>
        <stp/>
        <stp>BDS|6383392850688505007</stp>
        <tr r="DB5" s="91"/>
      </tp>
      <tp t="e">
        <v>#N/A</v>
        <stp/>
        <stp>BDS|9197451121222964537</stp>
        <tr r="EZ5" s="124"/>
      </tp>
      <tp t="e">
        <v>#N/A</v>
        <stp/>
        <stp>BDS|2818841034059393842</stp>
        <tr r="CR5" s="56"/>
      </tp>
      <tp t="e">
        <v>#N/A</v>
        <stp/>
        <stp>BDS|2058085407532788875</stp>
        <tr r="IB5" s="79"/>
      </tp>
      <tp t="e">
        <v>#N/A</v>
        <stp/>
        <stp>BDS|8893152250036762254</stp>
        <tr r="NB5" s="21"/>
      </tp>
      <tp t="e">
        <v>#N/A</v>
        <stp/>
        <stp>BDS|9829809674656227811</stp>
        <tr r="DG5" s="123"/>
      </tp>
      <tp t="e">
        <v>#N/A</v>
        <stp/>
        <stp>BDS|3850789866639925306</stp>
        <tr r="OA5" s="75"/>
      </tp>
      <tp t="e">
        <v>#N/A</v>
        <stp/>
        <stp>BDS|7402378447350343880</stp>
        <tr r="MM5" s="32"/>
      </tp>
      <tp t="e">
        <v>#N/A</v>
        <stp/>
        <stp>BDS|9402291180072751956</stp>
        <tr r="JA5" s="16"/>
      </tp>
      <tp t="e">
        <v>#N/A</v>
        <stp/>
        <stp>BDS|8242787534000003410</stp>
        <tr r="JA5" s="84"/>
      </tp>
      <tp t="e">
        <v>#N/A</v>
        <stp/>
        <stp>BDS|5514283150438074222</stp>
        <tr r="NL5" s="2"/>
      </tp>
      <tp t="e">
        <v>#N/A</v>
        <stp/>
        <stp>BDS|9839334826318734857</stp>
        <tr r="HC5" s="43"/>
      </tp>
      <tp t="e">
        <v>#N/A</v>
        <stp/>
        <stp>BDS|8666890034499646226</stp>
        <tr r="LN5" s="17"/>
      </tp>
      <tp t="e">
        <v>#N/A</v>
        <stp/>
        <stp>BDS|6356099519317574899</stp>
        <tr r="BI5" s="51"/>
      </tp>
      <tp t="e">
        <v>#N/A</v>
        <stp/>
        <stp>BDS|8642407308232654675</stp>
        <tr r="KO5" s="42"/>
      </tp>
      <tp t="e">
        <v>#N/A</v>
        <stp/>
        <stp>BDS|6240305330098938643</stp>
        <tr r="IV5" s="120"/>
      </tp>
      <tp t="e">
        <v>#N/A</v>
        <stp/>
        <stp>BDS|7375374088787061333</stp>
        <tr r="MM5" s="33"/>
      </tp>
      <tp t="e">
        <v>#N/A</v>
        <stp/>
        <stp>BDS|2664250960668802641</stp>
        <tr r="FT5" s="75"/>
      </tp>
      <tp t="e">
        <v>#N/A</v>
        <stp/>
        <stp>BDS|6866853775425305447</stp>
        <tr r="JF5" s="34"/>
      </tp>
      <tp t="e">
        <v>#N/A</v>
        <stp/>
        <stp>BDS|1185214555366201888</stp>
        <tr r="NQ5" s="21"/>
      </tp>
      <tp t="e">
        <v>#N/A</v>
        <stp/>
        <stp>BDS|9356600345474145782</stp>
        <tr r="AE5" s="3"/>
      </tp>
      <tp t="e">
        <v>#N/A</v>
        <stp/>
        <stp>BDS|9216673706582851545</stp>
        <tr r="MR5" s="12"/>
      </tp>
      <tp t="e">
        <v>#N/A</v>
        <stp/>
        <stp>BDS|3597585509907364987</stp>
        <tr r="NL5" s="58"/>
      </tp>
      <tp t="e">
        <v>#N/A</v>
        <stp/>
        <stp>BDS|9403723394599417693</stp>
        <tr r="LS5" s="65"/>
      </tp>
      <tp t="e">
        <v>#N/A</v>
        <stp/>
        <stp>BDS|9788907901649057199</stp>
        <tr r="GS5" s="113"/>
      </tp>
      <tp t="e">
        <v>#N/A</v>
        <stp/>
        <stp>BDS|9099561257882639386</stp>
        <tr r="CR5" s="1"/>
      </tp>
      <tp t="e">
        <v>#N/A</v>
        <stp/>
        <stp>BDS|4852567033939366326</stp>
        <tr r="HM5" s="67"/>
      </tp>
      <tp t="e">
        <v>#N/A</v>
        <stp/>
        <stp>BDS|3822603684535664069</stp>
        <tr r="FT5" s="58"/>
      </tp>
      <tp t="e">
        <v>#N/A</v>
        <stp/>
        <stp>BDS|4818972645325208448</stp>
        <tr r="HM5" s="21"/>
      </tp>
      <tp t="e">
        <v>#N/A</v>
        <stp/>
        <stp>BDS|7862016542633370849</stp>
        <tr r="HH5" s="38"/>
      </tp>
      <tp t="e">
        <v>#N/A</v>
        <stp/>
        <stp>BDS|3492006898281127317</stp>
        <tr r="AE5" s="102"/>
      </tp>
      <tp t="e">
        <v>#N/A</v>
        <stp/>
        <stp>BDS|8984309566364225118</stp>
        <tr r="GX5" s="71"/>
      </tp>
      <tp t="e">
        <v>#N/A</v>
        <stp/>
        <stp>BDS|5484763291536692598</stp>
        <tr r="CW5" s="106"/>
      </tp>
      <tp t="e">
        <v>#N/A</v>
        <stp/>
        <stp>BDS|8144438997739171480</stp>
        <tr r="IV5" s="83"/>
      </tp>
      <tp t="e">
        <v>#N/A</v>
        <stp/>
        <stp>BDS|9441612628475195006</stp>
        <tr r="CR5" s="39"/>
      </tp>
      <tp t="e">
        <v>#N/A</v>
        <stp/>
        <stp>BDS|3805279313428633063</stp>
        <tr r="BX5" s="43"/>
      </tp>
      <tp t="e">
        <v>#N/A</v>
        <stp/>
        <stp>BDS|6964125484347135020</stp>
        <tr r="A5" s="102"/>
      </tp>
      <tp t="e">
        <v>#N/A</v>
        <stp/>
        <stp>BDS|8857825464248357617</stp>
        <tr r="GN5" s="2"/>
      </tp>
      <tp t="e">
        <v>#N/A</v>
        <stp/>
        <stp>BDS|3144021572398575481</stp>
        <tr r="CM5" s="42"/>
      </tp>
      <tp t="e">
        <v>#N/A</v>
        <stp/>
        <stp>BDS|5965012292493053765</stp>
        <tr r="EA5" s="94"/>
      </tp>
      <tp t="e">
        <v>#N/A</v>
        <stp/>
        <stp>BDS|4141292819718883758</stp>
        <tr r="Z5" s="106"/>
      </tp>
      <tp t="e">
        <v>#N/A</v>
        <stp/>
        <stp>BDS|1720130882783868325</stp>
        <tr r="NB5" s="49"/>
      </tp>
      <tp t="e">
        <v>#N/A</v>
        <stp/>
        <stp>BDS|9457943398142525312</stp>
        <tr r="MH5" s="115"/>
      </tp>
      <tp t="e">
        <v>#N/A</v>
        <stp/>
        <stp>BDS|5493386954929503211</stp>
        <tr r="FO5" s="62"/>
      </tp>
      <tp t="e">
        <v>#N/A</v>
        <stp/>
        <stp>BDS|2244922164305020083</stp>
        <tr r="GD5" s="96"/>
      </tp>
      <tp t="e">
        <v>#N/A</v>
        <stp/>
        <stp>BDS|2596699823797215912</stp>
        <tr r="NV5" s="63"/>
      </tp>
      <tp t="e">
        <v>#N/A</v>
        <stp/>
        <stp>BDS|4534985408883880613</stp>
        <tr r="KT5" s="8"/>
      </tp>
      <tp t="e">
        <v>#N/A</v>
        <stp/>
        <stp>BDS|5206862716306797282</stp>
        <tr r="F5" s="93"/>
      </tp>
      <tp t="e">
        <v>#N/A</v>
        <stp/>
        <stp>BDS|8455838088384075422</stp>
        <tr r="AY5" s="113"/>
      </tp>
      <tp t="e">
        <v>#N/A</v>
        <stp/>
        <stp>BDS|9097034949973696614</stp>
        <tr r="BI5" s="26"/>
      </tp>
      <tp t="e">
        <v>#N/A</v>
        <stp/>
        <stp>BDS|2032885194752051918</stp>
        <tr r="AJ5" s="86"/>
      </tp>
      <tp t="e">
        <v>#N/A</v>
        <stp/>
        <stp>BDS|6936000493776695111</stp>
        <tr r="DQ5" s="99"/>
      </tp>
      <tp t="e">
        <v>#N/A</v>
        <stp/>
        <stp>BDS|1868519916875334817</stp>
        <tr r="EU5" s="78"/>
      </tp>
      <tp t="e">
        <v>#N/A</v>
        <stp/>
        <stp>BDS|9496050855504951009</stp>
        <tr r="GI5" s="23"/>
      </tp>
      <tp t="e">
        <v>#N/A</v>
        <stp/>
        <stp>BDS|5138842722373320496</stp>
        <tr r="DL5" s="26"/>
      </tp>
      <tp t="e">
        <v>#N/A</v>
        <stp/>
        <stp>BDS|1690968259602659725</stp>
        <tr r="IV5" s="110"/>
      </tp>
      <tp t="e">
        <v>#N/A</v>
        <stp/>
        <stp>BDS|8760542479501003374</stp>
        <tr r="NV5" s="112"/>
      </tp>
      <tp t="e">
        <v>#N/A</v>
        <stp/>
        <stp>BDS|1769370937731332897</stp>
        <tr r="MC5" s="100"/>
      </tp>
      <tp t="e">
        <v>#N/A</v>
        <stp/>
        <stp>BDS|2090689841691355989</stp>
        <tr r="KJ5" s="27"/>
      </tp>
      <tp t="e">
        <v>#N/A</v>
        <stp/>
        <stp>BDS|1749636407448397727</stp>
        <tr r="EU5" s="25"/>
      </tp>
      <tp t="e">
        <v>#N/A</v>
        <stp/>
        <stp>BDS|5884265883327821074</stp>
        <tr r="IQ5" s="36"/>
      </tp>
      <tp t="e">
        <v>#N/A</v>
        <stp/>
        <stp>BDS|2816823529854771464</stp>
        <tr r="P5" s="55"/>
      </tp>
      <tp t="e">
        <v>#N/A</v>
        <stp/>
        <stp>BDS|9896074638364270677</stp>
        <tr r="DG5" s="58"/>
      </tp>
      <tp t="e">
        <v>#N/A</v>
        <stp/>
        <stp>BDS|8707142673912526476</stp>
        <tr r="JK5" s="69"/>
      </tp>
      <tp t="e">
        <v>#N/A</v>
        <stp/>
        <stp>BDS|3361909129262877205</stp>
        <tr r="JA5" s="11"/>
      </tp>
      <tp t="e">
        <v>#N/A</v>
        <stp/>
        <stp>BDS|2571676218534108999</stp>
        <tr r="DG5" s="115"/>
      </tp>
      <tp t="e">
        <v>#N/A</v>
        <stp/>
        <stp>BDS|9280560933057539009</stp>
        <tr r="GX5" s="100"/>
      </tp>
      <tp t="e">
        <v>#N/A</v>
        <stp/>
        <stp>BDS|8686654071198581957</stp>
        <tr r="JK5" s="66"/>
      </tp>
      <tp t="e">
        <v>#N/A</v>
        <stp/>
        <stp>BDS|4568152781286556360</stp>
        <tr r="GS5" s="35"/>
      </tp>
      <tp t="e">
        <v>#N/A</v>
        <stp/>
        <stp>BDS|6689865775682215359</stp>
        <tr r="GX5" s="34"/>
      </tp>
      <tp t="e">
        <v>#N/A</v>
        <stp/>
        <stp>BDS|5467604744369569674</stp>
        <tr r="OF5" s="96"/>
      </tp>
      <tp t="e">
        <v>#N/A</v>
        <stp/>
        <stp>BDS|5471429415220788867</stp>
        <tr r="GN5" s="80"/>
      </tp>
      <tp t="e">
        <v>#N/A</v>
        <stp/>
        <stp>BDS|4379893053329832837</stp>
        <tr r="BS5" s="56"/>
      </tp>
      <tp t="e">
        <v>#N/A</v>
        <stp/>
        <stp>BDS|2510901539766929676</stp>
        <tr r="IB5" s="7"/>
      </tp>
      <tp t="e">
        <v>#N/A</v>
        <stp/>
        <stp>BDS|4636102891616229275</stp>
        <tr r="JU5" s="102"/>
      </tp>
      <tp t="e">
        <v>#N/A</v>
        <stp/>
        <stp>BDS|9483565246803125371</stp>
        <tr r="F5" s="8"/>
      </tp>
      <tp t="e">
        <v>#N/A</v>
        <stp/>
        <stp>BDS|9343766699329742693</stp>
        <tr r="IL5" s="68"/>
      </tp>
      <tp t="e">
        <v>#N/A</v>
        <stp/>
        <stp>BDS|3329711890615948097</stp>
        <tr r="JU5" s="56"/>
      </tp>
      <tp t="e">
        <v>#N/A</v>
        <stp/>
        <stp>BDS|2117614416609759432</stp>
        <tr r="MM5" s="70"/>
      </tp>
      <tp t="e">
        <v>#N/A</v>
        <stp/>
        <stp>BDS|6731574281256630553</stp>
        <tr r="FO5" s="122"/>
      </tp>
      <tp t="e">
        <v>#N/A</v>
        <stp/>
        <stp>BDS|6111837395686207975</stp>
        <tr r="KY5" s="27"/>
      </tp>
      <tp t="e">
        <v>#N/A</v>
        <stp/>
        <stp>BDS|6516040807037020946</stp>
        <tr r="AO5" s="105"/>
      </tp>
      <tp t="e">
        <v>#N/A</v>
        <stp/>
        <stp>BDS|8446353764602694703</stp>
        <tr r="IG5" s="45"/>
      </tp>
      <tp t="e">
        <v>#N/A</v>
        <stp/>
        <stp>BDS|8224479327835095312</stp>
        <tr r="JU5" s="28"/>
      </tp>
      <tp t="e">
        <v>#N/A</v>
        <stp/>
        <stp>BDS|7757526260004231849</stp>
        <tr r="IB5" s="89"/>
      </tp>
      <tp t="e">
        <v>#N/A</v>
        <stp/>
        <stp>BDS|9136930354139499412</stp>
        <tr r="EZ5" s="67"/>
      </tp>
      <tp t="e">
        <v>#N/A</v>
        <stp/>
        <stp>BDS|8127879655604322931</stp>
        <tr r="MR5" s="20"/>
      </tp>
      <tp t="e">
        <v>#N/A</v>
        <stp/>
        <stp>BDS|2251457151539308269</stp>
        <tr r="Z5" s="68"/>
      </tp>
      <tp t="e">
        <v>#N/A</v>
        <stp/>
        <stp>BDS|5702541016750300959</stp>
        <tr r="GI5" s="109"/>
      </tp>
      <tp t="e">
        <v>#N/A</v>
        <stp/>
        <stp>BDS|9414506880698497435</stp>
        <tr r="OA5" s="94"/>
      </tp>
      <tp t="e">
        <v>#N/A</v>
        <stp/>
        <stp>BDS|4283720582297905487</stp>
        <tr r="NB5" s="80"/>
      </tp>
      <tp t="e">
        <v>#N/A</v>
        <stp/>
        <stp>BDS|4989670498997261475</stp>
        <tr r="GN5" s="39"/>
      </tp>
      <tp t="e">
        <v>#N/A</v>
        <stp/>
        <stp>BDS|1325567292345274063</stp>
        <tr r="BN5" s="49"/>
      </tp>
      <tp t="e">
        <v>#N/A</v>
        <stp/>
        <stp>BDS|2791917126821045032</stp>
        <tr r="EU5" s="54"/>
      </tp>
      <tp t="e">
        <v>#N/A</v>
        <stp/>
        <stp>BDS|9007923496414440533</stp>
        <tr r="CM5" s="28"/>
      </tp>
      <tp t="e">
        <v>#N/A</v>
        <stp/>
        <stp>BDS|7755855685396516914</stp>
        <tr r="HR5" s="44"/>
      </tp>
      <tp t="e">
        <v>#N/A</v>
        <stp/>
        <stp>BDS|1585826594898416041</stp>
        <tr r="BD5" s="98"/>
      </tp>
      <tp t="e">
        <v>#N/A</v>
        <stp/>
        <stp>BDS|4515886690079865465</stp>
        <tr r="IG5" s="44"/>
      </tp>
      <tp t="e">
        <v>#N/A</v>
        <stp/>
        <stp>BDS|3465828934281486150</stp>
        <tr r="LN5" s="89"/>
      </tp>
      <tp t="e">
        <v>#N/A</v>
        <stp/>
        <stp>BDS|6936855425722260682</stp>
        <tr r="GX5" s="122"/>
      </tp>
      <tp t="e">
        <v>#N/A</v>
        <stp/>
        <stp>BDS|9903451603090554591</stp>
        <tr r="JP5" s="55"/>
      </tp>
      <tp t="e">
        <v>#N/A</v>
        <stp/>
        <stp>BDS|5261814704530266558</stp>
        <tr r="MM5" s="18"/>
      </tp>
      <tp t="e">
        <v>#N/A</v>
        <stp/>
        <stp>BDS|9319282921965300494</stp>
        <tr r="LD5" s="15"/>
      </tp>
      <tp t="e">
        <v>#N/A</v>
        <stp/>
        <stp>BDS|1196933735566717500</stp>
        <tr r="JP5" s="48"/>
      </tp>
      <tp t="e">
        <v>#N/A</v>
        <stp/>
        <stp>BDS|2143264466827146902</stp>
        <tr r="KE5" s="14"/>
      </tp>
      <tp t="e">
        <v>#N/A</v>
        <stp/>
        <stp>BDS|6863543986804214782</stp>
        <tr r="KT5" s="49"/>
      </tp>
      <tp t="e">
        <v>#N/A</v>
        <stp/>
        <stp>BDS|5612854028642967527</stp>
        <tr r="BD5" s="103"/>
      </tp>
      <tp t="e">
        <v>#N/A</v>
        <stp/>
        <stp>BDS|2484443516158119779</stp>
        <tr r="DG5" s="104"/>
      </tp>
      <tp t="e">
        <v>#N/A</v>
        <stp/>
        <stp>BDS|5213894209667638242</stp>
        <tr r="MC5" s="111"/>
      </tp>
      <tp t="e">
        <v>#N/A</v>
        <stp/>
        <stp>BDS|4334111329618837737</stp>
        <tr r="IV5" s="22"/>
      </tp>
      <tp t="e">
        <v>#N/A</v>
        <stp/>
        <stp>BDS|8794475403494481070</stp>
        <tr r="FY5" s="112"/>
      </tp>
      <tp t="e">
        <v>#N/A</v>
        <stp/>
        <stp>BDS|9227551870050610312</stp>
        <tr r="MM5" s="84"/>
      </tp>
      <tp t="e">
        <v>#N/A</v>
        <stp/>
        <stp>BDS|5278272401888045748</stp>
        <tr r="BS5" s="66"/>
      </tp>
      <tp t="e">
        <v>#N/A</v>
        <stp/>
        <stp>BDS|9563191969480052650</stp>
        <tr r="CW5" s="122"/>
      </tp>
      <tp t="e">
        <v>#N/A</v>
        <stp/>
        <stp>BDS|6743017750599213241</stp>
        <tr r="AY5" s="75"/>
      </tp>
      <tp t="e">
        <v>#N/A</v>
        <stp/>
        <stp>BDS|1029144108501950950</stp>
        <tr r="IL5" s="52"/>
      </tp>
      <tp t="e">
        <v>#N/A</v>
        <stp/>
        <stp>BDS|8135627295448779710</stp>
        <tr r="LN5" s="7"/>
      </tp>
      <tp t="e">
        <v>#N/A</v>
        <stp/>
        <stp>BDS|5986268654408895239</stp>
        <tr r="FE5" s="60"/>
      </tp>
      <tp t="e">
        <v>#N/A</v>
        <stp/>
        <stp>BDS|7215484790372277085</stp>
        <tr r="AY5" s="63"/>
      </tp>
      <tp t="e">
        <v>#N/A</v>
        <stp/>
        <stp>BDS|5519817872936239448</stp>
        <tr r="DL5" s="77"/>
      </tp>
      <tp t="e">
        <v>#N/A</v>
        <stp/>
        <stp>BDS|3833156484741859312</stp>
        <tr r="JP5" s="34"/>
      </tp>
      <tp t="e">
        <v>#N/A</v>
        <stp/>
        <stp>BDS|5388282097357448197</stp>
        <tr r="HW5" s="110"/>
      </tp>
      <tp t="e">
        <v>#N/A</v>
        <stp/>
        <stp>BDS|1033827716802014257</stp>
        <tr r="JZ5" s="117"/>
      </tp>
      <tp t="e">
        <v>#N/A</v>
        <stp/>
        <stp>BDS|6193624759234903927</stp>
        <tr r="MH5" s="39"/>
      </tp>
      <tp t="e">
        <v>#N/A</v>
        <stp/>
        <stp>BDS|4148515872949724743</stp>
        <tr r="FJ5" s="116"/>
      </tp>
      <tp t="e">
        <v>#N/A</v>
        <stp/>
        <stp>BDS|3453293919489631138</stp>
        <tr r="NQ5" s="41"/>
      </tp>
      <tp t="e">
        <v>#N/A</v>
        <stp/>
        <stp>BDS|3101973692399298276</stp>
        <tr r="Z5" s="104"/>
      </tp>
      <tp t="e">
        <v>#N/A</v>
        <stp/>
        <stp>BDS|3838381496238199964</stp>
        <tr r="FY5" s="115"/>
      </tp>
      <tp t="e">
        <v>#N/A</v>
        <stp/>
        <stp>BDS|3524504297245007234</stp>
        <tr r="KO5" s="92"/>
      </tp>
      <tp t="e">
        <v>#N/A</v>
        <stp/>
        <stp>BDS|9301994574116945960</stp>
        <tr r="GD5" s="33"/>
      </tp>
      <tp t="e">
        <v>#N/A</v>
        <stp/>
        <stp>BDS|6794466681732303029</stp>
        <tr r="NB5" s="100"/>
      </tp>
      <tp t="e">
        <v>#N/A</v>
        <stp/>
        <stp>BDS|8077356265771277437</stp>
        <tr r="NQ5" s="52"/>
      </tp>
      <tp t="e">
        <v>#N/A</v>
        <stp/>
        <stp>BDS|5877828539747162139</stp>
        <tr r="KJ5" s="15"/>
      </tp>
      <tp t="e">
        <v>#N/A</v>
        <stp/>
        <stp>BDS|9140254192078543223</stp>
        <tr r="GS5" s="42"/>
      </tp>
      <tp t="e">
        <v>#N/A</v>
        <stp/>
        <stp>BDS|3768920277467003236</stp>
        <tr r="IV5" s="119"/>
      </tp>
      <tp t="e">
        <v>#N/A</v>
        <stp/>
        <stp>BDS|7442979902202489442</stp>
        <tr r="BI5" s="113"/>
      </tp>
      <tp t="e">
        <v>#N/A</v>
        <stp/>
        <stp>BDS|9820473952976351687</stp>
        <tr r="BX5" s="80"/>
      </tp>
      <tp t="e">
        <v>#N/A</v>
        <stp/>
        <stp>BDS|2507118610682179832</stp>
        <tr r="IG5" s="68"/>
      </tp>
      <tp t="e">
        <v>#N/A</v>
        <stp/>
        <stp>BDS|1907947720544387681</stp>
        <tr r="AO5" s="38"/>
      </tp>
      <tp t="e">
        <v>#N/A</v>
        <stp/>
        <stp>BDS|6171719770627116971</stp>
        <tr r="BS5" s="38"/>
      </tp>
      <tp t="e">
        <v>#N/A</v>
        <stp/>
        <stp>BDS|6587214342599695168</stp>
        <tr r="DQ5" s="12"/>
      </tp>
      <tp t="e">
        <v>#N/A</v>
        <stp/>
        <stp>BDS|6647884275142497391</stp>
        <tr r="FE5" s="11"/>
      </tp>
      <tp t="e">
        <v>#N/A</v>
        <stp/>
        <stp>BDS|1407296309439330218</stp>
        <tr r="AJ5" s="31"/>
      </tp>
      <tp t="e">
        <v>#N/A</v>
        <stp/>
        <stp>BDS|7632051225949254427</stp>
        <tr r="IG5" s="14"/>
      </tp>
      <tp t="e">
        <v>#N/A</v>
        <stp/>
        <stp>BDS|3703858114235332730</stp>
        <tr r="KT5" s="19"/>
      </tp>
      <tp t="e">
        <v>#N/A</v>
        <stp/>
        <stp>BDS|3007654981152197735</stp>
        <tr r="NL5" s="115"/>
      </tp>
      <tp t="e">
        <v>#N/A</v>
        <stp/>
        <stp>BDS|9973298315200012232</stp>
        <tr r="GX5" s="112"/>
      </tp>
      <tp t="e">
        <v>#N/A</v>
        <stp/>
        <stp>BDS|2047624936126295906</stp>
        <tr r="GD5" s="125"/>
      </tp>
      <tp t="e">
        <v>#N/A</v>
        <stp/>
        <stp>BDS|9601635464065390443</stp>
        <tr r="NV5" s="76"/>
      </tp>
      <tp t="e">
        <v>#N/A</v>
        <stp/>
        <stp>BDS|4869225557719265290</stp>
        <tr r="AJ5" s="36"/>
      </tp>
      <tp t="e">
        <v>#N/A</v>
        <stp/>
        <stp>BDS|7091415887981332235</stp>
        <tr r="NL5" s="29"/>
      </tp>
      <tp t="e">
        <v>#N/A</v>
        <stp/>
        <stp>BDS|3542834165083722621</stp>
        <tr r="EZ5" s="112"/>
      </tp>
      <tp t="e">
        <v>#N/A</v>
        <stp/>
        <stp>BDS|3496202989647281696</stp>
        <tr r="IQ5" s="18"/>
      </tp>
      <tp t="e">
        <v>#N/A</v>
        <stp/>
        <stp>BDS|8161402413434539114</stp>
        <tr r="GN5" s="37"/>
      </tp>
      <tp t="e">
        <v>#N/A</v>
        <stp/>
        <stp>BDS|9255213287573069821</stp>
        <tr r="JU5" s="47"/>
      </tp>
      <tp t="e">
        <v>#N/A</v>
        <stp/>
        <stp>BDS|8073965156245524928</stp>
        <tr r="LX5" s="75"/>
      </tp>
      <tp t="e">
        <v>#N/A</v>
        <stp/>
        <stp>BDS|3528186322478880002</stp>
        <tr r="BX5" s="33"/>
      </tp>
      <tp t="e">
        <v>#N/A</v>
        <stp/>
        <stp>BDS|1104624789370542788</stp>
        <tr r="DV5" s="109"/>
      </tp>
      <tp t="e">
        <v>#N/A</v>
        <stp/>
        <stp>BDS|3063255694577444729</stp>
        <tr r="AY5" s="36"/>
      </tp>
      <tp t="e">
        <v>#N/A</v>
        <stp/>
        <stp>BDS|9425968925662604867</stp>
        <tr r="IB5" s="90"/>
      </tp>
      <tp t="e">
        <v>#N/A</v>
        <stp/>
        <stp>BDS|8817740838967376301</stp>
        <tr r="AY5" s="39"/>
      </tp>
      <tp t="e">
        <v>#N/A</v>
        <stp/>
        <stp>BDS|8206749514305526307</stp>
        <tr r="KY5" s="70"/>
      </tp>
      <tp t="e">
        <v>#N/A</v>
        <stp/>
        <stp>BDS|2536488750299206284</stp>
        <tr r="AE5" s="120"/>
      </tp>
      <tp t="e">
        <v>#N/A</v>
        <stp/>
        <stp>BDS|7080096323368460599</stp>
        <tr r="LS5" s="89"/>
      </tp>
      <tp t="e">
        <v>#N/A</v>
        <stp/>
        <stp>BDS|5156272196750187669</stp>
        <tr r="DG5" s="28"/>
      </tp>
      <tp t="e">
        <v>#N/A</v>
        <stp/>
        <stp>BDS|7622094179169265130</stp>
        <tr r="FE5" s="36"/>
      </tp>
      <tp t="e">
        <v>#N/A</v>
        <stp/>
        <stp>BDS|7649721238252371981</stp>
        <tr r="FO5" s="56"/>
      </tp>
      <tp t="e">
        <v>#N/A</v>
        <stp/>
        <stp>BDS|7478920273526304715</stp>
        <tr r="AJ5" s="50"/>
      </tp>
      <tp t="e">
        <v>#N/A</v>
        <stp/>
        <stp>BDS|9188219477816167225</stp>
        <tr r="F5" s="40"/>
      </tp>
      <tp t="e">
        <v>#N/A</v>
        <stp/>
        <stp>BDS|3477475276350499853</stp>
        <tr r="NL5" s="6"/>
      </tp>
      <tp t="e">
        <v>#N/A</v>
        <stp/>
        <stp>BDS|3603994108474300608</stp>
        <tr r="F5" s="122"/>
      </tp>
      <tp t="e">
        <v>#N/A</v>
        <stp/>
        <stp>BDS|5545546864957049917</stp>
        <tr r="GS5" s="48"/>
      </tp>
      <tp t="e">
        <v>#N/A</v>
        <stp/>
        <stp>BDS|8999120805864285581</stp>
        <tr r="KY5" s="61"/>
      </tp>
      <tp t="e">
        <v>#N/A</v>
        <stp/>
        <stp>BDS|1193874388088961133</stp>
        <tr r="IB5" s="86"/>
      </tp>
      <tp t="e">
        <v>#N/A</v>
        <stp/>
        <stp>BDS|8554248865234702076</stp>
        <tr r="DG5" s="116"/>
      </tp>
      <tp t="e">
        <v>#N/A</v>
        <stp/>
        <stp>BDS|2817937521492798395</stp>
        <tr r="EF5" s="4"/>
      </tp>
      <tp t="e">
        <v>#N/A</v>
        <stp/>
        <stp>BDS|6468934073905345531</stp>
        <tr r="LS5" s="114"/>
      </tp>
      <tp t="e">
        <v>#N/A</v>
        <stp/>
        <stp>BDS|1903549312164815936</stp>
        <tr r="EZ5" s="12"/>
      </tp>
      <tp t="e">
        <v>#N/A</v>
        <stp/>
        <stp>BDS|8882558406960870573</stp>
        <tr r="BN5" s="41"/>
      </tp>
      <tp t="e">
        <v>#N/A</v>
        <stp/>
        <stp>BDS|8015768020096155331</stp>
        <tr r="CH5" s="45"/>
      </tp>
      <tp t="e">
        <v>#N/A</v>
        <stp/>
        <stp>BDS|6627628583871271116</stp>
        <tr r="FO5" s="29"/>
      </tp>
      <tp t="e">
        <v>#N/A</v>
        <stp/>
        <stp>BDS|9967313468422254664</stp>
        <tr r="DQ5" s="63"/>
      </tp>
      <tp t="e">
        <v>#N/A</v>
        <stp/>
        <stp>BDS|5078036658399910163</stp>
        <tr r="NQ5" s="40"/>
      </tp>
      <tp t="e">
        <v>#N/A</v>
        <stp/>
        <stp>BDS|9410814715410359874</stp>
        <tr r="FY5" s="26"/>
      </tp>
      <tp t="e">
        <v>#N/A</v>
        <stp/>
        <stp>BDS|5034254480290205734</stp>
        <tr r="EK5" s="112"/>
      </tp>
      <tp t="e">
        <v>#N/A</v>
        <stp/>
        <stp>BDS|2467553977008726056</stp>
        <tr r="EK5" s="66"/>
      </tp>
      <tp t="e">
        <v>#N/A</v>
        <stp/>
        <stp>BDS|5029250729909084482</stp>
        <tr r="A5" s="8"/>
      </tp>
      <tp t="e">
        <v>#N/A</v>
        <stp/>
        <stp>BDS|1404984292991833828</stp>
        <tr r="JF5" s="24"/>
      </tp>
      <tp t="e">
        <v>#N/A</v>
        <stp/>
        <stp>BDS|4548961623323041444</stp>
        <tr r="BI5" s="102"/>
      </tp>
      <tp t="e">
        <v>#N/A</v>
        <stp/>
        <stp>BDS|8493359000094517707</stp>
        <tr r="KJ5" s="95"/>
      </tp>
      <tp t="e">
        <v>#N/A</v>
        <stp/>
        <stp>BDS|9709510743549734960</stp>
        <tr r="HW5" s="56"/>
      </tp>
      <tp t="e">
        <v>#N/A</v>
        <stp/>
        <stp>BDS|2772508746868445314</stp>
        <tr r="JK5" s="99"/>
      </tp>
      <tp t="e">
        <v>#N/A</v>
        <stp/>
        <stp>BDS|5989988041027175753</stp>
        <tr r="DV5" s="101"/>
      </tp>
      <tp t="e">
        <v>#N/A</v>
        <stp/>
        <stp>BDS|1024670809679306691</stp>
        <tr r="IG5" s="93"/>
      </tp>
      <tp t="e">
        <v>#N/A</v>
        <stp/>
        <stp>BDS|4097891959244196549</stp>
        <tr r="EA5" s="83"/>
      </tp>
      <tp t="e">
        <v>#N/A</v>
        <stp/>
        <stp>BDS|9269931086858401864</stp>
        <tr r="FY5" s="21"/>
      </tp>
      <tp t="e">
        <v>#N/A</v>
        <stp/>
        <stp>BDS|2559585307686867978</stp>
        <tr r="P5" s="65"/>
      </tp>
      <tp t="e">
        <v>#N/A</v>
        <stp/>
        <stp>BDS|8168458423695410361</stp>
        <tr r="OA5" s="39"/>
      </tp>
      <tp t="e">
        <v>#N/A</v>
        <stp/>
        <stp>BDS|7306808192936702838</stp>
        <tr r="P5" s="24"/>
      </tp>
      <tp t="e">
        <v>#N/A</v>
        <stp/>
        <stp>BDS|2238464990134165309</stp>
        <tr r="DG5" s="93"/>
      </tp>
      <tp t="e">
        <v>#N/A</v>
        <stp/>
        <stp>BDS|1270123015639191012</stp>
        <tr r="HM5" s="12"/>
      </tp>
      <tp t="e">
        <v>#N/A</v>
        <stp/>
        <stp>BDS|3706886398948633245</stp>
        <tr r="NB5" s="31"/>
      </tp>
      <tp t="e">
        <v>#N/A</v>
        <stp/>
        <stp>BDS|9523197308448960889</stp>
        <tr r="AT5" s="42"/>
      </tp>
      <tp t="e">
        <v>#N/A</v>
        <stp/>
        <stp>BDS|8340078849066976215</stp>
        <tr r="BS5" s="113"/>
      </tp>
      <tp t="e">
        <v>#N/A</v>
        <stp/>
        <stp>BDS|7310343956121689826</stp>
        <tr r="FJ5" s="91"/>
      </tp>
      <tp t="e">
        <v>#N/A</v>
        <stp/>
        <stp>BDS|5509037315964077864</stp>
        <tr r="LS5" s="8"/>
      </tp>
      <tp t="e">
        <v>#N/A</v>
        <stp/>
        <stp>BDS|7558493099553410141</stp>
        <tr r="K5" s="81"/>
      </tp>
      <tp t="e">
        <v>#N/A</v>
        <stp/>
        <stp>BDS|3785414393295385335</stp>
        <tr r="GD5" s="50"/>
      </tp>
      <tp t="e">
        <v>#N/A</v>
        <stp/>
        <stp>BDS|8456419303165693154</stp>
        <tr r="CW5" s="57"/>
      </tp>
      <tp t="e">
        <v>#N/A</v>
        <stp/>
        <stp>BDS|6614492200132837821</stp>
        <tr r="IQ5" s="98"/>
      </tp>
      <tp t="e">
        <v>#N/A</v>
        <stp/>
        <stp>BDS|9457616875921594103</stp>
        <tr r="JZ5" s="39"/>
      </tp>
      <tp t="e">
        <v>#N/A</v>
        <stp/>
        <stp>BDS|7542262761722657915</stp>
        <tr r="HR5" s="25"/>
      </tp>
      <tp t="e">
        <v>#N/A</v>
        <stp/>
        <stp>BDS|8974293835273814286</stp>
        <tr r="JK5" s="92"/>
      </tp>
      <tp t="e">
        <v>#N/A</v>
        <stp/>
        <stp>BDS|3275986669731006561</stp>
        <tr r="AO5" s="18"/>
      </tp>
      <tp t="e">
        <v>#N/A</v>
        <stp/>
        <stp>BDS|9009901193201243043</stp>
        <tr r="MW5" s="80"/>
      </tp>
      <tp t="e">
        <v>#N/A</v>
        <stp/>
        <stp>BDS|6284788466347087961</stp>
        <tr r="CM5" s="119"/>
      </tp>
      <tp t="e">
        <v>#N/A</v>
        <stp/>
        <stp>BDS|9195336120351800007</stp>
        <tr r="IQ5" s="41"/>
      </tp>
      <tp t="e">
        <v>#N/A</v>
        <stp/>
        <stp>BDS|8397787407402127470</stp>
        <tr r="EK5" s="118"/>
      </tp>
      <tp t="e">
        <v>#N/A</v>
        <stp/>
        <stp>BDS|5905422539879139290</stp>
        <tr r="NG5" s="28"/>
      </tp>
      <tp t="e">
        <v>#N/A</v>
        <stp/>
        <stp>BDS|3198359449314288958</stp>
        <tr r="AY5" s="70"/>
      </tp>
      <tp t="e">
        <v>#N/A</v>
        <stp/>
        <stp>BDS|6844862090458619620</stp>
        <tr r="FO5" s="27"/>
      </tp>
      <tp t="e">
        <v>#N/A</v>
        <stp/>
        <stp>BDS|8614090933475660703</stp>
        <tr r="EK5" s="120"/>
      </tp>
      <tp t="e">
        <v>#N/A</v>
        <stp/>
        <stp>BDS|3328324502600199988</stp>
        <tr r="MH5" s="102"/>
      </tp>
      <tp t="e">
        <v>#N/A</v>
        <stp/>
        <stp>BDS|5953730983450458375</stp>
        <tr r="NV5" s="99"/>
      </tp>
      <tp t="e">
        <v>#N/A</v>
        <stp/>
        <stp>BDS|7390899950170405340</stp>
        <tr r="AE5" s="111"/>
      </tp>
      <tp t="e">
        <v>#N/A</v>
        <stp/>
        <stp>BDS|5162453986533017387</stp>
        <tr r="LD5" s="54"/>
      </tp>
      <tp t="e">
        <v>#N/A</v>
        <stp/>
        <stp>BDS|8310145513037614681</stp>
        <tr r="JK5" s="113"/>
      </tp>
      <tp t="e">
        <v>#N/A</v>
        <stp/>
        <stp>BDS|6608797692528472931</stp>
        <tr r="NG5" s="88"/>
      </tp>
      <tp t="e">
        <v>#N/A</v>
        <stp/>
        <stp>BDS|6974719980201419168</stp>
        <tr r="GX5" s="51"/>
      </tp>
      <tp t="e">
        <v>#N/A</v>
        <stp/>
        <stp>BDS|8334134366290993659</stp>
        <tr r="KJ5" s="112"/>
      </tp>
      <tp t="e">
        <v>#N/A</v>
        <stp/>
        <stp>BDS|1824915771351143728</stp>
        <tr r="EZ5" s="24"/>
      </tp>
      <tp t="e">
        <v>#N/A</v>
        <stp/>
        <stp>BDS|5892303643972086905</stp>
        <tr r="NB5" s="46"/>
      </tp>
      <tp t="e">
        <v>#N/A</v>
        <stp/>
        <stp>BDS|1927896363967102193</stp>
        <tr r="HR5" s="4"/>
      </tp>
      <tp t="e">
        <v>#N/A</v>
        <stp/>
        <stp>BDS|9654492950544783534</stp>
        <tr r="HC5" s="124"/>
      </tp>
      <tp t="e">
        <v>#N/A</v>
        <stp/>
        <stp>BDS|6669811844544092784</stp>
        <tr r="KY5" s="71"/>
      </tp>
      <tp t="e">
        <v>#N/A</v>
        <stp/>
        <stp>BDS|8663466209561390413</stp>
        <tr r="FT5" s="56"/>
      </tp>
      <tp t="e">
        <v>#N/A</v>
        <stp/>
        <stp>BDS|3293687760872853890</stp>
        <tr r="AO5" s="32"/>
      </tp>
      <tp t="e">
        <v>#N/A</v>
        <stp/>
        <stp>BDS|7838730780668402946</stp>
        <tr r="GN5" s="46"/>
      </tp>
      <tp t="e">
        <v>#N/A</v>
        <stp/>
        <stp>BDS|9793882781583057358</stp>
        <tr r="GN5" s="121"/>
      </tp>
      <tp t="e">
        <v>#N/A</v>
        <stp/>
        <stp>BDS|2908403880371598679</stp>
        <tr r="OA5" s="85"/>
      </tp>
      <tp t="e">
        <v>#N/A</v>
        <stp/>
        <stp>BDS|3740002430759477087</stp>
        <tr r="EU5" s="100"/>
      </tp>
      <tp t="e">
        <v>#N/A</v>
        <stp/>
        <stp>BDS|2052029836858901065</stp>
        <tr r="K5" s="40"/>
      </tp>
      <tp t="e">
        <v>#N/A</v>
        <stp/>
        <stp>BDS|2029512038179312416</stp>
        <tr r="EP5" s="62"/>
      </tp>
      <tp t="e">
        <v>#N/A</v>
        <stp/>
        <stp>BDS|7477669089023090300</stp>
        <tr r="EK5" s="48"/>
      </tp>
      <tp t="e">
        <v>#N/A</v>
        <stp/>
        <stp>BDS|6870825654534345664</stp>
        <tr r="IV5" s="88"/>
      </tp>
      <tp t="e">
        <v>#N/A</v>
        <stp/>
        <stp>BDS|5702342098130228626</stp>
        <tr r="Z5" s="33"/>
      </tp>
      <tp t="e">
        <v>#N/A</v>
        <stp/>
        <stp>BDS|7853073296881524678</stp>
        <tr r="MM5" s="13"/>
      </tp>
      <tp t="e">
        <v>#N/A</v>
        <stp/>
        <stp>BDS|1879133640869709479</stp>
        <tr r="NQ5" s="27"/>
      </tp>
      <tp t="e">
        <v>#N/A</v>
        <stp/>
        <stp>BDS|7937044767229873197</stp>
        <tr r="EA5" s="42"/>
      </tp>
      <tp t="e">
        <v>#N/A</v>
        <stp/>
        <stp>BDS|6137124753638311385</stp>
        <tr r="IB5" s="58"/>
      </tp>
      <tp t="e">
        <v>#N/A</v>
        <stp/>
        <stp>BDS|5705734602448987372</stp>
        <tr r="MW5" s="43"/>
      </tp>
      <tp t="e">
        <v>#N/A</v>
        <stp/>
        <stp>BDS|4781755224188739095</stp>
        <tr r="LN5" s="22"/>
      </tp>
      <tp t="e">
        <v>#N/A</v>
        <stp/>
        <stp>BDS|4794102208568774401</stp>
        <tr r="U5" s="19"/>
      </tp>
      <tp t="e">
        <v>#N/A</v>
        <stp/>
        <stp>BDS|8424484550837657723</stp>
        <tr r="DV5" s="16"/>
      </tp>
      <tp t="e">
        <v>#N/A</v>
        <stp/>
        <stp>BDS|7667728703709706080</stp>
        <tr r="MW5" s="13"/>
      </tp>
      <tp t="e">
        <v>#N/A</v>
        <stp/>
        <stp>BDS|8752716734832804722</stp>
        <tr r="GI5" s="39"/>
      </tp>
      <tp t="e">
        <v>#N/A</v>
        <stp/>
        <stp>BDS|6487888209232585585</stp>
        <tr r="AT5" s="69"/>
      </tp>
      <tp t="e">
        <v>#N/A</v>
        <stp/>
        <stp>BDS|1074056485754938419</stp>
        <tr r="IQ5" s="31"/>
      </tp>
      <tp t="e">
        <v>#N/A</v>
        <stp/>
        <stp>BDS|4081764598126368559</stp>
        <tr r="BI5" s="33"/>
      </tp>
      <tp t="e">
        <v>#N/A</v>
        <stp/>
        <stp>BDS|2037421909479606655</stp>
        <tr r="AT5" s="81"/>
      </tp>
      <tp t="e">
        <v>#N/A</v>
        <stp/>
        <stp>BDS|2994172098603649089</stp>
        <tr r="DV5" s="41"/>
      </tp>
      <tp t="e">
        <v>#N/A</v>
        <stp/>
        <stp>BDS|7687872596057998862</stp>
        <tr r="GI5" s="86"/>
      </tp>
      <tp t="e">
        <v>#N/A</v>
        <stp/>
        <stp>BDS|3669856338755769447</stp>
        <tr r="FT5" s="4"/>
      </tp>
      <tp t="e">
        <v>#N/A</v>
        <stp/>
        <stp>BDS|9520686363356577637</stp>
        <tr r="LX5" s="94"/>
      </tp>
      <tp t="e">
        <v>#N/A</v>
        <stp/>
        <stp>BDS|3454654597364658180</stp>
        <tr r="AO5" s="87"/>
      </tp>
      <tp t="e">
        <v>#N/A</v>
        <stp/>
        <stp>BDS|1853904801524965586</stp>
        <tr r="CW5" s="5"/>
      </tp>
      <tp t="e">
        <v>#N/A</v>
        <stp/>
        <stp>BDS|4704840234722634491</stp>
        <tr r="KE5" s="8"/>
      </tp>
      <tp t="e">
        <v>#N/A</v>
        <stp/>
        <stp>BDS|1938202139830086984</stp>
        <tr r="EZ5" s="6"/>
      </tp>
      <tp t="e">
        <v>#N/A</v>
        <stp/>
        <stp>BDS|7119283912025339804</stp>
        <tr r="FJ5" s="107"/>
      </tp>
      <tp t="e">
        <v>#N/A</v>
        <stp/>
        <stp>BDS|9240426658931684079</stp>
        <tr r="CR5" s="25"/>
      </tp>
      <tp t="e">
        <v>#N/A</v>
        <stp/>
        <stp>BDS|1589785084661752675</stp>
        <tr r="DG5" s="122"/>
      </tp>
      <tp t="e">
        <v>#N/A</v>
        <stp/>
        <stp>BDS|1488168705018787193</stp>
        <tr r="GD5" s="84"/>
      </tp>
      <tp t="e">
        <v>#N/A</v>
        <stp/>
        <stp>BDS|2964335266847300963</stp>
        <tr r="MC5" s="39"/>
      </tp>
      <tp t="e">
        <v>#N/A</v>
        <stp/>
        <stp>BDS|1710168924142975957</stp>
        <tr r="KO5" s="61"/>
      </tp>
      <tp t="e">
        <v>#N/A</v>
        <stp/>
        <stp>BDS|9653145484531980864</stp>
        <tr r="HM5" s="100"/>
      </tp>
      <tp t="e">
        <v>#N/A</v>
        <stp/>
        <stp>BDS|4481502589941485106</stp>
        <tr r="DB5" s="1"/>
      </tp>
      <tp t="e">
        <v>#N/A</v>
        <stp/>
        <stp>BDS|2077415606097976878</stp>
        <tr r="MH5" s="75"/>
      </tp>
      <tp t="e">
        <v>#N/A</v>
        <stp/>
        <stp>BDS|3865054982007437523</stp>
        <tr r="MR5" s="65"/>
      </tp>
      <tp t="e">
        <v>#N/A</v>
        <stp/>
        <stp>BDS|8006393050574616364</stp>
        <tr r="LS5" s="36"/>
      </tp>
      <tp t="e">
        <v>#N/A</v>
        <stp/>
        <stp>BDS|6890622484810314141</stp>
        <tr r="KO5" s="119"/>
      </tp>
      <tp t="e">
        <v>#N/A</v>
        <stp/>
        <stp>BDS|7180883043963537162</stp>
        <tr r="GN5" s="122"/>
      </tp>
      <tp t="e">
        <v>#N/A</v>
        <stp/>
        <stp>BDS|1203677631518864552</stp>
        <tr r="IL5" s="49"/>
      </tp>
      <tp t="e">
        <v>#N/A</v>
        <stp/>
        <stp>BDS|1963807847747368347</stp>
        <tr r="CM5" s="122"/>
      </tp>
      <tp t="e">
        <v>#N/A</v>
        <stp/>
        <stp>BDS|7405496273678621515</stp>
        <tr r="FT5" s="37"/>
      </tp>
      <tp t="e">
        <v>#N/A</v>
        <stp/>
        <stp>BDS|3427539552929572392</stp>
        <tr r="JA5" s="34"/>
      </tp>
      <tp t="e">
        <v>#N/A</v>
        <stp/>
        <stp>BDS|7924048391780201779</stp>
        <tr r="EF5" s="67"/>
      </tp>
      <tp t="e">
        <v>#N/A</v>
        <stp/>
        <stp>BDS|7679845552762073196</stp>
        <tr r="BX5" s="72"/>
      </tp>
      <tp t="e">
        <v>#N/A</v>
        <stp/>
        <stp>BDS|5150472150668674593</stp>
        <tr r="DG5" s="11"/>
      </tp>
      <tp t="e">
        <v>#N/A</v>
        <stp/>
        <stp>BDS|3683601150369924012</stp>
        <tr r="HM5" s="11"/>
      </tp>
      <tp t="e">
        <v>#N/A</v>
        <stp/>
        <stp>BDS|9399668935701855468</stp>
        <tr r="EF5" s="29"/>
      </tp>
      <tp t="e">
        <v>#N/A</v>
        <stp/>
        <stp>BDS|4065256824595882874</stp>
        <tr r="LI5" s="92"/>
      </tp>
      <tp t="e">
        <v>#N/A</v>
        <stp/>
        <stp>BDS|8943174590941905890</stp>
        <tr r="GD5" s="8"/>
      </tp>
      <tp t="e">
        <v>#N/A</v>
        <stp/>
        <stp>BDS|3471599874481471934</stp>
        <tr r="KT5" s="51"/>
      </tp>
      <tp t="e">
        <v>#N/A</v>
        <stp/>
        <stp>BDS|2474019875665777992</stp>
        <tr r="CR5" s="52"/>
      </tp>
      <tp t="e">
        <v>#N/A</v>
        <stp/>
        <stp>BDS|2602398074676560908</stp>
        <tr r="BS5" s="6"/>
      </tp>
      <tp t="e">
        <v>#N/A</v>
        <stp/>
        <stp>BDS|9107920179186383879</stp>
        <tr r="EF5" s="66"/>
      </tp>
      <tp t="e">
        <v>#N/A</v>
        <stp/>
        <stp>BDS|8918419625443295415</stp>
        <tr r="EK5" s="91"/>
      </tp>
      <tp t="e">
        <v>#N/A</v>
        <stp/>
        <stp>BDS|9662702353214974620</stp>
        <tr r="IQ5" s="86"/>
      </tp>
      <tp t="e">
        <v>#N/A</v>
        <stp/>
        <stp>BDS|7058479888123987184</stp>
        <tr r="GD5" s="87"/>
      </tp>
      <tp t="e">
        <v>#N/A</v>
        <stp/>
        <stp>BDS|1661283359266876916</stp>
        <tr r="MM5" s="22"/>
      </tp>
      <tp t="e">
        <v>#N/A</v>
        <stp/>
        <stp>BDS|4932957541894093433</stp>
        <tr r="FE5" s="41"/>
      </tp>
      <tp t="e">
        <v>#N/A</v>
        <stp/>
        <stp>BDS|6305269528438039738</stp>
        <tr r="AO5" s="25"/>
      </tp>
      <tp t="e">
        <v>#N/A</v>
        <stp/>
        <stp>BDS|2595461378928329064</stp>
        <tr r="KY5" s="98"/>
      </tp>
      <tp t="e">
        <v>#N/A</v>
        <stp/>
        <stp>BDS|6852925277758768946</stp>
        <tr r="JF5" s="83"/>
      </tp>
      <tp t="e">
        <v>#N/A</v>
        <stp/>
        <stp>BDS|9706472308196355251</stp>
        <tr r="LD5" s="29"/>
      </tp>
      <tp t="e">
        <v>#N/A</v>
        <stp/>
        <stp>BDS|3343870600763203187</stp>
        <tr r="EK5" s="44"/>
      </tp>
      <tp t="e">
        <v>#N/A</v>
        <stp/>
        <stp>BDS|2658717956718972166</stp>
        <tr r="BN5" s="12"/>
      </tp>
      <tp t="e">
        <v>#N/A</v>
        <stp/>
        <stp>BDS|5319301012436737883</stp>
        <tr r="JZ5" s="26"/>
      </tp>
      <tp t="e">
        <v>#N/A</v>
        <stp/>
        <stp>BDS|6593048113739807743</stp>
        <tr r="EF5" s="110"/>
      </tp>
      <tp t="e">
        <v>#N/A</v>
        <stp/>
        <stp>BDS|7925391550430988865</stp>
        <tr r="MH5" s="114"/>
      </tp>
      <tp t="e">
        <v>#N/A</v>
        <stp/>
        <stp>BDS|1866245896663442018</stp>
        <tr r="GN5" s="14"/>
      </tp>
      <tp t="e">
        <v>#N/A</v>
        <stp/>
        <stp>BDS|9186291986888988285</stp>
        <tr r="CW5" s="19"/>
      </tp>
      <tp t="e">
        <v>#N/A</v>
        <stp/>
        <stp>BDS|8598574126735258392</stp>
        <tr r="JU5" s="120"/>
      </tp>
      <tp t="e">
        <v>#N/A</v>
        <stp/>
        <stp>BDS|8182142838752581178</stp>
        <tr r="P5" s="96"/>
      </tp>
      <tp t="e">
        <v>#N/A</v>
        <stp/>
        <stp>BDS|4361292185321688662</stp>
        <tr r="NV5" s="24"/>
      </tp>
      <tp t="e">
        <v>#N/A</v>
        <stp/>
        <stp>BDS|9926575170007260533</stp>
        <tr r="EZ5" s="90"/>
      </tp>
      <tp t="e">
        <v>#N/A</v>
        <stp/>
        <stp>BDS|3066335598249732931</stp>
        <tr r="JU5" s="30"/>
      </tp>
      <tp t="e">
        <v>#N/A</v>
        <stp/>
        <stp>BDS|9012483451074747510</stp>
        <tr r="KO5" s="117"/>
      </tp>
      <tp t="e">
        <v>#N/A</v>
        <stp/>
        <stp>BDS|4817211099931682796</stp>
        <tr r="BD5" s="65"/>
      </tp>
      <tp t="e">
        <v>#N/A</v>
        <stp/>
        <stp>BDS|9763242208246285469</stp>
        <tr r="NV5" s="97"/>
      </tp>
      <tp t="e">
        <v>#N/A</v>
        <stp/>
        <stp>BDS|6232445765365821843</stp>
        <tr r="JK5" s="15"/>
      </tp>
      <tp t="e">
        <v>#N/A</v>
        <stp/>
        <stp>BDS|2749791864752113846</stp>
        <tr r="KT5" s="47"/>
      </tp>
      <tp t="e">
        <v>#N/A</v>
        <stp/>
        <stp>BDS|4301610061624697995</stp>
        <tr r="GX5" s="79"/>
      </tp>
      <tp t="e">
        <v>#N/A</v>
        <stp/>
        <stp>BDS|9686697287069464702</stp>
        <tr r="FT5" s="30"/>
      </tp>
      <tp t="e">
        <v>#N/A</v>
        <stp/>
        <stp>BDS|2894141218533120897</stp>
        <tr r="CR5" s="64"/>
      </tp>
      <tp t="e">
        <v>#N/A</v>
        <stp/>
        <stp>BDS|1120706716699923728</stp>
        <tr r="AJ5" s="58"/>
      </tp>
      <tp t="e">
        <v>#N/A</v>
        <stp/>
        <stp>BDS|7248238968922790822</stp>
        <tr r="JF5" s="32"/>
      </tp>
      <tp t="e">
        <v>#N/A</v>
        <stp/>
        <stp>BDS|8298053031663200183</stp>
        <tr r="KE5" s="115"/>
      </tp>
      <tp t="e">
        <v>#N/A</v>
        <stp/>
        <stp>BDS|8525539509403230710</stp>
        <tr r="JK5" s="123"/>
      </tp>
      <tp t="e">
        <v>#N/A</v>
        <stp/>
        <stp>BDS|8203161997509789081</stp>
        <tr r="IL5" s="94"/>
      </tp>
      <tp t="e">
        <v>#N/A</v>
        <stp/>
        <stp>BDS|4619537894592968347</stp>
        <tr r="Z5" s="13"/>
      </tp>
      <tp t="e">
        <v>#N/A</v>
        <stp/>
        <stp>BDS|1538195734329312376</stp>
        <tr r="GI5" s="124"/>
      </tp>
      <tp t="e">
        <v>#N/A</v>
        <stp/>
        <stp>BDS|2606815341576323192</stp>
        <tr r="MW5" s="18"/>
      </tp>
      <tp t="e">
        <v>#N/A</v>
        <stp/>
        <stp>BDS|6041945996327753897</stp>
        <tr r="DV5" s="42"/>
      </tp>
      <tp t="e">
        <v>#N/A</v>
        <stp/>
        <stp>BDS|5558367291243864566</stp>
        <tr r="LX5" s="124"/>
      </tp>
      <tp t="e">
        <v>#N/A</v>
        <stp/>
        <stp>BDS|8339750128660144431</stp>
        <tr r="LD5" s="114"/>
      </tp>
      <tp t="e">
        <v>#N/A</v>
        <stp/>
        <stp>BDS|3263198698664767694</stp>
        <tr r="IB5" s="122"/>
      </tp>
      <tp t="e">
        <v>#N/A</v>
        <stp/>
        <stp>BDS|9884365564334617115</stp>
        <tr r="IB5" s="109"/>
      </tp>
      <tp t="e">
        <v>#N/A</v>
        <stp/>
        <stp>BDS|1213478898077600262</stp>
        <tr r="DB5" s="27"/>
      </tp>
      <tp t="e">
        <v>#N/A</v>
        <stp/>
        <stp>BDS|2436600226906603992</stp>
        <tr r="GN5" s="94"/>
      </tp>
      <tp t="e">
        <v>#N/A</v>
        <stp/>
        <stp>BDS|7431998264112010343</stp>
        <tr r="AY5" s="25"/>
      </tp>
      <tp t="e">
        <v>#N/A</v>
        <stp/>
        <stp>BDS|7792842683067468995</stp>
        <tr r="BD5" s="41"/>
      </tp>
      <tp t="e">
        <v>#N/A</v>
        <stp/>
        <stp>BDS|6220437199271482316</stp>
        <tr r="FE5" s="48"/>
      </tp>
      <tp t="e">
        <v>#N/A</v>
        <stp/>
        <stp>BDS|2938365680297788755</stp>
        <tr r="OF5" s="112"/>
      </tp>
      <tp t="e">
        <v>#N/A</v>
        <stp/>
        <stp>BDS|9425029266424923242</stp>
        <tr r="CR5" s="50"/>
      </tp>
      <tp t="e">
        <v>#N/A</v>
        <stp/>
        <stp>BDS|1264126035688933218</stp>
        <tr r="CR5" s="58"/>
      </tp>
      <tp t="e">
        <v>#N/A</v>
        <stp/>
        <stp>BDS|6680376448178748039</stp>
        <tr r="BI5" s="62"/>
      </tp>
      <tp t="e">
        <v>#N/A</v>
        <stp/>
        <stp>BDS|4069085017414100834</stp>
        <tr r="U5" s="40"/>
      </tp>
      <tp t="e">
        <v>#N/A</v>
        <stp/>
        <stp>BDS|6570991921480663464</stp>
        <tr r="HR5" s="49"/>
      </tp>
      <tp t="e">
        <v>#N/A</v>
        <stp/>
        <stp>BDS|6038902474508137987</stp>
        <tr r="MR5" s="2"/>
      </tp>
      <tp t="e">
        <v>#N/A</v>
        <stp/>
        <stp>BDS|7808943973280005020</stp>
        <tr r="GI5" s="46"/>
      </tp>
      <tp t="e">
        <v>#N/A</v>
        <stp/>
        <stp>BDS|6944049650882815885</stp>
        <tr r="OF5" s="48"/>
      </tp>
      <tp t="e">
        <v>#N/A</v>
        <stp/>
        <stp>BDS|5621901045720645187</stp>
        <tr r="IB5" s="114"/>
      </tp>
      <tp t="e">
        <v>#N/A</v>
        <stp/>
        <stp>BDS|1873096183720835071</stp>
        <tr r="BS5" s="111"/>
      </tp>
      <tp t="e">
        <v>#N/A</v>
        <stp/>
        <stp>BDS|5060895645992645284</stp>
        <tr r="AE5" s="18"/>
      </tp>
      <tp t="e">
        <v>#N/A</v>
        <stp/>
        <stp>BDS|7772972602036493147</stp>
        <tr r="JF5" s="38"/>
      </tp>
      <tp t="e">
        <v>#N/A</v>
        <stp/>
        <stp>BDS|8603871948658944528</stp>
        <tr r="GI5" s="3"/>
      </tp>
      <tp t="e">
        <v>#N/A</v>
        <stp/>
        <stp>BDS|2411057705479221248</stp>
        <tr r="MM5" s="44"/>
      </tp>
      <tp t="e">
        <v>#N/A</v>
        <stp/>
        <stp>BDS|8124173226876173436</stp>
        <tr r="MC5" s="95"/>
      </tp>
      <tp t="e">
        <v>#N/A</v>
        <stp/>
        <stp>BDS|1956480968859832336</stp>
        <tr r="CC5" s="99"/>
      </tp>
      <tp t="e">
        <v>#N/A</v>
        <stp/>
        <stp>BDS|8018741562612765238</stp>
        <tr r="BX5" s="27"/>
      </tp>
      <tp t="e">
        <v>#N/A</v>
        <stp/>
        <stp>BDS|4059173480974106046</stp>
        <tr r="EF5" s="21"/>
      </tp>
      <tp t="e">
        <v>#N/A</v>
        <stp/>
        <stp>BDS|3391736994293536731</stp>
        <tr r="IQ5" s="25"/>
      </tp>
      <tp t="e">
        <v>#N/A</v>
        <stp/>
        <stp>BDS|1482367798023105190</stp>
        <tr r="MM5" s="30"/>
      </tp>
      <tp t="e">
        <v>#N/A</v>
        <stp/>
        <stp>BDS|1018935129984139791</stp>
        <tr r="BI5" s="108"/>
      </tp>
      <tp t="e">
        <v>#N/A</v>
        <stp/>
        <stp>BDS|9792436345528134825</stp>
        <tr r="EU5" s="107"/>
      </tp>
      <tp t="e">
        <v>#N/A</v>
        <stp/>
        <stp>BDS|3320688621327028987</stp>
        <tr r="HW5" s="17"/>
      </tp>
      <tp t="e">
        <v>#N/A</v>
        <stp/>
        <stp>BDS|6560859361286372706</stp>
        <tr r="LI5" s="54"/>
      </tp>
      <tp t="e">
        <v>#N/A</v>
        <stp/>
        <stp>BDS|1689172861626685949</stp>
        <tr r="DV5" s="82"/>
      </tp>
      <tp t="e">
        <v>#N/A</v>
        <stp/>
        <stp>BDS|1167813322670410240</stp>
        <tr r="EP5" s="72"/>
      </tp>
      <tp t="e">
        <v>#N/A</v>
        <stp/>
        <stp>BDS|6109431471498740462</stp>
        <tr r="KJ5" s="54"/>
      </tp>
      <tp t="e">
        <v>#N/A</v>
        <stp/>
        <stp>BDS|9845824029302282838</stp>
        <tr r="BD5" s="69"/>
      </tp>
      <tp t="e">
        <v>#N/A</v>
        <stp/>
        <stp>BDS|4479804179112935062</stp>
        <tr r="FO5" s="60"/>
      </tp>
      <tp t="e">
        <v>#N/A</v>
        <stp/>
        <stp>BDS|9470676551650468342</stp>
        <tr r="IB5" s="97"/>
      </tp>
      <tp t="e">
        <v>#N/A</v>
        <stp/>
        <stp>BDS|1795977356883044741</stp>
        <tr r="NV5" s="60"/>
      </tp>
      <tp t="e">
        <v>#N/A</v>
        <stp/>
        <stp>BDS|1664748588730091780</stp>
        <tr r="CM5" s="37"/>
      </tp>
      <tp t="e">
        <v>#N/A</v>
        <stp/>
        <stp>BDS|9991691234643399657</stp>
        <tr r="MR5" s="7"/>
      </tp>
      <tp t="e">
        <v>#N/A</v>
        <stp/>
        <stp>BDS|7912649936373189882</stp>
        <tr r="LI5" s="15"/>
      </tp>
      <tp t="e">
        <v>#N/A</v>
        <stp/>
        <stp>BDS|9024309067495500009</stp>
        <tr r="CC5" s="72"/>
      </tp>
      <tp t="e">
        <v>#N/A</v>
        <stp/>
        <stp>BDS|9597894473126829959</stp>
        <tr r="EF5" s="76"/>
      </tp>
      <tp t="e">
        <v>#N/A</v>
        <stp/>
        <stp>BDS|9415518497854224827</stp>
        <tr r="A5" s="111"/>
      </tp>
      <tp t="e">
        <v>#N/A</v>
        <stp/>
        <stp>BDS|7525460124160361861</stp>
        <tr r="AY5" s="68"/>
      </tp>
      <tp t="e">
        <v>#N/A</v>
        <stp/>
        <stp>BDS|5419841447404572407</stp>
        <tr r="MH5" s="46"/>
      </tp>
      <tp t="e">
        <v>#N/A</v>
        <stp/>
        <stp>BDS|6578726411428466107</stp>
        <tr r="NV5" s="34"/>
      </tp>
      <tp t="e">
        <v>#N/A</v>
        <stp/>
        <stp>BDS|3284751187344592176</stp>
        <tr r="DQ5" s="78"/>
      </tp>
      <tp t="e">
        <v>#N/A</v>
        <stp/>
        <stp>BDS|3101000293586996599</stp>
        <tr r="EF5" s="23"/>
      </tp>
      <tp t="e">
        <v>#N/A</v>
        <stp/>
        <stp>BDS|1097448065862075824</stp>
        <tr r="GD5" s="48"/>
      </tp>
      <tp t="e">
        <v>#N/A</v>
        <stp/>
        <stp>BDS|2949662890235564198</stp>
        <tr r="FJ5" s="4"/>
      </tp>
      <tp t="e">
        <v>#N/A</v>
        <stp/>
        <stp>BDS|3313318192171607152</stp>
        <tr r="DG5" s="75"/>
      </tp>
      <tp t="e">
        <v>#N/A</v>
        <stp/>
        <stp>BDS|1559063781251275139</stp>
        <tr r="DQ5" s="94"/>
      </tp>
      <tp t="e">
        <v>#N/A</v>
        <stp/>
        <stp>BDS|2756591647912822824</stp>
        <tr r="LI5" s="74"/>
      </tp>
      <tp t="e">
        <v>#N/A</v>
        <stp/>
        <stp>BDS|7570558988566332581</stp>
        <tr r="GS5" s="8"/>
      </tp>
      <tp t="e">
        <v>#N/A</v>
        <stp/>
        <stp>BDS|9190629736717471229</stp>
        <tr r="BD5" s="58"/>
      </tp>
      <tp t="e">
        <v>#N/A</v>
        <stp/>
        <stp>BDS|1351852125697270529</stp>
        <tr r="NL5" s="54"/>
      </tp>
      <tp t="e">
        <v>#N/A</v>
        <stp/>
        <stp>BDS|9721759036726335243</stp>
        <tr r="DG5" s="39"/>
      </tp>
      <tp t="e">
        <v>#N/A</v>
        <stp/>
        <stp>BDS|1596471831019824686</stp>
        <tr r="K5" s="20"/>
      </tp>
      <tp t="e">
        <v>#N/A</v>
        <stp/>
        <stp>BDS|1897173597734311481</stp>
        <tr r="JF5" s="122"/>
      </tp>
      <tp t="e">
        <v>#N/A</v>
        <stp/>
        <stp>BDS|9333948501058753123</stp>
        <tr r="GD5" s="92"/>
      </tp>
      <tp t="e">
        <v>#N/A</v>
        <stp/>
        <stp>BDS|8670206835348263829</stp>
        <tr r="GS5" s="26"/>
      </tp>
      <tp t="e">
        <v>#N/A</v>
        <stp/>
        <stp>BDS|1736016026949088339</stp>
        <tr r="JZ5" s="94"/>
      </tp>
      <tp t="e">
        <v>#N/A</v>
        <stp/>
        <stp>BDS|2734149323920037832</stp>
        <tr r="BI5" s="92"/>
      </tp>
      <tp t="e">
        <v>#N/A</v>
        <stp/>
        <stp>BDS|6223240661779647222</stp>
        <tr r="LS5" s="72"/>
      </tp>
      <tp t="e">
        <v>#N/A</v>
        <stp/>
        <stp>BDS|7295513119083083991</stp>
        <tr r="EA5" s="43"/>
      </tp>
      <tp t="e">
        <v>#N/A</v>
        <stp/>
        <stp>BDS|5302501850868308438</stp>
        <tr r="DV5" s="28"/>
      </tp>
      <tp t="e">
        <v>#N/A</v>
        <stp/>
        <stp>BDS|4618120142048729025</stp>
        <tr r="MC5" s="53"/>
      </tp>
      <tp t="e">
        <v>#N/A</v>
        <stp/>
        <stp>BDS|6977786693113216237</stp>
        <tr r="HW5" s="8"/>
      </tp>
      <tp t="e">
        <v>#N/A</v>
        <stp/>
        <stp>BDS|9491304417950977295</stp>
        <tr r="JP5" s="75"/>
      </tp>
      <tp t="e">
        <v>#N/A</v>
        <stp/>
        <stp>BDS|1021760418538578687</stp>
        <tr r="EZ5" s="5"/>
      </tp>
      <tp t="e">
        <v>#N/A</v>
        <stp/>
        <stp>BDS|2308500422938359418</stp>
        <tr r="OA5" s="35"/>
      </tp>
      <tp t="e">
        <v>#N/A</v>
        <stp/>
        <stp>BDS|8640004021631465205</stp>
        <tr r="EA5" s="103"/>
      </tp>
      <tp t="e">
        <v>#N/A</v>
        <stp/>
        <stp>BDS|6026767480176587609</stp>
        <tr r="Z5" s="102"/>
      </tp>
      <tp t="e">
        <v>#N/A</v>
        <stp/>
        <stp>BDS|1085655027589639541</stp>
        <tr r="KJ5" s="88"/>
      </tp>
      <tp t="e">
        <v>#N/A</v>
        <stp/>
        <stp>BDS|8438572820222180421</stp>
        <tr r="AT5" s="1"/>
      </tp>
      <tp t="e">
        <v>#N/A</v>
        <stp/>
        <stp>BDS|6278912813757699061</stp>
        <tr r="EK5" s="54"/>
      </tp>
      <tp t="e">
        <v>#N/A</v>
        <stp/>
        <stp>BDS|2527486293444889262</stp>
        <tr r="JF5" s="28"/>
      </tp>
      <tp t="e">
        <v>#N/A</v>
        <stp/>
        <stp>BDS|8959062850101947569</stp>
        <tr r="KE5" s="15"/>
      </tp>
      <tp t="e">
        <v>#N/A</v>
        <stp/>
        <stp>BDS|1053540626236745958</stp>
        <tr r="DB5" s="50"/>
      </tp>
      <tp t="e">
        <v>#N/A</v>
        <stp/>
        <stp>BDS|1098791606656966963</stp>
        <tr r="K5" s="9"/>
      </tp>
      <tp t="e">
        <v>#N/A</v>
        <stp/>
        <stp>BDS|3962582543782007928</stp>
        <tr r="MH5" s="63"/>
      </tp>
      <tp t="e">
        <v>#N/A</v>
        <stp/>
        <stp>BDS|4374979658705934452</stp>
        <tr r="IL5" s="111"/>
      </tp>
      <tp t="e">
        <v>#N/A</v>
        <stp/>
        <stp>BDS|8196336118702997138</stp>
        <tr r="BN5" s="120"/>
      </tp>
      <tp t="e">
        <v>#N/A</v>
        <stp/>
        <stp>BDS|8799214776260867487</stp>
        <tr r="MR5" s="32"/>
      </tp>
      <tp t="e">
        <v>#N/A</v>
        <stp/>
        <stp>BDS|8885763108494512230</stp>
        <tr r="DQ5" s="44"/>
      </tp>
      <tp t="e">
        <v>#N/A</v>
        <stp/>
        <stp>BDS|9728309756372119406</stp>
        <tr r="BN5" s="98"/>
      </tp>
      <tp t="e">
        <v>#N/A</v>
        <stp/>
        <stp>BDS|5223783887407526488</stp>
        <tr r="NL5" s="99"/>
      </tp>
      <tp t="e">
        <v>#N/A</v>
        <stp/>
        <stp>BDS|6932980018787980003</stp>
        <tr r="NB5" s="110"/>
      </tp>
      <tp t="e">
        <v>#N/A</v>
        <stp/>
        <stp>BDS|2952102596892646197</stp>
        <tr r="LD5" s="23"/>
      </tp>
      <tp t="e">
        <v>#N/A</v>
        <stp/>
        <stp>BDS|8291662979962877257</stp>
        <tr r="AY5" s="80"/>
      </tp>
      <tp t="e">
        <v>#N/A</v>
        <stp/>
        <stp>BDS|8733852631632034834</stp>
        <tr r="DB5" s="13"/>
      </tp>
      <tp t="e">
        <v>#N/A</v>
        <stp/>
        <stp>BDS|9812281608644055684</stp>
        <tr r="HM5" s="114"/>
      </tp>
      <tp t="e">
        <v>#N/A</v>
        <stp/>
        <stp>BDS|6856840148825085640</stp>
        <tr r="NL5" s="90"/>
      </tp>
      <tp t="e">
        <v>#N/A</v>
        <stp/>
        <stp>BDS|4443343085304112240</stp>
        <tr r="LI5" s="116"/>
      </tp>
      <tp t="e">
        <v>#N/A</v>
        <stp/>
        <stp>BDS|7041166365530050929</stp>
        <tr r="BI5" s="14"/>
      </tp>
      <tp t="e">
        <v>#N/A</v>
        <stp/>
        <stp>BDS|7421620594120654158</stp>
        <tr r="IL5" s="39"/>
      </tp>
      <tp t="e">
        <v>#N/A</v>
        <stp/>
        <stp>BDS|8214235851984817292</stp>
        <tr r="LX5" s="22"/>
      </tp>
      <tp t="e">
        <v>#N/A</v>
        <stp/>
        <stp>BDS|9246729175114370477</stp>
        <tr r="BS5" s="28"/>
      </tp>
      <tp t="e">
        <v>#N/A</v>
        <stp/>
        <stp>BDS|2453939239656671790</stp>
        <tr r="LN5" s="52"/>
      </tp>
      <tp t="e">
        <v>#N/A</v>
        <stp/>
        <stp>BDS|9749159800081453075</stp>
        <tr r="NG5" s="123"/>
      </tp>
      <tp t="e">
        <v>#N/A</v>
        <stp/>
        <stp>BDS|7554659643695211909</stp>
        <tr r="MC5" s="82"/>
      </tp>
      <tp t="e">
        <v>#N/A</v>
        <stp/>
        <stp>BDS|9347951284552341307</stp>
        <tr r="CR5" s="122"/>
      </tp>
      <tp t="e">
        <v>#N/A</v>
        <stp/>
        <stp>BDS|8091718410310072704</stp>
        <tr r="P5" s="10"/>
      </tp>
      <tp t="e">
        <v>#N/A</v>
        <stp/>
        <stp>BDS|1406267441387364914</stp>
        <tr r="AO5" s="83"/>
      </tp>
      <tp t="e">
        <v>#N/A</v>
        <stp/>
        <stp>BDS|2340745134526112932</stp>
        <tr r="NG5" s="76"/>
      </tp>
      <tp t="e">
        <v>#N/A</v>
        <stp/>
        <stp>BDS|3538827540891280740</stp>
        <tr r="BI5" s="50"/>
      </tp>
      <tp t="e">
        <v>#N/A</v>
        <stp/>
        <stp>BDS|5133986521447004095</stp>
        <tr r="GD5" s="69"/>
      </tp>
      <tp t="e">
        <v>#N/A</v>
        <stp/>
        <stp>BDS|7305463684437720571</stp>
        <tr r="AO5" s="116"/>
      </tp>
      <tp t="e">
        <v>#N/A</v>
        <stp/>
        <stp>BDS|8642707955863065029</stp>
        <tr r="K5" s="93"/>
      </tp>
      <tp t="e">
        <v>#N/A</v>
        <stp/>
        <stp>BDS|5237189878838075231</stp>
        <tr r="DB5" s="53"/>
      </tp>
      <tp t="e">
        <v>#N/A</v>
        <stp/>
        <stp>BDS|6812706899329052805</stp>
        <tr r="NV5" s="38"/>
      </tp>
      <tp t="e">
        <v>#N/A</v>
        <stp/>
        <stp>BDS|8359760527332619652</stp>
        <tr r="FE5" s="32"/>
      </tp>
      <tp t="e">
        <v>#N/A</v>
        <stp/>
        <stp>BDS|5424519480578071930</stp>
        <tr r="AY5" s="112"/>
      </tp>
      <tp t="e">
        <v>#N/A</v>
        <stp/>
        <stp>BDS|4145209603626227967</stp>
        <tr r="MM5" s="65"/>
      </tp>
      <tp t="e">
        <v>#N/A</v>
        <stp/>
        <stp>BDS|5904238188377261163</stp>
        <tr r="KE5" s="72"/>
      </tp>
      <tp t="e">
        <v>#N/A</v>
        <stp/>
        <stp>BDS|3188471742073310917</stp>
        <tr r="GX5" s="39"/>
      </tp>
      <tp t="e">
        <v>#N/A</v>
        <stp/>
        <stp>BDS|9338318035128002817</stp>
        <tr r="KT5" s="77"/>
      </tp>
      <tp t="e">
        <v>#N/A</v>
        <stp/>
        <stp>BDS|3534899155863953465</stp>
        <tr r="BD5" s="122"/>
      </tp>
      <tp t="e">
        <v>#N/A</v>
        <stp/>
        <stp>BDS|4097287767831003896</stp>
        <tr r="FT5" s="48"/>
      </tp>
      <tp t="e">
        <v>#N/A</v>
        <stp/>
        <stp>BDS|1165211065404729841</stp>
        <tr r="GI5" s="115"/>
      </tp>
      <tp t="e">
        <v>#N/A</v>
        <stp/>
        <stp>BDS|3310655904265622924</stp>
        <tr r="U5" s="116"/>
      </tp>
      <tp t="e">
        <v>#N/A</v>
        <stp/>
        <stp>BDS|6360806892767558924</stp>
        <tr r="A5" s="120"/>
      </tp>
      <tp t="e">
        <v>#N/A</v>
        <stp/>
        <stp>BDS|7650851638273499698</stp>
        <tr r="U5" s="97"/>
      </tp>
      <tp t="e">
        <v>#N/A</v>
        <stp/>
        <stp>BDS|5147853340046544677</stp>
        <tr r="NB5" s="61"/>
      </tp>
      <tp t="e">
        <v>#N/A</v>
        <stp/>
        <stp>BDS|3159360128743159882</stp>
        <tr r="IB5" s="80"/>
      </tp>
      <tp t="e">
        <v>#N/A</v>
        <stp/>
        <stp>BDS|5303731886467890489</stp>
        <tr r="CH5" s="56"/>
      </tp>
      <tp t="e">
        <v>#N/A</v>
        <stp/>
        <stp>BDS|7753129928839970426</stp>
        <tr r="IV5" s="31"/>
      </tp>
      <tp t="e">
        <v>#N/A</v>
        <stp/>
        <stp>BDS|4575696493135194793</stp>
        <tr r="DB5" s="78"/>
      </tp>
      <tp t="e">
        <v>#N/A</v>
        <stp/>
        <stp>BDS|4993719339839550036</stp>
        <tr r="NQ5" s="38"/>
      </tp>
      <tp t="e">
        <v>#N/A</v>
        <stp/>
        <stp>BDS|3637748783793233644</stp>
        <tr r="KY5" s="36"/>
      </tp>
      <tp t="e">
        <v>#N/A</v>
        <stp/>
        <stp>BDS|5717538480792400376</stp>
        <tr r="EZ5" s="47"/>
      </tp>
      <tp t="e">
        <v>#N/A</v>
        <stp/>
        <stp>BDS|7078836933373092672</stp>
        <tr r="HM5" s="20"/>
      </tp>
      <tp t="e">
        <v>#N/A</v>
        <stp/>
        <stp>BDS|4418188037028955755</stp>
        <tr r="CW5" s="78"/>
      </tp>
      <tp t="e">
        <v>#N/A</v>
        <stp/>
        <stp>BDS|2826463840133082896</stp>
        <tr r="CC5" s="39"/>
      </tp>
      <tp t="e">
        <v>#N/A</v>
        <stp/>
        <stp>BDS|3932270708699328128</stp>
        <tr r="IV5" s="102"/>
      </tp>
      <tp t="e">
        <v>#N/A</v>
        <stp/>
        <stp>BDS|2214275564326498922</stp>
        <tr r="HR5" s="80"/>
      </tp>
      <tp t="e">
        <v>#N/A</v>
        <stp/>
        <stp>BDS|3837936937061214199</stp>
        <tr r="AY5" s="2"/>
      </tp>
      <tp t="e">
        <v>#N/A</v>
        <stp/>
        <stp>BDS|8447515057030021151</stp>
        <tr r="FT5" s="118"/>
      </tp>
      <tp t="e">
        <v>#N/A</v>
        <stp/>
        <stp>BDS|9505347416864689665</stp>
        <tr r="DQ5" s="102"/>
      </tp>
      <tp t="e">
        <v>#N/A</v>
        <stp/>
        <stp>BDS|8020171356574732113</stp>
        <tr r="NQ5" s="80"/>
      </tp>
      <tp t="e">
        <v>#N/A</v>
        <stp/>
        <stp>BDS|5423243897070945793</stp>
        <tr r="NV5" s="27"/>
      </tp>
      <tp t="e">
        <v>#N/A</v>
        <stp/>
        <stp>BDS|5657733117648475210</stp>
        <tr r="IG5" s="1"/>
      </tp>
      <tp t="e">
        <v>#N/A</v>
        <stp/>
        <stp>BDS|4585119536626534900</stp>
        <tr r="JK5" s="52"/>
      </tp>
      <tp t="e">
        <v>#N/A</v>
        <stp/>
        <stp>BDS|8199602693149581706</stp>
        <tr r="JK5" s="119"/>
      </tp>
      <tp t="e">
        <v>#N/A</v>
        <stp/>
        <stp>BDS|6207368256921421829</stp>
        <tr r="IL5" s="56"/>
      </tp>
      <tp t="e">
        <v>#N/A</v>
        <stp/>
        <stp>BDS|9500628822322862697</stp>
        <tr r="JK5" s="14"/>
      </tp>
      <tp t="e">
        <v>#N/A</v>
        <stp/>
        <stp>BDS|7184250841091507943</stp>
        <tr r="LD5" s="5"/>
      </tp>
      <tp t="e">
        <v>#N/A</v>
        <stp/>
        <stp>BDS|7441508043389363601</stp>
        <tr r="DV5" s="92"/>
      </tp>
      <tp t="e">
        <v>#N/A</v>
        <stp/>
        <stp>BDS|6023805854733292126</stp>
        <tr r="GX5" s="14"/>
      </tp>
      <tp t="e">
        <v>#N/A</v>
        <stp/>
        <stp>BDS|5588027974342440934</stp>
        <tr r="HC5" s="108"/>
      </tp>
      <tp t="e">
        <v>#N/A</v>
        <stp/>
        <stp>BDS|2746466896941741743</stp>
        <tr r="JZ5" s="41"/>
      </tp>
      <tp t="e">
        <v>#N/A</v>
        <stp/>
        <stp>BDS|7210571447359476629</stp>
        <tr r="AJ5" s="82"/>
      </tp>
      <tp t="e">
        <v>#N/A</v>
        <stp/>
        <stp>BDS|6324054286997201062</stp>
        <tr r="K5" s="70"/>
      </tp>
      <tp t="e">
        <v>#N/A</v>
        <stp/>
        <stp>BDS|8534880148424022916</stp>
        <tr r="P5" s="7"/>
      </tp>
      <tp t="e">
        <v>#N/A</v>
        <stp/>
        <stp>BDS|7221761040888085500</stp>
        <tr r="A5" s="1"/>
      </tp>
      <tp t="e">
        <v>#N/A</v>
        <stp/>
        <stp>BDS|8624092467411412685</stp>
        <tr r="KT5" s="114"/>
      </tp>
      <tp t="e">
        <v>#N/A</v>
        <stp/>
        <stp>BDS|4636759593905351677</stp>
        <tr r="AE5" s="101"/>
      </tp>
      <tp t="e">
        <v>#N/A</v>
        <stp/>
        <stp>BDS|5894887125216458058</stp>
        <tr r="NL5" s="92"/>
      </tp>
      <tp t="e">
        <v>#N/A</v>
        <stp/>
        <stp>BDS|8499329866243330776</stp>
        <tr r="P5" s="27"/>
      </tp>
      <tp t="e">
        <v>#N/A</v>
        <stp/>
        <stp>BDS|1757164332572651815</stp>
        <tr r="DL5" s="73"/>
      </tp>
      <tp t="e">
        <v>#N/A</v>
        <stp/>
        <stp>BDS|1472802215582332367</stp>
        <tr r="CC5" s="38"/>
      </tp>
      <tp t="e">
        <v>#N/A</v>
        <stp/>
        <stp>BDS|8026224289293747884</stp>
        <tr r="F5" s="66"/>
      </tp>
      <tp t="e">
        <v>#N/A</v>
        <stp/>
        <stp>BDS|2231406132865010949</stp>
        <tr r="CW5" s="11"/>
      </tp>
      <tp t="e">
        <v>#N/A</v>
        <stp/>
        <stp>BDS|9494607975605610423</stp>
        <tr r="HH5" s="30"/>
      </tp>
      <tp t="e">
        <v>#N/A</v>
        <stp/>
        <stp>BDS|9540627017536488114</stp>
        <tr r="MM5" s="99"/>
      </tp>
      <tp t="e">
        <v>#N/A</v>
        <stp/>
        <stp>BDS|3857596764510254928</stp>
        <tr r="MC5" s="59"/>
      </tp>
      <tp t="e">
        <v>#N/A</v>
        <stp/>
        <stp>BDS|5901440106458787094</stp>
        <tr r="KY5" s="51"/>
        <tr r="EK5" s="25"/>
      </tp>
      <tp t="e">
        <v>#N/A</v>
        <stp/>
        <stp>BDS|1527224595202493133</stp>
        <tr r="GN5" s="36"/>
      </tp>
      <tp t="e">
        <v>#N/A</v>
        <stp/>
        <stp>BDS|1776956442751029458</stp>
        <tr r="LD5" s="35"/>
      </tp>
      <tp t="e">
        <v>#N/A</v>
        <stp/>
        <stp>BDS|6236049923398803584</stp>
        <tr r="LI5" s="51"/>
      </tp>
      <tp t="e">
        <v>#N/A</v>
        <stp/>
        <stp>BDS|3135974931549337913</stp>
        <tr r="HR5" s="100"/>
      </tp>
      <tp t="e">
        <v>#N/A</v>
        <stp/>
        <stp>BDS|7066808467799393912</stp>
        <tr r="NB5" s="113"/>
      </tp>
      <tp t="e">
        <v>#N/A</v>
        <stp/>
        <stp>BDS|6845862890556816831</stp>
        <tr r="GD5" s="54"/>
      </tp>
      <tp t="e">
        <v>#N/A</v>
        <stp/>
        <stp>BDS|4923938262817956547</stp>
        <tr r="P5" s="49"/>
      </tp>
      <tp t="e">
        <v>#N/A</v>
        <stp/>
        <stp>BDS|9738145511147745703</stp>
        <tr r="MH5" s="98"/>
      </tp>
      <tp t="e">
        <v>#N/A</v>
        <stp/>
        <stp>BDS|3699454043963749927</stp>
        <tr r="MH5" s="96"/>
      </tp>
      <tp t="e">
        <v>#N/A</v>
        <stp/>
        <stp>BDS|8114491718764109043</stp>
        <tr r="MH5" s="122"/>
      </tp>
      <tp t="e">
        <v>#N/A</v>
        <stp/>
        <stp>BDS|2491320085611813214</stp>
        <tr r="EF5" s="77"/>
      </tp>
      <tp t="e">
        <v>#N/A</v>
        <stp/>
        <stp>BDS|4294126386781571695</stp>
        <tr r="HW5" s="7"/>
      </tp>
      <tp t="e">
        <v>#N/A</v>
        <stp/>
        <stp>BDS|6139780029488291185</stp>
        <tr r="BX5" s="69"/>
      </tp>
      <tp t="e">
        <v>#N/A</v>
        <stp/>
        <stp>BDS|2159388491121247303</stp>
        <tr r="EU5" s="12"/>
      </tp>
      <tp t="e">
        <v>#N/A</v>
        <stp/>
        <stp>BDS|3885256833899577119</stp>
        <tr r="CW5" s="15"/>
      </tp>
      <tp t="e">
        <v>#N/A</v>
        <stp/>
        <stp>BDS|3896094898361781149</stp>
        <tr r="JA5" s="1"/>
      </tp>
      <tp t="e">
        <v>#N/A</v>
        <stp/>
        <stp>BDS|2330616800567142997</stp>
        <tr r="JU5" s="81"/>
      </tp>
      <tp t="e">
        <v>#N/A</v>
        <stp/>
        <stp>BDS|2515158283245837418</stp>
        <tr r="KY5" s="91"/>
      </tp>
      <tp t="e">
        <v>#N/A</v>
        <stp/>
        <stp>BDS|7107226314459877755</stp>
        <tr r="DQ5" s="16"/>
      </tp>
      <tp t="e">
        <v>#N/A</v>
        <stp/>
        <stp>BDS|7079954443571568197</stp>
        <tr r="BD5" s="113"/>
      </tp>
      <tp t="e">
        <v>#N/A</v>
        <stp/>
        <stp>BDS|7668302599177046055</stp>
        <tr r="HM5" s="89"/>
      </tp>
      <tp t="e">
        <v>#N/A</v>
        <stp/>
        <stp>BDS|9580383334152477178</stp>
        <tr r="NB5" s="27"/>
      </tp>
      <tp t="e">
        <v>#N/A</v>
        <stp/>
        <stp>BDS|1772323082779416988</stp>
        <tr r="HC5" s="12"/>
      </tp>
      <tp t="e">
        <v>#N/A</v>
        <stp/>
        <stp>BDS|9857679703794770107</stp>
        <tr r="NL5" s="101"/>
      </tp>
      <tp t="e">
        <v>#N/A</v>
        <stp/>
        <stp>BDS|9817070264951524452</stp>
        <tr r="OA5" s="120"/>
      </tp>
      <tp t="e">
        <v>#N/A</v>
        <stp/>
        <stp>BDS|9717453615206993056</stp>
        <tr r="KT5" s="42"/>
      </tp>
      <tp t="e">
        <v>#N/A</v>
        <stp/>
        <stp>BDS|9707900188944442601</stp>
        <tr r="AO5" s="61"/>
      </tp>
      <tp t="e">
        <v>#N/A</v>
        <stp/>
        <stp>BDS|4015287546219317168</stp>
        <tr r="AY5" s="110"/>
      </tp>
      <tp t="e">
        <v>#N/A</v>
        <stp/>
        <stp>BDS|4858703306261411818</stp>
        <tr r="HR5" s="121"/>
      </tp>
      <tp t="e">
        <v>#N/A</v>
        <stp/>
        <stp>BDS|9367255679016075045</stp>
        <tr r="DQ5" s="49"/>
      </tp>
      <tp t="e">
        <v>#N/A</v>
        <stp/>
        <stp>BDS|5761075428519439474</stp>
        <tr r="BS5" s="68"/>
      </tp>
      <tp t="e">
        <v>#N/A</v>
        <stp/>
        <stp>BDS|9578909388264690604</stp>
        <tr r="NQ5" s="88"/>
      </tp>
      <tp t="e">
        <v>#N/A</v>
        <stp/>
        <stp>BDS|8035578426000345599</stp>
        <tr r="HW5" s="70"/>
        <tr r="JK5" s="118"/>
      </tp>
      <tp t="e">
        <v>#N/A</v>
        <stp/>
        <stp>BDS|2290639891140323787</stp>
        <tr r="HW5" s="104"/>
      </tp>
      <tp t="e">
        <v>#N/A</v>
        <stp/>
        <stp>BDS|6629181886883062638</stp>
        <tr r="JF5" s="102"/>
      </tp>
      <tp t="e">
        <v>#N/A</v>
        <stp/>
        <stp>BDS|8082659789829266564</stp>
        <tr r="GS5" s="13"/>
      </tp>
      <tp t="e">
        <v>#N/A</v>
        <stp/>
        <stp>BDS|8444009906273368192</stp>
        <tr r="FJ5" s="112"/>
      </tp>
      <tp t="e">
        <v>#N/A</v>
        <stp/>
        <stp>BDS|8522059292353327891</stp>
        <tr r="BS5" s="24"/>
      </tp>
      <tp t="e">
        <v>#N/A</v>
        <stp/>
        <stp>BDS|8250407705871789789</stp>
        <tr r="OF5" s="88"/>
      </tp>
      <tp t="e">
        <v>#N/A</v>
        <stp/>
        <stp>BDS|1423771160688370289</stp>
        <tr r="GI5" s="24"/>
      </tp>
      <tp t="e">
        <v>#N/A</v>
        <stp/>
        <stp>BDS|9341233798301390935</stp>
        <tr r="HC5" s="94"/>
      </tp>
      <tp t="e">
        <v>#N/A</v>
        <stp/>
        <stp>BDS|8163212568297080101</stp>
        <tr r="JP5" s="92"/>
      </tp>
      <tp t="e">
        <v>#N/A</v>
        <stp/>
        <stp>BDS|3816519852769511062</stp>
        <tr r="P5" s="41"/>
      </tp>
      <tp t="e">
        <v>#N/A</v>
        <stp/>
        <stp>BDS|4718395558288895062</stp>
        <tr r="HH5" s="11"/>
      </tp>
      <tp t="e">
        <v>#N/A</v>
        <stp/>
        <stp>BDS|7955410785001161041</stp>
        <tr r="CM5" s="79"/>
      </tp>
      <tp t="e">
        <v>#N/A</v>
        <stp/>
        <stp>BDS|4571028928259789505</stp>
        <tr r="AT5" s="75"/>
      </tp>
      <tp t="e">
        <v>#N/A</v>
        <stp/>
        <stp>BDS|6395708413053186999</stp>
        <tr r="IQ5" s="37"/>
      </tp>
      <tp t="e">
        <v>#N/A</v>
        <stp/>
        <stp>BDS|3488458361893960818</stp>
        <tr r="HH5" s="101"/>
      </tp>
      <tp t="e">
        <v>#N/A</v>
        <stp/>
        <stp>BDS|5855900279435067491</stp>
        <tr r="DB5" s="38"/>
      </tp>
      <tp t="e">
        <v>#N/A</v>
        <stp/>
        <stp>BDS|8546085823418348856</stp>
        <tr r="KJ5" s="99"/>
      </tp>
      <tp t="e">
        <v>#N/A</v>
        <stp/>
        <stp>BDS|8868720623583115405</stp>
        <tr r="LN5" s="37"/>
      </tp>
      <tp t="e">
        <v>#N/A</v>
        <stp/>
        <stp>BDS|1788884797833657965</stp>
        <tr r="BX5" s="103"/>
      </tp>
      <tp t="e">
        <v>#N/A</v>
        <stp/>
        <stp>BDS|5318581092552156104</stp>
        <tr r="JU5" s="68"/>
      </tp>
      <tp t="e">
        <v>#N/A</v>
        <stp/>
        <stp>BDS|4020730588550465174</stp>
        <tr r="MM5" s="102"/>
      </tp>
      <tp t="e">
        <v>#N/A</v>
        <stp/>
        <stp>BDS|1145273140875897878</stp>
        <tr r="CH5" s="118"/>
      </tp>
      <tp t="e">
        <v>#N/A</v>
        <stp/>
        <stp>BDS|8558100948722196555</stp>
        <tr r="MW5" s="22"/>
      </tp>
      <tp t="e">
        <v>#N/A</v>
        <stp/>
        <stp>BDS|2778862608529071909</stp>
        <tr r="IG5" s="113"/>
      </tp>
      <tp t="e">
        <v>#N/A</v>
        <stp/>
        <stp>BDS|1944637254749588123</stp>
        <tr r="JP5" s="71"/>
      </tp>
      <tp t="e">
        <v>#N/A</v>
        <stp/>
        <stp>BDS|2344712329365692841</stp>
        <tr r="LI5" s="100"/>
      </tp>
      <tp t="e">
        <v>#N/A</v>
        <stp/>
        <stp>BDS|8571034504137369589</stp>
        <tr r="BD5" s="109"/>
      </tp>
      <tp t="e">
        <v>#N/A</v>
        <stp/>
        <stp>BDS|4188223698626447364</stp>
        <tr r="OA5" s="113"/>
      </tp>
      <tp t="e">
        <v>#N/A</v>
        <stp/>
        <stp>BDS|4858029933529424449</stp>
        <tr r="LI5" s="44"/>
      </tp>
      <tp t="e">
        <v>#N/A</v>
        <stp/>
        <stp>BDS|5799686194070782054</stp>
        <tr r="NB5" s="91"/>
      </tp>
      <tp t="e">
        <v>#N/A</v>
        <stp/>
        <stp>BDS|7837990858675808485</stp>
        <tr r="GD5" s="12"/>
      </tp>
      <tp t="e">
        <v>#N/A</v>
        <stp/>
        <stp>BDS|8146329335492885071</stp>
        <tr r="JU5" s="60"/>
      </tp>
      <tp t="e">
        <v>#N/A</v>
        <stp/>
        <stp>BDS|4338492517103074840</stp>
        <tr r="JZ5" s="13"/>
      </tp>
      <tp t="e">
        <v>#N/A</v>
        <stp/>
        <stp>BDS|7558159790984186188</stp>
        <tr r="JP5" s="45"/>
      </tp>
      <tp t="e">
        <v>#N/A</v>
        <stp/>
        <stp>BDS|2037085057185286835</stp>
        <tr r="EU5" s="2"/>
      </tp>
      <tp t="e">
        <v>#N/A</v>
        <stp/>
        <stp>BDS|8909537682548790713</stp>
        <tr r="BX5" s="60"/>
      </tp>
      <tp t="e">
        <v>#N/A</v>
        <stp/>
        <stp>BDS|1516196712232983994</stp>
        <tr r="MC5" s="54"/>
      </tp>
      <tp t="e">
        <v>#N/A</v>
        <stp/>
        <stp>BDS|7908989186278801414</stp>
        <tr r="HC5" s="118"/>
      </tp>
      <tp t="e">
        <v>#N/A</v>
        <stp/>
        <stp>BDS|2559198673767208936</stp>
        <tr r="EF5" s="6"/>
      </tp>
      <tp t="e">
        <v>#N/A</v>
        <stp/>
        <stp>BDS|7845846728945374290</stp>
        <tr r="IG5" s="91"/>
      </tp>
      <tp t="e">
        <v>#N/A</v>
        <stp/>
        <stp>BDS|4499821519351730664</stp>
        <tr r="U5" s="31"/>
      </tp>
      <tp t="e">
        <v>#N/A</v>
        <stp/>
        <stp>BDS|4187893052725740635</stp>
        <tr r="LI5" s="69"/>
        <tr r="AY5" s="42"/>
      </tp>
      <tp t="e">
        <v>#N/A</v>
        <stp/>
        <stp>BDS|3046996471081156674</stp>
        <tr r="FE5" s="14"/>
      </tp>
      <tp t="e">
        <v>#N/A</v>
        <stp/>
        <stp>BDS|2430908949445691056</stp>
        <tr r="CM5" s="47"/>
      </tp>
      <tp t="e">
        <v>#N/A</v>
        <stp/>
        <stp>BDS|8436570567271311091</stp>
        <tr r="IB5" s="9"/>
      </tp>
      <tp t="e">
        <v>#N/A</v>
        <stp/>
        <stp>BDS|9230489754985027700</stp>
        <tr r="JZ5" s="81"/>
      </tp>
      <tp t="e">
        <v>#N/A</v>
        <stp/>
        <stp>BDS|4161596332699550112</stp>
        <tr r="JZ5" s="5"/>
      </tp>
      <tp t="e">
        <v>#N/A</v>
        <stp/>
        <stp>BDS|5924433356067732954</stp>
        <tr r="EA5" s="84"/>
      </tp>
      <tp t="e">
        <v>#N/A</v>
        <stp/>
        <stp>BDS|8666017535194916557</stp>
        <tr r="HR5" s="125"/>
      </tp>
      <tp t="e">
        <v>#N/A</v>
        <stp/>
        <stp>BDS|9771446462196901766</stp>
        <tr r="GS5" s="123"/>
      </tp>
      <tp t="e">
        <v>#N/A</v>
        <stp/>
        <stp>BDS|7434849912134589097</stp>
        <tr r="LX5" s="56"/>
      </tp>
      <tp t="e">
        <v>#N/A</v>
        <stp/>
        <stp>BDS|6077087995466452375</stp>
        <tr r="IQ5" s="11"/>
      </tp>
      <tp t="e">
        <v>#N/A</v>
        <stp/>
        <stp>BDS|9696475369637576626</stp>
        <tr r="EU5" s="112"/>
      </tp>
      <tp t="e">
        <v>#N/A</v>
        <stp/>
        <stp>BDS|4216537582932924153</stp>
        <tr r="LS5" s="4"/>
      </tp>
      <tp t="e">
        <v>#N/A</v>
        <stp/>
        <stp>BDS|9433292137113179149</stp>
        <tr r="FY5" s="14"/>
      </tp>
      <tp t="e">
        <v>#N/A</v>
        <stp/>
        <stp>BDS|9997841725480515922</stp>
        <tr r="FO5" s="78"/>
      </tp>
      <tp t="e">
        <v>#N/A</v>
        <stp/>
        <stp>BDS|2577158729368193376</stp>
        <tr r="A5" s="112"/>
      </tp>
      <tp t="e">
        <v>#N/A</v>
        <stp/>
        <stp>BDS|5746932928063039736</stp>
        <tr r="LX5" s="10"/>
      </tp>
      <tp t="e">
        <v>#N/A</v>
        <stp/>
        <stp>BDS|9272571540543347197</stp>
        <tr r="NB5" s="93"/>
      </tp>
      <tp t="e">
        <v>#N/A</v>
        <stp/>
        <stp>BDS|8071102979584303050</stp>
        <tr r="NL5" s="72"/>
      </tp>
      <tp t="e">
        <v>#N/A</v>
        <stp/>
        <stp>BDS|9726317918812281334</stp>
        <tr r="NL5" s="50"/>
      </tp>
      <tp t="e">
        <v>#N/A</v>
        <stp/>
        <stp>BDS|4244168800136935928</stp>
        <tr r="NG5" s="58"/>
      </tp>
      <tp t="e">
        <v>#N/A</v>
        <stp/>
        <stp>BDS|8670987786783045075</stp>
        <tr r="AJ5" s="3"/>
      </tp>
      <tp t="e">
        <v>#N/A</v>
        <stp/>
        <stp>BDS|7739586580216808680</stp>
        <tr r="DB5" s="7"/>
      </tp>
      <tp t="e">
        <v>#N/A</v>
        <stp/>
        <stp>BDS|1699393895995144440</stp>
        <tr r="NG5" s="29"/>
      </tp>
      <tp t="e">
        <v>#N/A</v>
        <stp/>
        <stp>BDS|5602695401868695171</stp>
        <tr r="BN5" s="62"/>
      </tp>
      <tp t="e">
        <v>#N/A</v>
        <stp/>
        <stp>BDS|4055930170079975957</stp>
        <tr r="EA5" s="27"/>
      </tp>
      <tp t="e">
        <v>#N/A</v>
        <stp/>
        <stp>BDS|9611735515081472489</stp>
        <tr r="GN5" s="104"/>
      </tp>
      <tp t="e">
        <v>#N/A</v>
        <stp/>
        <stp>BDS|1630886460152786757</stp>
        <tr r="IL5" s="10"/>
      </tp>
      <tp t="e">
        <v>#N/A</v>
        <stp/>
        <stp>BDS|6944269781125032324</stp>
        <tr r="NG5" s="79"/>
      </tp>
      <tp t="e">
        <v>#N/A</v>
        <stp/>
        <stp>BDS|9051485012731586737</stp>
        <tr r="GX5" s="65"/>
      </tp>
      <tp t="e">
        <v>#N/A</v>
        <stp/>
        <stp>BDS|4757678571798808753</stp>
        <tr r="F5" s="120"/>
      </tp>
      <tp t="e">
        <v>#N/A</v>
        <stp/>
        <stp>BDS|3699110326202921840</stp>
        <tr r="HC5" s="20"/>
      </tp>
      <tp t="e">
        <v>#N/A</v>
        <stp/>
        <stp>BDS|2663114151029357599</stp>
        <tr r="EF5" s="122"/>
      </tp>
      <tp t="e">
        <v>#N/A</v>
        <stp/>
        <stp>BDS|5303785892033199242</stp>
        <tr r="LN5" s="70"/>
      </tp>
      <tp t="e">
        <v>#N/A</v>
        <stp/>
        <stp>BDS|6787846764234348686</stp>
        <tr r="GX5" s="61"/>
      </tp>
      <tp t="e">
        <v>#N/A</v>
        <stp/>
        <stp>BDS|4775679799373400212</stp>
        <tr r="JU5" s="2"/>
      </tp>
      <tp t="e">
        <v>#N/A</v>
        <stp/>
        <stp>BDS|8270678707350639483</stp>
        <tr r="CM5" s="34"/>
      </tp>
      <tp t="e">
        <v>#N/A</v>
        <stp/>
        <stp>BDS|3913553011509334426</stp>
        <tr r="FE5" s="78"/>
      </tp>
      <tp t="e">
        <v>#N/A</v>
        <stp/>
        <stp>BDS|3550977975743971421</stp>
        <tr r="A5" s="104"/>
      </tp>
      <tp t="e">
        <v>#N/A</v>
        <stp/>
        <stp>BDS|4013407864585034986</stp>
        <tr r="FT5" s="43"/>
      </tp>
      <tp t="e">
        <v>#N/A</v>
        <stp/>
        <stp>BDS|3840331996354675777</stp>
        <tr r="GI5" s="107"/>
      </tp>
      <tp t="e">
        <v>#N/A</v>
        <stp/>
        <stp>BDS|3374809833250434288</stp>
        <tr r="CR5" s="89"/>
      </tp>
      <tp t="e">
        <v>#N/A</v>
        <stp/>
        <stp>BDS|7020825456394004481</stp>
        <tr r="EK5" s="49"/>
      </tp>
      <tp t="e">
        <v>#N/A</v>
        <stp/>
        <stp>BDS|8544520218220082620</stp>
        <tr r="DV5" s="73"/>
      </tp>
      <tp t="e">
        <v>#N/A</v>
        <stp/>
        <stp>BDS|2534774479150030869</stp>
        <tr r="JK5" s="72"/>
      </tp>
      <tp t="e">
        <v>#N/A</v>
        <stp/>
        <stp>BDS|2033595914575471948</stp>
        <tr r="GN5" s="81"/>
      </tp>
      <tp t="e">
        <v>#N/A</v>
        <stp/>
        <stp>BDS|8181405825031845515</stp>
        <tr r="HH5" s="76"/>
      </tp>
      <tp t="e">
        <v>#N/A</v>
        <stp/>
        <stp>BDS|2260954524367946478</stp>
        <tr r="IQ5" s="1"/>
      </tp>
      <tp t="e">
        <v>#N/A</v>
        <stp/>
        <stp>BDS|5908390565769152391</stp>
        <tr r="HR5" s="66"/>
      </tp>
      <tp t="e">
        <v>#N/A</v>
        <stp/>
        <stp>BDS|4652077716958294783</stp>
        <tr r="FE5" s="47"/>
      </tp>
      <tp t="e">
        <v>#N/A</v>
        <stp/>
        <stp>BDS|7413494911401726965</stp>
        <tr r="P5" s="5"/>
      </tp>
      <tp t="e">
        <v>#N/A</v>
        <stp/>
        <stp>BDS|2210157009389545067</stp>
        <tr r="NL5" s="91"/>
      </tp>
      <tp t="e">
        <v>#N/A</v>
        <stp/>
        <stp>BDS|3261642658299291319</stp>
        <tr r="MR5" s="69"/>
      </tp>
      <tp t="e">
        <v>#N/A</v>
        <stp/>
        <stp>BDS|3087025949885330851</stp>
        <tr r="LI5" s="25"/>
      </tp>
      <tp t="e">
        <v>#N/A</v>
        <stp/>
        <stp>BDS|1399768968103560951</stp>
        <tr r="CH5" s="108"/>
      </tp>
      <tp t="e">
        <v>#N/A</v>
        <stp/>
        <stp>BDS|5909430209949651288</stp>
        <tr r="MW5" s="16"/>
      </tp>
      <tp t="e">
        <v>#N/A</v>
        <stp/>
        <stp>BDS|1270143232389105083</stp>
        <tr r="NV5" s="9"/>
      </tp>
      <tp t="e">
        <v>#N/A</v>
        <stp/>
        <stp>BDS|6053573278449550772</stp>
        <tr r="HM5" s="42"/>
      </tp>
      <tp t="e">
        <v>#N/A</v>
        <stp/>
        <stp>BDS|5859652069529017696</stp>
        <tr r="GX5" s="11"/>
      </tp>
      <tp t="e">
        <v>#N/A</v>
        <stp/>
        <stp>BDS|7059918063581671364</stp>
        <tr r="AO5" s="26"/>
      </tp>
      <tp t="e">
        <v>#N/A</v>
        <stp/>
        <stp>BDS|4620578639740248881</stp>
        <tr r="CR5" s="119"/>
      </tp>
      <tp t="e">
        <v>#N/A</v>
        <stp/>
        <stp>BDS|2970048526719826315</stp>
        <tr r="FE5" s="92"/>
      </tp>
      <tp t="e">
        <v>#N/A</v>
        <stp/>
        <stp>BDS|5503060386900403736</stp>
        <tr r="EK5" s="3"/>
      </tp>
      <tp t="e">
        <v>#N/A</v>
        <stp/>
        <stp>BDS|9201346515384906589</stp>
        <tr r="JK5" s="110"/>
      </tp>
      <tp t="e">
        <v>#N/A</v>
        <stp/>
        <stp>BDS|8814773665857874400</stp>
        <tr r="JF5" s="124"/>
      </tp>
      <tp t="e">
        <v>#N/A</v>
        <stp/>
        <stp>BDS|2720871395681016879</stp>
        <tr r="GN5" s="47"/>
      </tp>
      <tp t="e">
        <v>#N/A</v>
        <stp/>
        <stp>BDS|1943334830353130890</stp>
        <tr r="KE5" s="85"/>
      </tp>
      <tp t="e">
        <v>#N/A</v>
        <stp/>
        <stp>BDS|8620179454701659718</stp>
        <tr r="KJ5" s="31"/>
      </tp>
      <tp t="e">
        <v>#N/A</v>
        <stp/>
        <stp>BDS|2102747457893765978</stp>
        <tr r="JP5" s="32"/>
      </tp>
      <tp t="e">
        <v>#N/A</v>
        <stp/>
        <stp>BDS|5324201257809191174</stp>
        <tr r="KY5" s="123"/>
      </tp>
      <tp t="e">
        <v>#N/A</v>
        <stp/>
        <stp>BDS|7615590372689619690</stp>
        <tr r="BI5" s="52"/>
      </tp>
      <tp t="e">
        <v>#N/A</v>
        <stp/>
        <stp>BDS|8050922702142122932</stp>
        <tr r="IB5" s="66"/>
      </tp>
      <tp t="e">
        <v>#N/A</v>
        <stp/>
        <stp>BDS|2978357612948876248</stp>
        <tr r="IG5" s="92"/>
      </tp>
      <tp t="e">
        <v>#N/A</v>
        <stp/>
        <stp>BDS|6838082680660324413</stp>
        <tr r="EZ5" s="87"/>
      </tp>
      <tp t="e">
        <v>#N/A</v>
        <stp/>
        <stp>BDS|3475702698076882169</stp>
        <tr r="FY5" s="125"/>
      </tp>
      <tp t="e">
        <v>#N/A</v>
        <stp/>
        <stp>BDS|5887508286297417587</stp>
        <tr r="MM5" s="20"/>
      </tp>
      <tp t="e">
        <v>#N/A</v>
        <stp/>
        <stp>BDS|2570370388035156688</stp>
        <tr r="EP5" s="96"/>
      </tp>
      <tp t="e">
        <v>#N/A</v>
        <stp/>
        <stp>BDS|2934900875115613399</stp>
        <tr r="FY5" s="99"/>
      </tp>
      <tp t="e">
        <v>#N/A</v>
        <stp/>
        <stp>BDS|7809637756707688980</stp>
        <tr r="GS5" s="3"/>
      </tp>
      <tp t="e">
        <v>#N/A</v>
        <stp/>
        <stp>BDS|2006395184653788093</stp>
        <tr r="IQ5" s="19"/>
        <tr r="GS5" s="18"/>
      </tp>
      <tp t="e">
        <v>#N/A</v>
        <stp/>
        <stp>BDS|5895785782193427356</stp>
        <tr r="K5" s="66"/>
      </tp>
      <tp t="e">
        <v>#N/A</v>
        <stp/>
        <stp>BDS|1268108880891363329</stp>
        <tr r="OF5" s="3"/>
      </tp>
      <tp t="e">
        <v>#N/A</v>
        <stp/>
        <stp>BDS|1175659856050548845</stp>
        <tr r="K5" s="59"/>
      </tp>
      <tp t="e">
        <v>#N/A</v>
        <stp/>
        <stp>BDS|7479774286656180472</stp>
        <tr r="JP5" s="60"/>
      </tp>
      <tp t="e">
        <v>#N/A</v>
        <stp/>
        <stp>BDS|2287174234153393918</stp>
        <tr r="AO5" s="29"/>
      </tp>
      <tp t="e">
        <v>#N/A</v>
        <stp/>
        <stp>BDS|1434350433333427850</stp>
        <tr r="CW5" s="68"/>
      </tp>
      <tp t="e">
        <v>#N/A</v>
        <stp/>
        <stp>BDS|8096809783670231226</stp>
        <tr r="IQ5" s="84"/>
      </tp>
      <tp t="e">
        <v>#N/A</v>
        <stp/>
        <stp>BDS|7130445096807393734</stp>
        <tr r="JZ5" s="15"/>
      </tp>
      <tp t="e">
        <v>#N/A</v>
        <stp/>
        <stp>BDS|5764027931538411436</stp>
        <tr r="CM5" s="109"/>
      </tp>
      <tp t="e">
        <v>#N/A</v>
        <stp/>
        <stp>BDS|9936925796094665780</stp>
        <tr r="AO5" s="59"/>
      </tp>
      <tp t="e">
        <v>#N/A</v>
        <stp/>
        <stp>BDS|3841982126485207772</stp>
        <tr r="EK5" s="57"/>
      </tp>
      <tp t="e">
        <v>#N/A</v>
        <stp/>
        <stp>BDS|5992354778518186365</stp>
        <tr r="IQ5" s="45"/>
      </tp>
      <tp t="e">
        <v>#N/A</v>
        <stp/>
        <stp>BDS|1952364264778804603</stp>
        <tr r="P5" s="75"/>
      </tp>
      <tp t="e">
        <v>#N/A</v>
        <stp/>
        <stp>BDS|2274474984474459067</stp>
        <tr r="KT5" s="1"/>
      </tp>
      <tp t="e">
        <v>#N/A</v>
        <stp/>
        <stp>BDS|1833150599626797536</stp>
        <tr r="A5" s="15"/>
      </tp>
      <tp t="e">
        <v>#N/A</v>
        <stp/>
        <stp>BDS|4373138331119160503</stp>
        <tr r="F5" s="33"/>
      </tp>
      <tp t="e">
        <v>#N/A</v>
        <stp/>
        <stp>BDS|6300073803815468936</stp>
        <tr r="AT5" s="77"/>
      </tp>
      <tp t="e">
        <v>#N/A</v>
        <stp/>
        <stp>BDS|6187950944250468147</stp>
        <tr r="CM5" s="66"/>
      </tp>
      <tp t="e">
        <v>#N/A</v>
        <stp/>
        <stp>BDS|8393787818271752542</stp>
        <tr r="MC5" s="5"/>
      </tp>
      <tp t="e">
        <v>#N/A</v>
        <stp/>
        <stp>BDS|3608795789096742019</stp>
        <tr r="MR5" s="80"/>
      </tp>
      <tp t="e">
        <v>#N/A</v>
        <stp/>
        <stp>BDS|7669869455368109844</stp>
        <tr r="JZ5" s="103"/>
      </tp>
      <tp t="e">
        <v>#N/A</v>
        <stp/>
        <stp>BDS|8891397227437232440</stp>
        <tr r="EA5" s="28"/>
      </tp>
      <tp t="e">
        <v>#N/A</v>
        <stp/>
        <stp>BDS|7994936636131932654</stp>
        <tr r="BI5" s="61"/>
      </tp>
      <tp t="e">
        <v>#N/A</v>
        <stp/>
        <stp>BDS|1095689855161477998</stp>
        <tr r="EU5" s="115"/>
      </tp>
      <tp t="e">
        <v>#N/A</v>
        <stp/>
        <stp>BDS|4773783310999642196</stp>
        <tr r="JA5" s="37"/>
      </tp>
      <tp t="e">
        <v>#N/A</v>
        <stp/>
        <stp>BDS|2804299010108743360</stp>
        <tr r="LN5" s="74"/>
      </tp>
      <tp t="e">
        <v>#N/A</v>
        <stp/>
        <stp>BDS|6003470731042693905</stp>
        <tr r="EK5" s="73"/>
      </tp>
      <tp t="e">
        <v>#N/A</v>
        <stp/>
        <stp>BDS|7133032291452077631</stp>
        <tr r="GN5" s="74"/>
      </tp>
      <tp t="e">
        <v>#N/A</v>
        <stp/>
        <stp>BDS|3818457587167324295</stp>
        <tr r="MW5" s="68"/>
      </tp>
      <tp t="e">
        <v>#N/A</v>
        <stp/>
        <stp>BDS|3878280235048773021</stp>
        <tr r="A5" s="103"/>
      </tp>
      <tp t="e">
        <v>#N/A</v>
        <stp/>
        <stp>BDS|3159054960497416805</stp>
        <tr r="DG5" s="86"/>
      </tp>
      <tp t="e">
        <v>#N/A</v>
        <stp/>
        <stp>BDS|6448695699067582418</stp>
        <tr r="AE5" s="90"/>
      </tp>
      <tp t="e">
        <v>#N/A</v>
        <stp/>
        <stp>BDS|1362813549502973521</stp>
        <tr r="JK5" s="59"/>
      </tp>
      <tp t="e">
        <v>#N/A</v>
        <stp/>
        <stp>BDS|9916735623956192083</stp>
        <tr r="HH5" s="86"/>
      </tp>
      <tp t="e">
        <v>#N/A</v>
        <stp/>
        <stp>BDS|7456940604787446302</stp>
        <tr r="BX5" s="63"/>
      </tp>
      <tp t="e">
        <v>#N/A</v>
        <stp/>
        <stp>BDS|6066469596389203828</stp>
        <tr r="MR5" s="113"/>
      </tp>
      <tp t="e">
        <v>#N/A</v>
        <stp/>
        <stp>BDS|6277756206858995398</stp>
        <tr r="GI5" s="83"/>
      </tp>
      <tp t="e">
        <v>#N/A</v>
        <stp/>
        <stp>BDS|1854042479954611826</stp>
        <tr r="IV5" s="28"/>
      </tp>
      <tp t="e">
        <v>#N/A</v>
        <stp/>
        <stp>BDS|3774986331692789181</stp>
        <tr r="DL5" s="100"/>
      </tp>
      <tp t="e">
        <v>#N/A</v>
        <stp/>
        <stp>BDS|2834479016515819801</stp>
        <tr r="LD5" s="66"/>
      </tp>
      <tp t="e">
        <v>#N/A</v>
        <stp/>
        <stp>BDS|4576653951534060908</stp>
        <tr r="DQ5" s="101"/>
      </tp>
      <tp t="e">
        <v>#N/A</v>
        <stp/>
        <stp>BDS|7888434578557603944</stp>
        <tr r="KO5" s="32"/>
      </tp>
      <tp t="e">
        <v>#N/A</v>
        <stp/>
        <stp>BDS|8724082451486600196</stp>
        <tr r="EF5" s="80"/>
      </tp>
      <tp t="e">
        <v>#N/A</v>
        <stp/>
        <stp>BDS|3769099494607299793</stp>
        <tr r="U5" s="8"/>
      </tp>
      <tp t="e">
        <v>#N/A</v>
        <stp/>
        <stp>BDS|9268330693630348907</stp>
        <tr r="LN5" s="18"/>
      </tp>
      <tp t="e">
        <v>#N/A</v>
        <stp/>
        <stp>BDS|5310942452512038146</stp>
        <tr r="LS5" s="121"/>
      </tp>
      <tp t="e">
        <v>#N/A</v>
        <stp/>
        <stp>BDS|9742062026509125871</stp>
        <tr r="KO5" s="44"/>
      </tp>
      <tp t="e">
        <v>#N/A</v>
        <stp/>
        <stp>BDS|4465156785593266473</stp>
        <tr r="IV5" s="123"/>
      </tp>
      <tp t="e">
        <v>#N/A</v>
        <stp/>
        <stp>BDS|8926465361501927161</stp>
        <tr r="P5" s="72"/>
      </tp>
      <tp t="e">
        <v>#N/A</v>
        <stp/>
        <stp>BDS|9481177473153393623</stp>
        <tr r="HH5" s="120"/>
      </tp>
      <tp t="e">
        <v>#N/A</v>
        <stp/>
        <stp>BDS|6461500700320173947</stp>
        <tr r="IL5" s="1"/>
      </tp>
      <tp t="e">
        <v>#N/A</v>
        <stp/>
        <stp>BDS|6925946302922719799</stp>
        <tr r="LS5" s="42"/>
      </tp>
      <tp t="e">
        <v>#N/A</v>
        <stp/>
        <stp>BDS|5753912514857712034</stp>
        <tr r="MC5" s="64"/>
      </tp>
      <tp t="e">
        <v>#N/A</v>
        <stp/>
        <stp>BDS|9069015282853432813</stp>
        <tr r="CM5" s="6"/>
        <tr r="JU5" s="1"/>
        <tr r="HC5" s="6"/>
      </tp>
      <tp t="e">
        <v>#N/A</v>
        <stp/>
        <stp>BDS|1360707023888325655</stp>
        <tr r="BN5" s="35"/>
      </tp>
      <tp t="e">
        <v>#N/A</v>
        <stp/>
        <stp>BDS|6234333556182660879</stp>
        <tr r="IG5" s="10"/>
      </tp>
      <tp t="e">
        <v>#N/A</v>
        <stp/>
        <stp>BDS|9461279520207363467</stp>
        <tr r="GN5" s="52"/>
      </tp>
      <tp t="e">
        <v>#N/A</v>
        <stp/>
        <stp>BDS|3890941695179843071</stp>
        <tr r="A5" s="31"/>
      </tp>
      <tp t="e">
        <v>#N/A</v>
        <stp/>
        <stp>BDS|2405369078054451881</stp>
        <tr r="EF5" s="49"/>
      </tp>
      <tp t="e">
        <v>#N/A</v>
        <stp/>
        <stp>BDS|8976324338753402119</stp>
        <tr r="GX5" s="123"/>
      </tp>
      <tp t="e">
        <v>#N/A</v>
        <stp/>
        <stp>BDS|9354502362696300643</stp>
        <tr r="GX5" s="115"/>
      </tp>
      <tp t="e">
        <v>#N/A</v>
        <stp/>
        <stp>BDS|9897687135882137427</stp>
        <tr r="KT5" s="26"/>
      </tp>
      <tp t="e">
        <v>#N/A</v>
        <stp/>
        <stp>BDS|9785335957427395262</stp>
        <tr r="OF5" s="106"/>
      </tp>
      <tp t="e">
        <v>#N/A</v>
        <stp/>
        <stp>BDS|3421940753434452110</stp>
        <tr r="KT5" s="24"/>
      </tp>
      <tp t="e">
        <v>#N/A</v>
        <stp/>
        <stp>BDS|7220959554696452718</stp>
        <tr r="P5" s="38"/>
      </tp>
      <tp t="e">
        <v>#N/A</v>
        <stp/>
        <stp>BDS|3784908716079647812</stp>
        <tr r="AO5" s="112"/>
      </tp>
      <tp t="e">
        <v>#N/A</v>
        <stp/>
        <stp>BDS|5598219539709946725</stp>
        <tr r="BD5" s="27"/>
      </tp>
      <tp t="e">
        <v>#N/A</v>
        <stp/>
        <stp>BDS|7618197100079979506</stp>
        <tr r="FJ5" s="62"/>
      </tp>
      <tp t="e">
        <v>#N/A</v>
        <stp/>
        <stp>BDS|8633307573291520763</stp>
        <tr r="KO5" s="113"/>
      </tp>
      <tp t="e">
        <v>#N/A</v>
        <stp/>
        <stp>BDS|5576920854345006650</stp>
        <tr r="BX5" s="24"/>
      </tp>
      <tp t="e">
        <v>#N/A</v>
        <stp/>
        <stp>BDS|9224692180914880954</stp>
        <tr r="HR5" s="123"/>
      </tp>
      <tp t="e">
        <v>#N/A</v>
        <stp/>
        <stp>BDS|3600153170527350866</stp>
        <tr r="CR5" s="22"/>
      </tp>
      <tp t="e">
        <v>#N/A</v>
        <stp/>
        <stp>BDS|6792715291177157512</stp>
        <tr r="P5" s="86"/>
      </tp>
      <tp t="e">
        <v>#N/A</v>
        <stp/>
        <stp>BDS|7166521986732021228</stp>
        <tr r="HC5" s="17"/>
      </tp>
      <tp t="e">
        <v>#N/A</v>
        <stp/>
        <stp>BDS|9815014215882201096</stp>
        <tr r="HM5" s="23"/>
      </tp>
      <tp t="e">
        <v>#N/A</v>
        <stp/>
        <stp>BDS|2092371894893364178</stp>
        <tr r="MM5" s="114"/>
      </tp>
      <tp t="e">
        <v>#N/A</v>
        <stp/>
        <stp>BDS|4496969607867440063</stp>
        <tr r="A5" s="89"/>
      </tp>
      <tp t="e">
        <v>#N/A</v>
        <stp/>
        <stp>BDS|1819245924809722281</stp>
        <tr r="HC5" s="2"/>
      </tp>
      <tp t="e">
        <v>#N/A</v>
        <stp/>
        <stp>BDS|6612740565915631866</stp>
        <tr r="IG5" s="98"/>
      </tp>
      <tp t="e">
        <v>#N/A</v>
        <stp/>
        <stp>BDS|4695866623652207664</stp>
        <tr r="HH5" s="25"/>
      </tp>
      <tp t="e">
        <v>#N/A</v>
        <stp/>
        <stp>BDS|1688077790423130175</stp>
        <tr r="KJ5" s="92"/>
      </tp>
      <tp t="e">
        <v>#N/A</v>
        <stp/>
        <stp>BDS|3609829064980416733</stp>
        <tr r="U5" s="72"/>
      </tp>
      <tp t="e">
        <v>#N/A</v>
        <stp/>
        <stp>BDS|4731917699588179695</stp>
        <tr r="Z5" s="46"/>
      </tp>
      <tp t="e">
        <v>#N/A</v>
        <stp/>
        <stp>BDS|7571471953159772513</stp>
        <tr r="CW5" s="50"/>
      </tp>
      <tp t="e">
        <v>#N/A</v>
        <stp/>
        <stp>BDS|8537042815437333406</stp>
        <tr r="NV5" s="28"/>
      </tp>
      <tp t="e">
        <v>#N/A</v>
        <stp/>
        <stp>BDS|6921624177339803434</stp>
        <tr r="U5" s="99"/>
      </tp>
      <tp t="e">
        <v>#N/A</v>
        <stp/>
        <stp>BDS|8426288778984065333</stp>
        <tr r="CC5" s="120"/>
      </tp>
      <tp t="e">
        <v>#N/A</v>
        <stp/>
        <stp>BDS|7563298563629969018</stp>
        <tr r="HW5" s="58"/>
      </tp>
      <tp t="e">
        <v>#N/A</v>
        <stp/>
        <stp>BDS|6072350920538711554</stp>
        <tr r="A5" s="16"/>
      </tp>
      <tp t="e">
        <v>#N/A</v>
        <stp/>
        <stp>BDS|4631637693962300329</stp>
        <tr r="EP5" s="44"/>
      </tp>
      <tp t="e">
        <v>#N/A</v>
        <stp/>
        <stp>BDS|7387496766539105690</stp>
        <tr r="IB5" s="121"/>
      </tp>
      <tp t="e">
        <v>#N/A</v>
        <stp/>
        <stp>BDS|7128156132819013626</stp>
        <tr r="JA5" s="119"/>
      </tp>
      <tp t="e">
        <v>#N/A</v>
        <stp/>
        <stp>BDS|8816140353182386480</stp>
        <tr r="BX5" s="34"/>
      </tp>
      <tp t="e">
        <v>#N/A</v>
        <stp/>
        <stp>BDS|2326989069265757212</stp>
        <tr r="IG5" s="31"/>
      </tp>
      <tp t="e">
        <v>#N/A</v>
        <stp/>
        <stp>BDS|4186705715049772174</stp>
        <tr r="DB5" s="58"/>
      </tp>
      <tp t="e">
        <v>#N/A</v>
        <stp/>
        <stp>BDS|7455337027918318475</stp>
        <tr r="IL5" s="109"/>
      </tp>
      <tp t="e">
        <v>#N/A</v>
        <stp/>
        <stp>BDS|3230286152299413789</stp>
        <tr r="GX5" s="76"/>
      </tp>
      <tp t="e">
        <v>#N/A</v>
        <stp/>
        <stp>BDS|5231829456263055120</stp>
        <tr r="A5" s="75"/>
      </tp>
      <tp t="e">
        <v>#N/A</v>
        <stp/>
        <stp>BDS|8534410805331336761</stp>
        <tr r="BD5" s="91"/>
      </tp>
      <tp t="e">
        <v>#N/A</v>
        <stp/>
        <stp>BDS|2821235894496865536</stp>
        <tr r="AO5" s="65"/>
      </tp>
      <tp t="e">
        <v>#N/A</v>
        <stp/>
        <stp>BDS|7071831093049346571</stp>
        <tr r="LD5" s="1"/>
      </tp>
      <tp t="e">
        <v>#N/A</v>
        <stp/>
        <stp>BDS|7632129510865009802</stp>
        <tr r="JU5" s="70"/>
      </tp>
      <tp t="e">
        <v>#N/A</v>
        <stp/>
        <stp>BDS|1463805725477601636</stp>
        <tr r="GN5" s="114"/>
      </tp>
      <tp t="e">
        <v>#N/A</v>
        <stp/>
        <stp>BDS|5843199397122420568</stp>
        <tr r="JZ5" s="21"/>
      </tp>
      <tp t="e">
        <v>#N/A</v>
        <stp/>
        <stp>BDS|9957736597368955500</stp>
        <tr r="NL5" s="12"/>
      </tp>
      <tp t="e">
        <v>#N/A</v>
        <stp/>
        <stp>BDS|6229489127538029299</stp>
        <tr r="K5" s="47"/>
      </tp>
      <tp t="e">
        <v>#N/A</v>
        <stp/>
        <stp>BDS|9844285175972537451</stp>
        <tr r="FT5" s="80"/>
      </tp>
      <tp t="e">
        <v>#N/A</v>
        <stp/>
        <stp>BDS|2341878432717516462</stp>
        <tr r="JZ5" s="14"/>
      </tp>
      <tp t="e">
        <v>#N/A</v>
        <stp/>
        <stp>BDS|3942186840405576919</stp>
        <tr r="BI5" s="46"/>
      </tp>
      <tp t="e">
        <v>#N/A</v>
        <stp/>
        <stp>BDS|3489064083340573110</stp>
        <tr r="JP5" s="67"/>
      </tp>
      <tp t="e">
        <v>#N/A</v>
        <stp/>
        <stp>BDS|1389054261474706950</stp>
        <tr r="DQ5" s="51"/>
      </tp>
      <tp t="e">
        <v>#N/A</v>
        <stp/>
        <stp>BDS|9243183775731919438</stp>
        <tr r="NB5" s="60"/>
      </tp>
      <tp t="e">
        <v>#N/A</v>
        <stp/>
        <stp>BDS|2480736474049706110</stp>
        <tr r="CM5" s="117"/>
      </tp>
      <tp t="e">
        <v>#N/A</v>
        <stp/>
        <stp>BDS|1411437709566943929</stp>
        <tr r="HW5" s="101"/>
      </tp>
      <tp t="e">
        <v>#N/A</v>
        <stp/>
        <stp>BDS|2485700360010432954</stp>
        <tr r="DB5" s="81"/>
      </tp>
      <tp t="e">
        <v>#N/A</v>
        <stp/>
        <stp>BDS|8841650978770308331</stp>
        <tr r="NG5" s="60"/>
      </tp>
      <tp t="e">
        <v>#N/A</v>
        <stp/>
        <stp>BDS|5404994774756406780</stp>
        <tr r="MW5" s="56"/>
      </tp>
      <tp t="e">
        <v>#N/A</v>
        <stp/>
        <stp>BDS|2398436732759362648</stp>
        <tr r="JA5" s="91"/>
      </tp>
      <tp t="e">
        <v>#N/A</v>
        <stp/>
        <stp>BDS|7505914110540059512</stp>
        <tr r="AE5" s="51"/>
      </tp>
      <tp t="e">
        <v>#N/A</v>
        <stp/>
        <stp>BDS|2423100923239171230</stp>
        <tr r="BN5" s="104"/>
      </tp>
      <tp t="e">
        <v>#N/A</v>
        <stp/>
        <stp>BDS|8724563251157704525</stp>
        <tr r="HR5" s="122"/>
      </tp>
      <tp t="e">
        <v>#N/A</v>
        <stp/>
        <stp>BDS|9656010199603385870</stp>
        <tr r="BS5" s="27"/>
      </tp>
      <tp t="e">
        <v>#N/A</v>
        <stp/>
        <stp>BDS|7678451489251188114</stp>
        <tr r="EK5" s="58"/>
      </tp>
      <tp t="e">
        <v>#N/A</v>
        <stp/>
        <stp>BDS|8281295770195755361</stp>
        <tr r="BX5" s="93"/>
      </tp>
      <tp t="e">
        <v>#N/A</v>
        <stp/>
        <stp>BDS|2885814531263400167</stp>
        <tr r="BD5" s="50"/>
      </tp>
      <tp t="e">
        <v>#N/A</v>
        <stp/>
        <stp>BDS|4386293888015073085</stp>
        <tr r="JZ5" s="6"/>
      </tp>
      <tp t="e">
        <v>#N/A</v>
        <stp/>
        <stp>BDS|8370650205620862519</stp>
        <tr r="MM5" s="118"/>
      </tp>
      <tp t="e">
        <v>#N/A</v>
        <stp/>
        <stp>BDS|3661147075926950843</stp>
        <tr r="AO5" s="100"/>
      </tp>
      <tp t="e">
        <v>#N/A</v>
        <stp/>
        <stp>BDS|7874919958345928523</stp>
        <tr r="JA5" s="49"/>
      </tp>
      <tp t="e">
        <v>#N/A</v>
        <stp/>
        <stp>BDS|1192246054159858436</stp>
        <tr r="CC5" s="24"/>
      </tp>
      <tp t="e">
        <v>#N/A</v>
        <stp/>
        <stp>BDS|8454308567922007496</stp>
        <tr r="JK5" s="43"/>
      </tp>
      <tp t="e">
        <v>#N/A</v>
        <stp/>
        <stp>BDS|2204377689594599638</stp>
        <tr r="FO5" s="4"/>
      </tp>
      <tp t="e">
        <v>#N/A</v>
        <stp/>
        <stp>BDS|9819612099625958833</stp>
        <tr r="BN5" s="71"/>
      </tp>
      <tp t="e">
        <v>#N/A</v>
        <stp/>
        <stp>BDS|3594506237206998817</stp>
        <tr r="JF5" s="26"/>
      </tp>
      <tp t="e">
        <v>#N/A</v>
        <stp/>
        <stp>BDS|4820127182021645741</stp>
        <tr r="LI5" s="43"/>
      </tp>
      <tp t="e">
        <v>#N/A</v>
        <stp/>
        <stp>BDS|7612092301284725832</stp>
        <tr r="OF5" s="83"/>
      </tp>
      <tp t="e">
        <v>#N/A</v>
        <stp/>
        <stp>BDS|2111946316151094098</stp>
        <tr r="DB5" s="113"/>
      </tp>
      <tp t="e">
        <v>#N/A</v>
        <stp/>
        <stp>BDS|2458741875911928868</stp>
        <tr r="NV5" s="12"/>
      </tp>
      <tp t="e">
        <v>#N/A</v>
        <stp/>
        <stp>BDS|8810077046493502465</stp>
        <tr r="GX5" s="90"/>
      </tp>
      <tp t="e">
        <v>#N/A</v>
        <stp/>
        <stp>BDS|9319613698075404847</stp>
        <tr r="DL5" s="97"/>
      </tp>
      <tp t="e">
        <v>#N/A</v>
        <stp/>
        <stp>BDS|7129365044142899905</stp>
        <tr r="HC5" s="103"/>
      </tp>
      <tp t="e">
        <v>#N/A</v>
        <stp/>
        <stp>BDS|4475232626827262881</stp>
        <tr r="KE5" s="21"/>
      </tp>
      <tp t="e">
        <v>#N/A</v>
        <stp/>
        <stp>BDS|7347131294473990763</stp>
        <tr r="DB5" s="103"/>
      </tp>
      <tp t="e">
        <v>#N/A</v>
        <stp/>
        <stp>BDS|9823928393386733451</stp>
        <tr r="KY5" s="13"/>
      </tp>
      <tp t="e">
        <v>#N/A</v>
        <stp/>
        <stp>BDS|1843719664772514932</stp>
        <tr r="A5" s="52"/>
      </tp>
      <tp t="e">
        <v>#N/A</v>
        <stp/>
        <stp>BDS|5119779108998506108</stp>
        <tr r="FT5" s="29"/>
      </tp>
      <tp t="e">
        <v>#N/A</v>
        <stp/>
        <stp>BDS|8498483986118266733</stp>
        <tr r="EZ5" s="40"/>
      </tp>
      <tp t="e">
        <v>#N/A</v>
        <stp/>
        <stp>BDS|7444497086963937396</stp>
        <tr r="EU5" s="79"/>
      </tp>
      <tp t="e">
        <v>#N/A</v>
        <stp/>
        <stp>BDS|7374890346784099476</stp>
        <tr r="EP5" s="108"/>
      </tp>
      <tp t="e">
        <v>#N/A</v>
        <stp/>
        <stp>BDS|8678177778241285408</stp>
        <tr r="EP5" s="25"/>
        <tr r="LD5" s="51"/>
      </tp>
      <tp t="e">
        <v>#N/A</v>
        <stp/>
        <stp>BDS|8218776519002037777</stp>
        <tr r="CW5" s="120"/>
      </tp>
      <tp t="e">
        <v>#N/A</v>
        <stp/>
        <stp>BDS|2509863438027511552</stp>
        <tr r="DG5" s="63"/>
      </tp>
      <tp t="e">
        <v>#N/A</v>
        <stp/>
        <stp>BDS|8165737619686261320</stp>
        <tr r="KJ5" s="22"/>
      </tp>
      <tp t="e">
        <v>#N/A</v>
        <stp/>
        <stp>BDS|1726940871687868314</stp>
        <tr r="OF5" s="46"/>
      </tp>
      <tp t="e">
        <v>#N/A</v>
        <stp/>
        <stp>BDS|2016695884351714613</stp>
        <tr r="EU5" s="11"/>
      </tp>
      <tp t="e">
        <v>#N/A</v>
        <stp/>
        <stp>BDS|6099346193043863473</stp>
        <tr r="AE5" s="39"/>
      </tp>
      <tp t="e">
        <v>#N/A</v>
        <stp/>
        <stp>BDS|1631935569863718635</stp>
        <tr r="NG5" s="116"/>
      </tp>
      <tp t="e">
        <v>#N/A</v>
        <stp/>
        <stp>BDS|9371380832614819698</stp>
        <tr r="DB5" s="49"/>
      </tp>
      <tp t="e">
        <v>#N/A</v>
        <stp/>
        <stp>BDS|8075279604286238797</stp>
        <tr r="K5" s="54"/>
      </tp>
      <tp t="e">
        <v>#N/A</v>
        <stp/>
        <stp>BDS|1712259269986762848</stp>
        <tr r="LS5" s="25"/>
      </tp>
      <tp t="e">
        <v>#N/A</v>
        <stp/>
        <stp>BDS|1743909628443435238</stp>
        <tr r="CW5" s="64"/>
      </tp>
      <tp t="e">
        <v>#N/A</v>
        <stp/>
        <stp>BDS|4182114897657998061</stp>
        <tr r="MM5" s="103"/>
      </tp>
      <tp t="e">
        <v>#N/A</v>
        <stp/>
        <stp>BDS|6300169118035029858</stp>
        <tr r="EF5" s="55"/>
      </tp>
      <tp t="e">
        <v>#N/A</v>
        <stp/>
        <stp>BDS|1614093655168114734</stp>
        <tr r="FO5" s="120"/>
      </tp>
      <tp t="e">
        <v>#N/A</v>
        <stp/>
        <stp>BDS|8901062717445566757</stp>
        <tr r="BI5" s="120"/>
      </tp>
      <tp t="e">
        <v>#N/A</v>
        <stp/>
        <stp>BDS|5042680370587237839</stp>
        <tr r="EP5" s="63"/>
      </tp>
      <tp t="e">
        <v>#N/A</v>
        <stp/>
        <stp>BDS|3603923559792446608</stp>
        <tr r="GD5" s="44"/>
      </tp>
      <tp t="e">
        <v>#N/A</v>
        <stp/>
        <stp>BDS|9280881413032003900</stp>
        <tr r="MM5" s="43"/>
      </tp>
      <tp t="e">
        <v>#N/A</v>
        <stp/>
        <stp>BDS|5082478782953819146</stp>
        <tr r="GD5" s="105"/>
      </tp>
      <tp t="e">
        <v>#N/A</v>
        <stp/>
        <stp>BDS|9260201086871863956</stp>
        <tr r="FT5" s="50"/>
      </tp>
      <tp t="e">
        <v>#N/A</v>
        <stp/>
        <stp>BDS|8191251709436437703</stp>
        <tr r="MW5" s="77"/>
      </tp>
      <tp t="e">
        <v>#N/A</v>
        <stp/>
        <stp>BDS|7756079643671203988</stp>
        <tr r="EP5" s="59"/>
      </tp>
      <tp t="e">
        <v>#N/A</v>
        <stp/>
        <stp>BDS|7546427848618741413</stp>
        <tr r="HH5" s="44"/>
      </tp>
      <tp t="e">
        <v>#N/A</v>
        <stp/>
        <stp>BDS|3776303455658820630</stp>
        <tr r="BS5" s="94"/>
      </tp>
      <tp t="e">
        <v>#N/A</v>
        <stp/>
        <stp>BDS|1813593077339688199</stp>
        <tr r="HM5" s="95"/>
      </tp>
      <tp t="e">
        <v>#N/A</v>
        <stp/>
        <stp>BDS|4861215054150326871</stp>
        <tr r="LD5" s="125"/>
      </tp>
      <tp t="e">
        <v>#N/A</v>
        <stp/>
        <stp>BDS|3577263290915284683</stp>
        <tr r="JZ5" s="120"/>
      </tp>
      <tp t="e">
        <v>#N/A</v>
        <stp/>
        <stp>BDS|4322866550030557297</stp>
        <tr r="Z5" s="51"/>
      </tp>
      <tp t="e">
        <v>#N/A</v>
        <stp/>
        <stp>BDS|6953026633506929883</stp>
        <tr r="MR5" s="85"/>
      </tp>
      <tp t="e">
        <v>#N/A</v>
        <stp/>
        <stp>BDS|9915904693066194457</stp>
        <tr r="OF5" s="28"/>
      </tp>
      <tp t="e">
        <v>#N/A</v>
        <stp/>
        <stp>BDS|2002757750288975329</stp>
        <tr r="DB5" s="52"/>
      </tp>
      <tp t="e">
        <v>#N/A</v>
        <stp/>
        <stp>BDS|5587377614555826900</stp>
        <tr r="IV5" s="72"/>
      </tp>
      <tp t="e">
        <v>#N/A</v>
        <stp/>
        <stp>BDS|3621556623498616789</stp>
        <tr r="JF5" s="10"/>
      </tp>
      <tp t="e">
        <v>#N/A</v>
        <stp/>
        <stp>BDS|6829413990775671518</stp>
        <tr r="IQ5" s="3"/>
      </tp>
      <tp t="e">
        <v>#N/A</v>
        <stp/>
        <stp>BDS|5632633777638900759</stp>
        <tr r="FT5" s="36"/>
      </tp>
      <tp t="e">
        <v>#N/A</v>
        <stp/>
        <stp>BDS|8045201370497988176</stp>
        <tr r="FT5" s="8"/>
      </tp>
      <tp t="e">
        <v>#N/A</v>
        <stp/>
        <stp>BDS|7600584713848222012</stp>
        <tr r="EZ5" s="81"/>
      </tp>
      <tp t="e">
        <v>#N/A</v>
        <stp/>
        <stp>BDS|1948263252994047938</stp>
        <tr r="GX5" s="98"/>
      </tp>
      <tp t="e">
        <v>#N/A</v>
        <stp/>
        <stp>BDS|9455732211514054086</stp>
        <tr r="IG5" s="29"/>
      </tp>
      <tp t="e">
        <v>#N/A</v>
        <stp/>
        <stp>BDS|5922446239341367890</stp>
        <tr r="F5" s="121"/>
      </tp>
      <tp t="e">
        <v>#N/A</v>
        <stp/>
        <stp>BDS|3428109328253659848</stp>
        <tr r="IL5" s="48"/>
      </tp>
      <tp t="e">
        <v>#N/A</v>
        <stp/>
        <stp>BDS|8982605555779389916</stp>
        <tr r="CR5" s="114"/>
      </tp>
      <tp t="e">
        <v>#N/A</v>
        <stp/>
        <stp>BDS|4720957682307944977</stp>
        <tr r="DL5" s="87"/>
      </tp>
      <tp t="e">
        <v>#N/A</v>
        <stp/>
        <stp>BDS|5089497060838034471</stp>
        <tr r="DB5" s="72"/>
      </tp>
      <tp t="e">
        <v>#N/A</v>
        <stp/>
        <stp>BDS|1958912648711860663</stp>
        <tr r="K5" s="50"/>
      </tp>
      <tp t="e">
        <v>#N/A</v>
        <stp/>
        <stp>BDS|1833368080157368626</stp>
        <tr r="LD5" s="42"/>
      </tp>
      <tp t="e">
        <v>#N/A</v>
        <stp/>
        <stp>BDS|3218559768549840282</stp>
        <tr r="FY5" s="66"/>
      </tp>
      <tp t="e">
        <v>#N/A</v>
        <stp/>
        <stp>BDS|1918862098843919812</stp>
        <tr r="Z5" s="125"/>
      </tp>
      <tp t="e">
        <v>#N/A</v>
        <stp/>
        <stp>BDS|9977389785430318983</stp>
        <tr r="LN5" s="27"/>
      </tp>
      <tp t="e">
        <v>#N/A</v>
        <stp/>
        <stp>BDS|3026929888261619831</stp>
        <tr r="EU5" s="14"/>
      </tp>
      <tp t="e">
        <v>#N/A</v>
        <stp/>
        <stp>BDS|2863991935206342588</stp>
        <tr r="MH5" s="11"/>
      </tp>
      <tp t="e">
        <v>#N/A</v>
        <stp/>
        <stp>BDS|7162493780558294856</stp>
        <tr r="HR5" s="61"/>
      </tp>
      <tp t="e">
        <v>#N/A</v>
        <stp/>
        <stp>BDS|2760936513355180494</stp>
        <tr r="GS5" s="71"/>
      </tp>
      <tp t="e">
        <v>#N/A</v>
        <stp/>
        <stp>BDS|4949805228130850569</stp>
        <tr r="AJ5" s="121"/>
      </tp>
      <tp t="e">
        <v>#N/A</v>
        <stp/>
        <stp>BDS|9894728615774812086</stp>
        <tr r="GI5" s="82"/>
      </tp>
      <tp t="e">
        <v>#N/A</v>
        <stp/>
        <stp>BDS|5852883236845168089</stp>
        <tr r="FT5" s="55"/>
      </tp>
      <tp t="e">
        <v>#N/A</v>
        <stp/>
        <stp>BDS|8479487654676604417</stp>
        <tr r="GD5" s="20"/>
      </tp>
      <tp t="e">
        <v>#N/A</v>
        <stp/>
        <stp>BDS|9954943383497529447</stp>
        <tr r="LD5" s="78"/>
      </tp>
      <tp t="e">
        <v>#N/A</v>
        <stp/>
        <stp>BDS|1769369311918778084</stp>
        <tr r="NG5" s="48"/>
      </tp>
      <tp t="e">
        <v>#N/A</v>
        <stp/>
        <stp>BDS|8524746026824918218</stp>
        <tr r="DG5" s="55"/>
      </tp>
      <tp t="e">
        <v>#N/A</v>
        <stp/>
        <stp>BDS|9438619464246983475</stp>
        <tr r="HH5" s="59"/>
      </tp>
      <tp t="e">
        <v>#N/A</v>
        <stp/>
        <stp>BDS|6439940808873232762</stp>
        <tr r="OF5" s="101"/>
      </tp>
      <tp t="e">
        <v>#N/A</v>
        <stp/>
        <stp>BDS|8010148927194677495</stp>
        <tr r="KJ5" s="74"/>
      </tp>
      <tp t="e">
        <v>#N/A</v>
        <stp/>
        <stp>BDS|1542582525758130558</stp>
        <tr r="IQ5" s="16"/>
      </tp>
      <tp t="e">
        <v>#N/A</v>
        <stp/>
        <stp>BDS|2007426671812828877</stp>
        <tr r="KY5" s="64"/>
      </tp>
      <tp t="e">
        <v>#N/A</v>
        <stp/>
        <stp>BDS|5385119182675980256</stp>
        <tr r="LS5" s="102"/>
      </tp>
      <tp t="e">
        <v>#N/A</v>
        <stp/>
        <stp>BDS|2469937742981013597</stp>
        <tr r="NB5" s="95"/>
      </tp>
      <tp t="e">
        <v>#N/A</v>
        <stp/>
        <stp>BDS|6588871149983773208</stp>
        <tr r="EP5" s="39"/>
      </tp>
      <tp t="e">
        <v>#N/A</v>
        <stp/>
        <stp>BDS|1406417908497163909</stp>
        <tr r="DB5" s="34"/>
      </tp>
      <tp t="e">
        <v>#N/A</v>
        <stp/>
        <stp>BDS|8144781218345492093</stp>
        <tr r="EZ5" s="104"/>
      </tp>
      <tp t="e">
        <v>#N/A</v>
        <stp/>
        <stp>BDS|6532864292638540489</stp>
        <tr r="OF5" s="30"/>
      </tp>
      <tp t="e">
        <v>#N/A</v>
        <stp/>
        <stp>BDS|9896418167385670548</stp>
        <tr r="F5" s="105"/>
      </tp>
      <tp t="e">
        <v>#N/A</v>
        <stp/>
        <stp>BDS|9178069853400800708</stp>
        <tr r="A5" s="95"/>
      </tp>
      <tp t="e">
        <v>#N/A</v>
        <stp/>
        <stp>BDS|6064755765345543997</stp>
        <tr r="DL5" s="65"/>
      </tp>
      <tp t="e">
        <v>#N/A</v>
        <stp/>
        <stp>BDS|8973235145745115024</stp>
        <tr r="OF5" s="124"/>
      </tp>
      <tp t="e">
        <v>#N/A</v>
        <stp/>
        <stp>BDS|7483468285971284190</stp>
        <tr r="FO5" s="72"/>
        <tr r="MM5" s="121"/>
        <tr r="GS5" s="94"/>
      </tp>
      <tp t="e">
        <v>#N/A</v>
        <stp/>
        <stp>BDS|9641595730284061034</stp>
        <tr r="LX5" s="34"/>
      </tp>
      <tp t="e">
        <v>#N/A</v>
        <stp/>
        <stp>BDS|1008866525920999061</stp>
        <tr r="F5" s="36"/>
      </tp>
      <tp t="e">
        <v>#N/A</v>
        <stp/>
        <stp>BDS|8749791316355658024</stp>
        <tr r="EP5" s="56"/>
      </tp>
      <tp t="e">
        <v>#N/A</v>
        <stp/>
        <stp>BDS|5577122322914939908</stp>
        <tr r="MH5" s="36"/>
      </tp>
      <tp t="e">
        <v>#N/A</v>
        <stp/>
        <stp>BDS|2294615120514645985</stp>
        <tr r="JK5" s="18"/>
      </tp>
      <tp t="e">
        <v>#N/A</v>
        <stp/>
        <stp>BDS|9982363307729034856</stp>
        <tr r="OA5" s="57"/>
      </tp>
      <tp t="e">
        <v>#N/A</v>
        <stp/>
        <stp>BDS|5941142009648871719</stp>
        <tr r="DV5" s="108"/>
      </tp>
      <tp t="e">
        <v>#N/A</v>
        <stp/>
        <stp>BDS|5456243331898927752</stp>
        <tr r="HC5" s="10"/>
      </tp>
      <tp t="e">
        <v>#N/A</v>
        <stp/>
        <stp>BDS|1207018881815977768</stp>
        <tr r="F5" s="2"/>
      </tp>
      <tp t="e">
        <v>#N/A</v>
        <stp/>
        <stp>BDS|7474615294894544791</stp>
        <tr r="AO5" s="67"/>
      </tp>
      <tp t="e">
        <v>#N/A</v>
        <stp/>
        <stp>BDS|6613440485799841820</stp>
        <tr r="NB5" s="121"/>
      </tp>
      <tp t="e">
        <v>#N/A</v>
        <stp/>
        <stp>BDS|3804075881134178420</stp>
        <tr r="K5" s="57"/>
      </tp>
      <tp t="e">
        <v>#N/A</v>
        <stp/>
        <stp>BDS|2066125659349045464</stp>
        <tr r="BI5" s="110"/>
      </tp>
      <tp t="e">
        <v>#N/A</v>
        <stp/>
        <stp>BDS|5479404601428862201</stp>
        <tr r="BN5" s="75"/>
      </tp>
      <tp t="e">
        <v>#N/A</v>
        <stp/>
        <stp>BDS|9890191687699295297</stp>
        <tr r="BI5" s="122"/>
      </tp>
      <tp t="e">
        <v>#N/A</v>
        <stp/>
        <stp>BDS|7096866072066861518</stp>
        <tr r="KO5" s="89"/>
      </tp>
      <tp t="e">
        <v>#N/A</v>
        <stp/>
        <stp>BDS|5919654013198044126</stp>
        <tr r="NB5" s="92"/>
      </tp>
      <tp t="e">
        <v>#N/A</v>
        <stp/>
        <stp>BDS|7917361761268252111</stp>
        <tr r="FY5" s="43"/>
      </tp>
      <tp t="e">
        <v>#N/A</v>
        <stp/>
        <stp>BDS|3412539791853960720</stp>
        <tr r="KT5" s="15"/>
      </tp>
      <tp t="e">
        <v>#N/A</v>
        <stp/>
        <stp>BDS|2806330997674681778</stp>
        <tr r="DG5" s="8"/>
      </tp>
      <tp t="e">
        <v>#N/A</v>
        <stp/>
        <stp>BDS|9888917186826121533</stp>
        <tr r="GN5" s="15"/>
      </tp>
      <tp t="e">
        <v>#N/A</v>
        <stp/>
        <stp>BDS|1532612012195347881</stp>
        <tr r="KE5" s="46"/>
      </tp>
      <tp t="e">
        <v>#N/A</v>
        <stp/>
        <stp>BDS|5070387962029425237</stp>
        <tr r="MR5" s="112"/>
      </tp>
      <tp t="e">
        <v>#N/A</v>
        <stp/>
        <stp>BDS|5863234867972592847</stp>
        <tr r="JK5" s="37"/>
      </tp>
      <tp t="e">
        <v>#N/A</v>
        <stp/>
        <stp>BDS|9955550876751211156</stp>
        <tr r="HM5" s="10"/>
      </tp>
      <tp t="e">
        <v>#N/A</v>
        <stp/>
        <stp>BDS|3439919860072094578</stp>
        <tr r="BD5" s="33"/>
      </tp>
      <tp t="e">
        <v>#N/A</v>
        <stp/>
        <stp>BDS|8931986576975130844</stp>
        <tr r="KO5" s="45"/>
      </tp>
      <tp t="e">
        <v>#N/A</v>
        <stp/>
        <stp>BDS|8474912973968543513</stp>
        <tr r="KT5" s="17"/>
      </tp>
      <tp t="e">
        <v>#N/A</v>
        <stp/>
        <stp>BDS|1100343693842365275</stp>
        <tr r="U5" s="74"/>
      </tp>
      <tp t="e">
        <v>#N/A</v>
        <stp/>
        <stp>BDS|8215460445996758544</stp>
        <tr r="IV5" s="93"/>
      </tp>
      <tp t="e">
        <v>#N/A</v>
        <stp/>
        <stp>BDS|2612640761988656174</stp>
        <tr r="DG5" s="40"/>
      </tp>
      <tp t="e">
        <v>#N/A</v>
        <stp/>
        <stp>BDS|7404185184977227280</stp>
        <tr r="AE5" s="25"/>
      </tp>
      <tp t="e">
        <v>#N/A</v>
        <stp/>
        <stp>BDS|3231576482206702329</stp>
        <tr r="NG5" s="114"/>
      </tp>
      <tp t="e">
        <v>#N/A</v>
        <stp/>
        <stp>BDS|4284563081456273456</stp>
        <tr r="AT5" s="58"/>
      </tp>
      <tp t="e">
        <v>#N/A</v>
        <stp/>
        <stp>BDS|6589383595483239482</stp>
        <tr r="JF5" s="52"/>
      </tp>
      <tp t="e">
        <v>#N/A</v>
        <stp/>
        <stp>BDS|6167583638949375207</stp>
        <tr r="JA5" s="117"/>
      </tp>
      <tp t="e">
        <v>#N/A</v>
        <stp/>
        <stp>BDS|6679127984914539076</stp>
        <tr r="F5" s="65"/>
      </tp>
      <tp t="e">
        <v>#N/A</v>
        <stp/>
        <stp>BDS|9151212599551889836</stp>
        <tr r="JK5" s="55"/>
      </tp>
      <tp t="e">
        <v>#N/A</v>
        <stp/>
        <stp>BDS|9207642877472307104</stp>
        <tr r="EU5" s="84"/>
      </tp>
      <tp t="e">
        <v>#N/A</v>
        <stp/>
        <stp>BDS|8411389504894301493</stp>
        <tr r="DB5" s="80"/>
      </tp>
      <tp t="e">
        <v>#N/A</v>
        <stp/>
        <stp>BDS|7323980941330809101</stp>
        <tr r="AE5" s="31"/>
      </tp>
      <tp t="e">
        <v>#N/A</v>
        <stp/>
        <stp>BDS|9759535212487210165</stp>
        <tr r="HW5" s="50"/>
      </tp>
      <tp t="e">
        <v>#N/A</v>
        <stp/>
        <stp>BDS|8180569062750419037</stp>
        <tr r="Z5" s="6"/>
      </tp>
      <tp t="e">
        <v>#N/A</v>
        <stp/>
        <stp>BDS|7767207417218173732</stp>
        <tr r="AT5" s="71"/>
      </tp>
      <tp t="e">
        <v>#N/A</v>
        <stp/>
        <stp>BDS|1173031707592769802</stp>
        <tr r="OF5" s="104"/>
      </tp>
      <tp t="e">
        <v>#N/A</v>
        <stp/>
        <stp>BDS|2556831338023972156</stp>
        <tr r="MC5" s="12"/>
      </tp>
      <tp t="e">
        <v>#N/A</v>
        <stp/>
        <stp>BDS|6722314400398087657</stp>
        <tr r="CC5" s="102"/>
      </tp>
      <tp t="e">
        <v>#N/A</v>
        <stp/>
        <stp>BDS|5357327934907494928</stp>
        <tr r="BX5" s="51"/>
      </tp>
      <tp t="e">
        <v>#N/A</v>
        <stp/>
        <stp>BDS|5694928952431095356</stp>
        <tr r="JF5" s="119"/>
      </tp>
      <tp t="e">
        <v>#N/A</v>
        <stp/>
        <stp>BDS|9265318785188079150</stp>
        <tr r="DQ5" s="50"/>
      </tp>
      <tp t="e">
        <v>#N/A</v>
        <stp/>
        <stp>BDS|2123246712019755338</stp>
        <tr r="HC5" s="115"/>
      </tp>
      <tp t="e">
        <v>#N/A</v>
        <stp/>
        <stp>BDS|9260439241445721747</stp>
        <tr r="FJ5" s="64"/>
      </tp>
      <tp t="e">
        <v>#N/A</v>
        <stp/>
        <stp>BDS|7267594298640882082</stp>
        <tr r="FJ5" s="109"/>
      </tp>
      <tp t="e">
        <v>#N/A</v>
        <stp/>
        <stp>BDS|6768683286755354699</stp>
        <tr r="NL5" s="23"/>
      </tp>
      <tp t="e">
        <v>#N/A</v>
        <stp/>
        <stp>BDS|6141936403605534178</stp>
        <tr r="AY5" s="124"/>
      </tp>
      <tp t="e">
        <v>#N/A</v>
        <stp/>
        <stp>BDS|2886782782924688274</stp>
        <tr r="EP5" s="1"/>
        <tr r="P5" s="15"/>
      </tp>
      <tp t="e">
        <v>#N/A</v>
        <stp/>
        <stp>BDS|2572425557979555162</stp>
        <tr r="U5" s="82"/>
      </tp>
      <tp t="e">
        <v>#N/A</v>
        <stp/>
        <stp>BDS|6845960218942393768</stp>
        <tr r="EF5" s="100"/>
      </tp>
      <tp t="e">
        <v>#N/A</v>
        <stp/>
        <stp>BDS|4096699238293468969</stp>
        <tr r="JK5" s="29"/>
      </tp>
      <tp t="e">
        <v>#N/A</v>
        <stp/>
        <stp>BDS|6786538427172753879</stp>
        <tr r="JA5" s="109"/>
      </tp>
      <tp t="e">
        <v>#N/A</v>
        <stp/>
        <stp>BDS|1752051393801513270</stp>
        <tr r="AT5" s="90"/>
      </tp>
      <tp t="e">
        <v>#N/A</v>
        <stp/>
        <stp>BDS|5017877064904304432</stp>
        <tr r="BS5" s="104"/>
      </tp>
      <tp t="e">
        <v>#N/A</v>
        <stp/>
        <stp>BDS|9065516381847371802</stp>
        <tr r="HH5" s="97"/>
      </tp>
      <tp t="e">
        <v>#N/A</v>
        <stp/>
        <stp>BDS|5053892149666436472</stp>
        <tr r="JU5" s="4"/>
      </tp>
      <tp t="e">
        <v>#N/A</v>
        <stp/>
        <stp>BDS|8553531894048715765</stp>
        <tr r="DV5" s="43"/>
      </tp>
      <tp t="e">
        <v>#N/A</v>
        <stp/>
        <stp>BDS|1146985665325711085</stp>
        <tr r="HM5" s="24"/>
      </tp>
      <tp t="e">
        <v>#N/A</v>
        <stp/>
        <stp>BDS|1783969017467108543</stp>
        <tr r="AT5" s="94"/>
      </tp>
      <tp t="e">
        <v>#N/A</v>
        <stp/>
        <stp>BDS|2067937713524598557</stp>
        <tr r="LD5" s="103"/>
      </tp>
      <tp t="e">
        <v>#N/A</v>
        <stp/>
        <stp>BDS|4571892488118660729</stp>
        <tr r="EK5" s="64"/>
      </tp>
      <tp t="e">
        <v>#N/A</v>
        <stp/>
        <stp>BDS|6475319044278155202</stp>
        <tr r="HW5" s="87"/>
      </tp>
      <tp t="e">
        <v>#N/A</v>
        <stp/>
        <stp>BDS|6803468886599953811</stp>
        <tr r="GS5" s="54"/>
      </tp>
      <tp t="e">
        <v>#N/A</v>
        <stp/>
        <stp>BDS|4414562800718295204</stp>
        <tr r="BX5" s="83"/>
      </tp>
      <tp t="e">
        <v>#N/A</v>
        <stp/>
        <stp>BDS|4185254517629607554</stp>
        <tr r="GD5" s="47"/>
      </tp>
      <tp t="e">
        <v>#N/A</v>
        <stp/>
        <stp>BDS|2054364197432696172</stp>
        <tr r="BI5" s="49"/>
      </tp>
      <tp t="e">
        <v>#N/A</v>
        <stp/>
        <stp>BDS|3645150594821726101</stp>
        <tr r="CH5" s="123"/>
      </tp>
      <tp t="e">
        <v>#N/A</v>
        <stp/>
        <stp>BDS|4499017245122172917</stp>
        <tr r="GI5" s="108"/>
      </tp>
      <tp t="e">
        <v>#N/A</v>
        <stp/>
        <stp>BDS|7772875354670091141</stp>
        <tr r="CW5" s="63"/>
      </tp>
      <tp t="e">
        <v>#N/A</v>
        <stp/>
        <stp>BDS|4266848478076819663</stp>
        <tr r="MR5" s="21"/>
      </tp>
      <tp t="e">
        <v>#N/A</v>
        <stp/>
        <stp>BDS|1190451794547727072</stp>
        <tr r="LS5" s="37"/>
      </tp>
      <tp t="e">
        <v>#N/A</v>
        <stp/>
        <stp>BDS|7368218480255310310</stp>
        <tr r="HM5" s="57"/>
      </tp>
      <tp t="e">
        <v>#N/A</v>
        <stp/>
        <stp>BDS|9821245746476374296</stp>
        <tr r="FT5" s="107"/>
      </tp>
      <tp t="e">
        <v>#N/A</v>
        <stp/>
        <stp>BDS|2729022890049372965</stp>
        <tr r="NG5" s="81"/>
      </tp>
      <tp t="e">
        <v>#N/A</v>
        <stp/>
        <stp>BDS|7740966297579510535</stp>
        <tr r="GD5" s="26"/>
      </tp>
      <tp t="e">
        <v>#N/A</v>
        <stp/>
        <stp>BDS|3276117295368641804</stp>
        <tr r="HM5" s="41"/>
      </tp>
      <tp t="e">
        <v>#N/A</v>
        <stp/>
        <stp>BDS|8532576659326228595</stp>
        <tr r="MR5" s="13"/>
      </tp>
      <tp t="e">
        <v>#N/A</v>
        <stp/>
        <stp>BDS|8067422670400155033</stp>
        <tr r="EA5" s="16"/>
      </tp>
      <tp t="e">
        <v>#N/A</v>
        <stp/>
        <stp>BDS|7103420992790232133</stp>
        <tr r="DB5" s="57"/>
      </tp>
      <tp t="e">
        <v>#N/A</v>
        <stp/>
        <stp>BDS|6207786305092623890</stp>
        <tr r="FE5" s="27"/>
        <tr r="KE5" s="1"/>
      </tp>
      <tp t="e">
        <v>#N/A</v>
        <stp/>
        <stp>BDS|7374255940192500836</stp>
        <tr r="CW5" s="107"/>
      </tp>
      <tp t="e">
        <v>#N/A</v>
        <stp/>
        <stp>BDS|8889580175390075146</stp>
        <tr r="MR5" s="27"/>
      </tp>
      <tp t="e">
        <v>#N/A</v>
        <stp/>
        <stp>BDS|7376597186893812253</stp>
        <tr r="A5" s="62"/>
      </tp>
      <tp t="e">
        <v>#N/A</v>
        <stp/>
        <stp>BDS|9221709341672048323</stp>
        <tr r="GN5" s="56"/>
      </tp>
      <tp t="e">
        <v>#N/A</v>
        <stp/>
        <stp>BDS|2758133177319682645</stp>
        <tr r="AO5" s="77"/>
      </tp>
      <tp t="e">
        <v>#N/A</v>
        <stp/>
        <stp>BDS|6424499389274417517</stp>
        <tr r="BN5" s="119"/>
      </tp>
      <tp t="e">
        <v>#N/A</v>
        <stp/>
        <stp>BDS|4470519632639076063</stp>
        <tr r="HR5" s="32"/>
      </tp>
      <tp t="e">
        <v>#N/A</v>
        <stp/>
        <stp>BDS|2713878015055162552</stp>
        <tr r="DB5" s="96"/>
      </tp>
      <tp t="e">
        <v>#N/A</v>
        <stp/>
        <stp>BDS|7519508742819510432</stp>
        <tr r="KY5" s="45"/>
      </tp>
      <tp t="e">
        <v>#N/A</v>
        <stp/>
        <stp>BDS|9806311739876981482</stp>
        <tr r="JZ5" s="25"/>
      </tp>
      <tp t="e">
        <v>#N/A</v>
        <stp/>
        <stp>BDS|8756153022463422353</stp>
        <tr r="MR5" s="95"/>
      </tp>
      <tp t="e">
        <v>#N/A</v>
        <stp/>
        <stp>BDS|2386967507730539068</stp>
        <tr r="FY5" s="59"/>
      </tp>
      <tp t="e">
        <v>#N/A</v>
        <stp/>
        <stp>BDS|9306539532663596767</stp>
        <tr r="OF5" s="115"/>
      </tp>
      <tp t="e">
        <v>#N/A</v>
        <stp/>
        <stp>BDS|1403942720727629671</stp>
        <tr r="K5" s="29"/>
      </tp>
      <tp t="e">
        <v>#N/A</v>
        <stp/>
        <stp>BDS|3727158234952723806</stp>
        <tr r="HH5" s="14"/>
      </tp>
      <tp t="e">
        <v>#N/A</v>
        <stp/>
        <stp>BDS|7217353596650755609</stp>
        <tr r="DV5" s="48"/>
      </tp>
      <tp t="e">
        <v>#N/A</v>
        <stp/>
        <stp>BDS|6055015473118773238</stp>
        <tr r="CW5" s="89"/>
      </tp>
      <tp t="e">
        <v>#N/A</v>
        <stp/>
        <stp>BDS|8633038055787583138</stp>
        <tr r="FT5" s="59"/>
      </tp>
      <tp t="e">
        <v>#N/A</v>
        <stp/>
        <stp>BDS|8943020677185839124</stp>
        <tr r="CH5" s="84"/>
      </tp>
      <tp t="e">
        <v>#N/A</v>
        <stp/>
        <stp>BDS|6552068325378887784</stp>
        <tr r="FO5" s="123"/>
      </tp>
      <tp t="e">
        <v>#N/A</v>
        <stp/>
        <stp>BDS|6235297781547431081</stp>
        <tr r="DQ5" s="47"/>
      </tp>
      <tp t="e">
        <v>#N/A</v>
        <stp/>
        <stp>BDS|8812120026742937236</stp>
        <tr r="LI5" s="79"/>
      </tp>
      <tp t="e">
        <v>#N/A</v>
        <stp/>
        <stp>BDS|9610326909792396389</stp>
        <tr r="GN5" s="111"/>
      </tp>
      <tp t="e">
        <v>#N/A</v>
        <stp/>
        <stp>BDS|1376660342020875890</stp>
        <tr r="CC5" s="44"/>
      </tp>
      <tp t="e">
        <v>#N/A</v>
        <stp/>
        <stp>BDS|2200859530882046015</stp>
        <tr r="FE5" s="125"/>
      </tp>
      <tp t="e">
        <v>#N/A</v>
        <stp/>
        <stp>BDS|3529940950016746207</stp>
        <tr r="IQ5" s="103"/>
      </tp>
      <tp t="e">
        <v>#N/A</v>
        <stp/>
        <stp>BDS|5495928322373262605</stp>
        <tr r="MC5" s="117"/>
      </tp>
      <tp t="e">
        <v>#N/A</v>
        <stp/>
        <stp>BDS|6108957452048277926</stp>
        <tr r="AE5" s="109"/>
      </tp>
      <tp t="e">
        <v>#N/A</v>
        <stp/>
        <stp>BDS|8623726666820019248</stp>
        <tr r="HH5" s="109"/>
      </tp>
      <tp t="e">
        <v>#N/A</v>
        <stp/>
        <stp>BDS|3896920755954996013</stp>
        <tr r="EU5" s="69"/>
      </tp>
      <tp t="e">
        <v>#N/A</v>
        <stp/>
        <stp>BDS|3185907835467646555</stp>
        <tr r="BS5" s="19"/>
      </tp>
      <tp t="e">
        <v>#N/A</v>
        <stp/>
        <stp>BDS|7058556013479701169</stp>
        <tr r="LX5" s="55"/>
      </tp>
      <tp t="e">
        <v>#N/A</v>
        <stp/>
        <stp>BDS|4776936635197289247</stp>
        <tr r="KE5" s="80"/>
      </tp>
      <tp t="e">
        <v>#N/A</v>
        <stp/>
        <stp>BDS|8213111667727084330</stp>
        <tr r="CM5" s="73"/>
      </tp>
      <tp t="e">
        <v>#N/A</v>
        <stp/>
        <stp>BDS|8373959656067743806</stp>
        <tr r="GX5" s="63"/>
      </tp>
      <tp t="e">
        <v>#N/A</v>
        <stp/>
        <stp>BDS|3431955162304777330</stp>
        <tr r="IL5" s="55"/>
        <tr r="OF5" s="50"/>
      </tp>
      <tp t="e">
        <v>#N/A</v>
        <stp/>
        <stp>BDS|9130727077290012235</stp>
        <tr r="AT5" s="61"/>
      </tp>
      <tp t="e">
        <v>#N/A</v>
        <stp/>
        <stp>BDS|2481037804930413904</stp>
        <tr r="OA5" s="116"/>
      </tp>
      <tp t="e">
        <v>#N/A</v>
        <stp/>
        <stp>BDS|6610841845788740975</stp>
        <tr r="NL5" s="27"/>
      </tp>
      <tp t="e">
        <v>#N/A</v>
        <stp/>
        <stp>BDS|8608464525963597670</stp>
        <tr r="KT5" s="72"/>
      </tp>
      <tp t="e">
        <v>#N/A</v>
        <stp/>
        <stp>BDS|5251908247904057724</stp>
        <tr r="FE5" s="17"/>
      </tp>
      <tp t="e">
        <v>#N/A</v>
        <stp/>
        <stp>BDS|1093779813139438548</stp>
        <tr r="IQ5" s="26"/>
      </tp>
      <tp t="e">
        <v>#N/A</v>
        <stp/>
        <stp>BDS|5465850239610492582</stp>
        <tr r="EK5" s="55"/>
      </tp>
      <tp t="e">
        <v>#N/A</v>
        <stp/>
        <stp>BDS|2668854303986563716</stp>
        <tr r="NB5" s="114"/>
      </tp>
      <tp t="e">
        <v>#N/A</v>
        <stp/>
        <stp>BDS|8352208142285319065</stp>
        <tr r="MH5" s="82"/>
      </tp>
      <tp t="e">
        <v>#N/A</v>
        <stp/>
        <stp>BDS|3987655383180306684</stp>
        <tr r="LD5" s="69"/>
      </tp>
      <tp t="e">
        <v>#N/A</v>
        <stp/>
        <stp>BDS|1444707492514576078</stp>
        <tr r="HC5" s="48"/>
      </tp>
      <tp t="e">
        <v>#N/A</v>
        <stp/>
        <stp>BDS|5102057600976704870</stp>
        <tr r="EP5" s="40"/>
      </tp>
      <tp t="e">
        <v>#N/A</v>
        <stp/>
        <stp>BDS|4099272902655245837</stp>
        <tr r="LX5" s="73"/>
      </tp>
      <tp t="e">
        <v>#N/A</v>
        <stp/>
        <stp>BDS|1361822265297282320</stp>
        <tr r="IQ5" s="69"/>
      </tp>
      <tp t="e">
        <v>#N/A</v>
        <stp/>
        <stp>BDS|8937447619581183717</stp>
        <tr r="LX5" s="92"/>
      </tp>
      <tp t="e">
        <v>#N/A</v>
        <stp/>
        <stp>BDS|9476778668164656794</stp>
        <tr r="IL5" s="20"/>
      </tp>
      <tp t="e">
        <v>#N/A</v>
        <stp/>
        <stp>BDS|9203333214566119608</stp>
        <tr r="CR5" s="44"/>
      </tp>
      <tp t="e">
        <v>#N/A</v>
        <stp/>
        <stp>BDS|5868018902346884879</stp>
        <tr r="BX5" s="87"/>
      </tp>
      <tp t="e">
        <v>#N/A</v>
        <stp/>
        <stp>BDS|6956597494500681162</stp>
        <tr r="MM5" s="64"/>
      </tp>
      <tp t="e">
        <v>#N/A</v>
        <stp/>
        <stp>BDS|8616996054277813876</stp>
        <tr r="KT5" s="106"/>
      </tp>
      <tp t="e">
        <v>#N/A</v>
        <stp/>
        <stp>BDS|2721347655569459667</stp>
        <tr r="AJ5" s="15"/>
        <tr r="KT5" s="6"/>
      </tp>
      <tp t="e">
        <v>#N/A</v>
        <stp/>
        <stp>BDS|2338475668482076985</stp>
        <tr r="JA5" s="60"/>
      </tp>
      <tp t="e">
        <v>#N/A</v>
        <stp/>
        <stp>BDS|1350524390486763023</stp>
        <tr r="NV5" s="49"/>
      </tp>
      <tp t="e">
        <v>#N/A</v>
        <stp/>
        <stp>BDS|3387574926328284747</stp>
        <tr r="GD5" s="118"/>
      </tp>
      <tp t="e">
        <v>#N/A</v>
        <stp/>
        <stp>BDS|9660353253337237364</stp>
        <tr r="U5" s="87"/>
      </tp>
      <tp t="e">
        <v>#N/A</v>
        <stp/>
        <stp>BDS|8904786966623470176</stp>
        <tr r="IQ5" s="10"/>
      </tp>
      <tp t="e">
        <v>#N/A</v>
        <stp/>
        <stp>BDS|6249069291911450557</stp>
        <tr r="MH5" s="84"/>
      </tp>
      <tp t="e">
        <v>#N/A</v>
        <stp/>
        <stp>BDS|4262107674669720051</stp>
        <tr r="CR5" s="47"/>
      </tp>
      <tp t="e">
        <v>#N/A</v>
        <stp/>
        <stp>BDS|9055553920296053314</stp>
        <tr r="AO5" s="104"/>
      </tp>
      <tp t="e">
        <v>#N/A</v>
        <stp/>
        <stp>BDS|6095412587319465874</stp>
        <tr r="LX5" s="7"/>
      </tp>
      <tp t="e">
        <v>#N/A</v>
        <stp/>
        <stp>BDS|6096884946506811733</stp>
        <tr r="CC5" s="20"/>
      </tp>
      <tp t="e">
        <v>#N/A</v>
        <stp/>
        <stp>BDS|4183833201281160675</stp>
        <tr r="CW5" s="33"/>
      </tp>
      <tp t="e">
        <v>#N/A</v>
        <stp/>
        <stp>BDS|8959222766325198296</stp>
        <tr r="LD5" s="63"/>
      </tp>
      <tp t="e">
        <v>#N/A</v>
        <stp/>
        <stp>BDS|2086102895735227424</stp>
        <tr r="CC5" s="84"/>
      </tp>
      <tp t="e">
        <v>#N/A</v>
        <stp/>
        <stp>BDS|5882927271241601185</stp>
        <tr r="OF5" s="51"/>
      </tp>
      <tp t="e">
        <v>#N/A</v>
        <stp/>
        <stp>BDS|9104520142730785337</stp>
        <tr r="BS5" s="119"/>
      </tp>
      <tp t="e">
        <v>#N/A</v>
        <stp/>
        <stp>BDS|6393220815257803993</stp>
        <tr r="GD5" s="111"/>
      </tp>
      <tp t="e">
        <v>#N/A</v>
        <stp/>
        <stp>BDS|6449269574621351907</stp>
        <tr r="IQ5" s="89"/>
      </tp>
      <tp t="e">
        <v>#N/A</v>
        <stp/>
        <stp>BDS|3996530014078305487</stp>
        <tr r="AO5" s="34"/>
      </tp>
      <tp t="e">
        <v>#N/A</v>
        <stp/>
        <stp>BDS|7495902497454363855</stp>
        <tr r="KT5" s="52"/>
      </tp>
      <tp t="e">
        <v>#N/A</v>
        <stp/>
        <stp>BDS|9109395510970927043</stp>
        <tr r="AY5" s="87"/>
      </tp>
      <tp t="e">
        <v>#N/A</v>
        <stp/>
        <stp>BDS|9125509414702569457</stp>
        <tr r="EZ5" s="3"/>
      </tp>
      <tp t="e">
        <v>#N/A</v>
        <stp/>
        <stp>BDS|5122296446159906127</stp>
        <tr r="IB5" s="53"/>
      </tp>
      <tp t="e">
        <v>#N/A</v>
        <stp/>
        <stp>BDS|9607904663659008400</stp>
        <tr r="FY5" s="89"/>
      </tp>
      <tp t="e">
        <v>#N/A</v>
        <stp/>
        <stp>BDS|5334745236009646322</stp>
        <tr r="KY5" s="116"/>
      </tp>
      <tp t="e">
        <v>#N/A</v>
        <stp/>
        <stp>BDS|8835995854278664762</stp>
        <tr r="HW5" s="122"/>
      </tp>
      <tp t="e">
        <v>#N/A</v>
        <stp/>
        <stp>BDS|1106841142591110733</stp>
        <tr r="EU5" s="3"/>
      </tp>
      <tp t="e">
        <v>#N/A</v>
        <stp/>
        <stp>BDS|2019875776674637227</stp>
        <tr r="IL5" s="12"/>
      </tp>
      <tp t="e">
        <v>#N/A</v>
        <stp/>
        <stp>BDS|1846756937549854774</stp>
        <tr r="MM5" s="28"/>
      </tp>
      <tp t="e">
        <v>#N/A</v>
        <stp/>
        <stp>BDS|9208189736211888117</stp>
        <tr r="KJ5" s="46"/>
      </tp>
      <tp t="e">
        <v>#N/A</v>
        <stp/>
        <stp>BDS|5171511587633254001</stp>
        <tr r="FT5" s="101"/>
      </tp>
      <tp t="e">
        <v>#N/A</v>
        <stp/>
        <stp>BDS|9242175209325136684</stp>
        <tr r="EZ5" s="15"/>
      </tp>
      <tp t="e">
        <v>#N/A</v>
        <stp/>
        <stp>BDS|4856677808762996447</stp>
        <tr r="FE5" s="83"/>
      </tp>
      <tp t="e">
        <v>#N/A</v>
        <stp/>
        <stp>BDS|7541114006056010489</stp>
        <tr r="FE5" s="109"/>
      </tp>
      <tp t="e">
        <v>#N/A</v>
        <stp/>
        <stp>BDS|8807861810852654725</stp>
        <tr r="GI5" s="14"/>
      </tp>
      <tp t="e">
        <v>#N/A</v>
        <stp/>
        <stp>BDS|1442023831977802157</stp>
        <tr r="LS5" s="32"/>
      </tp>
      <tp t="e">
        <v>#N/A</v>
        <stp/>
        <stp>BDS|4943158563102432511</stp>
        <tr r="BN5" s="82"/>
      </tp>
      <tp t="e">
        <v>#N/A</v>
        <stp/>
        <stp>BDS|5265209563721858431</stp>
        <tr r="NQ5" s="83"/>
      </tp>
      <tp t="e">
        <v>#N/A</v>
        <stp/>
        <stp>BDS|6260479366079150989</stp>
        <tr r="CW5" s="53"/>
      </tp>
      <tp t="e">
        <v>#N/A</v>
        <stp/>
        <stp>BDS|5501328351973902451</stp>
        <tr r="EF5" s="37"/>
      </tp>
      <tp t="e">
        <v>#N/A</v>
        <stp/>
        <stp>BDS|4453285627848598841</stp>
        <tr r="LD5" s="10"/>
      </tp>
      <tp t="e">
        <v>#N/A</v>
        <stp/>
        <stp>BDS|6377711558272768273</stp>
        <tr r="LN5" s="90"/>
      </tp>
      <tp t="e">
        <v>#N/A</v>
        <stp/>
        <stp>BDS|4428237933589676880</stp>
        <tr r="EK5" s="68"/>
      </tp>
      <tp t="e">
        <v>#N/A</v>
        <stp/>
        <stp>BDS|1209890702238043532</stp>
        <tr r="KJ5" s="80"/>
      </tp>
      <tp t="e">
        <v>#N/A</v>
        <stp/>
        <stp>BDS|9323207798640399631</stp>
        <tr r="NQ5" s="39"/>
      </tp>
      <tp t="e">
        <v>#N/A</v>
        <stp/>
        <stp>BDS|2798973999111265705</stp>
        <tr r="FT5" s="74"/>
      </tp>
      <tp t="e">
        <v>#N/A</v>
        <stp/>
        <stp>BDS|9909309693047181009</stp>
        <tr r="JA5" s="15"/>
      </tp>
      <tp t="e">
        <v>#N/A</v>
        <stp/>
        <stp>BDS|3067199815270539720</stp>
        <tr r="MM5" s="41"/>
      </tp>
      <tp t="e">
        <v>#N/A</v>
        <stp/>
        <stp>BDS|9185625479279906582</stp>
        <tr r="BD5" s="61"/>
      </tp>
      <tp t="e">
        <v>#N/A</v>
        <stp/>
        <stp>BDS|4759721754485387795</stp>
        <tr r="LN5" s="93"/>
      </tp>
      <tp t="e">
        <v>#N/A</v>
        <stp/>
        <stp>BDS|7514299111703182374</stp>
        <tr r="EK5" s="50"/>
      </tp>
      <tp t="e">
        <v>#N/A</v>
        <stp/>
        <stp>BDS|8617281023144450824</stp>
        <tr r="GD5" s="95"/>
      </tp>
      <tp t="e">
        <v>#N/A</v>
        <stp/>
        <stp>BDS|9730379766271909948</stp>
        <tr r="DQ5" s="34"/>
      </tp>
      <tp t="e">
        <v>#N/A</v>
        <stp/>
        <stp>BDS|6715046818987192410</stp>
        <tr r="HM5" s="7"/>
      </tp>
      <tp t="e">
        <v>#N/A</v>
        <stp/>
        <stp>BDS|9663544002499961127</stp>
        <tr r="CH5" s="95"/>
      </tp>
      <tp t="e">
        <v>#N/A</v>
        <stp/>
        <stp>BDS|9730963014337609287</stp>
        <tr r="LD5" s="32"/>
      </tp>
      <tp t="e">
        <v>#N/A</v>
        <stp/>
        <stp>BDS|7332382786588642005</stp>
        <tr r="JU5" s="14"/>
      </tp>
      <tp t="e">
        <v>#N/A</v>
        <stp/>
        <stp>BDS|6474919227569390098</stp>
        <tr r="FE5" s="56"/>
      </tp>
      <tp t="e">
        <v>#N/A</v>
        <stp/>
        <stp>BDS|5726981882745096556</stp>
        <tr r="AE5" s="96"/>
      </tp>
      <tp t="e">
        <v>#N/A</v>
        <stp/>
        <stp>BDS|1162006688948361527</stp>
        <tr r="NL5" s="118"/>
      </tp>
      <tp t="e">
        <v>#N/A</v>
        <stp/>
        <stp>BDS|1792426016671817130</stp>
        <tr r="IQ5" s="118"/>
      </tp>
      <tp t="e">
        <v>#N/A</v>
        <stp/>
        <stp>BDS|6465566942030890301</stp>
        <tr r="A5" s="41"/>
      </tp>
      <tp t="e">
        <v>#N/A</v>
        <stp/>
        <stp>BDS|4004331012086013499</stp>
        <tr r="DV5" s="7"/>
      </tp>
      <tp t="e">
        <v>#N/A</v>
        <stp/>
        <stp>BDS|3449290151696742638</stp>
        <tr r="KJ5" s="120"/>
      </tp>
      <tp t="e">
        <v>#N/A</v>
        <stp/>
        <stp>BDS|9630365844879564396</stp>
        <tr r="EF5" s="20"/>
      </tp>
      <tp t="e">
        <v>#N/A</v>
        <stp/>
        <stp>BDS|3994695503438357980</stp>
        <tr r="Z5" s="20"/>
      </tp>
      <tp t="e">
        <v>#N/A</v>
        <stp/>
        <stp>BDS|1454520177305058291</stp>
        <tr r="EF5" s="18"/>
      </tp>
      <tp t="e">
        <v>#N/A</v>
        <stp/>
        <stp>BDS|3065722731231239297</stp>
        <tr r="KE5" s="94"/>
      </tp>
      <tp t="e">
        <v>#N/A</v>
        <stp/>
        <stp>BDS|4008192775746713036</stp>
        <tr r="AO5" s="119"/>
      </tp>
      <tp t="e">
        <v>#N/A</v>
        <stp/>
        <stp>BDS|1022298512902154426</stp>
        <tr r="BI5" s="3"/>
      </tp>
      <tp t="e">
        <v>#N/A</v>
        <stp/>
        <stp>BDS|1567410171391420796</stp>
        <tr r="EP5" s="33"/>
      </tp>
      <tp t="e">
        <v>#N/A</v>
        <stp/>
        <stp>BDS|8447217252549974266</stp>
        <tr r="GS5" s="41"/>
      </tp>
      <tp t="e">
        <v>#N/A</v>
        <stp/>
        <stp>BDS|7120669959545192570</stp>
        <tr r="BN5" s="10"/>
      </tp>
      <tp t="e">
        <v>#N/A</v>
        <stp/>
        <stp>BDS|4019070371114803367</stp>
        <tr r="DV5" s="60"/>
      </tp>
      <tp t="e">
        <v>#N/A</v>
        <stp/>
        <stp>BDS|4138988506789405038</stp>
        <tr r="JP5" s="46"/>
      </tp>
      <tp t="e">
        <v>#N/A</v>
        <stp/>
        <stp>BDS|9984828764974554728</stp>
        <tr r="FJ5" s="8"/>
      </tp>
      <tp t="e">
        <v>#N/A</v>
        <stp/>
        <stp>BDS|2774163440526007594</stp>
        <tr r="AT5" s="108"/>
      </tp>
      <tp t="e">
        <v>#N/A</v>
        <stp/>
        <stp>BDS|7954145136679702843</stp>
        <tr r="MC5" s="33"/>
      </tp>
      <tp t="e">
        <v>#N/A</v>
        <stp/>
        <stp>BDS|5019495300362799774</stp>
        <tr r="CH5" s="117"/>
      </tp>
      <tp t="e">
        <v>#N/A</v>
        <stp/>
        <stp>BDS|2820708926161521220</stp>
        <tr r="DQ5" s="66"/>
      </tp>
      <tp t="e">
        <v>#N/A</v>
        <stp/>
        <stp>BDS|1497905728599212771</stp>
        <tr r="A5" s="18"/>
      </tp>
      <tp t="e">
        <v>#N/A</v>
        <stp/>
        <stp>BDS|8916425901818312000</stp>
        <tr r="KY5" s="77"/>
      </tp>
      <tp t="e">
        <v>#N/A</v>
        <stp/>
        <stp>BDS|3839461931109607901</stp>
        <tr r="F5" s="86"/>
      </tp>
      <tp t="e">
        <v>#N/A</v>
        <stp/>
        <stp>BDS|8720254632624066995</stp>
        <tr r="JP5" s="63"/>
      </tp>
      <tp t="e">
        <v>#N/A</v>
        <stp/>
        <stp>BDS|7214182874267107262</stp>
        <tr r="EZ5" s="43"/>
      </tp>
      <tp t="e">
        <v>#N/A</v>
        <stp/>
        <stp>BDS|4656801589215104576</stp>
        <tr r="AO5" s="124"/>
      </tp>
      <tp t="e">
        <v>#N/A</v>
        <stp/>
        <stp>BDS|5502970834959789280</stp>
        <tr r="NG5" s="4"/>
      </tp>
      <tp t="e">
        <v>#N/A</v>
        <stp/>
        <stp>BDS|9860311016919604608</stp>
        <tr r="OF5" s="100"/>
      </tp>
      <tp t="e">
        <v>#N/A</v>
        <stp/>
        <stp>BDS|8533277966691916944</stp>
        <tr r="IB5" s="13"/>
      </tp>
      <tp t="e">
        <v>#N/A</v>
        <stp/>
        <stp>BDS|6771681553226540704</stp>
        <tr r="A5" s="109"/>
      </tp>
      <tp t="e">
        <v>#N/A</v>
        <stp/>
        <stp>BDS|7988508963341073130</stp>
        <tr r="BI5" s="11"/>
      </tp>
      <tp t="e">
        <v>#N/A</v>
        <stp/>
        <stp>BDS|1495339039834848186</stp>
        <tr r="NQ5" s="9"/>
      </tp>
      <tp t="e">
        <v>#N/A</v>
        <stp/>
        <stp>BDS|5815431689295513899</stp>
        <tr r="DV5" s="90"/>
      </tp>
      <tp t="e">
        <v>#N/A</v>
        <stp/>
        <stp>BDS|2450215097919823443</stp>
        <tr r="FE5" s="13"/>
      </tp>
      <tp t="e">
        <v>#N/A</v>
        <stp/>
        <stp>BDS|7428499556662037056</stp>
        <tr r="AO5" s="54"/>
      </tp>
      <tp t="e">
        <v>#N/A</v>
        <stp/>
        <stp>BDS|7853546924961133570</stp>
        <tr r="DL5" s="34"/>
      </tp>
      <tp t="e">
        <v>#N/A</v>
        <stp/>
        <stp>BDS|8299603946146948830</stp>
        <tr r="OA5" s="43"/>
      </tp>
      <tp t="e">
        <v>#N/A</v>
        <stp/>
        <stp>BDS|8645144923457832878</stp>
        <tr r="NG5" s="33"/>
      </tp>
      <tp t="e">
        <v>#N/A</v>
        <stp/>
        <stp>BDS|3887495413082474086</stp>
        <tr r="CC5" s="40"/>
      </tp>
      <tp t="e">
        <v>#N/A</v>
        <stp/>
        <stp>BDS|6062197335342587278</stp>
        <tr r="IV5" s="96"/>
        <tr r="DL5" s="74"/>
      </tp>
      <tp t="e">
        <v>#N/A</v>
        <stp/>
        <stp>BDS|2000452442336155087</stp>
        <tr r="CH5" s="87"/>
      </tp>
      <tp t="e">
        <v>#N/A</v>
        <stp/>
        <stp>BDS|3814097399798516633</stp>
        <tr r="MR5" s="104"/>
      </tp>
      <tp t="e">
        <v>#N/A</v>
        <stp/>
        <stp>BDS|5922441919112920633</stp>
        <tr r="LX5" s="101"/>
      </tp>
      <tp t="e">
        <v>#N/A</v>
        <stp/>
        <stp>BDS|4660322251654243296</stp>
        <tr r="LN5" s="3"/>
      </tp>
      <tp t="e">
        <v>#N/A</v>
        <stp/>
        <stp>BDS|6372023626450880018</stp>
        <tr r="CW5" s="71"/>
      </tp>
      <tp t="e">
        <v>#N/A</v>
        <stp/>
        <stp>BDS|5473138819443782273</stp>
        <tr r="EP5" s="47"/>
      </tp>
      <tp t="e">
        <v>#N/A</v>
        <stp/>
        <stp>BDS|5126654287898883756</stp>
        <tr r="MC5" s="49"/>
      </tp>
      <tp t="e">
        <v>#N/A</v>
        <stp/>
        <stp>BDS|8183069650070053995</stp>
        <tr r="DG5" s="50"/>
      </tp>
      <tp t="e">
        <v>#N/A</v>
        <stp/>
        <stp>BDS|5487512826900436694</stp>
        <tr r="DB5" s="124"/>
      </tp>
      <tp t="e">
        <v>#N/A</v>
        <stp/>
        <stp>BDS|3916060858023827117</stp>
        <tr r="MM5" s="92"/>
      </tp>
      <tp t="e">
        <v>#N/A</v>
        <stp/>
        <stp>BDS|4075244905597965565</stp>
        <tr r="FE5" s="77"/>
      </tp>
      <tp t="e">
        <v>#N/A</v>
        <stp/>
        <stp>BDS|5285574708673088737</stp>
        <tr r="HH5" s="122"/>
      </tp>
      <tp t="e">
        <v>#N/A</v>
        <stp/>
        <stp>BDS|9469034962933973836</stp>
        <tr r="BD5" s="15"/>
      </tp>
      <tp t="e">
        <v>#N/A</v>
        <stp/>
        <stp>BDS|1695664649793402421</stp>
        <tr r="JU5" s="55"/>
      </tp>
      <tp t="e">
        <v>#N/A</v>
        <stp/>
        <stp>BDS|9989006067163418857</stp>
        <tr r="JA5" s="52"/>
      </tp>
      <tp t="e">
        <v>#N/A</v>
        <stp/>
        <stp>BDS|3929610955834170034</stp>
        <tr r="FE5" s="91"/>
      </tp>
      <tp t="e">
        <v>#N/A</v>
        <stp/>
        <stp>BDS|4496404918117510264</stp>
        <tr r="DL5" s="18"/>
      </tp>
      <tp t="e">
        <v>#N/A</v>
        <stp/>
        <stp>BDS|5824203347497080003</stp>
        <tr r="AT5" s="79"/>
      </tp>
      <tp t="e">
        <v>#N/A</v>
        <stp/>
        <stp>BDS|7977722480478081445</stp>
        <tr r="HH5" s="63"/>
      </tp>
      <tp t="e">
        <v>#N/A</v>
        <stp/>
        <stp>BDS|7688081945737237060</stp>
        <tr r="K5" s="41"/>
      </tp>
      <tp t="e">
        <v>#N/A</v>
        <stp/>
        <stp>BDS|7605701947409734995</stp>
        <tr r="MM5" s="104"/>
      </tp>
      <tp t="e">
        <v>#N/A</v>
        <stp/>
        <stp>BDS|5636886246205561821</stp>
        <tr r="NV5" s="19"/>
      </tp>
      <tp t="e">
        <v>#N/A</v>
        <stp/>
        <stp>BDS|1429231600494941312</stp>
        <tr r="HC5" s="101"/>
      </tp>
      <tp t="e">
        <v>#N/A</v>
        <stp/>
        <stp>BDS|3255515670503510690</stp>
        <tr r="HM5" s="73"/>
      </tp>
      <tp t="e">
        <v>#N/A</v>
        <stp/>
        <stp>BDS|9343928033266889152</stp>
        <tr r="KT5" s="83"/>
      </tp>
      <tp t="e">
        <v>#N/A</v>
        <stp/>
        <stp>BDS|1443600313891196391</stp>
        <tr r="K5" s="33"/>
      </tp>
      <tp t="e">
        <v>#N/A</v>
        <stp/>
        <stp>BDS|6243605168314379660</stp>
        <tr r="FO5" s="2"/>
      </tp>
      <tp t="e">
        <v>#N/A</v>
        <stp/>
        <stp>BDS|8778780027050537921</stp>
        <tr r="LS5" s="54"/>
      </tp>
      <tp t="e">
        <v>#N/A</v>
        <stp/>
        <stp>BDS|9100229678808092073</stp>
        <tr r="EU5" s="20"/>
      </tp>
      <tp t="e">
        <v>#N/A</v>
        <stp/>
        <stp>BDS|5751734207247982160</stp>
        <tr r="LN5" s="9"/>
      </tp>
      <tp t="e">
        <v>#N/A</v>
        <stp/>
        <stp>BDS|5620806289883267211</stp>
        <tr r="DL5" s="96"/>
      </tp>
      <tp t="e">
        <v>#N/A</v>
        <stp/>
        <stp>BDS|6821042506263333159</stp>
        <tr r="CH5" s="14"/>
      </tp>
      <tp t="e">
        <v>#N/A</v>
        <stp/>
        <stp>BDS|9447656185994021781</stp>
        <tr r="F5" s="52"/>
      </tp>
      <tp t="e">
        <v>#N/A</v>
        <stp/>
        <stp>BDS|2100382556958462874</stp>
        <tr r="LX5" s="16"/>
      </tp>
      <tp t="e">
        <v>#N/A</v>
        <stp/>
        <stp>BDS|2841048676259186878</stp>
        <tr r="FJ5" s="115"/>
      </tp>
      <tp t="e">
        <v>#N/A</v>
        <stp/>
        <stp>BDS|6034990729899837047</stp>
        <tr r="JF5" s="121"/>
      </tp>
      <tp t="e">
        <v>#N/A</v>
        <stp/>
        <stp>BDS|1197557149135432150</stp>
        <tr r="NB5" s="123"/>
      </tp>
      <tp t="e">
        <v>#N/A</v>
        <stp/>
        <stp>BDS|6520637718543088625</stp>
        <tr r="IL5" s="44"/>
      </tp>
      <tp t="e">
        <v>#N/A</v>
        <stp/>
        <stp>BDS|1068776222369938902</stp>
        <tr r="OA5" s="28"/>
      </tp>
      <tp t="e">
        <v>#N/A</v>
        <stp/>
        <stp>BDS|4913724176753945384</stp>
        <tr r="LI5" s="111"/>
      </tp>
      <tp t="e">
        <v>#N/A</v>
        <stp/>
        <stp>BDS|6903575001270416774</stp>
        <tr r="F5" s="10"/>
      </tp>
      <tp t="e">
        <v>#N/A</v>
        <stp/>
        <stp>BDS|4993158060552922595</stp>
        <tr r="EU5" s="26"/>
      </tp>
      <tp t="e">
        <v>#N/A</v>
        <stp/>
        <stp>BDS|1537211307292938560</stp>
        <tr r="DG5" s="72"/>
      </tp>
      <tp t="e">
        <v>#N/A</v>
        <stp/>
        <stp>BDS|2698234769963510156</stp>
        <tr r="AT5" s="93"/>
      </tp>
      <tp t="e">
        <v>#N/A</v>
        <stp/>
        <stp>BDS|3432912643889382391</stp>
        <tr r="JK5" s="57"/>
      </tp>
      <tp t="e">
        <v>#N/A</v>
        <stp/>
        <stp>BDS|5668471958795213570</stp>
        <tr r="GN5" s="22"/>
      </tp>
      <tp t="e">
        <v>#N/A</v>
        <stp/>
        <stp>BDS|7605628544986432784</stp>
        <tr r="F5" s="80"/>
      </tp>
      <tp t="e">
        <v>#N/A</v>
        <stp/>
        <stp>BDS|5085250739011782177</stp>
        <tr r="LX5" s="106"/>
      </tp>
      <tp t="e">
        <v>#N/A</v>
        <stp/>
        <stp>BDS|4961871765679155761</stp>
        <tr r="NB5" s="51"/>
      </tp>
      <tp t="e">
        <v>#N/A</v>
        <stp/>
        <stp>BDS|1888138534941756649</stp>
        <tr r="JK5" s="90"/>
      </tp>
      <tp t="e">
        <v>#N/A</v>
        <stp/>
        <stp>BDS|3423648315558903815</stp>
        <tr r="NB5" s="54"/>
      </tp>
      <tp t="e">
        <v>#N/A</v>
        <stp/>
        <stp>BDS|9952368647539561304</stp>
        <tr r="LX5" s="102"/>
      </tp>
      <tp t="e">
        <v>#N/A</v>
        <stp/>
        <stp>BDS|5689789923851815582</stp>
        <tr r="FT5" s="69"/>
      </tp>
      <tp t="e">
        <v>#N/A</v>
        <stp/>
        <stp>BDS|5784081473390373625</stp>
        <tr r="DQ5" s="24"/>
      </tp>
      <tp t="e">
        <v>#N/A</v>
        <stp/>
        <stp>BDS|9886765741089632746</stp>
        <tr r="GS5" s="89"/>
      </tp>
      <tp t="e">
        <v>#N/A</v>
        <stp/>
        <stp>BDS|9305914671242691181</stp>
        <tr r="LN5" s="46"/>
      </tp>
      <tp t="e">
        <v>#N/A</v>
        <stp/>
        <stp>BDS|4642663788687390966</stp>
        <tr r="OF5" s="82"/>
        <tr r="P5" s="117"/>
      </tp>
      <tp t="e">
        <v>#N/A</v>
        <stp/>
        <stp>BDS|3125254575554461689</stp>
        <tr r="KY5" s="59"/>
        <tr r="GS5" s="56"/>
      </tp>
      <tp t="e">
        <v>#N/A</v>
        <stp/>
        <stp>BDS|4637673244053058189</stp>
        <tr r="LN5" s="58"/>
      </tp>
      <tp t="e">
        <v>#N/A</v>
        <stp/>
        <stp>BDS|9506281642893755851</stp>
        <tr r="EA5" s="91"/>
      </tp>
      <tp t="e">
        <v>#N/A</v>
        <stp/>
        <stp>BDS|1130120978273245047</stp>
        <tr r="EK5" s="106"/>
      </tp>
      <tp t="e">
        <v>#N/A</v>
        <stp/>
        <stp>BDS|3474110766441873167</stp>
        <tr r="CH5" s="13"/>
      </tp>
      <tp t="e">
        <v>#N/A</v>
        <stp/>
        <stp>BDS|9150495261517301876</stp>
        <tr r="MW5" s="79"/>
      </tp>
      <tp t="e">
        <v>#N/A</v>
        <stp/>
        <stp>BDS|2833962795175543334</stp>
        <tr r="CR5" s="123"/>
      </tp>
      <tp t="e">
        <v>#N/A</v>
        <stp/>
        <stp>BDS|8750276852333766886</stp>
        <tr r="FY5" s="52"/>
      </tp>
      <tp t="e">
        <v>#N/A</v>
        <stp/>
        <stp>BDS|1267720890408504382</stp>
        <tr r="GS5" s="82"/>
      </tp>
      <tp t="e">
        <v>#N/A</v>
        <stp/>
        <stp>BDS|8961330669690785998</stp>
        <tr r="IB5" s="43"/>
      </tp>
      <tp t="e">
        <v>#N/A</v>
        <stp/>
        <stp>BDS|1744448020976702594</stp>
        <tr r="EP5" s="110"/>
      </tp>
      <tp t="e">
        <v>#N/A</v>
        <stp/>
        <stp>BDS|1338686385109022230</stp>
        <tr r="CW5" s="100"/>
      </tp>
      <tp t="e">
        <v>#N/A</v>
        <stp/>
        <stp>BDS|2056313005021944405</stp>
        <tr r="OF5" s="54"/>
      </tp>
      <tp t="e">
        <v>#N/A</v>
        <stp/>
        <stp>BDS|4678541717634029079</stp>
        <tr r="CW5" s="83"/>
      </tp>
      <tp t="e">
        <v>#N/A</v>
        <stp/>
        <stp>BDS|3193626719053876303</stp>
        <tr r="CM5" s="94"/>
      </tp>
      <tp t="e">
        <v>#N/A</v>
        <stp/>
        <stp>BDS|2795572614704602605</stp>
        <tr r="AJ5" s="7"/>
      </tp>
      <tp t="e">
        <v>#N/A</v>
        <stp/>
        <stp>BDS|5506679434400060442</stp>
        <tr r="AE5" s="48"/>
      </tp>
      <tp t="e">
        <v>#N/A</v>
        <stp/>
        <stp>BDS|9676710225628680067</stp>
        <tr r="BD5" s="19"/>
      </tp>
      <tp t="e">
        <v>#N/A</v>
        <stp/>
        <stp>BDS|2067941924809415460</stp>
        <tr r="KO5" s="104"/>
      </tp>
      <tp t="e">
        <v>#N/A</v>
        <stp/>
        <stp>BDS|9673669936840795831</stp>
        <tr r="CR5" s="20"/>
      </tp>
      <tp t="e">
        <v>#N/A</v>
        <stp/>
        <stp>BDS|6797154441630304727</stp>
        <tr r="GI5" s="97"/>
      </tp>
      <tp t="e">
        <v>#N/A</v>
        <stp/>
        <stp>BDS|5181768340362341065</stp>
        <tr r="HW5" s="61"/>
      </tp>
      <tp t="e">
        <v>#N/A</v>
        <stp/>
        <stp>BDS|1470115102714305066</stp>
        <tr r="CH5" s="23"/>
      </tp>
      <tp t="e">
        <v>#N/A</v>
        <stp/>
        <stp>BDS|3246680670144967212</stp>
        <tr r="JU5" s="31"/>
      </tp>
      <tp t="e">
        <v>#N/A</v>
        <stp/>
        <stp>BDS|3342083906306718184</stp>
        <tr r="MC5" s="80"/>
      </tp>
      <tp t="e">
        <v>#N/A</v>
        <stp/>
        <stp>BDS|4749291228561649122</stp>
        <tr r="FY5" s="40"/>
      </tp>
      <tp t="e">
        <v>#N/A</v>
        <stp/>
        <stp>BDS|3546236755730348027</stp>
        <tr r="CR5" s="113"/>
      </tp>
      <tp t="e">
        <v>#N/A</v>
        <stp/>
        <stp>BDS|1464158624915237353</stp>
        <tr r="A5" s="56"/>
      </tp>
      <tp t="e">
        <v>#N/A</v>
        <stp/>
        <stp>BDS|2861102537863525789</stp>
        <tr r="AY5" s="43"/>
      </tp>
      <tp t="e">
        <v>#N/A</v>
        <stp/>
        <stp>BDS|5402558272324355729</stp>
        <tr r="CW5" s="54"/>
      </tp>
      <tp t="e">
        <v>#N/A</v>
        <stp/>
        <stp>BDS|7577714841049438934</stp>
        <tr r="DQ5" s="95"/>
      </tp>
      <tp t="e">
        <v>#N/A</v>
        <stp/>
        <stp>BDS|7177069823057689603</stp>
        <tr r="AJ5" s="12"/>
      </tp>
      <tp t="e">
        <v>#N/A</v>
        <stp/>
        <stp>BDS|8989122328599456641</stp>
        <tr r="HC5" s="41"/>
      </tp>
      <tp t="e">
        <v>#N/A</v>
        <stp/>
        <stp>BDS|1055381078756512769</stp>
        <tr r="JU5" s="5"/>
      </tp>
      <tp t="e">
        <v>#N/A</v>
        <stp/>
        <stp>BDS|1119586518751685043</stp>
        <tr r="LI5" s="119"/>
      </tp>
      <tp t="e">
        <v>#N/A</v>
        <stp/>
        <stp>BDS|3107140775668260918</stp>
        <tr r="KT5" s="55"/>
      </tp>
      <tp t="e">
        <v>#N/A</v>
        <stp/>
        <stp>BDS|5811839411811095991</stp>
        <tr r="EP5" s="14"/>
      </tp>
      <tp t="e">
        <v>#N/A</v>
        <stp/>
        <stp>BDS|4423916095250084030</stp>
        <tr r="FJ5" s="105"/>
      </tp>
      <tp t="e">
        <v>#N/A</v>
        <stp/>
        <stp>BDS|9748799673275762897</stp>
        <tr r="JU5" s="92"/>
      </tp>
      <tp t="e">
        <v>#N/A</v>
        <stp/>
        <stp>BDS|9612836696854733873</stp>
        <tr r="FY5" s="98"/>
      </tp>
      <tp t="e">
        <v>#N/A</v>
        <stp/>
        <stp>BDS|3647401275084836089</stp>
        <tr r="AO5" s="20"/>
      </tp>
      <tp t="e">
        <v>#N/A</v>
        <stp/>
        <stp>BDS|1403527053821717412</stp>
        <tr r="Z5" s="44"/>
      </tp>
      <tp t="e">
        <v>#N/A</v>
        <stp/>
        <stp>BDS|5870711896707442889</stp>
        <tr r="AO5" s="82"/>
      </tp>
      <tp t="e">
        <v>#N/A</v>
        <stp/>
        <stp>BDS|2303011330973646671</stp>
        <tr r="AJ5" s="37"/>
      </tp>
      <tp t="e">
        <v>#N/A</v>
        <stp/>
        <stp>BDS|3168037717221070769</stp>
        <tr r="OA5" s="102"/>
      </tp>
      <tp t="e">
        <v>#N/A</v>
        <stp/>
        <stp>BDS|6113546585889267614</stp>
        <tr r="KE5" s="12"/>
      </tp>
      <tp t="e">
        <v>#N/A</v>
        <stp/>
        <stp>BDS|6470220807907045728</stp>
        <tr r="IL5" s="51"/>
      </tp>
      <tp t="e">
        <v>#N/A</v>
        <stp/>
        <stp>BDS|1489767252654080333</stp>
        <tr r="IB5" s="46"/>
      </tp>
      <tp t="e">
        <v>#N/A</v>
        <stp/>
        <stp>BDS|6422084444675314381</stp>
        <tr r="BD5" s="20"/>
      </tp>
      <tp t="e">
        <v>#N/A</v>
        <stp/>
        <stp>BDS|9204781574068822553</stp>
        <tr r="MC5" s="20"/>
      </tp>
      <tp t="e">
        <v>#N/A</v>
        <stp/>
        <stp>BDS|3054806935804591832</stp>
        <tr r="EF5" s="65"/>
      </tp>
      <tp t="e">
        <v>#N/A</v>
        <stp/>
        <stp>BDS|3089739706545311554</stp>
        <tr r="DQ5" s="22"/>
      </tp>
      <tp t="e">
        <v>#N/A</v>
        <stp/>
        <stp>BDS|9079467992427547726</stp>
        <tr r="LX5" s="108"/>
      </tp>
      <tp t="e">
        <v>#N/A</v>
        <stp/>
        <stp>BDS|7551236447453796658</stp>
        <tr r="Z5" s="86"/>
      </tp>
      <tp t="e">
        <v>#N/A</v>
        <stp/>
        <stp>BDS|1508464487628271153</stp>
        <tr r="FE5" s="100"/>
      </tp>
      <tp t="e">
        <v>#N/A</v>
        <stp/>
        <stp>BDS|3281316441125780560</stp>
        <tr r="FY5" s="13"/>
      </tp>
      <tp t="e">
        <v>#N/A</v>
        <stp/>
        <stp>BDS|2008437641283239531</stp>
        <tr r="KO5" s="82"/>
      </tp>
      <tp t="e">
        <v>#N/A</v>
        <stp/>
        <stp>BDS|6352517062294460571</stp>
        <tr r="FE5" s="40"/>
      </tp>
      <tp t="e">
        <v>#N/A</v>
        <stp/>
        <stp>BDS|3175613367752031545</stp>
        <tr r="NL5" s="82"/>
      </tp>
      <tp t="e">
        <v>#N/A</v>
        <stp/>
        <stp>BDS|1680577085770343876</stp>
        <tr r="AJ5" s="117"/>
      </tp>
      <tp t="e">
        <v>#N/A</v>
        <stp/>
        <stp>BDS|2705195270957937775</stp>
        <tr r="LX5" s="19"/>
      </tp>
      <tp t="e">
        <v>#N/A</v>
        <stp/>
        <stp>BDS|4832657949115571718</stp>
        <tr r="MC5" s="22"/>
      </tp>
      <tp t="e">
        <v>#N/A</v>
        <stp/>
        <stp>BDS|6815728758366741655</stp>
        <tr r="BD5" s="24"/>
      </tp>
      <tp t="e">
        <v>#N/A</v>
        <stp/>
        <stp>BDS|9520442185933277266</stp>
        <tr r="GD5" s="31"/>
      </tp>
      <tp t="e">
        <v>#N/A</v>
        <stp/>
        <stp>BDS|7820999580673042110</stp>
        <tr r="LD5" s="112"/>
      </tp>
      <tp t="e">
        <v>#N/A</v>
        <stp/>
        <stp>BDS|3630407445180097735</stp>
        <tr r="JK5" s="64"/>
      </tp>
      <tp t="e">
        <v>#N/A</v>
        <stp/>
        <stp>BDS|7320491655816643490</stp>
        <tr r="FO5" s="71"/>
      </tp>
      <tp t="e">
        <v>#N/A</v>
        <stp/>
        <stp>BDS|6678728678215818741</stp>
        <tr r="AO5" s="68"/>
      </tp>
      <tp t="e">
        <v>#N/A</v>
        <stp/>
        <stp>BDS|2907473366010908411</stp>
        <tr r="LI5" s="53"/>
      </tp>
      <tp t="e">
        <v>#N/A</v>
        <stp/>
        <stp>BDS|4104607913173610445</stp>
        <tr r="DB5" s="99"/>
      </tp>
      <tp t="e">
        <v>#N/A</v>
        <stp/>
        <stp>BDS|8322646986607249535</stp>
        <tr r="MW5" s="97"/>
      </tp>
      <tp t="e">
        <v>#N/A</v>
        <stp/>
        <stp>BDS|5571393023632674295</stp>
        <tr r="LD5" s="76"/>
      </tp>
      <tp t="e">
        <v>#N/A</v>
        <stp/>
        <stp>BDS|9057972762616559405</stp>
        <tr r="BS5" s="95"/>
      </tp>
      <tp t="e">
        <v>#N/A</v>
        <stp/>
        <stp>BDS|4579745747050560335</stp>
        <tr r="HR5" s="15"/>
      </tp>
      <tp t="e">
        <v>#N/A</v>
        <stp/>
        <stp>BDS|2939409729797482743</stp>
        <tr r="IQ5" s="63"/>
      </tp>
      <tp t="e">
        <v>#N/A</v>
        <stp/>
        <stp>BDS|8635410797525335433</stp>
        <tr r="EK5" s="108"/>
      </tp>
      <tp t="e">
        <v>#N/A</v>
        <stp/>
        <stp>BDS|7115314603337036731</stp>
        <tr r="MW5" s="75"/>
      </tp>
      <tp t="e">
        <v>#N/A</v>
        <stp/>
        <stp>BDS|7041626742491167014</stp>
        <tr r="A5" s="72"/>
      </tp>
      <tp t="e">
        <v>#N/A</v>
        <stp/>
        <stp>BDS|8904806451201178097</stp>
        <tr r="LX5" s="24"/>
      </tp>
      <tp t="e">
        <v>#N/A</v>
        <stp/>
        <stp>BDS|3745563223171639141</stp>
        <tr r="GI5" s="123"/>
      </tp>
      <tp t="e">
        <v>#N/A</v>
        <stp/>
        <stp>BDS|4475007022907783514</stp>
        <tr r="NL5" s="4"/>
      </tp>
      <tp t="e">
        <v>#N/A</v>
        <stp/>
        <stp>BDS|2869012421611101588</stp>
        <tr r="EZ5" s="75"/>
      </tp>
      <tp t="e">
        <v>#N/A</v>
        <stp/>
        <stp>BDS|5544238023495168455</stp>
        <tr r="HC5" s="93"/>
      </tp>
      <tp t="e">
        <v>#N/A</v>
        <stp/>
        <stp>BDS|1814016408836342333</stp>
        <tr r="FJ5" s="121"/>
      </tp>
      <tp t="e">
        <v>#N/A</v>
        <stp/>
        <stp>BDS|6851208712590315181</stp>
        <tr r="HM5" s="107"/>
      </tp>
      <tp t="e">
        <v>#N/A</v>
        <stp/>
        <stp>BDS|3599044831212549645</stp>
        <tr r="JU5" s="75"/>
      </tp>
      <tp t="e">
        <v>#N/A</v>
        <stp/>
        <stp>BDS|3315804779120382880</stp>
        <tr r="GD5" s="86"/>
      </tp>
      <tp t="e">
        <v>#N/A</v>
        <stp/>
        <stp>BDS|3774508996833622869</stp>
        <tr r="FT5" s="47"/>
      </tp>
      <tp t="e">
        <v>#N/A</v>
        <stp/>
        <stp>BDS|6477790353790854078</stp>
        <tr r="CR5" s="12"/>
      </tp>
      <tp t="e">
        <v>#N/A</v>
        <stp/>
        <stp>BDS|7628186112305909645</stp>
        <tr r="EF5" s="92"/>
      </tp>
      <tp t="e">
        <v>#N/A</v>
        <stp/>
        <stp>BDS|8542767627428607135</stp>
        <tr r="OF5" s="36"/>
      </tp>
      <tp t="e">
        <v>#N/A</v>
        <stp/>
        <stp>BDS|5430867977167204966</stp>
        <tr r="AY5" s="57"/>
      </tp>
      <tp t="e">
        <v>#N/A</v>
        <stp/>
        <stp>BDS|4311075516151325007</stp>
        <tr r="CM5" s="110"/>
      </tp>
      <tp t="e">
        <v>#N/A</v>
        <stp/>
        <stp>BDS|1865525229260323212</stp>
        <tr r="AT5" s="12"/>
      </tp>
      <tp t="e">
        <v>#N/A</v>
        <stp/>
        <stp>BDS|8895182910819319524</stp>
        <tr r="HC5" s="105"/>
      </tp>
      <tp t="e">
        <v>#N/A</v>
        <stp/>
        <stp>BDS|6732001461364020075</stp>
        <tr r="NQ5" s="32"/>
      </tp>
      <tp t="e">
        <v>#N/A</v>
        <stp/>
        <stp>BDS|3649624124223453051</stp>
        <tr r="EF5" s="30"/>
      </tp>
      <tp t="e">
        <v>#N/A</v>
        <stp/>
        <stp>BDS|9538875556245452516</stp>
        <tr r="DL5" s="107"/>
      </tp>
      <tp t="e">
        <v>#N/A</v>
        <stp/>
        <stp>BDS|6794640090699789453</stp>
        <tr r="EA5" s="99"/>
      </tp>
      <tp t="e">
        <v>#N/A</v>
        <stp/>
        <stp>BDS|6298439900532592458</stp>
        <tr r="EU5" s="104"/>
      </tp>
      <tp t="e">
        <v>#N/A</v>
        <stp/>
        <stp>BDS|5449487604214152180</stp>
        <tr r="JK5" s="45"/>
      </tp>
      <tp t="e">
        <v>#N/A</v>
        <stp/>
        <stp>BDS|6391571128820803555</stp>
        <tr r="EA5" s="85"/>
      </tp>
      <tp t="e">
        <v>#N/A</v>
        <stp/>
        <stp>BDS|5115521304946022210</stp>
        <tr r="JK5" s="93"/>
      </tp>
      <tp t="e">
        <v>#N/A</v>
        <stp/>
        <stp>BDS|9099391548152536821</stp>
        <tr r="BN5" s="68"/>
      </tp>
      <tp t="e">
        <v>#N/A</v>
        <stp/>
        <stp>BDS|7867209999988074079</stp>
        <tr r="IV5" s="114"/>
      </tp>
      <tp t="e">
        <v>#N/A</v>
        <stp/>
        <stp>BDS|7955119950237875061</stp>
        <tr r="LN5" s="36"/>
      </tp>
      <tp t="e">
        <v>#N/A</v>
        <stp/>
        <stp>BDS|3283926298252742596</stp>
        <tr r="MC5" s="116"/>
      </tp>
      <tp t="e">
        <v>#N/A</v>
        <stp/>
        <stp>BDS|3828981093970539707</stp>
        <tr r="MR5" s="74"/>
      </tp>
      <tp t="e">
        <v>#N/A</v>
        <stp/>
        <stp>BDS|8309778483025921685</stp>
        <tr r="IG5" s="37"/>
      </tp>
      <tp t="e">
        <v>#N/A</v>
        <stp/>
        <stp>BDS|3388501804085127704</stp>
        <tr r="Z5" s="35"/>
      </tp>
      <tp t="e">
        <v>#N/A</v>
        <stp/>
        <stp>BDS|4492807426432630825</stp>
        <tr r="MM5" s="5"/>
      </tp>
      <tp t="e">
        <v>#N/A</v>
        <stp/>
        <stp>BDS|4614331517221684326</stp>
        <tr r="BI5" s="88"/>
      </tp>
      <tp t="e">
        <v>#N/A</v>
        <stp/>
        <stp>BDS|5623921385245733500</stp>
        <tr r="HR5" s="23"/>
      </tp>
      <tp t="e">
        <v>#N/A</v>
        <stp/>
        <stp>BDS|3767364173797415406</stp>
        <tr r="BS5" s="35"/>
      </tp>
      <tp t="e">
        <v>#N/A</v>
        <stp/>
        <stp>BDS|6551167355475607365</stp>
        <tr r="KJ5" s="113"/>
      </tp>
      <tp t="e">
        <v>#N/A</v>
        <stp/>
        <stp>BDS|1505729000430995287</stp>
        <tr r="Z5" s="115"/>
      </tp>
      <tp t="e">
        <v>#N/A</v>
        <stp/>
        <stp>BDS|8424561212690134875</stp>
        <tr r="U5" s="43"/>
      </tp>
      <tp t="e">
        <v>#N/A</v>
        <stp/>
        <stp>BDS|7123303247337725370</stp>
        <tr r="NV5" s="40"/>
      </tp>
      <tp t="e">
        <v>#N/A</v>
        <stp/>
        <stp>BDS|6897565322995330096</stp>
        <tr r="CW5" s="8"/>
      </tp>
      <tp t="e">
        <v>#N/A</v>
        <stp/>
        <stp>BDS|1804405755542945625</stp>
        <tr r="KO5" s="23"/>
      </tp>
      <tp t="e">
        <v>#N/A</v>
        <stp/>
        <stp>BDS|3194599604566336497</stp>
        <tr r="KY5" s="17"/>
      </tp>
      <tp t="e">
        <v>#N/A</v>
        <stp/>
        <stp>BDS|8760475686834480445</stp>
        <tr r="BD5" s="125"/>
      </tp>
      <tp t="e">
        <v>#N/A</v>
        <stp/>
        <stp>BDS|7352801399114877644</stp>
        <tr r="F5" s="24"/>
      </tp>
      <tp t="e">
        <v>#N/A</v>
        <stp/>
        <stp>BDS|9383326830994047977</stp>
        <tr r="JK5" s="58"/>
      </tp>
      <tp t="e">
        <v>#N/A</v>
        <stp/>
        <stp>BDS|8154017257391624877</stp>
        <tr r="HR5" s="75"/>
      </tp>
      <tp t="e">
        <v>#N/A</v>
        <stp/>
        <stp>BDS|3651544249267993151</stp>
        <tr r="AE5" s="10"/>
      </tp>
      <tp t="e">
        <v>#N/A</v>
        <stp/>
        <stp>BDS|4886417519514754104</stp>
        <tr r="IV5" s="24"/>
      </tp>
      <tp t="e">
        <v>#N/A</v>
        <stp/>
        <stp>BDS|8744184286205695080</stp>
        <tr r="KY5" s="69"/>
      </tp>
      <tp t="e">
        <v>#N/A</v>
        <stp/>
        <stp>BDS|7992822890351551396</stp>
        <tr r="DG5" s="17"/>
      </tp>
      <tp t="e">
        <v>#N/A</v>
        <stp/>
        <stp>BDS|5482381708961228319</stp>
        <tr r="JZ5" s="33"/>
      </tp>
      <tp t="e">
        <v>#N/A</v>
        <stp/>
        <stp>BDS|1599104907467613330</stp>
        <tr r="MW5" s="83"/>
      </tp>
      <tp t="e">
        <v>#N/A</v>
        <stp/>
        <stp>BDS|3398751620777754562</stp>
        <tr r="AY5" s="44"/>
      </tp>
      <tp t="e">
        <v>#N/A</v>
        <stp/>
        <stp>BDS|8078568184517564605</stp>
        <tr r="EP5" s="78"/>
      </tp>
      <tp t="e">
        <v>#N/A</v>
        <stp/>
        <stp>BDS|5481160170912297577</stp>
        <tr r="LD5" s="48"/>
      </tp>
      <tp t="e">
        <v>#N/A</v>
        <stp/>
        <stp>BDS|5068525014285670079</stp>
        <tr r="HH5" s="54"/>
      </tp>
      <tp t="e">
        <v>#N/A</v>
        <stp/>
        <stp>BDS|8121865422990511670</stp>
        <tr r="Z5" s="56"/>
      </tp>
      <tp t="e">
        <v>#N/A</v>
        <stp/>
        <stp>BDS|5381391980573879956</stp>
        <tr r="EK5" s="29"/>
      </tp>
      <tp t="e">
        <v>#N/A</v>
        <stp/>
        <stp>BDS|5585477425381419640</stp>
        <tr r="AY5" s="8"/>
      </tp>
      <tp t="e">
        <v>#N/A</v>
        <stp/>
        <stp>BDS|2589158763881520018</stp>
        <tr r="JK5" s="1"/>
      </tp>
      <tp t="e">
        <v>#N/A</v>
        <stp/>
        <stp>BDS|4546152425403362016</stp>
        <tr r="A5" s="17"/>
      </tp>
      <tp t="e">
        <v>#N/A</v>
        <stp/>
        <stp>BDS|9034312776448850183</stp>
        <tr r="EU5" s="68"/>
      </tp>
      <tp t="e">
        <v>#N/A</v>
        <stp/>
        <stp>BDS|1897785729969775991</stp>
        <tr r="LN5" s="24"/>
      </tp>
      <tp t="e">
        <v>#N/A</v>
        <stp/>
        <stp>BDS|8377512390552554205</stp>
        <tr r="EK5" s="37"/>
      </tp>
      <tp t="e">
        <v>#N/A</v>
        <stp/>
        <stp>BDS|9536550971648269742</stp>
        <tr r="Z5" s="97"/>
      </tp>
      <tp t="e">
        <v>#N/A</v>
        <stp/>
        <stp>BDS|4528694505527623180</stp>
        <tr r="IG5" s="46"/>
      </tp>
      <tp t="e">
        <v>#N/A</v>
        <stp/>
        <stp>BDS|9790987272595284682</stp>
        <tr r="FO5" s="51"/>
      </tp>
      <tp t="e">
        <v>#N/A</v>
        <stp/>
        <stp>BDS|3834196920314615006</stp>
        <tr r="U5" s="91"/>
      </tp>
      <tp t="e">
        <v>#N/A</v>
        <stp/>
        <stp>BDS|5378602661560562107</stp>
        <tr r="FY5" s="103"/>
      </tp>
      <tp t="e">
        <v>#N/A</v>
        <stp/>
        <stp>BDS|4744777804556219111</stp>
        <tr r="MH5" s="60"/>
      </tp>
      <tp t="e">
        <v>#N/A</v>
        <stp/>
        <stp>BDS|8246941454390514001</stp>
        <tr r="LX5" s="35"/>
      </tp>
      <tp t="e">
        <v>#N/A</v>
        <stp/>
        <stp>BDS|5532396871145969035</stp>
        <tr r="HR5" s="120"/>
      </tp>
      <tp t="e">
        <v>#N/A</v>
        <stp/>
        <stp>BDS|7843393203367001750</stp>
        <tr r="LX5" s="61"/>
      </tp>
      <tp t="e">
        <v>#N/A</v>
        <stp/>
        <stp>BDS|9395745270848342535</stp>
        <tr r="CM5" s="26"/>
      </tp>
      <tp t="e">
        <v>#N/A</v>
        <stp/>
        <stp>BDS|6372125034903156305</stp>
        <tr r="CH5" s="60"/>
      </tp>
      <tp t="e">
        <v>#N/A</v>
        <stp/>
        <stp>BDS|6816493154991621272</stp>
        <tr r="GI5" s="38"/>
      </tp>
      <tp t="e">
        <v>#N/A</v>
        <stp/>
        <stp>BDS|3915902283830920671</stp>
        <tr r="FY5" s="57"/>
      </tp>
      <tp t="e">
        <v>#N/A</v>
        <stp/>
        <stp>BDS|1581569015832608346</stp>
        <tr r="LN5" s="33"/>
      </tp>
      <tp t="e">
        <v>#N/A</v>
        <stp/>
        <stp>BDS|5556593462270300298</stp>
        <tr r="EU5" s="23"/>
      </tp>
      <tp t="e">
        <v>#N/A</v>
        <stp/>
        <stp>BDS|8862827952755924458</stp>
        <tr r="JA5" s="89"/>
      </tp>
      <tp t="e">
        <v>#N/A</v>
        <stp/>
        <stp>BDS|9368975065151383368</stp>
        <tr r="JZ5" s="64"/>
      </tp>
      <tp t="e">
        <v>#N/A</v>
        <stp/>
        <stp>BDS|5768681628852648758</stp>
        <tr r="JP5" s="24"/>
      </tp>
      <tp t="e">
        <v>#N/A</v>
        <stp/>
        <stp>BDS|7377125182228177264</stp>
        <tr r="HM5" s="26"/>
      </tp>
      <tp t="e">
        <v>#N/A</v>
        <stp/>
        <stp>BDS|2686228857532554323</stp>
        <tr r="DL5" s="44"/>
      </tp>
      <tp t="e">
        <v>#N/A</v>
        <stp/>
        <stp>BDS|4876076539667347413</stp>
        <tr r="NQ5" s="6"/>
      </tp>
      <tp t="e">
        <v>#N/A</v>
        <stp/>
        <stp>BDS|2120005400121514706</stp>
        <tr r="MH5" s="59"/>
      </tp>
      <tp t="e">
        <v>#N/A</v>
        <stp/>
        <stp>BDS|5576603981737256821</stp>
        <tr r="MW5" s="23"/>
      </tp>
      <tp t="e">
        <v>#N/A</v>
        <stp/>
        <stp>BDS|1039234227591706476</stp>
        <tr r="KY5" s="8"/>
      </tp>
      <tp t="e">
        <v>#N/A</v>
        <stp/>
        <stp>BDS|5112353313722677156</stp>
        <tr r="FE5" s="44"/>
      </tp>
      <tp t="e">
        <v>#N/A</v>
        <stp/>
        <stp>BDS|3771795846796815240</stp>
        <tr r="AT5" s="122"/>
      </tp>
      <tp t="e">
        <v>#N/A</v>
        <stp/>
        <stp>BDS|2195601911068544918</stp>
        <tr r="OF5" s="62"/>
      </tp>
      <tp t="e">
        <v>#N/A</v>
        <stp/>
        <stp>BDS|4621746505971083630</stp>
        <tr r="JA5" s="125"/>
      </tp>
      <tp t="e">
        <v>#N/A</v>
        <stp/>
        <stp>BDS|5844332346083826511</stp>
        <tr r="MW5" s="49"/>
      </tp>
      <tp t="e">
        <v>#N/A</v>
        <stp/>
        <stp>BDS|8011375685963517426</stp>
        <tr r="IL5" s="100"/>
      </tp>
      <tp t="e">
        <v>#N/A</v>
        <stp/>
        <stp>BDS|4620246635594234509</stp>
        <tr r="MW5" s="8"/>
      </tp>
      <tp t="e">
        <v>#N/A</v>
        <stp/>
        <stp>BDS|7535621826402468508</stp>
        <tr r="EZ5" s="32"/>
      </tp>
      <tp t="e">
        <v>#N/A</v>
        <stp/>
        <stp>BDS|1603548147547114314</stp>
        <tr r="GX5" s="69"/>
      </tp>
      <tp t="e">
        <v>#N/A</v>
        <stp/>
        <stp>BDS|7232191924602897225</stp>
        <tr r="LI5" s="109"/>
      </tp>
      <tp t="e">
        <v>#N/A</v>
        <stp/>
        <stp>BDS|8529819352049173825</stp>
        <tr r="HC5" s="50"/>
        <tr r="OA5" s="45"/>
      </tp>
      <tp t="e">
        <v>#N/A</v>
        <stp/>
        <stp>BDS|8077770683000368328</stp>
        <tr r="NV5" s="8"/>
      </tp>
      <tp t="e">
        <v>#N/A</v>
        <stp/>
        <stp>BDS|8943335780315994265</stp>
        <tr r="NQ5" s="33"/>
      </tp>
      <tp t="e">
        <v>#N/A</v>
        <stp/>
        <stp>BDS|4440632441306429479</stp>
        <tr r="FJ5" s="71"/>
      </tp>
      <tp t="e">
        <v>#N/A</v>
        <stp/>
        <stp>BDS|4866699366480501074</stp>
        <tr r="BX5" s="107"/>
      </tp>
      <tp t="e">
        <v>#N/A</v>
        <stp/>
        <stp>BDS|1860572823503858118</stp>
        <tr r="GX5" s="32"/>
      </tp>
      <tp t="e">
        <v>#N/A</v>
        <stp/>
        <stp>BDS|5324647062363190213</stp>
        <tr r="GX5" s="73"/>
      </tp>
      <tp t="e">
        <v>#N/A</v>
        <stp/>
        <stp>BDS|7795360357340009537</stp>
        <tr r="FO5" s="101"/>
      </tp>
      <tp t="e">
        <v>#N/A</v>
        <stp/>
        <stp>BDS|2975420524461322193</stp>
        <tr r="U5" s="58"/>
      </tp>
      <tp t="e">
        <v>#N/A</v>
        <stp/>
        <stp>BDS|1380338378228949944</stp>
        <tr r="IL5" s="63"/>
      </tp>
      <tp t="e">
        <v>#N/A</v>
        <stp/>
        <stp>BDS|6086482597136834929</stp>
        <tr r="GI5" s="58"/>
      </tp>
      <tp t="e">
        <v>#N/A</v>
        <stp/>
        <stp>BDS|7100943272104077923</stp>
        <tr r="GX5" s="28"/>
      </tp>
      <tp t="e">
        <v>#N/A</v>
        <stp/>
        <stp>BDS|3881444544941521681</stp>
        <tr r="NG5" s="42"/>
      </tp>
      <tp t="e">
        <v>#N/A</v>
        <stp/>
        <stp>BDS|7237016193419633335</stp>
        <tr r="IB5" s="26"/>
      </tp>
      <tp t="e">
        <v>#N/A</v>
        <stp/>
        <stp>BDS|2744364005465505040</stp>
        <tr r="NL5" s="66"/>
      </tp>
      <tp t="e">
        <v>#N/A</v>
        <stp/>
        <stp>BDS|8028866345622135275</stp>
        <tr r="CM5" s="76"/>
      </tp>
      <tp t="e">
        <v>#N/A</v>
        <stp/>
        <stp>BDS|8422067836669644673</stp>
        <tr r="IV5" s="85"/>
      </tp>
      <tp t="e">
        <v>#N/A</v>
        <stp/>
        <stp>BDS|6767808238360512806</stp>
        <tr r="CH5" s="81"/>
      </tp>
      <tp t="e">
        <v>#N/A</v>
        <stp/>
        <stp>BDS|1929647333823446203</stp>
        <tr r="NV5" s="103"/>
      </tp>
      <tp t="e">
        <v>#N/A</v>
        <stp/>
        <stp>BDS|4298676132650945446</stp>
        <tr r="A5" s="11"/>
      </tp>
      <tp t="e">
        <v>#N/A</v>
        <stp/>
        <stp>BDS|9899359040433773808</stp>
        <tr r="MM5" s="35"/>
      </tp>
      <tp t="e">
        <v>#N/A</v>
        <stp/>
        <stp>BDS|9416853012233090690</stp>
        <tr r="MC5" s="41"/>
      </tp>
      <tp t="e">
        <v>#N/A</v>
        <stp/>
        <stp>BDS|3096185866977043648</stp>
        <tr r="LI5" s="89"/>
      </tp>
      <tp t="e">
        <v>#N/A</v>
        <stp/>
        <stp>BDS|5747055612466223789</stp>
        <tr r="NV5" s="31"/>
      </tp>
      <tp t="e">
        <v>#N/A</v>
        <stp/>
        <stp>BDS|4401340294613894861</stp>
        <tr r="DB5" s="47"/>
      </tp>
      <tp t="e">
        <v>#N/A</v>
        <stp/>
        <stp>BDS|9698876146188956845</stp>
        <tr r="AJ5" s="70"/>
      </tp>
      <tp t="e">
        <v>#N/A</v>
        <stp/>
        <stp>BDS|4397326796959589280</stp>
        <tr r="GD5" s="1"/>
      </tp>
      <tp t="e">
        <v>#N/A</v>
        <stp/>
        <stp>BDS|7909403577808550912</stp>
        <tr r="LX5" s="69"/>
      </tp>
      <tp t="e">
        <v>#N/A</v>
        <stp/>
        <stp>BDS|4759158708104490449</stp>
        <tr r="GN5" s="116"/>
      </tp>
      <tp t="e">
        <v>#N/A</v>
        <stp/>
        <stp>BDS|2396054127584854131</stp>
        <tr r="IB5" s="106"/>
      </tp>
      <tp t="e">
        <v>#N/A</v>
        <stp/>
        <stp>BDS|5951516732567295122</stp>
        <tr r="GX5" s="92"/>
      </tp>
      <tp t="e">
        <v>#N/A</v>
        <stp/>
        <stp>BDS|1635730649782606509</stp>
        <tr r="GX5" s="10"/>
      </tp>
      <tp t="e">
        <v>#N/A</v>
        <stp/>
        <stp>BDS|4870065963924456333</stp>
        <tr r="LS5" s="17"/>
      </tp>
      <tp t="e">
        <v>#N/A</v>
        <stp/>
        <stp>BDS|1844303152657458549</stp>
        <tr r="DL5" s="39"/>
      </tp>
      <tp t="e">
        <v>#N/A</v>
        <stp/>
        <stp>BDS|3871544662335009042</stp>
        <tr r="HH5" s="87"/>
      </tp>
      <tp t="e">
        <v>#N/A</v>
        <stp/>
        <stp>BDS|2339024478650575065</stp>
        <tr r="GX5" s="101"/>
      </tp>
      <tp t="e">
        <v>#N/A</v>
        <stp/>
        <stp>BDS|8303239580644206389</stp>
        <tr r="FT5" s="16"/>
      </tp>
      <tp t="e">
        <v>#N/A</v>
        <stp/>
        <stp>BDS|3886213844260079079</stp>
        <tr r="CM5" s="107"/>
      </tp>
      <tp t="e">
        <v>#N/A</v>
        <stp/>
        <stp>BDS|1950234755576462516</stp>
        <tr r="IV5" s="116"/>
      </tp>
      <tp t="e">
        <v>#N/A</v>
        <stp/>
        <stp>BDS|1300627139103441267</stp>
        <tr r="OF5" s="103"/>
      </tp>
      <tp t="e">
        <v>#N/A</v>
        <stp/>
        <stp>BDS|2350527539395675443</stp>
        <tr r="CM5" s="103"/>
      </tp>
      <tp t="e">
        <v>#N/A</v>
        <stp/>
        <stp>BDS|3500796167753890482</stp>
        <tr r="DB5" s="122"/>
      </tp>
      <tp t="e">
        <v>#N/A</v>
        <stp/>
        <stp>BDS|9788573287965900458</stp>
        <tr r="FY5" s="17"/>
      </tp>
      <tp t="e">
        <v>#N/A</v>
        <stp/>
        <stp>BDS|7643300275526887002</stp>
        <tr r="EU5" s="86"/>
      </tp>
      <tp t="e">
        <v>#N/A</v>
        <stp/>
        <stp>BDS|1242336074377734799</stp>
        <tr r="Z5" s="9"/>
      </tp>
      <tp t="e">
        <v>#N/A</v>
        <stp/>
        <stp>BDS|3869366667054216709</stp>
        <tr r="MR5" s="50"/>
      </tp>
      <tp t="e">
        <v>#N/A</v>
        <stp/>
        <stp>BDS|7197570753030742291</stp>
        <tr r="CR5" s="110"/>
      </tp>
      <tp t="e">
        <v>#N/A</v>
        <stp/>
        <stp>BDS|3256773824933844028</stp>
        <tr r="LD5" s="2"/>
      </tp>
      <tp t="e">
        <v>#N/A</v>
        <stp/>
        <stp>BDS|2088239529305768264</stp>
        <tr r="CC5" s="7"/>
      </tp>
      <tp t="e">
        <v>#N/A</v>
        <stp/>
        <stp>BDS|8312288145002006959</stp>
        <tr r="HH5" s="42"/>
      </tp>
      <tp t="e">
        <v>#N/A</v>
        <stp/>
        <stp>BDS|7146626057820684192</stp>
        <tr r="HH5" s="115"/>
      </tp>
      <tp t="e">
        <v>#N/A</v>
        <stp/>
        <stp>BDS|7768616041551919155</stp>
        <tr r="BD5" s="82"/>
      </tp>
      <tp t="e">
        <v>#N/A</v>
        <stp/>
        <stp>BDS|2619624034782935027</stp>
        <tr r="NQ5" s="67"/>
      </tp>
      <tp t="e">
        <v>#N/A</v>
        <stp/>
        <stp>BDS|9013692670124067923</stp>
        <tr r="EA5" s="44"/>
      </tp>
      <tp t="e">
        <v>#N/A</v>
        <stp/>
        <stp>BDS|7822860972579351446</stp>
        <tr r="CM5" s="31"/>
      </tp>
      <tp t="e">
        <v>#N/A</v>
        <stp/>
        <stp>BDS|2422805429338108571</stp>
        <tr r="MM5" s="53"/>
      </tp>
      <tp t="e">
        <v>#N/A</v>
        <stp/>
        <stp>BDS|8243760458407697823</stp>
        <tr r="OA5" s="96"/>
      </tp>
      <tp t="e">
        <v>#N/A</v>
        <stp/>
        <stp>BDS|2719709672272807550</stp>
        <tr r="GD5" s="59"/>
      </tp>
      <tp t="e">
        <v>#N/A</v>
        <stp/>
        <stp>BDS|2768072165962568383</stp>
        <tr r="FE5" s="19"/>
      </tp>
      <tp t="e">
        <v>#N/A</v>
        <stp/>
        <stp>BDS|6090484575249076951</stp>
        <tr r="JU5" s="51"/>
      </tp>
      <tp t="e">
        <v>#N/A</v>
        <stp/>
        <stp>BDS|1797345012261940703</stp>
        <tr r="LD5" s="60"/>
      </tp>
      <tp t="e">
        <v>#N/A</v>
        <stp/>
        <stp>BDS|6276661914075995116</stp>
        <tr r="EA5" s="31"/>
      </tp>
      <tp t="e">
        <v>#N/A</v>
        <stp/>
        <stp>BDS|7930422972931500041</stp>
        <tr r="AO5" s="91"/>
      </tp>
      <tp t="e">
        <v>#N/A</v>
        <stp/>
        <stp>BDS|6999705009950857409</stp>
        <tr r="NV5" s="91"/>
      </tp>
      <tp t="e">
        <v>#N/A</v>
        <stp/>
        <stp>BDS|3520388502111464433</stp>
        <tr r="NV5" s="75"/>
      </tp>
      <tp t="e">
        <v>#N/A</v>
        <stp/>
        <stp>BDS|7360448757230827302</stp>
        <tr r="A5" s="63"/>
      </tp>
      <tp t="e">
        <v>#N/A</v>
        <stp/>
        <stp>BDS|6568357402108928830</stp>
        <tr r="FT5" s="81"/>
      </tp>
      <tp t="e">
        <v>#N/A</v>
        <stp/>
        <stp>BDS|8355225674831987942</stp>
        <tr r="KY5" s="62"/>
      </tp>
      <tp t="e">
        <v>#N/A</v>
        <stp/>
        <stp>BDS|1979383251234104694</stp>
        <tr r="P5" s="119"/>
      </tp>
      <tp t="e">
        <v>#N/A</v>
        <stp/>
        <stp>BDS|8500702167235867925</stp>
        <tr r="F5" s="100"/>
      </tp>
      <tp t="e">
        <v>#N/A</v>
        <stp/>
        <stp>BDS|2012338534702980566</stp>
        <tr r="IV5" s="10"/>
      </tp>
      <tp t="e">
        <v>#N/A</v>
        <stp/>
        <stp>BDS|8177134023056100883</stp>
        <tr r="GX5" s="36"/>
      </tp>
      <tp t="e">
        <v>#N/A</v>
        <stp/>
        <stp>BDS|7280466444646186496</stp>
        <tr r="HM5" s="71"/>
      </tp>
      <tp t="e">
        <v>#N/A</v>
        <stp/>
        <stp>BDS|6895178230252330346</stp>
        <tr r="KJ5" s="3"/>
      </tp>
      <tp t="e">
        <v>#N/A</v>
        <stp/>
        <stp>BDS|6511191804380002205</stp>
        <tr r="GS5" s="86"/>
      </tp>
      <tp t="e">
        <v>#N/A</v>
        <stp/>
        <stp>BDS|7881768651803432323</stp>
        <tr r="EA5" s="78"/>
      </tp>
      <tp t="e">
        <v>#N/A</v>
        <stp/>
        <stp>BDS|2336770829991200362</stp>
        <tr r="HM5" s="49"/>
      </tp>
      <tp t="e">
        <v>#N/A</v>
        <stp/>
        <stp>BDS|7308050745971817720</stp>
        <tr r="EA5" s="57"/>
      </tp>
      <tp t="e">
        <v>#N/A</v>
        <stp/>
        <stp>BDS|6322073805416127599</stp>
        <tr r="DL5" s="114"/>
      </tp>
      <tp t="e">
        <v>#N/A</v>
        <stp/>
        <stp>BDS|6418407217202295481</stp>
        <tr r="FJ5" s="14"/>
      </tp>
      <tp t="e">
        <v>#N/A</v>
        <stp/>
        <stp>BDS|6493566814214673396</stp>
        <tr r="GN5" s="60"/>
      </tp>
      <tp t="e">
        <v>#N/A</v>
        <stp/>
        <stp>BDS|5513801696807872622</stp>
        <tr r="IQ5" s="81"/>
      </tp>
      <tp t="e">
        <v>#N/A</v>
        <stp/>
        <stp>BDS|2715139751541570298</stp>
        <tr r="EZ5" s="14"/>
      </tp>
      <tp t="e">
        <v>#N/A</v>
        <stp/>
        <stp>BDS|5956309994103362979</stp>
        <tr r="Z5" s="109"/>
      </tp>
      <tp t="e">
        <v>#N/A</v>
        <stp/>
        <stp>BDS|9737196129998890767</stp>
        <tr r="GN5" s="28"/>
      </tp>
      <tp t="e">
        <v>#N/A</v>
        <stp/>
        <stp>BDS|2023597605136471410</stp>
        <tr r="JF5" s="20"/>
      </tp>
      <tp t="e">
        <v>#N/A</v>
        <stp/>
        <stp>BDS|5104026918152664341</stp>
        <tr r="OF5" s="35"/>
      </tp>
      <tp t="e">
        <v>#N/A</v>
        <stp/>
        <stp>BDS|5067193431512253033</stp>
        <tr r="NV5" s="21"/>
      </tp>
      <tp t="e">
        <v>#N/A</v>
        <stp/>
        <stp>BDS|2411703857455365096</stp>
        <tr r="FY5" s="80"/>
      </tp>
      <tp t="e">
        <v>#N/A</v>
        <stp/>
        <stp>BDS|6251202569125752254</stp>
        <tr r="AJ5" s="112"/>
      </tp>
      <tp t="e">
        <v>#N/A</v>
        <stp/>
        <stp>BDS|1395354958990262257</stp>
        <tr r="AT5" s="72"/>
      </tp>
      <tp t="e">
        <v>#N/A</v>
        <stp/>
        <stp>BDS|1458489909759293999</stp>
        <tr r="CC5" s="93"/>
      </tp>
      <tp t="e">
        <v>#N/A</v>
        <stp/>
        <stp>BDS|2051960808899753770</stp>
        <tr r="MC5" s="106"/>
      </tp>
      <tp t="e">
        <v>#N/A</v>
        <stp/>
        <stp>BDS|5026563228844356335</stp>
        <tr r="HC5" s="25"/>
      </tp>
      <tp t="e">
        <v>#N/A</v>
        <stp/>
        <stp>BDS|4269987696888079927</stp>
        <tr r="HM5" s="72"/>
      </tp>
      <tp t="e">
        <v>#N/A</v>
        <stp/>
        <stp>BDS|9151609288591007377</stp>
        <tr r="JZ5" s="58"/>
      </tp>
      <tp t="e">
        <v>#N/A</v>
        <stp/>
        <stp>BDS|6774488827787060261</stp>
        <tr r="K5" s="89"/>
      </tp>
      <tp t="e">
        <v>#N/A</v>
        <stp/>
        <stp>BDS|5967602065819564975</stp>
        <tr r="F5" s="22"/>
      </tp>
      <tp t="e">
        <v>#N/A</v>
        <stp/>
        <stp>BDS|8876935541989373973</stp>
        <tr r="Z5" s="30"/>
      </tp>
      <tp t="e">
        <v>#N/A</v>
        <stp/>
        <stp>BDS|9722993737981364741</stp>
        <tr r="LX5" s="77"/>
      </tp>
      <tp t="e">
        <v>#N/A</v>
        <stp/>
        <stp>BDS|2622702646913845761</stp>
        <tr r="CM5" s="116"/>
      </tp>
      <tp t="e">
        <v>#N/A</v>
        <stp/>
        <stp>BDS|7330658439316200135</stp>
        <tr r="KJ5" s="52"/>
      </tp>
      <tp t="e">
        <v>#N/A</v>
        <stp/>
        <stp>BDS|7364690270787797435</stp>
        <tr r="EA5" s="76"/>
      </tp>
      <tp t="e">
        <v>#N/A</v>
        <stp/>
        <stp>BDS|8684199767112100872</stp>
        <tr r="FY5" s="23"/>
      </tp>
      <tp t="e">
        <v>#N/A</v>
        <stp/>
        <stp>BDS|5390443762125289791</stp>
        <tr r="K5" s="8"/>
      </tp>
      <tp t="e">
        <v>#N/A</v>
        <stp/>
        <stp>BDS|9183269849112913893</stp>
        <tr r="DG5" s="121"/>
      </tp>
      <tp t="e">
        <v>#N/A</v>
        <stp/>
        <stp>BDS|5569302255195821367</stp>
        <tr r="BD5" s="112"/>
      </tp>
      <tp t="e">
        <v>#N/A</v>
        <stp/>
        <stp>BDS|7203296766593419573</stp>
        <tr r="LD5" s="113"/>
        <tr r="LN5" s="105"/>
      </tp>
      <tp t="e">
        <v>#N/A</v>
        <stp/>
        <stp>BDS|4014474036686614093</stp>
        <tr r="DQ5" s="98"/>
      </tp>
      <tp t="e">
        <v>#N/A</v>
        <stp/>
        <stp>BDS|6554074828332664325</stp>
        <tr r="CC5" s="122"/>
      </tp>
      <tp t="e">
        <v>#N/A</v>
        <stp/>
        <stp>BDS|8965688508878222352</stp>
        <tr r="LI5" s="18"/>
      </tp>
      <tp t="e">
        <v>#N/A</v>
        <stp/>
        <stp>BDS|1422454505084398499</stp>
        <tr r="LI5" s="67"/>
      </tp>
      <tp t="e">
        <v>#N/A</v>
        <stp/>
        <stp>BDS|9048809195669942429</stp>
        <tr r="BX5" s="26"/>
      </tp>
      <tp t="e">
        <v>#N/A</v>
        <stp/>
        <stp>BDS|3510367936573822536</stp>
        <tr r="EF5" s="109"/>
      </tp>
      <tp t="e">
        <v>#N/A</v>
        <stp/>
        <stp>BDS|6568250375410918627</stp>
        <tr r="EU5" s="64"/>
      </tp>
      <tp t="e">
        <v>#N/A</v>
        <stp/>
        <stp>BDS|2134855588584051322</stp>
        <tr r="CC5" s="14"/>
      </tp>
      <tp t="e">
        <v>#N/A</v>
        <stp/>
        <stp>BDS|7162926186302802129</stp>
        <tr r="AJ5" s="84"/>
      </tp>
      <tp t="e">
        <v>#N/A</v>
        <stp/>
        <stp>BDS|4931454140463190223</stp>
        <tr r="IV5" s="16"/>
      </tp>
      <tp t="e">
        <v>#N/A</v>
        <stp/>
        <stp>BDS|1475259500387916175</stp>
        <tr r="KJ5" s="114"/>
      </tp>
      <tp t="e">
        <v>#N/A</v>
        <stp/>
        <stp>BDS|1709081740502844289</stp>
        <tr r="IL5" s="84"/>
      </tp>
      <tp t="e">
        <v>#N/A</v>
        <stp/>
        <stp>BDS|1896442488568942024</stp>
        <tr r="AE5" s="69"/>
      </tp>
      <tp t="e">
        <v>#N/A</v>
        <stp/>
        <stp>BDS|3672682705324786430</stp>
        <tr r="CM5" s="112"/>
      </tp>
      <tp t="e">
        <v>#N/A</v>
        <stp/>
        <stp>BDS|3011940349342384915</stp>
        <tr r="HH5" s="82"/>
      </tp>
      <tp t="e">
        <v>#N/A</v>
        <stp/>
        <stp>BDS|1020788911315666703</stp>
        <tr r="JP5" s="120"/>
      </tp>
      <tp t="e">
        <v>#N/A</v>
        <stp/>
        <stp>BDS|6133005260935829060</stp>
        <tr r="CW5" s="119"/>
      </tp>
      <tp t="e">
        <v>#N/A</v>
        <stp/>
        <stp>BDS|2021316575785269697</stp>
        <tr r="NQ5" s="3"/>
      </tp>
      <tp t="e">
        <v>#N/A</v>
        <stp/>
        <stp>BDS|5256563270502869037</stp>
        <tr r="JZ5" s="122"/>
      </tp>
      <tp t="e">
        <v>#N/A</v>
        <stp/>
        <stp>BDS|2892170360592376239</stp>
        <tr r="KY5" s="56"/>
      </tp>
      <tp t="e">
        <v>#N/A</v>
        <stp/>
        <stp>BDS|2143093617066459040</stp>
        <tr r="EP5" s="118"/>
      </tp>
      <tp t="e">
        <v>#N/A</v>
        <stp/>
        <stp>BDS|3008640240007257393</stp>
        <tr r="EA5" s="69"/>
      </tp>
      <tp t="e">
        <v>#N/A</v>
        <stp/>
        <stp>BDS|4878668940623543049</stp>
        <tr r="DQ5" s="4"/>
      </tp>
      <tp t="e">
        <v>#N/A</v>
        <stp/>
        <stp>BDS|8937260842558216303</stp>
        <tr r="MH5" s="1"/>
      </tp>
      <tp t="e">
        <v>#N/A</v>
        <stp/>
        <stp>BDS|6791534774953637292</stp>
        <tr r="DL5" s="58"/>
      </tp>
      <tp t="e">
        <v>#N/A</v>
        <stp/>
        <stp>BDS|3940075665872369244</stp>
        <tr r="CW5" s="59"/>
      </tp>
      <tp t="e">
        <v>#N/A</v>
        <stp/>
        <stp>BDS|2783434325390460192</stp>
        <tr r="LN5" s="44"/>
      </tp>
      <tp t="e">
        <v>#N/A</v>
        <stp/>
        <stp>BDS|6917937111358642319</stp>
        <tr r="FY5" s="86"/>
      </tp>
      <tp t="e">
        <v>#N/A</v>
        <stp/>
        <stp>BDS|2896367766502159056</stp>
        <tr r="AJ5" s="27"/>
      </tp>
      <tp t="e">
        <v>#N/A</v>
        <stp/>
        <stp>BDS|5542737030585366199</stp>
        <tr r="AE5" s="47"/>
      </tp>
      <tp t="e">
        <v>#N/A</v>
        <stp/>
        <stp>BDS|7187083415702081108</stp>
        <tr r="FT5" s="91"/>
      </tp>
      <tp t="e">
        <v>#N/A</v>
        <stp/>
        <stp>BDS|7501441860065450598</stp>
        <tr r="MH5" s="117"/>
      </tp>
      <tp t="e">
        <v>#N/A</v>
        <stp/>
        <stp>BDS|5651888421863227914</stp>
        <tr r="LX5" s="83"/>
      </tp>
      <tp t="e">
        <v>#N/A</v>
        <stp/>
        <stp>BDS|8504127452558110180</stp>
        <tr r="LD5" s="75"/>
      </tp>
      <tp t="e">
        <v>#N/A</v>
        <stp/>
        <stp>BDS|7391700247748194994</stp>
        <tr r="JK5" s="74"/>
      </tp>
      <tp t="e">
        <v>#N/A</v>
        <stp/>
        <stp>BDS|5627498765870677205</stp>
        <tr r="JP5" s="124"/>
      </tp>
      <tp t="e">
        <v>#N/A</v>
        <stp/>
        <stp>BDS|7432114744543842457</stp>
        <tr r="IB5" s="28"/>
      </tp>
      <tp t="e">
        <v>#N/A</v>
        <stp/>
        <stp>BDS|1415295820575719167</stp>
        <tr r="JZ5" s="18"/>
      </tp>
      <tp t="e">
        <v>#N/A</v>
        <stp/>
        <stp>BDS|7404407075404904546</stp>
        <tr r="F5" s="43"/>
      </tp>
      <tp t="e">
        <v>#N/A</v>
        <stp/>
        <stp>BDS|1596805844479445199</stp>
        <tr r="DG5" s="79"/>
      </tp>
      <tp t="e">
        <v>#N/A</v>
        <stp/>
        <stp>BDS|6992404023865358055</stp>
        <tr r="JK5" s="115"/>
      </tp>
      <tp t="e">
        <v>#N/A</v>
        <stp/>
        <stp>BDS|7470627050690264185</stp>
        <tr r="JA5" s="110"/>
      </tp>
      <tp t="e">
        <v>#N/A</v>
        <stp/>
        <stp>BDS|3912208969655960743</stp>
        <tr r="LD5" s="47"/>
      </tp>
      <tp t="e">
        <v>#N/A</v>
        <stp/>
        <stp>BDS|7017997284993262022</stp>
        <tr r="EA5" s="18"/>
      </tp>
      <tp t="e">
        <v>#N/A</v>
        <stp/>
        <stp>BDS|6933308494080104910</stp>
        <tr r="NG5" s="89"/>
      </tp>
      <tp t="e">
        <v>#N/A</v>
        <stp/>
        <stp>BDS|9649445697527196696</stp>
        <tr r="DG5" s="34"/>
      </tp>
      <tp t="e">
        <v>#N/A</v>
        <stp/>
        <stp>BDS|7561328585281625896</stp>
        <tr r="IL5" s="29"/>
      </tp>
      <tp t="e">
        <v>#N/A</v>
        <stp/>
        <stp>BDS|6169930368938080479</stp>
        <tr r="MH5" s="15"/>
      </tp>
      <tp t="e">
        <v>#N/A</v>
        <stp/>
        <stp>BDS|4298797766520958091</stp>
        <tr r="FY5" s="121"/>
      </tp>
      <tp t="e">
        <v>#N/A</v>
        <stp/>
        <stp>BDS|4593143656460905531</stp>
        <tr r="AY5" s="48"/>
      </tp>
      <tp t="e">
        <v>#N/A</v>
        <stp/>
        <stp>BDS|6829948095382147151</stp>
        <tr r="JF5" s="59"/>
      </tp>
      <tp t="e">
        <v>#N/A</v>
        <stp/>
        <stp>BDS|7464111990549926312</stp>
        <tr r="OA5" s="123"/>
      </tp>
      <tp t="e">
        <v>#N/A</v>
        <stp/>
        <stp>BDS|6268523158454674734</stp>
        <tr r="EU5" s="93"/>
      </tp>
      <tp t="e">
        <v>#N/A</v>
        <stp/>
        <stp>BDS|1104106557521349185</stp>
        <tr r="NV5" s="20"/>
      </tp>
      <tp t="e">
        <v>#N/A</v>
        <stp/>
        <stp>BDS|3273819395680996721</stp>
        <tr r="MW5" s="44"/>
      </tp>
      <tp t="e">
        <v>#N/A</v>
        <stp/>
        <stp>BDS|6415520312710826712</stp>
        <tr r="IL5" s="47"/>
      </tp>
      <tp t="e">
        <v>#N/A</v>
        <stp/>
        <stp>BDS|2828220226441085618</stp>
        <tr r="CH5" s="42"/>
      </tp>
      <tp t="e">
        <v>#N/A</v>
        <stp/>
        <stp>BDS|2059434909700217350</stp>
        <tr r="LN5" s="98"/>
      </tp>
      <tp t="e">
        <v>#N/A</v>
        <stp/>
        <stp>BDS|9826828051038820912</stp>
        <tr r="JA5" s="123"/>
      </tp>
      <tp t="e">
        <v>#N/A</v>
        <stp/>
        <stp>BDS|3144432560907126317</stp>
        <tr r="HW5" s="108"/>
      </tp>
      <tp t="e">
        <v>#N/A</v>
        <stp/>
        <stp>BDS|9395577935279143322</stp>
        <tr r="HM5" s="109"/>
      </tp>
      <tp t="e">
        <v>#N/A</v>
        <stp/>
        <stp>BDS|5487044415241420037</stp>
        <tr r="BI5" s="86"/>
      </tp>
      <tp t="e">
        <v>#N/A</v>
        <stp/>
        <stp>BDS|2520673029964168785</stp>
        <tr r="CR5" s="103"/>
      </tp>
      <tp t="e">
        <v>#N/A</v>
        <stp/>
        <stp>BDS|2798873482314209321</stp>
        <tr r="HC5" s="29"/>
      </tp>
      <tp t="e">
        <v>#N/A</v>
        <stp/>
        <stp>BDS|2775713606631786153</stp>
        <tr r="OA5" s="60"/>
      </tp>
      <tp t="e">
        <v>#N/A</v>
        <stp/>
        <stp>BDS|7539208778423938462</stp>
        <tr r="BS5" s="83"/>
      </tp>
      <tp t="e">
        <v>#N/A</v>
        <stp/>
        <stp>BDS|5511788799679006761</stp>
        <tr r="BS5" s="71"/>
      </tp>
      <tp t="e">
        <v>#N/A</v>
        <stp/>
        <stp>BDS|8535524796831529062</stp>
        <tr r="KJ5" s="118"/>
      </tp>
      <tp t="e">
        <v>#N/A</v>
        <stp/>
        <stp>BDS|9959496858818935534</stp>
        <tr r="FT5" s="98"/>
      </tp>
      <tp t="e">
        <v>#N/A</v>
        <stp/>
        <stp>BDS|2656609986789007026</stp>
        <tr r="JK5" s="81"/>
      </tp>
      <tp t="e">
        <v>#N/A</v>
        <stp/>
        <stp>BDS|6889334156686662391</stp>
        <tr r="FO5" s="77"/>
      </tp>
      <tp t="e">
        <v>#N/A</v>
        <stp/>
        <stp>BDS|6625316505732117210</stp>
        <tr r="NL5" s="74"/>
      </tp>
      <tp t="e">
        <v>#N/A</v>
        <stp/>
        <stp>BDS|7598708750317450735</stp>
        <tr r="BS5" s="20"/>
      </tp>
      <tp t="e">
        <v>#N/A</v>
        <stp/>
        <stp>BDS|5239603640097630563</stp>
        <tr r="EZ5" s="51"/>
      </tp>
      <tp t="e">
        <v>#N/A</v>
        <stp/>
        <stp>BDS|3046668096598291100</stp>
        <tr r="EF5" s="22"/>
      </tp>
      <tp t="e">
        <v>#N/A</v>
        <stp/>
        <stp>BDS|7707268131911240204</stp>
        <tr r="EZ5" s="37"/>
      </tp>
      <tp t="e">
        <v>#N/A</v>
        <stp/>
        <stp>BDS|8895476084923054292</stp>
        <tr r="LI5" s="37"/>
      </tp>
      <tp t="e">
        <v>#N/A</v>
        <stp/>
        <stp>BDS|2576006179267734796</stp>
        <tr r="LS5" s="90"/>
      </tp>
      <tp t="e">
        <v>#N/A</v>
        <stp/>
        <stp>BDS|5641631269523843362</stp>
        <tr r="FY5" s="65"/>
      </tp>
      <tp t="e">
        <v>#N/A</v>
        <stp/>
        <stp>BDS|4410035579301928753</stp>
        <tr r="BX5" s="41"/>
      </tp>
      <tp t="e">
        <v>#N/A</v>
        <stp/>
        <stp>BDS|3126069120682425619</stp>
        <tr r="EF5" s="89"/>
      </tp>
      <tp t="e">
        <v>#N/A</v>
        <stp/>
        <stp>BDS|5191261701911188343</stp>
        <tr r="KO5" s="37"/>
      </tp>
      <tp t="e">
        <v>#N/A</v>
        <stp/>
        <stp>BDS|3151112426797336269</stp>
        <tr r="KY5" s="92"/>
      </tp>
      <tp t="e">
        <v>#N/A</v>
        <stp/>
        <stp>BDS|5506673943544045629</stp>
        <tr r="BS5" s="118"/>
      </tp>
      <tp t="e">
        <v>#N/A</v>
        <stp/>
        <stp>BDS|7833759390268892469</stp>
        <tr r="KJ5" s="75"/>
      </tp>
      <tp t="e">
        <v>#N/A</v>
        <stp/>
        <stp>BDS|3375410132401288013</stp>
        <tr r="MC5" s="110"/>
      </tp>
      <tp t="e">
        <v>#N/A</v>
        <stp/>
        <stp>BDS|7789292710222920343</stp>
        <tr r="AE5" s="33"/>
      </tp>
      <tp t="e">
        <v>#N/A</v>
        <stp/>
        <stp>BDS|1528326856593276108</stp>
        <tr r="HW5" s="43"/>
      </tp>
      <tp t="e">
        <v>#N/A</v>
        <stp/>
        <stp>BDS|7253047965312565658</stp>
        <tr r="AT5" s="84"/>
      </tp>
      <tp t="e">
        <v>#N/A</v>
        <stp/>
        <stp>BDS|5946570703902901770</stp>
        <tr r="IQ5" s="109"/>
      </tp>
      <tp t="e">
        <v>#N/A</v>
        <stp/>
        <stp>BDS|6390463532830395476</stp>
        <tr r="JF5" s="39"/>
      </tp>
      <tp t="e">
        <v>#N/A</v>
        <stp/>
        <stp>BDS|4718695361705563498</stp>
        <tr r="Z5" s="112"/>
      </tp>
      <tp t="e">
        <v>#N/A</v>
        <stp/>
        <stp>BDS|7797319332682667012</stp>
        <tr r="HM5" s="36"/>
      </tp>
      <tp t="e">
        <v>#N/A</v>
        <stp/>
        <stp>BDS|4526917179336960973</stp>
        <tr r="KO5" s="39"/>
      </tp>
      <tp t="e">
        <v>#N/A</v>
        <stp/>
        <stp>BDS|2385516621778835889</stp>
        <tr r="HH5" s="66"/>
      </tp>
      <tp t="e">
        <v>#N/A</v>
        <stp/>
        <stp>BDS|8177736863278612441</stp>
        <tr r="FO5" s="14"/>
      </tp>
      <tp t="e">
        <v>#N/A</v>
        <stp/>
        <stp>BDS|3295502652236185021</stp>
        <tr r="KO5" s="68"/>
      </tp>
      <tp t="e">
        <v>#N/A</v>
        <stp/>
        <stp>BDS|8342594438078327322</stp>
        <tr r="K5" s="53"/>
      </tp>
      <tp t="e">
        <v>#N/A</v>
        <stp/>
        <stp>BDS|1036148942027289672</stp>
        <tr r="KO5" s="85"/>
      </tp>
      <tp t="e">
        <v>#N/A</v>
        <stp/>
        <stp>BDS|1281518637584319645</stp>
        <tr r="LS5" s="18"/>
      </tp>
      <tp t="e">
        <v>#N/A</v>
        <stp/>
        <stp>BDS|7138305405342064372</stp>
        <tr r="KO5" s="80"/>
      </tp>
      <tp t="e">
        <v>#N/A</v>
        <stp/>
        <stp>BDS|5319071339250757396</stp>
        <tr r="CR5" s="83"/>
      </tp>
      <tp t="e">
        <v>#N/A</v>
        <stp/>
        <stp>BDS|3650778254115488125</stp>
        <tr r="NQ5" s="76"/>
      </tp>
      <tp t="e">
        <v>#N/A</v>
        <stp/>
        <stp>BDS|4903088853125988186</stp>
        <tr r="FO5" s="109"/>
      </tp>
      <tp t="e">
        <v>#N/A</v>
        <stp/>
        <stp>BDS|8355991407630661483</stp>
        <tr r="FE5" s="1"/>
      </tp>
      <tp t="e">
        <v>#N/A</v>
        <stp/>
        <stp>BDS|2309198672023922210</stp>
        <tr r="NG5" s="71"/>
      </tp>
      <tp t="e">
        <v>#N/A</v>
        <stp/>
        <stp>BDS|2959698174372769433</stp>
        <tr r="FJ5" s="83"/>
      </tp>
      <tp t="e">
        <v>#N/A</v>
        <stp/>
        <stp>BDS|6646881586005988613</stp>
        <tr r="CM5" s="45"/>
      </tp>
      <tp t="e">
        <v>#N/A</v>
        <stp/>
        <stp>BDS|1568294337533217699</stp>
        <tr r="EA5" s="19"/>
      </tp>
      <tp t="e">
        <v>#N/A</v>
        <stp/>
        <stp>BDS|3490440135220659132</stp>
        <tr r="GN5" s="19"/>
      </tp>
      <tp t="e">
        <v>#N/A</v>
        <stp/>
        <stp>BDS|3166656374792037508</stp>
        <tr r="LD5" s="22"/>
      </tp>
      <tp t="e">
        <v>#N/A</v>
        <stp/>
        <stp>BDS|9576788818348421212</stp>
        <tr r="MR5" s="71"/>
      </tp>
      <tp t="e">
        <v>#N/A</v>
        <stp/>
        <stp>BDS|4981546539490729735</stp>
        <tr r="IL5" s="32"/>
      </tp>
      <tp t="e">
        <v>#N/A</v>
        <stp/>
        <stp>BDS|9294036389274836003</stp>
        <tr r="IL5" s="98"/>
      </tp>
      <tp t="e">
        <v>#N/A</v>
        <stp/>
        <stp>BDS|7385630160967140518</stp>
        <tr r="A5" s="77"/>
      </tp>
      <tp t="e">
        <v>#N/A</v>
        <stp/>
        <stp>BDS|5815342668481765432</stp>
        <tr r="EA5" s="66"/>
      </tp>
      <tp t="e">
        <v>#N/A</v>
        <stp/>
        <stp>BDS|1364887782260946407</stp>
        <tr r="MH5" s="108"/>
      </tp>
      <tp t="e">
        <v>#N/A</v>
        <stp/>
        <stp>BDS|6024624910127687349</stp>
        <tr r="JF5" s="72"/>
      </tp>
      <tp t="e">
        <v>#N/A</v>
        <stp/>
        <stp>BDS|6112622890224310807</stp>
        <tr r="EZ5" s="108"/>
      </tp>
      <tp t="e">
        <v>#N/A</v>
        <stp/>
        <stp>BDS|7134525736336640235</stp>
        <tr r="GD5" s="10"/>
      </tp>
      <tp t="e">
        <v>#N/A</v>
        <stp/>
        <stp>BDS|4636283928435613401</stp>
        <tr r="IG5" s="28"/>
      </tp>
      <tp t="e">
        <v>#N/A</v>
        <stp/>
        <stp>BDS|8335947056432426357</stp>
        <tr r="EF5" s="10"/>
      </tp>
      <tp t="e">
        <v>#N/A</v>
        <stp/>
        <stp>BDS|3696131184607624879</stp>
        <tr r="FE5" s="117"/>
      </tp>
      <tp t="e">
        <v>#N/A</v>
        <stp/>
        <stp>BDS|8008278590120113673</stp>
        <tr r="KT5" s="35"/>
      </tp>
      <tp t="e">
        <v>#N/A</v>
        <stp/>
        <stp>BDS|4086427982229101403</stp>
        <tr r="EZ5" s="111"/>
      </tp>
      <tp t="e">
        <v>#N/A</v>
        <stp/>
        <stp>BDS|3246601711799490864</stp>
        <tr r="F5" s="49"/>
      </tp>
      <tp t="e">
        <v>#N/A</v>
        <stp/>
        <stp>BDS|8065447580882570301</stp>
        <tr r="EP5" s="52"/>
      </tp>
      <tp t="e">
        <v>#N/A</v>
        <stp/>
        <stp>BDS|2108916677111014869</stp>
        <tr r="KO5" s="101"/>
      </tp>
      <tp t="e">
        <v>#N/A</v>
        <stp/>
        <stp>BDS|8848686051179372738</stp>
        <tr r="GS5" s="79"/>
      </tp>
      <tp t="e">
        <v>#N/A</v>
        <stp/>
        <stp>BDS|3463025065640419069</stp>
        <tr r="LS5" s="74"/>
      </tp>
      <tp t="e">
        <v>#N/A</v>
        <stp/>
        <stp>BDS|2904492866880288550</stp>
        <tr r="EP5" s="112"/>
      </tp>
      <tp t="e">
        <v>#N/A</v>
        <stp/>
        <stp>BDS|2269064375455751571</stp>
        <tr r="MM5" s="117"/>
      </tp>
      <tp t="e">
        <v>#N/A</v>
        <stp/>
        <stp>BDS|3085206746964468432</stp>
        <tr r="CC5" s="34"/>
      </tp>
      <tp t="e">
        <v>#N/A</v>
        <stp/>
        <stp>BDS|3994185529413802618</stp>
        <tr r="IL5" s="18"/>
      </tp>
      <tp t="e">
        <v>#N/A</v>
        <stp/>
        <stp>BDS|4948307757225938265</stp>
        <tr r="DV5" s="75"/>
      </tp>
      <tp t="e">
        <v>#N/A</v>
        <stp/>
        <stp>BDS|2016637454641747513</stp>
        <tr r="MW5" s="9"/>
      </tp>
      <tp t="e">
        <v>#N/A</v>
        <stp/>
        <stp>BDS|7546590348373153045</stp>
        <tr r="NG5" s="6"/>
      </tp>
      <tp t="e">
        <v>#N/A</v>
        <stp/>
        <stp>BDS|4653073269147003093</stp>
        <tr r="BS5" s="10"/>
      </tp>
      <tp t="e">
        <v>#N/A</v>
        <stp/>
        <stp>BDS|2405175137534554101</stp>
        <tr r="MR5" s="53"/>
      </tp>
      <tp t="e">
        <v>#N/A</v>
        <stp/>
        <stp>BDS|5173921686673661222</stp>
        <tr r="EK5" s="39"/>
      </tp>
      <tp t="e">
        <v>#N/A</v>
        <stp/>
        <stp>BDS|6945427668785197439</stp>
        <tr r="OA5" s="2"/>
      </tp>
      <tp t="e">
        <v>#N/A</v>
        <stp/>
        <stp>BDS|3666200540657731706</stp>
        <tr r="JU5" s="106"/>
      </tp>
      <tp t="e">
        <v>#N/A</v>
        <stp/>
        <stp>BDS|1975230411585503288</stp>
        <tr r="K5" s="44"/>
      </tp>
      <tp t="e">
        <v>#N/A</v>
        <stp/>
        <stp>BDS|3200684373214897374</stp>
        <tr r="CM5" s="29"/>
      </tp>
      <tp t="e">
        <v>#N/A</v>
        <stp/>
        <stp>BDS|5654634329075935139</stp>
        <tr r="CC5" s="103"/>
      </tp>
      <tp t="e">
        <v>#N/A</v>
        <stp/>
        <stp>BDS|9313006416169165428</stp>
        <tr r="JU5" s="72"/>
      </tp>
      <tp t="e">
        <v>#N/A</v>
        <stp/>
        <stp>BDS|7645013347582729418</stp>
        <tr r="CC5" s="112"/>
      </tp>
      <tp t="e">
        <v>#N/A</v>
        <stp/>
        <stp>BDS|2203403652543483526</stp>
        <tr r="CC5" s="90"/>
      </tp>
      <tp t="e">
        <v>#N/A</v>
        <stp/>
        <stp>BDS|7771507820945340025</stp>
        <tr r="JU5" s="59"/>
      </tp>
      <tp t="e">
        <v>#N/A</v>
        <stp/>
        <stp>BDS|3368515932205189577</stp>
        <tr r="LS5" s="46"/>
      </tp>
      <tp t="e">
        <v>#N/A</v>
        <stp/>
        <stp>BDS|4610371082769112349</stp>
        <tr r="LX5" s="105"/>
      </tp>
      <tp t="e">
        <v>#N/A</v>
        <stp/>
        <stp>BDS|3462263798815957857</stp>
        <tr r="BN5" s="9"/>
      </tp>
      <tp t="e">
        <v>#N/A</v>
        <stp/>
        <stp>BDS|2556766920247293577</stp>
        <tr r="JU5" s="100"/>
      </tp>
      <tp t="e">
        <v>#N/A</v>
        <stp/>
        <stp>BDS|7630838448228350681</stp>
        <tr r="JU5" s="86"/>
      </tp>
      <tp t="e">
        <v>#N/A</v>
        <stp/>
        <stp>BDS|5505969842555004871</stp>
        <tr r="FJ5" s="65"/>
      </tp>
      <tp t="e">
        <v>#N/A</v>
        <stp/>
        <stp>BDS|8184347963078711073</stp>
        <tr r="GS5" s="46"/>
      </tp>
      <tp t="e">
        <v>#N/A</v>
        <stp/>
        <stp>BDS|5359218574494981193</stp>
        <tr r="U5" s="48"/>
      </tp>
      <tp t="e">
        <v>#N/A</v>
        <stp/>
        <stp>BDS|9669307580303283428</stp>
        <tr r="NQ5" s="10"/>
      </tp>
      <tp t="e">
        <v>#N/A</v>
        <stp/>
        <stp>BDS|5654766123193577607</stp>
        <tr r="CM5" s="88"/>
      </tp>
      <tp t="e">
        <v>#N/A</v>
        <stp/>
        <stp>BDS|6504730206064277047</stp>
        <tr r="AO5" s="57"/>
      </tp>
      <tp t="e">
        <v>#N/A</v>
        <stp/>
        <stp>BDS|5090208726766310637</stp>
        <tr r="GX5" s="64"/>
      </tp>
      <tp t="e">
        <v>#N/A</v>
        <stp/>
        <stp>BDS|3481008973837892691</stp>
        <tr r="EK5" s="12"/>
      </tp>
      <tp t="e">
        <v>#N/A</v>
        <stp/>
        <stp>BDS|5423758107231014608</stp>
        <tr r="GX5" s="119"/>
      </tp>
      <tp t="e">
        <v>#N/A</v>
        <stp/>
        <stp>BDS|1643670444317490178</stp>
        <tr r="NL5" s="25"/>
      </tp>
      <tp t="e">
        <v>#N/A</v>
        <stp/>
        <stp>BDS|5897612578969019875</stp>
        <tr r="AO5" s="62"/>
      </tp>
      <tp t="e">
        <v>#N/A</v>
        <stp/>
        <stp>BDS|3640825130688556574</stp>
        <tr r="JF5" s="104"/>
      </tp>
      <tp t="e">
        <v>#N/A</v>
        <stp/>
        <stp>BDS|1135652781399056330</stp>
        <tr r="MR5" s="46"/>
      </tp>
      <tp t="e">
        <v>#N/A</v>
        <stp/>
        <stp>BDS|6233368519118381987</stp>
        <tr r="DQ5" s="37"/>
      </tp>
      <tp t="e">
        <v>#N/A</v>
        <stp/>
        <stp>BDS|6415273927140257303</stp>
        <tr r="IB5" s="20"/>
      </tp>
      <tp t="e">
        <v>#N/A</v>
        <stp/>
        <stp>BDS|7601365926877741463</stp>
        <tr r="BX5" s="73"/>
      </tp>
      <tp t="e">
        <v>#N/A</v>
        <stp/>
        <stp>BDS|8655903279976107594</stp>
        <tr r="KY5" s="20"/>
      </tp>
      <tp t="e">
        <v>#N/A</v>
        <stp/>
        <stp>BDS|4733719751274235723</stp>
        <tr r="AT5" s="31"/>
      </tp>
      <tp t="e">
        <v>#N/A</v>
        <stp/>
        <stp>BDS|7766446914954829383</stp>
        <tr r="JK5" s="3"/>
      </tp>
      <tp t="e">
        <v>#N/A</v>
        <stp/>
        <stp>BDS|1480878930878616721</stp>
        <tr r="IV5" s="32"/>
      </tp>
      <tp t="e">
        <v>#N/A</v>
        <stp/>
        <stp>BDS|7565973182384384746</stp>
        <tr r="F5" s="6"/>
      </tp>
      <tp t="e">
        <v>#N/A</v>
        <stp/>
        <stp>BDS|7891629110121882457</stp>
        <tr r="CC5" s="66"/>
      </tp>
      <tp t="e">
        <v>#N/A</v>
        <stp/>
        <stp>BDS|4956968895787833656</stp>
        <tr r="LN5" s="111"/>
      </tp>
      <tp t="e">
        <v>#N/A</v>
        <stp/>
        <stp>BDS|3742080361733954309</stp>
        <tr r="DV5" s="34"/>
      </tp>
      <tp t="e">
        <v>#N/A</v>
        <stp/>
        <stp>BDS|3070251360825338712</stp>
        <tr r="DL5" s="101"/>
      </tp>
      <tp t="e">
        <v>#N/A</v>
        <stp/>
        <stp>BDS|4800091336832679061</stp>
        <tr r="BN5" s="61"/>
      </tp>
      <tp t="e">
        <v>#N/A</v>
        <stp/>
        <stp>BDS|4959428826830209787</stp>
        <tr r="HM5" s="82"/>
      </tp>
      <tp t="e">
        <v>#N/A</v>
        <stp/>
        <stp>BDS|4231135501908540828</stp>
        <tr r="AO5" s="72"/>
      </tp>
      <tp t="e">
        <v>#N/A</v>
        <stp/>
        <stp>BDS|7071118735628739849</stp>
        <tr r="BX5" s="98"/>
      </tp>
      <tp t="e">
        <v>#N/A</v>
        <stp/>
        <stp>BDS|3431964621424030940</stp>
        <tr r="GS5" s="29"/>
      </tp>
      <tp t="e">
        <v>#N/A</v>
        <stp/>
        <stp>BDS|6261517524147850384</stp>
        <tr r="HR5" s="11"/>
      </tp>
      <tp t="e">
        <v>#N/A</v>
        <stp/>
        <stp>BDS|5629505158711045195</stp>
        <tr r="DL5" s="82"/>
      </tp>
      <tp t="e">
        <v>#N/A</v>
        <stp/>
        <stp>BDS|2511702023342348025</stp>
        <tr r="DB5" s="32"/>
      </tp>
      <tp t="e">
        <v>#N/A</v>
        <stp/>
        <stp>BDS|3144673527046545435</stp>
        <tr r="MC5" s="84"/>
      </tp>
      <tp t="e">
        <v>#N/A</v>
        <stp/>
        <stp>BDS|5292669302022335424</stp>
        <tr r="JA5" s="8"/>
      </tp>
      <tp t="e">
        <v>#N/A</v>
        <stp/>
        <stp>BDS|5800480222080214675</stp>
        <tr r="HW5" s="71"/>
      </tp>
      <tp t="e">
        <v>#N/A</v>
        <stp/>
        <stp>BDS|4231090659402668635</stp>
        <tr r="IV5" s="101"/>
      </tp>
      <tp t="e">
        <v>#N/A</v>
        <stp/>
        <stp>BDS|6767304027275282763</stp>
        <tr r="KY5" s="73"/>
      </tp>
      <tp t="e">
        <v>#N/A</v>
        <stp/>
        <stp>BDS|3242246100487250308</stp>
        <tr r="MR5" s="8"/>
      </tp>
      <tp t="e">
        <v>#N/A</v>
        <stp/>
        <stp>BDS|7295978670964726862</stp>
        <tr r="FO5" s="30"/>
      </tp>
      <tp t="e">
        <v>#N/A</v>
        <stp/>
        <stp>BDS|2068773817208495900</stp>
        <tr r="HM5" s="2"/>
      </tp>
      <tp t="e">
        <v>#N/A</v>
        <stp/>
        <stp>BDS|6227080987892912905</stp>
        <tr r="LN5" s="86"/>
      </tp>
      <tp t="e">
        <v>#N/A</v>
        <stp/>
        <stp>BDS|2431573734665397400</stp>
        <tr r="IQ5" s="38"/>
      </tp>
      <tp t="e">
        <v>#N/A</v>
        <stp/>
        <stp>BDS|5453003731980379325</stp>
        <tr r="HW5" s="12"/>
      </tp>
      <tp t="e">
        <v>#N/A</v>
        <stp/>
        <stp>BDS|6526872360825530836</stp>
        <tr r="JK5" s="114"/>
      </tp>
      <tp t="e">
        <v>#N/A</v>
        <stp/>
        <stp>BDS|8067582889965599509</stp>
        <tr r="EP5" s="115"/>
      </tp>
      <tp t="e">
        <v>#N/A</v>
        <stp/>
        <stp>BDS|1286828885195149106</stp>
        <tr r="HC5" s="70"/>
      </tp>
      <tp t="e">
        <v>#N/A</v>
        <stp/>
        <stp>BDS|5001240941114353227</stp>
        <tr r="MC5" s="85"/>
      </tp>
      <tp t="e">
        <v>#N/A</v>
        <stp/>
        <stp>BDS|2585442996222381800</stp>
        <tr r="IL5" s="67"/>
      </tp>
      <tp t="e">
        <v>#N/A</v>
        <stp/>
        <stp>BDS|1992616306894856623</stp>
        <tr r="JU5" s="66"/>
      </tp>
      <tp t="e">
        <v>#N/A</v>
        <stp/>
        <stp>BDS|7870390766293726446</stp>
        <tr r="FE5" s="103"/>
      </tp>
      <tp t="e">
        <v>#N/A</v>
        <stp/>
        <stp>BDS|6871434478431570126</stp>
        <tr r="AT5" s="36"/>
      </tp>
      <tp t="e">
        <v>#N/A</v>
        <stp/>
        <stp>BDS|9334014222136118851</stp>
        <tr r="LS5" s="73"/>
      </tp>
      <tp t="e">
        <v>#N/A</v>
        <stp/>
        <stp>BDS|4906612219544097259</stp>
        <tr r="DV5" s="6"/>
      </tp>
      <tp t="e">
        <v>#N/A</v>
        <stp/>
        <stp>BDS|4667034041905245028</stp>
        <tr r="GD5" s="3"/>
      </tp>
      <tp t="e">
        <v>#N/A</v>
        <stp/>
        <stp>BDS|2891713199280586917</stp>
        <tr r="FT5" s="13"/>
      </tp>
      <tp t="e">
        <v>#N/A</v>
        <stp/>
        <stp>BDS|5655575657083626346</stp>
        <tr r="NQ5" s="111"/>
      </tp>
      <tp t="e">
        <v>#N/A</v>
        <stp/>
        <stp>BDS|5085862894252741318</stp>
        <tr r="KE5" s="82"/>
      </tp>
      <tp t="e">
        <v>#N/A</v>
        <stp/>
        <stp>BDS|4767240629324798598</stp>
        <tr r="KT5" s="86"/>
      </tp>
      <tp t="e">
        <v>#N/A</v>
        <stp/>
        <stp>BDS|3630023603470665657</stp>
        <tr r="NG5" s="85"/>
      </tp>
      <tp t="e">
        <v>#N/A</v>
        <stp/>
        <stp>BDS|1324576106953186270</stp>
        <tr r="F5" s="5"/>
      </tp>
      <tp t="e">
        <v>#N/A</v>
        <stp/>
        <stp>BDS|9184900839855401385</stp>
        <tr r="NL5" s="94"/>
      </tp>
      <tp t="e">
        <v>#N/A</v>
        <stp/>
        <stp>BDS|3053725476074130208</stp>
        <tr r="EU5" s="109"/>
      </tp>
      <tp t="e">
        <v>#N/A</v>
        <stp/>
        <stp>BDS|6262023175133980797</stp>
        <tr r="JU5" s="67"/>
        <tr r="EK5" s="28"/>
      </tp>
      <tp t="e">
        <v>#N/A</v>
        <stp/>
        <stp>BDS|8888726999366544531</stp>
        <tr r="BS5" s="101"/>
      </tp>
      <tp t="e">
        <v>#N/A</v>
        <stp/>
        <stp>BDS|3630629836706063572</stp>
        <tr r="U5" s="122"/>
      </tp>
      <tp t="e">
        <v>#N/A</v>
        <stp/>
        <stp>BDS|5337708854364325614</stp>
        <tr r="HM5" s="43"/>
      </tp>
      <tp t="e">
        <v>#N/A</v>
        <stp/>
        <stp>BDS|8506848911842166648</stp>
        <tr r="KY5" s="111"/>
      </tp>
      <tp t="e">
        <v>#N/A</v>
        <stp/>
        <stp>BDS|5282340464677275256</stp>
        <tr r="EK5" s="77"/>
      </tp>
      <tp t="e">
        <v>#N/A</v>
        <stp/>
        <stp>BDS|4206053647551584401</stp>
        <tr r="JA5" s="58"/>
      </tp>
      <tp t="e">
        <v>#N/A</v>
        <stp/>
        <stp>BDS|2134645820887129413</stp>
        <tr r="HC5" s="84"/>
      </tp>
      <tp t="e">
        <v>#N/A</v>
        <stp/>
        <stp>BDS|8891007749379774037</stp>
        <tr r="OA5" s="7"/>
      </tp>
      <tp t="e">
        <v>#N/A</v>
        <stp/>
        <stp>BDS|5198761528512297789</stp>
        <tr r="MM5" s="113"/>
      </tp>
      <tp t="e">
        <v>#N/A</v>
        <stp/>
        <stp>BDS|1671703043415468244</stp>
        <tr r="F5" s="112"/>
      </tp>
      <tp t="e">
        <v>#N/A</v>
        <stp/>
        <stp>BDS|5799335867873331654</stp>
        <tr r="JF5" s="47"/>
      </tp>
      <tp t="e">
        <v>#N/A</v>
        <stp/>
        <stp>BDS|3264326475502840082</stp>
        <tr r="AT5" s="117"/>
      </tp>
      <tp t="e">
        <v>#N/A</v>
        <stp/>
        <stp>BDS|4439592358766920797</stp>
        <tr r="NQ5" s="92"/>
      </tp>
      <tp t="e">
        <v>#N/A</v>
        <stp/>
        <stp>BDS|1293078112752200706</stp>
        <tr r="K5" s="60"/>
      </tp>
      <tp t="e">
        <v>#N/A</v>
        <stp/>
        <stp>BDS|6776838667104017968</stp>
        <tr r="HH5" s="99"/>
      </tp>
      <tp t="e">
        <v>#N/A</v>
        <stp/>
        <stp>BDS|2493375164190085221</stp>
        <tr r="F5" s="68"/>
      </tp>
      <tp t="e">
        <v>#N/A</v>
        <stp/>
        <stp>BDS|8067424668498618792</stp>
        <tr r="MR5" s="41"/>
      </tp>
      <tp t="e">
        <v>#N/A</v>
        <stp/>
        <stp>BDS|6572588421465432223</stp>
        <tr r="NV5" s="52"/>
      </tp>
      <tp t="e">
        <v>#N/A</v>
        <stp/>
        <stp>BDS|1712795158087978258</stp>
        <tr r="U5" s="17"/>
      </tp>
      <tp t="e">
        <v>#N/A</v>
        <stp/>
        <stp>BDS|7271999091575637460</stp>
        <tr r="CC5" s="16"/>
      </tp>
      <tp t="e">
        <v>#N/A</v>
        <stp/>
        <stp>BDS|9333733818418396115</stp>
        <tr r="HM5" s="94"/>
      </tp>
      <tp t="e">
        <v>#N/A</v>
        <stp/>
        <stp>BDS|3695013133570926673</stp>
        <tr r="NG5" s="14"/>
      </tp>
      <tp t="e">
        <v>#N/A</v>
        <stp/>
        <stp>BDS|1976533257877119063</stp>
        <tr r="HW5" s="96"/>
      </tp>
      <tp t="e">
        <v>#N/A</v>
        <stp/>
        <stp>BDS|1474298340460740100</stp>
        <tr r="BS5" s="8"/>
      </tp>
      <tp t="e">
        <v>#N/A</v>
        <stp/>
        <stp>BDS|3996553163645415310</stp>
        <tr r="EZ5" s="31"/>
      </tp>
      <tp t="e">
        <v>#N/A</v>
        <stp/>
        <stp>BDS|1735291606851569471</stp>
        <tr r="NV5" s="25"/>
      </tp>
      <tp t="e">
        <v>#N/A</v>
        <stp/>
        <stp>BDS|4132749915945358194</stp>
        <tr r="HM5" s="22"/>
      </tp>
      <tp t="e">
        <v>#N/A</v>
        <stp/>
        <stp>BDS|5521903632651567882</stp>
        <tr r="KO5" s="9"/>
      </tp>
      <tp t="e">
        <v>#N/A</v>
        <stp/>
        <stp>BDS|3254027377202547087</stp>
        <tr r="U5" s="47"/>
      </tp>
      <tp t="e">
        <v>#N/A</v>
        <stp/>
        <stp>BDS|7774512262232608084</stp>
        <tr r="JU5" s="52"/>
      </tp>
      <tp t="e">
        <v>#N/A</v>
        <stp/>
        <stp>BDS|9931920954576033555</stp>
        <tr r="K5" s="107"/>
      </tp>
      <tp t="e">
        <v>#N/A</v>
        <stp/>
        <stp>BDS|5776571220955977139</stp>
        <tr r="FE5" s="101"/>
      </tp>
      <tp t="e">
        <v>#N/A</v>
        <stp/>
        <stp>BDS|6839120574774523217</stp>
        <tr r="KO5" s="5"/>
      </tp>
      <tp t="e">
        <v>#N/A</v>
        <stp/>
        <stp>BDS|7047655571932980274</stp>
        <tr r="EK5" s="111"/>
      </tp>
      <tp t="e">
        <v>#N/A</v>
        <stp/>
        <stp>BDS|1327465276532877610</stp>
        <tr r="A5" s="50"/>
      </tp>
      <tp t="e">
        <v>#N/A</v>
        <stp/>
        <stp>BDS|5735456765413819255</stp>
        <tr r="OA5" s="83"/>
      </tp>
      <tp t="e">
        <v>#N/A</v>
        <stp/>
        <stp>BDS|7133042537626092491</stp>
        <tr r="EU5" s="85"/>
      </tp>
      <tp t="e">
        <v>#N/A</v>
        <stp/>
        <stp>BDS|7934096448920316501</stp>
        <tr r="HW5" s="67"/>
      </tp>
      <tp t="e">
        <v>#N/A</v>
        <stp/>
        <stp>BDS|7291739944622978072</stp>
        <tr r="EK5" s="52"/>
      </tp>
      <tp t="e">
        <v>#N/A</v>
        <stp/>
        <stp>BDS|2942720377642098678</stp>
        <tr r="MC5" s="77"/>
      </tp>
      <tp t="e">
        <v>#N/A</v>
        <stp/>
        <stp>BDS|7858881487485954455</stp>
        <tr r="FT5" s="90"/>
      </tp>
      <tp t="e">
        <v>#N/A</v>
        <stp/>
        <stp>BDS|4059441164510304081</stp>
        <tr r="KO5" s="55"/>
      </tp>
      <tp t="e">
        <v>#N/A</v>
        <stp/>
        <stp>BDS|3848297841232266196</stp>
        <tr r="AE5" s="30"/>
      </tp>
      <tp t="e">
        <v>#N/A</v>
        <stp/>
        <stp>BDS|1909212981415190839</stp>
        <tr r="EK5" s="110"/>
      </tp>
      <tp t="e">
        <v>#N/A</v>
        <stp/>
        <stp>BDS|8731165183431158680</stp>
        <tr r="IB5" s="17"/>
      </tp>
      <tp t="e">
        <v>#N/A</v>
        <stp/>
        <stp>BDS|3714141950024064582</stp>
        <tr r="LN5" s="47"/>
      </tp>
      <tp t="e">
        <v>#N/A</v>
        <stp/>
        <stp>BDS|5778456919011369732</stp>
        <tr r="KE5" s="90"/>
      </tp>
      <tp t="e">
        <v>#N/A</v>
        <stp/>
        <stp>BDS|8322860257895182687</stp>
        <tr r="FY5" s="106"/>
      </tp>
      <tp t="e">
        <v>#N/A</v>
        <stp/>
        <stp>BDS|5539615740988526996</stp>
        <tr r="A5" s="99"/>
      </tp>
      <tp t="e">
        <v>#N/A</v>
        <stp/>
        <stp>BDS|3985186738765089219</stp>
        <tr r="GI5" s="35"/>
      </tp>
      <tp t="e">
        <v>#N/A</v>
        <stp/>
        <stp>BDS|8015280543390249818</stp>
        <tr r="IV5" s="121"/>
      </tp>
      <tp t="e">
        <v>#N/A</v>
        <stp/>
        <stp>BDS|2768316967894034595</stp>
        <tr r="LN5" s="73"/>
      </tp>
      <tp t="e">
        <v>#N/A</v>
        <stp/>
        <stp>BDS|3440342669666996685</stp>
        <tr r="NB5" s="41"/>
      </tp>
      <tp t="e">
        <v>#N/A</v>
        <stp/>
        <stp>BDS|4438049803745835732</stp>
        <tr r="EZ5" s="121"/>
      </tp>
      <tp t="e">
        <v>#N/A</v>
        <stp/>
        <stp>BDS|2818595468516492154</stp>
        <tr r="IQ5" s="83"/>
      </tp>
      <tp t="e">
        <v>#N/A</v>
        <stp/>
        <stp>BDS|7691686796638240620</stp>
        <tr r="FY5" s="114"/>
      </tp>
      <tp t="e">
        <v>#N/A</v>
        <stp/>
        <stp>BDS|7626065099028439057</stp>
        <tr r="AO5" s="46"/>
      </tp>
      <tp t="e">
        <v>#N/A</v>
        <stp/>
        <stp>BDS|5479574358806439578</stp>
        <tr r="NG5" s="56"/>
      </tp>
      <tp t="e">
        <v>#N/A</v>
        <stp/>
        <stp>BDS|6819435796218640534</stp>
        <tr r="NB5" s="33"/>
      </tp>
      <tp t="e">
        <v>#N/A</v>
        <stp/>
        <stp>BDS|3776082764851492273</stp>
        <tr r="F5" s="72"/>
      </tp>
      <tp t="e">
        <v>#N/A</v>
        <stp/>
        <stp>BDS|9077268092285422188</stp>
        <tr r="FY5" s="68"/>
      </tp>
      <tp t="e">
        <v>#N/A</v>
        <stp/>
        <stp>BDS|7937464233460306677</stp>
        <tr r="NV5" s="54"/>
      </tp>
      <tp t="e">
        <v>#N/A</v>
        <stp/>
        <stp>BDS|1028601711766851615</stp>
        <tr r="MW5" s="114"/>
      </tp>
      <tp t="e">
        <v>#N/A</v>
        <stp/>
        <stp>BDS|4349101096642825855</stp>
        <tr r="GX5" s="45"/>
      </tp>
      <tp t="e">
        <v>#N/A</v>
        <stp/>
        <stp>BDS|9986745023892655805</stp>
        <tr r="AE5" s="5"/>
      </tp>
      <tp t="e">
        <v>#N/A</v>
        <stp/>
        <stp>BDS|3814026836550004659</stp>
        <tr r="LS5" s="1"/>
      </tp>
      <tp t="e">
        <v>#N/A</v>
        <stp/>
        <stp>BDS|4489966268829503468</stp>
        <tr r="HM5" s="55"/>
      </tp>
      <tp t="e">
        <v>#N/A</v>
        <stp/>
        <stp>BDS|3332918250128973122</stp>
        <tr r="LI5" s="27"/>
      </tp>
      <tp t="e">
        <v>#N/A</v>
        <stp/>
        <stp>BDS|5168742870735572699</stp>
        <tr r="AO5" s="1"/>
      </tp>
      <tp t="e">
        <v>#N/A</v>
        <stp/>
        <stp>BDS|3712034859963277366</stp>
        <tr r="LD5" s="39"/>
      </tp>
      <tp t="e">
        <v>#N/A</v>
        <stp/>
        <stp>BDS|5572206106543903237</stp>
        <tr r="JP5" s="56"/>
      </tp>
      <tp t="e">
        <v>#N/A</v>
        <stp/>
        <stp>BDS|7191421218443370718</stp>
        <tr r="GX5" s="108"/>
      </tp>
      <tp t="e">
        <v>#N/A</v>
        <stp/>
        <stp>BDS|9152191797041674603</stp>
        <tr r="NV5" s="70"/>
      </tp>
      <tp t="e">
        <v>#N/A</v>
        <stp/>
        <stp>BDS|6203754214095929336</stp>
        <tr r="DQ5" s="46"/>
      </tp>
      <tp t="e">
        <v>#N/A</v>
        <stp/>
        <stp>BDS|7823521956949421818</stp>
        <tr r="HR5" s="37"/>
      </tp>
      <tp t="e">
        <v>#N/A</v>
        <stp/>
        <stp>BDS|6374576378152663030</stp>
        <tr r="EP5" s="37"/>
      </tp>
      <tp t="e">
        <v>#N/A</v>
        <stp/>
        <stp>BDS|2104359269100764138</stp>
        <tr r="BX5" s="45"/>
      </tp>
      <tp t="e">
        <v>#N/A</v>
        <stp/>
        <stp>BDS|1411773100711943136</stp>
        <tr r="KY5" s="115"/>
      </tp>
      <tp t="e">
        <v>#N/A</v>
        <stp/>
        <stp>BDS|6093509192958850438</stp>
        <tr r="NL5" s="30"/>
      </tp>
      <tp t="e">
        <v>#N/A</v>
        <stp/>
        <stp>BDS|6938107425226530501</stp>
        <tr r="MW5" s="59"/>
      </tp>
      <tp t="e">
        <v>#N/A</v>
        <stp/>
        <stp>BDS|1076052482149864667</stp>
        <tr r="LN5" s="103"/>
      </tp>
      <tp t="e">
        <v>#N/A</v>
        <stp/>
        <stp>BDS|4263317524977175485</stp>
        <tr r="U5" s="11"/>
      </tp>
      <tp t="e">
        <v>#N/A</v>
        <stp/>
        <stp>BDS|1827183630953733690</stp>
        <tr r="KO5" s="18"/>
      </tp>
      <tp t="e">
        <v>#N/A</v>
        <stp/>
        <stp>BDS|5319278650580925437</stp>
        <tr r="K5" s="45"/>
      </tp>
      <tp t="e">
        <v>#N/A</v>
        <stp/>
        <stp>BDS|5936952900802707850</stp>
        <tr r="BI5" s="84"/>
      </tp>
      <tp t="e">
        <v>#N/A</v>
        <stp/>
        <stp>BDS|9193931943192672090</stp>
        <tr r="NG5" s="40"/>
      </tp>
      <tp t="e">
        <v>#N/A</v>
        <stp/>
        <stp>BDS|9875662654134393873</stp>
        <tr r="JA5" s="108"/>
      </tp>
      <tp t="e">
        <v>#N/A</v>
        <stp/>
        <stp>BDS|5526862789640326378</stp>
        <tr r="EZ5" s="45"/>
      </tp>
      <tp t="e">
        <v>#N/A</v>
        <stp/>
        <stp>BDS|7100829358558575407</stp>
        <tr r="K5" s="99"/>
      </tp>
      <tp t="e">
        <v>#N/A</v>
        <stp/>
        <stp>BDS|7677299127021648006</stp>
        <tr r="BD5" s="94"/>
        <tr r="DL5" s="52"/>
      </tp>
      <tp t="e">
        <v>#N/A</v>
        <stp/>
        <stp>BDS|8453898717185786239</stp>
        <tr r="Z5" s="52"/>
      </tp>
      <tp t="e">
        <v>#N/A</v>
        <stp/>
        <stp>BDS|3332426457462916610</stp>
        <tr r="BI5" s="40"/>
      </tp>
      <tp t="e">
        <v>#N/A</v>
        <stp/>
        <stp>BDS|1759948548869425317</stp>
        <tr r="FE5" s="89"/>
      </tp>
      <tp t="e">
        <v>#N/A</v>
        <stp/>
        <stp>BDS|5952076825717720626</stp>
        <tr r="FJ5" s="119"/>
      </tp>
      <tp t="e">
        <v>#N/A</v>
        <stp/>
        <stp>BDS|1012726847674280098</stp>
        <tr r="MR5" s="57"/>
      </tp>
      <tp t="e">
        <v>#N/A</v>
        <stp/>
        <stp>BDS|3958556035271221255</stp>
        <tr r="AO5" s="85"/>
      </tp>
      <tp t="e">
        <v>#N/A</v>
        <stp/>
        <stp>BDS|4881068331388038917</stp>
        <tr r="EF5" s="116"/>
      </tp>
      <tp t="e">
        <v>#N/A</v>
        <stp/>
        <stp>BDS|7080665720045929018</stp>
        <tr r="AY5" s="1"/>
      </tp>
      <tp t="e">
        <v>#N/A</v>
        <stp/>
        <stp>BDS|9570707537643448887</stp>
        <tr r="HW5" s="121"/>
      </tp>
      <tp t="e">
        <v>#N/A</v>
        <stp/>
        <stp>BDS|7309747761061873105</stp>
        <tr r="KT5" s="5"/>
      </tp>
      <tp t="e">
        <v>#N/A</v>
        <stp/>
        <stp>BDS|1894656491520133822</stp>
        <tr r="EZ5" s="56"/>
      </tp>
      <tp t="e">
        <v>#N/A</v>
        <stp/>
        <stp>BDS|4498387356640498419</stp>
        <tr r="P5" s="73"/>
      </tp>
      <tp t="e">
        <v>#N/A</v>
        <stp/>
        <stp>BDS|6532191402835233435</stp>
        <tr r="FE5" s="122"/>
      </tp>
      <tp t="e">
        <v>#N/A</v>
        <stp/>
        <stp>BDS|2799689975951554401</stp>
        <tr r="EZ5" s="117"/>
      </tp>
      <tp t="e">
        <v>#N/A</v>
        <stp/>
        <stp>BDS|7552916799481395013</stp>
        <tr r="KO5" s="110"/>
      </tp>
      <tp t="e">
        <v>#N/A</v>
        <stp/>
        <stp>BDS|7560236784953935848</stp>
        <tr r="MM5" s="93"/>
      </tp>
      <tp t="e">
        <v>#N/A</v>
        <stp/>
        <stp>BDS|1268635619333634311</stp>
        <tr r="LS5" s="53"/>
      </tp>
      <tp t="e">
        <v>#N/A</v>
        <stp/>
        <stp>BDS|9108717796964847519</stp>
        <tr r="NG5" s="93"/>
      </tp>
      <tp t="e">
        <v>#N/A</v>
        <stp/>
        <stp>BDS|6826231078646810344</stp>
        <tr r="LI5" s="23"/>
      </tp>
      <tp t="e">
        <v>#N/A</v>
        <stp/>
        <stp>BDS|7969454316532243673</stp>
        <tr r="CR5" s="32"/>
      </tp>
      <tp t="e">
        <v>#N/A</v>
        <stp/>
        <stp>BDS|7235767886547855952</stp>
        <tr r="LD5" s="50"/>
      </tp>
      <tp t="e">
        <v>#N/A</v>
        <stp/>
        <stp>BDS|3791209528453218623</stp>
        <tr r="JA5" s="55"/>
      </tp>
      <tp t="e">
        <v>#N/A</v>
        <stp/>
        <stp>BDS|6151895894898285914</stp>
        <tr r="DL5" s="49"/>
      </tp>
      <tp t="e">
        <v>#N/A</v>
        <stp/>
        <stp>BDS|4755799470956574447</stp>
        <tr r="GD5" s="122"/>
      </tp>
      <tp t="e">
        <v>#N/A</v>
        <stp/>
        <stp>BDS|8436331639807369929</stp>
        <tr r="JU5" s="121"/>
      </tp>
      <tp t="e">
        <v>#N/A</v>
        <stp/>
        <stp>BDS|9077940279819237837</stp>
        <tr r="KJ5" s="119"/>
      </tp>
      <tp t="e">
        <v>#N/A</v>
        <stp/>
        <stp>BDS|5442521169043256318</stp>
        <tr r="HW5" s="78"/>
      </tp>
      <tp t="e">
        <v>#N/A</v>
        <stp/>
        <stp>BDS|7873371780818528264</stp>
        <tr r="DG5" s="24"/>
      </tp>
      <tp t="e">
        <v>#N/A</v>
        <stp/>
        <stp>BDS|2150160744691734088</stp>
        <tr r="JK5" s="13"/>
      </tp>
      <tp t="e">
        <v>#N/A</v>
        <stp/>
        <stp>BDS|4927727172306375468</stp>
        <tr r="BD5" s="47"/>
      </tp>
      <tp t="e">
        <v>#N/A</v>
        <stp/>
        <stp>BDS|8101752536849749397</stp>
        <tr r="DV5" s="105"/>
      </tp>
      <tp t="e">
        <v>#N/A</v>
        <stp/>
        <stp>BDS|1882642579022171483</stp>
        <tr r="IQ5" s="48"/>
      </tp>
      <tp t="e">
        <v>#N/A</v>
        <stp/>
        <stp>BDS|8821621390059790814</stp>
        <tr r="JU5" s="110"/>
      </tp>
      <tp t="e">
        <v>#N/A</v>
        <stp/>
        <stp>BDS|2602799326365625436</stp>
        <tr r="KE5" s="51"/>
      </tp>
      <tp t="e">
        <v>#N/A</v>
        <stp/>
        <stp>BDS|9619643908641099863</stp>
        <tr r="GI5" s="105"/>
      </tp>
      <tp t="e">
        <v>#N/A</v>
        <stp/>
        <stp>BDS|7364699404387502072</stp>
        <tr r="AT5" s="95"/>
      </tp>
      <tp t="e">
        <v>#N/A</v>
        <stp/>
        <stp>BDS|1887481049662444514</stp>
        <tr r="EK5" s="98"/>
      </tp>
      <tp t="e">
        <v>#N/A</v>
        <stp/>
        <stp>BDS|2152298142606162472</stp>
        <tr r="EK5" s="22"/>
      </tp>
      <tp t="e">
        <v>#N/A</v>
        <stp/>
        <stp>BDS|5286381655532170724</stp>
        <tr r="GD5" s="42"/>
      </tp>
      <tp t="e">
        <v>#N/A</v>
        <stp/>
        <stp>BDS|2469234340796216498</stp>
        <tr r="P5" s="115"/>
      </tp>
      <tp t="e">
        <v>#N/A</v>
        <stp/>
        <stp>BDS|7685351268140224456</stp>
        <tr r="KY5" s="18"/>
      </tp>
      <tp t="e">
        <v>#N/A</v>
        <stp/>
        <stp>BDS|5660582571802496379</stp>
        <tr r="GI5" s="87"/>
      </tp>
      <tp t="e">
        <v>#N/A</v>
        <stp/>
        <stp>BDS|9975594559729598601</stp>
        <tr r="NB5" s="53"/>
      </tp>
      <tp t="e">
        <v>#N/A</v>
        <stp/>
        <stp>BDS|2990474043536644271</stp>
        <tr r="IL5" s="86"/>
      </tp>
      <tp t="e">
        <v>#N/A</v>
        <stp/>
        <stp>BDS|6958327835897721755</stp>
        <tr r="EP5" s="85"/>
      </tp>
      <tp t="e">
        <v>#N/A</v>
        <stp/>
        <stp>BDS|1301886017877481944</stp>
        <tr r="IG5" s="123"/>
      </tp>
      <tp t="e">
        <v>#N/A</v>
        <stp/>
        <stp>BDS|1277045648743128035</stp>
        <tr r="DV5" s="61"/>
      </tp>
      <tp t="e">
        <v>#N/A</v>
        <stp/>
        <stp>BDS|6246689546903562151</stp>
        <tr r="GD5" s="120"/>
      </tp>
      <tp t="e">
        <v>#N/A</v>
        <stp/>
        <stp>BDS|7975799374036183796</stp>
        <tr r="IQ5" s="87"/>
      </tp>
      <tp t="e">
        <v>#N/A</v>
        <stp/>
        <stp>BDS|6918431202683652722</stp>
        <tr r="JP5" s="116"/>
      </tp>
      <tp t="e">
        <v>#N/A</v>
        <stp/>
        <stp>BDS|5852537327634341036</stp>
        <tr r="F5" s="56"/>
      </tp>
      <tp t="e">
        <v>#N/A</v>
        <stp/>
        <stp>BDS|3127254745285574685</stp>
        <tr r="JA5" s="63"/>
      </tp>
      <tp t="e">
        <v>#N/A</v>
        <stp/>
        <stp>BDS|6300236359175339263</stp>
        <tr r="FE5" s="12"/>
      </tp>
      <tp t="e">
        <v>#N/A</v>
        <stp/>
        <stp>BDS|2131577637844995641</stp>
        <tr r="GN5" s="95"/>
      </tp>
      <tp t="e">
        <v>#N/A</v>
        <stp/>
        <stp>BDS|2510417904244454485</stp>
        <tr r="MR5" s="99"/>
      </tp>
      <tp t="e">
        <v>#N/A</v>
        <stp/>
        <stp>BDS|3868794016162835135</stp>
        <tr r="A5" s="76"/>
      </tp>
      <tp t="e">
        <v>#N/A</v>
        <stp/>
        <stp>BDS|5272004941260827769</stp>
        <tr r="IB5" s="83"/>
      </tp>
      <tp t="e">
        <v>#N/A</v>
        <stp/>
        <stp>BDS|2644539739113226135</stp>
        <tr r="BN5" s="8"/>
      </tp>
      <tp t="e">
        <v>#N/A</v>
        <stp/>
        <stp>BDS|1655562148834224274</stp>
        <tr r="JP5" s="70"/>
      </tp>
      <tp t="e">
        <v>#N/A</v>
        <stp/>
        <stp>BDS|6011057719060922188</stp>
        <tr r="EA5" s="124"/>
      </tp>
      <tp t="e">
        <v>#N/A</v>
        <stp/>
        <stp>BDS|7704861292575618589</stp>
        <tr r="EP5" s="26"/>
      </tp>
      <tp t="e">
        <v>#N/A</v>
        <stp/>
        <stp>BDS|7468719729421319527</stp>
        <tr r="AY5" s="14"/>
      </tp>
      <tp t="e">
        <v>#N/A</v>
        <stp/>
        <stp>BDS|2376125962961663280</stp>
        <tr r="KE5" s="28"/>
      </tp>
      <tp t="e">
        <v>#N/A</v>
        <stp/>
        <stp>BDS|2827211541220517203</stp>
        <tr r="AJ5" s="120"/>
      </tp>
      <tp t="e">
        <v>#N/A</v>
        <stp/>
        <stp>BDS|4236330516114395498</stp>
        <tr r="NG5" s="25"/>
      </tp>
      <tp t="e">
        <v>#N/A</v>
        <stp/>
        <stp>BDS|4803020907751927396</stp>
        <tr r="EU5" s="38"/>
      </tp>
      <tp t="e">
        <v>#N/A</v>
        <stp/>
        <stp>BDS|2192521868580485725</stp>
        <tr r="NG5" s="50"/>
      </tp>
      <tp t="e">
        <v>#N/A</v>
        <stp/>
        <stp>BDS|4578304033124341680</stp>
        <tr r="DV5" s="85"/>
      </tp>
      <tp t="e">
        <v>#N/A</v>
        <stp/>
        <stp>BDS|3312448356610507498</stp>
        <tr r="HH5" s="102"/>
      </tp>
      <tp t="e">
        <v>#N/A</v>
        <stp/>
        <stp>BDS|7518380761126853292</stp>
        <tr r="LI5" s="60"/>
      </tp>
      <tp t="e">
        <v>#N/A</v>
        <stp/>
        <stp>BDS|9900764287605046552</stp>
        <tr r="GI5" s="31"/>
      </tp>
      <tp t="e">
        <v>#N/A</v>
        <stp/>
        <stp>BDS|3651476387361589812</stp>
        <tr r="IL5" s="71"/>
      </tp>
      <tp t="e">
        <v>#N/A</v>
        <stp/>
        <stp>BDS|9299426354017504935</stp>
        <tr r="LD5" s="124"/>
      </tp>
      <tp t="e">
        <v>#N/A</v>
        <stp/>
        <stp>BDS|6912265628657096753</stp>
        <tr r="DQ5" s="32"/>
      </tp>
      <tp t="e">
        <v>#N/A</v>
        <stp/>
        <stp>BDS|5680053224780350161</stp>
        <tr r="IQ5" s="104"/>
      </tp>
      <tp t="e">
        <v>#N/A</v>
        <stp/>
        <stp>BDS|9879246432229989752</stp>
        <tr r="MW5" s="3"/>
      </tp>
      <tp t="e">
        <v>#N/A</v>
        <stp/>
        <stp>BDS|9105995773874807514</stp>
        <tr r="KO5" s="54"/>
      </tp>
      <tp t="e">
        <v>#N/A</v>
        <stp/>
        <stp>BDS|3299895696902796685</stp>
        <tr r="DL5" s="64"/>
      </tp>
      <tp t="e">
        <v>#N/A</v>
        <stp/>
        <stp>BDS|6201543299504402898</stp>
        <tr r="HH5" s="36"/>
      </tp>
      <tp t="e">
        <v>#N/A</v>
        <stp/>
        <stp>BDS|5488648507512194742</stp>
        <tr r="GI5" s="63"/>
      </tp>
      <tp t="e">
        <v>#N/A</v>
        <stp/>
        <stp>BDS|6087260958002425584</stp>
        <tr r="CM5" s="5"/>
      </tp>
      <tp t="e">
        <v>#N/A</v>
        <stp/>
        <stp>BDS|4491435139166834342</stp>
        <tr r="JK5" s="76"/>
      </tp>
      <tp t="e">
        <v>#N/A</v>
        <stp/>
        <stp>BDS|8534263883772490663</stp>
        <tr r="LN5" s="61"/>
      </tp>
      <tp t="e">
        <v>#N/A</v>
        <stp/>
        <stp>BDS|5481023423964695519</stp>
        <tr r="NB5" s="94"/>
      </tp>
      <tp t="e">
        <v>#N/A</v>
        <stp/>
        <stp>BDS|9560111619798779785</stp>
        <tr r="NQ5" s="102"/>
      </tp>
      <tp t="e">
        <v>#N/A</v>
        <stp/>
        <stp>BDS|3058880357240525887</stp>
        <tr r="GN5" s="31"/>
      </tp>
      <tp t="e">
        <v>#N/A</v>
        <stp/>
        <stp>BDS|8941146944918288390</stp>
        <tr r="LN5" s="102"/>
      </tp>
      <tp t="e">
        <v>#N/A</v>
        <stp/>
        <stp>BDS|8249390726189768680</stp>
        <tr r="HR5" s="98"/>
      </tp>
      <tp t="e">
        <v>#N/A</v>
        <stp/>
        <stp>BDS|4097487664784809468</stp>
        <tr r="HC5" s="86"/>
      </tp>
      <tp t="e">
        <v>#N/A</v>
        <stp/>
        <stp>BDS|6443569662072081123</stp>
        <tr r="EF5" s="28"/>
      </tp>
      <tp t="e">
        <v>#N/A</v>
        <stp/>
        <stp>BDS|2874898874063607819</stp>
        <tr r="JZ5" s="105"/>
      </tp>
      <tp t="e">
        <v>#N/A</v>
        <stp/>
        <stp>BDS|3754619405143236039</stp>
        <tr r="AE5" s="68"/>
      </tp>
      <tp t="e">
        <v>#N/A</v>
        <stp/>
        <stp>BDS|4155460912070421733</stp>
        <tr r="BI5" s="89"/>
      </tp>
      <tp t="e">
        <v>#N/A</v>
        <stp/>
        <stp>BDS|9743270137067350964</stp>
        <tr r="HH5" s="79"/>
      </tp>
      <tp t="e">
        <v>#N/A</v>
        <stp/>
        <stp>BDS|4499487948351475330</stp>
        <tr r="EF5" s="59"/>
      </tp>
      <tp t="e">
        <v>#N/A</v>
        <stp/>
        <stp>BDS|2095267764546958684</stp>
        <tr r="DG5" s="31"/>
      </tp>
      <tp t="e">
        <v>#N/A</v>
        <stp/>
        <stp>BDS|1291346716056532367</stp>
        <tr r="FT5" s="15"/>
      </tp>
      <tp t="e">
        <v>#N/A</v>
        <stp/>
        <stp>BDS|8400904997209191714</stp>
        <tr r="CW5" s="123"/>
      </tp>
      <tp t="e">
        <v>#N/A</v>
        <stp/>
        <stp>BDS|3613448985201541817</stp>
        <tr r="AY5" s="83"/>
      </tp>
      <tp t="e">
        <v>#N/A</v>
        <stp/>
        <stp>BDS|7495555202615621161</stp>
        <tr r="MC5" s="7"/>
      </tp>
      <tp t="e">
        <v>#N/A</v>
        <stp/>
        <stp>BDS|4578316593299641129</stp>
        <tr r="NL5" s="47"/>
      </tp>
      <tp t="e">
        <v>#N/A</v>
        <stp/>
        <stp>BDS|5764747054473133258</stp>
        <tr r="HH5" s="40"/>
      </tp>
      <tp t="e">
        <v>#N/A</v>
        <stp/>
        <stp>BDS|3719789269730211470</stp>
        <tr r="NB5" s="25"/>
      </tp>
      <tp t="e">
        <v>#N/A</v>
        <stp/>
        <stp>BDS|5045254542716514319</stp>
        <tr r="BD5" s="6"/>
      </tp>
      <tp t="e">
        <v>#N/A</v>
        <stp/>
        <stp>BDS|3019501270046775148</stp>
        <tr r="LN5" s="31"/>
      </tp>
      <tp t="e">
        <v>#N/A</v>
        <stp/>
        <stp>BDS|8472875524973773730</stp>
        <tr r="LS5" s="71"/>
        <tr r="FY5" s="64"/>
        <tr r="K5" s="25"/>
      </tp>
      <tp t="e">
        <v>#N/A</v>
        <stp/>
        <stp>BDS|1933546230935999479</stp>
        <tr r="DV5" s="17"/>
      </tp>
      <tp t="e">
        <v>#N/A</v>
        <stp/>
        <stp>BDS|1205048602637552026</stp>
        <tr r="KJ5" s="94"/>
      </tp>
      <tp t="e">
        <v>#N/A</v>
        <stp/>
        <stp>BDS|7365834792052222232</stp>
        <tr r="LN5" s="94"/>
      </tp>
      <tp t="e">
        <v>#N/A</v>
        <stp/>
        <stp>BDS|9646016490062314470</stp>
        <tr r="AE5" s="71"/>
      </tp>
      <tp t="e">
        <v>#N/A</v>
        <stp/>
        <stp>BDS|7741371347590240667</stp>
        <tr r="MW5" s="37"/>
      </tp>
      <tp t="e">
        <v>#N/A</v>
        <stp/>
        <stp>BDS|5315342061090165645</stp>
        <tr r="FE5" s="6"/>
      </tp>
      <tp t="e">
        <v>#N/A</v>
        <stp/>
        <stp>BDS|4080629307347458326</stp>
        <tr r="IV5" s="18"/>
      </tp>
      <tp t="e">
        <v>#N/A</v>
        <stp/>
        <stp>BDS|7387411236250696614</stp>
        <tr r="F5" s="23"/>
      </tp>
      <tp t="e">
        <v>#N/A</v>
        <stp/>
        <stp>BDS|4703565917311488718</stp>
        <tr r="AJ5" s="76"/>
      </tp>
      <tp t="e">
        <v>#N/A</v>
        <stp/>
        <stp>BDS|2541208806920272624</stp>
        <tr r="F5" s="83"/>
      </tp>
      <tp t="e">
        <v>#N/A</v>
        <stp/>
        <stp>BDS|7301547243513123364</stp>
        <tr r="U5" s="125"/>
      </tp>
      <tp t="e">
        <v>#N/A</v>
        <stp/>
        <stp>BDS|4541667963775701740</stp>
        <tr r="JF5" s="70"/>
      </tp>
      <tp t="e">
        <v>#N/A</v>
        <stp/>
        <stp>BDS|1695711347551437544</stp>
        <tr r="EU5" s="83"/>
      </tp>
      <tp t="e">
        <v>#N/A</v>
        <stp/>
        <stp>BDS|6158534543930665176</stp>
        <tr r="LX5" s="11"/>
      </tp>
      <tp t="e">
        <v>#N/A</v>
        <stp/>
        <stp>BDS|1843638273170107694</stp>
        <tr r="MC5" s="14"/>
      </tp>
      <tp t="e">
        <v>#N/A</v>
        <stp/>
        <stp>BDS|3258579624040003215</stp>
        <tr r="GD5" s="77"/>
      </tp>
      <tp t="e">
        <v>#N/A</v>
        <stp/>
        <stp>BDS|5451069023304566547</stp>
        <tr r="MC5" s="91"/>
      </tp>
      <tp t="e">
        <v>#N/A</v>
        <stp/>
        <stp>BDS|4527373740977304216</stp>
        <tr r="LI5" s="1"/>
      </tp>
      <tp t="e">
        <v>#N/A</v>
        <stp/>
        <stp>BDS|7570932387058042813</stp>
        <tr r="FY5" s="33"/>
      </tp>
      <tp t="e">
        <v>#N/A</v>
        <stp/>
        <stp>BDS|1977916067201607991</stp>
        <tr r="DV5" s="14"/>
      </tp>
      <tp t="e">
        <v>#N/A</v>
        <stp/>
        <stp>BDS|9966448823480886960</stp>
        <tr r="MW5" s="26"/>
      </tp>
      <tp t="e">
        <v>#N/A</v>
        <stp/>
        <stp>BDS|7814249977711892534</stp>
        <tr r="EK5" s="46"/>
      </tp>
      <tp t="e">
        <v>#N/A</v>
        <stp/>
        <stp>BDS|9347380584765822172</stp>
        <tr r="HM5" s="29"/>
      </tp>
      <tp t="e">
        <v>#N/A</v>
        <stp/>
        <stp>BDS|7622256428663317280</stp>
        <tr r="HR5" s="30"/>
      </tp>
      <tp t="e">
        <v>#N/A</v>
        <stp/>
        <stp>BDS|6004573908536648392</stp>
        <tr r="IQ5" s="112"/>
      </tp>
      <tp t="e">
        <v>#N/A</v>
        <stp/>
        <stp>BDS|3086852450861653937</stp>
        <tr r="OA5" s="105"/>
      </tp>
      <tp t="e">
        <v>#N/A</v>
        <stp/>
        <stp>BDS|1377425970227421352</stp>
        <tr r="JZ5" s="86"/>
      </tp>
      <tp t="e">
        <v>#N/A</v>
        <stp/>
        <stp>BDS|7016755654190726367</stp>
        <tr r="K5" s="49"/>
      </tp>
      <tp t="e">
        <v>#N/A</v>
        <stp/>
        <stp>BDS|6583923860487199866</stp>
        <tr r="GD5" s="117"/>
      </tp>
      <tp t="e">
        <v>#N/A</v>
        <stp/>
        <stp>BDS|3228667450934736239</stp>
        <tr r="IL5" s="2"/>
      </tp>
      <tp t="e">
        <v>#N/A</v>
        <stp/>
        <stp>BDS|9106721386834393467</stp>
        <tr r="KY5" s="74"/>
      </tp>
      <tp t="e">
        <v>#N/A</v>
        <stp/>
        <stp>BDS|2217946792750241461</stp>
        <tr r="MH5" s="47"/>
      </tp>
      <tp t="e">
        <v>#N/A</v>
        <stp/>
        <stp>BDS|5244515621127271302</stp>
        <tr r="BS5" s="108"/>
      </tp>
      <tp t="e">
        <v>#N/A</v>
        <stp/>
        <stp>BDS|5813297460484919399</stp>
        <tr r="KT5" s="29"/>
      </tp>
      <tp t="e">
        <v>#N/A</v>
        <stp/>
        <stp>BDS|4450468437463513612</stp>
        <tr r="MM5" s="97"/>
      </tp>
      <tp t="e">
        <v>#N/A</v>
        <stp/>
        <stp>BDS|6336239231589262822</stp>
        <tr r="P5" s="108"/>
      </tp>
      <tp t="e">
        <v>#N/A</v>
        <stp/>
        <stp>BDS|2413523918972647296</stp>
        <tr r="CH5" s="102"/>
      </tp>
      <tp t="e">
        <v>#N/A</v>
        <stp/>
        <stp>BDS|6438034904968641844</stp>
        <tr r="EA5" s="14"/>
      </tp>
      <tp t="e">
        <v>#N/A</v>
        <stp/>
        <stp>BDS|6263753622661097445</stp>
        <tr r="NL5" s="45"/>
      </tp>
      <tp t="e">
        <v>#N/A</v>
        <stp/>
        <stp>BDS|5207426121347615268</stp>
        <tr r="JF5" s="107"/>
      </tp>
      <tp t="e">
        <v>#N/A</v>
        <stp/>
        <stp>BDS|7070304606300085274</stp>
        <tr r="CW5" s="36"/>
      </tp>
      <tp t="e">
        <v>#N/A</v>
        <stp/>
        <stp>BDS|5777480424014847121</stp>
        <tr r="FO5" s="75"/>
      </tp>
      <tp t="e">
        <v>#N/A</v>
        <stp/>
        <stp>BDS|1573107272036452726</stp>
        <tr r="CC5" s="54"/>
      </tp>
      <tp t="e">
        <v>#N/A</v>
        <stp/>
        <stp>BDS|9050656187029443874</stp>
        <tr r="CM5" s="53"/>
      </tp>
      <tp t="e">
        <v>#N/A</v>
        <stp/>
        <stp>BDS|6700950497890233068</stp>
        <tr r="KO5" s="71"/>
      </tp>
      <tp t="e">
        <v>#N/A</v>
        <stp/>
        <stp>BDS|1659260756400747006</stp>
        <tr r="EU5" s="7"/>
      </tp>
      <tp t="e">
        <v>#N/A</v>
        <stp/>
        <stp>BDS|4743394397450029887</stp>
        <tr r="KE5" s="88"/>
      </tp>
      <tp t="e">
        <v>#N/A</v>
        <stp/>
        <stp>BDS|8106850576476224710</stp>
        <tr r="MR5" s="5"/>
      </tp>
      <tp t="e">
        <v>#N/A</v>
        <stp/>
        <stp>BDS|1195960515849706647</stp>
        <tr r="MR5" s="116"/>
      </tp>
      <tp t="e">
        <v>#N/A</v>
        <stp/>
        <stp>BDS|1362572384683731967</stp>
        <tr r="NQ5" s="103"/>
      </tp>
      <tp t="e">
        <v>#N/A</v>
        <stp/>
        <stp>BDS|2911216917275978275</stp>
        <tr r="HH5" s="64"/>
      </tp>
      <tp t="e">
        <v>#N/A</v>
        <stp/>
        <stp>BDS|6211384721483206286</stp>
        <tr r="NQ5" s="7"/>
      </tp>
      <tp t="e">
        <v>#N/A</v>
        <stp/>
        <stp>BDS|7940440164661002286</stp>
        <tr r="IV5" s="14"/>
      </tp>
      <tp t="e">
        <v>#N/A</v>
        <stp/>
        <stp>BDS|7311160222474165677</stp>
        <tr r="EU5" s="51"/>
      </tp>
      <tp t="e">
        <v>#N/A</v>
        <stp/>
        <stp>BDS|3316637709107834401</stp>
        <tr r="JU5" s="46"/>
      </tp>
      <tp t="e">
        <v>#N/A</v>
        <stp/>
        <stp>BDS|2064522247871311478</stp>
        <tr r="OA5" s="82"/>
        <tr r="K5" s="117"/>
      </tp>
      <tp t="e">
        <v>#N/A</v>
        <stp/>
        <stp>BDS|1214410001371700247</stp>
        <tr r="CM5" s="10"/>
      </tp>
      <tp t="e">
        <v>#N/A</v>
        <stp/>
        <stp>BDS|5402724143182437203</stp>
        <tr r="MM5" s="89"/>
      </tp>
      <tp t="e">
        <v>#N/A</v>
        <stp/>
        <stp>BDS|1537025652631115329</stp>
        <tr r="BS5" s="12"/>
      </tp>
      <tp t="e">
        <v>#N/A</v>
        <stp/>
        <stp>BDS|7065403791109242559</stp>
        <tr r="MH5" s="43"/>
      </tp>
      <tp t="e">
        <v>#N/A</v>
        <stp/>
        <stp>BDS|7519886763348836708</stp>
        <tr r="HH5" s="1"/>
      </tp>
      <tp t="e">
        <v>#N/A</v>
        <stp/>
        <stp>BDS|4708246237430368316</stp>
        <tr r="NL5" s="103"/>
      </tp>
      <tp t="e">
        <v>#N/A</v>
        <stp/>
        <stp>BDS|4225123246972236528</stp>
        <tr r="IB5" s="98"/>
      </tp>
      <tp t="e">
        <v>#N/A</v>
        <stp/>
        <stp>BDS|2516613249587379180</stp>
        <tr r="GX5" s="84"/>
      </tp>
      <tp t="e">
        <v>#N/A</v>
        <stp/>
        <stp>BDS|7161260651787332133</stp>
        <tr r="NQ5" s="56"/>
      </tp>
      <tp t="e">
        <v>#N/A</v>
        <stp/>
        <stp>BDS|3635271580689328641</stp>
        <tr r="JU5" s="90"/>
      </tp>
      <tp t="e">
        <v>#N/A</v>
        <stp/>
        <stp>BDS|3831331487646987838</stp>
        <tr r="KY5" s="49"/>
      </tp>
      <tp t="e">
        <v>#N/A</v>
        <stp/>
        <stp>BDS|5916715532116594198</stp>
        <tr r="KO5" s="100"/>
      </tp>
      <tp t="e">
        <v>#N/A</v>
        <stp/>
        <stp>BDS|4970706731660962675</stp>
        <tr r="LN5" s="11"/>
      </tp>
      <tp t="e">
        <v>#N/A</v>
        <stp/>
        <stp>BDS|5291611832802660412</stp>
        <tr r="MR5" s="48"/>
      </tp>
      <tp t="e">
        <v>#N/A</v>
        <stp/>
        <stp>BDS|4419307145261574427</stp>
        <tr r="FJ5" s="108"/>
      </tp>
      <tp t="e">
        <v>#N/A</v>
        <stp/>
        <stp>BDS|5938187314281351206</stp>
        <tr r="AT5" s="121"/>
      </tp>
      <tp t="e">
        <v>#N/A</v>
        <stp/>
        <stp>BDS|5489703750728479971</stp>
        <tr r="KJ5" s="100"/>
      </tp>
      <tp t="e">
        <v>#N/A</v>
        <stp/>
        <stp>BDS|5815183713805550615</stp>
        <tr r="KT5" s="48"/>
      </tp>
      <tp t="e">
        <v>#N/A</v>
        <stp/>
        <stp>BDS|4505215304422722208</stp>
        <tr r="CC5" s="58"/>
      </tp>
      <tp t="e">
        <v>#N/A</v>
        <stp/>
        <stp>BDS|1052288136922827418</stp>
        <tr r="EU5" s="90"/>
      </tp>
      <tp t="e">
        <v>#N/A</v>
        <stp/>
        <stp>BDS|2069023990965005853</stp>
        <tr r="FE5" s="42"/>
      </tp>
      <tp t="e">
        <v>#N/A</v>
        <stp/>
        <stp>BDS|6455913517121033958</stp>
        <tr r="DQ5" s="20"/>
      </tp>
      <tp t="e">
        <v>#N/A</v>
        <stp/>
        <stp>BDS|8546871906505058338</stp>
        <tr r="BN5" s="109"/>
      </tp>
      <tp t="e">
        <v>#N/A</v>
        <stp/>
        <stp>BDS|5000792978727581430</stp>
        <tr r="IQ5" s="95"/>
      </tp>
      <tp t="e">
        <v>#N/A</v>
        <stp/>
        <stp>BDS|3648612068231062480</stp>
        <tr r="NV5" s="48"/>
      </tp>
      <tp t="e">
        <v>#N/A</v>
        <stp/>
        <stp>BDS|6231570565463174063</stp>
        <tr r="U5" s="92"/>
      </tp>
      <tp t="e">
        <v>#N/A</v>
        <stp/>
        <stp>BDS|7272093500112525394</stp>
        <tr r="DG5" s="105"/>
      </tp>
      <tp t="e">
        <v>#N/A</v>
        <stp/>
        <stp>BDS|2888003705056316299</stp>
        <tr r="BX5" s="58"/>
      </tp>
      <tp t="e">
        <v>#N/A</v>
        <stp/>
        <stp>BDS|7567249067271388426</stp>
        <tr r="MR5" s="122"/>
      </tp>
      <tp t="e">
        <v>#N/A</v>
        <stp/>
        <stp>BDS|2133541923830734369</stp>
        <tr r="BD5" s="120"/>
      </tp>
      <tp t="e">
        <v>#N/A</v>
        <stp/>
        <stp>BDS|2674735766564728135</stp>
        <tr r="LN5" s="115"/>
      </tp>
      <tp t="e">
        <v>#N/A</v>
        <stp/>
        <stp>BDS|2556508577454710229</stp>
        <tr r="JA5" s="65"/>
      </tp>
      <tp t="e">
        <v>#N/A</v>
        <stp/>
        <stp>BDS|3220741273460714557</stp>
        <tr r="HR5" s="96"/>
      </tp>
      <tp t="e">
        <v>#N/A</v>
        <stp/>
        <stp>BDS|3975972356920848979</stp>
        <tr r="HW5" s="112"/>
      </tp>
      <tp t="e">
        <v>#N/A</v>
        <stp/>
        <stp>BDS|5839392573554145341</stp>
        <tr r="CH5" s="18"/>
      </tp>
      <tp t="e">
        <v>#N/A</v>
        <stp/>
        <stp>BDS|5522091115035718793</stp>
        <tr r="KJ5" s="69"/>
      </tp>
      <tp t="e">
        <v>#N/A</v>
        <stp/>
        <stp>BDS|4793269247610855495</stp>
        <tr r="DQ5" s="59"/>
      </tp>
      <tp t="e">
        <v>#N/A</v>
        <stp/>
        <stp>BDS|7601145864313052515</stp>
        <tr r="KE5" s="9"/>
      </tp>
      <tp t="e">
        <v>#N/A</v>
        <stp/>
        <stp>BDS|2438351150460544234</stp>
        <tr r="KT5" s="67"/>
      </tp>
      <tp t="e">
        <v>#N/A</v>
        <stp/>
        <stp>BDS|2203652508512050085</stp>
        <tr r="OF5" s="56"/>
      </tp>
      <tp t="e">
        <v>#N/A</v>
        <stp/>
        <stp>BDS|6426035144711528515</stp>
        <tr r="IL5" s="124"/>
      </tp>
      <tp t="e">
        <v>#N/A</v>
        <stp/>
        <stp>BDS|7778921372428511754</stp>
        <tr r="IL5" s="5"/>
      </tp>
      <tp t="e">
        <v>#N/A</v>
        <stp/>
        <stp>BDS|5360304065470571645</stp>
        <tr r="OF5" s="77"/>
      </tp>
      <tp t="e">
        <v>#N/A</v>
        <stp/>
        <stp>BDS|9302030351623506933</stp>
        <tr r="CH5" s="77"/>
      </tp>
      <tp t="e">
        <v>#N/A</v>
        <stp/>
        <stp>BDS|9434778063496636819</stp>
        <tr r="OA5" s="49"/>
      </tp>
      <tp t="e">
        <v>#N/A</v>
        <stp/>
        <stp>BDS|5060939744666618852</stp>
        <tr r="HH5" s="2"/>
      </tp>
      <tp t="e">
        <v>#N/A</v>
        <stp/>
        <stp>BDS|6509598373807925529</stp>
        <tr r="MC5" s="61"/>
      </tp>
      <tp t="e">
        <v>#N/A</v>
        <stp/>
        <stp>BDS|6045816031459596217</stp>
        <tr r="MR5" s="83"/>
      </tp>
      <tp t="e">
        <v>#N/A</v>
        <stp/>
        <stp>BDS|1656658527406490549</stp>
        <tr r="MM5" s="111"/>
      </tp>
      <tp t="e">
        <v>#N/A</v>
        <stp/>
        <stp>BDS|8975743210031022998</stp>
        <tr r="MH5" s="38"/>
      </tp>
      <tp t="e">
        <v>#N/A</v>
        <stp/>
        <stp>BDS|3512753931673699230</stp>
        <tr r="NB5" s="88"/>
      </tp>
      <tp t="e">
        <v>#N/A</v>
        <stp/>
        <stp>BDS|7771793949153414179</stp>
        <tr r="K5" s="115"/>
      </tp>
      <tp t="e">
        <v>#N/A</v>
        <stp/>
        <stp>BDS|4882703776532953039</stp>
        <tr r="MM5" s="57"/>
      </tp>
      <tp t="e">
        <v>#N/A</v>
        <stp/>
        <stp>BDS|6617105507297434616</stp>
        <tr r="BS5" s="55"/>
      </tp>
      <tp t="e">
        <v>#N/A</v>
        <stp/>
        <stp>BDS|1736551305310262217</stp>
        <tr r="GD5" s="15"/>
      </tp>
      <tp t="e">
        <v>#N/A</v>
        <stp/>
        <stp>BDS|4706397756447975354</stp>
        <tr r="LN5" s="38"/>
      </tp>
      <tp t="e">
        <v>#N/A</v>
        <stp/>
        <stp>BDS|1269068126497333259</stp>
        <tr r="FT5" s="23"/>
      </tp>
      <tp t="e">
        <v>#N/A</v>
        <stp/>
        <stp>BDS|1873884541589036254</stp>
        <tr r="BX5" s="92"/>
      </tp>
      <tp t="e">
        <v>#N/A</v>
        <stp/>
        <stp>BDS|7352261105523755032</stp>
        <tr r="DL5" s="67"/>
      </tp>
      <tp t="e">
        <v>#N/A</v>
        <stp/>
        <stp>BDS|3785236409207812019</stp>
        <tr r="FJ5" s="94"/>
      </tp>
      <tp t="e">
        <v>#N/A</v>
        <stp/>
        <stp>BDS|3830409938687694520</stp>
        <tr r="HR5" s="92"/>
      </tp>
      <tp t="e">
        <v>#N/A</v>
        <stp/>
        <stp>BDS|6658508487389329469</stp>
        <tr r="KJ5" s="56"/>
      </tp>
      <tp t="e">
        <v>#N/A</v>
        <stp/>
        <stp>BDS|1342348347647150745</stp>
        <tr r="OF5" s="113"/>
      </tp>
      <tp t="e">
        <v>#N/A</v>
        <stp/>
        <stp>BDS|8517585225460433998</stp>
        <tr r="HW5" s="28"/>
      </tp>
      <tp t="e">
        <v>#N/A</v>
        <stp/>
        <stp>BDS|9235823192277511928</stp>
        <tr r="JF5" s="120"/>
      </tp>
      <tp t="e">
        <v>#N/A</v>
        <stp/>
        <stp>BDS|9641464632928139062</stp>
        <tr r="KT5" s="41"/>
      </tp>
      <tp t="e">
        <v>#N/A</v>
        <stp/>
        <stp>BDS|1481700080941788967</stp>
        <tr r="DL5" s="118"/>
      </tp>
      <tp t="e">
        <v>#N/A</v>
        <stp/>
        <stp>BDS|9368295207265999817</stp>
        <tr r="LX5" s="60"/>
      </tp>
      <tp t="e">
        <v>#N/A</v>
        <stp/>
        <stp>BDS|5101434344033596062</stp>
        <tr r="LI5" s="88"/>
      </tp>
      <tp t="e">
        <v>#N/A</v>
        <stp/>
        <stp>BDS|8003968774256173662</stp>
        <tr r="DB5" s="14"/>
      </tp>
      <tp t="e">
        <v>#N/A</v>
        <stp/>
        <stp>BDS|9494691065319807654</stp>
        <tr r="KJ5" s="103"/>
      </tp>
      <tp t="e">
        <v>#N/A</v>
        <stp/>
        <stp>BDS|7411165606185299530</stp>
        <tr r="CH5" s="11"/>
      </tp>
      <tp t="e">
        <v>#N/A</v>
        <stp/>
        <stp>BDS|3002697636733983335</stp>
        <tr r="LS5" s="113"/>
      </tp>
      <tp t="e">
        <v>#N/A</v>
        <stp/>
        <stp>BDS|7070699768807791632</stp>
        <tr r="BN5" s="105"/>
      </tp>
      <tp t="e">
        <v>#N/A</v>
        <stp/>
        <stp>BDS|2023992382015670087</stp>
        <tr r="FT5" s="20"/>
      </tp>
      <tp t="e">
        <v>#N/A</v>
        <stp/>
        <stp>BDS|2574692535342556393</stp>
        <tr r="DQ5" s="82"/>
      </tp>
      <tp t="e">
        <v>#N/A</v>
        <stp/>
        <stp>BDS|2230742758791362780</stp>
        <tr r="LS5" s="58"/>
      </tp>
      <tp t="e">
        <v>#N/A</v>
        <stp/>
        <stp>BDS|2771694179140418563</stp>
        <tr r="GI5" s="113"/>
      </tp>
      <tp t="e">
        <v>#N/A</v>
        <stp/>
        <stp>BDS|1814267272451151386</stp>
        <tr r="KE5" s="111"/>
      </tp>
      <tp t="e">
        <v>#N/A</v>
        <stp/>
        <stp>BDS|9436044834765671976</stp>
        <tr r="U5" s="120"/>
      </tp>
      <tp t="e">
        <v>#N/A</v>
        <stp/>
        <stp>BDS|6342923902990610909</stp>
        <tr r="GN5" s="112"/>
      </tp>
      <tp t="e">
        <v>#N/A</v>
        <stp/>
        <stp>BDS|2064296819502733522</stp>
        <tr r="FJ5" s="117"/>
      </tp>
      <tp t="e">
        <v>#N/A</v>
        <stp/>
        <stp>BDS|7085476839945598215</stp>
        <tr r="FY5" s="5"/>
      </tp>
      <tp t="e">
        <v>#N/A</v>
        <stp/>
        <stp>BDS|4520384812937224676</stp>
        <tr r="HR5" s="13"/>
      </tp>
      <tp t="e">
        <v>#N/A</v>
        <stp/>
        <stp>BDS|6527846999336364619</stp>
        <tr r="KO5" s="1"/>
      </tp>
      <tp t="e">
        <v>#N/A</v>
        <stp/>
        <stp>BDS|3668799813220241240</stp>
        <tr r="AE5" s="54"/>
      </tp>
      <tp t="e">
        <v>#N/A</v>
        <stp/>
        <stp>BDS|3527178861925088696</stp>
        <tr r="FO5" s="35"/>
      </tp>
      <tp t="e">
        <v>#N/A</v>
        <stp/>
        <stp>BDS|1724730361167961068</stp>
        <tr r="JU5" s="7"/>
      </tp>
      <tp t="e">
        <v>#N/A</v>
        <stp/>
        <stp>BDS|1135174948634023741</stp>
        <tr r="IG5" s="61"/>
      </tp>
      <tp t="e">
        <v>#N/A</v>
        <stp/>
        <stp>BDS|1747230869065305747</stp>
        <tr r="HW5" s="47"/>
      </tp>
      <tp t="e">
        <v>#N/A</v>
        <stp/>
        <stp>BDS|5872501952021811384</stp>
        <tr r="KT5" s="16"/>
      </tp>
      <tp t="e">
        <v>#N/A</v>
        <stp/>
        <stp>BDS|6454757591037319893</stp>
        <tr r="HH5" s="121"/>
      </tp>
      <tp t="e">
        <v>#N/A</v>
        <stp/>
        <stp>BDS|2813794687008459281</stp>
        <tr r="A5" s="91"/>
      </tp>
      <tp t="e">
        <v>#N/A</v>
        <stp/>
        <stp>BDS|7317007079976368138</stp>
        <tr r="IQ5" s="72"/>
      </tp>
      <tp t="e">
        <v>#N/A</v>
        <stp/>
        <stp>BDS|6424972533723353894</stp>
        <tr r="HM5" s="112"/>
      </tp>
      <tp t="e">
        <v>#N/A</v>
        <stp/>
        <stp>BDS|7424547968435320615</stp>
        <tr r="KY5" s="99"/>
      </tp>
      <tp t="e">
        <v>#N/A</v>
        <stp/>
        <stp>BDS|6116164563204749295</stp>
        <tr r="HR5" s="93"/>
      </tp>
      <tp t="e">
        <v>#N/A</v>
        <stp/>
        <stp>BDS|4170911207349560387</stp>
        <tr r="HR5" s="71"/>
      </tp>
      <tp t="e">
        <v>#N/A</v>
        <stp/>
        <stp>BDS|4335597595166078957</stp>
        <tr r="CW5" s="13"/>
      </tp>
      <tp t="e">
        <v>#N/A</v>
        <stp/>
        <stp>BDS|8242798786188322855</stp>
        <tr r="U5" s="4"/>
      </tp>
      <tp t="e">
        <v>#N/A</v>
        <stp/>
        <stp>BDS|5105519924217895278</stp>
        <tr r="FY5" s="45"/>
      </tp>
      <tp t="e">
        <v>#N/A</v>
        <stp/>
        <stp>BDS|3866702136968743822</stp>
        <tr r="NL5" s="119"/>
      </tp>
      <tp t="e">
        <v>#N/A</v>
        <stp/>
        <stp>BDS|7369199312136273612</stp>
        <tr r="HC5" s="27"/>
      </tp>
      <tp t="e">
        <v>#N/A</v>
        <stp/>
        <stp>BDS|3961562321853338067</stp>
        <tr r="U5" s="105"/>
      </tp>
      <tp t="e">
        <v>#N/A</v>
        <stp/>
        <stp>BDS|7954897531438986337</stp>
        <tr r="IG5" s="88"/>
      </tp>
      <tp t="e">
        <v>#N/A</v>
        <stp/>
        <stp>BDS|4360552542927860575</stp>
        <tr r="MW5" s="38"/>
      </tp>
      <tp t="e">
        <v>#N/A</v>
        <stp/>
        <stp>BDS|2880762771261043442</stp>
        <tr r="HW5" s="105"/>
      </tp>
      <tp t="e">
        <v>#N/A</v>
        <stp/>
        <stp>BDS|7896368979525434188</stp>
        <tr r="KO5" s="38"/>
      </tp>
      <tp t="e">
        <v>#N/A</v>
        <stp/>
        <stp>BDS|4423306928815705700</stp>
        <tr r="AT5" s="20"/>
      </tp>
      <tp t="e">
        <v>#N/A</v>
        <stp/>
        <stp>BDS|8385036793463907518</stp>
        <tr r="LN5" s="67"/>
      </tp>
      <tp t="e">
        <v>#N/A</v>
        <stp/>
        <stp>BDS|8843287929519406664</stp>
        <tr r="FJ5" s="76"/>
      </tp>
      <tp t="e">
        <v>#N/A</v>
        <stp/>
        <stp>BDS|1917798327397487482</stp>
        <tr r="JK5" s="22"/>
      </tp>
      <tp t="e">
        <v>#N/A</v>
        <stp/>
        <stp>BDS|5050836364945985953</stp>
        <tr r="CM5" s="64"/>
      </tp>
      <tp t="e">
        <v>#N/A</v>
        <stp/>
        <stp>BDS|1900291768253166123</stp>
        <tr r="U5" s="115"/>
      </tp>
      <tp t="e">
        <v>#N/A</v>
        <stp/>
        <stp>BDS|4622240063717344097</stp>
        <tr r="MW5" s="122"/>
      </tp>
      <tp t="e">
        <v>#N/A</v>
        <stp/>
        <stp>BDS|7639087953187111273</stp>
        <tr r="AY5" s="102"/>
      </tp>
      <tp t="e">
        <v>#N/A</v>
        <stp/>
        <stp>BDS|5423927059099351775</stp>
        <tr r="KT5" s="65"/>
      </tp>
      <tp t="e">
        <v>#N/A</v>
        <stp/>
        <stp>BDS|6550119409174227475</stp>
        <tr r="HM5" s="25"/>
      </tp>
      <tp t="e">
        <v>#N/A</v>
        <stp/>
        <stp>BDS|7122880675226798932</stp>
        <tr r="HW5" s="37"/>
      </tp>
      <tp t="e">
        <v>#N/A</v>
        <stp/>
        <stp>BDS|9508570982977114491</stp>
        <tr r="AO5" s="118"/>
      </tp>
      <tp t="e">
        <v>#N/A</v>
        <stp/>
        <stp>BDS|7048792474248756828</stp>
        <tr r="LD5" s="122"/>
      </tp>
      <tp t="e">
        <v>#N/A</v>
        <stp/>
        <stp>BDS|8446754739423923898</stp>
        <tr r="FJ5" s="97"/>
        <tr r="FT5" s="86"/>
      </tp>
      <tp t="e">
        <v>#N/A</v>
        <stp/>
        <stp>BDS|9584372326066412985</stp>
        <tr r="HR5" s="16"/>
      </tp>
      <tp t="e">
        <v>#N/A</v>
        <stp/>
        <stp>BDS|1660178432797334384</stp>
        <tr r="AJ5" s="104"/>
      </tp>
      <tp t="e">
        <v>#N/A</v>
        <stp/>
        <stp>BDS|6274736620977937307</stp>
        <tr r="EP5" s="91"/>
      </tp>
      <tp t="e">
        <v>#N/A</v>
        <stp/>
        <stp>BDS|4532685347018683942</stp>
        <tr r="IG5" s="64"/>
      </tp>
      <tp t="e">
        <v>#N/A</v>
        <stp/>
        <stp>BDS|4956588027415778192</stp>
        <tr r="FJ5" s="42"/>
      </tp>
      <tp t="e">
        <v>#N/A</v>
        <stp/>
        <stp>BDS|6466060729870387304</stp>
        <tr r="LS5" s="104"/>
      </tp>
      <tp t="e">
        <v>#N/A</v>
        <stp/>
        <stp>BDS|4192398466182325452</stp>
        <tr r="MM5" s="1"/>
      </tp>
      <tp t="e">
        <v>#N/A</v>
        <stp/>
        <stp>BDS|1046694612038033932</stp>
        <tr r="FT5" s="44"/>
      </tp>
      <tp t="e">
        <v>#N/A</v>
        <stp/>
        <stp>BDS|1243391308276324383</stp>
        <tr r="DV5" s="110"/>
      </tp>
      <tp t="e">
        <v>#N/A</v>
        <stp/>
        <stp>BDS|9748904573368465883</stp>
        <tr r="IL5" s="82"/>
      </tp>
      <tp t="e">
        <v>#N/A</v>
        <stp/>
        <stp>BDS|8832862048293664083</stp>
        <tr r="K5" s="88"/>
      </tp>
      <tp t="e">
        <v>#N/A</v>
        <stp/>
        <stp>BDS|7802820897710335163</stp>
        <tr r="P5" s="45"/>
      </tp>
      <tp t="e">
        <v>#N/A</v>
        <stp/>
        <stp>BDS|1021057295148908713</stp>
        <tr r="AJ5" s="95"/>
      </tp>
      <tp t="e">
        <v>#N/A</v>
        <stp/>
        <stp>BDS|7123063948616112261</stp>
        <tr r="EU5" s="77"/>
      </tp>
      <tp t="e">
        <v>#N/A</v>
        <stp/>
        <stp>BDS|4851661686504443941</stp>
        <tr r="FY5" s="20"/>
      </tp>
      <tp t="e">
        <v>#N/A</v>
        <stp/>
        <stp>BDS|2351715676697545296</stp>
        <tr r="JU5" s="43"/>
      </tp>
      <tp t="e">
        <v>#N/A</v>
        <stp/>
        <stp>BDS|7142288557150283740</stp>
        <tr r="OA5" s="61"/>
      </tp>
      <tp t="e">
        <v>#N/A</v>
        <stp/>
        <stp>BDS|1284814411916308990</stp>
        <tr r="CR5" s="80"/>
      </tp>
      <tp t="e">
        <v>#N/A</v>
        <stp/>
        <stp>BDS|4358659269012437125</stp>
        <tr r="LD5" s="58"/>
      </tp>
      <tp t="e">
        <v>#N/A</v>
        <stp/>
        <stp>BDS|4839030652547079108</stp>
        <tr r="JF5" s="98"/>
      </tp>
      <tp t="e">
        <v>#N/A</v>
        <stp/>
        <stp>BDS|8725248898916351219</stp>
        <tr r="AT5" s="45"/>
      </tp>
      <tp t="e">
        <v>#N/A</v>
        <stp/>
        <stp>BDS|3579487414261894084</stp>
        <tr r="NL5" s="32"/>
      </tp>
      <tp t="e">
        <v>#N/A</v>
        <stp/>
        <stp>BDS|2981621905670349346</stp>
        <tr r="NG5" s="53"/>
      </tp>
      <tp t="e">
        <v>#N/A</v>
        <stp/>
        <stp>BDS|3237229909765895386</stp>
        <tr r="EF5" s="17"/>
      </tp>
      <tp t="e">
        <v>#N/A</v>
        <stp/>
        <stp>BDS|9366440019782004973</stp>
        <tr r="F5" s="113"/>
      </tp>
      <tp t="e">
        <v>#N/A</v>
        <stp/>
        <stp>BDS|4467614077815205799</stp>
        <tr r="BN5" s="37"/>
      </tp>
      <tp t="e">
        <v>#N/A</v>
        <stp/>
        <stp>BDS|3152386713533775540</stp>
        <tr r="CR5" s="67"/>
      </tp>
      <tp t="e">
        <v>#N/A</v>
        <stp/>
        <stp>BDS|8043550269459368567</stp>
        <tr r="IB5" s="39"/>
      </tp>
      <tp t="e">
        <v>#N/A</v>
        <stp/>
        <stp>BDS|4836567972262156342</stp>
        <tr r="EZ5" s="109"/>
      </tp>
      <tp t="e">
        <v>#N/A</v>
        <stp/>
        <stp>BDS|6756001711869725989</stp>
        <tr r="LI5" s="50"/>
      </tp>
      <tp t="e">
        <v>#N/A</v>
        <stp/>
        <stp>BDS|5979812199760013384</stp>
        <tr r="OA5" s="47"/>
      </tp>
      <tp t="e">
        <v>#N/A</v>
        <stp/>
        <stp>BDS|5381087647467063159</stp>
        <tr r="GI5" s="65"/>
      </tp>
      <tp t="e">
        <v>#N/A</v>
        <stp/>
        <stp>BDS|3817764963825615028</stp>
        <tr r="HH5" s="53"/>
      </tp>
      <tp t="e">
        <v>#N/A</v>
        <stp/>
        <stp>BDS|4562227374011965732</stp>
        <tr r="HR5" s="65"/>
      </tp>
      <tp t="e">
        <v>#N/A</v>
        <stp/>
        <stp>BDS|3127590275493792544</stp>
        <tr r="LS5" s="119"/>
      </tp>
      <tp t="e">
        <v>#N/A</v>
        <stp/>
        <stp>BDS|1674975096793198584</stp>
        <tr r="IV5" s="69"/>
      </tp>
      <tp t="e">
        <v>#N/A</v>
        <stp/>
        <stp>BDS|2815275097068299644</stp>
        <tr r="BS5" s="93"/>
      </tp>
      <tp t="e">
        <v>#N/A</v>
        <stp/>
        <stp>BDS|5567704859124195434</stp>
        <tr r="MM5" s="116"/>
      </tp>
      <tp t="e">
        <v>#N/A</v>
        <stp/>
        <stp>BDS|5766767152752819258</stp>
        <tr r="CM5" s="48"/>
      </tp>
      <tp t="e">
        <v>#N/A</v>
        <stp/>
        <stp>BDS|5043167105471935248</stp>
        <tr r="EA5" s="15"/>
      </tp>
      <tp t="e">
        <v>#N/A</v>
        <stp/>
        <stp>BDS|9763530740057816825</stp>
        <tr r="KE5" s="122"/>
      </tp>
      <tp t="e">
        <v>#N/A</v>
        <stp/>
        <stp>BDS|8098372671168819309</stp>
        <tr r="AO5" s="114"/>
      </tp>
      <tp t="e">
        <v>#N/A</v>
        <stp/>
        <stp>BDS|9293789996759102935</stp>
        <tr r="AJ5" s="79"/>
      </tp>
      <tp t="e">
        <v>#N/A</v>
        <stp/>
        <stp>BDS|7383704266175283495</stp>
        <tr r="HW5" s="103"/>
      </tp>
      <tp t="e">
        <v>#N/A</v>
        <stp/>
        <stp>BDS|2822972499417953210</stp>
        <tr r="KE5" s="52"/>
      </tp>
      <tp t="e">
        <v>#N/A</v>
        <stp/>
        <stp>BDS|1712183538242963607</stp>
        <tr r="EZ5" s="78"/>
      </tp>
      <tp t="e">
        <v>#N/A</v>
        <stp/>
        <stp>BDS|6889202873966652230</stp>
        <tr r="AY5" s="120"/>
      </tp>
      <tp t="e">
        <v>#N/A</v>
        <stp/>
        <stp>BDS|5913244305384778417</stp>
        <tr r="BD5" s="104"/>
      </tp>
      <tp t="e">
        <v>#N/A</v>
        <stp/>
        <stp>BDS|3365752455987990143</stp>
        <tr r="BX5" s="89"/>
      </tp>
      <tp t="e">
        <v>#N/A</v>
        <stp/>
        <stp>BDS|2669650065132820702</stp>
        <tr r="BI5" s="75"/>
      </tp>
      <tp t="e">
        <v>#N/A</v>
        <stp/>
        <stp>BDS|7205342512692800020</stp>
        <tr r="EA5" s="106"/>
      </tp>
      <tp t="e">
        <v>#N/A</v>
        <stp/>
        <stp>BDS|2668703744142851445</stp>
        <tr r="KT5" s="20"/>
      </tp>
      <tp t="e">
        <v>#N/A</v>
        <stp/>
        <stp>BDS|1633890289034804219</stp>
        <tr r="K5" s="28"/>
      </tp>
      <tp t="e">
        <v>#N/A</v>
        <stp/>
        <stp>BDS|5809055928476991632</stp>
        <tr r="MM5" s="96"/>
      </tp>
      <tp t="e">
        <v>#N/A</v>
        <stp/>
        <stp>BDS|2094686730579259955</stp>
        <tr r="IV5" s="49"/>
      </tp>
      <tp t="e">
        <v>#N/A</v>
        <stp/>
        <stp>BDS|6437099910610554073</stp>
        <tr r="KE5" s="95"/>
      </tp>
      <tp t="e">
        <v>#N/A</v>
        <stp/>
        <stp>BDS|5894631101463448713</stp>
        <tr r="AY5" s="58"/>
      </tp>
      <tp t="e">
        <v>#N/A</v>
        <stp/>
        <stp>BDS|3954915141260497922</stp>
        <tr r="MC5" s="90"/>
      </tp>
      <tp t="e">
        <v>#N/A</v>
        <stp/>
        <stp>BDS|1960211331857128074</stp>
        <tr r="EK5" s="107"/>
      </tp>
      <tp t="e">
        <v>#N/A</v>
        <stp/>
        <stp>BDS|9448875327436395282</stp>
        <tr r="CM5" s="86"/>
      </tp>
      <tp t="e">
        <v>#N/A</v>
        <stp/>
        <stp>BDS|6967616841235396655</stp>
        <tr r="BX5" s="16"/>
      </tp>
      <tp t="e">
        <v>#N/A</v>
        <stp/>
        <stp>BDS|9992207777219446257</stp>
        <tr r="K5" s="84"/>
      </tp>
      <tp t="e">
        <v>#N/A</v>
        <stp/>
        <stp>BDS|9683504278299214530</stp>
        <tr r="FY5" s="92"/>
      </tp>
      <tp t="e">
        <v>#N/A</v>
        <stp/>
        <stp>BDS|6528517286765481995</stp>
        <tr r="MR5" s="91"/>
      </tp>
      <tp t="e">
        <v>#N/A</v>
        <stp/>
        <stp>BDS|6201629909504019361</stp>
        <tr r="IB5" s="62"/>
      </tp>
      <tp t="e">
        <v>#N/A</v>
        <stp/>
        <stp>BDS|3305947377473847975</stp>
        <tr r="AJ5" s="89"/>
      </tp>
      <tp t="e">
        <v>#N/A</v>
        <stp/>
        <stp>BDS|4343657309023923693</stp>
        <tr r="BI5" s="124"/>
      </tp>
      <tp t="e">
        <v>#N/A</v>
        <stp/>
        <stp>BDS|5431687770402233110</stp>
        <tr r="EZ5" s="59"/>
      </tp>
      <tp t="e">
        <v>#N/A</v>
        <stp/>
        <stp>BDS|2529205655651922360</stp>
        <tr r="LN5" s="29"/>
      </tp>
      <tp t="e">
        <v>#N/A</v>
        <stp/>
        <stp>BDS|4910642230054317212</stp>
        <tr r="AT5" s="91"/>
      </tp>
      <tp t="e">
        <v>#N/A</v>
        <stp/>
        <stp>BDS|2535703995502933967</stp>
        <tr r="JZ5" s="89"/>
        <tr r="LN5" s="117"/>
        <tr r="JZ5" s="113"/>
        <tr r="CR5" s="100"/>
      </tp>
      <tp t="e">
        <v>#N/A</v>
        <stp/>
        <stp>BDS|4681404043900368392</stp>
        <tr r="DG5" s="94"/>
      </tp>
      <tp t="e">
        <v>#N/A</v>
        <stp/>
        <stp>BDS|7084906750404650899</stp>
        <tr r="GX5" s="57"/>
      </tp>
      <tp t="e">
        <v>#N/A</v>
        <stp/>
        <stp>BDS|6423196444920139478</stp>
        <tr r="K5" s="85"/>
      </tp>
      <tp t="e">
        <v>#N/A</v>
        <stp/>
        <stp>BDS|2038343660799221992</stp>
        <tr r="HC5" s="109"/>
      </tp>
      <tp t="e">
        <v>#N/A</v>
        <stp/>
        <stp>BDS|4614029622174063598</stp>
        <tr r="IB5" s="108"/>
      </tp>
      <tp t="e">
        <v>#N/A</v>
        <stp/>
        <stp>BDS|1144609038446192577</stp>
        <tr r="GX5" s="88"/>
      </tp>
      <tp t="e">
        <v>#N/A</v>
        <stp/>
        <stp>BDS|1571935592355878332</stp>
        <tr r="HR5" s="47"/>
      </tp>
      <tp t="e">
        <v>#N/A</v>
        <stp/>
        <stp>BDS|4226854684926899542</stp>
        <tr r="HM5" s="90"/>
      </tp>
      <tp t="e">
        <v>#N/A</v>
        <stp/>
        <stp>BDS|5526746970084930672</stp>
        <tr r="BN5" s="28"/>
      </tp>
      <tp t="e">
        <v>#N/A</v>
        <stp/>
        <stp>BDS|8251462359126647878</stp>
        <tr r="BX5" s="82"/>
      </tp>
      <tp t="e">
        <v>#N/A</v>
        <stp/>
        <stp>BDS|8355894862367719639</stp>
        <tr r="FT5" s="39"/>
      </tp>
      <tp t="e">
        <v>#N/A</v>
        <stp/>
        <stp>BDS|4712498614152176474</stp>
        <tr r="NB5" s="63"/>
      </tp>
      <tp t="e">
        <v>#N/A</v>
        <stp/>
        <stp>BDS|8852527954116442968</stp>
        <tr r="AT5" s="125"/>
      </tp>
      <tp t="e">
        <v>#N/A</v>
        <stp/>
        <stp>BDS|7307469339605968295</stp>
        <tr r="LD5" s="55"/>
      </tp>
      <tp t="e">
        <v>#N/A</v>
        <stp/>
        <stp>BDS|1295034361117527793</stp>
        <tr r="KT5" s="120"/>
      </tp>
      <tp t="e">
        <v>#N/A</v>
        <stp/>
        <stp>BDS|7627153432981444391</stp>
        <tr r="AE5" s="43"/>
      </tp>
      <tp t="e">
        <v>#N/A</v>
        <stp/>
        <stp>BDS|4922889049737190857</stp>
        <tr r="JP5" s="96"/>
      </tp>
      <tp t="e">
        <v>#N/A</v>
        <stp/>
        <stp>BDS|1177076341481829334</stp>
        <tr r="HM5" s="48"/>
      </tp>
      <tp t="e">
        <v>#N/A</v>
        <stp/>
        <stp>BDS|8837711574709770661</stp>
        <tr r="NL5" s="67"/>
      </tp>
      <tp t="e">
        <v>#N/A</v>
        <stp/>
        <stp>BDS|3747177571584863653</stp>
        <tr r="EP5" s="27"/>
      </tp>
      <tp t="e">
        <v>#N/A</v>
        <stp/>
        <stp>BDS|2945327177572208325</stp>
        <tr r="KE5" s="55"/>
      </tp>
      <tp t="e">
        <v>#N/A</v>
        <stp/>
        <stp>BDS|2997762602222395021</stp>
        <tr r="LN5" s="82"/>
      </tp>
      <tp t="e">
        <v>#N/A</v>
        <stp/>
        <stp>BDS|8463181395033361467</stp>
        <tr r="EF5" s="71"/>
      </tp>
      <tp t="e">
        <v>#N/A</v>
        <stp/>
        <stp>BDS|3906444048772918605</stp>
        <tr r="KO5" s="2"/>
      </tp>
      <tp t="e">
        <v>#N/A</v>
        <stp/>
        <stp>BDS|4618325515659466890</stp>
        <tr r="F5" s="125"/>
      </tp>
      <tp t="e">
        <v>#N/A</v>
        <stp/>
        <stp>BDS|3661958194395296190</stp>
        <tr r="EU5" s="37"/>
      </tp>
      <tp t="e">
        <v>#N/A</v>
        <stp/>
        <stp>BDS|3287298602017352160</stp>
        <tr r="DB5" s="105"/>
      </tp>
      <tp t="e">
        <v>#N/A</v>
        <stp/>
        <stp>BDS|3331266978201223030</stp>
        <tr r="P5" s="3"/>
      </tp>
      <tp t="e">
        <v>#N/A</v>
        <stp/>
        <stp>BDS|7724011681851880929</stp>
        <tr r="GX5" s="114"/>
      </tp>
      <tp t="e">
        <v>#N/A</v>
        <stp/>
        <stp>BDS|2092101984544816816</stp>
        <tr r="GN5" s="8"/>
      </tp>
      <tp t="e">
        <v>#N/A</v>
        <stp/>
        <stp>BDS|2380095917245936196</stp>
        <tr r="DQ5" s="7"/>
      </tp>
      <tp t="e">
        <v>#N/A</v>
        <stp/>
        <stp>BDS|4472200598768233038</stp>
        <tr r="U5" s="35"/>
      </tp>
      <tp t="e">
        <v>#N/A</v>
        <stp/>
        <stp>BDS|6898560549570277080</stp>
        <tr r="KO5" s="66"/>
      </tp>
      <tp t="e">
        <v>#N/A</v>
        <stp/>
        <stp>BDS|8093452899107045516</stp>
        <tr r="JF5" s="31"/>
      </tp>
      <tp t="e">
        <v>#N/A</v>
        <stp/>
        <stp>BDS|5673594205344205359</stp>
        <tr r="NL5" s="39"/>
      </tp>
      <tp t="e">
        <v>#N/A</v>
        <stp/>
        <stp>BDS|5159644749390759068</stp>
        <tr r="MC5" s="105"/>
      </tp>
      <tp t="e">
        <v>#N/A</v>
        <stp/>
        <stp>BDS|7039669049027745552</stp>
        <tr r="DV5" s="117"/>
      </tp>
      <tp t="e">
        <v>#N/A</v>
        <stp/>
        <stp>BDS|4421664952352407297</stp>
        <tr r="BX5" s="25"/>
      </tp>
      <tp t="e">
        <v>#N/A</v>
        <stp/>
        <stp>BDS|3460807031189967615</stp>
        <tr r="EU5" s="75"/>
      </tp>
      <tp t="e">
        <v>#N/A</v>
        <stp/>
        <stp>BDS|9814741620638037315</stp>
        <tr r="LS5" s="85"/>
      </tp>
      <tp t="e">
        <v>#N/A</v>
        <stp/>
        <stp>BDS|9193354592784239098</stp>
        <tr r="MM5" s="122"/>
      </tp>
      <tp t="e">
        <v>#N/A</v>
        <stp/>
        <stp>BDS|9628833038860085500</stp>
        <tr r="IG5" s="65"/>
      </tp>
      <tp t="e">
        <v>#N/A</v>
        <stp/>
        <stp>BDS|9702633192206831734</stp>
        <tr r="JZ5" s="82"/>
      </tp>
      <tp t="e">
        <v>#N/A</v>
        <stp/>
        <stp>BDS|5275914065779250494</stp>
        <tr r="AY5" s="15"/>
      </tp>
      <tp t="e">
        <v>#N/A</v>
        <stp/>
        <stp>BDS|5229187325091982047</stp>
        <tr r="EU5" s="62"/>
      </tp>
      <tp t="e">
        <v>#N/A</v>
        <stp/>
        <stp>BDS|8186146306148145600</stp>
        <tr r="GI5" s="15"/>
      </tp>
      <tp t="e">
        <v>#N/A</v>
        <stp/>
        <stp>BDS|4477025007616281517</stp>
        <tr r="IL5" s="110"/>
      </tp>
      <tp t="e">
        <v>#N/A</v>
        <stp/>
        <stp>BDS|9706634487104241438</stp>
        <tr r="CC5" s="42"/>
      </tp>
      <tp t="e">
        <v>#N/A</v>
        <stp/>
        <stp>BDS|7278796469944026503</stp>
        <tr r="LI5" s="29"/>
      </tp>
      <tp t="e">
        <v>#N/A</v>
        <stp/>
        <stp>BDS|1193224502835794142</stp>
        <tr r="JU5" s="101"/>
      </tp>
      <tp t="e">
        <v>#N/A</v>
        <stp/>
        <stp>BDS|3381729885382482924</stp>
        <tr r="KY5" s="52"/>
      </tp>
      <tp t="e">
        <v>#N/A</v>
        <stp/>
        <stp>BDS|6557138255305978087</stp>
        <tr r="JU5" s="125"/>
      </tp>
      <tp t="e">
        <v>#N/A</v>
        <stp/>
        <stp>BDS|5833179780533878856</stp>
        <tr r="DQ5" s="125"/>
      </tp>
      <tp t="e">
        <v>#N/A</v>
        <stp/>
        <stp>BDS|2158338766354023462</stp>
        <tr r="DQ5" s="31"/>
      </tp>
      <tp t="e">
        <v>#N/A</v>
        <stp/>
        <stp>BDS|1092378803826113377</stp>
        <tr r="LX5" s="47"/>
      </tp>
      <tp t="e">
        <v>#N/A</v>
        <stp/>
        <stp>BDS|2380670074332170630</stp>
        <tr r="LX5" s="58"/>
      </tp>
      <tp t="e">
        <v>#N/A</v>
        <stp/>
        <stp>BDS|2667754967845369150</stp>
        <tr r="GX5" s="13"/>
      </tp>
      <tp t="e">
        <v>#N/A</v>
        <stp/>
        <stp>BDS|5577423739380592592</stp>
        <tr r="IQ5" s="46"/>
      </tp>
      <tp t="e">
        <v>#N/A</v>
        <stp/>
        <stp>BDS|7721706531580242468</stp>
        <tr r="AT5" s="124"/>
      </tp>
      <tp t="e">
        <v>#N/A</v>
        <stp/>
        <stp>BDS|6183438100656971392</stp>
        <tr r="GD5" s="37"/>
      </tp>
      <tp t="e">
        <v>#N/A</v>
        <stp/>
        <stp>BDS|1454964324018762537</stp>
        <tr r="LI5" s="42"/>
      </tp>
      <tp t="e">
        <v>#N/A</v>
        <stp/>
        <stp>BDS|6557711366180150010</stp>
        <tr r="CR5" s="16"/>
      </tp>
      <tp t="e">
        <v>#N/A</v>
        <stp/>
        <stp>BDS|5830969983990922367</stp>
        <tr r="BS5" s="37"/>
      </tp>
      <tp t="e">
        <v>#N/A</v>
        <stp/>
        <stp>BDS|2805117626335942347</stp>
        <tr r="BS5" s="41"/>
      </tp>
      <tp t="e">
        <v>#N/A</v>
        <stp/>
        <stp>BDS|1465333995055255927</stp>
        <tr r="MH5" s="104"/>
      </tp>
      <tp t="e">
        <v>#N/A</v>
        <stp/>
        <stp>BDS|6561954695382265350</stp>
        <tr r="HR5" s="105"/>
      </tp>
      <tp t="e">
        <v>#N/A</v>
        <stp/>
        <stp>BDS|9410534669079923453</stp>
        <tr r="AE5" s="99"/>
      </tp>
      <tp t="e">
        <v>#N/A</v>
        <stp/>
        <stp>BDS|3144372041020072354</stp>
        <tr r="F5" s="58"/>
      </tp>
      <tp t="e">
        <v>#N/A</v>
        <stp/>
        <stp>BDS|7592777512090026637</stp>
        <tr r="NG5" s="72"/>
      </tp>
      <tp t="e">
        <v>#N/A</v>
        <stp/>
        <stp>BDS|5650718521011024657</stp>
        <tr r="LS5" s="10"/>
      </tp>
      <tp t="e">
        <v>#N/A</v>
        <stp/>
        <stp>BDS|2927184168354351699</stp>
        <tr r="AT5" s="5"/>
      </tp>
      <tp t="e">
        <v>#N/A</v>
        <stp/>
        <stp>BDS|6409319855687204011</stp>
        <tr r="AT5" s="78"/>
      </tp>
      <tp t="e">
        <v>#N/A</v>
        <stp/>
        <stp>BDS|6797998910900470991</stp>
        <tr r="FE5" s="96"/>
      </tp>
      <tp t="e">
        <v>#N/A</v>
        <stp/>
        <stp>BDS|3682770713585517742</stp>
        <tr r="BD5" s="85"/>
      </tp>
      <tp t="e">
        <v>#N/A</v>
        <stp/>
        <stp>BDS|7096048328865929765</stp>
        <tr r="NQ5" s="13"/>
      </tp>
      <tp t="e">
        <v>#N/A</v>
        <stp/>
        <stp>BDS|9141407905488186260</stp>
        <tr r="MC5" s="47"/>
      </tp>
      <tp t="e">
        <v>#N/A</v>
        <stp/>
        <stp>BDS|8238054410178589611</stp>
        <tr r="OF5" s="34"/>
      </tp>
      <tp t="e">
        <v>#N/A</v>
        <stp/>
        <stp>BDS|9689317614709678563</stp>
        <tr r="JF5" s="30"/>
      </tp>
      <tp t="e">
        <v>#N/A</v>
        <stp/>
        <stp>BDS|7850399021448115925</stp>
        <tr r="BI5" s="121"/>
      </tp>
      <tp t="e">
        <v>#N/A</v>
        <stp/>
        <stp>BDS|8423371080896277220</stp>
        <tr r="CC5" s="15"/>
      </tp>
      <tp t="e">
        <v>#N/A</v>
        <stp/>
        <stp>BDS|7199095327500564292</stp>
        <tr r="JK5" s="53"/>
      </tp>
      <tp t="e">
        <v>#N/A</v>
        <stp/>
        <stp>BDS|1781632397728338133</stp>
        <tr r="EU5" s="74"/>
      </tp>
      <tp t="e">
        <v>#N/A</v>
        <stp/>
        <stp>BDS|4381346107125083535</stp>
        <tr r="FJ5" s="113"/>
      </tp>
      <tp t="e">
        <v>#N/A</v>
        <stp/>
        <stp>BDS|6729563632527762070</stp>
        <tr r="KO5" s="69"/>
      </tp>
      <tp t="e">
        <v>#N/A</v>
        <stp/>
        <stp>BDS|5994178256343248594</stp>
        <tr r="GN5" s="33"/>
      </tp>
      <tp t="e">
        <v>#N/A</v>
        <stp/>
        <stp>BDS|9525878967112598231</stp>
        <tr r="NV5" s="66"/>
      </tp>
      <tp t="e">
        <v>#N/A</v>
        <stp/>
        <stp>BDS|2511931881177769337</stp>
        <tr r="CW5" s="97"/>
      </tp>
      <tp t="e">
        <v>#N/A</v>
        <stp/>
        <stp>BDS|9396862918781995675</stp>
        <tr r="BS5" s="51"/>
      </tp>
      <tp t="e">
        <v>#N/A</v>
        <stp/>
        <stp>BDS|6032427423922157539</stp>
        <tr r="HW5" s="19"/>
      </tp>
      <tp t="e">
        <v>#N/A</v>
        <stp/>
        <stp>BDS|7269632961514512466</stp>
        <tr r="BD5" s="97"/>
      </tp>
      <tp t="e">
        <v>#N/A</v>
        <stp/>
        <stp>BDS|1152777530514600630</stp>
        <tr r="IG5" s="124"/>
      </tp>
      <tp t="e">
        <v>#N/A</v>
        <stp/>
        <stp>BDS|5599274190528778168</stp>
        <tr r="JP5" s="14"/>
      </tp>
      <tp t="e">
        <v>#N/A</v>
        <stp/>
        <stp>BDS|3279614350225167210</stp>
        <tr r="OF5" s="15"/>
      </tp>
      <tp t="e">
        <v>#N/A</v>
        <stp/>
        <stp>BDS|5678998276908923433</stp>
        <tr r="DV5" s="104"/>
      </tp>
      <tp t="e">
        <v>#N/A</v>
        <stp/>
        <stp>BDS|3130761312865389756</stp>
        <tr r="BS5" s="34"/>
      </tp>
      <tp t="e">
        <v>#N/A</v>
        <stp/>
        <stp>BDS|3141811265792444823</stp>
        <tr r="JZ5" s="95"/>
      </tp>
      <tp t="e">
        <v>#N/A</v>
        <stp/>
        <stp>BDS|3903874568949134374</stp>
        <tr r="AO5" s="52"/>
      </tp>
      <tp t="e">
        <v>#N/A</v>
        <stp/>
        <stp>BDS|3035890974548490395</stp>
        <tr r="LX5" s="33"/>
      </tp>
      <tp t="e">
        <v>#N/A</v>
        <stp/>
        <stp>BDS|4288277632696003472</stp>
        <tr r="NV5" s="53"/>
      </tp>
      <tp t="e">
        <v>#N/A</v>
        <stp/>
        <stp>BDS|3638289223306575285</stp>
        <tr r="HH5" s="8"/>
      </tp>
      <tp t="e">
        <v>#N/A</v>
        <stp/>
        <stp>BDS|3036684079750510549</stp>
        <tr r="JF5" s="43"/>
      </tp>
      <tp t="e">
        <v>#N/A</v>
        <stp/>
        <stp>BDS|5459750255315181556</stp>
        <tr r="FY5" s="77"/>
      </tp>
      <tp t="e">
        <v>#N/A</v>
        <stp/>
        <stp>BDS|7865615178071694073</stp>
        <tr r="EF5" s="12"/>
      </tp>
      <tp t="e">
        <v>#N/A</v>
        <stp/>
        <stp>BDS|3998133408217441265</stp>
        <tr r="FY5" s="36"/>
      </tp>
      <tp t="e">
        <v>#N/A</v>
        <stp/>
        <stp>BDS|6996331872765804006</stp>
        <tr r="BN5" s="24"/>
      </tp>
      <tp t="e">
        <v>#N/A</v>
        <stp/>
        <stp>BDS|9899501796617667586</stp>
        <tr r="CR5" s="71"/>
      </tp>
      <tp t="e">
        <v>#N/A</v>
        <stp/>
        <stp>BDS|9779747488175979424</stp>
        <tr r="MM5" s="6"/>
      </tp>
      <tp t="e">
        <v>#N/A</v>
        <stp/>
        <stp>BDS|8501814442654394758</stp>
        <tr r="HH5" s="74"/>
      </tp>
      <tp t="e">
        <v>#N/A</v>
        <stp/>
        <stp>BDS|1969491953304721345</stp>
        <tr r="GD5" s="55"/>
      </tp>
      <tp t="e">
        <v>#N/A</v>
        <stp/>
        <stp>BDS|6497018932742624014</stp>
        <tr r="Z5" s="65"/>
      </tp>
      <tp t="e">
        <v>#N/A</v>
        <stp/>
        <stp>BDS|4640442039623249794</stp>
        <tr r="KE5" s="41"/>
      </tp>
      <tp t="e">
        <v>#N/A</v>
        <stp/>
        <stp>BDS|7226076161240478601</stp>
        <tr r="EU5" s="30"/>
      </tp>
      <tp t="e">
        <v>#N/A</v>
        <stp/>
        <stp>BDS|5436928225591664859</stp>
        <tr r="BN5" s="70"/>
      </tp>
      <tp t="e">
        <v>#N/A</v>
        <stp/>
        <stp>BDS|7935251459155263273</stp>
        <tr r="DB5" s="12"/>
      </tp>
      <tp t="e">
        <v>#N/A</v>
        <stp/>
        <stp>BDS|4810782640064868483</stp>
        <tr r="IQ5" s="125"/>
      </tp>
      <tp t="e">
        <v>#N/A</v>
        <stp/>
        <stp>BDS|2186222446153593005</stp>
        <tr r="EK5" s="83"/>
      </tp>
      <tp t="e">
        <v>#N/A</v>
        <stp/>
        <stp>BDS|4802057029308005943</stp>
        <tr r="NL5" s="105"/>
      </tp>
      <tp t="e">
        <v>#N/A</v>
        <stp/>
        <stp>BDS|9924896839452944703</stp>
        <tr r="JK5" s="102"/>
      </tp>
      <tp t="e">
        <v>#N/A</v>
        <stp/>
        <stp>BDS|5790771250591890183</stp>
        <tr r="JU5" s="53"/>
      </tp>
      <tp t="e">
        <v>#N/A</v>
        <stp/>
        <stp>BDS|7420024584739124137</stp>
        <tr r="EU5" s="121"/>
      </tp>
      <tp t="e">
        <v>#N/A</v>
        <stp/>
        <stp>BDS|2814187242155363514</stp>
        <tr r="U5" s="66"/>
      </tp>
      <tp t="e">
        <v>#N/A</v>
        <stp/>
        <stp>BDS|4552911931989437004</stp>
        <tr r="EU5" s="72"/>
        <tr r="CM5" s="35"/>
      </tp>
      <tp t="e">
        <v>#N/A</v>
        <stp/>
        <stp>BDS|3335871590470644538</stp>
        <tr r="IL5" s="103"/>
      </tp>
      <tp t="e">
        <v>#N/A</v>
        <stp/>
        <stp>BDS|7936895771358980796</stp>
        <tr r="FO5" s="73"/>
      </tp>
      <tp t="e">
        <v>#N/A</v>
        <stp/>
        <stp>BDS|7798315825717414661</stp>
        <tr r="NL5" s="78"/>
      </tp>
      <tp t="e">
        <v>#N/A</v>
        <stp/>
        <stp>BDS|8256346073228528318</stp>
        <tr r="KO5" s="57"/>
      </tp>
      <tp t="e">
        <v>#N/A</v>
        <stp/>
        <stp>BDS|3455650525285761528</stp>
        <tr r="JA5" s="43"/>
      </tp>
      <tp t="e">
        <v>#N/A</v>
        <stp/>
        <stp>BDS|5804298347361404535</stp>
        <tr r="KT5" s="115"/>
      </tp>
      <tp t="e">
        <v>#N/A</v>
        <stp/>
        <stp>BDS|7291475234240451745</stp>
        <tr r="CW5" s="116"/>
      </tp>
      <tp t="e">
        <v>#N/A</v>
        <stp/>
        <stp>BDS|1663876452553192832</stp>
        <tr r="GX5" s="70"/>
      </tp>
      <tp t="e">
        <v>#N/A</v>
        <stp/>
        <stp>BDS|2176387576010885164</stp>
        <tr r="DG5" s="106"/>
      </tp>
      <tp t="e">
        <v>#N/A</v>
        <stp/>
        <stp>BDS|5536187463325793082</stp>
        <tr r="IL5" s="41"/>
      </tp>
      <tp t="e">
        <v>#N/A</v>
        <stp/>
        <stp>BDS|5724888909512274854</stp>
        <tr r="KJ5" s="68"/>
      </tp>
      <tp t="e">
        <v>#N/A</v>
        <stp/>
        <stp>BDS|1332035052885003633</stp>
        <tr r="BS5" s="16"/>
      </tp>
      <tp t="e">
        <v>#N/A</v>
        <stp/>
        <stp>BDS|8393921131265198001</stp>
        <tr r="JP5" s="65"/>
      </tp>
      <tp t="e">
        <v>#N/A</v>
        <stp/>
        <stp>BDS|1867984403688272701</stp>
        <tr r="KO5" s="87"/>
      </tp>
      <tp t="e">
        <v>#N/A</v>
        <stp/>
        <stp>BDS|9517206358698426181</stp>
        <tr r="MW5" s="53"/>
      </tp>
      <tp t="e">
        <v>#N/A</v>
        <stp/>
        <stp>BDS|3453963171732270805</stp>
        <tr r="EF5" s="70"/>
      </tp>
      <tp t="e">
        <v>#N/A</v>
        <stp/>
        <stp>BDS|5741443880149031726</stp>
        <tr r="HC5" s="81"/>
      </tp>
      <tp t="e">
        <v>#N/A</v>
        <stp/>
        <stp>BDS|4720730915244224121</stp>
        <tr r="AO5" s="98"/>
      </tp>
      <tp t="e">
        <v>#N/A</v>
        <stp/>
        <stp>BDS|8329966037740354505</stp>
        <tr r="BX5" s="99"/>
      </tp>
      <tp t="e">
        <v>#N/A</v>
        <stp/>
        <stp>BDS|1019012383847146929</stp>
        <tr r="JZ5" s="11"/>
      </tp>
      <tp t="e">
        <v>#N/A</v>
        <stp/>
        <stp>BDS|7527194659244579014</stp>
        <tr r="NV5" s="55"/>
      </tp>
      <tp t="e">
        <v>#N/A</v>
        <stp/>
        <stp>BDS|7720342265596037371</stp>
        <tr r="K5" s="87"/>
      </tp>
      <tp t="e">
        <v>#N/A</v>
        <stp/>
        <stp>BDS|6970132812372030392</stp>
        <tr r="FO5" s="40"/>
      </tp>
      <tp t="e">
        <v>#N/A</v>
        <stp/>
        <stp>BDS|1041550495268059214</stp>
        <tr r="LN5" s="5"/>
      </tp>
      <tp t="e">
        <v>#N/A</v>
        <stp/>
        <stp>BDS|7103883214950580996</stp>
        <tr r="U5" s="64"/>
      </tp>
      <tp t="e">
        <v>#N/A</v>
        <stp/>
        <stp>BDS|6933116126970101296</stp>
        <tr r="NG5" s="36"/>
      </tp>
      <tp t="e">
        <v>#N/A</v>
        <stp/>
        <stp>BDS|8986640267259926652</stp>
        <tr r="JK5" s="5"/>
      </tp>
      <tp t="e">
        <v>#N/A</v>
        <stp/>
        <stp>BDS|1741296675062594180</stp>
        <tr r="IQ5" s="108"/>
      </tp>
      <tp t="e">
        <v>#N/A</v>
        <stp/>
        <stp>BDS|2397530765146642057</stp>
        <tr r="AY5" s="108"/>
      </tp>
      <tp t="e">
        <v>#N/A</v>
        <stp/>
        <stp>BDS|7415103427343280076</stp>
        <tr r="MC5" s="13"/>
      </tp>
      <tp t="e">
        <v>#N/A</v>
        <stp/>
        <stp>BDS|7922165719945926590</stp>
        <tr r="EZ5" s="1"/>
      </tp>
      <tp t="e">
        <v>#N/A</v>
        <stp/>
        <stp>BDS|4095147134840654101</stp>
        <tr r="HC5" s="112"/>
      </tp>
      <tp t="e">
        <v>#N/A</v>
        <stp/>
        <stp>BDS|6286063849830207591</stp>
        <tr r="LI5" s="123"/>
      </tp>
      <tp t="e">
        <v>#N/A</v>
        <stp/>
        <stp>BDS|6708027158141243591</stp>
        <tr r="LX5" s="1"/>
      </tp>
      <tp t="e">
        <v>#N/A</v>
        <stp/>
        <stp>BDS|1584028475150533112</stp>
        <tr r="Z5" s="93"/>
      </tp>
      <tp t="e">
        <v>#N/A</v>
        <stp/>
        <stp>BDS|2104262335611568513</stp>
        <tr r="MW5" s="66"/>
      </tp>
      <tp t="e">
        <v>#N/A</v>
        <stp/>
        <stp>BDS|1975163218681737760</stp>
        <tr r="CH5" s="10"/>
      </tp>
      <tp t="e">
        <v>#N/A</v>
        <stp/>
        <stp>BDS|8374976636912198750</stp>
        <tr r="KT5" s="61"/>
      </tp>
      <tp t="e">
        <v>#N/A</v>
        <stp/>
        <stp>BDS|5458665640250370073</stp>
        <tr r="NQ5" s="105"/>
      </tp>
      <tp t="e">
        <v>#N/A</v>
        <stp/>
        <stp>BDS|1845802992312573595</stp>
        <tr r="KO5" s="31"/>
      </tp>
      <tp t="e">
        <v>#N/A</v>
        <stp/>
        <stp>BDS|5082956827811152854</stp>
        <tr r="JA5" s="14"/>
      </tp>
      <tp t="e">
        <v>#N/A</v>
        <stp/>
        <stp>BDS|3358165129435379297</stp>
        <tr r="EZ5" s="27"/>
      </tp>
      <tp t="e">
        <v>#N/A</v>
        <stp/>
        <stp>BDS|7129939273878010676</stp>
        <tr r="FE5" s="37"/>
      </tp>
      <tp t="e">
        <v>#N/A</v>
        <stp/>
        <stp>BDS|2793489644531470497</stp>
        <tr r="CM5" s="98"/>
      </tp>
      <tp t="e">
        <v>#N/A</v>
        <stp/>
        <stp>BDS|9221905143620033369</stp>
        <tr r="JZ5" s="52"/>
      </tp>
      <tp t="e">
        <v>#N/A</v>
        <stp/>
        <stp>BDS|1250449951720150715</stp>
        <tr r="JP5" s="61"/>
      </tp>
      <tp t="e">
        <v>#N/A</v>
        <stp/>
        <stp>BDS|5363359277642109477</stp>
        <tr r="IB5" s="32"/>
      </tp>
      <tp t="e">
        <v>#N/A</v>
        <stp/>
        <stp>BDS|8189074654358624233</stp>
        <tr r="U5" s="62"/>
      </tp>
      <tp t="e">
        <v>#N/A</v>
        <stp/>
        <stp>BDS|1124232697749582473</stp>
        <tr r="CH5" s="98"/>
      </tp>
      <tp t="e">
        <v>#N/A</v>
        <stp/>
        <stp>BDS|4807074922940207181</stp>
        <tr r="CC5" s="17"/>
      </tp>
      <tp t="e">
        <v>#N/A</v>
        <stp/>
        <stp>BDS|3803162446405858470</stp>
        <tr r="HM5" s="81"/>
      </tp>
      <tp t="e">
        <v>#N/A</v>
        <stp/>
        <stp>BDS|5022579770804045407</stp>
        <tr r="DQ5" s="39"/>
      </tp>
      <tp t="e">
        <v>#N/A</v>
        <stp/>
        <stp>BDS|7650336006605508615</stp>
        <tr r="JU5" s="11"/>
      </tp>
      <tp t="e">
        <v>#N/A</v>
        <stp/>
        <stp>BDS|2335286051427583588</stp>
        <tr r="MC5" s="37"/>
      </tp>
      <tp t="e">
        <v>#N/A</v>
        <stp/>
        <stp>BDS|5740424156304634721</stp>
        <tr r="KO5" s="21"/>
      </tp>
      <tp t="e">
        <v>#N/A</v>
        <stp/>
        <stp>BDS|1249915873188578021</stp>
        <tr r="EF5" s="101"/>
      </tp>
      <tp t="e">
        <v>#N/A</v>
        <stp/>
        <stp>BDS|3394856833766282906</stp>
        <tr r="HH5" s="7"/>
      </tp>
      <tp t="e">
        <v>#N/A</v>
        <stp/>
        <stp>BDS|7331320777344942083</stp>
        <tr r="HW5" s="16"/>
      </tp>
      <tp t="e">
        <v>#N/A</v>
        <stp/>
        <stp>BDS|8472747426532254837</stp>
        <tr r="GI5" s="92"/>
      </tp>
      <tp t="e">
        <v>#N/A</v>
        <stp/>
        <stp>BDS|3464180274216659496</stp>
        <tr r="NB5" s="90"/>
      </tp>
      <tp t="e">
        <v>#N/A</v>
        <stp/>
        <stp>BDS|7884749072141838117</stp>
        <tr r="CW5" s="22"/>
      </tp>
      <tp t="e">
        <v>#N/A</v>
        <stp/>
        <stp>BDS|3359135387435900890</stp>
        <tr r="BD5" s="80"/>
      </tp>
      <tp t="e">
        <v>#N/A</v>
        <stp/>
        <stp>BDS|7218057977275312240</stp>
        <tr r="DQ5" s="60"/>
      </tp>
      <tp t="e">
        <v>#N/A</v>
        <stp/>
        <stp>BDS|2667103415323723631</stp>
        <tr r="OA5" s="119"/>
      </tp>
      <tp t="e">
        <v>#N/A</v>
        <stp/>
        <stp>BDS|4866021912817736589</stp>
        <tr r="FE5" s="72"/>
      </tp>
      <tp t="e">
        <v>#N/A</v>
        <stp/>
        <stp>BDS|6954630074795819528</stp>
        <tr r="GI5" s="7"/>
      </tp>
      <tp t="e">
        <v>#N/A</v>
        <stp/>
        <stp>BDS|6950597000450560419</stp>
        <tr r="MC5" s="107"/>
      </tp>
      <tp t="e">
        <v>#N/A</v>
        <stp/>
        <stp>BDS|6265034015789186914</stp>
        <tr r="CH5" s="74"/>
      </tp>
      <tp t="e">
        <v>#N/A</v>
        <stp/>
        <stp>BDS|7491751075837496747</stp>
        <tr r="MR5" s="60"/>
      </tp>
      <tp t="e">
        <v>#N/A</v>
        <stp/>
        <stp>BDS|7043269128868237888</stp>
        <tr r="JZ5" s="91"/>
      </tp>
      <tp t="e">
        <v>#N/A</v>
        <stp/>
        <stp>BDS|9161089104619915707</stp>
        <tr r="EU5" s="43"/>
      </tp>
      <tp t="e">
        <v>#N/A</v>
        <stp/>
        <stp>BDS|4611019902544249736</stp>
        <tr r="JA5" s="113"/>
      </tp>
      <tp t="e">
        <v>#N/A</v>
        <stp/>
        <stp>BDS|8265852663388195913</stp>
        <tr r="DB5" s="97"/>
      </tp>
      <tp t="e">
        <v>#N/A</v>
        <stp/>
        <stp>BDS|1558879676899245022</stp>
        <tr r="GS5" s="64"/>
      </tp>
      <tp t="e">
        <v>#N/A</v>
        <stp/>
        <stp>BDS|2198949854140621930</stp>
        <tr r="NG5" s="106"/>
      </tp>
      <tp t="e">
        <v>#N/A</v>
        <stp/>
        <stp>BDS|5507789419252833688</stp>
        <tr r="GN5" s="54"/>
      </tp>
      <tp t="e">
        <v>#N/A</v>
        <stp/>
        <stp>BDS|7374021560067568101</stp>
        <tr r="JU5" s="54"/>
      </tp>
      <tp t="e">
        <v>#N/A</v>
        <stp/>
        <stp>BDS|3594215708995831307</stp>
        <tr r="DB5" s="67"/>
      </tp>
      <tp t="e">
        <v>#N/A</v>
        <stp/>
        <stp>BDS|7704133760712874585</stp>
        <tr r="GX5" s="47"/>
      </tp>
      <tp t="e">
        <v>#N/A</v>
        <stp/>
        <stp>BDS|8924786466637561962</stp>
        <tr r="OA5" s="64"/>
      </tp>
      <tp t="e">
        <v>#N/A</v>
        <stp/>
        <stp>BDS|9874511045357039880</stp>
        <tr r="AY5" s="19"/>
      </tp>
      <tp t="e">
        <v>#N/A</v>
        <stp/>
        <stp>BDS|4571177173785226072</stp>
        <tr r="LS5" s="35"/>
      </tp>
      <tp t="e">
        <v>#N/A</v>
        <stp/>
        <stp>BDS|8467067487835742269</stp>
        <tr r="IQ5" s="88"/>
      </tp>
      <tp t="e">
        <v>#N/A</v>
        <stp/>
        <stp>BDS|3488134071896571476</stp>
        <tr r="HC5" s="57"/>
      </tp>
      <tp t="e">
        <v>#N/A</v>
        <stp/>
        <stp>BDS|6164610060328062959</stp>
        <tr r="JP5" s="79"/>
      </tp>
      <tp t="e">
        <v>#N/A</v>
        <stp/>
        <stp>BDS|6797020751342816690</stp>
        <tr r="NG5" s="12"/>
      </tp>
      <tp t="e">
        <v>#N/A</v>
        <stp/>
        <stp>BDS|5047316372157493123</stp>
        <tr r="NG5" s="67"/>
      </tp>
      <tp t="e">
        <v>#N/A</v>
        <stp/>
        <stp>BDS|1541088378210856185</stp>
        <tr r="HR5" s="77"/>
      </tp>
      <tp t="e">
        <v>#N/A</v>
        <stp/>
        <stp>BDS|4275040342690179708</stp>
        <tr r="AY5" s="84"/>
      </tp>
      <tp t="e">
        <v>#N/A</v>
        <stp/>
        <stp>BDS|8514713082740481073</stp>
        <tr r="IL5" s="53"/>
      </tp>
      <tp t="e">
        <v>#N/A</v>
        <stp/>
        <stp>BDS|2462900962823555965</stp>
        <tr r="CW5" s="24"/>
      </tp>
      <tp t="e">
        <v>#N/A</v>
        <stp/>
        <stp>BDS|7273408125345448366</stp>
        <tr r="MW5" s="21"/>
      </tp>
      <tp t="e">
        <v>#N/A</v>
        <stp/>
        <stp>BDS|1415347911944500013</stp>
        <tr r="AJ5" s="118"/>
      </tp>
      <tp t="e">
        <v>#N/A</v>
        <stp/>
        <stp>BDS|2286263337346313254</stp>
        <tr r="LD5" s="118"/>
      </tp>
      <tp t="e">
        <v>#N/A</v>
        <stp/>
        <stp>BDS|6973343939777970689</stp>
        <tr r="DQ5" s="83"/>
      </tp>
      <tp t="e">
        <v>#N/A</v>
        <stp/>
        <stp>BDS|4146204695270826892</stp>
        <tr r="KY5" s="84"/>
      </tp>
      <tp t="e">
        <v>#N/A</v>
        <stp/>
        <stp>BDS|1703647374557475066</stp>
        <tr r="LS5" s="96"/>
      </tp>
      <tp t="e">
        <v>#N/A</v>
        <stp/>
        <stp>BDS|3086397421332570788</stp>
        <tr r="BI5" s="59"/>
      </tp>
      <tp t="e">
        <v>#N/A</v>
        <stp/>
        <stp>BDS|7109524172522752037</stp>
        <tr r="MH5" s="41"/>
      </tp>
      <tp t="e">
        <v>#N/A</v>
        <stp/>
        <stp>BDS|8093797809739323168</stp>
        <tr r="AE5" s="75"/>
      </tp>
      <tp t="e">
        <v>#N/A</v>
        <stp/>
        <stp>BDS|6579412977485482729</stp>
        <tr r="GX5" s="116"/>
      </tp>
      <tp t="e">
        <v>#N/A</v>
        <stp/>
        <stp>BDS|2019565557364221165</stp>
        <tr r="LS5" s="28"/>
      </tp>
      <tp t="e">
        <v>#N/A</v>
        <stp/>
        <stp>BDS|7664208332009560849</stp>
        <tr r="IB5" s="119"/>
      </tp>
      <tp t="e">
        <v>#N/A</v>
        <stp/>
        <stp>BDS|4339243071140575667</stp>
        <tr r="GD5" s="97"/>
        <tr r="GX5" s="104"/>
      </tp>
      <tp t="e">
        <v>#N/A</v>
        <stp/>
        <stp>BDS|7194232907357480541</stp>
        <tr r="EP5" s="94"/>
      </tp>
      <tp t="e">
        <v>#N/A</v>
        <stp/>
        <stp>BDS|4134828917852252837</stp>
        <tr r="MM5" s="87"/>
      </tp>
      <tp t="e">
        <v>#N/A</v>
        <stp/>
        <stp>BDS|6064862781290136133</stp>
        <tr r="CC5" s="2"/>
      </tp>
      <tp t="e">
        <v>#N/A</v>
        <stp/>
        <stp>BDS|3012104231050267664</stp>
        <tr r="LX5" s="95"/>
      </tp>
      <tp t="e">
        <v>#N/A</v>
        <stp/>
        <stp>BDS|3665400982489828197</stp>
        <tr r="NG5" s="19"/>
      </tp>
      <tp t="e">
        <v>#N/A</v>
        <stp/>
        <stp>BDS|5105152737462375255</stp>
        <tr r="KY5" s="6"/>
      </tp>
      <tp t="e">
        <v>#N/A</v>
        <stp/>
        <stp>BDS|5073281803138944877</stp>
        <tr r="MC5" s="26"/>
      </tp>
      <tp t="e">
        <v>#N/A</v>
        <stp/>
        <stp>BDS|9947282413655723807</stp>
        <tr r="LS5" s="19"/>
      </tp>
      <tp t="e">
        <v>#N/A</v>
        <stp/>
        <stp>BDS|5491185459593191515</stp>
        <tr r="MM5" s="14"/>
      </tp>
      <tp t="e">
        <v>#N/A</v>
        <stp/>
        <stp>BDS|2948707383915084808</stp>
        <tr r="DQ5" s="26"/>
      </tp>
      <tp t="e">
        <v>#N/A</v>
        <stp/>
        <stp>BDS|8849638896645607211</stp>
        <tr r="FT5" s="78"/>
      </tp>
      <tp t="e">
        <v>#N/A</v>
        <stp/>
        <stp>BDS|1579397041477586127</stp>
        <tr r="JF5" s="97"/>
      </tp>
      <tp t="e">
        <v>#N/A</v>
        <stp/>
        <stp>BDS|9043610335365784996</stp>
        <tr r="GD5" s="70"/>
      </tp>
      <tp t="e">
        <v>#N/A</v>
        <stp/>
        <stp>BDS|2654598961265603426</stp>
        <tr r="KT5" s="68"/>
      </tp>
      <tp t="e">
        <v>#N/A</v>
        <stp/>
        <stp>BDS|2158448689727672903</stp>
        <tr r="FY5" s="18"/>
      </tp>
      <tp t="e">
        <v>#N/A</v>
        <stp/>
        <stp>BDS|2582616314787805226</stp>
        <tr r="NL5" s="38"/>
      </tp>
      <tp t="e">
        <v>#N/A</v>
        <stp/>
        <stp>BDS|7154892983194489351</stp>
        <tr r="FY5" s="118"/>
      </tp>
      <tp t="e">
        <v>#N/A</v>
        <stp/>
        <stp>BDS|5557708678343760604</stp>
        <tr r="EF5" s="88"/>
      </tp>
      <tp t="e">
        <v>#N/A</v>
        <stp/>
        <stp>BDS|5307608198603303923</stp>
        <tr r="NQ5" s="22"/>
      </tp>
      <tp t="e">
        <v>#N/A</v>
        <stp/>
        <stp>BDS|1047828621218148388</stp>
        <tr r="BD5" s="43"/>
      </tp>
      <tp t="e">
        <v>#N/A</v>
        <stp/>
        <stp>BDS|7798378157222403390</stp>
        <tr r="JP5" s="125"/>
      </tp>
      <tp t="e">
        <v>#N/A</v>
        <stp/>
        <stp>BDS|3629808314572056889</stp>
        <tr r="KY5" s="58"/>
      </tp>
      <tp t="e">
        <v>#N/A</v>
        <stp/>
        <stp>BDS|6361667475755211287</stp>
        <tr r="BI5" s="45"/>
      </tp>
      <tp t="e">
        <v>#N/A</v>
        <stp/>
        <stp>BDS|3253118039265495440</stp>
        <tr r="JP5" s="37"/>
      </tp>
      <tp t="e">
        <v>#N/A</v>
        <stp/>
        <stp>BDS|8917509044248298155</stp>
        <tr r="FJ5" s="37"/>
      </tp>
      <tp t="e">
        <v>#N/A</v>
        <stp/>
        <stp>BDS|8892962147925007037</stp>
        <tr r="NV5" s="33"/>
      </tp>
      <tp t="e">
        <v>#N/A</v>
        <stp/>
        <stp>BDS|4592639950030478782</stp>
        <tr r="K5" s="97"/>
      </tp>
      <tp t="e">
        <v>#N/A</v>
        <stp/>
        <stp>BDS|1521785312635685223</stp>
        <tr r="Z5" s="45"/>
      </tp>
      <tp t="e">
        <v>#N/A</v>
        <stp/>
        <stp>BDS|9891676670041300975</stp>
        <tr r="MH5" s="7"/>
      </tp>
      <tp t="e">
        <v>#N/A</v>
        <stp/>
        <stp>BDS|7559016259814204641</stp>
        <tr r="AO5" s="12"/>
      </tp>
      <tp t="e">
        <v>#N/A</v>
        <stp/>
        <stp>BDS|1731199624950586244</stp>
        <tr r="FT5" s="1"/>
      </tp>
      <tp t="e">
        <v>#N/A</v>
        <stp/>
        <stp>BDS|9909565996310068522</stp>
        <tr r="GX5" s="72"/>
      </tp>
      <tp t="e">
        <v>#N/A</v>
        <stp/>
        <stp>BDS|6001448700943961167</stp>
        <tr r="EA5" s="21"/>
      </tp>
      <tp t="e">
        <v>#N/A</v>
        <stp/>
        <stp>BDS|1166396451083272407</stp>
        <tr r="CH5" s="25"/>
      </tp>
      <tp t="e">
        <v>#N/A</v>
        <stp/>
        <stp>BDS|4628572138365277704</stp>
        <tr r="EU5" s="42"/>
      </tp>
      <tp t="e">
        <v>#N/A</v>
        <stp/>
        <stp>BDS|5574474641327175296</stp>
        <tr r="FO5" s="114"/>
      </tp>
      <tp t="e">
        <v>#N/A</v>
        <stp/>
        <stp>BDS|9313336763105116996</stp>
        <tr r="CW5" s="34"/>
      </tp>
      <tp t="e">
        <v>#N/A</v>
        <stp/>
        <stp>BDS|2883813284897251540</stp>
        <tr r="KT5" s="38"/>
      </tp>
      <tp t="e">
        <v>#N/A</v>
        <stp/>
        <stp>BDS|3063298206892343375</stp>
        <tr r="U5" s="106"/>
      </tp>
      <tp t="e">
        <v>#N/A</v>
        <stp/>
        <stp>BDS|7815300752795231431</stp>
        <tr r="HC5" s="31"/>
      </tp>
      <tp t="e">
        <v>#N/A</v>
        <stp/>
        <stp>BDS|5225195869413846112</stp>
        <tr r="CM5" s="118"/>
      </tp>
      <tp t="e">
        <v>#N/A</v>
        <stp/>
        <stp>BDS|1184538458339014828</stp>
        <tr r="OA5" s="114"/>
      </tp>
      <tp t="e">
        <v>#N/A</v>
        <stp/>
        <stp>BDS|9685653683282817501</stp>
        <tr r="BD5" s="116"/>
      </tp>
      <tp t="e">
        <v>#N/A</v>
        <stp/>
        <stp>BDS|9134803362251929629</stp>
        <tr r="CH5" s="85"/>
      </tp>
      <tp t="e">
        <v>#N/A</v>
        <stp/>
        <stp>BDS|1553479435717725187</stp>
        <tr r="OF5" s="25"/>
      </tp>
      <tp t="e">
        <v>#N/A</v>
        <stp/>
        <stp>BDS|5587081654188303826</stp>
        <tr r="DG5" s="25"/>
      </tp>
      <tp t="e">
        <v>#N/A</v>
        <stp/>
        <stp>BDS|5491117941948819849</stp>
        <tr r="CW5" s="109"/>
      </tp>
      <tp t="e">
        <v>#N/A</v>
        <stp/>
        <stp>BDS|4918066410891667416</stp>
        <tr r="FT5" s="65"/>
      </tp>
      <tp t="e">
        <v>#N/A</v>
        <stp/>
        <stp>BDS|8555109669626455903</stp>
        <tr r="KE5" s="98"/>
      </tp>
      <tp t="e">
        <v>#N/A</v>
        <stp/>
        <stp>BDS|8548750548539449249</stp>
        <tr r="JF5" s="66"/>
      </tp>
      <tp t="e">
        <v>#N/A</v>
        <stp/>
        <stp>BDS|7278366971646510584</stp>
        <tr r="P5" s="104"/>
      </tp>
      <tp t="e">
        <v>#N/A</v>
        <stp/>
        <stp>BDS|2203496079497280688</stp>
        <tr r="IV5" s="100"/>
      </tp>
      <tp t="e">
        <v>#N/A</v>
        <stp/>
        <stp>BDS|2559606019534427107</stp>
        <tr r="AT5" s="109"/>
      </tp>
      <tp t="e">
        <v>#N/A</v>
        <stp/>
        <stp>BDS|1690145836245469688</stp>
        <tr r="EK5" s="6"/>
      </tp>
      <tp t="e">
        <v>#N/A</v>
        <stp/>
        <stp>BDS|5973137657620676131</stp>
        <tr r="GX5" s="22"/>
      </tp>
      <tp t="e">
        <v>#N/A</v>
        <stp/>
        <stp>BDS|4792016231243957469</stp>
        <tr r="DQ5" s="68"/>
      </tp>
      <tp t="e">
        <v>#N/A</v>
        <stp/>
        <stp>BDS|5792691540785074269</stp>
        <tr r="HR5" s="111"/>
      </tp>
      <tp t="e">
        <v>#N/A</v>
        <stp/>
        <stp>BDS|2392737032864205280</stp>
        <tr r="CM5" s="125"/>
      </tp>
      <tp t="e">
        <v>#N/A</v>
        <stp/>
        <stp>BDS|4775095971503743005</stp>
        <tr r="CW5" s="125"/>
      </tp>
      <tp t="e">
        <v>#N/A</v>
        <stp/>
        <stp>BDS|2627480561244065471</stp>
        <tr r="BI5" s="25"/>
      </tp>
      <tp t="e">
        <v>#N/A</v>
        <stp/>
        <stp>BDS|3394348961596852065</stp>
        <tr r="KJ5" s="116"/>
      </tp>
      <tp t="e">
        <v>#N/A</v>
        <stp/>
        <stp>BDS|7310189276022143348</stp>
        <tr r="DB5" s="115"/>
      </tp>
      <tp t="e">
        <v>#N/A</v>
        <stp/>
        <stp>BDS|6880402070512185712</stp>
        <tr r="AO5" s="84"/>
      </tp>
      <tp t="e">
        <v>#N/A</v>
        <stp/>
        <stp>BDS|8603853554664681187</stp>
        <tr r="BN5" s="72"/>
      </tp>
      <tp t="e">
        <v>#N/A</v>
        <stp/>
        <stp>BDS|7157713447956724296</stp>
        <tr r="NQ5" s="20"/>
      </tp>
      <tp t="e">
        <v>#N/A</v>
        <stp/>
        <stp>BDS|9479947566300681690</stp>
        <tr r="Z5" s="26"/>
      </tp>
      <tp t="e">
        <v>#N/A</v>
        <stp/>
        <stp>BDS|8189843129444622636</stp>
        <tr r="GI5" s="120"/>
      </tp>
      <tp t="e">
        <v>#N/A</v>
        <stp/>
        <stp>BDS|8839336802523187810</stp>
        <tr r="IV5" s="98"/>
      </tp>
      <tp t="e">
        <v>#N/A</v>
        <stp/>
        <stp>BDS|5019128716581565482</stp>
        <tr r="BI5" s="42"/>
      </tp>
      <tp t="e">
        <v>#N/A</v>
        <stp/>
        <stp>BDS|8491289175579259428</stp>
        <tr r="CH5" s="73"/>
      </tp>
      <tp t="e">
        <v>#N/A</v>
        <stp/>
        <stp>BDS|4613653566804569092</stp>
        <tr r="MH5" s="20"/>
      </tp>
      <tp t="e">
        <v>#N/A</v>
        <stp/>
        <stp>BDS|7104910051732811909</stp>
        <tr r="IQ5" s="97"/>
      </tp>
      <tp t="e">
        <v>#N/A</v>
        <stp/>
        <stp>BDS|3663089560874101165</stp>
        <tr r="P5" s="22"/>
      </tp>
      <tp t="e">
        <v>#N/A</v>
        <stp/>
        <stp>BDS|9861168306811912985</stp>
        <tr r="OA5" s="73"/>
      </tp>
      <tp t="e">
        <v>#N/A</v>
        <stp/>
        <stp>BDS|9440856981188924102</stp>
        <tr r="HH5" s="43"/>
      </tp>
      <tp t="e">
        <v>#N/A</v>
        <stp/>
        <stp>BDS|1734569204840975456</stp>
        <tr r="HW5" s="81"/>
      </tp>
      <tp t="e">
        <v>#N/A</v>
        <stp/>
        <stp>BDS|7702336195085902815</stp>
        <tr r="IB5" s="92"/>
      </tp>
      <tp t="e">
        <v>#N/A</v>
        <stp/>
        <stp>BDS|8663844211218867926</stp>
        <tr r="NG5" s="51"/>
      </tp>
      <tp t="e">
        <v>#N/A</v>
        <stp/>
        <stp>BDS|2376861969808568409</stp>
        <tr r="BI5" s="109"/>
      </tp>
      <tp t="e">
        <v>#N/A</v>
        <stp/>
        <stp>BDS|8968277192533175042</stp>
        <tr r="JK5" s="85"/>
      </tp>
      <tp t="e">
        <v>#N/A</v>
        <stp/>
        <stp>BDS|6201514401215889638</stp>
        <tr r="FY5" s="35"/>
      </tp>
      <tp t="e">
        <v>#N/A</v>
        <stp/>
        <stp>BDS|6284209739771233602</stp>
        <tr r="IB5" s="35"/>
      </tp>
      <tp t="e">
        <v>#N/A</v>
        <stp/>
        <stp>BDS|9414895875325159305</stp>
        <tr r="BS5" s="105"/>
      </tp>
      <tp t="e">
        <v>#N/A</v>
        <stp/>
        <stp>BDS|8404705147053213883</stp>
        <tr r="LD5" s="17"/>
      </tp>
      <tp t="e">
        <v>#N/A</v>
        <stp/>
        <stp>BDS|4339879735796118998</stp>
        <tr r="GN5" s="1"/>
      </tp>
      <tp t="e">
        <v>#N/A</v>
        <stp/>
        <stp>BDS|8142340271258816452</stp>
        <tr r="EZ5" s="22"/>
      </tp>
      <tp t="e">
        <v>#N/A</v>
        <stp/>
        <stp>BDS|3290955411853984816</stp>
        <tr r="HM5" s="17"/>
      </tp>
      <tp t="e">
        <v>#N/A</v>
        <stp/>
        <stp>BDS|7435769976175998238</stp>
        <tr r="EU5" s="1"/>
      </tp>
      <tp t="e">
        <v>#N/A</v>
        <stp/>
        <stp>BDS|4152203254392392187</stp>
        <tr r="EF5" s="114"/>
      </tp>
      <tp t="e">
        <v>#N/A</v>
        <stp/>
        <stp>BDS|7739364921497627189</stp>
        <tr r="CW5" s="16"/>
      </tp>
      <tp t="e">
        <v>#N/A</v>
        <stp/>
        <stp>BDS|6198461006043724182</stp>
        <tr r="JK5" s="63"/>
      </tp>
      <tp t="e">
        <v>#N/A</v>
        <stp/>
        <stp>BDS|5895992257688860102</stp>
        <tr r="MH5" s="87"/>
      </tp>
      <tp t="e">
        <v>#N/A</v>
        <stp/>
        <stp>BDS|1952478565163146046</stp>
        <tr r="MW5" s="72"/>
      </tp>
      <tp t="e">
        <v>#N/A</v>
        <stp/>
        <stp>BDS|1849660036266783210</stp>
        <tr r="KT5" s="10"/>
      </tp>
      <tp t="e">
        <v>#N/A</v>
        <stp/>
        <stp>BDS|7213784050422123751</stp>
        <tr r="BX5" s="19"/>
      </tp>
      <tp t="e">
        <v>#N/A</v>
        <stp/>
        <stp>BDS|3907834295016549442</stp>
        <tr r="P5" s="39"/>
      </tp>
      <tp t="e">
        <v>#N/A</v>
        <stp/>
        <stp>BDS|5269546320326082489</stp>
        <tr r="P5" s="99"/>
      </tp>
      <tp t="e">
        <v>#N/A</v>
        <stp/>
        <stp>BDS|1288814157158968438</stp>
        <tr r="NG5" s="55"/>
      </tp>
      <tp t="e">
        <v>#N/A</v>
        <stp/>
        <stp>BDS|3813227055557321322</stp>
        <tr r="P5" s="63"/>
      </tp>
      <tp t="e">
        <v>#N/A</v>
        <stp/>
        <stp>BDS|1671774443357491589</stp>
        <tr r="BI5" s="18"/>
      </tp>
      <tp t="e">
        <v>#N/A</v>
        <stp/>
        <stp>BDS|4791280941183008108</stp>
        <tr r="KJ5" s="117"/>
      </tp>
      <tp t="e">
        <v>#N/A</v>
        <stp/>
        <stp>BDS|6227501163285777087</stp>
        <tr r="MM5" s="12"/>
      </tp>
      <tp t="e">
        <v>#N/A</v>
        <stp/>
        <stp>BDS|7207575775375923072</stp>
        <tr r="JZ5" s="124"/>
      </tp>
      <tp t="e">
        <v>#N/A</v>
        <stp/>
        <stp>BDS|3259392645060939493</stp>
        <tr r="JP5" s="21"/>
      </tp>
      <tp t="e">
        <v>#N/A</v>
        <stp/>
        <stp>BDS|2820635346968484872</stp>
        <tr r="HC5" s="32"/>
      </tp>
      <tp t="e">
        <v>#N/A</v>
        <stp/>
        <stp>BDS|5738260058293312144</stp>
        <tr r="AJ5" s="60"/>
      </tp>
      <tp t="e">
        <v>#N/A</v>
        <stp/>
        <stp>BDS|9349442639286469846</stp>
        <tr r="CR5" s="63"/>
      </tp>
      <tp t="e">
        <v>#N/A</v>
        <stp/>
        <stp>BDS|9743476110488760494</stp>
        <tr r="HH5" s="81"/>
      </tp>
      <tp t="e">
        <v>#N/A</v>
        <stp/>
        <stp>BDS|4675584005609281867</stp>
        <tr r="FT5" s="45"/>
      </tp>
      <tp t="e">
        <v>#N/A</v>
        <stp/>
        <stp>BDS|2515578876386837632</stp>
        <tr r="AY5" s="99"/>
      </tp>
      <tp t="e">
        <v>#N/A</v>
        <stp/>
        <stp>BDS|4952941837796218879</stp>
        <tr r="FJ5" s="32"/>
      </tp>
      <tp t="e">
        <v>#N/A</v>
        <stp/>
        <stp>BDS|4586922086126715392</stp>
        <tr r="A5" s="45"/>
      </tp>
      <tp t="e">
        <v>#N/A</v>
        <stp/>
        <stp>BDS|2868398541537879275</stp>
        <tr r="KE5" s="10"/>
      </tp>
      <tp t="e">
        <v>#N/A</v>
        <stp/>
        <stp>BDS|4977603960561780510</stp>
        <tr r="NG5" s="7"/>
      </tp>
      <tp t="e">
        <v>#N/A</v>
        <stp/>
        <stp>BDS|5846119226124370235</stp>
        <tr r="GS5" s="30"/>
      </tp>
      <tp t="e">
        <v>#N/A</v>
        <stp/>
        <stp>BDS|7510062411243596587</stp>
        <tr r="JA5" s="73"/>
      </tp>
      <tp t="e">
        <v>#N/A</v>
        <stp/>
        <stp>BDS|5285137939250517723</stp>
        <tr r="OA5" s="20"/>
      </tp>
      <tp t="e">
        <v>#N/A</v>
        <stp/>
        <stp>BDS|7973297956964138487</stp>
        <tr r="JZ5" s="56"/>
      </tp>
      <tp t="e">
        <v>#N/A</v>
        <stp/>
        <stp>BDS|1771348549624492212</stp>
        <tr r="JK5" s="41"/>
      </tp>
      <tp t="e">
        <v>#N/A</v>
        <stp/>
        <stp>BDS|7534713109329788959</stp>
        <tr r="IQ5" s="12"/>
      </tp>
      <tp t="e">
        <v>#N/A</v>
        <stp/>
        <stp>BDS|3465686823721374632</stp>
        <tr r="EA5" s="6"/>
      </tp>
      <tp t="e">
        <v>#N/A</v>
        <stp/>
        <stp>BDS|3944959422271080917</stp>
        <tr r="HM5" s="3"/>
      </tp>
      <tp t="e">
        <v>#N/A</v>
        <stp/>
        <stp>BDS|2680394873024242218</stp>
        <tr r="CW5" s="32"/>
      </tp>
      <tp t="e">
        <v>#N/A</v>
        <stp/>
        <stp>BDS|9835621229835582895</stp>
        <tr r="IV5" s="55"/>
      </tp>
      <tp t="e">
        <v>#N/A</v>
        <stp/>
        <stp>BDS|5235682721259055841</stp>
        <tr r="IB5" s="68"/>
      </tp>
      <tp t="e">
        <v>#N/A</v>
        <stp/>
        <stp>BDS|4709464443572429694</stp>
        <tr r="GD5" s="90"/>
      </tp>
      <tp t="e">
        <v>#N/A</v>
        <stp/>
        <stp>BDS|9344826650342669680</stp>
        <tr r="AO5" s="79"/>
      </tp>
      <tp t="e">
        <v>#N/A</v>
        <stp/>
        <stp>BDS|3641614758235827584</stp>
        <tr r="U5" s="102"/>
      </tp>
      <tp t="e">
        <v>#N/A</v>
        <stp/>
        <stp>BDS|9866760792074004332</stp>
        <tr r="BX5" s="78"/>
      </tp>
      <tp t="e">
        <v>#N/A</v>
        <stp/>
        <stp>BDS|2578269768260408609</stp>
        <tr r="AE5" s="84"/>
      </tp>
      <tp t="e">
        <v>#N/A</v>
        <stp/>
        <stp>BDS|9081997627467655545</stp>
        <tr r="FJ5" s="98"/>
      </tp>
      <tp t="e">
        <v>#N/A</v>
        <stp/>
        <stp>BDS|4495144978202560012</stp>
        <tr r="KJ5" s="23"/>
      </tp>
      <tp t="e">
        <v>#N/A</v>
        <stp/>
        <stp>BDS|8758722758842653871</stp>
        <tr r="DG5" s="44"/>
      </tp>
      <tp t="e">
        <v>#N/A</v>
        <stp/>
        <stp>BDS|5628394152004480755</stp>
        <tr r="NQ5" s="36"/>
      </tp>
      <tp t="e">
        <v>#N/A</v>
        <stp/>
        <stp>BDS|7129842518569395724</stp>
        <tr r="BD5" s="67"/>
      </tp>
      <tp t="e">
        <v>#N/A</v>
        <stp/>
        <stp>BDS|8887687300546829841</stp>
        <tr r="NL5" s="83"/>
      </tp>
      <tp t="e">
        <v>#N/A</v>
        <stp/>
        <stp>BDS|1684129750115167098</stp>
        <tr r="IV5" s="122"/>
      </tp>
      <tp t="e">
        <v>#N/A</v>
        <stp/>
        <stp>BDS|5615933226588891671</stp>
        <tr r="EZ5" s="66"/>
      </tp>
      <tp t="e">
        <v>#N/A</v>
        <stp/>
        <stp>BDS|2922700922812761503</stp>
        <tr r="KT5" s="116"/>
      </tp>
      <tp t="e">
        <v>#N/A</v>
        <stp/>
        <stp>BDS|5939899987367857231</stp>
        <tr r="FJ5" s="100"/>
      </tp>
      <tp t="e">
        <v>#N/A</v>
        <stp/>
        <stp>BDS|5909248755770232261</stp>
        <tr r="AJ5" s="1"/>
      </tp>
      <tp t="e">
        <v>#N/A</v>
        <stp/>
        <stp>BDS|6019697064051429756</stp>
        <tr r="CR5" s="72"/>
      </tp>
      <tp t="e">
        <v>#N/A</v>
        <stp/>
        <stp>BDS|9806945296759080068</stp>
        <tr r="FO5" s="95"/>
      </tp>
      <tp t="e">
        <v>#N/A</v>
        <stp/>
        <stp>BDS|4468237147516805446</stp>
        <tr r="IV5" s="70"/>
      </tp>
      <tp t="e">
        <v>#N/A</v>
        <stp/>
        <stp>BDS|8954304770689515504</stp>
        <tr r="JF5" s="112"/>
      </tp>
      <tp t="e">
        <v>#N/A</v>
        <stp/>
        <stp>BDS|2962250912537222603</stp>
        <tr r="BN5" s="89"/>
      </tp>
      <tp t="e">
        <v>#N/A</v>
        <stp/>
        <stp>BDS|5156571095458706181</stp>
        <tr r="EK5" s="14"/>
      </tp>
      <tp t="e">
        <v>#N/A</v>
        <stp/>
        <stp>BDS|4648331829770434540</stp>
        <tr r="LS5" s="88"/>
      </tp>
      <tp t="e">
        <v>#N/A</v>
        <stp/>
        <stp>BDS|8487933882571084897</stp>
        <tr r="MR5" s="120"/>
      </tp>
      <tp t="e">
        <v>#N/A</v>
        <stp/>
        <stp>BDS|1200516843581931156</stp>
        <tr r="JK5" s="33"/>
      </tp>
      <tp t="e">
        <v>#N/A</v>
        <stp/>
        <stp>BDS|2017173922077803614</stp>
        <tr r="LD5" s="62"/>
      </tp>
      <tp t="e">
        <v>#N/A</v>
        <stp/>
        <stp>BDS|5390050065306790584</stp>
        <tr r="IB5" s="18"/>
      </tp>
      <tp t="e">
        <v>#N/A</v>
        <stp/>
        <stp>BDS|3474260422544451782</stp>
        <tr r="DG5" s="62"/>
      </tp>
      <tp t="e">
        <v>#N/A</v>
        <stp/>
        <stp>BDS|1742220032171881127</stp>
        <tr r="CW5" s="56"/>
      </tp>
      <tp t="e">
        <v>#N/A</v>
        <stp/>
        <stp>BDS|8413160219131626909</stp>
        <tr r="AE5" s="74"/>
      </tp>
      <tp t="e">
        <v>#N/A</v>
        <stp/>
        <stp>BDS|3578353510797818659</stp>
        <tr r="NL5" s="113"/>
      </tp>
      <tp t="e">
        <v>#N/A</v>
        <stp/>
        <stp>BDS|4907348603184371305</stp>
        <tr r="IV5" s="113"/>
      </tp>
      <tp t="e">
        <v>#N/A</v>
        <stp/>
        <stp>BDS|5677387727833265766</stp>
        <tr r="BS5" s="121"/>
      </tp>
      <tp t="e">
        <v>#N/A</v>
        <stp/>
        <stp>BDS|2025898874978935598</stp>
        <tr r="LX5" s="57"/>
      </tp>
      <tp t="e">
        <v>#N/A</v>
        <stp/>
        <stp>BDS|5165218398848385660</stp>
        <tr r="AY5" s="59"/>
      </tp>
      <tp t="e">
        <v>#N/A</v>
        <stp/>
        <stp>BDS|4404008479575043605</stp>
        <tr r="AJ5" s="46"/>
      </tp>
      <tp t="e">
        <v>#N/A</v>
        <stp/>
        <stp>BDS|1673128427900878263</stp>
        <tr r="U5" s="110"/>
      </tp>
      <tp t="e">
        <v>#N/A</v>
        <stp/>
        <stp>BDS|8896871023810948286</stp>
        <tr r="CC5" s="21"/>
      </tp>
      <tp t="e">
        <v>#N/A</v>
        <stp/>
        <stp>BDS|6565414237128890969</stp>
        <tr r="AE5" s="55"/>
      </tp>
      <tp t="e">
        <v>#N/A</v>
        <stp/>
        <stp>BDS|1625298646072730539</stp>
        <tr r="LI5" s="49"/>
      </tp>
      <tp t="e">
        <v>#N/A</v>
        <stp/>
        <stp>BDS|2648390928502920133</stp>
        <tr r="AY5" s="35"/>
      </tp>
      <tp t="e">
        <v>#N/A</v>
        <stp/>
        <stp>BDS|9072973735194910764</stp>
        <tr r="EF5" s="7"/>
      </tp>
      <tp t="e">
        <v>#N/A</v>
        <stp/>
        <stp>BDS|2001449950252833118</stp>
        <tr r="LS5" s="124"/>
      </tp>
      <tp t="e">
        <v>#N/A</v>
        <stp/>
        <stp>BDS|5721491320124370704</stp>
        <tr r="BX5" s="55"/>
      </tp>
      <tp t="e">
        <v>#N/A</v>
        <stp/>
        <stp>BDS|7614761965664930212</stp>
        <tr r="DL5" s="22"/>
      </tp>
      <tp t="e">
        <v>#N/A</v>
        <stp/>
        <stp>BDS|5298054441462899334</stp>
        <tr r="CC5" s="57"/>
      </tp>
      <tp t="e">
        <v>#N/A</v>
        <stp/>
        <stp>BDS|5575387867279356943</stp>
        <tr r="NG5" s="103"/>
      </tp>
      <tp t="e">
        <v>#N/A</v>
        <stp/>
        <stp>BDS|3869317344267115316</stp>
        <tr r="OF5" s="13"/>
      </tp>
      <tp t="e">
        <v>#N/A</v>
        <stp/>
        <stp>BDS|2623933868208141513</stp>
        <tr r="DB5" s="65"/>
      </tp>
      <tp t="e">
        <v>#N/A</v>
        <stp/>
        <stp>BDS|1917490425962511523</stp>
        <tr r="LX5" s="26"/>
      </tp>
      <tp t="e">
        <v>#N/A</v>
        <stp/>
        <stp>BDS|1508167723831075322</stp>
        <tr r="F5" s="29"/>
      </tp>
      <tp t="e">
        <v>#N/A</v>
        <stp/>
        <stp>BDS|6956019543762111082</stp>
        <tr r="NB5" s="58"/>
      </tp>
      <tp t="e">
        <v>#N/A</v>
        <stp/>
        <stp>BDS|4942348369148013964</stp>
        <tr r="OF5" s="23"/>
      </tp>
      <tp t="e">
        <v>#N/A</v>
        <stp/>
        <stp>BDS|4252042757033177228</stp>
        <tr r="MR5" s="63"/>
      </tp>
      <tp t="e">
        <v>#N/A</v>
        <stp/>
        <stp>BDS|2768759214643403701</stp>
        <tr r="MC5" s="62"/>
      </tp>
      <tp t="e">
        <v>#N/A</v>
        <stp/>
        <stp>BDS|1103348804775625755</stp>
        <tr r="EP5" s="61"/>
      </tp>
      <tp t="e">
        <v>#N/A</v>
        <stp/>
        <stp>BDS|2287360670391577735</stp>
        <tr r="KO5" s="3"/>
      </tp>
      <tp t="e">
        <v>#N/A</v>
        <stp/>
        <stp>BDS|3926033091298084292</stp>
        <tr r="P5" s="97"/>
      </tp>
      <tp t="e">
        <v>#N/A</v>
        <stp/>
        <stp>BDS|3096703367287625534</stp>
        <tr r="CR5" s="4"/>
      </tp>
      <tp t="e">
        <v>#N/A</v>
        <stp/>
        <stp>BDS|8932362282055795687</stp>
        <tr r="GX5" s="46"/>
      </tp>
      <tp t="e">
        <v>#N/A</v>
        <stp/>
        <stp>BDS|3535023162611180462</stp>
        <tr r="U5" s="33"/>
      </tp>
      <tp t="e">
        <v>#N/A</v>
        <stp/>
        <stp>BDS|6886994934024554825</stp>
        <tr r="IL5" s="121"/>
      </tp>
      <tp t="e">
        <v>#N/A</v>
        <stp/>
        <stp>BDS|6914992525545091872</stp>
        <tr r="AJ5" s="5"/>
      </tp>
      <tp t="e">
        <v>#N/A</v>
        <stp/>
        <stp>BDS|9813757399144726317</stp>
        <tr r="NV5" s="119"/>
      </tp>
      <tp t="e">
        <v>#N/A</v>
        <stp/>
        <stp>BDS|9836894724111323246</stp>
        <tr r="JP5" s="64"/>
      </tp>
      <tp t="e">
        <v>#N/A</v>
        <stp/>
        <stp>BDS|8132301489330317390</stp>
        <tr r="FY5" s="74"/>
      </tp>
      <tp t="e">
        <v>#N/A</v>
        <stp/>
        <stp>BDS|3067371679341579693</stp>
        <tr r="FO5" s="79"/>
      </tp>
      <tp t="e">
        <v>#N/A</v>
        <stp/>
        <stp>BDS|8610167785096331745</stp>
        <tr r="BX5" s="104"/>
      </tp>
      <tp t="e">
        <v>#N/A</v>
        <stp/>
        <stp>BDS|7108304832326213137</stp>
        <tr r="IV5" s="27"/>
      </tp>
      <tp t="e">
        <v>#N/A</v>
        <stp/>
        <stp>BDS|9159061435353410947</stp>
        <tr r="GD5" s="38"/>
      </tp>
      <tp t="e">
        <v>#N/A</v>
        <stp/>
        <stp>BDS|9182205035928431021</stp>
        <tr r="IB5" s="82"/>
      </tp>
      <tp t="e">
        <v>#N/A</v>
        <stp/>
        <stp>BDS|6083719106147129644</stp>
        <tr r="GI5" s="6"/>
      </tp>
      <tp t="e">
        <v>#N/A</v>
        <stp/>
        <stp>BDS|5058132569031065387</stp>
        <tr r="K5" s="74"/>
      </tp>
      <tp t="e">
        <v>#N/A</v>
        <stp/>
        <stp>BDS|6612884684655814305</stp>
        <tr r="BN5" s="57"/>
      </tp>
      <tp t="e">
        <v>#N/A</v>
        <stp/>
        <stp>BDS|4972361603220869765</stp>
        <tr r="LS5" s="55"/>
      </tp>
      <tp t="e">
        <v>#N/A</v>
        <stp/>
        <stp>BDS|9719755523215515960</stp>
        <tr r="CR5" s="15"/>
      </tp>
      <tp t="e">
        <v>#N/A</v>
        <stp/>
        <stp>BDS|4655622726436758671</stp>
        <tr r="F5" s="35"/>
      </tp>
      <tp t="e">
        <v>#N/A</v>
        <stp/>
        <stp>BDS|8391659087860440679</stp>
        <tr r="GN5" s="67"/>
      </tp>
      <tp t="e">
        <v>#N/A</v>
        <stp/>
        <stp>BDS|5174967121958626630</stp>
        <tr r="AY5" s="62"/>
      </tp>
      <tp t="e">
        <v>#N/A</v>
        <stp/>
        <stp>BDS|4082763117444448660</stp>
        <tr r="BX5" s="62"/>
      </tp>
      <tp t="e">
        <v>#N/A</v>
        <stp/>
        <stp>BDS|7309683088208782172</stp>
        <tr r="GN5" s="24"/>
      </tp>
      <tp t="e">
        <v>#N/A</v>
        <stp/>
        <stp>BDS|9762738636668456555</stp>
        <tr r="JK5" s="32"/>
      </tp>
      <tp t="e">
        <v>#N/A</v>
        <stp/>
        <stp>BDS|1102946502861136955</stp>
        <tr r="NL5" s="116"/>
      </tp>
      <tp t="e">
        <v>#N/A</v>
        <stp/>
        <stp>BDS|2849830318099684264</stp>
        <tr r="OF5" s="67"/>
      </tp>
      <tp t="e">
        <v>#N/A</v>
        <stp/>
        <stp>BDS|7389403170617502355</stp>
        <tr r="AT5" s="29"/>
      </tp>
      <tp t="e">
        <v>#N/A</v>
        <stp/>
        <stp>BDS|7240723215169671808</stp>
        <tr r="KY5" s="104"/>
      </tp>
      <tp t="e">
        <v>#N/A</v>
        <stp/>
        <stp>BDS|8672294529919401113</stp>
        <tr r="DQ5" s="116"/>
      </tp>
      <tp t="e">
        <v>#N/A</v>
        <stp/>
        <stp>BDS|1932080954804419024</stp>
        <tr r="Z5" s="47"/>
      </tp>
      <tp t="e">
        <v>#N/A</v>
        <stp/>
        <stp>BDS|7395823863878859198</stp>
        <tr r="IV5" s="97"/>
      </tp>
      <tp t="e">
        <v>#N/A</v>
        <stp/>
        <stp>BDS|7339451935945549553</stp>
        <tr r="NL5" s="56"/>
      </tp>
      <tp t="e">
        <v>#N/A</v>
        <stp/>
        <stp>BDS|5622249873777023722</stp>
        <tr r="KE5" s="100"/>
      </tp>
      <tp t="e">
        <v>#N/A</v>
        <stp/>
        <stp>BDS|6120609930526253507</stp>
        <tr r="CM5" s="40"/>
      </tp>
      <tp t="e">
        <v>#N/A</v>
        <stp/>
        <stp>BDS|5121349511480228750</stp>
        <tr r="BD5" s="10"/>
      </tp>
      <tp t="e">
        <v>#N/A</v>
        <stp/>
        <stp>BDS|6091729647684339158</stp>
        <tr r="FY5" s="62"/>
      </tp>
      <tp t="e">
        <v>#N/A</v>
        <stp/>
        <stp>BDS|9395813427005060661</stp>
        <tr r="CC5" s="117"/>
      </tp>
      <tp t="e">
        <v>#N/A</v>
        <stp/>
        <stp>BDS|7181827850728927297</stp>
        <tr r="IB5" s="91"/>
      </tp>
      <tp t="e">
        <v>#N/A</v>
        <stp/>
        <stp>BDS|7036713151935128029</stp>
        <tr r="BN5" s="76"/>
      </tp>
      <tp t="e">
        <v>#N/A</v>
        <stp/>
        <stp>BDS|7691738374355108231</stp>
        <tr r="MW5" s="118"/>
      </tp>
      <tp t="e">
        <v>#N/A</v>
        <stp/>
        <stp>BDS|6814407893978950319</stp>
        <tr r="HW5" s="25"/>
      </tp>
      <tp t="e">
        <v>#N/A</v>
        <stp/>
        <stp>BDS|8597361875368197442</stp>
        <tr r="HC5" s="106"/>
      </tp>
      <tp t="e">
        <v>#N/A</v>
        <stp/>
        <stp>BDS|1893096290950623845</stp>
        <tr r="OA5" s="9"/>
      </tp>
      <tp t="e">
        <v>#N/A</v>
        <stp/>
        <stp>BDS|7155185631460942521</stp>
        <tr r="P5" s="95"/>
      </tp>
      <tp t="e">
        <v>#N/A</v>
        <stp/>
        <stp>BDS|1701673012296408057</stp>
        <tr r="FO5" s="88"/>
      </tp>
      <tp t="e">
        <v>#N/A</v>
        <stp/>
        <stp>BDS|5187371138126877359</stp>
        <tr r="BN5" s="125"/>
      </tp>
      <tp t="e">
        <v>#N/A</v>
        <stp/>
        <stp>BDS|8760461149281369984</stp>
        <tr r="JU5" s="64"/>
      </tp>
      <tp t="e">
        <v>#N/A</v>
        <stp/>
        <stp>BDS|7083518549143841531</stp>
        <tr r="OF5" s="42"/>
      </tp>
      <tp t="e">
        <v>#N/A</v>
        <stp/>
        <stp>BDS|8508653615636512930</stp>
        <tr r="IL5" s="118"/>
      </tp>
      <tp t="e">
        <v>#N/A</v>
        <stp/>
        <stp>BDS|4403437482669178172</stp>
        <tr r="MC5" s="73"/>
      </tp>
      <tp t="e">
        <v>#N/A</v>
        <stp/>
        <stp>BDS|4723369373717488750</stp>
        <tr r="LX5" s="87"/>
      </tp>
      <tp t="e">
        <v>#N/A</v>
        <stp/>
        <stp>BDS|4843131575247538580</stp>
        <tr r="P5" s="32"/>
      </tp>
      <tp t="e">
        <v>#N/A</v>
        <stp/>
        <stp>BDS|2251144642834784304</stp>
        <tr r="JF5" s="45"/>
      </tp>
      <tp t="e">
        <v>#N/A</v>
        <stp/>
        <stp>BDS|3247359409958476896</stp>
        <tr r="IV5" s="13"/>
      </tp>
      <tp t="e">
        <v>#N/A</v>
        <stp/>
        <stp>BDS|8133600557652153945</stp>
        <tr r="MW5" s="33"/>
      </tp>
      <tp t="e">
        <v>#N/A</v>
        <stp/>
        <stp>BDS|3001956395831078202</stp>
        <tr r="CC5" s="71"/>
      </tp>
      <tp t="e">
        <v>#N/A</v>
        <stp/>
        <stp>BDS|2277397113821915110</stp>
        <tr r="EA5" s="110"/>
      </tp>
      <tp t="e">
        <v>#N/A</v>
        <stp/>
        <stp>BDS|4985339486396961959</stp>
        <tr r="A5" s="46"/>
      </tp>
      <tp t="e">
        <v>#N/A</v>
        <stp/>
        <stp>BDS|1633107143603691739</stp>
        <tr r="P5" s="50"/>
      </tp>
      <tp t="e">
        <v>#N/A</v>
        <stp/>
        <stp>BDS|5234170215656630364</stp>
        <tr r="AT5" s="15"/>
      </tp>
      <tp t="e">
        <v>#N/A</v>
        <stp/>
        <stp>BDS|3825013578986720269</stp>
        <tr r="MH5" s="120"/>
      </tp>
      <tp t="e">
        <v>#N/A</v>
        <stp/>
        <stp>BDS|6504547362371345400</stp>
        <tr r="EP5" s="9"/>
      </tp>
      <tp t="e">
        <v>#N/A</v>
        <stp/>
        <stp>BDS|8311729861679071009</stp>
        <tr r="MW5" s="54"/>
      </tp>
      <tp t="e">
        <v>#N/A</v>
        <stp/>
        <stp>BDS|4028961411094175865</stp>
        <tr r="AJ5" s="54"/>
      </tp>
      <tp t="e">
        <v>#N/A</v>
        <stp/>
        <stp>BDS|5325684474664625093</stp>
        <tr r="KJ5" s="53"/>
      </tp>
      <tp t="e">
        <v>#N/A</v>
        <stp/>
        <stp>BDS|9510890411109454993</stp>
        <tr r="EF5" s="81"/>
      </tp>
      <tp t="e">
        <v>#N/A</v>
        <stp/>
        <stp>BDS|9698566808984824803</stp>
        <tr r="HR5" s="18"/>
      </tp>
      <tp t="e">
        <v>#N/A</v>
        <stp/>
        <stp>BDS|4505616907021110323</stp>
        <tr r="AE5" s="29"/>
      </tp>
      <tp t="e">
        <v>#N/A</v>
        <stp/>
        <stp>BDS|6723146265007180679</stp>
        <tr r="CM5" s="7"/>
      </tp>
      <tp t="e">
        <v>#N/A</v>
        <stp/>
        <stp>BDS|2288062842732610409</stp>
        <tr r="KJ5" s="16"/>
      </tp>
      <tp t="e">
        <v>#N/A</v>
        <stp/>
        <stp>BDS|4020513873223019527</stp>
        <tr r="P5" s="54"/>
      </tp>
      <tp t="e">
        <v>#N/A</v>
        <stp/>
        <stp>BDS|5922408540481125489</stp>
        <tr r="FE5" s="22"/>
      </tp>
      <tp t="e">
        <v>#N/A</v>
        <stp/>
        <stp>BDS|1306637552010383204</stp>
        <tr r="NL5" s="79"/>
      </tp>
      <tp t="e">
        <v>#N/A</v>
        <stp/>
        <stp>BDS|3837304526920733286</stp>
        <tr r="IQ5" s="117"/>
      </tp>
      <tp t="e">
        <v>#N/A</v>
        <stp/>
        <stp>BDS|2513779601721702457</stp>
        <tr r="NV5" s="67"/>
      </tp>
      <tp t="e">
        <v>#N/A</v>
        <stp/>
        <stp>BDS|4893533024794673782</stp>
        <tr r="DQ5" s="92"/>
      </tp>
      <tp t="e">
        <v>#N/A</v>
        <stp/>
        <stp>BDS|7651972233689307408</stp>
        <tr r="JA5" s="32"/>
      </tp>
      <tp t="e">
        <v>#N/A</v>
        <stp/>
        <stp>BDS|3535945503243291913</stp>
        <tr r="HC5" s="39"/>
      </tp>
      <tp t="e">
        <v>#N/A</v>
        <stp/>
        <stp>BDS|5051288378670048011</stp>
        <tr r="Z5" s="36"/>
      </tp>
      <tp t="e">
        <v>#N/A</v>
        <stp/>
        <stp>BDS|5769113730697354049</stp>
        <tr r="MW5" s="30"/>
      </tp>
      <tp t="e">
        <v>#N/A</v>
        <stp/>
        <stp>BDS|1347424970193182115</stp>
        <tr r="LX5" s="5"/>
      </tp>
      <tp t="e">
        <v>#N/A</v>
        <stp/>
        <stp>BDS|6214021734204212173</stp>
        <tr r="AY5" s="23"/>
      </tp>
      <tp t="e">
        <v>#N/A</v>
        <stp/>
        <stp>BDS|4125234463682937293</stp>
        <tr r="DL5" s="80"/>
      </tp>
      <tp t="e">
        <v>#N/A</v>
        <stp/>
        <stp>BDS|3375592348206040432</stp>
        <tr r="IL5" s="45"/>
      </tp>
      <tp t="e">
        <v>#N/A</v>
        <stp/>
        <stp>BDS|5644306814786017135</stp>
        <tr r="CR5" s="118"/>
      </tp>
      <tp t="e">
        <v>#N/A</v>
        <stp/>
        <stp>BDS|6784297246105078598</stp>
        <tr r="AT5" s="55"/>
      </tp>
      <tp t="e">
        <v>#N/A</v>
        <stp/>
        <stp>BDS|8477424892791052457</stp>
        <tr r="HM5" s="85"/>
      </tp>
      <tp t="e">
        <v>#N/A</v>
        <stp/>
        <stp>BDS|5146930667512163851</stp>
        <tr r="NV5" s="95"/>
      </tp>
      <tp t="e">
        <v>#N/A</v>
        <stp/>
        <stp>BDS|9356953014135519460</stp>
        <tr r="EZ5" s="96"/>
      </tp>
      <tp t="e">
        <v>#N/A</v>
        <stp/>
        <stp>BDS|4166461808736823664</stp>
        <tr r="EK5" s="32"/>
      </tp>
      <tp t="e">
        <v>#N/A</v>
        <stp/>
        <stp>BDS|1011022506269135845</stp>
        <tr r="KT5" s="91"/>
      </tp>
      <tp t="e">
        <v>#N/A</v>
        <stp/>
        <stp>BDS|4505257127314645007</stp>
        <tr r="KJ5" s="67"/>
      </tp>
      <tp t="e">
        <v>#N/A</v>
        <stp/>
        <stp>BDS|7045045015684457245</stp>
        <tr r="KO5" s="94"/>
      </tp>
      <tp t="e">
        <v>#N/A</v>
        <stp/>
        <stp>BDS|8369201299954991723</stp>
        <tr r="EA5" s="98"/>
      </tp>
      <tp t="e">
        <v>#N/A</v>
        <stp/>
        <stp>BDS|7374459423211414008</stp>
        <tr r="NG5" s="78"/>
      </tp>
      <tp t="e">
        <v>#N/A</v>
        <stp/>
        <stp>BDS|7332239176292149016</stp>
        <tr r="CR5" s="70"/>
      </tp>
      <tp t="e">
        <v>#N/A</v>
        <stp/>
        <stp>BDS|5299949193282785741</stp>
        <tr r="AO5" s="66"/>
      </tp>
      <tp t="e">
        <v>#N/A</v>
        <stp/>
        <stp>BDS|1613810158949057594</stp>
        <tr r="P5" s="120"/>
      </tp>
      <tp t="e">
        <v>#N/A</v>
        <stp/>
        <stp>BDS|3236365662425123319</stp>
        <tr r="GS5" s="62"/>
      </tp>
      <tp t="e">
        <v>#N/A</v>
        <stp/>
        <stp>BDS|3005665526101088665</stp>
        <tr r="JZ5" s="69"/>
      </tp>
      <tp t="e">
        <v>#N/A</v>
        <stp/>
        <stp>BDS|8225169099106860630</stp>
        <tr r="F5" s="46"/>
      </tp>
      <tp t="e">
        <v>#N/A</v>
        <stp/>
        <stp>BDS|2239237350462093774</stp>
        <tr r="MM5" s="51"/>
      </tp>
      <tp t="e">
        <v>#N/A</v>
        <stp/>
        <stp>BDS|3585068312072462034</stp>
        <tr r="CR5" s="91"/>
      </tp>
      <tp t="e">
        <v>#N/A</v>
        <stp/>
        <stp>BDS|1246000000770505110</stp>
        <tr r="NG5" s="90"/>
      </tp>
      <tp t="e">
        <v>#N/A</v>
        <stp/>
        <stp>BDS|7064098401482927579</stp>
        <tr r="NQ5" s="121"/>
      </tp>
      <tp t="e">
        <v>#N/A</v>
        <stp/>
        <stp>BDS|2671569178912778291</stp>
        <tr r="DB5" s="46"/>
      </tp>
      <tp t="e">
        <v>#N/A</v>
        <stp/>
        <stp>BDS|1596474551858055856</stp>
        <tr r="GI5" s="41"/>
      </tp>
      <tp t="e">
        <v>#N/A</v>
        <stp/>
        <stp>BDS|9331337196545727674</stp>
        <tr r="GS5" s="14"/>
      </tp>
      <tp t="e">
        <v>#N/A</v>
        <stp/>
        <stp>BDS|4640733471337579374</stp>
        <tr r="A5" s="88"/>
      </tp>
      <tp t="e">
        <v>#N/A</v>
        <stp/>
        <stp>BDS|5470202467846188742</stp>
        <tr r="HW5" s="123"/>
      </tp>
      <tp t="e">
        <v>#N/A</v>
        <stp/>
        <stp>BDS|2222590812473886579</stp>
        <tr r="OA5" s="115"/>
      </tp>
      <tp t="e">
        <v>#N/A</v>
        <stp/>
        <stp>BDS|2226551578628883819</stp>
        <tr r="EK5" s="100"/>
      </tp>
      <tp t="e">
        <v>#N/A</v>
        <stp/>
        <stp>BDS|6276053082167617951</stp>
        <tr r="IV5" s="23"/>
      </tp>
      <tp t="e">
        <v>#N/A</v>
        <stp/>
        <stp>BDS|3572470519214485287</stp>
        <tr r="NQ5" s="48"/>
      </tp>
      <tp t="e">
        <v>#N/A</v>
        <stp/>
        <stp>BDS|1615245928127972648</stp>
        <tr r="EP5" s="19"/>
      </tp>
      <tp t="e">
        <v>#N/A</v>
        <stp/>
        <stp>BDS|5480320941401366330</stp>
        <tr r="CW5" s="4"/>
      </tp>
      <tp t="e">
        <v>#N/A</v>
        <stp/>
        <stp>BDS|3039551654277081462</stp>
        <tr r="LI5" s="114"/>
      </tp>
      <tp t="e">
        <v>#N/A</v>
        <stp/>
        <stp>BDS|3466714359030907129</stp>
        <tr r="KT5" s="121"/>
      </tp>
      <tp t="e">
        <v>#N/A</v>
        <stp/>
        <stp>BDS|6518207750116541778</stp>
        <tr r="EU5" s="87"/>
      </tp>
      <tp t="e">
        <v>#N/A</v>
        <stp/>
        <stp>BDS|1590544707494550045</stp>
        <tr r="KJ5" s="111"/>
      </tp>
      <tp t="e">
        <v>#N/A</v>
        <stp/>
        <stp>BDS|5275129760400436236</stp>
        <tr r="MM5" s="50"/>
      </tp>
      <tp t="e">
        <v>#N/A</v>
        <stp/>
        <stp>BDS|8733172483763320278</stp>
        <tr r="HR5" s="63"/>
      </tp>
      <tp t="e">
        <v>#N/A</v>
        <stp/>
        <stp>BDS|1866799316215346235</stp>
        <tr r="EZ5" s="33"/>
      </tp>
      <tp t="e">
        <v>#N/A</v>
        <stp/>
        <stp>BDS|5483556934202339113</stp>
        <tr r="FT5" s="88"/>
      </tp>
      <tp t="e">
        <v>#N/A</v>
        <stp/>
        <stp>BDS|2349561815662291457</stp>
        <tr r="OF5" s="76"/>
      </tp>
      <tp t="e">
        <v>#N/A</v>
        <stp/>
        <stp>BDS|1435206832704392426</stp>
        <tr r="JF5" s="93"/>
      </tp>
      <tp t="e">
        <v>#N/A</v>
        <stp/>
        <stp>BDS|8446801609367237787</stp>
        <tr r="GD5" s="19"/>
      </tp>
      <tp t="e">
        <v>#N/A</v>
        <stp/>
        <stp>BDS|3605158202173033168</stp>
        <tr r="FJ5" s="19"/>
      </tp>
      <tp t="e">
        <v>#N/A</v>
        <stp/>
        <stp>BDS|3113160900661854380</stp>
        <tr r="BX5" s="121"/>
      </tp>
      <tp t="e">
        <v>#N/A</v>
        <stp/>
        <stp>BDS|1457727112684635354</stp>
        <tr r="JZ5" s="97"/>
      </tp>
      <tp t="e">
        <v>#N/A</v>
        <stp/>
        <stp>BDS|4974507113611500180</stp>
        <tr r="LS5" s="86"/>
      </tp>
      <tp t="e">
        <v>#N/A</v>
        <stp/>
        <stp>BDS|1644343963935183171</stp>
        <tr r="GN5" s="32"/>
      </tp>
      <tp t="e">
        <v>#N/A</v>
        <stp/>
        <stp>BDS|3649958980225722739</stp>
        <tr r="FE5" s="84"/>
      </tp>
      <tp t="e">
        <v>#N/A</v>
        <stp/>
        <stp>BDS|3837112690352746993</stp>
        <tr r="KO5" s="46"/>
      </tp>
      <tp t="e">
        <v>#N/A</v>
        <stp/>
        <stp>BDS|4056902130556500827</stp>
        <tr r="BN5" s="67"/>
      </tp>
      <tp t="e">
        <v>#N/A</v>
        <stp/>
        <stp>BDS|7158036802402049576</stp>
        <tr r="LS5" s="57"/>
      </tp>
      <tp t="e">
        <v>#N/A</v>
        <stp/>
        <stp>BDS|6493409367897542319</stp>
        <tr r="NQ5" s="104"/>
      </tp>
      <tp t="e">
        <v>#N/A</v>
        <stp/>
        <stp>BDS|9516996829174789664</stp>
        <tr r="IG5" s="23"/>
      </tp>
      <tp t="e">
        <v>#N/A</v>
        <stp/>
        <stp>BDS|3582602350575671570</stp>
        <tr r="JU5" s="35"/>
      </tp>
      <tp t="e">
        <v>#N/A</v>
        <stp/>
        <stp>BDS|5306630467426053339</stp>
        <tr r="LX5" s="116"/>
      </tp>
      <tp t="e">
        <v>#N/A</v>
        <stp/>
        <stp>BDS|8677139595065791539</stp>
        <tr r="IQ5" s="57"/>
      </tp>
      <tp t="e">
        <v>#N/A</v>
        <stp/>
        <stp>BDS|1382310307080861290</stp>
        <tr r="DQ5" s="110"/>
      </tp>
      <tp t="e">
        <v>#N/A</v>
        <stp/>
        <stp>BDS|7401038234153434737</stp>
        <tr r="BI5" s="12"/>
      </tp>
      <tp t="e">
        <v>#N/A</v>
        <stp/>
        <stp>BDS|5292921877439426273</stp>
        <tr r="GX5" s="95"/>
      </tp>
      <tp t="e">
        <v>#N/A</v>
        <stp/>
        <stp>BDS|1047712006547785149</stp>
        <tr r="BS5" s="22"/>
      </tp>
      <tp t="e">
        <v>#N/A</v>
        <stp/>
        <stp>BDS|2698770924232704569</stp>
        <tr r="CR5" s="26"/>
      </tp>
      <tp t="e">
        <v>#N/A</v>
        <stp/>
        <stp>BDS|4357713266307369231</stp>
        <tr r="LD5" s="16"/>
      </tp>
      <tp t="e">
        <v>#N/A</v>
        <stp/>
        <stp>BDS|6172379553386053618</stp>
        <tr r="U5" s="86"/>
      </tp>
      <tp t="e">
        <v>#N/A</v>
        <stp/>
        <stp>BDS|3365332546164212005</stp>
        <tr r="DL5" s="9"/>
      </tp>
      <tp t="e">
        <v>#N/A</v>
        <stp/>
        <stp>BDS|9527945414538977984</stp>
        <tr r="MW5" s="24"/>
      </tp>
      <tp t="e">
        <v>#N/A</v>
        <stp/>
        <stp>BDS|8697914514050482033</stp>
        <tr r="LI5" s="98"/>
      </tp>
      <tp t="e">
        <v>#N/A</v>
        <stp/>
        <stp>BDS|5577417191630337823</stp>
        <tr r="KO5" s="98"/>
      </tp>
      <tp t="e">
        <v>#N/A</v>
        <stp/>
        <stp>BDS|4744005471326373512</stp>
        <tr r="BD5" s="14"/>
      </tp>
      <tp t="e">
        <v>#N/A</v>
        <stp/>
        <stp>BDS|8566688365031830949</stp>
        <tr r="IG5" s="116"/>
      </tp>
      <tp t="e">
        <v>#N/A</v>
        <stp/>
        <stp>BDS|5308334751555776623</stp>
        <tr r="DB5" s="41"/>
      </tp>
      <tp t="e">
        <v>#N/A</v>
        <stp/>
        <stp>BDS|6399356081029575472</stp>
        <tr r="NV5" s="6"/>
      </tp>
      <tp t="e">
        <v>#N/A</v>
        <stp/>
        <stp>BDS|9421810183090081930</stp>
        <tr r="U5" s="85"/>
      </tp>
      <tp t="e">
        <v>#N/A</v>
        <stp/>
        <stp>BDS|4710169936980787652</stp>
        <tr r="AT5" s="89"/>
      </tp>
      <tp t="e">
        <v>#N/A</v>
        <stp/>
        <stp>BDS|4662155197349935588</stp>
        <tr r="CH5" s="105"/>
      </tp>
      <tp t="e">
        <v>#N/A</v>
        <stp/>
        <stp>BDS|7578075845886687549</stp>
        <tr r="KO5" s="64"/>
      </tp>
      <tp t="e">
        <v>#N/A</v>
        <stp/>
        <stp>BDS|5678458413140656032</stp>
        <tr r="CM5" s="21"/>
      </tp>
      <tp t="e">
        <v>#N/A</v>
        <stp/>
        <stp>BDS|8907111774998836612</stp>
        <tr r="HC5" s="69"/>
      </tp>
      <tp t="e">
        <v>#N/A</v>
        <stp/>
        <stp>BDS|8999087784505922596</stp>
        <tr r="GD5" s="29"/>
      </tp>
      <tp t="e">
        <v>#N/A</v>
        <stp/>
        <stp>BDS|1313623701076184146</stp>
        <tr r="AO5" s="64"/>
      </tp>
      <tp t="e">
        <v>#N/A</v>
        <stp/>
        <stp>BDS|5749709914216172575</stp>
        <tr r="NV5" s="39"/>
      </tp>
      <tp t="e">
        <v>#N/A</v>
        <stp/>
        <stp>BDS|8650812915639239850</stp>
        <tr r="IL5" s="89"/>
      </tp>
      <tp t="e">
        <v>#N/A</v>
        <stp/>
        <stp>BDS|2336152045871395653</stp>
        <tr r="FY5" s="53"/>
      </tp>
      <tp t="e">
        <v>#N/A</v>
        <stp/>
        <stp>BDS|8657118299370394084</stp>
        <tr r="LI5" s="85"/>
      </tp>
      <tp t="e">
        <v>#N/A</v>
        <stp/>
        <stp>BDS|1806094311405213571</stp>
        <tr r="JU5" s="116"/>
      </tp>
      <tp t="e">
        <v>#N/A</v>
        <stp/>
        <stp>BDS|4504075116093660674</stp>
        <tr r="AE5" s="61"/>
      </tp>
      <tp t="e">
        <v>#N/A</v>
        <stp/>
        <stp>BDS|1363516630603201452</stp>
        <tr r="AE5" s="121"/>
      </tp>
      <tp t="e">
        <v>#N/A</v>
        <stp/>
        <stp>BDS|1633738021541921588</stp>
        <tr r="NL5" s="11"/>
      </tp>
      <tp t="e">
        <v>#N/A</v>
        <stp/>
        <stp>BDS|1427537562151200320</stp>
        <tr r="MH5" s="37"/>
      </tp>
      <tp t="e">
        <v>#N/A</v>
        <stp/>
        <stp>BDS|1253467811696351234</stp>
        <tr r="FJ5" s="123"/>
      </tp>
      <tp t="e">
        <v>#N/A</v>
        <stp/>
        <stp>BDS|4728409017385352595</stp>
        <tr r="FO5" s="33"/>
      </tp>
      <tp t="e">
        <v>#N/A</v>
        <stp/>
        <stp>BDS|7731001087519972738</stp>
        <tr r="NB5" s="23"/>
      </tp>
      <tp t="e">
        <v>#N/A</v>
        <stp/>
        <stp>BDS|3966437544876417400</stp>
        <tr r="GS5" s="22"/>
      </tp>
      <tp t="e">
        <v>#N/A</v>
        <stp/>
        <stp>BDS|3544507762304499595</stp>
        <tr r="KJ5" s="29"/>
      </tp>
      <tp t="e">
        <v>#N/A</v>
        <stp/>
        <stp>BDS|7316291302880677442</stp>
        <tr r="AT5" s="57"/>
      </tp>
      <tp t="e">
        <v>#N/A</v>
        <stp/>
        <stp>BDS|4328262974233936323</stp>
        <tr r="JA5" s="6"/>
      </tp>
      <tp t="e">
        <v>#N/A</v>
        <stp/>
        <stp>BDS|7045595301503163030</stp>
        <tr r="MH5" s="23"/>
      </tp>
      <tp t="e">
        <v>#N/A</v>
        <stp/>
        <stp>BDS|5704286231320575511</stp>
        <tr r="KT5" s="113"/>
      </tp>
      <tp t="e">
        <v>#N/A</v>
        <stp/>
        <stp>BDS|6460019941902602185</stp>
        <tr r="FT5" s="41"/>
      </tp>
      <tp t="e">
        <v>#N/A</v>
        <stp/>
        <stp>BDS|2806283757502507686</stp>
        <tr r="JK5" s="104"/>
      </tp>
      <tp t="e">
        <v>#N/A</v>
        <stp/>
        <stp>BDS|3837140028522717396</stp>
        <tr r="EK5" s="42"/>
      </tp>
      <tp t="e">
        <v>#N/A</v>
        <stp/>
        <stp>BDS|3920987959728009623</stp>
        <tr r="A5" s="90"/>
      </tp>
      <tp t="e">
        <v>#N/A</v>
        <stp/>
        <stp>BDS|4017250919454233247</stp>
        <tr r="JF5" s="14"/>
      </tp>
      <tp t="e">
        <v>#N/A</v>
        <stp/>
        <stp>BDS|2830199909207303519</stp>
        <tr r="EK5" s="56"/>
      </tp>
      <tp t="e">
        <v>#N/A</v>
        <stp/>
        <stp>BDS|5637500932654604683</stp>
        <tr r="Z5" s="23"/>
      </tp>
      <tp t="e">
        <v>#N/A</v>
        <stp/>
        <stp>BDS|5352641045232838403</stp>
        <tr r="KT5" s="34"/>
      </tp>
      <tp t="e">
        <v>#N/A</v>
        <stp/>
        <stp>BDS|5322872461233907967</stp>
        <tr r="GX5" s="20"/>
      </tp>
      <tp t="e">
        <v>#N/A</v>
        <stp/>
        <stp>BDS|7932918167261196845</stp>
        <tr r="A5" s="79"/>
      </tp>
      <tp t="e">
        <v>#N/A</v>
        <stp/>
        <stp>BDS|5839866988017871359</stp>
        <tr r="CR5" s="49"/>
      </tp>
      <tp t="e">
        <v>#N/A</v>
        <stp/>
        <stp>BDS|3147199411642736053</stp>
        <tr r="IQ5" s="50"/>
      </tp>
      <tp t="e">
        <v>#N/A</v>
        <stp/>
        <stp>BDS|1187192365352676506</stp>
        <tr r="EZ5" s="34"/>
      </tp>
      <tp t="e">
        <v>#N/A</v>
        <stp/>
        <stp>BDS|5615686803973671101</stp>
        <tr r="KJ5" s="17"/>
      </tp>
      <tp t="e">
        <v>#N/A</v>
        <stp/>
        <stp>BDS|5851710362840918595</stp>
        <tr r="LD5" s="123"/>
      </tp>
      <tp t="e">
        <v>#N/A</v>
        <stp/>
        <stp>BDS|4333318528482137605</stp>
        <tr r="KO5" s="125"/>
      </tp>
      <tp t="e">
        <v>#N/A</v>
        <stp/>
        <stp>BDS|5397013509787537350</stp>
        <tr r="GI5" s="72"/>
      </tp>
      <tp t="e">
        <v>#N/A</v>
        <stp/>
        <stp>BDS|6689717172013730493</stp>
        <tr r="BS5" s="29"/>
      </tp>
      <tp t="e">
        <v>#N/A</v>
        <stp/>
        <stp>BDS|7697812633389953461</stp>
        <tr r="AT5" s="106"/>
      </tp>
      <tp t="e">
        <v>#N/A</v>
        <stp/>
        <stp>BDS|9540083594035725458</stp>
        <tr r="FE5" s="65"/>
      </tp>
      <tp t="e">
        <v>#N/A</v>
        <stp/>
        <stp>BDS|6130991793357093008</stp>
        <tr r="DB5" s="61"/>
      </tp>
      <tp t="e">
        <v>#N/A</v>
        <stp/>
        <stp>BDS|4277981947710791818</stp>
        <tr r="EZ5" s="20"/>
      </tp>
      <tp t="e">
        <v>#N/A</v>
        <stp/>
        <stp>BDS|5186600559201589662</stp>
        <tr r="HC5" s="98"/>
      </tp>
      <tp t="e">
        <v>#N/A</v>
        <stp/>
        <stp>BDS|7252239725945735387</stp>
        <tr r="GN5" s="38"/>
      </tp>
      <tp t="e">
        <v>#N/A</v>
        <stp/>
        <stp>BDS|5707566937517543586</stp>
        <tr r="JA5" s="92"/>
      </tp>
      <tp t="e">
        <v>#N/A</v>
        <stp/>
        <stp>BDS|9134591893177805382</stp>
        <tr r="FJ5" s="54"/>
      </tp>
      <tp t="e">
        <v>#N/A</v>
        <stp/>
        <stp>BDS|2089582213834353336</stp>
        <tr r="AJ5" s="111"/>
      </tp>
      <tp t="e">
        <v>#N/A</v>
        <stp/>
        <stp>BDS|3575179954296534089</stp>
        <tr r="LI5" s="82"/>
      </tp>
      <tp t="e">
        <v>#N/A</v>
        <stp/>
        <stp>BDS|7736472188188079233</stp>
        <tr r="KY5" s="90"/>
      </tp>
      <tp t="e">
        <v>#N/A</v>
        <stp/>
        <stp>BDS|2124930361658842405</stp>
        <tr r="MH5" s="61"/>
      </tp>
      <tp t="e">
        <v>#N/A</v>
        <stp/>
        <stp>BDS|4885119365061430337</stp>
        <tr r="MM5" s="76"/>
      </tp>
      <tp t="e">
        <v>#N/A</v>
        <stp/>
        <stp>BDS|4062098961644828780</stp>
        <tr r="GS5" s="34"/>
      </tp>
      <tp t="e">
        <v>#N/A</v>
        <stp/>
        <stp>BDS|4333958308398285448</stp>
        <tr r="BI5" s="32"/>
      </tp>
      <tp t="e">
        <v>#N/A</v>
        <stp/>
        <stp>BDS|2921192527956929663</stp>
        <tr r="EU5" s="60"/>
      </tp>
      <tp t="e">
        <v>#N/A</v>
        <stp/>
        <stp>BDS|5453590356096687253</stp>
        <tr r="MR5" s="121"/>
        <tr r="GX5" s="94"/>
        <tr r="FT5" s="72"/>
      </tp>
      <tp t="e">
        <v>#N/A</v>
        <stp/>
        <stp>BDS|1523608219122115556</stp>
        <tr r="GD5" s="91"/>
      </tp>
      <tp t="e">
        <v>#N/A</v>
        <stp/>
        <stp>BDS|5887867292946545310</stp>
        <tr r="KO5" s="7"/>
      </tp>
      <tp t="e">
        <v>#N/A</v>
        <stp/>
        <stp>BDS|4956750215251053212</stp>
        <tr r="JZ5" s="87"/>
      </tp>
      <tp t="e">
        <v>#N/A</v>
        <stp/>
        <stp>BDS|1237364874714951015</stp>
        <tr r="GI5" s="57"/>
      </tp>
      <tp t="e">
        <v>#N/A</v>
        <stp/>
        <stp>BDS|2503726828454406232</stp>
        <tr r="HH5" s="52"/>
      </tp>
      <tp t="e">
        <v>#N/A</v>
        <stp/>
        <stp>BDS|5172697691268554346</stp>
        <tr r="KY5" s="38"/>
      </tp>
      <tp t="e">
        <v>#N/A</v>
        <stp/>
        <stp>BDS|4039145650097904651</stp>
        <tr r="LI5" s="21"/>
      </tp>
      <tp t="e">
        <v>#N/A</v>
        <stp/>
        <stp>BDS|9738936009760413114</stp>
        <tr r="JK5" s="120"/>
      </tp>
      <tp t="e">
        <v>#N/A</v>
        <stp/>
        <stp>BDS|1739503991219735595</stp>
        <tr r="EK5" s="2"/>
      </tp>
      <tp t="e">
        <v>#N/A</v>
        <stp/>
        <stp>BDS|3907684385124444885</stp>
        <tr r="FO5" s="92"/>
      </tp>
      <tp t="e">
        <v>#N/A</v>
        <stp/>
        <stp>BDS|3019288623640532269</stp>
        <tr r="LX5" s="88"/>
      </tp>
      <tp t="e">
        <v>#N/A</v>
        <stp/>
        <stp>BDS|6527381225960926682</stp>
        <tr r="BS5" s="46"/>
      </tp>
      <tp t="e">
        <v>#N/A</v>
        <stp/>
        <stp>BDS|5298218264742855269</stp>
        <tr r="BX5" s="71"/>
      </tp>
      <tp t="e">
        <v>#N/A</v>
        <stp/>
        <stp>BDS|1896237332447233622</stp>
        <tr r="FJ5" s="55"/>
      </tp>
      <tp t="e">
        <v>#N/A</v>
        <stp/>
        <stp>BDS|9639688366128991088</stp>
        <tr r="KE5" s="102"/>
      </tp>
      <tp t="e">
        <v>#N/A</v>
        <stp/>
        <stp>BDS|3769168805030522382</stp>
        <tr r="HC5" s="33"/>
      </tp>
      <tp t="e">
        <v>#N/A</v>
        <stp/>
        <stp>BDS|4645664088812222935</stp>
        <tr r="LD5" s="82"/>
      </tp>
      <tp t="e">
        <v>#N/A</v>
        <stp/>
        <stp>BDS|2922473622356781325</stp>
        <tr r="DB5" s="5"/>
      </tp>
      <tp t="e">
        <v>#N/A</v>
        <stp/>
        <stp>BDS|5740384813795719329</stp>
        <tr r="IV5" s="42"/>
      </tp>
      <tp t="e">
        <v>#N/A</v>
        <stp/>
        <stp>BDS|5861974467749785260</stp>
        <tr r="LD5" s="94"/>
      </tp>
      <tp t="e">
        <v>#N/A</v>
        <stp/>
        <stp>BDS|5932856383653735712</stp>
        <tr r="GN5" s="40"/>
      </tp>
      <tp t="e">
        <v>#N/A</v>
        <stp/>
        <stp>BDS|4436997397245502064</stp>
        <tr r="CR5" s="48"/>
      </tp>
      <tp t="e">
        <v>#N/A</v>
        <stp/>
        <stp>BDS|5942639528655395584</stp>
        <tr r="A5" s="55"/>
      </tp>
      <tp t="e">
        <v>#N/A</v>
        <stp/>
        <stp>BDS|7236438778695384032</stp>
        <tr r="CM5" s="54"/>
      </tp>
      <tp t="e">
        <v>#N/A</v>
        <stp/>
        <stp>BDS|3981770937974535255</stp>
        <tr r="MM5" s="25"/>
      </tp>
      <tp t="e">
        <v>#N/A</v>
        <stp/>
        <stp>BDS|6202491252065344331</stp>
        <tr r="EK5" s="23"/>
      </tp>
      <tp t="e">
        <v>#N/A</v>
        <stp/>
        <stp>BDS|2216550150597676487</stp>
        <tr r="AO5" s="4"/>
      </tp>
      <tp t="e">
        <v>#N/A</v>
        <stp/>
        <stp>BDS|2174180125912463262</stp>
        <tr r="DV5" s="37"/>
      </tp>
      <tp t="e">
        <v>#N/A</v>
        <stp/>
        <stp>BDS|9987007873288454702</stp>
        <tr r="AO5" s="123"/>
      </tp>
      <tp t="e">
        <v>#N/A</v>
        <stp/>
        <stp>BDS|5860864154599789034</stp>
        <tr r="DB5" s="120"/>
      </tp>
      <tp t="e">
        <v>#N/A</v>
        <stp/>
        <stp>BDS|7226063617956527181</stp>
        <tr r="HC5" s="75"/>
      </tp>
      <tp t="e">
        <v>#N/A</v>
        <stp/>
        <stp>BDS|6716689832260480279</stp>
        <tr r="FO5" s="11"/>
      </tp>
      <tp t="e">
        <v>#N/A</v>
        <stp/>
        <stp>BDS|7066753821933315095</stp>
        <tr r="BX5" s="14"/>
      </tp>
      <tp t="e">
        <v>#N/A</v>
        <stp/>
        <stp>BDS|6957745146797396366</stp>
        <tr r="EP5" s="83"/>
      </tp>
      <tp t="e">
        <v>#N/A</v>
        <stp/>
        <stp>BDS|5139602962685902149</stp>
        <tr r="BI5" s="6"/>
      </tp>
      <tp t="e">
        <v>#N/A</v>
        <stp/>
        <stp>BDS|4653273464800971126</stp>
        <tr r="U5" s="67"/>
      </tp>
      <tp t="e">
        <v>#N/A</v>
        <stp/>
        <stp>BDS|6008981204239755759</stp>
        <tr r="LX5" s="78"/>
      </tp>
      <tp t="e">
        <v>#N/A</v>
        <stp/>
        <stp>BDS|6793984850273421852</stp>
        <tr r="FO5" s="10"/>
      </tp>
      <tp t="e">
        <v>#N/A</v>
        <stp/>
        <stp>BDS|5909514310818054866</stp>
        <tr r="DL5" s="48"/>
      </tp>
      <tp t="e">
        <v>#N/A</v>
        <stp/>
        <stp>BDS|5984728177582195633</stp>
        <tr r="DB5" s="44"/>
      </tp>
      <tp t="e">
        <v>#N/A</v>
        <stp/>
        <stp>BDS|7293380435450702661</stp>
        <tr r="LX5" s="27"/>
      </tp>
      <tp t="e">
        <v>#N/A</v>
        <stp/>
        <stp>BDS|7733395131730151609</stp>
        <tr r="FJ5" s="22"/>
      </tp>
      <tp t="e">
        <v>#N/A</v>
        <stp/>
        <stp>BDS|5614011666547821574</stp>
        <tr r="BI5" s="57"/>
      </tp>
      <tp t="e">
        <v>#N/A</v>
        <stp/>
        <stp>BDS|8610487546458472126</stp>
        <tr r="CC5" s="105"/>
      </tp>
      <tp t="e">
        <v>#N/A</v>
        <stp/>
        <stp>BDS|2127585069473866365</stp>
        <tr r="AE5" s="23"/>
      </tp>
      <tp t="e">
        <v>#N/A</v>
        <stp/>
        <stp>BDS|3346361629096777552</stp>
        <tr r="CR5" s="18"/>
      </tp>
      <tp t="e">
        <v>#N/A</v>
        <stp/>
        <stp>BDS|2820594868258132866</stp>
        <tr r="MH5" s="30"/>
      </tp>
      <tp t="e">
        <v>#N/A</v>
        <stp/>
        <stp>BDS|4762212248135924691</stp>
        <tr r="GN5" s="113"/>
      </tp>
      <tp t="e">
        <v>#N/A</v>
        <stp/>
        <stp>BDS|8819221183157774401</stp>
        <tr r="FE5" s="111"/>
      </tp>
      <tp t="e">
        <v>#N/A</v>
        <stp/>
        <stp>BDS|6772718814949568894</stp>
        <tr r="LX5" s="125"/>
      </tp>
      <tp t="e">
        <v>#N/A</v>
        <stp/>
        <stp>BDS|6450265301694864154</stp>
        <tr r="FY5" s="24"/>
      </tp>
      <tp t="e">
        <v>#N/A</v>
        <stp/>
        <stp>BDS|1257456812737205290</stp>
        <tr r="IQ5" s="33"/>
      </tp>
      <tp t="e">
        <v>#N/A</v>
        <stp/>
        <stp>BDS|9171833300995500599</stp>
        <tr r="EP5" s="67"/>
      </tp>
      <tp t="e">
        <v>#N/A</v>
        <stp/>
        <stp>BDS|3089171678243281736</stp>
        <tr r="EU5" s="21"/>
      </tp>
      <tp t="e">
        <v>#N/A</v>
        <stp/>
        <stp>BDS|1716050207054886423</stp>
        <tr r="JZ5" s="83"/>
      </tp>
      <tp t="e">
        <v>#N/A</v>
        <stp/>
        <stp>BDS|9735385092025090725</stp>
        <tr r="AT5" s="41"/>
      </tp>
      <tp t="e">
        <v>#N/A</v>
        <stp/>
        <stp>BDS|2922626263077793406</stp>
        <tr r="NB5" s="45"/>
      </tp>
      <tp t="e">
        <v>#N/A</v>
        <stp/>
        <stp>BDS|5991239360727376768</stp>
        <tr r="LX5" s="79"/>
      </tp>
      <tp t="e">
        <v>#N/A</v>
        <stp/>
        <stp>BDS|7969818872761564806</stp>
        <tr r="AJ5" s="106"/>
      </tp>
      <tp t="e">
        <v>#N/A</v>
        <stp/>
        <stp>BDS|5561834191345191096</stp>
        <tr r="EK5" s="30"/>
      </tp>
      <tp t="e">
        <v>#N/A</v>
        <stp/>
        <stp>BDS|9757944987700298991</stp>
        <tr r="HR5" s="51"/>
      </tp>
      <tp t="e">
        <v>#N/A</v>
        <stp/>
        <stp>BDS|3251473321352998622</stp>
        <tr r="AE5" s="122"/>
      </tp>
      <tp t="e">
        <v>#N/A</v>
        <stp/>
        <stp>BDS|9898818308556735699</stp>
        <tr r="AJ5" s="62"/>
      </tp>
      <tp t="e">
        <v>#N/A</v>
        <stp/>
        <stp>BDS|7094292730170031765</stp>
        <tr r="LD5" s="19"/>
      </tp>
      <tp t="e">
        <v>#N/A</v>
        <stp/>
        <stp>BDS|4988433067092627544</stp>
        <tr r="JK5" s="48"/>
      </tp>
      <tp t="e">
        <v>#N/A</v>
        <stp/>
        <stp>BDS|8958480035619271799</stp>
        <tr r="NB5" s="122"/>
      </tp>
      <tp t="e">
        <v>#N/A</v>
        <stp/>
        <stp>BDS|3881124228839459893</stp>
        <tr r="AY5" s="31"/>
      </tp>
      <tp t="e">
        <v>#N/A</v>
        <stp/>
        <stp>BDS|5792528766152972554</stp>
        <tr r="AY5" s="77"/>
      </tp>
      <tp t="e">
        <v>#N/A</v>
        <stp/>
        <stp>BDS|8672989974397791027</stp>
        <tr r="LN5" s="57"/>
      </tp>
      <tp t="e">
        <v>#N/A</v>
        <stp/>
        <stp>BDS|7208496698392476982</stp>
        <tr r="AY5" s="24"/>
      </tp>
      <tp t="e">
        <v>#N/A</v>
        <stp/>
        <stp>BDS|7837382923477934056</stp>
        <tr r="BN5" s="63"/>
      </tp>
      <tp t="e">
        <v>#N/A</v>
        <stp/>
        <stp>BDS|2447003015212668083</stp>
        <tr r="EU5" s="47"/>
      </tp>
      <tp t="e">
        <v>#N/A</v>
        <stp/>
        <stp>BDS|7246072243416158486</stp>
        <tr r="GN5" s="26"/>
      </tp>
      <tp t="e">
        <v>#N/A</v>
        <stp/>
        <stp>BDS|8106163837939620299</stp>
        <tr r="NL5" s="52"/>
      </tp>
      <tp t="e">
        <v>#N/A</v>
        <stp/>
        <stp>BDS|9916929403154295556</stp>
        <tr r="CR5" s="3"/>
      </tp>
      <tp t="e">
        <v>#N/A</v>
        <stp/>
        <stp>BDS|6319403739387555703</stp>
        <tr r="BX5" s="65"/>
      </tp>
      <tp t="e">
        <v>#N/A</v>
        <stp/>
        <stp>BDS|2081791871880403335</stp>
        <tr r="F5" s="1"/>
      </tp>
      <tp t="e">
        <v>#N/A</v>
        <stp/>
        <stp>BDS|6910649567183755428</stp>
        <tr r="NQ5" s="74"/>
      </tp>
      <tp t="e">
        <v>#N/A</v>
        <stp/>
        <stp>BDS|3323493083018449621</stp>
        <tr r="BX5" s="32"/>
      </tp>
      <tp t="e">
        <v>#N/A</v>
        <stp/>
        <stp>BDS|5829932820538382778</stp>
        <tr r="HW5" s="85"/>
        <tr r="MC5" s="83"/>
        <tr r="KE5" s="49"/>
      </tp>
      <tp t="e">
        <v>#N/A</v>
        <stp/>
        <stp>BDS|3189428469790205072</stp>
        <tr r="JA5" s="122"/>
      </tp>
      <tp t="e">
        <v>#N/A</v>
        <stp/>
        <stp>BDS|1308796320273487619</stp>
        <tr r="IQ5" s="47"/>
      </tp>
      <tp t="e">
        <v>#N/A</v>
        <stp/>
        <stp>BDS|1419440048782348279</stp>
        <tr r="EU5" s="4"/>
      </tp>
      <tp t="e">
        <v>#N/A</v>
        <stp/>
        <stp>BDS|3930228500196126663</stp>
        <tr r="FJ5" s="70"/>
      </tp>
      <tp t="e">
        <v>#N/A</v>
        <stp/>
        <stp>BDS|8842700117698129728</stp>
        <tr r="NB5" s="37"/>
      </tp>
      <tp t="e">
        <v>#N/A</v>
        <stp/>
        <stp>BDS|2192382704315260537</stp>
        <tr r="DB5" s="54"/>
      </tp>
      <tp t="e">
        <v>#N/A</v>
        <stp/>
        <stp>BDS|6367198686726630863</stp>
        <tr r="IL5" s="19"/>
      </tp>
      <tp t="e">
        <v>#N/A</v>
        <stp/>
        <stp>BDS|1594630861127363787</stp>
        <tr r="FE5" s="29"/>
      </tp>
      <tp t="e">
        <v>#N/A</v>
        <stp/>
        <stp>BDS|8065109735499945206</stp>
        <tr r="AJ5" s="64"/>
      </tp>
      <tp t="e">
        <v>#N/A</v>
        <stp/>
        <stp>BDS|5635488130781774255</stp>
        <tr r="MC5" s="60"/>
      </tp>
      <tp t="e">
        <v>#N/A</v>
        <stp/>
        <stp>BDS|7403090963866317617</stp>
        <tr r="CC5" s="68"/>
      </tp>
      <tp t="e">
        <v>#N/A</v>
        <stp/>
        <stp>BDS|6904984415096834908</stp>
        <tr r="IV5" s="82"/>
      </tp>
      <tp t="e">
        <v>#N/A</v>
        <stp/>
        <stp>BDS|4494064509122392748</stp>
        <tr r="BX5" s="39"/>
      </tp>
      <tp t="e">
        <v>#N/A</v>
        <stp/>
        <stp>BDS|9824832318550655192</stp>
        <tr r="JZ5" s="77"/>
      </tp>
      <tp t="e">
        <v>#N/A</v>
        <stp/>
        <stp>BDS|3203216031532702191</stp>
        <tr r="KE5" s="89"/>
      </tp>
      <tp t="e">
        <v>#N/A</v>
        <stp/>
        <stp>BDS|2176782056574458577</stp>
        <tr r="IB5" s="112"/>
      </tp>
      <tp t="e">
        <v>#N/A</v>
        <stp/>
        <stp>BDS|7204421464483063781</stp>
        <tr r="EU5" s="34"/>
      </tp>
      <tp t="e">
        <v>#N/A</v>
        <stp/>
        <stp>BDS|8513843343520823566</stp>
        <tr r="JZ5" s="109"/>
      </tp>
      <tp t="e">
        <v>#N/A</v>
        <stp/>
        <stp>BDS|6073427138912591233</stp>
        <tr r="FJ5" s="86"/>
      </tp>
      <tp t="e">
        <v>#N/A</v>
        <stp/>
        <stp>BDS|4563207728163364626</stp>
        <tr r="NL5" s="125"/>
      </tp>
      <tp t="e">
        <v>#N/A</v>
        <stp/>
        <stp>BDS|3217244244380936475</stp>
        <tr r="IV5" s="117"/>
      </tp>
      <tp t="e">
        <v>#N/A</v>
        <stp/>
        <stp>BDS|8880847715884702420</stp>
        <tr r="NL5" s="110"/>
      </tp>
      <tp t="e">
        <v>#N/A</v>
        <stp/>
        <stp>BDS|7356465519482278126</stp>
        <tr r="FJ5" s="13"/>
      </tp>
      <tp t="e">
        <v>#N/A</v>
        <stp/>
        <stp>BDS|7863119229094976142</stp>
        <tr r="NB5" s="5"/>
      </tp>
      <tp t="e">
        <v>#N/A</v>
        <stp/>
        <stp>BDS|1081563244845885470</stp>
        <tr r="BD5" s="17"/>
      </tp>
      <tp t="e">
        <v>#N/A</v>
        <stp/>
        <stp>BDS|2803726284809578562</stp>
        <tr r="U5" s="76"/>
      </tp>
      <tp t="e">
        <v>#N/A</v>
        <stp/>
        <stp>BDS|9760795784303383440</stp>
        <tr r="NV5" s="93"/>
      </tp>
      <tp t="e">
        <v>#N/A</v>
        <stp/>
        <stp>BDS|3062715818647246369</stp>
        <tr r="LI5" s="77"/>
      </tp>
      <tp t="e">
        <v>#N/A</v>
        <stp/>
        <stp>BDS|4720288872290028004</stp>
        <tr r="AO5" s="37"/>
      </tp>
      <tp t="e">
        <v>#N/A</v>
        <stp/>
        <stp>BDS|5989764069234813130</stp>
        <tr r="LI5" s="24"/>
      </tp>
      <tp t="e">
        <v>#N/A</v>
        <stp/>
        <stp>BDS|2135976508878634252</stp>
        <tr r="IL5" s="23"/>
      </tp>
      <tp t="e">
        <v>#N/A</v>
        <stp/>
        <stp>BDS|7143227955982904327</stp>
        <tr r="A5" s="58"/>
      </tp>
      <tp t="e">
        <v>#N/A</v>
        <stp/>
        <stp>BDS|1686498379011245299</stp>
        <tr r="GS5" s="49"/>
      </tp>
      <tp t="e">
        <v>#N/A</v>
        <stp/>
        <stp>BDS|6358425860172423780</stp>
        <tr r="AT5" s="80"/>
      </tp>
      <tp t="e">
        <v>#N/A</v>
        <stp/>
        <stp>BDS|2234181925627764751</stp>
        <tr r="KJ5" s="8"/>
      </tp>
      <tp t="e">
        <v>#N/A</v>
        <stp/>
        <stp>BDS|5204252296149965655</stp>
        <tr r="F5" s="62"/>
      </tp>
      <tp t="e">
        <v>#N/A</v>
        <stp/>
        <stp>BDS|5059590026521759254</stp>
        <tr r="DL5" s="11"/>
      </tp>
      <tp t="e">
        <v>#N/A</v>
        <stp/>
        <stp>BDS|1261373878376377230</stp>
        <tr r="FT5" s="61"/>
      </tp>
      <tp t="e">
        <v>#N/A</v>
        <stp/>
        <stp>BDS|7182068122351148590</stp>
        <tr r="EA5" s="3"/>
      </tp>
      <tp t="e">
        <v>#N/A</v>
        <stp/>
        <stp>BDS|9391196723589456208</stp>
        <tr r="AO5" s="88"/>
      </tp>
      <tp t="e">
        <v>#N/A</v>
        <stp/>
        <stp>BDS|9705765787863740433</stp>
        <tr r="FJ5" s="93"/>
      </tp>
      <tp t="e">
        <v>#N/A</v>
        <stp/>
        <stp>BDS|3968285144814119060</stp>
        <tr r="Z5" s="49"/>
      </tp>
      <tp t="e">
        <v>#N/A</v>
        <stp/>
        <stp>BDS|3519536146716495562</stp>
        <tr r="JK5" s="24"/>
      </tp>
      <tp t="e">
        <v>#N/A</v>
        <stp/>
        <stp>BDS|3624271612190534149</stp>
        <tr r="LD5" s="121"/>
      </tp>
      <tp t="e">
        <v>#N/A</v>
        <stp/>
        <stp>BDS|3753360935307068569</stp>
        <tr r="EA5" s="39"/>
      </tp>
      <tp t="e">
        <v>#N/A</v>
        <stp/>
        <stp>BDS|7263758921981680220</stp>
        <tr r="U5" s="118"/>
      </tp>
      <tp t="e">
        <v>#N/A</v>
        <stp/>
        <stp>BDS|5658802384916409241</stp>
        <tr r="LD5" s="108"/>
      </tp>
      <tp t="e">
        <v>#N/A</v>
        <stp/>
        <stp>BDS|8332102959079948419</stp>
        <tr r="JZ5" s="8"/>
      </tp>
      <tp t="e">
        <v>#N/A</v>
        <stp/>
        <stp>BDS|7530848625064546833</stp>
        <tr r="MC5" s="21"/>
      </tp>
      <tp t="e">
        <v>#N/A</v>
        <stp/>
        <stp>BDS|1214839861747728951</stp>
        <tr r="HM5" s="76"/>
      </tp>
      <tp t="e">
        <v>#N/A</v>
        <stp/>
        <stp>BDS|3286611160405451755</stp>
        <tr r="AT5" s="66"/>
      </tp>
      <tp t="e">
        <v>#N/A</v>
        <stp/>
        <stp>BDS|3471069322493175330</stp>
        <tr r="FO5" s="36"/>
      </tp>
      <tp t="e">
        <v>#N/A</v>
        <stp/>
        <stp>BDS|9003269609008928249</stp>
        <tr r="JA5" s="102"/>
      </tp>
      <tp t="e">
        <v>#N/A</v>
        <stp/>
        <stp>BDS|3321057237793390209</stp>
        <tr r="BS5" s="117"/>
      </tp>
      <tp t="e">
        <v>#N/A</v>
        <stp/>
        <stp>BDS|7038567775663414750</stp>
        <tr r="JK5" s="39"/>
      </tp>
      <tp t="e">
        <v>#N/A</v>
        <stp/>
        <stp>BDS|8051851166350455752</stp>
        <tr r="P5" s="112"/>
      </tp>
      <tp t="e">
        <v>#N/A</v>
        <stp/>
        <stp>BDS|1487862091473973289</stp>
        <tr r="KT5" s="107"/>
      </tp>
      <tp t="e">
        <v>#N/A</v>
        <stp/>
        <stp>BDS|7629078346866301462</stp>
        <tr r="HW5" s="29"/>
      </tp>
      <tp t="e">
        <v>#N/A</v>
        <stp/>
        <stp>BDS|8571577691625657072</stp>
        <tr r="JU5" s="109"/>
      </tp>
      <tp t="e">
        <v>#N/A</v>
        <stp/>
        <stp>BDS|2999888482183768067</stp>
        <tr r="IQ5" s="123"/>
      </tp>
      <tp t="e">
        <v>#N/A</v>
        <stp/>
        <stp>BDS|3101954802762257967</stp>
        <tr r="AT5" s="60"/>
      </tp>
      <tp t="e">
        <v>#N/A</v>
        <stp/>
        <stp>BDS|3450665381544926880</stp>
        <tr r="LI5" s="61"/>
      </tp>
      <tp t="e">
        <v>#N/A</v>
        <stp/>
        <stp>BDS|6263573100170404233</stp>
        <tr r="KJ5" s="124"/>
      </tp>
      <tp t="e">
        <v>#N/A</v>
        <stp/>
        <stp>BDS|4957203694108873677</stp>
        <tr r="IB5" s="73"/>
      </tp>
      <tp t="e">
        <v>#N/A</v>
        <stp/>
        <stp>BDS|6544462725975795433</stp>
        <tr r="FT5" s="82"/>
      </tp>
      <tp t="e">
        <v>#N/A</v>
        <stp/>
        <stp>BDS|1739253178762953717</stp>
        <tr r="GI5" s="104"/>
      </tp>
      <tp t="e">
        <v>#N/A</v>
        <stp/>
        <stp>BDS|6528656756625654122</stp>
        <tr r="MM5" s="105"/>
      </tp>
      <tp t="e">
        <v>#N/A</v>
        <stp/>
        <stp>BDS|9496297639151164863</stp>
        <tr r="FJ5" s="104"/>
      </tp>
      <tp t="e">
        <v>#N/A</v>
        <stp/>
        <stp>BDS|5730405644786281223</stp>
        <tr r="BS5" s="112"/>
      </tp>
      <tp t="e">
        <v>#N/A</v>
        <stp/>
        <stp>BDS|2681798775275995603</stp>
        <tr r="A5" s="28"/>
      </tp>
      <tp t="e">
        <v>#N/A</v>
        <stp/>
        <stp>BDS|3676208368181838755</stp>
        <tr r="DV5" s="33"/>
      </tp>
      <tp t="e">
        <v>#N/A</v>
        <stp/>
        <stp>BDS|4906703340724386290</stp>
        <tr r="MC5" s="63"/>
      </tp>
      <tp t="e">
        <v>#N/A</v>
        <stp/>
        <stp>BDS|6219002944220693335</stp>
        <tr r="MC5" s="17"/>
      </tp>
      <tp t="e">
        <v>#N/A</v>
        <stp/>
        <stp>BDS|1553239455822407549</stp>
        <tr r="KT5" s="123"/>
      </tp>
      <tp t="e">
        <v>#N/A</v>
        <stp/>
        <stp>BDS|1202364275832370616</stp>
        <tr r="IL5" s="74"/>
      </tp>
      <tp t="e">
        <v>#N/A</v>
        <stp/>
        <stp>BDS|1208721507925591213</stp>
        <tr r="CW5" s="117"/>
      </tp>
      <tp t="e">
        <v>#N/A</v>
        <stp/>
        <stp>BDS|9776379166985540801</stp>
        <tr r="MW5" s="48"/>
      </tp>
      <tp t="e">
        <v>#N/A</v>
        <stp/>
        <stp>BDS|4518718333474185556</stp>
        <tr r="DG5" s="2"/>
      </tp>
      <tp t="e">
        <v>#N/A</v>
        <stp/>
        <stp>BDS|7312962048143673885</stp>
        <tr r="KE5" s="44"/>
      </tp>
      <tp t="e">
        <v>#N/A</v>
        <stp/>
        <stp>BDS|1359951820789635230</stp>
        <tr r="AJ5" s="8"/>
      </tp>
      <tp t="e">
        <v>#N/A</v>
        <stp/>
        <stp>BDS|5603994262742970972</stp>
        <tr r="NQ5" s="23"/>
      </tp>
      <tp t="e">
        <v>#N/A</v>
        <stp/>
        <stp>BDS|6326744817620763140</stp>
        <tr r="HC5" s="58"/>
      </tp>
      <tp t="e">
        <v>#N/A</v>
        <stp/>
        <stp>BDS|4278223405752360552</stp>
        <tr r="JU5" s="57"/>
      </tp>
      <tp t="e">
        <v>#N/A</v>
        <stp/>
        <stp>BDS|8848292523429714064</stp>
        <tr r="IG5" s="110"/>
      </tp>
      <tp t="e">
        <v>#N/A</v>
        <stp/>
        <stp>BDS|6061452657164255234</stp>
        <tr r="FY5" s="49"/>
      </tp>
      <tp t="e">
        <v>#N/A</v>
        <stp/>
        <stp>BDS|3163728346624685504</stp>
        <tr r="NL5" s="10"/>
      </tp>
      <tp t="e">
        <v>#N/A</v>
        <stp/>
        <stp>BDS|6675210332677091153</stp>
        <tr r="KJ5" s="11"/>
      </tp>
      <tp t="e">
        <v>#N/A</v>
        <stp/>
        <stp>BDS|7549594072032932678</stp>
        <tr r="EZ5" s="65"/>
      </tp>
      <tp t="e">
        <v>#N/A</v>
        <stp/>
        <stp>BDS|7515671927832520003</stp>
        <tr r="Z5" s="92"/>
      </tp>
      <tp t="e">
        <v>#N/A</v>
        <stp/>
        <stp>BDS|9622938230485621732</stp>
        <tr r="EZ5" s="93"/>
      </tp>
      <tp t="e">
        <v>#N/A</v>
        <stp/>
        <stp>BDS|1059684439994701167</stp>
        <tr r="MM5" s="46"/>
      </tp>
      <tp t="e">
        <v>#N/A</v>
        <stp/>
        <stp>BDS|3156369366126978185</stp>
        <tr r="MR5" s="28"/>
      </tp>
      <tp t="e">
        <v>#N/A</v>
        <stp/>
        <stp>BDS|3302347201556686706</stp>
        <tr r="AT5" s="67"/>
      </tp>
      <tp t="e">
        <v>#N/A</v>
        <stp/>
        <stp>BDS|3084691639461498648</stp>
        <tr r="JP5" s="110"/>
      </tp>
      <tp t="e">
        <v>#N/A</v>
        <stp/>
        <stp>BDS|1062809386120372054</stp>
        <tr r="F5" s="82"/>
      </tp>
      <tp t="e">
        <v>#N/A</v>
        <stp/>
        <stp>BDS|8377835420445501654</stp>
        <tr r="FT5" s="85"/>
      </tp>
      <tp t="e">
        <v>#N/A</v>
        <stp/>
        <stp>BDS|6386138149470047292</stp>
        <tr r="BS5" s="67"/>
      </tp>
      <tp t="e">
        <v>#N/A</v>
        <stp/>
        <stp>BDS|4998190161775981785</stp>
        <tr r="HR5" s="62"/>
      </tp>
      <tp t="e">
        <v>#N/A</v>
        <stp/>
        <stp>BDS|8206153663087038940</stp>
        <tr r="CW5" s="101"/>
      </tp>
      <tp t="e">
        <v>#N/A</v>
        <stp/>
        <stp>BDS|8864846579494366262</stp>
        <tr r="GN5" s="77"/>
      </tp>
      <tp t="e">
        <v>#N/A</v>
        <stp/>
        <stp>BDS|8023988623993221197</stp>
        <tr r="OA5" s="91"/>
      </tp>
      <tp t="e">
        <v>#N/A</v>
        <stp/>
        <stp>BDS|2441726605777162324</stp>
        <tr r="CW5" s="111"/>
      </tp>
      <tp t="e">
        <v>#N/A</v>
        <stp/>
        <stp>BDS|5748263294378723723</stp>
        <tr r="OA5" s="106"/>
      </tp>
      <tp t="e">
        <v>#N/A</v>
        <stp/>
        <stp>BDS|2783289978807185164</stp>
        <tr r="GI5" s="103"/>
      </tp>
      <tp t="e">
        <v>#N/A</v>
        <stp/>
        <stp>BDS|1792094200135708599</stp>
        <tr r="IG5" s="69"/>
      </tp>
      <tp t="e">
        <v>#N/A</v>
        <stp/>
        <stp>BDS|8195760893955289270</stp>
        <tr r="F5" s="13"/>
      </tp>
      <tp t="e">
        <v>#N/A</v>
        <stp/>
        <stp>BDS|1085904183019614844</stp>
        <tr r="AE5" s="14"/>
      </tp>
      <tp t="e">
        <v>#N/A</v>
        <stp/>
        <stp>BDS|1793601936167229225</stp>
        <tr r="BI5" s="71"/>
      </tp>
      <tp t="e">
        <v>#N/A</v>
        <stp/>
        <stp>BDS|9034013916869606006</stp>
        <tr r="CC5" s="96"/>
      </tp>
      <tp t="e">
        <v>#N/A</v>
        <stp/>
        <stp>BDS|4497761400374713648</stp>
        <tr r="P5" s="77"/>
      </tp>
      <tp t="e">
        <v>#N/A</v>
        <stp/>
        <stp>BDS|1936795512601352707</stp>
        <tr r="JZ5" s="17"/>
      </tp>
      <tp t="e">
        <v>#N/A</v>
        <stp/>
        <stp>BDS|1231859538939894268</stp>
        <tr r="JF5" s="44"/>
      </tp>
      <tp t="e">
        <v>#N/A</v>
        <stp/>
        <stp>BDS|9088001657955078865</stp>
        <tr r="HC5" s="114"/>
      </tp>
      <tp t="e">
        <v>#N/A</v>
        <stp/>
        <stp>BDS|5623183200741950460</stp>
        <tr r="A5" s="33"/>
      </tp>
      <tp t="e">
        <v>#N/A</v>
        <stp/>
        <stp>BDS|2727763014012040746</stp>
        <tr r="DQ5" s="123"/>
      </tp>
      <tp t="e">
        <v>#N/A</v>
        <stp/>
        <stp>BDS|7333948693000698632</stp>
        <tr r="OA5" s="87"/>
      </tp>
      <tp t="e">
        <v>#N/A</v>
        <stp/>
        <stp>BDS|9457640431559527455</stp>
        <tr r="GS5" s="36"/>
      </tp>
      <tp t="e">
        <v>#N/A</v>
        <stp/>
        <stp>BDS|8506641170129429146</stp>
        <tr r="HR5" s="58"/>
      </tp>
      <tp t="e">
        <v>#N/A</v>
        <stp/>
        <stp>BDS|4600730005197863593</stp>
        <tr r="OA5" s="31"/>
      </tp>
      <tp t="e">
        <v>#N/A</v>
        <stp/>
        <stp>BDS|4041287523984576187</stp>
        <tr r="MW5" s="120"/>
      </tp>
      <tp t="e">
        <v>#N/A</v>
        <stp/>
        <stp>BDS|9394131795773309304</stp>
        <tr r="JP5" s="78"/>
      </tp>
      <tp t="e">
        <v>#N/A</v>
        <stp/>
        <stp>BDS|6449750739804878763</stp>
        <tr r="P5" s="62"/>
      </tp>
      <tp t="e">
        <v>#N/A</v>
        <stp/>
        <stp>BDS|7967466289958886289</stp>
        <tr r="LN5" s="85"/>
      </tp>
      <tp t="e">
        <v>#N/A</v>
        <stp/>
        <stp>BDS|1014129758747415386</stp>
        <tr r="LS5" s="61"/>
      </tp>
      <tp t="e">
        <v>#N/A</v>
        <stp/>
        <stp>BDS|3600934338379889137</stp>
        <tr r="BN5" s="116"/>
      </tp>
      <tp t="e">
        <v>#N/A</v>
        <stp/>
        <stp>BDS|3443357342030441519</stp>
        <tr r="JU5" s="21"/>
      </tp>
      <tp t="e">
        <v>#N/A</v>
        <stp/>
        <stp>BDS|6712407205086287560</stp>
        <tr r="DG5" s="42"/>
      </tp>
      <tp t="e">
        <v>#N/A</v>
        <stp/>
        <stp>BDS|9792021908389305184</stp>
        <tr r="NQ5" s="125"/>
      </tp>
      <tp t="e">
        <v>#N/A</v>
        <stp/>
        <stp>BDS|4050443371922161426</stp>
        <tr r="HR5" s="60"/>
      </tp>
      <tp t="e">
        <v>#N/A</v>
        <stp/>
        <stp>BDS|2862403418575445328</stp>
        <tr r="BN5" s="23"/>
      </tp>
      <tp t="e">
        <v>#N/A</v>
        <stp/>
        <stp>BDS|1670410167727448528</stp>
        <tr r="HH5" s="56"/>
      </tp>
      <tp t="e">
        <v>#N/A</v>
        <stp/>
        <stp>BDS|1577012751692293717</stp>
        <tr r="LN5" s="121"/>
      </tp>
      <tp t="e">
        <v>#N/A</v>
        <stp/>
        <stp>BDS|4576347566242204230</stp>
        <tr r="BN5" s="52"/>
      </tp>
      <tp t="e">
        <v>#N/A</v>
        <stp/>
        <stp>BDS|2147627247209325810</stp>
        <tr r="KO5" s="17"/>
      </tp>
      <tp t="e">
        <v>#N/A</v>
        <stp/>
        <stp>BDS|2366035615140356204</stp>
        <tr r="LD5" s="72"/>
      </tp>
      <tp t="e">
        <v>#N/A</v>
        <stp/>
        <stp>BDS|7715156930552430602</stp>
        <tr r="Z5" s="77"/>
      </tp>
      <tp t="e">
        <v>#N/A</v>
        <stp/>
        <stp>BDS|7457038260335177509</stp>
        <tr r="AE5" s="105"/>
      </tp>
      <tp t="e">
        <v>#N/A</v>
        <stp/>
        <stp>BDS|7116427016376411575</stp>
        <tr r="P5" s="109"/>
      </tp>
      <tp t="e">
        <v>#N/A</v>
        <stp/>
        <stp>BDS|5250713830242405215</stp>
        <tr r="CW5" s="115"/>
      </tp>
      <tp t="e">
        <v>#N/A</v>
        <stp/>
        <stp>BDS|6107585258346620110</stp>
        <tr r="JA5" s="57"/>
      </tp>
      <tp t="e">
        <v>#N/A</v>
        <stp/>
        <stp>BDS|6508416263600218534</stp>
        <tr r="DG5" s="100"/>
      </tp>
      <tp t="e">
        <v>#N/A</v>
        <stp/>
        <stp>BDS|6454612370550385613</stp>
        <tr r="FO5" s="74"/>
      </tp>
      <tp t="e">
        <v>#N/A</v>
        <stp/>
        <stp>BDS|4015678327125374446</stp>
        <tr r="GX5" s="118"/>
      </tp>
      <tp t="e">
        <v>#N/A</v>
        <stp/>
        <stp>BDS|8411524230036680974</stp>
        <tr r="AO5" s="5"/>
      </tp>
      <tp t="e">
        <v>#N/A</v>
        <stp/>
        <stp>BDS|9258288339360728930</stp>
        <tr r="BI5" s="9"/>
      </tp>
      <tp t="e">
        <v>#N/A</v>
        <stp/>
        <stp>BDS|9616124967798408700</stp>
        <tr r="U5" s="23"/>
      </tp>
      <tp t="e">
        <v>#N/A</v>
        <stp/>
        <stp>BDS|1399671275595496427</stp>
        <tr r="JU5" s="40"/>
      </tp>
      <tp t="e">
        <v>#N/A</v>
        <stp/>
        <stp>BDS|1278091866451257787</stp>
        <tr r="HM5" s="35"/>
      </tp>
      <tp t="e">
        <v>#N/A</v>
        <stp/>
        <stp>BDS|5149084316410953511</stp>
        <tr r="EA5" s="50"/>
      </tp>
      <tp t="e">
        <v>#N/A</v>
        <stp/>
        <stp>BDS|4435443520005553623</stp>
        <tr r="EZ5" s="113"/>
      </tp>
      <tp t="e">
        <v>#N/A</v>
        <stp/>
        <stp>BDS|2979742650630220187</stp>
        <tr r="IV5" s="68"/>
      </tp>
      <tp t="e">
        <v>#N/A</v>
        <stp/>
        <stp>BDS|4367417079185572391</stp>
        <tr r="FY5" s="61"/>
      </tp>
      <tp t="e">
        <v>#N/A</v>
        <stp/>
        <stp>BDS|7057175959396148481</stp>
        <tr r="HR5" s="50"/>
      </tp>
      <tp t="e">
        <v>#N/A</v>
        <stp/>
        <stp>BDS|6794622766621290663</stp>
        <tr r="DG5" s="46"/>
      </tp>
      <tp t="e">
        <v>#N/A</v>
        <stp/>
        <stp>BDS|9090293067178046498</stp>
        <tr r="KO5" s="63"/>
      </tp>
      <tp t="e">
        <v>#N/A</v>
        <stp/>
        <stp>BDS|8290645902528268718</stp>
        <tr r="FT5" s="121"/>
      </tp>
      <tp t="e">
        <v>#N/A</v>
        <stp/>
        <stp>BDS|6370319264911765365</stp>
        <tr r="IL5" s="113"/>
      </tp>
      <tp t="e">
        <v>#N/A</v>
        <stp/>
        <stp>BDS|3905688343963068353</stp>
        <tr r="EP5" s="93"/>
      </tp>
      <tp t="e">
        <v>#N/A</v>
        <stp/>
        <stp>BDS|1651481852754867531</stp>
        <tr r="EP5" s="48"/>
      </tp>
      <tp t="e">
        <v>#N/A</v>
        <stp/>
        <stp>BDS|4723511952672188728</stp>
        <tr r="HM5" s="47"/>
      </tp>
      <tp t="e">
        <v>#N/A</v>
        <stp/>
        <stp>BDS|7056129000902101540</stp>
        <tr r="AJ5" s="123"/>
      </tp>
      <tp t="e">
        <v>#N/A</v>
        <stp/>
        <stp>BDS|1374322319386811472</stp>
        <tr r="HM5" s="92"/>
      </tp>
      <tp t="e">
        <v>#N/A</v>
        <stp/>
        <stp>BDS|6689195419173106436</stp>
        <tr r="HW5" s="51"/>
      </tp>
      <tp t="e">
        <v>#N/A</v>
        <stp/>
        <stp>BDS|8201125810889550013</stp>
        <tr r="P5" s="78"/>
      </tp>
      <tp t="e">
        <v>#N/A</v>
        <stp/>
        <stp>BDS|9492059941819266565</stp>
        <tr r="JP5" s="77"/>
      </tp>
      <tp t="e">
        <v>#N/A</v>
        <stp/>
        <stp>BDS|2310584409750586632</stp>
        <tr r="IB5" s="52"/>
      </tp>
      <tp t="e">
        <v>#N/A</v>
        <stp/>
        <stp>BDS|8559886035886927450</stp>
        <tr r="AO5" s="15"/>
      </tp>
      <tp t="e">
        <v>#N/A</v>
        <stp/>
        <stp>BDS|5616973469363505898</stp>
        <tr r="KY5" s="57"/>
      </tp>
      <tp t="e">
        <v>#N/A</v>
        <stp/>
        <stp>BDS|2422738394445017876</stp>
        <tr r="JU5" s="10"/>
      </tp>
      <tp t="e">
        <v>#N/A</v>
        <stp/>
        <stp>BDS|6967689724742547142</stp>
        <tr r="MM5" s="40"/>
      </tp>
      <tp t="e">
        <v>#N/A</v>
        <stp/>
        <stp>BDS|3638304722755776678</stp>
        <tr r="AE5" s="12"/>
      </tp>
      <tp t="e">
        <v>#N/A</v>
        <stp/>
        <stp>BDS|1437203923436732648</stp>
        <tr r="OF5" s="31"/>
      </tp>
      <tp t="e">
        <v>#N/A</v>
        <stp/>
        <stp>BDS|4486273417200435646</stp>
        <tr r="HW5" s="59"/>
      </tp>
      <tp t="e">
        <v>#N/A</v>
        <stp/>
        <stp>BDS|1154100106213780242</stp>
        <tr r="P5" s="14"/>
      </tp>
      <tp t="e">
        <v>#N/A</v>
        <stp/>
        <stp>BDS|2283857282445810697</stp>
        <tr r="JA5" s="7"/>
      </tp>
      <tp t="e">
        <v>#N/A</v>
        <stp/>
        <stp>BDS|9018035450829661417</stp>
        <tr r="CH5" s="31"/>
      </tp>
      <tp t="e">
        <v>#N/A</v>
        <stp/>
        <stp>BDS|6398580032032985343</stp>
        <tr r="AO5" s="11"/>
      </tp>
      <tp t="e">
        <v>#N/A</v>
        <stp/>
        <stp>BDS|9774371150437766937</stp>
        <tr r="BN5" s="110"/>
      </tp>
      <tp t="e">
        <v>#N/A</v>
        <stp/>
        <stp>BDS|4904519903780699094</stp>
        <tr r="BI5" s="68"/>
      </tp>
      <tp t="e">
        <v>#N/A</v>
        <stp/>
        <stp>BDS|6873173849781264305</stp>
        <tr r="U5" s="107"/>
      </tp>
      <tp t="e">
        <v>#N/A</v>
        <stp/>
        <stp>BDS|4356383371695825462</stp>
        <tr r="LI5" s="6"/>
      </tp>
      <tp t="e">
        <v>#N/A</v>
        <stp/>
        <stp>BDS|7093315260987621436</stp>
        <tr r="CH5" s="50"/>
      </tp>
      <tp t="e">
        <v>#N/A</v>
        <stp/>
        <stp>BDS|8538855866240121730</stp>
        <tr r="HR5" s="88"/>
      </tp>
      <tp t="e">
        <v>#N/A</v>
        <stp/>
        <stp>BDS|3703740548178651992</stp>
        <tr r="DB5" s="19"/>
      </tp>
      <tp t="e">
        <v>#N/A</v>
        <stp/>
        <stp>BDS|3355950096451721335</stp>
        <tr r="DL5" s="8"/>
      </tp>
      <tp t="e">
        <v>#N/A</v>
        <stp/>
        <stp>BDS|7205914547483961890</stp>
        <tr r="HH5" s="5"/>
      </tp>
      <tp t="e">
        <v>#N/A</v>
        <stp/>
        <stp>BDS|2196250763736289111</stp>
        <tr r="A5" s="81"/>
      </tp>
      <tp t="e">
        <v>#N/A</v>
        <stp/>
        <stp>BDS|4696308278061236086</stp>
        <tr r="NQ5" s="72"/>
      </tp>
      <tp t="e">
        <v>#N/A</v>
        <stp/>
        <stp>BDS|9254067997671797009</stp>
        <tr r="FY5" s="102"/>
      </tp>
      <tp t="e">
        <v>#N/A</v>
        <stp/>
        <stp>BDS|9265976021950188315</stp>
        <tr r="DQ5" s="40"/>
      </tp>
      <tp t="e">
        <v>#N/A</v>
        <stp/>
        <stp>BDS|6483595422993907320</stp>
        <tr r="CC5" s="49"/>
      </tp>
      <tp t="e">
        <v>#N/A</v>
        <stp/>
        <stp>BDS|2645151807370523251</stp>
        <tr r="NL5" s="88"/>
      </tp>
      <tp t="e">
        <v>#N/A</v>
        <stp/>
        <stp>BDS|6210733501564576408</stp>
        <tr r="OF5" s="60"/>
      </tp>
      <tp t="e">
        <v>#N/A</v>
        <stp/>
        <stp>BDS|9111847754546080345</stp>
        <tr r="GX5" s="26"/>
      </tp>
      <tp t="e">
        <v>#N/A</v>
        <stp/>
        <stp>BDS|4053654810783215128</stp>
        <tr r="FT5" s="35"/>
      </tp>
      <tp t="e">
        <v>#N/A</v>
        <stp/>
        <stp>BDS|2839031911741910368</stp>
        <tr r="DB5" s="42"/>
      </tp>
      <tp t="e">
        <v>#N/A</v>
        <stp/>
        <stp>BDS|3694553037440440456</stp>
        <tr r="F5" s="70"/>
      </tp>
      <tp t="e">
        <v>#N/A</v>
        <stp/>
        <stp>BDS|5378583689669764006</stp>
        <tr r="MM5" s="19"/>
      </tp>
      <tp t="e">
        <v>#N/A</v>
        <stp/>
        <stp>BDS|8508525477568140346</stp>
        <tr r="JZ5" s="2"/>
      </tp>
      <tp t="e">
        <v>#N/A</v>
        <stp/>
        <stp>BDS|8851402229836796935</stp>
        <tr r="Z5" s="90"/>
      </tp>
      <tp t="e">
        <v>#N/A</v>
        <stp/>
        <stp>BDS|5702733343036711151</stp>
        <tr r="CM5" s="65"/>
      </tp>
      <tp t="e">
        <v>#N/A</v>
        <stp/>
        <stp>BDS|9483224311203085826</stp>
        <tr r="HR5" s="124"/>
      </tp>
      <tp t="e">
        <v>#N/A</v>
        <stp/>
        <stp>BDS|2730464064080560151</stp>
        <tr r="CC5" s="77"/>
      </tp>
      <tp t="e">
        <v>#N/A</v>
        <stp/>
        <stp>BDS|7390369025093177446</stp>
        <tr r="DL5" s="57"/>
      </tp>
      <tp t="e">
        <v>#N/A</v>
        <stp/>
        <stp>BDS|4816883685071579452</stp>
        <tr r="IG5" s="17"/>
      </tp>
      <tp t="e">
        <v>#N/A</v>
        <stp/>
        <stp>BDS|6832365959261723051</stp>
        <tr r="HH5" s="46"/>
      </tp>
      <tp t="e">
        <v>#N/A</v>
        <stp/>
        <stp>BDS|4654063906314073137</stp>
        <tr r="KE5" s="67"/>
      </tp>
      <tp t="e">
        <v>#N/A</v>
        <stp/>
        <stp>BDS|5218192971904860587</stp>
        <tr r="EF5" s="33"/>
      </tp>
      <tp t="e">
        <v>#N/A</v>
        <stp/>
        <stp>BDS|7499433067010381799</stp>
        <tr r="NB5" s="81"/>
      </tp>
      <tp t="e">
        <v>#N/A</v>
        <stp/>
        <stp>BDS|4654012010021472698</stp>
        <tr r="NB5" s="30"/>
      </tp>
      <tp t="e">
        <v>#N/A</v>
        <stp/>
        <stp>BDS|8893054250779228650</stp>
        <tr r="MH5" s="89"/>
      </tp>
      <tp t="e">
        <v>#N/A</v>
        <stp/>
        <stp>BDS|7674078805120901576</stp>
        <tr r="NV5" s="77"/>
      </tp>
      <tp t="e">
        <v>#N/A</v>
        <stp/>
        <stp>BDS|4417019275474249581</stp>
        <tr r="P5" s="33"/>
      </tp>
      <tp t="e">
        <v>#N/A</v>
        <stp/>
        <stp>BDS|3462255479572692641</stp>
        <tr r="IQ5" s="13"/>
      </tp>
      <tp t="e">
        <v>#N/A</v>
        <stp/>
        <stp>BDS|5322252257810974022</stp>
        <tr r="KO5" s="47"/>
      </tp>
      <tp t="e">
        <v>#N/A</v>
        <stp/>
        <stp>BDS|7864950142119032159</stp>
        <tr r="GN5" s="124"/>
      </tp>
      <tp t="e">
        <v>#N/A</v>
        <stp/>
        <stp>BDS|8783240729473038902</stp>
        <tr r="CH5" s="68"/>
      </tp>
      <tp t="e">
        <v>#N/A</v>
        <stp/>
        <stp>BDS|3256784818456007187</stp>
        <tr r="HC5" s="52"/>
      </tp>
      <tp t="e">
        <v>#N/A</v>
        <stp/>
        <stp>BDS|9860691777792959856</stp>
        <tr r="LD5" s="80"/>
      </tp>
      <tp t="e">
        <v>#N/A</v>
        <stp/>
        <stp>BDS|7246182666745593738</stp>
        <tr r="DL5" s="91"/>
      </tp>
      <tp t="e">
        <v>#N/A</v>
        <stp/>
        <stp>BDS|2566457532593075483</stp>
        <tr r="LD5" s="70"/>
      </tp>
      <tp t="e">
        <v>#N/A</v>
        <stp/>
        <stp>BDS|4802311876430653231</stp>
        <tr r="AO5" s="74"/>
      </tp>
      <tp t="e">
        <v>#N/A</v>
        <stp/>
        <stp>BDS|3419632367683309293</stp>
        <tr r="MC5" s="66"/>
      </tp>
      <tp t="e">
        <v>#N/A</v>
        <stp/>
        <stp>BDS|2200373745746223181</stp>
        <tr r="MR5" s="125"/>
      </tp>
      <tp t="e">
        <v>#N/A</v>
        <stp/>
        <stp>BDS|4309082331384272121</stp>
        <tr r="JF5" s="18"/>
      </tp>
      <tp t="e">
        <v>#N/A</v>
        <stp/>
        <stp>BDS|4447873061971899903</stp>
        <tr r="NL5" s="37"/>
      </tp>
      <tp t="e">
        <v>#N/A</v>
        <stp/>
        <stp>BDS|8280257368607547908</stp>
        <tr r="CW5" s="51"/>
      </tp>
      <tp t="e">
        <v>#N/A</v>
        <stp/>
        <stp>BDS|7873226551790569245</stp>
        <tr r="JA5" s="66"/>
      </tp>
      <tp t="e">
        <v>#N/A</v>
        <stp/>
        <stp>BDS|3855444283544161947</stp>
        <tr r="KY5" s="94"/>
      </tp>
      <tp t="e">
        <v>#N/A</v>
        <stp/>
        <stp>BDS|4074966459063278973</stp>
        <tr r="MW5" s="123"/>
      </tp>
      <tp t="e">
        <v>#N/A</v>
        <stp/>
        <stp>BDS|4627684744385932193</stp>
        <tr r="FJ5" s="69"/>
      </tp>
      <tp t="e">
        <v>#N/A</v>
        <stp/>
        <stp>BDS|7554556247785991153</stp>
        <tr r="BI5" s="13"/>
      </tp>
      <tp t="e">
        <v>#N/A</v>
        <stp/>
        <stp>BDS|4613291721145495314</stp>
        <tr r="GS5" s="20"/>
      </tp>
      <tp t="e">
        <v>#N/A</v>
        <stp/>
        <stp>BDS|1042742348263184361</stp>
        <tr r="LX5" s="74"/>
      </tp>
      <tp t="e">
        <v>#N/A</v>
        <stp/>
        <stp>BDS|9397791652298621155</stp>
        <tr r="CR5" s="90"/>
      </tp>
      <tp t="e">
        <v>#N/A</v>
        <stp/>
        <stp>BDS|7931703722160475044</stp>
        <tr r="EA5" s="32"/>
      </tp>
      <tp t="e">
        <v>#N/A</v>
        <stp/>
        <stp>BDS|6464859439159160629</stp>
        <tr r="DL5" s="33"/>
      </tp>
      <tp t="e">
        <v>#N/A</v>
        <stp/>
        <stp>BDS|7662591889611956945</stp>
        <tr r="NG5" s="69"/>
      </tp>
      <tp t="e">
        <v>#N/A</v>
        <stp/>
        <stp>BDS|7052023282725930825</stp>
        <tr r="LN5" s="101"/>
      </tp>
      <tp t="e">
        <v>#N/A</v>
        <stp/>
        <stp>BDS|3256653759303275176</stp>
        <tr r="GI5" s="94"/>
      </tp>
      <tp t="e">
        <v>#N/A</v>
        <stp/>
        <stp>BDS|1232652305972983704</stp>
        <tr r="JP5" s="50"/>
      </tp>
      <tp t="e">
        <v>#N/A</v>
        <stp/>
        <stp>BDS|9847946565447170335</stp>
        <tr r="HW5" s="89"/>
      </tp>
      <tp t="e">
        <v>#N/A</v>
        <stp/>
        <stp>BDS|8898836211295904689</stp>
        <tr r="Z5" s="53"/>
      </tp>
      <tp t="e">
        <v>#N/A</v>
        <stp/>
        <stp>BDS|9672284117099563171</stp>
        <tr r="GS5" s="125"/>
      </tp>
      <tp t="e">
        <v>#N/A</v>
        <stp/>
        <stp>BDS|2664640178274295538</stp>
        <tr r="F5" s="63"/>
      </tp>
      <tp t="e">
        <v>#N/A</v>
        <stp/>
        <stp>BDS|3095233555104627283</stp>
        <tr r="EP5" s="11"/>
      </tp>
      <tp t="e">
        <v>#N/A</v>
        <stp/>
        <stp>BDS|8092165188164036766</stp>
        <tr r="OA5" s="3"/>
      </tp>
      <tp t="e">
        <v>#N/A</v>
        <stp/>
        <stp>BDS|2995127675383264542</stp>
        <tr r="EA5" s="4"/>
      </tp>
      <tp t="e">
        <v>#N/A</v>
        <stp/>
        <stp>BDS|6748929844479177081</stp>
        <tr r="CM5" s="60"/>
      </tp>
      <tp t="e">
        <v>#N/A</v>
        <stp/>
        <stp>BDS|2963658444932294023</stp>
        <tr r="GN5" s="102"/>
      </tp>
      <tp t="e">
        <v>#N/A</v>
        <stp/>
        <stp>BDS|6313512019708035835</stp>
        <tr r="GS5" s="65"/>
      </tp>
      <tp t="e">
        <v>#N/A</v>
        <stp/>
        <stp>BDS|7307697447003378462</stp>
        <tr r="NG5" s="62"/>
      </tp>
      <tp t="e">
        <v>#N/A</v>
        <stp/>
        <stp>BDS|2116780013486638046</stp>
        <tr r="GX5" s="89"/>
      </tp>
      <tp t="e">
        <v>#N/A</v>
        <stp/>
        <stp>BDS|3476315071544531194</stp>
        <tr r="KY5" s="118"/>
      </tp>
      <tp t="e">
        <v>#N/A</v>
        <stp/>
        <stp>BDS|4366484550981797643</stp>
        <tr r="CW5" s="94"/>
      </tp>
      <tp t="e">
        <v>#N/A</v>
        <stp/>
        <stp>BDS|1753523156754362781</stp>
        <tr r="AO5" s="122"/>
      </tp>
      <tp t="e">
        <v>#N/A</v>
        <stp/>
        <stp>BDS|4416124335317332383</stp>
        <tr r="NV5" s="64"/>
      </tp>
      <tp t="e">
        <v>#N/A</v>
        <stp/>
        <stp>BDS|1063386100231851181</stp>
        <tr r="EP5" s="104"/>
      </tp>
      <tp t="e">
        <v>#N/A</v>
        <stp/>
        <stp>BDS|4556995425508707562</stp>
        <tr r="EP5" s="10"/>
      </tp>
      <tp t="e">
        <v>#N/A</v>
        <stp/>
        <stp>BDS|4833239146910672033</stp>
        <tr r="MM5" s="101"/>
      </tp>
      <tp t="e">
        <v>#N/A</v>
        <stp/>
        <stp>BDS|6679443364537818167</stp>
        <tr r="DV5" s="11"/>
      </tp>
      <tp t="e">
        <v>#N/A</v>
        <stp/>
        <stp>BDS|4151256246131215199</stp>
        <tr r="BI5" s="94"/>
      </tp>
      <tp t="e">
        <v>#N/A</v>
        <stp/>
        <stp>BDS|6665709596558007290</stp>
        <tr r="U5" s="79"/>
      </tp>
      <tp t="e">
        <v>#N/A</v>
        <stp/>
        <stp>BDS|7210707869965462161</stp>
        <tr r="DQ5" s="90"/>
      </tp>
      <tp t="e">
        <v>#N/A</v>
        <stp/>
        <stp>BDS|5883187673669225882</stp>
        <tr r="MC5" s="15"/>
      </tp>
      <tp t="e">
        <v>#N/A</v>
        <stp/>
        <stp>BDS|4274101298997524964</stp>
        <tr r="CC5" s="22"/>
      </tp>
      <tp t="e">
        <v>#N/A</v>
        <stp/>
        <stp>BDS|6028236744101688383</stp>
        <tr r="NB5" s="101"/>
      </tp>
      <tp t="e">
        <v>#N/A</v>
        <stp/>
        <stp>BDS|6330399357750535210</stp>
        <tr r="HM5" s="104"/>
      </tp>
      <tp t="e">
        <v>#N/A</v>
        <stp/>
        <stp>BDS|1804639460783617041</stp>
        <tr r="AT5" s="19"/>
      </tp>
      <tp t="e">
        <v>#N/A</v>
        <stp/>
        <stp>BDS|2574384452204379259</stp>
        <tr r="BI5" s="76"/>
      </tp>
      <tp t="e">
        <v>#N/A</v>
        <stp/>
        <stp>BDS|7069380374346084752</stp>
        <tr r="FO5" s="18"/>
      </tp>
      <tp t="e">
        <v>#N/A</v>
        <stp/>
        <stp>BDS|7624784557811540656</stp>
        <tr r="P5" s="76"/>
      </tp>
      <tp t="e">
        <v>#N/A</v>
        <stp/>
        <stp>BDS|1427040892062360888</stp>
        <tr r="GS5" s="51"/>
      </tp>
      <tp t="e">
        <v>#N/A</v>
        <stp/>
        <stp>BDS|6079082413672796757</stp>
        <tr r="AJ5" s="105"/>
      </tp>
      <tp t="e">
        <v>#N/A</v>
        <stp/>
        <stp>BDS|1115251434770803217</stp>
        <tr r="BN5" s="77"/>
      </tp>
      <tp t="e">
        <v>#N/A</v>
        <stp/>
        <stp>BDS|5301915248743001932</stp>
        <tr r="JF5" s="2"/>
      </tp>
      <tp t="e">
        <v>#N/A</v>
        <stp/>
        <stp>BDS|1317205612074106494</stp>
        <tr r="GS5" s="28"/>
      </tp>
      <tp t="e">
        <v>#N/A</v>
        <stp/>
        <stp>BDS|4170209132284940338</stp>
        <tr r="F5" s="31"/>
      </tp>
      <tp t="e">
        <v>#N/A</v>
        <stp/>
        <stp>BDS|7981438833640522252</stp>
        <tr r="GN5" s="83"/>
      </tp>
      <tp t="e">
        <v>#N/A</v>
        <stp/>
        <stp>BDS|5938997488382452455</stp>
        <tr r="GD5" s="74"/>
      </tp>
      <tp t="e">
        <v>#N/A</v>
        <stp/>
        <stp>BDS|7440511009631650133</stp>
        <tr r="GN5" s="58"/>
      </tp>
      <tp t="e">
        <v>#N/A</v>
        <stp/>
        <stp>BDS|5805705495581338809</stp>
        <tr r="AT5" s="119"/>
      </tp>
      <tp t="e">
        <v>#N/A</v>
        <stp/>
        <stp>BDS|4015643109285683553</stp>
        <tr r="GX5" s="17"/>
      </tp>
      <tp t="e">
        <v>#N/A</v>
        <stp/>
        <stp>BDS|3946351452360671769</stp>
        <tr r="KT5" s="32"/>
      </tp>
      <tp t="e">
        <v>#N/A</v>
        <stp/>
        <stp>BDS|6558766526997274695</stp>
        <tr r="GD5" s="108"/>
      </tp>
      <tp t="e">
        <v>#N/A</v>
        <stp/>
        <stp>BDS|3804314922718428818</stp>
        <tr r="HC5" s="3"/>
      </tp>
      <tp t="e">
        <v>#N/A</v>
        <stp/>
        <stp>BDS|2739739366373898249</stp>
        <tr r="FO5" s="24"/>
      </tp>
      <tp t="e">
        <v>#N/A</v>
        <stp/>
        <stp>BDS|8684100306948715399</stp>
        <tr r="AO5" s="80"/>
      </tp>
      <tp t="e">
        <v>#N/A</v>
        <stp/>
        <stp>BDS|2667714505742837548</stp>
        <tr r="JF5" s="74"/>
      </tp>
      <tp t="e">
        <v>#N/A</v>
        <stp/>
        <stp>BDS|3659967593707898653</stp>
        <tr r="CH5" s="55"/>
      </tp>
      <tp t="e">
        <v>#N/A</v>
        <stp/>
        <stp>BDS|4050666287060692895</stp>
        <tr r="EP5" s="98"/>
      </tp>
      <tp t="e">
        <v>#N/A</v>
        <stp/>
        <stp>BDS|6543299823141753565</stp>
        <tr r="MW5" s="61"/>
      </tp>
      <tp t="e">
        <v>#N/A</v>
        <stp/>
        <stp>BDS|2312209523191913174</stp>
        <tr r="AE5" s="11"/>
      </tp>
      <tp t="e">
        <v>#N/A</v>
        <stp/>
        <stp>BDS|6014831071989973253</stp>
        <tr r="GI5" s="32"/>
      </tp>
      <tp t="e">
        <v>#N/A</v>
        <stp/>
        <stp>BDS|7956066157942638204</stp>
        <tr r="MW5" s="74"/>
      </tp>
      <tp t="e">
        <v>#N/A</v>
        <stp/>
        <stp>BDS|3967567163191368314</stp>
        <tr r="NQ5" s="60"/>
      </tp>
      <tp t="e">
        <v>#N/A</v>
        <stp/>
        <stp>BDS|2319862161508858621</stp>
        <tr r="KE5" s="61"/>
      </tp>
      <tp t="e">
        <v>#N/A</v>
        <stp/>
        <stp>BDS|2367128950041880574</stp>
        <tr r="LX5" s="42"/>
      </tp>
      <tp t="e">
        <v>#N/A</v>
        <stp/>
        <stp>BDS|1099411578974772406</stp>
        <tr r="KE5" s="110"/>
      </tp>
      <tp t="e">
        <v>#N/A</v>
        <stp/>
        <stp>BDS|5945200978635803773</stp>
        <tr r="LS5" s="82"/>
      </tp>
      <tp t="e">
        <v>#N/A</v>
        <stp/>
        <stp>BDS|8137904326480975105</stp>
        <tr r="MR5" s="101"/>
      </tp>
      <tp t="e">
        <v>#N/A</v>
        <stp/>
        <stp>BDS|5816523084489275320</stp>
        <tr r="P5" s="100"/>
      </tp>
      <tp t="e">
        <v>#N/A</v>
        <stp/>
        <stp>BDS|5156550430326826722</stp>
        <tr r="MW5" s="25"/>
      </tp>
      <tp t="e">
        <v>#N/A</v>
        <stp/>
        <stp>BDS|2941226775734641166</stp>
        <tr r="FT5" s="94"/>
      </tp>
      <tp t="e">
        <v>#N/A</v>
        <stp/>
        <stp>BDS|2204882314091732875</stp>
        <tr r="JA5" s="12"/>
      </tp>
      <tp t="e">
        <v>#N/A</v>
        <stp/>
        <stp>BDS|4017876886350874677</stp>
        <tr r="CW5" s="74"/>
      </tp>
      <tp t="e">
        <v>#N/A</v>
        <stp/>
        <stp>BDS|9178057314593608981</stp>
        <tr r="GX5" s="55"/>
      </tp>
      <tp t="e">
        <v>#N/A</v>
        <stp/>
        <stp>BDS|1244990723581219945</stp>
        <tr r="MH5" s="76"/>
      </tp>
      <tp t="e">
        <v>#N/A</v>
        <stp/>
        <stp>BDS|2138741075488954868</stp>
        <tr r="JF5" s="75"/>
      </tp>
      <tp t="e">
        <v>#N/A</v>
        <stp/>
        <stp>BDS|1872322144450827498</stp>
        <tr r="FO5" s="125"/>
      </tp>
      <tp t="e">
        <v>#N/A</v>
        <stp/>
        <stp>BDS|5976405691109297352</stp>
        <tr r="JA5" s="27"/>
      </tp>
      <tp t="e">
        <v>#N/A</v>
        <stp/>
        <stp>BDS|6617252434384087180</stp>
        <tr r="BX5" s="7"/>
      </tp>
      <tp t="e">
        <v>#N/A</v>
        <stp/>
        <stp>BDS|2594626219795994288</stp>
        <tr r="LI5" s="121"/>
      </tp>
      <tp t="e">
        <v>#N/A</v>
        <stp/>
        <stp>BDS|4602712574524906258</stp>
        <tr r="JP5" s="39"/>
      </tp>
      <tp t="e">
        <v>#N/A</v>
        <stp/>
        <stp>BDS|3183695217107736172</stp>
        <tr r="IL5" s="108"/>
      </tp>
      <tp t="e">
        <v>#N/A</v>
        <stp/>
        <stp>BDS|8406567011466935852</stp>
        <tr r="JU5" s="79"/>
      </tp>
      <tp t="e">
        <v>#N/A</v>
        <stp/>
        <stp>BDS|8188869566343798799</stp>
        <tr r="IV5" s="90"/>
      </tp>
      <tp t="e">
        <v>#N/A</v>
        <stp/>
        <stp>BDS|9319295690236001654</stp>
        <tr r="GI5" s="37"/>
      </tp>
      <tp t="e">
        <v>#N/A</v>
        <stp/>
        <stp>BDS|5008397705593326700</stp>
        <tr r="LX5" s="20"/>
      </tp>
      <tp t="e">
        <v>#N/A</v>
        <stp/>
        <stp>BDS|2499386034830008077</stp>
        <tr r="IG5" s="105"/>
      </tp>
      <tp t="e">
        <v>#N/A</v>
        <stp/>
        <stp>BDS|4058883636834697977</stp>
        <tr r="GS5" s="102"/>
      </tp>
      <tp t="e">
        <v>#N/A</v>
        <stp/>
        <stp>BDS|8674906138479902983</stp>
        <tr r="GI5" s="62"/>
      </tp>
      <tp t="e">
        <v>#N/A</v>
        <stp/>
        <stp>BDS|1581030939689982990</stp>
        <tr r="EP5" s="31"/>
      </tp>
      <tp t="e">
        <v>#N/A</v>
        <stp/>
        <stp>BDS|1708191945816075049</stp>
        <tr r="KE5" s="19"/>
      </tp>
      <tp t="e">
        <v>#N/A</v>
        <stp/>
        <stp>BDS|1453107002686059496</stp>
        <tr r="AJ5" s="91"/>
      </tp>
      <tp t="e">
        <v>#N/A</v>
        <stp/>
        <stp>BDS|8036977512314936630</stp>
        <tr r="JA5" s="2"/>
      </tp>
      <tp t="e">
        <v>#N/A</v>
        <stp/>
        <stp>BDS|6152632272371624492</stp>
        <tr r="JA5" s="71"/>
      </tp>
      <tp t="e">
        <v>#N/A</v>
        <stp/>
        <stp>BDS|2699590117186143256</stp>
        <tr r="NB5" s="39"/>
      </tp>
      <tp t="e">
        <v>#N/A</v>
        <stp/>
        <stp>BDS|5885693900667960640</stp>
        <tr r="EU5" s="120"/>
      </tp>
      <tp t="e">
        <v>#N/A</v>
        <stp/>
        <stp>BDS|1991140252741337605</stp>
        <tr r="JK5" s="83"/>
      </tp>
      <tp t="e">
        <v>#N/A</v>
        <stp/>
        <stp>BDS|4185948060861807811</stp>
        <tr r="OF5" s="105"/>
      </tp>
      <tp t="e">
        <v>#N/A</v>
        <stp/>
        <stp>BDS|7360188151228455920</stp>
        <tr r="KO5" s="41"/>
      </tp>
      <tp t="e">
        <v>#N/A</v>
        <stp/>
        <stp>BDS|3616994112249698077</stp>
        <tr r="JZ5" s="125"/>
      </tp>
      <tp t="e">
        <v>#N/A</v>
        <stp/>
        <stp>BDS|3371976001618802019</stp>
        <tr r="JU5" s="62"/>
      </tp>
      <tp t="e">
        <v>#N/A</v>
        <stp/>
        <stp>BDS|4571958168688253163</stp>
        <tr r="HH5" s="65"/>
      </tp>
      <tp t="e">
        <v>#N/A</v>
        <stp/>
        <stp>BDS|5898851485533121453</stp>
        <tr r="IB5" s="4"/>
      </tp>
      <tp t="e">
        <v>#N/A</v>
        <stp/>
        <stp>BDS|2447867846875077980</stp>
        <tr r="KE5" s="119"/>
      </tp>
      <tp t="e">
        <v>#N/A</v>
        <stp/>
        <stp>BDS|5705637805678487994</stp>
        <tr r="FT5" s="6"/>
      </tp>
      <tp t="e">
        <v>#N/A</v>
        <stp/>
        <stp>BDS|9814516431164523916</stp>
        <tr r="JK5" s="75"/>
      </tp>
      <tp t="e">
        <v>#N/A</v>
        <stp/>
        <stp>BDS|1187092384199603268</stp>
        <tr r="MR5" s="124"/>
      </tp>
      <tp t="e">
        <v>#N/A</v>
        <stp/>
        <stp>BDS|1100265912240042090</stp>
        <tr r="K5" s="26"/>
      </tp>
      <tp t="e">
        <v>#N/A</v>
        <stp/>
        <stp>BDS|4990277041400256019</stp>
        <tr r="CH5" s="26"/>
        <tr r="KT5" s="40"/>
      </tp>
      <tp t="e">
        <v>#N/A</v>
        <stp/>
        <stp>BDS|2249058077562992556</stp>
        <tr r="LX5" s="67"/>
      </tp>
      <tp t="e">
        <v>#N/A</v>
        <stp/>
        <stp>BDS|5949102934180979587</stp>
        <tr r="NQ5" s="14"/>
      </tp>
      <tp t="e">
        <v>#N/A</v>
        <stp/>
        <stp>BDS|6747030217940938569</stp>
        <tr r="FO5" s="111"/>
      </tp>
      <tp t="e">
        <v>#N/A</v>
        <stp/>
        <stp>BDS|7421634727975497483</stp>
        <tr r="P5" s="118"/>
      </tp>
      <tp t="e">
        <v>#N/A</v>
        <stp/>
        <stp>BDS|7878114736631248609</stp>
        <tr r="JK5" s="36"/>
      </tp>
      <tp t="e">
        <v>#N/A</v>
        <stp/>
        <stp>BDS|7855134861696386447</stp>
        <tr r="GN5" s="65"/>
      </tp>
      <tp t="e">
        <v>#N/A</v>
        <stp/>
        <stp>BDS|8107346322643280881</stp>
        <tr r="HM5" s="119"/>
      </tp>
      <tp t="e">
        <v>#N/A</v>
        <stp/>
        <stp>BDS|9609814307056895554</stp>
        <tr r="IG5" s="97"/>
      </tp>
      <tp t="e">
        <v>#N/A</v>
        <stp/>
        <stp>BDS|7849519868154470285</stp>
        <tr r="NQ5" s="47"/>
      </tp>
      <tp t="e">
        <v>#N/A</v>
        <stp/>
        <stp>BDS|9525819206402760187</stp>
        <tr r="CW5" s="84"/>
      </tp>
      <tp t="e">
        <v>#N/A</v>
        <stp/>
        <stp>BDS|4220268958859357829</stp>
        <tr r="LD5" s="4"/>
      </tp>
      <tp t="e">
        <v>#N/A</v>
        <stp/>
        <stp>BDS|7371984815215591867</stp>
        <tr r="HR5" s="9"/>
      </tp>
      <tp t="e">
        <v>#N/A</v>
        <stp/>
        <stp>BDS|2153659105067837143</stp>
        <tr r="LS5" s="123"/>
      </tp>
      <tp t="e">
        <v>#N/A</v>
        <stp/>
        <stp>BDS|4556276769732389050</stp>
        <tr r="K5" s="68"/>
      </tp>
      <tp t="e">
        <v>#N/A</v>
        <stp/>
        <stp>BDS|4576048351592853152</stp>
        <tr r="CH5" s="3"/>
      </tp>
      <tp t="e">
        <v>#N/A</v>
        <stp/>
        <stp>BDS|3015757878458309930</stp>
        <tr r="NB5" s="42"/>
      </tp>
      <tp t="e">
        <v>#N/A</v>
        <stp/>
        <stp>BDS|5647623702753922221</stp>
        <tr r="F5" s="117"/>
      </tp>
      <tp t="e">
        <v>#N/A</v>
        <stp/>
        <stp>BDS|9935507294496854186</stp>
        <tr r="HR5" s="119"/>
      </tp>
      <tp t="e">
        <v>#N/A</v>
        <stp/>
        <stp>BDS|7157411219368213867</stp>
        <tr r="GD5" s="2"/>
      </tp>
      <tp t="e">
        <v>#N/A</v>
        <stp/>
        <stp>BDS|5916168262818328835</stp>
        <tr r="JP5" s="73"/>
      </tp>
      <tp t="e">
        <v>#N/A</v>
        <stp/>
        <stp>BDS|5857531759836927169</stp>
        <tr r="JA5" s="82"/>
      </tp>
      <tp t="e">
        <v>#N/A</v>
        <stp/>
        <stp>BDS|8786829452240369792</stp>
        <tr r="IG5" s="104"/>
      </tp>
      <tp t="e">
        <v>#N/A</v>
        <stp/>
        <stp>BDS|4987386032127246131</stp>
        <tr r="MM5" s="21"/>
      </tp>
      <tp t="e">
        <v>#N/A</v>
        <stp/>
        <stp>BDS|7740325385068136638</stp>
        <tr r="EF5" s="68"/>
      </tp>
      <tp t="e">
        <v>#N/A</v>
        <stp/>
        <stp>BDS|3253562900983328756</stp>
        <tr r="OA5" s="36"/>
      </tp>
      <tp t="e">
        <v>#N/A</v>
        <stp/>
        <stp>BDS|5027215864494433738</stp>
        <tr r="FY5" s="15"/>
      </tp>
      <tp t="e">
        <v>#N/A</v>
        <stp/>
        <stp>BDS|6136416570942369513</stp>
        <tr r="CR5" s="107"/>
      </tp>
      <tp t="e">
        <v>#N/A</v>
        <stp/>
        <stp>BDS|8062579634369929587</stp>
        <tr r="JA5" s="72"/>
      </tp>
      <tp t="e">
        <v>#N/A</v>
        <stp/>
        <stp>BDS|7451965191141393426</stp>
        <tr r="DQ5" s="48"/>
      </tp>
      <tp t="e">
        <v>#N/A</v>
        <stp/>
        <stp>BDS|5323507319951951216</stp>
        <tr r="DQ5" s="104"/>
      </tp>
      <tp t="e">
        <v>#N/A</v>
        <stp/>
        <stp>BDS|4507283877237162498</stp>
        <tr r="IL5" s="16"/>
      </tp>
      <tp t="e">
        <v>#N/A</v>
        <stp/>
        <stp>BDS|4380252551334239575</stp>
        <tr r="FO5" s="85"/>
      </tp>
      <tp t="e">
        <v>#N/A</v>
        <stp/>
        <stp>BDS|1559012920981635001</stp>
        <tr r="NG5" s="125"/>
      </tp>
      <tp t="e">
        <v>#N/A</v>
        <stp/>
        <stp>BDS|1550515670782291342</stp>
        <tr r="NB5" s="15"/>
      </tp>
      <tp t="e">
        <v>#N/A</v>
        <stp/>
        <stp>BDS|2338929695882764217</stp>
        <tr r="AE5" s="117"/>
      </tp>
      <tp t="e">
        <v>#N/A</v>
        <stp/>
        <stp>BDS|7145396128645407165</stp>
        <tr r="DL5" s="54"/>
      </tp>
      <tp t="e">
        <v>#N/A</v>
        <stp/>
        <stp>BDS|2037625371353168205</stp>
        <tr r="JU5" s="78"/>
      </tp>
      <tp t="e">
        <v>#N/A</v>
        <stp/>
        <stp>BDS|3188642821930152571</stp>
        <tr r="HH5" s="49"/>
      </tp>
      <tp t="e">
        <v>#N/A</v>
        <stp/>
        <stp>BDS|1714103568122923645</stp>
        <tr r="KO5" s="52"/>
      </tp>
      <tp t="e">
        <v>#N/A</v>
        <stp/>
        <stp>BDS|5460773516656230754</stp>
        <tr r="DB5" s="30"/>
      </tp>
      <tp t="e">
        <v>#N/A</v>
        <stp/>
        <stp>BDS|6774712097179443374</stp>
        <tr r="HR5" s="76"/>
      </tp>
      <tp t="e">
        <v>#N/A</v>
        <stp/>
        <stp>BDS|3538741970088605956</stp>
        <tr r="NQ5" s="29"/>
      </tp>
      <tp t="e">
        <v>#N/A</v>
        <stp/>
        <stp>BDS|9952124880452028092</stp>
        <tr r="U5" s="5"/>
      </tp>
      <tp t="e">
        <v>#N/A</v>
        <stp/>
        <stp>BDS|9131804400456681540</stp>
        <tr r="HR5" s="101"/>
      </tp>
      <tp t="e">
        <v>#N/A</v>
        <stp/>
        <stp>BDS|4577145969243988220</stp>
        <tr r="FO5" s="84"/>
      </tp>
      <tp t="e">
        <v>#N/A</v>
        <stp/>
        <stp>BDS|7595475223465536674</stp>
        <tr r="KJ5" s="47"/>
      </tp>
      <tp t="e">
        <v>#N/A</v>
        <stp/>
        <stp>BDS|4936867248902035841</stp>
        <tr r="HM5" s="27"/>
      </tp>
      <tp t="e">
        <v>#N/A</v>
        <stp/>
        <stp>BDS|7683797110003533093</stp>
        <tr r="AJ5" s="101"/>
      </tp>
      <tp t="e">
        <v>#N/A</v>
        <stp/>
        <stp>BDS|7754098708066561307</stp>
        <tr r="F5" s="34"/>
      </tp>
      <tp t="e">
        <v>#N/A</v>
        <stp/>
        <stp>BDS|9705303961868423614</stp>
        <tr r="BX5" s="120"/>
      </tp>
      <tp t="e">
        <v>#N/A</v>
        <stp/>
        <stp>BDS|7393789522902896223</stp>
        <tr r="FJ5" s="89"/>
      </tp>
      <tp t="e">
        <v>#N/A</v>
        <stp/>
        <stp>BDS|1358409463525718448</stp>
        <tr r="F5" s="20"/>
      </tp>
      <tp t="e">
        <v>#N/A</v>
        <stp/>
        <stp>BDS|1411130794322822981</stp>
        <tr r="NG5" s="32"/>
      </tp>
      <tp t="e">
        <v>#N/A</v>
        <stp/>
        <stp>BDS|3159324807912086076</stp>
        <tr r="FY5" s="119"/>
      </tp>
      <tp t="e">
        <v>#N/A</v>
        <stp/>
        <stp>BDS|9005530670849778079</stp>
        <tr r="OA5" s="72"/>
      </tp>
      <tp t="e">
        <v>#N/A</v>
        <stp/>
        <stp>BDS|4901482171753375606</stp>
        <tr r="EP5" s="12"/>
      </tp>
      <tp t="e">
        <v>#N/A</v>
        <stp/>
        <stp>BDS|4297176243186622538</stp>
        <tr r="CR5" s="62"/>
      </tp>
      <tp t="e">
        <v>#N/A</v>
        <stp/>
        <stp>BDS|1828590412072154512</stp>
        <tr r="FO5" s="96"/>
      </tp>
      <tp t="e">
        <v>#N/A</v>
        <stp/>
        <stp>BDS|7104244870646250642</stp>
        <tr r="GX5" s="35"/>
      </tp>
      <tp t="e">
        <v>#N/A</v>
        <stp/>
        <stp>BDS|4030107208322359587</stp>
        <tr r="JF5" s="51"/>
      </tp>
      <tp t="e">
        <v>#N/A</v>
        <stp/>
        <stp>BDS|4342488811401234281</stp>
        <tr r="GX5" s="59"/>
      </tp>
      <tp t="e">
        <v>#N/A</v>
        <stp/>
        <stp>BDS|1580367606515281579</stp>
        <tr r="BI5" s="70"/>
      </tp>
      <tp t="e">
        <v>#N/A</v>
        <stp/>
        <stp>BDS|1716156157881311665</stp>
        <tr r="DG5" s="6"/>
      </tp>
      <tp t="e">
        <v>#N/A</v>
        <stp/>
        <stp>BDS|9282758736079301628</stp>
        <tr r="HW5" s="125"/>
      </tp>
      <tp t="e">
        <v>#N/A</v>
        <stp/>
        <stp>BDS|1858187807546781401</stp>
        <tr r="EU5" s="18"/>
      </tp>
      <tp t="e">
        <v>#N/A</v>
        <stp/>
        <stp>BDS|4633401154301577678</stp>
        <tr r="OA5" s="14"/>
      </tp>
      <tp t="e">
        <v>#N/A</v>
        <stp/>
        <stp>BDS|9655030675055989991</stp>
        <tr r="DV5" s="125"/>
      </tp>
      <tp t="e">
        <v>#N/A</v>
        <stp/>
        <stp>BDS|1294131609201802307</stp>
        <tr r="HW5" s="55"/>
      </tp>
      <tp t="e">
        <v>#N/A</v>
        <stp/>
        <stp>BDS|6375621481099095302</stp>
        <tr r="EZ5" s="17"/>
      </tp>
      <tp t="e">
        <v>#N/A</v>
        <stp/>
        <stp>BDS|7569242751365187712</stp>
        <tr r="CW5" s="118"/>
      </tp>
      <tp t="e">
        <v>#N/A</v>
        <stp/>
        <stp>BDS|2082402811254927188</stp>
        <tr r="HM5" s="83"/>
      </tp>
      <tp t="e">
        <v>#N/A</v>
        <stp/>
        <stp>BDS|1354021996112556822</stp>
        <tr r="HR5" s="24"/>
      </tp>
      <tp t="e">
        <v>#N/A</v>
        <stp/>
        <stp>BDS|2030687905196473091</stp>
        <tr r="KY5" s="93"/>
      </tp>
      <tp t="e">
        <v>#N/A</v>
        <stp/>
        <stp>BDS|9437046610263265921</stp>
        <tr r="HH5" s="106"/>
      </tp>
      <tp t="e">
        <v>#N/A</v>
        <stp/>
        <stp>BDS|2292828572916783956</stp>
        <tr r="DG5" s="67"/>
      </tp>
      <tp t="e">
        <v>#N/A</v>
        <stp/>
        <stp>BDS|8714405076459943082</stp>
        <tr r="IQ5" s="105"/>
      </tp>
      <tp t="e">
        <v>#N/A</v>
        <stp/>
        <stp>BDS|9212245296334619460</stp>
        <tr r="FE5" s="2"/>
      </tp>
      <tp t="e">
        <v>#N/A</v>
        <stp/>
        <stp>BDS|6302347742317371464</stp>
        <tr r="IG5" s="77"/>
      </tp>
      <tp t="e">
        <v>#N/A</v>
        <stp/>
        <stp>BDS|5133041676377114727</stp>
        <tr r="EZ5" s="68"/>
      </tp>
      <tp t="e">
        <v>#N/A</v>
        <stp/>
        <stp>BDS|1542204220655107641</stp>
        <tr r="JA5" s="86"/>
      </tp>
      <tp t="e">
        <v>#N/A</v>
        <stp/>
        <stp>BDS|8434027688892796092</stp>
        <tr r="IQ5" s="68"/>
      </tp>
      <tp t="e">
        <v>#N/A</v>
        <stp/>
        <stp>BDS|5193335043136204639</stp>
        <tr r="IV5" s="57"/>
      </tp>
      <tp t="e">
        <v>#N/A</v>
        <stp/>
        <stp>BDS|5129960592131029655</stp>
        <tr r="JA5" s="9"/>
      </tp>
      <tp t="e">
        <v>#N/A</v>
        <stp/>
        <stp>BDS|4323141867699593858</stp>
        <tr r="FY5" s="91"/>
      </tp>
      <tp t="e">
        <v>#N/A</v>
        <stp/>
        <stp>BDS|5714525067662158633</stp>
        <tr r="KY5" s="12"/>
      </tp>
      <tp t="e">
        <v>#N/A</v>
        <stp/>
        <stp>BDS|8072242370637706829</stp>
        <tr r="IQ5" s="34"/>
      </tp>
      <tp t="e">
        <v>#N/A</v>
        <stp/>
        <stp>BDS|5812972389087693110</stp>
        <tr r="IQ5" s="94"/>
      </tp>
      <tp t="e">
        <v>#N/A</v>
        <stp/>
        <stp>BDS|5821095966654018568</stp>
        <tr r="DV5" s="51"/>
      </tp>
      <tp t="e">
        <v>#N/A</v>
        <stp/>
        <stp>BDS|1017417548347156498</stp>
        <tr r="Z5" s="108"/>
      </tp>
      <tp t="e">
        <v>#N/A</v>
        <stp/>
        <stp>BDS|1083205755163329776</stp>
        <tr r="OA5" s="67"/>
      </tp>
      <tp t="e">
        <v>#N/A</v>
        <stp/>
        <stp>BDS|5463346014320032559</stp>
        <tr r="EU5" s="82"/>
      </tp>
      <tp t="e">
        <v>#N/A</v>
        <stp/>
        <stp>BDS|5549565132841455042</stp>
        <tr r="HM5" s="58"/>
      </tp>
      <tp t="e">
        <v>#N/A</v>
        <stp/>
        <stp>BDS|5977184676335078469</stp>
        <tr r="NV5" s="88"/>
      </tp>
      <tp t="e">
        <v>#N/A</v>
        <stp/>
        <stp>BDS|1233569047002376012</stp>
        <tr r="U5" s="57"/>
      </tp>
      <tp t="e">
        <v>#N/A</v>
        <stp/>
        <stp>BDS|4363352857956342636</stp>
        <tr r="AO5" s="76"/>
      </tp>
      <tp t="e">
        <v>#N/A</v>
        <stp/>
        <stp>BDS|5494942235739724432</stp>
        <tr r="FY5" s="108"/>
      </tp>
      <tp t="e">
        <v>#N/A</v>
        <stp/>
        <stp>BDS|6405516115784746468</stp>
        <tr r="CR5" s="61"/>
      </tp>
      <tp t="e">
        <v>#N/A</v>
        <stp/>
        <stp>BDS|6524150355004322472</stp>
        <tr r="MW5" s="11"/>
      </tp>
      <tp t="e">
        <v>#N/A</v>
        <stp/>
        <stp>BDS|1011819973798257418</stp>
        <tr r="CR5" s="74"/>
      </tp>
      <tp t="e">
        <v>#N/A</v>
        <stp/>
        <stp>BDS|2957048779127793026</stp>
        <tr r="OA5" s="78"/>
      </tp>
      <tp t="e">
        <v>#N/A</v>
        <stp/>
        <stp>BDS|5800101468008967884</stp>
        <tr r="JU5" s="69"/>
      </tp>
      <tp t="e">
        <v>#N/A</v>
        <stp/>
        <stp>BDS|8777574883801491661</stp>
        <tr r="JU5" s="93"/>
      </tp>
      <tp t="e">
        <v>#N/A</v>
        <stp/>
        <stp>BDS|9484513061831748927</stp>
        <tr r="KE5" s="92"/>
      </tp>
      <tp t="e">
        <v>#N/A</v>
        <stp/>
        <stp>BDS|7676610257531322726</stp>
        <tr r="LI5" s="13"/>
      </tp>
      <tp t="e">
        <v>#N/A</v>
        <stp/>
        <stp>BDS|8819011292560914332</stp>
        <tr r="AE5" s="9"/>
      </tp>
      <tp t="e">
        <v>#N/A</v>
        <stp/>
        <stp>BDS|1860148979947507211</stp>
        <tr r="F5" s="16"/>
      </tp>
      <tp t="e">
        <v>#N/A</v>
        <stp/>
        <stp>BDS|9499188698094051753</stp>
        <tr r="MW5" s="2"/>
      </tp>
      <tp t="e">
        <v>#N/A</v>
        <stp/>
        <stp>BDS|8066623216275479814</stp>
        <tr r="EA5" s="60"/>
      </tp>
      <tp t="e">
        <v>#N/A</v>
        <stp/>
        <stp>BDS|4618547077394293069</stp>
        <tr r="IG5" s="40"/>
      </tp>
      <tp t="e">
        <v>#N/A</v>
        <stp/>
        <stp>BDS|9099869072035155140</stp>
        <tr r="CH5" s="46"/>
      </tp>
      <tp t="e">
        <v>#N/A</v>
        <stp/>
        <stp>BDS|8344647487940480428</stp>
        <tr r="FO5" s="105"/>
      </tp>
      <tp t="e">
        <v>#N/A</v>
        <stp/>
        <stp>BDS|1579185155853951475</stp>
        <tr r="LS5" s="59"/>
      </tp>
      <tp t="e">
        <v>#N/A</v>
        <stp/>
        <stp>BDS|8679935945802596538</stp>
        <tr r="AJ5" s="49"/>
      </tp>
      <tp t="e">
        <v>#N/A</v>
        <stp/>
        <stp>BDS|1044416970059518928</stp>
        <tr r="FO5" s="110"/>
      </tp>
      <tp t="e">
        <v>#N/A</v>
        <stp/>
        <stp>BDS|6358731362462382773</stp>
        <tr r="AT5" s="111"/>
      </tp>
      <tp t="e">
        <v>#N/A</v>
        <stp/>
        <stp>BDS|3529437502894445160</stp>
        <tr r="EA5" s="30"/>
      </tp>
      <tp t="e">
        <v>#N/A</v>
        <stp/>
        <stp>BDS|9171535741348491211</stp>
        <tr r="CH5" s="122"/>
      </tp>
      <tp t="e">
        <v>#N/A</v>
        <stp/>
        <stp>BDS|9299535180114526226</stp>
        <tr r="CC5" s="5"/>
      </tp>
      <tp t="e">
        <v>#N/A</v>
        <stp/>
        <stp>BDS|7775126979633389091</stp>
        <tr r="LN5" s="6"/>
      </tp>
      <tp t="e">
        <v>#N/A</v>
        <stp/>
        <stp>BDS|3711408263311155231</stp>
        <tr r="CC5" s="67"/>
      </tp>
      <tp t="e">
        <v>#N/A</v>
        <stp/>
        <stp>BDS|1581446263426071743</stp>
        <tr r="DL5" s="24"/>
      </tp>
      <tp t="e">
        <v>#N/A</v>
        <stp/>
        <stp>BDS|2008158458542928621</stp>
        <tr r="JU5" s="107"/>
      </tp>
      <tp t="e">
        <v>#N/A</v>
        <stp/>
        <stp>BDS|7674758891902304978</stp>
        <tr r="HH5" s="70"/>
      </tp>
      <tp t="e">
        <v>#N/A</v>
        <stp/>
        <stp>BDS|5030571028962025296</stp>
        <tr r="GI5" s="43"/>
      </tp>
      <tp t="e">
        <v>#N/A</v>
        <stp/>
        <stp>BDS|1576338191799604077</stp>
        <tr r="JK5" s="94"/>
        <tr r="BI5" s="115"/>
      </tp>
      <tp t="e">
        <v>#N/A</v>
        <stp/>
        <stp>BDS|4368230211316586321</stp>
        <tr r="EU5" s="81"/>
      </tp>
      <tp t="e">
        <v>#N/A</v>
        <stp/>
        <stp>BDS|7332408004128805997</stp>
        <tr r="GN5" s="88"/>
      </tp>
      <tp t="e">
        <v>#N/A</v>
        <stp/>
        <stp>BDS|6991873184556822240</stp>
        <tr r="DV5" s="100"/>
      </tp>
      <tp t="e">
        <v>#N/A</v>
        <stp/>
        <stp>BDS|1642643809535562089</stp>
        <tr r="KE5" s="96"/>
      </tp>
      <tp t="e">
        <v>#N/A</v>
        <stp/>
        <stp>BDS|9503334320112871880</stp>
        <tr r="BX5" s="108"/>
      </tp>
      <tp t="e">
        <v>#N/A</v>
        <stp/>
        <stp>BDS|9788815263405190022</stp>
        <tr r="LI5" s="56"/>
      </tp>
      <tp t="e">
        <v>#N/A</v>
        <stp/>
        <stp>BDS|1952511003753872557</stp>
        <tr r="CR5" s="92"/>
      </tp>
      <tp t="e">
        <v>#N/A</v>
        <stp/>
        <stp>BDS|5476671824547729461</stp>
        <tr r="DQ5" s="74"/>
      </tp>
      <tp t="e">
        <v>#N/A</v>
        <stp/>
        <stp>BDS|4551108335976639207</stp>
        <tr r="JF5" s="5"/>
      </tp>
      <tp t="e">
        <v>#N/A</v>
        <stp/>
        <stp>BDS|3097215009173848069</stp>
        <tr r="CM5" s="49"/>
      </tp>
      <tp t="e">
        <v>#N/A</v>
        <stp/>
        <stp>BDS|5446065177951187127</stp>
        <tr r="AJ5" s="14"/>
      </tp>
      <tp t="e">
        <v>#N/A</v>
        <stp/>
        <stp>BDS|9786481118679398721</stp>
        <tr r="KE5" s="57"/>
      </tp>
      <tp t="e">
        <v>#N/A</v>
        <stp/>
        <stp>BDS|1888003827220957108</stp>
        <tr r="DG5" s="60"/>
      </tp>
      <tp t="e">
        <v>#N/A</v>
        <stp/>
        <stp>BDS|1727570891356327947</stp>
        <tr r="OA5" s="34"/>
      </tp>
      <tp t="e">
        <v>#N/A</v>
        <stp/>
        <stp>BDS|4687070676246807780</stp>
        <tr r="OF5" s="80"/>
      </tp>
      <tp t="e">
        <v>#N/A</v>
        <stp/>
        <stp>BDS|1682326324380357242</stp>
        <tr r="EP5" s="71"/>
      </tp>
      <tp t="e">
        <v>#N/A</v>
        <stp/>
        <stp>BDS|2143853356674583902</stp>
        <tr r="AY5" s="10"/>
      </tp>
      <tp t="e">
        <v>#N/A</v>
        <stp/>
        <stp>BDS|2489724376644549425</stp>
        <tr r="IG5" s="13"/>
      </tp>
      <tp t="e">
        <v>#N/A</v>
        <stp/>
        <stp>BDS|1032025215085289725</stp>
        <tr r="HW5" s="14"/>
      </tp>
      <tp t="e">
        <v>#N/A</v>
        <stp/>
        <stp>BDS|4709663321700476238</stp>
        <tr r="MH5" s="56"/>
      </tp>
      <tp t="e">
        <v>#N/A</v>
        <stp/>
        <stp>BDS|6578562963043193464</stp>
        <tr r="NB5" s="111"/>
      </tp>
      <tp t="e">
        <v>#N/A</v>
        <stp/>
        <stp>BDS|1771708248797947714</stp>
        <tr r="BD5" s="88"/>
      </tp>
      <tp t="e">
        <v>#N/A</v>
        <stp/>
        <stp>BDS|1683989145219583792</stp>
        <tr r="BN5" s="53"/>
      </tp>
      <tp t="e">
        <v>#N/A</v>
        <stp/>
        <stp>BDS|2264794958570088246</stp>
        <tr r="CW5" s="3"/>
      </tp>
      <tp t="e">
        <v>#N/A</v>
        <stp/>
        <stp>BDS|7831227568271285070</stp>
        <tr r="LD5" s="9"/>
      </tp>
      <tp t="e">
        <v>#N/A</v>
        <stp/>
        <stp>BDS|6054750656101590713</stp>
        <tr r="JU5" s="25"/>
      </tp>
      <tp t="e">
        <v>#N/A</v>
        <stp/>
        <stp>BDS|5497781911853287284</stp>
        <tr r="F5" s="28"/>
      </tp>
      <tp t="e">
        <v>#N/A</v>
        <stp/>
        <stp>BDS|7579923648378125098</stp>
        <tr r="KE5" s="120"/>
      </tp>
      <tp t="e">
        <v>#N/A</v>
        <stp/>
        <stp>BDS|8729926041044707349</stp>
        <tr r="GD5" s="66"/>
      </tp>
      <tp t="e">
        <v>#N/A</v>
        <stp/>
        <stp>BDS|6569891961218948233</stp>
        <tr r="NG5" s="18"/>
      </tp>
      <tp t="e">
        <v>#N/A</v>
        <stp/>
        <stp>BDS|4946996384651327606</stp>
        <tr r="JK5" s="8"/>
      </tp>
      <tp t="e">
        <v>#N/A</v>
        <stp/>
        <stp>BDS|7855679622822226386</stp>
        <tr r="LS5" s="6"/>
      </tp>
      <tp t="e">
        <v>#N/A</v>
        <stp/>
        <stp>BDS|6199751331739784957</stp>
        <tr r="IL5" s="31"/>
      </tp>
      <tp t="e">
        <v>#N/A</v>
        <stp/>
        <stp>BDS|5258232676705645764</stp>
        <tr r="HC5" s="19"/>
      </tp>
      <tp t="e">
        <v>#N/A</v>
        <stp/>
        <stp>BDS|5762294858775821596</stp>
        <tr r="CC5" s="121"/>
      </tp>
      <tp t="e">
        <v>#N/A</v>
        <stp/>
        <stp>BDS|6229573023747425455</stp>
        <tr r="JF5" s="109"/>
      </tp>
      <tp t="e">
        <v>#N/A</v>
        <stp/>
        <stp>BDS|6600096752861892021</stp>
        <tr r="FY5" s="95"/>
      </tp>
      <tp t="e">
        <v>#N/A</v>
        <stp/>
        <stp>BDS|5529904023308146407</stp>
        <tr r="Z5" s="28"/>
      </tp>
      <tp t="e">
        <v>#N/A</v>
        <stp/>
        <stp>BDS|3487041929632814169</stp>
        <tr r="JP5" s="107"/>
      </tp>
      <tp t="e">
        <v>#N/A</v>
        <stp/>
        <stp>BDS|2738454802060312442</stp>
        <tr r="K5" s="17"/>
      </tp>
      <tp t="e">
        <v>#N/A</v>
        <stp/>
        <stp>BDS|6103725064177199219</stp>
        <tr r="NG5" s="21"/>
      </tp>
      <tp t="e">
        <v>#N/A</v>
        <stp/>
        <stp>BDS|3241074772476842085</stp>
        <tr r="JA5" s="99"/>
      </tp>
      <tp t="e">
        <v>#N/A</v>
        <stp/>
        <stp>BDS|7353686673936678298</stp>
        <tr r="NG5" s="91"/>
      </tp>
      <tp t="e">
        <v>#N/A</v>
        <stp/>
        <stp>BDS|1504792205282964673</stp>
        <tr r="JF5" s="79"/>
      </tp>
      <tp t="e">
        <v>#N/A</v>
        <stp/>
        <stp>BDS|5263788628205013766</stp>
        <tr r="OA5" s="17"/>
      </tp>
      <tp t="e">
        <v>#N/A</v>
        <stp/>
        <stp>BDS|5213487714090390294</stp>
        <tr r="IQ5" s="60"/>
      </tp>
      <tp t="e">
        <v>#N/A</v>
        <stp/>
        <stp>BDS|5448948516716078925</stp>
        <tr r="K5" s="4"/>
      </tp>
      <tp t="e">
        <v>#N/A</v>
        <stp/>
        <stp>BDS|5361098813367472193</stp>
        <tr r="JP5" s="6"/>
      </tp>
      <tp t="e">
        <v>#N/A</v>
        <stp/>
        <stp>BDS|3514856197070106029</stp>
        <tr r="NV5" s="100"/>
      </tp>
      <tp t="e">
        <v>#N/A</v>
        <stp/>
        <stp>BDS|4132033387978940682</stp>
        <tr r="BD5" s="106"/>
      </tp>
      <tp t="e">
        <v>#N/A</v>
        <stp/>
        <stp>BDS|1411506682667562978</stp>
        <tr r="CM5" s="59"/>
      </tp>
      <tp t="e">
        <v>#N/A</v>
        <stp/>
        <stp>BDS|2720877968508855649</stp>
        <tr r="EP5" s="102"/>
      </tp>
      <tp t="e">
        <v>#N/A</v>
        <stp/>
        <stp>BDS|7162122268756768489</stp>
        <tr r="GX5" s="1"/>
      </tp>
      <tp t="e">
        <v>#N/A</v>
        <stp/>
        <stp>BDS|4739778371696230073</stp>
        <tr r="BN5" s="38"/>
      </tp>
      <tp t="e">
        <v>#N/A</v>
        <stp/>
        <stp>BDS|9903524629848296447</stp>
        <tr r="EZ5" s="98"/>
      </tp>
      <tp t="e">
        <v>#N/A</v>
        <stp/>
        <stp>BDS|1706116746425431303</stp>
        <tr r="DQ5" s="72"/>
      </tp>
      <tp t="e">
        <v>#N/A</v>
        <stp/>
        <stp>BDS|8005957727034025566</stp>
        <tr r="DL5" s="29"/>
      </tp>
      <tp t="e">
        <v>#N/A</v>
        <stp/>
        <stp>BDS|7536139250113337218</stp>
        <tr r="KY5" s="122"/>
      </tp>
      <tp t="e">
        <v>#N/A</v>
        <stp/>
        <stp>BDS|9287058025441371853</stp>
        <tr r="GN5" s="92"/>
      </tp>
      <tp t="e">
        <v>#N/A</v>
        <stp/>
        <stp>BDS|2480639391549309614</stp>
        <tr r="DV5" s="21"/>
      </tp>
      <tp t="e">
        <v>#N/A</v>
        <stp/>
        <stp>BDS|7684978684090174406</stp>
        <tr r="MC5" s="99"/>
      </tp>
      <tp t="e">
        <v>#N/A</v>
        <stp/>
        <stp>BDS|6249272813404625346</stp>
        <tr r="BX5" s="54"/>
      </tp>
      <tp t="e">
        <v>#N/A</v>
        <stp/>
        <stp>BDS|1106154985253277976</stp>
        <tr r="AE5" s="93"/>
      </tp>
      <tp t="e">
        <v>#N/A</v>
        <stp/>
        <stp>BDS|3316372727166178662</stp>
        <tr r="EA5" s="108"/>
      </tp>
      <tp t="e">
        <v>#N/A</v>
        <stp/>
        <stp>BDS|2794674080216683822</stp>
        <tr r="EF5" s="96"/>
      </tp>
      <tp t="e">
        <v>#N/A</v>
        <stp/>
        <stp>BDS|3274876137062160872</stp>
        <tr r="LN5" s="125"/>
      </tp>
      <tp t="e">
        <v>#N/A</v>
        <stp/>
        <stp>BDS|6755161474122283025</stp>
        <tr r="GD5" s="115"/>
      </tp>
      <tp t="e">
        <v>#N/A</v>
        <stp/>
        <stp>BDS|6632653954186064129</stp>
        <tr r="GN5" s="100"/>
      </tp>
      <tp t="e">
        <v>#N/A</v>
        <stp/>
        <stp>BDS|5123403305921954281</stp>
        <tr r="FY5" s="104"/>
      </tp>
      <tp t="e">
        <v>#N/A</v>
        <stp/>
        <stp>BDS|2436359334044713477</stp>
        <tr r="OF5" s="116"/>
      </tp>
      <tp t="e">
        <v>#N/A</v>
        <stp/>
        <stp>BDS|2796593973666172497</stp>
        <tr r="DB5" s="117"/>
      </tp>
      <tp t="e">
        <v>#N/A</v>
        <stp/>
        <stp>BDS|4145959284087304061</stp>
        <tr r="BS5" s="114"/>
      </tp>
      <tp t="e">
        <v>#N/A</v>
        <stp/>
        <stp>BDS|2448670076526478744</stp>
        <tr r="FY5" s="82"/>
      </tp>
      <tp t="e">
        <v>#N/A</v>
        <stp/>
        <stp>BDS|5633355667633634171</stp>
        <tr r="F5" s="12"/>
      </tp>
      <tp t="e">
        <v>#N/A</v>
        <stp/>
        <stp>BDS|2649150082218447104</stp>
        <tr r="BX5" s="125"/>
      </tp>
      <tp t="e">
        <v>#N/A</v>
        <stp/>
        <stp>BDS|5755457956750762667</stp>
        <tr r="EP5" s="68"/>
      </tp>
      <tp t="e">
        <v>#N/A</v>
        <stp/>
        <stp>BDS|8506207490933627269</stp>
        <tr r="MH5" s="52"/>
      </tp>
      <tp t="e">
        <v>#N/A</v>
        <stp/>
        <stp>BDS|1692743820893301547</stp>
        <tr r="JF5" s="13"/>
      </tp>
      <tp t="e">
        <v>#N/A</v>
        <stp/>
        <stp>BDS|3489705414442590505</stp>
        <tr r="NV5" s="16"/>
      </tp>
      <tp t="e">
        <v>#N/A</v>
        <stp/>
        <stp>BDS|1376301420710188380</stp>
        <tr r="CH5" s="49"/>
      </tp>
      <tp t="e">
        <v>#N/A</v>
        <stp/>
        <stp>BDS|3489384436641649160</stp>
        <tr r="CR5" s="31"/>
      </tp>
      <tp t="e">
        <v>#N/A</v>
        <stp/>
        <stp>BDS|6615504687241894933</stp>
        <tr r="EP5" s="76"/>
      </tp>
      <tp t="e">
        <v>#N/A</v>
        <stp/>
        <stp>BDS|5174946798423513526</stp>
        <tr r="CH5" s="61"/>
      </tp>
      <tp t="e">
        <v>#N/A</v>
        <stp/>
        <stp>BDS|9231895936105417434</stp>
        <tr r="DL5" s="119"/>
      </tp>
      <tp t="e">
        <v>#N/A</v>
        <stp/>
        <stp>BDS|1881246107656481653</stp>
        <tr r="HC5" s="34"/>
      </tp>
      <tp t="e">
        <v>#N/A</v>
        <stp/>
        <stp>BDS|2405100769605632316</stp>
        <tr r="KO5" s="103"/>
      </tp>
      <tp t="e">
        <v>#N/A</v>
        <stp/>
        <stp>BDS|2531463566210674396</stp>
        <tr r="HW5" s="115"/>
      </tp>
      <tp t="e">
        <v>#N/A</v>
        <stp/>
        <stp>BDS|3318247975270908517</stp>
        <tr r="HW5" s="41"/>
      </tp>
      <tp t="e">
        <v>#N/A</v>
        <stp/>
        <stp>BDS|7127543846330014593</stp>
        <tr r="FO5" s="15"/>
      </tp>
      <tp t="e">
        <v>#N/A</v>
        <stp/>
        <stp>BDS|6872527545341519502</stp>
        <tr r="BD5" s="89"/>
      </tp>
      <tp t="e">
        <v>#N/A</v>
        <stp/>
        <stp>BDS|8732934407545143780</stp>
        <tr r="CW5" s="124"/>
      </tp>
      <tp t="e">
        <v>#N/A</v>
        <stp/>
        <stp>BDS|4741552743150950624</stp>
        <tr r="LS5" s="94"/>
      </tp>
      <tp t="e">
        <v>#N/A</v>
        <stp/>
        <stp>BDS|4356435564680864566</stp>
        <tr r="EK5" s="78"/>
      </tp>
      <tp t="e">
        <v>#N/A</v>
        <stp/>
        <stp>BDS|1060688332405681265</stp>
        <tr r="CW5" s="44"/>
      </tp>
      <tp t="e">
        <v>#N/A</v>
        <stp/>
        <stp>BDS|7804491907965998556</stp>
        <tr r="FY5" s="101"/>
      </tp>
      <tp t="e">
        <v>#N/A</v>
        <stp/>
        <stp>BDS|3367817789144979483</stp>
        <tr r="HC5" s="8"/>
      </tp>
      <tp t="e">
        <v>#N/A</v>
        <stp/>
        <stp>BDS|7588319426027804205</stp>
        <tr r="IB5" s="102"/>
      </tp>
      <tp t="e">
        <v>#N/A</v>
        <stp/>
        <stp>BDS|1255618915043804648</stp>
        <tr r="DL5" s="86"/>
      </tp>
      <tp t="e">
        <v>#N/A</v>
        <stp/>
        <stp>BDS|5940478007580151237</stp>
        <tr r="Z5" s="59"/>
      </tp>
      <tp t="e">
        <v>#N/A</v>
        <stp/>
        <stp>BDS|4282285904671360465</stp>
        <tr r="BN5" s="81"/>
      </tp>
      <tp t="e">
        <v>#N/A</v>
        <stp/>
        <stp>BDS|6428069435746807042</stp>
        <tr r="KE5" s="105"/>
      </tp>
      <tp t="e">
        <v>#N/A</v>
        <stp/>
        <stp>BDS|4788056638490572442</stp>
        <tr r="JK5" s="17"/>
      </tp>
      <tp t="e">
        <v>#N/A</v>
        <stp/>
        <stp>BDS|7330130340272949329</stp>
        <tr r="LX5" s="48"/>
      </tp>
      <tp t="e">
        <v>#N/A</v>
        <stp/>
        <stp>BDS|8130513418939041630</stp>
        <tr r="MW5" s="89"/>
      </tp>
      <tp t="e">
        <v>#N/A</v>
        <stp/>
        <stp>BDS|2196040726040910318</stp>
        <tr r="Z5" s="58"/>
      </tp>
      <tp t="e">
        <v>#N/A</v>
        <stp/>
        <stp>BDS|8735127848316449823</stp>
        <tr r="FE5" s="114"/>
      </tp>
      <tp t="e">
        <v>#N/A</v>
        <stp/>
        <stp>BDS|7812359953900568207</stp>
        <tr r="A5" s="5"/>
      </tp>
      <tp t="e">
        <v>#N/A</v>
        <stp/>
        <stp>BDS|8076041798061565326</stp>
        <tr r="NQ5" s="106"/>
      </tp>
      <tp t="e">
        <v>#N/A</v>
        <stp/>
        <stp>BDS|1371300476416966071</stp>
        <tr r="JU5" s="91"/>
      </tp>
      <tp t="e">
        <v>#N/A</v>
        <stp/>
        <stp>BDS|7119312829486724350</stp>
        <tr r="KJ5" s="89"/>
      </tp>
      <tp t="e">
        <v>#N/A</v>
        <stp/>
        <stp>BDS|8072166140368968641</stp>
        <tr r="NB5" s="3"/>
      </tp>
      <tp t="e">
        <v>#N/A</v>
        <stp/>
        <stp>BDS|9418185953997778901</stp>
        <tr r="DL5" s="116"/>
      </tp>
      <tp t="e">
        <v>#N/A</v>
        <stp/>
        <stp>BDS|2423278909401208205</stp>
        <tr r="CW5" s="43"/>
      </tp>
      <tp t="e">
        <v>#N/A</v>
        <stp/>
        <stp>BDS|1793099909186613498</stp>
        <tr r="GI5" s="73"/>
        <tr r="NG5" s="57"/>
      </tp>
      <tp t="e">
        <v>#N/A</v>
        <stp/>
        <stp>BDS|5290252977391822202</stp>
        <tr r="BX5" s="6"/>
      </tp>
      <tp t="e">
        <v>#N/A</v>
        <stp/>
        <stp>BDS|7791331825055922002</stp>
        <tr r="DL5" s="53"/>
      </tp>
      <tp t="e">
        <v>#N/A</v>
        <stp/>
        <stp>BDS|6317788552700100707</stp>
        <tr r="P5" s="124"/>
      </tp>
      <tp t="e">
        <v>#N/A</v>
        <stp/>
        <stp>BDS|3840958774816388825</stp>
        <tr r="BD5" s="12"/>
      </tp>
      <tp t="e">
        <v>#N/A</v>
        <stp/>
        <stp>BDS|7686612152103900445</stp>
        <tr r="AT5" s="25"/>
      </tp>
      <tp t="e">
        <v>#N/A</v>
        <stp/>
        <stp>BDS|3168526162206859519</stp>
        <tr r="HM5" s="54"/>
      </tp>
      <tp t="e">
        <v>#N/A</v>
        <stp/>
        <stp>BDS|6839746588873508993</stp>
        <tr r="OA5" s="103"/>
      </tp>
      <tp t="e">
        <v>#N/A</v>
        <stp/>
        <stp>BDS|4752058783909920604</stp>
        <tr r="FJ5" s="20"/>
      </tp>
      <tp t="e">
        <v>#N/A</v>
        <stp/>
        <stp>BDS|3180396116570592231</stp>
        <tr r="BD5" s="23"/>
      </tp>
      <tp t="e">
        <v>#N/A</v>
        <stp/>
        <stp>BDS|5516587731481606121</stp>
        <tr r="BX5" s="112"/>
      </tp>
      <tp t="e">
        <v>#N/A</v>
        <stp/>
        <stp>BDS|6364352510942993574</stp>
        <tr r="AO5" s="9"/>
      </tp>
      <tp t="e">
        <v>#N/A</v>
        <stp/>
        <stp>BDS|7825866460422312851</stp>
        <tr r="EU5" s="53"/>
      </tp>
      <tp t="e">
        <v>#N/A</v>
        <stp/>
        <stp>BDS|9542192824758622162</stp>
        <tr r="DG5" s="41"/>
      </tp>
      <tp t="e">
        <v>#N/A</v>
        <stp/>
        <stp>BDS|2852343641154238275</stp>
        <tr r="P5" s="101"/>
      </tp>
      <tp t="e">
        <v>#N/A</v>
        <stp/>
        <stp>BDS|3912409363615127738</stp>
        <tr r="GS5" s="112"/>
      </tp>
      <tp t="e">
        <v>#N/A</v>
        <stp/>
        <stp>BDS|7958702763493171630</stp>
        <tr r="IB5" s="50"/>
      </tp>
      <tp t="e">
        <v>#N/A</v>
        <stp/>
        <stp>BDS|9970986937144827466</stp>
        <tr r="FT5" s="125"/>
      </tp>
      <tp t="e">
        <v>#N/A</v>
        <stp/>
        <stp>BDS|7663972585057468286</stp>
        <tr r="IB5" s="93"/>
      </tp>
      <tp t="e">
        <v>#N/A</v>
        <stp/>
        <stp>BDS|8452406087754817330</stp>
        <tr r="EA5" s="22"/>
      </tp>
      <tp t="e">
        <v>#N/A</v>
        <stp/>
        <stp>BDS|1631580640241652201</stp>
        <tr r="CH5" s="59"/>
      </tp>
      <tp t="e">
        <v>#N/A</v>
        <stp/>
        <stp>BDS|5624018765797295781</stp>
        <tr r="IB5" s="36"/>
      </tp>
      <tp t="e">
        <v>#N/A</v>
        <stp/>
        <stp>BDS|4138248242388813963</stp>
        <tr r="CM5" s="67"/>
      </tp>
      <tp t="e">
        <v>#N/A</v>
        <stp/>
        <stp>BDS|3733289027682363220</stp>
        <tr r="NV5" s="87"/>
      </tp>
      <tp t="e">
        <v>#N/A</v>
        <stp/>
        <stp>BDS|3992624335001729405</stp>
        <tr r="FO5" s="113"/>
      </tp>
      <tp t="e">
        <v>#N/A</v>
        <stp/>
        <stp>BDS|8193012418178457254</stp>
        <tr r="A5" s="26"/>
      </tp>
      <tp t="e">
        <v>#N/A</v>
        <stp/>
        <stp>BDS|6995773774477575261</stp>
        <tr r="MR5" s="109"/>
      </tp>
      <tp t="e">
        <v>#N/A</v>
        <stp/>
        <stp>BDS|7122107259310417059</stp>
        <tr r="A5" s="36"/>
      </tp>
      <tp t="e">
        <v>#N/A</v>
        <stp/>
        <stp>BDS|5641227200385484196</stp>
        <tr r="HW5" s="100"/>
      </tp>
      <tp t="e">
        <v>#N/A</v>
        <stp/>
        <stp>BDS|8157406281144867318</stp>
        <tr r="AJ5" s="65"/>
      </tp>
      <tp t="e">
        <v>#N/A</v>
        <stp/>
        <stp>BDS|8874908640247455154</stp>
        <tr r="JU5" s="9"/>
      </tp>
      <tp t="e">
        <v>#N/A</v>
        <stp/>
        <stp>BDS|8299009557006854849</stp>
        <tr r="MM5" s="75"/>
      </tp>
      <tp t="e">
        <v>#N/A</v>
        <stp/>
        <stp>BDS|2277466050806968642</stp>
        <tr r="BI5" s="65"/>
      </tp>
      <tp t="e">
        <v>#N/A</v>
        <stp/>
        <stp>BDS|5620109471584903473</stp>
        <tr r="BD5" s="70"/>
      </tp>
      <tp t="e">
        <v>#N/A</v>
        <stp/>
        <stp>BDS|5691421102993756189</stp>
        <tr r="LS5" s="83"/>
      </tp>
      <tp t="e">
        <v>#N/A</v>
        <stp/>
        <stp>BDS|1876227727346732432</stp>
        <tr r="FE5" s="24"/>
      </tp>
      <tp t="e">
        <v>#N/A</v>
        <stp/>
        <stp>BDS|2121795646292647013</stp>
        <tr r="NV5" s="80"/>
      </tp>
      <tp t="e">
        <v>#N/A</v>
        <stp/>
        <stp>BDS|5022253708262727632</stp>
        <tr r="FY5" s="122"/>
      </tp>
      <tp t="e">
        <v>#N/A</v>
        <stp/>
        <stp>BDS|1358836031749179090</stp>
        <tr r="LD5" s="46"/>
      </tp>
      <tp t="e">
        <v>#N/A</v>
        <stp/>
        <stp>BDS|2457001546371381488</stp>
        <tr r="NV5" s="118"/>
      </tp>
      <tp t="e">
        <v>#N/A</v>
        <stp/>
        <stp>BDS|8241014434250738896</stp>
        <tr r="LI5" s="55"/>
      </tp>
      <tp t="e">
        <v>#N/A</v>
        <stp/>
        <stp>BDS|7842066815255012024</stp>
        <tr r="JA5" s="17"/>
      </tp>
      <tp t="e">
        <v>#N/A</v>
        <stp/>
        <stp>BDS|9421983877745520171</stp>
        <tr r="KE5" s="7"/>
      </tp>
      <tp t="e">
        <v>#N/A</v>
        <stp/>
        <stp>BDS|1039198640147562026</stp>
        <tr r="BD5" s="31"/>
      </tp>
      <tp t="e">
        <v>#N/A</v>
        <stp/>
        <stp>BDS|7855049238567254085</stp>
        <tr r="KT5" s="36"/>
      </tp>
      <tp t="e">
        <v>#N/A</v>
        <stp/>
        <stp>BDS|8527894363972964780</stp>
        <tr r="BS5" s="17"/>
      </tp>
      <tp t="e">
        <v>#N/A</v>
        <stp/>
        <stp>BDS|8255595544818971280</stp>
        <tr r="EK5" s="69"/>
      </tp>
      <tp t="e">
        <v>#N/A</v>
        <stp/>
        <stp>BDS|5268627724185285787</stp>
        <tr r="LS5" s="112"/>
      </tp>
      <tp t="e">
        <v>#N/A</v>
        <stp/>
        <stp>BDS|7859674622723206319</stp>
        <tr r="FT5" s="19"/>
      </tp>
      <tp t="e">
        <v>#N/A</v>
        <stp/>
        <stp>BDS|4240423704903220080</stp>
        <tr r="OA5" s="18"/>
      </tp>
      <tp t="e">
        <v>#N/A</v>
        <stp/>
        <stp>BDS|4853831905469840689</stp>
        <tr r="DV5" s="58"/>
      </tp>
      <tp t="e">
        <v>#N/A</v>
        <stp/>
        <stp>BDS|2735520275117843464</stp>
        <tr r="IV5" s="40"/>
      </tp>
      <tp t="e">
        <v>#N/A</v>
        <stp/>
        <stp>BDS|9291983703841694219</stp>
        <tr r="HR5" s="35"/>
      </tp>
      <tp t="e">
        <v>#N/A</v>
        <stp/>
        <stp>BDS|7013953238278111623</stp>
        <tr r="DG5" s="18"/>
      </tp>
      <tp t="e">
        <v>#N/A</v>
        <stp/>
        <stp>BDS|6552388204143486536</stp>
        <tr r="AY5" s="65"/>
      </tp>
      <tp t="e">
        <v>#N/A</v>
        <stp/>
        <stp>BDS|6108011907186843316</stp>
        <tr r="FJ5" s="12"/>
      </tp>
      <tp t="e">
        <v>#N/A</v>
        <stp/>
        <stp>BDS|6607598085538785036</stp>
        <tr r="NG5" s="97"/>
      </tp>
      <tp t="e">
        <v>#N/A</v>
        <stp/>
        <stp>BDS|1059751531400201680</stp>
        <tr r="F5" s="88"/>
      </tp>
      <tp t="e">
        <v>#N/A</v>
        <stp/>
        <stp>BDS|9120322343154856962</stp>
        <tr r="CM5" s="16"/>
      </tp>
      <tp t="e">
        <v>#N/A</v>
        <stp/>
        <stp>BDS|6840645326295364472</stp>
        <tr r="NV5" s="23"/>
      </tp>
      <tp t="e">
        <v>#N/A</v>
        <stp/>
        <stp>BDS|7728427800753267390</stp>
        <tr r="KE5" s="35"/>
      </tp>
      <tp t="e">
        <v>#N/A</v>
        <stp/>
        <stp>BDS|4519585693172049904</stp>
        <tr r="LN5" s="107"/>
      </tp>
      <tp t="e">
        <v>#N/A</v>
        <stp/>
        <stp>BDS|9891767893463290709</stp>
        <tr r="FO5" s="42"/>
      </tp>
      <tp t="e">
        <v>#N/A</v>
        <stp/>
        <stp>BDS|4780086304206062141</stp>
        <tr r="DV5" s="69"/>
      </tp>
      <tp t="e">
        <v>#N/A</v>
        <stp/>
        <stp>BDS|8458751999500091570</stp>
        <tr r="IL5" s="37"/>
      </tp>
      <tp t="e">
        <v>#N/A</v>
        <stp/>
        <stp>BDS|1414919561069255495</stp>
        <tr r="AO5" s="107"/>
      </tp>
      <tp t="e">
        <v>#N/A</v>
        <stp/>
        <stp>BDS|4189334549461493109</stp>
        <tr r="GD5" s="116"/>
      </tp>
      <tp t="e">
        <v>#N/A</v>
        <stp/>
        <stp>BDS|9971634659449972059</stp>
        <tr r="AT5" s="102"/>
      </tp>
      <tp t="e">
        <v>#N/A</v>
        <stp/>
        <stp>BDS|5499034543570306281</stp>
        <tr r="KY5" s="15"/>
      </tp>
      <tp t="e">
        <v>#N/A</v>
        <stp/>
        <stp>BDS|4192929889470533609</stp>
        <tr r="K5" s="63"/>
      </tp>
      <tp t="e">
        <v>#N/A</v>
        <stp/>
        <stp>BDS|6105391170408603919</stp>
        <tr r="AE5" s="6"/>
      </tp>
      <tp t="e">
        <v>#N/A</v>
        <stp/>
        <stp>BDS|2948438955293416343</stp>
        <tr r="CW5" s="45"/>
      </tp>
      <tp t="e">
        <v>#N/A</v>
        <stp/>
        <stp>BDS|6267648769911275423</stp>
        <tr r="KE5" s="93"/>
      </tp>
      <tp t="e">
        <v>#N/A</v>
        <stp/>
        <stp>BDS|9076430636185941831</stp>
        <tr r="DQ5" s="45"/>
      </tp>
      <tp t="e">
        <v>#N/A</v>
        <stp/>
        <stp>BDS|9233605019639197459</stp>
        <tr r="EA5" s="97"/>
      </tp>
      <tp t="e">
        <v>#N/A</v>
        <stp/>
        <stp>BDS|9409953452673813544</stp>
        <tr r="Z5" s="101"/>
      </tp>
      <tp t="e">
        <v>#N/A</v>
        <stp/>
        <stp>BDS|1046641110747959227</stp>
        <tr r="NB5" s="76"/>
      </tp>
      <tp t="e">
        <v>#N/A</v>
        <stp/>
        <stp>BDS|2601752027266823234</stp>
        <tr r="MM5" s="72"/>
      </tp>
      <tp t="e">
        <v>#N/A</v>
        <stp/>
        <stp>BDS|6484586715865728412</stp>
        <tr r="Z5" s="94"/>
      </tp>
      <tp t="e">
        <v>#N/A</v>
        <stp/>
        <stp>BDS|6165609675370284490</stp>
        <tr r="LD5" s="57"/>
      </tp>
      <tp t="e">
        <v>#N/A</v>
        <stp/>
        <stp>BDS|5312512338811693137</stp>
        <tr r="JK5" s="38"/>
      </tp>
      <tp t="e">
        <v>#N/A</v>
        <stp/>
        <stp>BDS|2843648012683064526</stp>
        <tr r="CC5" s="113"/>
      </tp>
      <tp t="e">
        <v>#N/A</v>
        <stp/>
        <stp>BDS|3613857290846730783</stp>
        <tr r="GN5" s="34"/>
      </tp>
      <tp t="e">
        <v>#N/A</v>
        <stp/>
        <stp>BDS|9712631862312358898</stp>
        <tr r="EZ5" s="42"/>
      </tp>
      <tp t="e">
        <v>#N/A</v>
        <stp/>
        <stp>BDS|4475152257882358197</stp>
        <tr r="HW5" s="97"/>
      </tp>
      <tp t="e">
        <v>#N/A</v>
        <stp/>
        <stp>BDS|1101093505917529544</stp>
        <tr r="HR5" s="90"/>
      </tp>
      <tp t="e">
        <v>#N/A</v>
        <stp/>
        <stp>BDS|4720843216308071698</stp>
        <tr r="AT5" s="104"/>
      </tp>
      <tp t="e">
        <v>#N/A</v>
        <stp/>
        <stp>BDS|7302271479004259539</stp>
        <tr r="FE5" s="102"/>
      </tp>
      <tp t="e">
        <v>#N/A</v>
        <stp/>
        <stp>BDS|3395142574874834272</stp>
        <tr r="MC5" s="40"/>
      </tp>
      <tp t="e">
        <v>#N/A</v>
        <stp/>
        <stp>BDS|5828722537315974786</stp>
        <tr r="KY5" s="108"/>
      </tp>
      <tp t="e">
        <v>#N/A</v>
        <stp/>
        <stp>BDS|9899083875805067897</stp>
        <tr r="GN5" s="35"/>
      </tp>
      <tp t="e">
        <v>#N/A</v>
        <stp/>
        <stp>BDS|5509214704221552593</stp>
        <tr r="IL5" s="62"/>
      </tp>
      <tp t="e">
        <v>#N/A</v>
        <stp/>
        <stp>BDS|3769536328563343430</stp>
        <tr r="IG5" s="73"/>
      </tp>
      <tp t="e">
        <v>#N/A</v>
        <stp/>
        <stp>BDS|1268260508325057501</stp>
        <tr r="CC5" s="125"/>
      </tp>
      <tp t="e">
        <v>#N/A</v>
        <stp/>
        <stp>BDS|4022322878363506032</stp>
        <tr r="EP5" s="7"/>
      </tp>
      <tp t="e">
        <v>#N/A</v>
        <stp/>
        <stp>BDS|7643125103777363286</stp>
        <tr r="MW5" s="69"/>
      </tp>
      <tp t="e">
        <v>#N/A</v>
        <stp/>
        <stp>BDS|9152875649087339104</stp>
        <tr r="IG5" s="117"/>
      </tp>
      <tp t="e">
        <v>#N/A</v>
        <stp/>
        <stp>BDS|5882660118732896321</stp>
        <tr r="HC5" s="65"/>
      </tp>
      <tp t="e">
        <v>#N/A</v>
        <stp/>
        <stp>BDS|6516016899105687979</stp>
        <tr r="NQ5" s="24"/>
      </tp>
      <tp t="e">
        <v>#N/A</v>
        <stp/>
        <stp>BDS|7948345223406313313</stp>
        <tr r="JZ5" s="76"/>
      </tp>
      <tp t="e">
        <v>#N/A</v>
        <stp/>
        <stp>BDS|8288583424894003827</stp>
        <tr r="BN5" s="17"/>
        <tr r="JF5" s="33"/>
      </tp>
      <tp t="e">
        <v>#N/A</v>
        <stp/>
        <stp>BDS|6378301203072930451</stp>
        <tr r="IL5" s="3"/>
      </tp>
      <tp t="e">
        <v>#N/A</v>
        <stp/>
        <stp>BDS|7916172863455814692</stp>
        <tr r="HM5" s="9"/>
      </tp>
      <tp t="e">
        <v>#N/A</v>
        <stp/>
        <stp>BDS|5410956947012817923</stp>
        <tr r="DV5" s="2"/>
      </tp>
      <tp t="e">
        <v>#N/A</v>
        <stp/>
        <stp>BDS|8331493905058224717</stp>
        <tr r="LN5" s="20"/>
      </tp>
      <tp t="e">
        <v>#N/A</v>
        <stp/>
        <stp>BDS|7356841579869122224</stp>
        <tr r="LN5" s="59"/>
      </tp>
      <tp t="e">
        <v>#N/A</v>
        <stp/>
        <stp>BDS|5942049204044467201</stp>
        <tr r="BN5" s="94"/>
      </tp>
      <tp t="e">
        <v>#N/A</v>
        <stp/>
        <stp>BDS|1493847864245926905</stp>
        <tr r="NQ5" s="15"/>
      </tp>
      <tp t="e">
        <v>#N/A</v>
        <stp/>
        <stp>BDS|9929999063374824161</stp>
        <tr r="FJ5" s="11"/>
      </tp>
      <tp t="e">
        <v>#N/A</v>
        <stp/>
        <stp>BDS|8486961416487031495</stp>
        <tr r="MC5" s="79"/>
      </tp>
      <tp t="e">
        <v>#N/A</v>
        <stp/>
        <stp>BDS|2086763160114972422</stp>
        <tr r="AJ5" s="113"/>
      </tp>
      <tp t="e">
        <v>#N/A</v>
        <stp/>
        <stp>BDS|6634259726503124692</stp>
        <tr r="GX5" s="68"/>
      </tp>
      <tp t="e">
        <v>#N/A</v>
        <stp/>
        <stp>BDS|4169402824553080285</stp>
        <tr r="FJ5" s="1"/>
      </tp>
      <tp t="e">
        <v>#N/A</v>
        <stp/>
        <stp>BDS|7180213669202005245</stp>
        <tr r="NB5" s="83"/>
      </tp>
      <tp t="e">
        <v>#N/A</v>
        <stp/>
        <stp>BDS|4266130620144968053</stp>
        <tr r="KE5" s="62"/>
      </tp>
      <tp t="e">
        <v>#N/A</v>
        <stp/>
        <stp>BDS|3949525033770521607</stp>
        <tr r="OA5" s="71"/>
      </tp>
      <tp t="e">
        <v>#N/A</v>
        <stp/>
        <stp>BDS|3083620992278834759</stp>
        <tr r="GS5" s="61"/>
      </tp>
      <tp t="e">
        <v>#N/A</v>
        <stp/>
        <stp>BDS|4696428830279101982</stp>
        <tr r="JF5" s="41"/>
      </tp>
      <tp t="e">
        <v>#N/A</v>
        <stp/>
        <stp>BDS|8523847035714847410</stp>
        <tr r="EU5" s="110"/>
      </tp>
      <tp t="e">
        <v>#N/A</v>
        <stp/>
        <stp>BDS|2616810395340626094</stp>
        <tr r="BD5" s="108"/>
      </tp>
      <tp t="e">
        <v>#N/A</v>
        <stp/>
        <stp>BDS|7399469438407123413</stp>
        <tr r="HR5" s="45"/>
      </tp>
      <tp t="e">
        <v>#N/A</v>
        <stp/>
        <stp>BDS|6025488959131148524</stp>
        <tr r="HH5" s="24"/>
      </tp>
      <tp t="e">
        <v>#N/A</v>
        <stp/>
        <stp>BDS|6460270380927228834</stp>
        <tr r="MC5" s="10"/>
      </tp>
      <tp t="e">
        <v>#N/A</v>
        <stp/>
        <stp>BDS|7005477620937358565</stp>
        <tr r="EA5" s="88"/>
      </tp>
      <tp t="e">
        <v>#N/A</v>
        <stp/>
        <stp>BDS|5275388107164849175</stp>
        <tr r="BS5" s="47"/>
      </tp>
      <tp t="e">
        <v>#N/A</v>
        <stp/>
        <stp>BDS|6414968186306615207</stp>
        <tr r="NQ5" s="110"/>
      </tp>
      <tp t="e">
        <v>#N/A</v>
        <stp/>
        <stp>BDS|7383039222003943598</stp>
        <tr r="P5" s="71"/>
      </tp>
      <tp t="e">
        <v>#N/A</v>
        <stp/>
        <stp>BDS|7481886579738569322</stp>
        <tr r="GS5" s="10"/>
      </tp>
      <tp t="e">
        <v>#N/A</v>
        <stp/>
        <stp>BDS|3599073066917604101</stp>
        <tr r="LI5" s="68"/>
      </tp>
      <tp t="e">
        <v>#N/A</v>
        <stp/>
        <stp>BDS|5663789064742820509</stp>
        <tr r="KO5" s="118"/>
      </tp>
      <tp t="e">
        <v>#N/A</v>
        <stp/>
        <stp>BDS|3866277356255873232</stp>
        <tr r="BD5" s="32"/>
      </tp>
      <tp t="e">
        <v>#N/A</v>
        <stp/>
        <stp>BDS|2061534155620187146</stp>
        <tr r="AO5" s="110"/>
      </tp>
      <tp t="e">
        <v>#N/A</v>
        <stp/>
        <stp>BDS|1006489559290518370</stp>
        <tr r="FT5" s="103"/>
      </tp>
      <tp t="e">
        <v>#N/A</v>
        <stp/>
        <stp>BDS|4562065102602665548</stp>
        <tr r="HH5" s="69"/>
      </tp>
      <tp t="e">
        <v>#N/A</v>
        <stp/>
        <stp>BDS|2233284367205659088</stp>
        <tr r="JU5" s="89"/>
        <tr r="LI5" s="117"/>
        <tr r="JU5" s="113"/>
        <tr r="CM5" s="100"/>
      </tp>
      <tp t="e">
        <v>#N/A</v>
        <stp/>
        <stp>BDS|5561904512479399777</stp>
        <tr r="GD5" s="73"/>
      </tp>
      <tp t="e">
        <v>#N/A</v>
        <stp/>
        <stp>BDS|8237391589917901784</stp>
        <tr r="JK5" s="108"/>
      </tp>
      <tp t="e">
        <v>#N/A</v>
        <stp/>
        <stp>BDS|9055835235798400918</stp>
        <tr r="JA5" s="48"/>
      </tp>
      <tp t="e">
        <v>#N/A</v>
        <stp/>
        <stp>BDS|5285510375104461013</stp>
        <tr r="NV5" s="90"/>
      </tp>
      <tp t="e">
        <v>#N/A</v>
        <stp/>
        <stp>BDS|5137439604614408611</stp>
        <tr r="CC5" s="32"/>
      </tp>
      <tp t="e">
        <v>#N/A</v>
        <stp/>
        <stp>BDS|2558977195779185850</stp>
        <tr r="KT5" s="56"/>
      </tp>
      <tp t="e">
        <v>#N/A</v>
        <stp/>
        <stp>BDS|1549467061158249834</stp>
        <tr r="HR5" s="2"/>
      </tp>
      <tp t="e">
        <v>#N/A</v>
        <stp/>
        <stp>BDS|4147270048473944247</stp>
        <tr r="FY5" s="51"/>
      </tp>
      <tp t="e">
        <v>#N/A</v>
        <stp/>
        <stp>BDS|2089610719915369387</stp>
        <tr r="CM5" s="4"/>
      </tp>
      <tp t="e">
        <v>#N/A</v>
        <stp/>
        <stp>BDS|7222079275294014738</stp>
        <tr r="EZ5" s="58"/>
      </tp>
      <tp t="e">
        <v>#N/A</v>
        <stp/>
        <stp>BDS|4360496835081429182</stp>
        <tr r="IL5" s="33"/>
      </tp>
      <tp t="e">
        <v>#N/A</v>
        <stp/>
        <stp>BDS|4649225470172393048</stp>
        <tr r="F5" s="67"/>
      </tp>
      <tp t="e">
        <v>#N/A</v>
        <stp/>
        <stp>BDS|6149723957052175566</stp>
        <tr r="JF5" s="113"/>
      </tp>
      <tp t="e">
        <v>#N/A</v>
        <stp/>
        <stp>BDS|6245320648226270497</stp>
        <tr r="LX5" s="40"/>
      </tp>
      <tp t="e">
        <v>#N/A</v>
        <stp/>
        <stp>BDS|3660750815327135141</stp>
        <tr r="HM5" s="106"/>
      </tp>
      <tp t="e">
        <v>#N/A</v>
        <stp/>
        <stp>BDS|7488043373936256523</stp>
        <tr r="K5" s="27"/>
      </tp>
      <tp t="e">
        <v>#N/A</v>
        <stp/>
        <stp>BDS|2066523772167680459</stp>
        <tr r="DL5" s="113"/>
      </tp>
      <tp t="e">
        <v>#N/A</v>
        <stp/>
        <stp>BDS|3989320569525386020</stp>
        <tr r="K5" s="106"/>
      </tp>
      <tp t="e">
        <v>#N/A</v>
        <stp/>
        <stp>BDS|2459459646260228156</stp>
        <tr r="EF5" s="45"/>
      </tp>
      <tp t="e">
        <v>#N/A</v>
        <stp/>
        <stp>BDS|7389615953181429654</stp>
        <tr r="DQ5" s="13"/>
      </tp>
      <tp t="e">
        <v>#N/A</v>
        <stp/>
        <stp>BDS|1001393975946894049</stp>
        <tr r="MR5" s="77"/>
      </tp>
      <tp t="e">
        <v>#N/A</v>
        <stp/>
        <stp>BDS|9205418205726323855</stp>
        <tr r="DQ5" s="15"/>
      </tp>
      <tp t="e">
        <v>#N/A</v>
        <stp/>
        <stp>BDS|5003450641823052543</stp>
        <tr r="LI5" s="71"/>
      </tp>
      <tp t="e">
        <v>#N/A</v>
        <stp/>
        <stp>BDS|2644651741211114238</stp>
        <tr r="NQ5" s="53"/>
      </tp>
      <tp t="e">
        <v>#N/A</v>
        <stp/>
        <stp>BDS|1076751725094919399</stp>
        <tr r="P5" s="29"/>
      </tp>
      <tp t="e">
        <v>#N/A</v>
        <stp/>
        <stp>BDS|7163386029232551759</stp>
        <tr r="EA5" s="34"/>
      </tp>
      <tp t="e">
        <v>#N/A</v>
        <stp/>
        <stp>BDS|7697231199369468682</stp>
        <tr r="JZ5" s="100"/>
      </tp>
      <tp t="e">
        <v>#N/A</v>
        <stp/>
        <stp>BDS|1436733392418302468</stp>
        <tr r="P5" s="105"/>
      </tp>
      <tp t="e">
        <v>#N/A</v>
        <stp/>
        <stp>BDS|3796631727441558565</stp>
        <tr r="JA5" s="41"/>
      </tp>
      <tp t="e">
        <v>#N/A</v>
        <stp/>
        <stp>BDS|6034548697138302107</stp>
        <tr r="DG5" s="10"/>
      </tp>
      <tp t="e">
        <v>#N/A</v>
        <stp/>
        <stp>BDS|8842834969155490065</stp>
        <tr r="IB5" s="64"/>
      </tp>
      <tp t="e">
        <v>#N/A</v>
        <stp/>
        <stp>BDS|9044394878186242837</stp>
        <tr r="CW5" s="70"/>
      </tp>
      <tp t="e">
        <v>#N/A</v>
        <stp/>
        <stp>BDS|1119014321117045713</stp>
        <tr r="AY5" s="73"/>
      </tp>
      <tp t="e">
        <v>#N/A</v>
        <stp/>
        <stp>BDS|6006046061433107042</stp>
        <tr r="IV5" s="45"/>
      </tp>
      <tp t="e">
        <v>#N/A</v>
        <stp/>
        <stp>BDS|6085203028793989615</stp>
        <tr r="AY5" s="66"/>
      </tp>
      <tp t="e">
        <v>#N/A</v>
        <stp/>
        <stp>BDS|1044157690653041950</stp>
        <tr r="HW5" s="52"/>
      </tp>
      <tp t="e">
        <v>#N/A</v>
        <stp/>
        <stp>BDS|2579532702561254563</stp>
        <tr r="LS5" s="50"/>
      </tp>
      <tp t="e">
        <v>#N/A</v>
        <stp/>
        <stp>BDS|9242829304602645028</stp>
        <tr r="HW5" s="32"/>
      </tp>
      <tp t="e">
        <v>#N/A</v>
        <stp/>
        <stp>BDS|7274741012433527117</stp>
        <tr r="CC5" s="69"/>
      </tp>
      <tp t="e">
        <v>#N/A</v>
        <stp/>
        <stp>BDS|3068172808138745985</stp>
        <tr r="LD5" s="13"/>
      </tp>
      <tp t="e">
        <v>#N/A</v>
        <stp/>
        <stp>BDS|8496217129509480299</stp>
        <tr r="LX5" s="82"/>
      </tp>
      <tp t="e">
        <v>#N/A</v>
        <stp/>
        <stp>BDS|3133611054916042557</stp>
        <tr r="IV5" s="76"/>
      </tp>
      <tp t="e">
        <v>#N/A</v>
        <stp/>
        <stp>BDS|7248079395509754465</stp>
        <tr r="HW5" s="24"/>
      </tp>
      <tp t="e">
        <v>#N/A</v>
        <stp/>
        <stp>BDS|4778491061912966770</stp>
        <tr r="MC5" s="119"/>
      </tp>
      <tp t="e">
        <v>#N/A</v>
        <stp/>
        <stp>BDS|1578312295918950090</stp>
        <tr r="A5" s="68"/>
      </tp>
      <tp t="e">
        <v>#N/A</v>
        <stp/>
        <stp>BDS|2058536355640521128</stp>
        <tr r="OF5" s="53"/>
      </tp>
      <tp t="e">
        <v>#N/A</v>
        <stp/>
        <stp>BDS|5985306659438516846</stp>
        <tr r="NV5" s="41"/>
      </tp>
      <tp t="e">
        <v>#N/A</v>
        <stp/>
        <stp>BDS|8359283935808663295</stp>
        <tr r="DV5" s="24"/>
      </tp>
      <tp t="e">
        <v>#N/A</v>
        <stp/>
        <stp>BDS|3661043806157479711</stp>
        <tr r="KT5" s="31"/>
      </tp>
      <tp t="e">
        <v>#N/A</v>
        <stp/>
        <stp>BDS|3513403442154234442</stp>
        <tr r="F5" s="102"/>
      </tp>
      <tp t="e">
        <v>#N/A</v>
        <stp/>
        <stp>BDS|3546077682039290139</stp>
        <tr r="JA5" s="50"/>
      </tp>
      <tp t="e">
        <v>#N/A</v>
        <stp/>
        <stp>BDS|6027143107325369114</stp>
        <tr r="KE5" s="16"/>
      </tp>
      <tp t="e">
        <v>#N/A</v>
        <stp/>
        <stp>BDS|9268625392682049731</stp>
        <tr r="MM5" s="124"/>
      </tp>
      <tp t="e">
        <v>#N/A</v>
        <stp/>
        <stp>BDS|5385348252000595018</stp>
        <tr r="IB5" s="84"/>
      </tp>
      <tp t="e">
        <v>#N/A</v>
        <stp/>
        <stp>BDS|1060287113677819627</stp>
        <tr r="A5" s="23"/>
      </tp>
      <tp t="e">
        <v>#N/A</v>
        <stp/>
        <stp>BDS|6185205636315686100</stp>
        <tr r="BI5" s="117"/>
      </tp>
      <tp t="e">
        <v>#N/A</v>
        <stp/>
        <stp>BDS|3119742475604450457</stp>
        <tr r="DL5" s="98"/>
      </tp>
      <tp t="e">
        <v>#N/A</v>
        <stp/>
        <stp>BDS|6440015304196117316</stp>
        <tr r="JU5" s="49"/>
      </tp>
      <tp t="e">
        <v>#N/A</v>
        <stp/>
        <stp>BDS|5055416773073314606</stp>
        <tr r="GS5" s="12"/>
      </tp>
      <tp t="e">
        <v>#N/A</v>
        <stp/>
        <stp>BDS|6291824430926664876</stp>
        <tr r="EK5" s="123"/>
      </tp>
      <tp t="e">
        <v>#N/A</v>
        <stp/>
        <stp>BDS|3579740601596559142</stp>
        <tr r="IG5" s="76"/>
      </tp>
      <tp t="e">
        <v>#N/A</v>
        <stp/>
        <stp>BDS|8514508642319481358</stp>
        <tr r="NG5" s="117"/>
      </tp>
      <tp t="e">
        <v>#N/A</v>
        <stp/>
        <stp>BDS|1205022817820625371</stp>
        <tr r="AO5" s="50"/>
      </tp>
      <tp t="e">
        <v>#N/A</v>
        <stp/>
        <stp>BDS|3197165911657731770</stp>
        <tr r="AO5" s="117"/>
      </tp>
      <tp t="e">
        <v>#N/A</v>
        <stp/>
        <stp>BDS|8291437725064621943</stp>
        <tr r="JU5" s="16"/>
      </tp>
      <tp t="e">
        <v>#N/A</v>
        <stp/>
        <stp>BDS|2909513501930731486</stp>
        <tr r="LI5" s="28"/>
      </tp>
      <tp t="e">
        <v>#N/A</v>
        <stp/>
        <stp>BDS|5287357056137245756</stp>
        <tr r="EK5" s="74"/>
      </tp>
      <tp t="e">
        <v>#N/A</v>
        <stp/>
        <stp>BDS|4917566412093886033</stp>
        <tr r="P5" s="46"/>
      </tp>
      <tp t="e">
        <v>#N/A</v>
        <stp/>
        <stp>BDS|1365341694928327061</stp>
        <tr r="BD5" s="57"/>
      </tp>
      <tp t="e">
        <v>#N/A</v>
        <stp/>
        <stp>BDS|5460712396961385968</stp>
        <tr r="EA5" s="17"/>
      </tp>
      <tp t="e">
        <v>#N/A</v>
        <stp/>
        <stp>BDS|1483278716350705141</stp>
        <tr r="EP5" s="116"/>
      </tp>
      <tp t="e">
        <v>#N/A</v>
        <stp/>
        <stp>BDS|1182358047454561100</stp>
        <tr r="JF5" s="65"/>
      </tp>
      <tp t="e">
        <v>#N/A</v>
        <stp/>
        <stp>BDS|1427681519022653755</stp>
        <tr r="NB5" s="118"/>
      </tp>
      <tp t="e">
        <v>#N/A</v>
        <stp/>
        <stp>BDS|8124344096992470318</stp>
        <tr r="EP5" s="50"/>
      </tp>
      <tp t="e">
        <v>#N/A</v>
        <stp/>
        <stp>BDS|8664389814919460080</stp>
        <tr r="KO5" s="116"/>
      </tp>
      <tp t="e">
        <v>#N/A</v>
        <stp/>
        <stp>BDS|1879656577267933451</stp>
        <tr r="IG5" s="62"/>
      </tp>
      <tp t="e">
        <v>#N/A</v>
        <stp/>
        <stp>BDS|6885102648436394651</stp>
        <tr r="IV5" s="74"/>
      </tp>
      <tp t="e">
        <v>#N/A</v>
        <stp/>
        <stp>BDS|7948017628513229542</stp>
        <tr r="NQ5" s="97"/>
      </tp>
      <tp t="e">
        <v>#N/A</v>
        <stp/>
        <stp>BDS|2308876286241730031</stp>
        <tr r="FT5" s="113"/>
      </tp>
      <tp t="e">
        <v>#N/A</v>
        <stp/>
        <stp>BDS|3242325749684929360</stp>
        <tr r="OF5" s="2"/>
      </tp>
      <tp t="e">
        <v>#N/A</v>
        <stp/>
        <stp>BDS|7793501917496214648</stp>
        <tr r="NQ5" s="37"/>
      </tp>
      <tp t="e">
        <v>#N/A</v>
        <stp/>
        <stp>BDS|7762816674812633931</stp>
        <tr r="A5" s="25"/>
      </tp>
      <tp t="e">
        <v>#N/A</v>
        <stp/>
        <stp>BDS|7852892461083383945</stp>
        <tr r="KJ5" s="57"/>
      </tp>
      <tp t="e">
        <v>#N/A</v>
        <stp/>
        <stp>BDS|6119258422677019216</stp>
        <tr r="CC5" s="79"/>
      </tp>
      <tp t="e">
        <v>#N/A</v>
        <stp/>
        <stp>BDS|5856085339901939472</stp>
        <tr r="LI5" s="66"/>
      </tp>
      <tp t="e">
        <v>#N/A</v>
        <stp/>
        <stp>BDS|7736057814561086411</stp>
        <tr r="HW5" s="54"/>
      </tp>
      <tp t="e">
        <v>#N/A</v>
        <stp/>
        <stp>BDS|1263205182311378949</stp>
        <tr r="GX5" s="44"/>
      </tp>
      <tp t="e">
        <v>#N/A</v>
        <stp/>
        <stp>BDS|2690030134375418727</stp>
        <tr r="MC5" s="31"/>
      </tp>
      <tp t="e">
        <v>#N/A</v>
        <stp/>
        <stp>BDS|7339118338740925642</stp>
        <tr r="BD5" s="9"/>
      </tp>
      <tp t="e">
        <v>#N/A</v>
        <stp/>
        <stp>BDS|7962227518674005345</stp>
        <tr r="KE5" s="54"/>
      </tp>
      <tp t="e">
        <v>#N/A</v>
        <stp/>
        <stp>BDS|2895696343657590403</stp>
        <tr r="NB5" s="8"/>
      </tp>
      <tp t="e">
        <v>#N/A</v>
        <stp/>
        <stp>BDS|2977687920497758212</stp>
        <tr r="EU5" s="33"/>
      </tp>
      <tp t="e">
        <v>#N/A</v>
        <stp/>
        <stp>BDS|1123504136583283728</stp>
        <tr r="JZ5" s="112"/>
      </tp>
      <tp t="e">
        <v>#N/A</v>
        <stp/>
        <stp>BDS|8335546493192412575</stp>
        <tr r="DV5" s="124"/>
      </tp>
      <tp t="e">
        <v>#N/A</v>
        <stp/>
        <stp>BDS|1614993935461860950</stp>
        <tr r="KJ5" s="5"/>
      </tp>
      <tp t="e">
        <v>#N/A</v>
        <stp/>
        <stp>BDS|3743572780279004475</stp>
        <tr r="IQ5" s="110"/>
      </tp>
      <tp t="e">
        <v>#N/A</v>
        <stp/>
        <stp>BDS|8957455453502943817</stp>
        <tr r="LN5" s="16"/>
      </tp>
      <tp t="e">
        <v>#N/A</v>
        <stp/>
        <stp>BDS|6868544926285415797</stp>
        <tr r="FJ5" s="40"/>
      </tp>
      <tp t="e">
        <v>#N/A</v>
        <stp/>
        <stp>BDS|9013855671652756740</stp>
        <tr r="HH5" s="35"/>
      </tp>
      <tp t="e">
        <v>#N/A</v>
        <stp/>
        <stp>BDS|4650763796409916084</stp>
        <tr r="LI5" s="47"/>
      </tp>
      <tp t="e">
        <v>#N/A</v>
        <stp/>
        <stp>BDS|5288334117177633379</stp>
        <tr r="DV5" s="15"/>
      </tp>
      <tp t="e">
        <v>#N/A</v>
        <stp/>
        <stp>BDS|5752993529455538856</stp>
        <tr r="MC5" s="103"/>
      </tp>
      <tp t="e">
        <v>#N/A</v>
        <stp/>
        <stp>BDS|7967042280158265487</stp>
        <tr r="AJ5" s="43"/>
      </tp>
      <tp t="e">
        <v>#N/A</v>
        <stp/>
        <stp>BDS|5860180334390043435</stp>
        <tr r="JF5" s="77"/>
      </tp>
      <tp t="e">
        <v>#N/A</v>
        <stp/>
        <stp>BDS|1412766549076955757</stp>
        <tr r="EF5" s="85"/>
      </tp>
      <tp t="e">
        <v>#N/A</v>
        <stp/>
        <stp>BDS|9327376450268627451</stp>
        <tr r="DQ5" s="2"/>
      </tp>
      <tp t="e">
        <v>#N/A</v>
        <stp/>
        <stp>BDS|7131342293469846794</stp>
        <tr r="HR5" s="26"/>
      </tp>
      <tp t="e">
        <v>#N/A</v>
        <stp/>
        <stp>BDS|9368420807488466651</stp>
        <tr r="HC5" s="121"/>
      </tp>
      <tp t="e">
        <v>#N/A</v>
        <stp/>
        <stp>BDS|4672166406171381713</stp>
        <tr r="DB5" s="17"/>
      </tp>
      <tp t="e">
        <v>#N/A</v>
        <stp/>
        <stp>BDS|7872945593695990126</stp>
        <tr r="HW5" s="30"/>
      </tp>
      <tp t="e">
        <v>#N/A</v>
        <stp/>
        <stp>BDS|2239346315843219055</stp>
        <tr r="HC5" s="119"/>
      </tp>
      <tp t="e">
        <v>#N/A</v>
        <stp/>
        <stp>BDS|8519547243932732815</stp>
        <tr r="JZ5" s="111"/>
      </tp>
      <tp t="e">
        <v>#N/A</v>
        <stp/>
        <stp>BDS|3800833094569384880</stp>
        <tr r="GD5" s="49"/>
      </tp>
      <tp t="e">
        <v>#N/A</v>
        <stp/>
        <stp>BDS|5420401469502107688</stp>
        <tr r="CH5" s="19"/>
      </tp>
      <tp t="e">
        <v>#N/A</v>
        <stp/>
        <stp>BDS|9277460994470556718</stp>
        <tr r="FJ5" s="29"/>
      </tp>
      <tp t="e">
        <v>#N/A</v>
        <stp/>
        <stp>BDS|1987413068445693529</stp>
        <tr r="KY5" s="3"/>
        <tr r="DG5" s="12"/>
      </tp>
      <tp t="e">
        <v>#N/A</v>
        <stp/>
        <stp>BDS|5570960175870000823</stp>
        <tr r="KY5" s="53"/>
      </tp>
      <tp t="e">
        <v>#N/A</v>
        <stp/>
        <stp>BDS|8993989068412485691</stp>
        <tr r="EU5" s="31"/>
      </tp>
      <tp t="e">
        <v>#N/A</v>
        <stp/>
        <stp>BDS|3512190763641943621</stp>
        <tr r="HR5" s="27"/>
      </tp>
      <tp t="e">
        <v>#N/A</v>
        <stp/>
        <stp>BDS|6845553589139804185</stp>
        <tr r="EF5" s="63"/>
      </tp>
      <tp t="e">
        <v>#N/A</v>
        <stp/>
        <stp>BDS|7320777205687218471</stp>
        <tr r="IV5" s="2"/>
      </tp>
      <tp t="e">
        <v>#N/A</v>
        <stp/>
        <stp>BDS|8773655694440039426</stp>
        <tr r="FO5" s="117"/>
      </tp>
      <tp t="e">
        <v>#N/A</v>
        <stp/>
        <stp>BDS|1798071221209091953</stp>
        <tr r="LI5" s="110"/>
      </tp>
      <tp t="e">
        <v>#N/A</v>
        <stp/>
        <stp>BDS|1068378256493291777</stp>
        <tr r="CM5" s="108"/>
      </tp>
      <tp t="e">
        <v>#N/A</v>
        <stp/>
        <stp>BDS|6340301413550713735</stp>
        <tr r="BX5" s="17"/>
      </tp>
      <tp t="e">
        <v>#N/A</v>
        <stp/>
        <stp>BDS|6281941682081497544</stp>
        <tr r="CM5" s="111"/>
      </tp>
      <tp t="e">
        <v>#N/A</v>
        <stp/>
        <stp>BDS|1819879984933968163</stp>
        <tr r="FT5" s="102"/>
      </tp>
      <tp t="e">
        <v>#N/A</v>
        <stp/>
        <stp>BDS|7354823681130764434</stp>
        <tr r="MH5" s="19"/>
      </tp>
      <tp t="e">
        <v>#N/A</v>
        <stp/>
        <stp>BDS|1983070080642821829</stp>
        <tr r="AT5" s="21"/>
      </tp>
      <tp t="e">
        <v>#N/A</v>
        <stp/>
        <stp>BDS|5918399977510635244</stp>
        <tr r="LS5" s="22"/>
      </tp>
      <tp t="e">
        <v>#N/A</v>
        <stp/>
        <stp>BDS|1159379056500676434</stp>
        <tr r="EF5" s="112"/>
      </tp>
      <tp t="e">
        <v>#N/A</v>
        <stp/>
        <stp>BDS|9105815052943435437</stp>
        <tr r="IG5" s="122"/>
      </tp>
      <tp t="e">
        <v>#N/A</v>
        <stp/>
        <stp>BDS|5562359656077400777</stp>
        <tr r="DL5" s="94"/>
      </tp>
      <tp t="e">
        <v>#N/A</v>
        <stp/>
        <stp>BDS|8589991056700675791</stp>
        <tr r="IQ5" s="6"/>
        <tr r="IQ5" s="20"/>
      </tp>
      <tp t="e">
        <v>#N/A</v>
        <stp/>
        <stp>BDS|2538664848423727098</stp>
        <tr r="BI5" s="58"/>
      </tp>
      <tp t="e">
        <v>#N/A</v>
        <stp/>
        <stp>BDS|5254665463817052124</stp>
        <tr r="EZ5" s="118"/>
      </tp>
      <tp t="e">
        <v>#N/A</v>
        <stp/>
        <stp>BDS|5592634321361453367</stp>
        <tr r="IL5" s="123"/>
      </tp>
      <tp t="e">
        <v>#N/A</v>
        <stp/>
        <stp>BDS|2277326200731694333</stp>
        <tr r="DV5" s="46"/>
      </tp>
      <tp t="e">
        <v>#N/A</v>
        <stp/>
        <stp>BDS|8453517794817059043</stp>
        <tr r="JU5" s="114"/>
      </tp>
      <tp t="e">
        <v>#N/A</v>
        <stp/>
        <stp>BDS|4240531277110214518</stp>
        <tr r="JA5" s="26"/>
      </tp>
      <tp t="e">
        <v>#N/A</v>
        <stp/>
        <stp>BDS|5513342575897153503</stp>
        <tr r="LN5" s="35"/>
      </tp>
      <tp t="e">
        <v>#N/A</v>
        <stp/>
        <stp>BDS|8265361471788846789</stp>
        <tr r="GX5" s="66"/>
      </tp>
      <tp t="e">
        <v>#N/A</v>
        <stp/>
        <stp>BDS|9472878411051687217</stp>
        <tr r="IL5" s="25"/>
      </tp>
      <tp t="e">
        <v>#N/A</v>
        <stp/>
        <stp>BDS|3977822855448834532</stp>
        <tr r="BN5" s="113"/>
      </tp>
      <tp t="e">
        <v>#N/A</v>
        <stp/>
        <stp>BDS|1911991605698440344</stp>
        <tr r="NV5" s="94"/>
      </tp>
      <tp t="e">
        <v>#N/A</v>
        <stp/>
        <stp>BDS|3393114554507697356</stp>
        <tr r="EK5" s="33"/>
      </tp>
      <tp t="e">
        <v>#N/A</v>
        <stp/>
        <stp>BDS|5561145116682156437</stp>
        <tr r="KO5" s="12"/>
      </tp>
      <tp t="e">
        <v>#N/A</v>
        <stp/>
        <stp>BDS|7208764340450970780</stp>
        <tr r="HM5" s="91"/>
      </tp>
      <tp t="e">
        <v>#N/A</v>
        <stp/>
        <stp>BDS|2464134936062724137</stp>
        <tr r="CR5" s="69"/>
      </tp>
      <tp t="e">
        <v>#N/A</v>
        <stp/>
        <stp>BDS|6597191278246763568</stp>
        <tr r="NG5" s="77"/>
      </tp>
      <tp t="e">
        <v>#N/A</v>
        <stp/>
        <stp>BDS|3309194438102226053</stp>
        <tr r="DB5" s="86"/>
      </tp>
      <tp t="e">
        <v>#N/A</v>
        <stp/>
        <stp>BDS|6814476719207697759</stp>
        <tr r="MC5" s="35"/>
      </tp>
      <tp t="e">
        <v>#N/A</v>
        <stp/>
        <stp>BDS|6153042216102457626</stp>
        <tr r="JK5" s="91"/>
      </tp>
      <tp t="e">
        <v>#N/A</v>
        <stp/>
        <stp>BDS|42866805821985391</stp>
        <tr r="LX5" s="103"/>
      </tp>
      <tp t="e">
        <v>#N/A</v>
        <stp/>
        <stp>BDS|11682762099564378</stp>
        <tr r="JF5" s="115"/>
      </tp>
      <tp t="e">
        <v>#N/A</v>
        <stp/>
        <stp>BDS|26035399936066531</stp>
        <tr r="LS5" s="2"/>
      </tp>
      <tp t="e">
        <v>#N/A</v>
        <stp/>
        <stp>BDS|66596298250440752</stp>
        <tr r="DV5" s="70"/>
      </tp>
      <tp t="e">
        <v>#N/A</v>
        <stp/>
        <stp>BDS|94886915521251365</stp>
        <tr r="HC5" s="110"/>
      </tp>
      <tp t="e">
        <v>#N/A</v>
        <stp/>
        <stp>BDS|47957718657271463</stp>
        <tr r="A5" s="121"/>
      </tp>
      <tp t="e">
        <v>#N/A</v>
        <stp/>
        <stp>BDS|40220921131444871</stp>
        <tr r="AY5" s="4"/>
      </tp>
      <tp t="e">
        <v>#N/A</v>
        <stp/>
        <stp>BDS|96580493776588311</stp>
        <tr r="FY5" s="97"/>
        <tr r="GS5" s="104"/>
      </tp>
      <tp t="e">
        <v>#N/A</v>
        <stp/>
        <stp>BDS|30083404928919629</stp>
        <tr r="JZ5" s="121"/>
      </tp>
      <tp t="e">
        <v>#N/A</v>
        <stp/>
        <stp>BDS|69695772389062646</stp>
        <tr r="LD5" s="104"/>
      </tp>
      <tp t="e">
        <v>#N/A</v>
        <stp/>
        <stp>BDS|55445676964123869</stp>
        <tr r="IL5" s="30"/>
      </tp>
      <tp t="e">
        <v>#N/A</v>
        <stp/>
        <stp>BDS|14474315169018322</stp>
        <tr r="MW5" s="103"/>
      </tp>
      <tp t="e">
        <v>#N/A</v>
        <stp/>
        <stp>BDS|25953552669357946</stp>
        <tr r="AY5" s="45"/>
      </tp>
      <tp t="e">
        <v>#N/A</v>
        <stp/>
        <stp>BDS|50627806713558835</stp>
        <tr r="MW5" s="7"/>
      </tp>
      <tp t="e">
        <v>#N/A</v>
        <stp/>
        <stp>BDS|16978469370761229</stp>
        <tr r="DQ5" s="3"/>
      </tp>
      <tp t="e">
        <v>#N/A</v>
        <stp/>
        <stp>BDS|21780853013043369</stp>
        <tr r="AY5" s="74"/>
      </tp>
      <tp t="e">
        <v>#N/A</v>
        <stp/>
        <stp>BDS|82412306621920682</stp>
        <tr r="OF5" s="75"/>
      </tp>
      <tp t="e">
        <v>#N/A</v>
        <stp/>
        <stp>BDS|54200948557679298</stp>
        <tr r="CM5" s="38"/>
      </tp>
      <tp t="e">
        <v>#N/A</v>
        <stp/>
        <stp>BDS|51655977324652678</stp>
        <tr r="JU5" s="61"/>
      </tp>
      <tp t="e">
        <v>#N/A</v>
        <stp/>
        <stp>BDS|32271375543666556</stp>
        <tr r="A5" s="44"/>
      </tp>
      <tp t="e">
        <v>#N/A</v>
        <stp/>
        <stp>BDS|86034123042946322</stp>
        <tr r="NB5" s="89"/>
      </tp>
      <tp t="e">
        <v>#N/A</v>
        <stp/>
        <stp>BDS|16149303811835368</stp>
        <tr r="AO5" s="41"/>
      </tp>
      <tp t="e">
        <v>#N/A</v>
        <stp/>
        <stp>BDS|84320150372159452</stp>
        <tr r="LX5" s="63"/>
      </tp>
      <tp t="e">
        <v>#N/A</v>
        <stp/>
        <stp>BDS|53402045223897391</stp>
        <tr r="DL5" s="36"/>
      </tp>
      <tp t="e">
        <v>#N/A</v>
        <stp/>
        <stp>BDS|17331116330727269</stp>
        <tr r="MR5" s="19"/>
      </tp>
      <tp t="e">
        <v>#N/A</v>
        <stp/>
        <stp>BDS|45510643690147174</stp>
        <tr r="Z5" s="70"/>
      </tp>
      <tp t="e">
        <v>#N/A</v>
        <stp/>
        <stp>BDS|10641373324194575</stp>
        <tr r="HH5" s="58"/>
      </tp>
      <tp t="e">
        <v>#N/A</v>
        <stp/>
        <stp>BDS|79777514564823249</stp>
        <tr r="GD5" s="121"/>
      </tp>
      <tp t="e">
        <v>#N/A</v>
        <stp/>
        <stp>BDS|28729326730780580</stp>
        <tr r="JU5" s="83"/>
      </tp>
      <tp t="e">
        <v>#N/A</v>
        <stp/>
        <stp>BDS|38541224406143088</stp>
        <tr r="JZ5" s="60"/>
      </tp>
      <tp t="e">
        <v>#N/A</v>
        <stp/>
        <stp>BDS|12516221968196942</stp>
        <tr r="MW5" s="90"/>
      </tp>
      <tp t="e">
        <v>#N/A</v>
        <stp/>
        <stp>BDS|18468556654426356</stp>
        <tr r="DG5" s="90"/>
      </tp>
      <tp t="e">
        <v>#N/A</v>
        <stp/>
        <stp>BDS|77491553933064475</stp>
        <tr r="HC5" s="35"/>
      </tp>
      <tp t="e">
        <v>#N/A</v>
        <stp/>
        <stp>BDS|83577440362093418</stp>
        <tr r="JP5" s="112"/>
      </tp>
      <tp t="e">
        <v>#N/A</v>
        <stp/>
        <stp>BDS|36026631926671238</stp>
        <tr r="FE5" s="59"/>
      </tp>
      <tp t="e">
        <v>#N/A</v>
        <stp/>
        <stp>BDS|75240176762326063</stp>
        <tr r="IB5" s="3"/>
      </tp>
      <tp t="e">
        <v>#N/A</v>
        <stp/>
        <stp>BDS|76403333626301653</stp>
        <tr r="DQ5" s="96"/>
      </tp>
      <tp t="e">
        <v>#N/A</v>
        <stp/>
        <stp>BDS|32129516494012389</stp>
        <tr r="U5" s="96"/>
      </tp>
      <tp t="e">
        <v>#N/A</v>
        <stp/>
        <stp>BDS|14525353257987361</stp>
        <tr r="BD5" s="38"/>
      </tp>
      <tp t="e">
        <v>#N/A</v>
        <stp/>
        <stp>BDS|90351365436155782</stp>
        <tr r="DL5" s="40"/>
      </tp>
      <tp t="e">
        <v>#N/A</v>
        <stp/>
        <stp>BDS|60745843162517463</stp>
        <tr r="OF5" s="22"/>
      </tp>
      <tp t="e">
        <v>#N/A</v>
        <stp/>
        <stp>BDS|89817604885397859</stp>
        <tr r="F5" s="108"/>
      </tp>
      <tp t="e">
        <v>#N/A</v>
        <stp/>
        <stp>BDS|88739732311684048</stp>
        <tr r="GI5" s="100"/>
      </tp>
      <tp t="e">
        <v>#N/A</v>
        <stp/>
        <stp>BDS|86483563605002272</stp>
        <tr r="A5" s="3"/>
      </tp>
      <tp t="e">
        <v>#N/A</v>
        <stp/>
        <stp>BDS|867345746180126273</stp>
        <tr r="DB5" s="16"/>
      </tp>
      <tp t="e">
        <v>#N/A</v>
        <stp/>
        <stp>BDS|815864217839072543</stp>
        <tr r="BS5" s="23"/>
      </tp>
      <tp t="e">
        <v>#N/A</v>
        <stp/>
        <stp>BDS|663892962963363835</stp>
        <tr r="FO5" s="34"/>
      </tp>
      <tp t="e">
        <v>#N/A</v>
        <stp/>
        <stp>BDS|734085420160417768</stp>
        <tr r="KY5" s="47"/>
      </tp>
      <tp t="e">
        <v>#N/A</v>
        <stp/>
        <stp>BDS|195448816926684680</stp>
        <tr r="JZ5" s="102"/>
      </tp>
      <tp t="e">
        <v>#N/A</v>
        <stp/>
        <stp>BDS|982337942333569130</stp>
        <tr r="MW5" s="70"/>
      </tp>
      <tp t="e">
        <v>#N/A</v>
        <stp/>
        <stp>BDS|964474441555486057</stp>
        <tr r="JU5" s="58"/>
      </tp>
      <tp t="e">
        <v>#N/A</v>
        <stp/>
        <stp>BDS|170232639932614632</stp>
        <tr r="DQ5" s="55"/>
      </tp>
      <tp t="e">
        <v>#N/A</v>
        <stp/>
        <stp>BDS|827561777537379059</stp>
        <tr r="MW5" s="14"/>
      </tp>
      <tp t="e">
        <v>#N/A</v>
        <stp/>
        <stp>BDS|826246711312780457</stp>
        <tr r="DL5" s="37"/>
      </tp>
      <tp t="e">
        <v>#N/A</v>
        <stp/>
        <stp>BDS|871665213834051626</stp>
        <tr r="IV5" s="20"/>
        <tr r="IV5" s="6"/>
      </tp>
      <tp t="e">
        <v>#N/A</v>
        <stp/>
        <stp>BDS|509278809880390778</stp>
        <tr r="HH5" s="123"/>
      </tp>
      <tp t="e">
        <v>#N/A</v>
        <stp/>
        <stp>BDS|199892833827198927</stp>
        <tr r="MM5" s="109"/>
      </tp>
      <tp t="e">
        <v>#N/A</v>
        <stp/>
        <stp>BDS|836229262293434248</stp>
        <tr r="JP5" s="10"/>
      </tp>
      <tp t="e">
        <v>#N/A</v>
        <stp/>
        <stp>BDS|632105942489458981</stp>
        <tr r="FT5" s="70"/>
      </tp>
      <tp t="e">
        <v>#N/A</v>
        <stp/>
        <stp>BDS|312501568360077633</stp>
        <tr r="IG5" s="41"/>
      </tp>
      <tp t="e">
        <v>#N/A</v>
        <stp/>
        <stp>BDS|969431166365103244</stp>
        <tr r="DB5" s="70"/>
      </tp>
      <tp t="e">
        <v>#N/A</v>
        <stp/>
        <stp>BDS|789822184340855534</stp>
        <tr r="EZ5" s="8"/>
      </tp>
      <tp t="e">
        <v>#N/A</v>
        <stp/>
        <stp>BDS|918189465072850063</stp>
        <tr r="EU5" s="123"/>
      </tp>
      <tp t="e">
        <v>#N/A</v>
        <stp/>
        <stp>BDS|901304892298385722</stp>
        <tr r="GX5" s="9"/>
      </tp>
      <tp t="e">
        <v>#N/A</v>
        <stp/>
        <stp>BDS|679313475829135899</stp>
        <tr r="AJ5" s="18"/>
      </tp>
      <tp t="e">
        <v>#N/A</v>
        <stp/>
        <stp>BDS|135612682482986906</stp>
        <tr r="KT5" s="74"/>
      </tp>
      <tp t="e">
        <v>#N/A</v>
        <stp/>
        <stp>BDS|771582007844448472</stp>
        <tr r="BS5" s="59"/>
      </tp>
      <tp t="e">
        <v>#N/A</v>
        <stp/>
        <stp>BDS|462034651433996342</stp>
        <tr r="BS5" s="110"/>
      </tp>
      <tp t="e">
        <v>#N/A</v>
        <stp/>
        <stp>BDS|754374450920517310</stp>
        <tr r="FY5" s="3"/>
      </tp>
      <tp t="e">
        <v>#N/A</v>
        <stp/>
        <stp>BDS|308374872811365000</stp>
        <tr r="DQ5" s="35"/>
      </tp>
      <tp t="e">
        <v>#N/A</v>
        <stp/>
        <stp>BDS|676596003289874919</stp>
        <tr r="EU5" s="13"/>
      </tp>
      <tp t="e">
        <v>#N/A</v>
        <stp/>
        <stp>BDS|833608078271595537</stp>
        <tr r="AO5" s="89"/>
      </tp>
      <tp t="e">
        <v>#N/A</v>
        <stp/>
        <stp>BDS|597174755946486747</stp>
        <tr r="JU5" s="36"/>
      </tp>
      <tp t="e">
        <v>#N/A</v>
        <stp/>
        <stp>BDS|312648291352935881</stp>
        <tr r="CH5" s="38"/>
      </tp>
      <tp t="e">
        <v>#N/A</v>
        <stp/>
        <stp>BDS|632735067804072056</stp>
        <tr r="DG5" s="7"/>
      </tp>
      <tp t="e">
        <v>#N/A</v>
        <stp/>
        <stp>BDS|747373215470573779</stp>
        <tr r="MR5" s="44"/>
      </tp>
      <tp t="e">
        <v>#N/A</v>
        <stp/>
        <stp>BDS|435982367109454383</stp>
        <tr r="HR5" s="104"/>
      </tp>
      <tp t="e">
        <v>#N/A</v>
        <stp/>
        <stp>BDS|498639165550677541</stp>
        <tr r="NL5" s="111"/>
      </tp>
      <tp t="e">
        <v>#N/A</v>
        <stp/>
        <stp>BDS|108066117660940497</stp>
        <tr r="MM5" s="63"/>
      </tp>
      <tp t="e">
        <v>#N/A</v>
        <stp/>
        <stp>BDS|705577106704328455</stp>
        <tr r="GI5" s="85"/>
      </tp>
      <tp t="e">
        <v>#N/A</v>
        <stp/>
        <stp>BDS|375389449310553262</stp>
        <tr r="K5" s="3"/>
      </tp>
      <tp t="e">
        <v>#N/A</v>
        <stp/>
        <stp>BDS|607840985126693306</stp>
        <tr r="IL5" s="58"/>
      </tp>
      <tp t="e">
        <v>#N/A</v>
        <stp/>
        <stp>BDS|670041605086406329</stp>
        <tr r="IV5" s="25"/>
      </tp>
      <tp t="e">
        <v>#N/A</v>
        <stp/>
        <stp>BDS|330126172621139209</stp>
        <tr r="BD5" s="11"/>
      </tp>
      <tp t="e">
        <v>#N/A</v>
        <stp/>
        <stp>BDS|497010825804098327</stp>
        <tr r="GS5" s="97"/>
      </tp>
      <tp t="e">
        <v>#N/A</v>
        <stp/>
        <stp>BDS|637271795428215659</stp>
        <tr r="EA5" s="52"/>
      </tp>
      <tp t="e">
        <v>#N/A</v>
        <stp/>
        <stp>BDS|158515713788786891</stp>
        <tr r="BI5" s="118"/>
      </tp>
      <tp t="e">
        <v>#N/A</v>
        <stp/>
        <stp>BDS|948365723196265335</stp>
        <tr r="DG5" s="73"/>
      </tp>
      <tp t="e">
        <v>#N/A</v>
        <stp/>
        <stp>BDS|746358769515610432</stp>
        <tr r="AT5" s="3"/>
      </tp>
      <tp t="e">
        <v>#N/A</v>
        <stp/>
        <stp>BDS|585151782945465889</stp>
        <tr r="GD5" s="9"/>
      </tp>
      <tp t="e">
        <v>#N/A</v>
        <stp/>
        <stp>BDS|301199243550368149</stp>
        <tr r="CC5" s="23"/>
      </tp>
      <tp t="e">
        <v>#N/A</v>
        <stp/>
        <stp>BDS|115108930540837679</stp>
        <tr r="AT5" s="49"/>
      </tp>
      <tp t="e">
        <v>#N/A</v>
        <stp/>
        <stp>BDS|333344473778306894</stp>
        <tr r="KO5" s="76"/>
      </tp>
      <tp t="e">
        <v>#N/A</v>
        <stp/>
        <stp>BDS|967882703285902953</stp>
        <tr r="MW5" s="81"/>
      </tp>
      <tp t="e">
        <v>#N/A</v>
        <stp/>
        <stp>BDS|885238944411364339</stp>
        <tr r="AY5" s="98"/>
      </tp>
      <tp t="e">
        <v>#N/A</v>
        <stp/>
        <stp>BDS|635833749549657157</stp>
        <tr r="IB5" s="110"/>
      </tp>
      <tp t="e">
        <v>#N/A</v>
        <stp/>
        <stp>BDS|132796404135532611</stp>
        <tr r="EZ5" s="71"/>
      </tp>
      <tp t="e">
        <v>#N/A</v>
        <stp/>
        <stp>BDS|591394400266465117</stp>
        <tr r="EZ5" s="53"/>
      </tp>
      <tp t="e">
        <v>#N/A</v>
        <stp/>
        <stp>BDS|939540820640152354</stp>
        <tr r="AY5" s="32"/>
      </tp>
      <tp t="e">
        <v>#N/A</v>
        <stp/>
        <stp>BDS|312036485434996866</stp>
        <tr r="HM5" s="124"/>
      </tp>
      <tp t="e">
        <v>#N/A</v>
        <stp/>
        <stp>BDS|264349270646494692</stp>
        <tr r="EA5" s="59"/>
      </tp>
      <tp t="e">
        <v>#N/A</v>
        <stp/>
        <stp>BDS|828621306302740000</stp>
        <tr r="IL5" s="116"/>
      </tp>
      <tp t="e">
        <v>#N/A</v>
        <stp/>
        <stp>BDS|622734774531794522</stp>
        <tr r="IV5" s="21"/>
      </tp>
      <tp t="e">
        <v>#N/A</v>
        <stp/>
        <stp>BDS|353470804350140051</stp>
        <tr r="DG5" s="88"/>
      </tp>
      <tp t="e">
        <v>#N/A</v>
        <stp/>
        <stp>BDS|840638029385677512</stp>
        <tr r="DB5" s="76"/>
      </tp>
      <tp t="e">
        <v>#N/A</v>
        <stp/>
        <stp>BDS|673541844803412677</stp>
        <tr r="DL5" s="68"/>
      </tp>
      <tp t="e">
        <v>#N/A</v>
        <stp/>
        <stp>BDS|840277705174481286</stp>
        <tr r="KY5" s="110"/>
      </tp>
      <tp t="e">
        <v>#N/A</v>
        <stp/>
        <stp>BDS|824637125503893313</stp>
        <tr r="JZ5" s="12"/>
      </tp>
      <tp t="e">
        <v>#N/A</v>
        <stp/>
        <stp>BDS|259768341420362717</stp>
        <tr r="OF5" s="55"/>
      </tp>
      <tp t="e">
        <v>#N/A</v>
        <stp/>
        <stp>BDS|664196342580984135</stp>
        <tr r="HM5" s="14"/>
      </tp>
      <tp t="e">
        <v>#N/A</v>
        <stp/>
        <stp>BDS|678136060285783654</stp>
        <tr r="A5" s="7"/>
      </tp>
      <tp t="e">
        <v>#N/A</v>
        <stp/>
        <stp>BDS|717368749043625094</stp>
        <tr r="K5" s="75"/>
      </tp>
      <tp t="e">
        <v>#N/A</v>
        <stp/>
        <stp>BDS|289924546149345028</stp>
        <tr r="LN5" s="10"/>
      </tp>
      <tp t="e">
        <v>#N/A</v>
        <stp/>
        <stp>BDS|578815798872402781</stp>
        <tr r="HM5" s="78"/>
      </tp>
      <tp t="e">
        <v>#N/A</v>
        <stp/>
        <stp>BDS|928165532190527687</stp>
        <tr r="OA5" s="122"/>
      </tp>
      <tp t="e">
        <v>#N/A</v>
        <stp/>
        <stp>BDS|123401349604912014</stp>
        <tr r="BN5" s="83"/>
      </tp>
      <tp t="e">
        <v>#N/A</v>
        <stp/>
        <stp>BDS|132656848505513395</stp>
        <tr r="LN5" s="15"/>
      </tp>
      <tp t="e">
        <v>#N/A</v>
        <stp/>
        <stp>BDS|634714475205072127</stp>
        <tr r="CC5" s="88"/>
      </tp>
      <tp t="e">
        <v>#N/A</v>
        <stp/>
        <stp>BDS|404721142132665539</stp>
        <tr r="DB5" s="87"/>
      </tp>
      <tp t="e">
        <v>#N/A</v>
        <stp/>
        <stp>BDS|265662711440575325</stp>
        <tr r="EK5" s="90"/>
      </tp>
      <tp t="e">
        <v>#N/A</v>
        <stp/>
        <stp>BDS|576333117724419277</stp>
        <tr r="EK5" s="10"/>
      </tp>
      <tp t="e">
        <v>#N/A</v>
        <stp/>
        <stp>BDS|733643358905774105</stp>
        <tr r="BS5" s="43"/>
      </tp>
      <tp t="e">
        <v>#N/A</v>
        <stp/>
        <stp>BDS|847802254222837889</stp>
        <tr r="HH5" s="60"/>
      </tp>
      <tp t="e">
        <v>#N/A</v>
        <stp/>
        <stp>BDS|726168188978618631</stp>
        <tr r="DV5" s="111"/>
      </tp>
      <tp t="e">
        <v>#N/A</v>
        <stp/>
        <stp>BDS|530232240844304599</stp>
        <tr r="DL5" s="25"/>
      </tp>
      <tp t="e">
        <v>#N/A</v>
        <stp/>
        <stp>BDS|823654439984999617</stp>
        <tr r="OF5" s="49"/>
      </tp>
      <tp t="e">
        <v>#N/A</v>
        <stp/>
        <stp>BDS|955322561680543231</stp>
        <tr r="IL5" s="7"/>
      </tp>
      <tp t="e">
        <v>#N/A</v>
        <stp/>
        <stp>BDS|854482550625513382</stp>
        <tr r="EF5" s="40"/>
      </tp>
      <tp t="e">
        <v>#N/A</v>
        <stp/>
        <stp>BDS|743689045293118651</stp>
        <tr r="CW5" s="80"/>
      </tp>
      <tp t="e">
        <v>#N/A</v>
        <stp/>
        <stp>BDS|852152464009409934</stp>
        <tr r="HR5" s="12"/>
      </tp>
      <tp t="e">
        <v>#N/A</v>
        <stp/>
        <stp>BDS|735282376822240048</stp>
        <tr r="NQ5" s="79"/>
      </tp>
      <tp t="e">
        <v>#N/A</v>
        <stp/>
        <stp>BDS|432015205650977711</stp>
        <tr r="LS5" s="79"/>
      </tp>
      <tp t="e">
        <v>#N/A</v>
        <stp/>
        <stp>BDS|659197292958786724</stp>
        <tr r="JA5" s="36"/>
      </tp>
      <tp t="e">
        <v>#N/A</v>
        <stp/>
        <stp>BDS|473162520820810428</stp>
        <tr r="CC5" s="41"/>
      </tp>
      <tp t="e">
        <v>#N/A</v>
        <stp/>
        <stp>BDS|812966648018676299</stp>
        <tr r="NB5" s="6"/>
      </tp>
      <tp t="e">
        <v>#N/A</v>
        <stp/>
        <stp>BDS|476187623027384359</stp>
        <tr r="OF5" s="11"/>
      </tp>
      <tp t="e">
        <v>#N/A</v>
        <stp/>
        <stp>BDS|764651419759951981</stp>
        <tr r="OA5" s="79"/>
      </tp>
      <tp t="e">
        <v>#N/A</v>
        <stp/>
        <stp>BDS|461707509570737011</stp>
        <tr r="KT5" s="92"/>
      </tp>
      <tp t="e">
        <v>#N/A</v>
        <stp/>
        <stp>BDS|536795141070011462</stp>
        <tr r="MM5" s="86"/>
      </tp>
      <tp t="e">
        <v>#N/A</v>
        <stp/>
        <stp>BDS|781468434833011317</stp>
        <tr r="MH5" s="81"/>
      </tp>
      <tp t="e">
        <v>#N/A</v>
        <stp/>
        <stp>BDS|631478708041419283</stp>
        <tr r="FJ5" s="16"/>
      </tp>
      <tp t="e">
        <v>#N/A</v>
        <stp/>
        <stp>BDS|366540034675569434</stp>
        <tr r="IL5" s="61"/>
      </tp>
      <tp t="e">
        <v>#N/A</v>
        <stp/>
        <stp>BDS|519939232844429969</stp>
        <tr r="CM5" s="92"/>
      </tp>
      <tp t="e">
        <v>#N/A</v>
        <stp/>
        <stp>BDS|925690615966625625</stp>
        <tr r="FO5" s="121"/>
      </tp>
      <tp t="e">
        <v>#N/A</v>
        <stp/>
        <stp>BDS|204013186966186952</stp>
        <tr r="HH5" s="84"/>
      </tp>
      <tp t="e">
        <v>#N/A</v>
        <stp/>
        <stp>BDS|219436353321882781</stp>
        <tr r="F5" s="78"/>
      </tp>
      <tp t="e">
        <v>#N/A</v>
        <stp/>
        <stp>BDS|356126631843711657</stp>
        <tr r="LI5" s="9"/>
      </tp>
      <tp t="e">
        <v>#N/A</v>
        <stp/>
        <stp>BDS|781338554133194239</stp>
        <tr r="MR5" s="106"/>
      </tp>
      <tp t="e">
        <v>#N/A</v>
        <stp/>
        <stp>BDS|715544275232296775</stp>
        <tr r="EZ5" s="44"/>
      </tp>
      <tp t="e">
        <v>#N/A</v>
        <stp/>
        <stp>BDS|382333555265490429</stp>
        <tr r="IL5" s="76"/>
      </tp>
      <tp t="e">
        <v>#N/A</v>
        <stp/>
        <stp>BDS|577673340937636272</stp>
        <tr r="DB5" s="36"/>
      </tp>
      <tp t="e">
        <v>#N/A</v>
        <stp/>
        <stp>BDS|732673072015988388</stp>
        <tr r="NQ5" s="122"/>
      </tp>
      <tp t="e">
        <v>#N/A</v>
        <stp/>
        <stp>BDS|153371801054719033</stp>
        <tr r="A5" s="53"/>
      </tp>
      <tp t="e">
        <v>#N/A</v>
        <stp/>
        <stp>BDS|824098905901653612</stp>
        <tr r="DG5" s="38"/>
      </tp>
      <tp t="e">
        <v>#N/A</v>
        <stp/>
        <stp>BDS|398182542542938039</stp>
        <tr r="EA5" s="89"/>
      </tp>
      <tp t="e">
        <v>#N/A</v>
        <stp/>
        <stp>BDS|572469523952272315</stp>
        <tr r="BS5" s="50"/>
      </tp>
      <tp t="e">
        <v>#N/A</v>
        <stp/>
        <stp>BDS|843013774880871198</stp>
        <tr r="CR5" s="121"/>
      </tp>
      <tp t="e">
        <v>#N/A</v>
        <stp/>
        <stp>BDS|982650142203276717</stp>
        <tr r="DB5" s="3"/>
      </tp>
      <tp t="e">
        <v>#N/A</v>
        <stp/>
        <stp>BDS|400563638744114462</stp>
        <tr r="FY5" s="88"/>
      </tp>
      <tp t="e">
        <v>#N/A</v>
        <stp/>
        <stp>BDS|193581566692035710</stp>
        <tr r="MR5" s="100"/>
      </tp>
      <tp t="e">
        <v>#N/A</v>
        <stp/>
        <stp>BDS|750113569034903581</stp>
        <tr r="IV5" s="39"/>
      </tp>
      <tp t="e">
        <v>#N/A</v>
        <stp/>
        <stp>BDS|410818174451154881</stp>
        <tr r="GN5" s="18"/>
      </tp>
      <tp t="e">
        <v>#N/A</v>
        <stp/>
        <stp>BDS|198055498248234762</stp>
        <tr r="DG5" s="125"/>
      </tp>
      <tp t="e">
        <v>#N/A</v>
        <stp/>
        <stp>BDS|150258848314157447</stp>
        <tr r="KT5" s="82"/>
      </tp>
      <tp t="e">
        <v>#N/A</v>
        <stp/>
        <stp>BDS|186569278644419024</stp>
        <tr r="NQ5" s="62"/>
      </tp>
      <tp t="e">
        <v>#N/A</v>
        <stp/>
        <stp>BDS|278280202675801196</stp>
        <tr r="FJ5" s="34"/>
      </tp>
      <tp t="e">
        <v>#N/A</v>
        <stp/>
        <stp>BDS|933772345661790464</stp>
        <tr r="IL5" s="90"/>
      </tp>
      <tp t="e">
        <v>#N/A</v>
        <stp/>
        <stp>BDS|318143230775923147</stp>
        <tr r="JA5" s="46"/>
      </tp>
      <tp t="e">
        <v>#N/A</v>
        <stp/>
        <stp>BDS|146384606013627628</stp>
        <tr r="KY5" s="100"/>
      </tp>
      <tp t="e">
        <v>#N/A</v>
        <stp/>
        <stp>BDS|916116554634088677</stp>
        <tr r="KY5" s="119"/>
      </tp>
      <tp t="e">
        <v>#N/A</v>
        <stp/>
        <stp>BDS|270255466184264686</stp>
        <tr r="MW5" s="40"/>
      </tp>
      <tp t="e">
        <v>#N/A</v>
        <stp/>
        <stp>BDS|518011061513728393</stp>
        <tr r="KJ5" s="66"/>
      </tp>
      <tp t="e">
        <v>#N/A</v>
        <stp/>
        <stp>BDS|198553851834969297</stp>
        <tr r="MM5" s="74"/>
      </tp>
      <tp t="e">
        <v>#N/A</v>
        <stp/>
        <stp>BDS|673441755244027319</stp>
        <tr r="BS5" s="74"/>
      </tp>
      <tp t="e">
        <v>#N/A</v>
        <stp/>
        <stp>BDS|762610225394208676</stp>
        <tr r="NL5" s="17"/>
      </tp>
      <tp t="e">
        <v>#N/A</v>
        <stp/>
        <stp>BDS|717111213716253011</stp>
        <tr r="KJ5" s="2"/>
      </tp>
      <tp t="e">
        <v>#N/A</v>
        <stp/>
        <stp>BDS|374763679817822144</stp>
        <tr r="EP5" s="95"/>
      </tp>
      <tp t="e">
        <v>#N/A</v>
        <stp/>
        <stp>BDS|761798930965803776</stp>
        <tr r="DV5" s="91"/>
      </tp>
      <tp t="e">
        <v>#N/A</v>
        <stp/>
        <stp>BDS|151416806021242351</stp>
        <tr r="HR5" s="116"/>
      </tp>
      <tp t="e">
        <v>#N/A</v>
        <stp/>
        <stp>BDS|301883008689078727</stp>
        <tr r="LD5" s="20"/>
      </tp>
      <tp t="e">
        <v>#N/A</v>
        <stp/>
        <stp>BDS|817278963582921077</stp>
        <tr r="MC5" s="42"/>
      </tp>
      <tp t="e">
        <v>#N/A</v>
        <stp/>
        <stp>BDS|761610412190160167</stp>
        <tr r="EP5" s="75"/>
      </tp>
      <tp t="e">
        <v>#N/A</v>
        <stp/>
        <stp>BDS|585547965307392240</stp>
        <tr r="KJ5" s="48"/>
      </tp>
      <tp t="e">
        <v>#N/A</v>
        <stp/>
        <stp>BDS|655809908371737841</stp>
        <tr r="JU5" s="6"/>
      </tp>
      <tp t="e">
        <v>#N/A</v>
        <stp/>
        <stp>BDS|716612173026043686</stp>
        <tr r="DQ5" s="100"/>
      </tp>
      <tp t="e">
        <v>#N/A</v>
        <stp/>
        <stp>BDS|345976497199931877</stp>
        <tr r="BX5" s="111"/>
      </tp>
      <tp t="e">
        <v>#N/A</v>
        <stp/>
        <stp>BDS|793902993234945536</stp>
        <tr r="OF5" s="97"/>
      </tp>
      <tp t="e">
        <v>#N/A</v>
        <stp/>
        <stp>BDS|797604535076437285</stp>
        <tr r="OF5" s="121"/>
      </tp>
      <tp t="e">
        <v>#N/A</v>
        <stp/>
        <stp>BDS|289675247295336691</stp>
        <tr r="MW5" s="52"/>
      </tp>
      <tp t="e">
        <v>#N/A</v>
        <stp/>
        <stp>BDS|628692065141162035</stp>
        <tr r="KO5" s="67"/>
      </tp>
      <tp t="e">
        <v>#N/A</v>
        <stp/>
        <stp>BDS|414122959246794312</stp>
        <tr r="FE5" s="113"/>
      </tp>
      <tp t="e">
        <v>#N/A</v>
        <stp/>
        <stp>BDS|352697504215436239</stp>
        <tr r="EA5" s="113"/>
      </tp>
      <tp t="e">
        <v>#N/A</v>
        <stp/>
        <stp>BDS|121253449151129654</stp>
        <tr r="GD5" s="99"/>
      </tp>
      <tp t="e">
        <v>#N/A</v>
        <stp/>
        <stp>BDS|887877580563462213</stp>
        <tr r="FT5" s="108"/>
      </tp>
      <tp t="e">
        <v>#N/A</v>
        <stp/>
        <stp>BDS|859249963331470406</stp>
        <tr r="DL5" s="2"/>
      </tp>
      <tp t="e">
        <v>#N/A</v>
        <stp/>
        <stp>BDS|134873648329862429</stp>
        <tr r="GN5" s="17"/>
      </tp>
      <tp t="e">
        <v>#N/A</v>
        <stp/>
        <stp>BDS|833097553337753313</stp>
        <tr r="NB5" s="66"/>
      </tp>
      <tp t="e">
        <v>#N/A</v>
        <stp/>
        <stp>BDS|900034927912115192</stp>
        <tr r="U5" s="36"/>
      </tp>
      <tp t="e">
        <v>#N/A</v>
        <stp/>
        <stp>BDS|233666337002621608</stp>
        <tr r="GD5" s="98"/>
      </tp>
      <tp t="e">
        <v>#N/A</v>
        <stp/>
        <stp>BDS|733469825615311204</stp>
        <tr r="NL5" s="16"/>
      </tp>
      <tp t="e">
        <v>#N/A</v>
        <stp/>
        <stp>BDS|669962234548230310</stp>
        <tr r="LD5" s="31"/>
      </tp>
      <tp t="e">
        <v>#N/A</v>
        <stp/>
        <stp>BDS|110758606686110030</stp>
        <tr r="IV5" s="104"/>
      </tp>
      <tp t="e">
        <v>#N/A</v>
        <stp/>
        <stp>BDS|149282808667448453</stp>
        <tr r="EP5" s="113"/>
      </tp>
      <tp t="e">
        <v>#N/A</v>
        <stp/>
        <stp>BDS|645452264250196372</stp>
        <tr r="EP5" s="111"/>
      </tp>
      <tp t="e">
        <v>#N/A</v>
        <stp/>
        <stp>BDS|275151502514699414</stp>
        <tr r="NV5" s="58"/>
      </tp>
      <tp t="e">
        <v>#N/A</v>
        <stp/>
        <stp>BDS|685185774876972111</stp>
        <tr r="KY5" s="106"/>
      </tp>
      <tp t="e">
        <v>#N/A</v>
        <stp/>
        <stp>BDS|283105220237783577</stp>
        <tr r="IG5" s="87"/>
      </tp>
      <tp t="e">
        <v>#N/A</v>
        <stp/>
        <stp>BDS|483249912916380429</stp>
        <tr r="NL5" s="114"/>
      </tp>
      <tp t="e">
        <v>#N/A</v>
        <stp/>
        <stp>BDS|936544371282853088</stp>
        <tr r="GD5" s="23"/>
      </tp>
      <tp t="e">
        <v>#N/A</v>
        <stp/>
        <stp>BDS|591067528536685408</stp>
        <tr r="IB5" s="14"/>
      </tp>
      <tp t="e">
        <v>#N/A</v>
        <stp/>
        <stp>BDS|768766254062981015</stp>
        <tr r="CM5" s="124"/>
      </tp>
      <tp t="e">
        <v>#N/A</v>
        <stp/>
        <stp>BDS|813345880608872394</stp>
        <tr r="AT5" s="114"/>
      </tp>
      <tp t="e">
        <v>#N/A</v>
        <stp/>
        <stp>BDS|762376931792936255</stp>
        <tr r="GI5" s="90"/>
      </tp>
      <tp t="e">
        <v>#N/A</v>
        <stp/>
        <stp>BDS|290633163986449681</stp>
        <tr r="HH5" s="108"/>
      </tp>
      <tp t="e">
        <v>#N/A</v>
        <stp/>
        <stp>BDS|781503742222355388</stp>
        <tr r="NG5" s="109"/>
      </tp>
      <tp t="e">
        <v>#N/A</v>
        <stp/>
        <stp>BDS|486395432619810980</stp>
        <tr r="IB5" s="25"/>
      </tp>
      <tp t="e">
        <v>#N/A</v>
        <stp/>
        <stp>BDS|381495864100250235</stp>
        <tr r="U5" s="16"/>
      </tp>
      <tp t="e">
        <v>#N/A</v>
        <stp/>
        <stp>BDS|101909398421787119</stp>
        <tr r="NV5" s="1"/>
      </tp>
      <tp t="e">
        <v>#N/A</v>
        <stp/>
        <stp>BDS|569370818017637534</stp>
        <tr r="DL5" s="55"/>
      </tp>
      <tp t="e">
        <v>#N/A</v>
        <stp/>
        <stp>BDS|308979086222872322</stp>
        <tr r="BD5" s="56"/>
      </tp>
      <tp t="e">
        <v>#N/A</v>
        <stp/>
        <stp>BDS|422665119522070530</stp>
        <tr r="K5" s="52"/>
      </tp>
      <tp t="e">
        <v>#N/A</v>
        <stp/>
        <stp>BDS|373669097119333687</stp>
        <tr r="NL5" s="20"/>
      </tp>
      <tp t="e">
        <v>#N/A</v>
        <stp/>
        <stp>BDS|716310870782930662</stp>
        <tr r="KJ5" s="108"/>
      </tp>
      <tp t="e">
        <v>#N/A</v>
        <stp/>
        <stp>BDS|193884356389129478</stp>
        <tr r="NQ5" s="77"/>
      </tp>
      <tp t="e">
        <v>#N/A</v>
        <stp/>
        <stp>BDS|169281028316962628</stp>
        <tr r="DV5" s="87"/>
      </tp>
      <tp t="e">
        <v>#N/A</v>
        <stp/>
        <stp>BDS|822608696057317874</stp>
        <tr r="NB5" s="72"/>
      </tp>
      <tp t="e">
        <v>#N/A</v>
        <stp/>
        <stp>BDS|673695278306970740</stp>
        <tr r="MW5" s="42"/>
      </tp>
      <tp t="e">
        <v>#N/A</v>
        <stp/>
        <stp>BDS|980247773524295178</stp>
        <tr r="JZ5" s="123"/>
      </tp>
      <tp t="e">
        <v>#N/A</v>
        <stp/>
        <stp>BDS|956533480849382424</stp>
        <tr r="KJ5" s="125"/>
      </tp>
      <tp t="e">
        <v>#N/A</v>
        <stp/>
        <stp>BDS|485274713514375771</stp>
        <tr r="AJ5" s="116"/>
      </tp>
      <tp t="e">
        <v>#N/A</v>
        <stp/>
        <stp>BDS|663063843622004675</stp>
        <tr r="AY5" s="69"/>
      </tp>
      <tp t="e">
        <v>#N/A</v>
        <stp/>
        <stp>BDS|777625147620376257</stp>
        <tr r="LN5" s="92"/>
      </tp>
      <tp t="e">
        <v>#N/A</v>
        <stp/>
        <stp>BDS|770674206893503568</stp>
        <tr r="NB5" s="19"/>
      </tp>
      <tp t="e">
        <v>#N/A</v>
        <stp/>
        <stp>BDS|620211522462147210</stp>
        <tr r="HR5" s="17"/>
      </tp>
      <tp t="e">
        <v>#N/A</v>
        <stp/>
        <stp>BDS|199489240851490187</stp>
        <tr r="LI5" s="20"/>
      </tp>
      <tp t="e">
        <v>#N/A</v>
        <stp/>
        <stp>BDS|864745248581157204</stp>
        <tr r="MC5" s="118"/>
      </tp>
      <tp t="e">
        <v>#N/A</v>
        <stp/>
        <stp>BDS|763018901941079119</stp>
        <tr r="EP5" s="3"/>
      </tp>
      <tp t="e">
        <v>#N/A</v>
        <stp/>
        <stp>BDS|932792584308142738</stp>
        <tr r="EF5" s="120"/>
      </tp>
      <tp t="e">
        <v>#N/A</v>
        <stp/>
        <stp>BDS|909389730612245257</stp>
        <tr r="MW5" s="108"/>
      </tp>
      <tp t="e">
        <v>#N/A</v>
        <stp/>
        <stp>BDS|280700930514791039</stp>
        <tr r="OF5" s="5"/>
      </tp>
      <tp t="e">
        <v>#N/A</v>
        <stp/>
        <stp>BDS|953381080009550224</stp>
        <tr r="LS5" s="38"/>
      </tp>
      <tp t="e">
        <v>#N/A</v>
        <stp/>
        <stp>BDS|941432358600277175</stp>
        <tr r="AE5" s="20"/>
      </tp>
      <tp t="e">
        <v>#N/A</v>
        <stp/>
        <stp>BDS|448614569125388588</stp>
        <tr r="EZ5" s="102"/>
      </tp>
      <tp t="e">
        <v>#N/A</v>
        <stp/>
        <stp>BDS|867234641934804225</stp>
        <tr r="DB5" s="112"/>
      </tp>
      <tp t="e">
        <v>#N/A</v>
        <stp/>
        <stp>BDS|677803618971696892</stp>
        <tr r="KJ5" s="21"/>
      </tp>
      <tp t="e">
        <v>#N/A</v>
        <stp/>
        <stp>BDS|172852191681398055</stp>
        <tr r="AE5" s="19"/>
      </tp>
      <tp t="e">
        <v>#N/A</v>
        <stp/>
        <stp>BDS|995787475844048473</stp>
        <tr r="FE5" s="31"/>
      </tp>
      <tp t="e">
        <v>#N/A</v>
        <stp/>
        <stp>BDS|216226914257295459</stp>
        <tr r="FO5" s="89"/>
      </tp>
      <tp t="e">
        <v>#N/A</v>
        <stp/>
        <stp>BDS|696879511361550863</stp>
        <tr r="IQ5" s="91"/>
      </tp>
      <tp t="e">
        <v>#N/A</v>
        <stp/>
        <stp>BDS|397386460681421732</stp>
        <tr r="FO5" s="124"/>
      </tp>
      <tp t="e">
        <v>#N/A</v>
        <stp/>
        <stp>BDS|355355757746486387</stp>
        <tr r="DV5" s="56"/>
      </tp>
      <tp t="e">
        <v>#N/A</v>
        <stp/>
        <stp>BDS|243794678541745297</stp>
        <tr r="IQ5" s="67"/>
      </tp>
      <tp t="e">
        <v>#N/A</v>
        <stp/>
        <stp>BDS|955545476570356161</stp>
        <tr r="HR5" s="113"/>
      </tp>
      <tp t="e">
        <v>#N/A</v>
        <stp/>
        <stp>BDS|811180629635546526</stp>
        <tr r="EU5" s="113"/>
      </tp>
      <tp t="e">
        <v>#N/A</v>
        <stp/>
        <stp>BDS|755098385728252316</stp>
        <tr r="JU5" s="29"/>
      </tp>
      <tp t="e">
        <v>#N/A</v>
        <stp/>
        <stp>BDS|475104749835763320</stp>
        <tr r="KY5" s="16"/>
      </tp>
      <tp t="e">
        <v>#N/A</v>
        <stp/>
        <stp>BDS|354695565401586228</stp>
        <tr r="DG5" s="32"/>
      </tp>
      <tp t="e">
        <v>#N/A</v>
        <stp/>
        <stp>BDS|883534822472848698</stp>
        <tr r="EU5" s="19"/>
      </tp>
      <tp t="e">
        <v>#N/A</v>
        <stp/>
        <stp>BDS|382655184124327985</stp>
        <tr r="NV5" s="116"/>
      </tp>
      <tp t="e">
        <v>#N/A</v>
        <stp/>
        <stp>BDS|213260578306415012</stp>
        <tr r="MH5" s="95"/>
      </tp>
      <tp t="e">
        <v>#N/A</v>
        <stp/>
        <stp>BDS|910029967142715709</stp>
        <tr r="HM5" s="6"/>
      </tp>
      <tp t="e">
        <v>#N/A</v>
        <stp/>
        <stp>BDS|595225363743232425</stp>
        <tr r="DL5" s="63"/>
      </tp>
      <tp t="e">
        <v>#N/A</v>
        <stp/>
        <stp>BDS|784643074817518560</stp>
        <tr r="IG5" s="111"/>
      </tp>
      <tp t="e">
        <v>#N/A</v>
        <stp/>
        <stp>BDS|955186977482232700</stp>
        <tr r="KO5" s="124"/>
      </tp>
      <tp t="e">
        <v>#N/A</v>
        <stp/>
        <stp>BDS|644802816118664239</stp>
        <tr r="U5" s="45"/>
      </tp>
      <tp t="e">
        <v>#N/A</v>
        <stp/>
        <stp>BDS|921761678204612741</stp>
        <tr r="IQ5" s="24"/>
      </tp>
      <tp t="e">
        <v>#N/A</v>
        <stp/>
        <stp>BDS|183363931162670166</stp>
        <tr r="OF5" s="79"/>
      </tp>
      <tp t="e">
        <v>#N/A</v>
        <stp/>
        <stp>BDS|911191419786972573</stp>
        <tr r="Z5" s="71"/>
      </tp>
      <tp t="e">
        <v>#N/A</v>
        <stp/>
        <stp>BDS|879723908740659432</stp>
        <tr r="KJ5" s="7"/>
      </tp>
      <tp t="e">
        <v>#N/A</v>
        <stp/>
        <stp>BDS|864505354526869535</stp>
        <tr r="NQ5" s="26"/>
      </tp>
      <tp t="e">
        <v>#N/A</v>
        <stp/>
        <stp>BDS|126132814291497230</stp>
        <tr r="HM5" s="79"/>
      </tp>
      <tp t="e">
        <v>#N/A</v>
        <stp/>
        <stp>BDS|213440161913642232</stp>
        <tr r="BN5" s="48"/>
      </tp>
      <tp t="e">
        <v>#N/A</v>
        <stp/>
        <stp>BDS|812988196816374560</stp>
        <tr r="MH5" s="86"/>
      </tp>
      <tp t="e">
        <v>#N/A</v>
        <stp/>
        <stp>BDS|142437502931072638</stp>
        <tr r="DQ5" s="6"/>
      </tp>
      <tp t="e">
        <v>#N/A</v>
        <stp/>
        <stp>BDS|800017910277279587</stp>
        <tr r="FT5" s="40"/>
      </tp>
      <tp t="e">
        <v>#N/A</v>
        <stp/>
        <stp>BDS|930019755533457452</stp>
        <tr r="EP5" s="24"/>
      </tp>
      <tp t="e">
        <v>#N/A</v>
        <stp/>
        <stp>BDS|513801698200368328</stp>
        <tr r="U5" s="25"/>
      </tp>
      <tp t="e">
        <v>#N/A</v>
        <stp/>
        <stp>BDS|238640227643966540</stp>
        <tr r="JA5" s="85"/>
      </tp>
      <tp t="e">
        <v>#N/A</v>
        <stp/>
        <stp>BDS|321271615149557881</stp>
        <tr r="LS5" s="91"/>
      </tp>
      <tp t="e">
        <v>#N/A</v>
        <stp/>
        <stp>BDS|322494855520745342</stp>
        <tr r="NB5" s="10"/>
      </tp>
      <tp t="e">
        <v>#N/A</v>
        <stp/>
        <stp>BDS|639946295384833624</stp>
        <tr r="FE5" s="58"/>
      </tp>
      <tp t="e">
        <v>#N/A</v>
        <stp/>
        <stp>BDS|820886039100597925</stp>
        <tr r="BS5" s="90"/>
      </tp>
      <tp t="e">
        <v>#N/A</v>
        <stp/>
        <stp>BDS|632482574131568015</stp>
        <tr r="NL5" s="5"/>
      </tp>
      <tp t="e">
        <v>#N/A</v>
        <stp/>
        <stp>BDS|556677346317270782</stp>
        <tr r="IG5" s="58"/>
      </tp>
      <tp t="e">
        <v>#N/A</v>
        <stp/>
        <stp>BDS|527899915702109976</stp>
        <tr r="CH5" s="82"/>
      </tp>
      <tp t="e">
        <v>#N/A</v>
        <stp/>
        <stp>BDS|928534005130980790</stp>
        <tr r="MM5" s="98"/>
      </tp>
      <tp t="e">
        <v>#N/A</v>
        <stp/>
        <stp>BDS|445303833216948417</stp>
        <tr r="F5" s="69"/>
      </tp>
      <tp t="e">
        <v>#N/A</v>
        <stp/>
        <stp>BDS|123284700169692974</stp>
        <tr r="KE5" s="23"/>
      </tp>
      <tp t="e">
        <v>#N/A</v>
        <stp/>
        <stp>BDS|735574341356050596</stp>
        <tr r="LS5" s="105"/>
      </tp>
      <tp t="e">
        <v>#N/A</v>
        <stp/>
        <stp>BDS|478210037707356485</stp>
        <tr r="FT5" s="119"/>
      </tp>
      <tp t="e">
        <v>#N/A</v>
        <stp/>
        <stp>BDS|646151252075933326</stp>
        <tr r="DV5" s="72"/>
      </tp>
      <tp t="e">
        <v>#N/A</v>
        <stp/>
        <stp>BDS|187029545691852747</stp>
        <tr r="F5" s="41"/>
      </tp>
      <tp t="e">
        <v>#N/A</v>
        <stp/>
        <stp>BDS|217403417660974775</stp>
        <tr r="CH5" s="28"/>
      </tp>
      <tp t="e">
        <v>#N/A</v>
        <stp/>
        <stp>BDS|285054953062214525</stp>
        <tr r="Z5" s="79"/>
      </tp>
      <tp t="e">
        <v>#N/A</v>
        <stp/>
        <stp>BDS|667600634202454509</stp>
        <tr r="MH5" s="42"/>
      </tp>
      <tp t="e">
        <v>#N/A</v>
        <stp/>
        <stp>BDS|914484304500725641</stp>
        <tr r="LX5" s="70"/>
      </tp>
      <tp t="e">
        <v>#N/A</v>
        <stp/>
        <stp>BDS|831166361117111283</stp>
        <tr r="IV5" s="50"/>
      </tp>
      <tp t="e">
        <v>#N/A</v>
        <stp/>
        <stp>BDS|200755243749190820</stp>
        <tr r="KY5" s="37"/>
      </tp>
      <tp t="e">
        <v>#N/A</v>
        <stp/>
        <stp>BDS|424624524184588209</stp>
        <tr r="DL5" s="31"/>
      </tp>
      <tp t="e">
        <v>#N/A</v>
        <stp/>
        <stp>BDS|311316473165563334</stp>
        <tr r="P5" s="79"/>
      </tp>
      <tp t="e">
        <v>#N/A</v>
        <stp/>
        <stp>BDS|950289604887471710</stp>
        <tr r="AE5" s="83"/>
      </tp>
      <tp t="e">
        <v>#N/A</v>
        <stp/>
        <stp>BDS|550754933406428073</stp>
        <tr r="LX5" s="112"/>
      </tp>
      <tp t="e">
        <v>#N/A</v>
        <stp/>
        <stp>BDS|376597772196077683</stp>
        <tr r="AO5" s="42"/>
      </tp>
      <tp t="e">
        <v>#N/A</v>
        <stp/>
        <stp>BDS|807323487229920058</stp>
        <tr r="LX5" s="15"/>
      </tp>
      <tp t="e">
        <v>#N/A</v>
        <stp/>
        <stp>BDS|458326541554650102</stp>
        <tr r="KT5" s="4"/>
      </tp>
      <tp t="e">
        <v>#N/A</v>
        <stp/>
        <stp>BDS|540416963735698509</stp>
        <tr r="KE5" s="123"/>
      </tp>
      <tp t="e">
        <v>#N/A</v>
        <stp/>
        <stp>BDS|134114152433342531</stp>
        <tr r="HR5" s="40"/>
      </tp>
      <tp t="e">
        <v>#N/A</v>
        <stp/>
        <stp>BDS|144819953065637593</stp>
        <tr r="CW5" s="23"/>
      </tp>
      <tp t="e">
        <v>#N/A</v>
        <stp/>
        <stp>BDS|977821576972030004</stp>
        <tr r="FE5" s="108"/>
      </tp>
      <tp t="e">
        <v>#N/A</v>
        <stp/>
        <stp>BDS|834803669800803371</stp>
        <tr r="Z5" s="122"/>
      </tp>
      <tp t="e">
        <v>#N/A</v>
        <stp/>
        <stp>BDS|319155995805838052</stp>
        <tr r="AT5" s="56"/>
      </tp>
      <tp t="e">
        <v>#N/A</v>
        <stp/>
        <stp>BDS|710863326522980511</stp>
        <tr r="Z5" s="69"/>
      </tp>
      <tp t="e">
        <v>#N/A</v>
        <stp/>
        <stp>BDS|692186196474656168</stp>
        <tr r="CC5" s="87"/>
      </tp>
      <tp t="e">
        <v>#N/A</v>
        <stp/>
        <stp>BDS|103959059641036059</stp>
        <tr r="EK5" s="19"/>
      </tp>
      <tp t="e">
        <v>#N/A</v>
        <stp/>
        <stp>BDS|192669099340037274</stp>
        <tr r="IG5" s="102"/>
      </tp>
      <tp t="e">
        <v>#N/A</v>
        <stp/>
        <stp>BDS|657936477357240490</stp>
        <tr r="CH5" s="7"/>
      </tp>
      <tp t="e">
        <v>#N/A</v>
        <stp/>
        <stp>BDS|114431520778055383</stp>
        <tr r="EU5" s="73"/>
      </tp>
      <tp t="e">
        <v>#N/A</v>
        <stp/>
        <stp>BDS|731377632654862903</stp>
        <tr r="JA5" s="114"/>
      </tp>
      <tp t="e">
        <v>#N/A</v>
        <stp/>
        <stp>BDS|885446186081092013</stp>
        <tr r="GN5" s="50"/>
      </tp>
      <tp t="e">
        <v>#N/A</v>
        <stp/>
        <stp>BDS|209861855732523227</stp>
        <tr r="DL5" s="23"/>
      </tp>
      <tp t="e">
        <v>#N/A</v>
        <stp/>
        <stp>BDS|169519088700796094</stp>
        <tr r="CC5" s="18"/>
      </tp>
      <tp t="e">
        <v>#N/A</v>
        <stp/>
        <stp>BDS|647925875581328243</stp>
        <tr r="JF5" s="84"/>
      </tp>
      <tp t="e">
        <v>#N/A</v>
        <stp/>
        <stp>BDS|848475501748008197</stp>
        <tr r="GS5" s="84"/>
      </tp>
      <tp t="e">
        <v>#N/A</v>
        <stp/>
        <stp>BDS|620171241848851097</stp>
        <tr r="AO5" s="94"/>
      </tp>
      <tp t="e">
        <v>#N/A</v>
        <stp/>
        <stp>BDS|981553153924812961</stp>
        <tr r="KO5" s="65"/>
      </tp>
      <tp t="e">
        <v>#N/A</v>
        <stp/>
        <stp>BDS|245954555536778747</stp>
        <tr r="NG5" s="16"/>
      </tp>
      <tp t="e">
        <v>#N/A</v>
        <stp/>
        <stp>BDS|735472155479291552</stp>
        <tr r="LD5" s="6"/>
      </tp>
      <tp t="e">
        <v>#N/A</v>
        <stp/>
        <stp>BDS|434812316711669575</stp>
        <tr r="A5" s="59"/>
      </tp>
      <tp t="e">
        <v>#N/A</v>
        <stp/>
        <stp>BDS|956946236194158398</stp>
        <tr r="BD5" s="81"/>
      </tp>
      <tp t="e">
        <v>#N/A</v>
        <stp/>
        <stp>BDS|417600945876438969</stp>
        <tr r="K5" s="6"/>
      </tp>
      <tp t="e">
        <v>#N/A</v>
        <stp/>
        <stp>BDS|633851439666903003</stp>
        <tr r="AY5" s="115"/>
      </tp>
      <tp t="e">
        <v>#N/A</v>
        <stp/>
        <stp>BDS|858919936706443073</stp>
        <tr r="JF5" s="4"/>
      </tp>
      <tp t="e">
        <v>#N/A</v>
        <stp/>
        <stp>BDS|551281782257256103</stp>
        <tr r="HC5" s="21"/>
      </tp>
      <tp t="e">
        <v>#N/A</v>
        <stp/>
        <stp>BDS|281017028809740730</stp>
        <tr r="IG5" s="53"/>
      </tp>
      <tp t="e">
        <v>#N/A</v>
        <stp/>
        <stp>BDS|941529072988529644</stp>
        <tr r="OA5" s="66"/>
      </tp>
      <tp t="e">
        <v>#N/A</v>
        <stp/>
        <stp>BDS|561244294092914544</stp>
        <tr r="EA5" s="75"/>
      </tp>
      <tp t="e">
        <v>#N/A</v>
        <stp/>
        <stp>BDS|609599613378003054</stp>
        <tr r="MR5" s="93"/>
      </tp>
      <tp t="e">
        <v>#N/A</v>
        <stp/>
        <stp>BDS|749065958830671950</stp>
        <tr r="DV5" s="80"/>
      </tp>
      <tp t="e">
        <v>#N/A</v>
        <stp/>
        <stp>BDS|814145084965280014</stp>
        <tr r="GX5" s="75"/>
      </tp>
      <tp t="e">
        <v>#N/A</v>
        <stp/>
        <stp>BDS|390825569594792644</stp>
        <tr r="DV5" s="10"/>
      </tp>
      <tp t="e">
        <v>#N/A</v>
        <stp/>
        <stp>BDS|299043032707409843</stp>
        <tr r="GX5" s="53"/>
      </tp>
      <tp t="e">
        <v>#N/A</v>
        <stp/>
        <stp>BDS|448613264119330562</stp>
        <tr r="BS5" s="80"/>
      </tp>
      <tp t="e">
        <v>#N/A</v>
        <stp/>
        <stp>BDS|954810368327375575</stp>
        <tr r="CW5" s="28"/>
      </tp>
      <tp t="e">
        <v>#N/A</v>
        <stp/>
        <stp>BDS|525455355678620576</stp>
        <tr r="KY5" s="14"/>
      </tp>
      <tp t="e">
        <v>#N/A</v>
        <stp/>
        <stp>BDS|176145023336412945</stp>
        <tr r="KT5" s="44"/>
      </tp>
      <tp t="e">
        <v>#N/A</v>
        <stp/>
        <stp>BDS|298834667701070317</stp>
        <tr r="DG5" s="37"/>
      </tp>
      <tp t="e">
        <v>#N/A</v>
        <stp/>
        <stp>BDS|127908878203797192</stp>
        <tr r="HM5" s="52"/>
      </tp>
      <tp t="e">
        <v>#N/A</v>
        <stp/>
        <stp>BDS|942506099831284153</stp>
        <tr r="JZ5" s="23"/>
      </tp>
      <tp t="e">
        <v>#N/A</v>
        <stp/>
        <stp>BDS|187456011540628935</stp>
        <tr r="Z5" s="60"/>
      </tp>
      <tp t="e">
        <v>#N/A</v>
        <stp/>
        <stp>BDS|698531931928541212</stp>
        <tr r="LS5" s="12"/>
      </tp>
      <tp t="e">
        <v>#N/A</v>
        <stp/>
        <stp>BDS|703980834032810423</stp>
        <tr r="IB5" s="115"/>
      </tp>
      <tp t="e">
        <v>#N/A</v>
        <stp/>
        <stp>BDS|395254221054477814</stp>
        <tr r="DB5" s="125"/>
      </tp>
      <tp t="e">
        <v>#N/A</v>
        <stp/>
        <stp>BDS|864359956878946201</stp>
        <tr r="HR5" s="81"/>
      </tp>
      <tp t="e">
        <v>#N/A</v>
        <stp/>
        <stp>BDS|230750535608314030</stp>
        <tr r="DB5" s="55"/>
      </tp>
      <tp t="e">
        <v>#N/A</v>
        <stp/>
        <stp>BDS|375953326507713048</stp>
        <tr r="MW5" s="125"/>
      </tp>
      <tp t="e">
        <v>#N/A</v>
        <stp/>
        <stp>BDS|103129203526431884</stp>
        <tr r="KO5" s="59"/>
      </tp>
      <tp t="e">
        <v>#N/A</v>
        <stp/>
        <stp>BDS|787455021471613894</stp>
        <tr r="KJ5" s="33"/>
      </tp>
      <tp t="e">
        <v>#N/A</v>
        <stp/>
        <stp>BDS|732013869249409071</stp>
        <tr r="IB5" s="41"/>
      </tp>
      <tp t="e">
        <v>#N/A</v>
        <stp/>
        <stp>BDS|187847239081021509</stp>
        <tr r="HM5" s="115"/>
      </tp>
      <tp t="e">
        <v>#N/A</v>
        <stp/>
        <stp>BDS|101506189696181471</stp>
        <tr r="HM5" s="86"/>
      </tp>
      <tp t="e">
        <v>#N/A</v>
        <stp/>
        <stp>BDS|738859260964937553</stp>
        <tr r="DG5" s="13"/>
      </tp>
      <tp t="e">
        <v>#N/A</v>
        <stp/>
        <stp>BDS|897603494377074757</stp>
        <tr r="BS5" s="76"/>
      </tp>
      <tp t="e">
        <v>#N/A</v>
        <stp/>
        <stp>BDS|248953469998650812</stp>
        <tr r="LS5" s="31"/>
      </tp>
      <tp t="e">
        <v>#N/A</v>
        <stp/>
        <stp>BDS|653857818734131202</stp>
        <tr r="AT5" s="92"/>
      </tp>
      <tp t="e">
        <v>#N/A</v>
        <stp/>
        <stp>BDS|201269598093070775</stp>
        <tr r="BX5" s="36"/>
      </tp>
      <tp t="e">
        <v>#N/A</v>
        <stp/>
        <stp>BDS|493290383583563604</stp>
        <tr r="F5" s="104"/>
      </tp>
      <tp t="e">
        <v>#N/A</v>
        <stp/>
        <stp>BDS|334684666599369652</stp>
        <tr r="NV5" s="62"/>
      </tp>
      <tp t="e">
        <v>#N/A</v>
        <stp/>
        <stp>BDS|361162874059786020</stp>
        <tr r="MM5" s="3"/>
      </tp>
      <tp t="e">
        <v>#N/A</v>
        <stp/>
        <stp>BDS|206169582374493261</stp>
        <tr r="FE5" s="70"/>
      </tp>
      <tp t="e">
        <v>#N/A</v>
        <stp/>
        <stp>BDS|328924002980185673</stp>
        <tr r="MW5" s="29"/>
      </tp>
      <tp t="e">
        <v>#N/A</v>
        <stp/>
        <stp>BDS|404205944640211959</stp>
        <tr r="LS5" s="118"/>
      </tp>
      <tp t="e">
        <v>#N/A</v>
        <stp/>
        <stp>BDS|426137322089251569</stp>
        <tr r="NL5" s="59"/>
      </tp>
      <tp t="e">
        <v>#N/A</v>
        <stp/>
        <stp>BDS|837415465904937945</stp>
        <tr r="FE5" s="90"/>
      </tp>
      <tp t="e">
        <v>#N/A</v>
        <stp/>
        <stp>BDS|823236381690950522</stp>
        <tr r="KT5" s="76"/>
      </tp>
      <tp t="e">
        <v>#N/A</v>
        <stp/>
        <stp>BDS|268948832354741110</stp>
        <tr r="EK5" s="79"/>
      </tp>
      <tp t="e">
        <v>#N/A</v>
        <stp/>
        <stp>BDS|825777409240728833</stp>
        <tr r="IV5" s="84"/>
      </tp>
      <tp t="e">
        <v>#N/A</v>
        <stp/>
        <stp>BDS|394117635035351877</stp>
        <tr r="MH5" s="90"/>
      </tp>
      <tp t="e">
        <v>#N/A</v>
        <stp/>
        <stp>BDS|803195706787508913</stp>
        <tr r="HC5" s="60"/>
      </tp>
      <tp t="e">
        <v>#N/A</v>
        <stp/>
        <stp>BDS|275784607490826862</stp>
        <tr r="NG5" s="8"/>
      </tp>
      <tp t="e">
        <v>#N/A</v>
        <stp/>
        <stp>BDS|304671465409198638</stp>
        <tr r="MW5" s="31"/>
      </tp>
      <tp t="e">
        <v>#N/A</v>
        <stp/>
        <stp>BDS|826676295627207658</stp>
        <tr r="KT5" s="70"/>
        <tr r="IL5" s="66"/>
      </tp>
      <tp t="e">
        <v>#N/A</v>
        <stp/>
        <stp>BDS|438225222197808918</stp>
        <tr r="GS5" s="16"/>
      </tp>
      <tp t="e">
        <v>#N/A</v>
        <stp/>
        <stp>BDS|160450699496248527</stp>
        <tr r="LN5" s="109"/>
      </tp>
      <tp t="e">
        <v>#N/A</v>
        <stp/>
        <stp>BDS|911935678856838645</stp>
        <tr r="NB5" s="68"/>
      </tp>
      <tp t="e">
        <v>#N/A</v>
        <stp/>
        <stp>BDS|112899378002618387</stp>
        <tr r="BX5" s="123"/>
      </tp>
      <tp t="e">
        <v>#N/A</v>
        <stp/>
        <stp>BDS|140933983086132989</stp>
        <tr r="LN5" s="8"/>
      </tp>
      <tp t="e">
        <v>#N/A</v>
        <stp/>
        <stp>BDS|248295165458440233</stp>
        <tr r="AO5" s="13"/>
      </tp>
      <tp t="e">
        <v>#N/A</v>
        <stp/>
        <stp>BDS|286995024867791223</stp>
        <tr r="BI5" s="22"/>
      </tp>
      <tp t="e">
        <v>#N/A</v>
        <stp/>
        <stp>BDS|932648191773664209</stp>
        <tr r="JP5" s="44"/>
      </tp>
      <tp t="e">
        <v>#N/A</v>
        <stp/>
        <stp>BDS|136496811358654356</stp>
        <tr r="BN5" s="26"/>
      </tp>
      <tp t="e">
        <v>#N/A</v>
        <stp/>
        <stp>BDS|593908458456541437</stp>
        <tr r="EA5" s="38"/>
      </tp>
      <tp t="e">
        <v>#N/A</v>
        <stp/>
        <stp>BDS|508570508759917282</stp>
        <tr r="EZ5" s="70"/>
      </tp>
      <tp t="e">
        <v>#N/A</v>
        <stp/>
        <stp>BDS|442710130052452856</stp>
        <tr r="JP5" s="38"/>
      </tp>
      <tp t="e">
        <v>#N/A</v>
        <stp/>
        <stp>BDS|642346587644039108</stp>
        <tr r="IB5" s="56"/>
      </tp>
      <tp t="e">
        <v>#N/A</v>
        <stp/>
        <stp>BDS|166795409060639926</stp>
        <tr r="FO5" s="45"/>
      </tp>
      <tp t="e">
        <v>#N/A</v>
        <stp/>
        <stp>BDS|381583648646637935</stp>
        <tr r="KE5" s="104"/>
      </tp>
      <tp t="e">
        <v>#N/A</v>
        <stp/>
        <stp>BDS|570861254186879598</stp>
        <tr r="FO5" s="13"/>
      </tp>
      <tp t="e">
        <v>#N/A</v>
        <stp/>
        <stp>BDS|230351788124971101</stp>
        <tr r="FO5" s="12"/>
      </tp>
      <tp t="e">
        <v>#N/A</v>
        <stp/>
        <stp>BDS|771372063878154355</stp>
        <tr r="BN5" s="33"/>
      </tp>
      <tp t="e">
        <v>#N/A</v>
        <stp/>
        <stp>BDS|760972433452618621</stp>
        <tr r="NQ5" s="82"/>
      </tp>
      <tp t="e">
        <v>#N/A</v>
        <stp/>
        <stp>BDS|198924045604026764</stp>
        <tr r="DV5" s="71"/>
      </tp>
      <tp t="e">
        <v>#N/A</v>
        <stp/>
        <stp>BDS|553814714310273724</stp>
        <tr r="FT5" s="120"/>
      </tp>
      <tp t="e">
        <v>#N/A</v>
        <stp/>
        <stp>BDS|771894265858253884</stp>
        <tr r="HW5" s="46"/>
      </tp>
      <tp t="e">
        <v>#N/A</v>
        <stp/>
        <stp>BDS|802461043948511692</stp>
        <tr r="KT5" s="75"/>
      </tp>
      <tp t="e">
        <v>#N/A</v>
        <stp/>
        <stp>BDS|427996046656206581</stp>
        <tr r="FT5" s="92"/>
      </tp>
      <tp t="e">
        <v>#N/A</v>
        <stp/>
        <stp>BDS|368373914818540471</stp>
        <tr r="CW5" s="58"/>
      </tp>
      <tp t="e">
        <v>#N/A</v>
        <stp/>
        <stp>BDS|149469676709309409</stp>
        <tr r="MR5" s="78"/>
      </tp>
      <tp t="e">
        <v>#N/A</v>
        <stp/>
        <stp>BDS|252253249291957956</stp>
        <tr r="NL5" s="51"/>
      </tp>
      <tp t="e">
        <v>#N/A</v>
        <stp/>
        <stp>BDS|132683831392202998</stp>
        <tr r="NQ5" s="51"/>
      </tp>
      <tp t="e">
        <v>#N/A</v>
        <stp/>
        <stp>BDS|799348022157422867</stp>
        <tr r="U5" s="78"/>
      </tp>
      <tp t="e">
        <v>#N/A</v>
        <stp/>
        <stp>BDS|434044968738054768</stp>
        <tr r="JZ5" s="115"/>
      </tp>
      <tp t="e">
        <v>#N/A</v>
        <stp/>
        <stp>BDS|902963756995316055</stp>
        <tr r="JZ5" s="118"/>
      </tp>
      <tp t="e">
        <v>#N/A</v>
        <stp/>
        <stp>BDS|818862440660918583</stp>
        <tr r="JU5" s="117"/>
      </tp>
      <tp t="e">
        <v>#N/A</v>
        <stp/>
        <stp>BDS|362076604829961012</stp>
        <tr r="U5" s="37"/>
      </tp>
      <tp t="e">
        <v>#N/A</v>
        <stp/>
        <stp>BDS|377446499872147670</stp>
        <tr r="OA5" s="118"/>
      </tp>
      <tp t="e">
        <v>#N/A</v>
        <stp/>
        <stp>BDS|199488649928939101</stp>
        <tr r="JU5" s="18"/>
      </tp>
      <tp t="e">
        <v>#N/A</v>
        <stp/>
        <stp>BDS|441536208974207842</stp>
        <tr r="BI5" s="103"/>
      </tp>
      <tp t="e">
        <v>#N/A</v>
        <stp/>
        <stp>BDS|924027784401559005</stp>
        <tr r="LN5" s="122"/>
      </tp>
      <tp t="e">
        <v>#N/A</v>
        <stp/>
        <stp>BDS|286984430327663471</stp>
        <tr r="OA5" s="5"/>
      </tp>
      <tp t="e">
        <v>#N/A</v>
        <stp/>
        <stp>BDS|960345636150035903</stp>
        <tr r="DG5" s="71"/>
      </tp>
      <tp t="e">
        <v>#N/A</v>
        <stp/>
        <stp>BDS|195563160628453273</stp>
        <tr r="GS5" s="9"/>
      </tp>
      <tp t="e">
        <v>#N/A</v>
        <stp/>
        <stp>BDS|805238781622645188</stp>
        <tr r="JF5" s="82"/>
      </tp>
      <tp t="e">
        <v>#N/A</v>
        <stp/>
        <stp>BDS|277028411209531109</stp>
        <tr r="AE5" s="82"/>
      </tp>
      <tp t="e">
        <v>#N/A</v>
        <stp/>
        <stp>BDS|185419407845517876</stp>
        <tr r="MR5" s="25"/>
      </tp>
      <tp t="e">
        <v>#N/A</v>
        <stp/>
        <stp>BDS|666759702076169854</stp>
        <tr r="GX5" s="67"/>
      </tp>
      <tp t="e">
        <v>#N/A</v>
        <stp/>
        <stp>BDS|512656115326636865</stp>
        <tr r="IL5" s="14"/>
      </tp>
      <tp t="e">
        <v>#N/A</v>
        <stp/>
        <stp>BDS|483427833429636753</stp>
        <tr r="LN5" s="91"/>
      </tp>
      <tp t="e">
        <v>#N/A</v>
        <stp/>
        <stp>BDS|832079376588820671</stp>
        <tr r="LN5" s="78"/>
      </tp>
      <tp t="e">
        <v>#N/A</v>
        <stp/>
        <stp>BDS|782200780645385624</stp>
        <tr r="DV5" s="8"/>
      </tp>
      <tp t="e">
        <v>#N/A</v>
        <stp/>
        <stp>BDS|485940953004030158</stp>
        <tr r="LN5" s="88"/>
      </tp>
      <tp t="e">
        <v>#N/A</v>
        <stp/>
        <stp>BDS|283807091079759134</stp>
        <tr r="U5" s="77"/>
      </tp>
      <tp t="e">
        <v>#N/A</v>
        <stp/>
        <stp>BDS|117589687990169488</stp>
        <tr r="DB5" s="22"/>
      </tp>
      <tp t="e">
        <v>#N/A</v>
        <stp/>
        <stp>BDS|976038161136852949</stp>
        <tr r="MC5" s="120"/>
      </tp>
      <tp t="e">
        <v>#N/A</v>
        <stp/>
        <stp>BDS|215911685069506132</stp>
        <tr r="JZ5" s="57"/>
      </tp>
      <tp t="e">
        <v>#N/A</v>
        <stp/>
        <stp>BDS|503360687261395364</stp>
        <tr r="LI5" s="103"/>
      </tp>
      <tp t="e">
        <v>#N/A</v>
        <stp/>
        <stp>BDS|828859364754242395</stp>
        <tr r="HM5" s="116"/>
      </tp>
      <tp t="e">
        <v>#N/A</v>
        <stp/>
        <stp>BDS|448288593895842748</stp>
        <tr r="EP5" s="6"/>
      </tp>
      <tp t="e">
        <v>#N/A</v>
        <stp/>
        <stp>BDS|204392523360359886</stp>
        <tr r="U5" s="55"/>
      </tp>
      <tp t="e">
        <v>#N/A</v>
        <stp/>
        <stp>BDS|587620065140713890</stp>
        <tr r="EP5" s="46"/>
      </tp>
      <tp t="e">
        <v>#N/A</v>
        <stp/>
        <stp>BDS|609962218689489905</stp>
        <tr r="LD5" s="24"/>
      </tp>
      <tp t="e">
        <v>#N/A</v>
        <stp/>
        <stp>BDS|348185345808038503</stp>
        <tr r="NQ5" s="73"/>
      </tp>
      <tp t="e">
        <v>#N/A</v>
        <stp/>
        <stp>BDS|786581809969812403</stp>
        <tr r="DQ5" s="25"/>
      </tp>
      <tp t="e">
        <v>#N/A</v>
        <stp/>
        <stp>BDS|538551218664400821</stp>
        <tr r="OF5" s="109"/>
      </tp>
      <tp t="e">
        <v>#N/A</v>
        <stp/>
        <stp>BDS|677584610515839999</stp>
        <tr r="OA5" s="6"/>
      </tp>
      <tp t="e">
        <v>#N/A</v>
        <stp/>
        <stp>BDS|920967600397143611</stp>
        <tr r="EZ5" s="25"/>
      </tp>
      <tp t="e">
        <v>#N/A</v>
        <stp/>
        <stp>BDS|802083461278986611</stp>
        <tr r="NG5" s="107"/>
      </tp>
      <tp t="e">
        <v>#N/A</v>
        <stp/>
        <stp>BDS|516348109119044211</stp>
        <tr r="HW5" s="76"/>
      </tp>
      <tp t="e">
        <v>#N/A</v>
        <stp/>
        <stp>BDS|544914758343134740</stp>
        <tr r="EK5" s="86"/>
      </tp>
      <tp t="e">
        <v>#N/A</v>
        <stp/>
        <stp>BDS|581257599862025105</stp>
        <tr r="OA5" s="88"/>
      </tp>
      <tp t="e">
        <v>#N/A</v>
        <stp/>
        <stp>BDS|148797854699306356</stp>
        <tr r="BD5" s="96"/>
      </tp>
      <tp t="e">
        <v>#N/A</v>
        <stp/>
        <stp>BDS|907131181054936584</stp>
        <tr r="BN5" s="5"/>
      </tp>
      <tp t="e">
        <v>#N/A</v>
        <stp/>
        <stp>BDS|453191877406464859</stp>
        <tr r="HR5" s="99"/>
      </tp>
      <tp t="e">
        <v>#N/A</v>
        <stp/>
        <stp>BDS|285093963777088939</stp>
        <tr r="FE5" s="25"/>
      </tp>
      <tp t="e">
        <v>#N/A</v>
        <stp/>
        <stp>BDS|427383860088267555</stp>
        <tr r="KE5" s="78"/>
      </tp>
      <tp t="e">
        <v>#N/A</v>
        <stp/>
        <stp>BDS|515431303159555546</stp>
        <tr r="JA5" s="116"/>
      </tp>
      <tp t="e">
        <v>#N/A</v>
        <stp/>
        <stp>BDS|749872504087460750</stp>
        <tr r="JF5" s="101"/>
      </tp>
      <tp t="e">
        <v>#N/A</v>
        <stp/>
        <stp>BDS|994985414220586050</stp>
        <tr r="F5" s="19"/>
      </tp>
      <tp t="e">
        <v>#N/A</v>
        <stp/>
        <stp>BDS|219079286427654733</stp>
        <tr r="CC5" s="73"/>
      </tp>
      <tp t="e">
        <v>#N/A</v>
        <stp/>
        <stp>BDS|566354014332692844</stp>
        <tr r="EF5" s="5"/>
      </tp>
      <tp t="e">
        <v>#N/A</v>
        <stp/>
        <stp>BDS|212062660566402879</stp>
        <tr r="NG5" s="101"/>
      </tp>
      <tp t="e">
        <v>#N/A</v>
        <stp/>
        <stp>BDS|795974626505883692</stp>
        <tr r="GI5" s="54"/>
      </tp>
      <tp t="e">
        <v>#N/A</v>
        <stp/>
        <stp>BDS|524876215740775174</stp>
        <tr r="JU5" s="17"/>
      </tp>
      <tp t="e">
        <v>#N/A</v>
        <stp/>
        <stp>BDS|657646324499934585</stp>
        <tr r="CM5" s="14"/>
      </tp>
      <tp t="e">
        <v>#N/A</v>
        <stp/>
        <stp>BDS|848464789780007479</stp>
        <tr r="CR5" s="19"/>
      </tp>
      <tp t="e">
        <v>#N/A</v>
        <stp/>
        <stp>BDS|613603332644525915</stp>
        <tr r="NB5" s="87"/>
      </tp>
      <tp t="e">
        <v>#N/A</v>
        <stp/>
        <stp>BDS|577856715640418104</stp>
        <tr r="JZ5" s="59"/>
      </tp>
      <tp t="e">
        <v>#N/A</v>
        <stp/>
        <stp>BDS|106913361263431446</stp>
        <tr r="FJ5" s="49"/>
      </tp>
      <tp t="e">
        <v>#N/A</v>
        <stp/>
        <stp>BDS|699396145718063785</stp>
        <tr r="JF5" s="92"/>
      </tp>
      <tp t="e">
        <v>#N/A</v>
        <stp/>
        <stp>BDS|704675172010221928</stp>
        <tr r="EZ5" s="94"/>
      </tp>
      <tp t="e">
        <v>#N/A</v>
        <stp/>
        <stp>BDS|510214179464974964</stp>
        <tr r="F5" s="123"/>
      </tp>
      <tp t="e">
        <v>#N/A</v>
        <stp/>
        <stp>BDS|974001441959806535</stp>
        <tr r="DV5" s="63"/>
      </tp>
      <tp t="e">
        <v>#N/A</v>
        <stp/>
        <stp>BDS|233738982983121412</stp>
        <tr r="CM5" s="17"/>
      </tp>
      <tp t="e">
        <v>#N/A</v>
        <stp/>
        <stp>BDS|317843752061852718</stp>
        <tr r="LI5" s="14"/>
      </tp>
      <tp t="e">
        <v>#N/A</v>
        <stp/>
        <stp>BDS|247435741103859848</stp>
        <tr r="HH5" s="34"/>
      </tp>
      <tp t="e">
        <v>#N/A</v>
        <stp/>
        <stp>BDS|430778289342040671</stp>
        <tr r="Z5" s="16"/>
      </tp>
      <tp t="e">
        <v>#N/A</v>
        <stp/>
        <stp>BDS|805829325146738759</stp>
        <tr r="IG5" s="22"/>
      </tp>
      <tp t="e">
        <v>#N/A</v>
        <stp/>
        <stp>BDS|947043184620568316</stp>
        <tr r="JF5" s="7"/>
      </tp>
      <tp t="e">
        <v>#N/A</v>
        <stp/>
        <stp>BDS|709229985397897667</stp>
        <tr r="DB5" s="77"/>
      </tp>
      <tp t="e">
        <v>#N/A</v>
        <stp/>
        <stp>BDS|776678295554246084</stp>
        <tr r="DG5" s="103"/>
      </tp>
      <tp t="e">
        <v>#N/A</v>
        <stp/>
        <stp>BDS|743960629053370348</stp>
        <tr r="K5" s="51"/>
      </tp>
      <tp t="e">
        <v>#N/A</v>
        <stp/>
        <stp>BDS|215566889844328260</stp>
        <tr r="EF5" s="118"/>
      </tp>
      <tp t="e">
        <v>#N/A</v>
        <stp/>
        <stp>BDS|446539686805065397</stp>
        <tr r="Z5" s="117"/>
      </tp>
      <tp t="e">
        <v>#N/A</v>
        <stp/>
        <stp>BDS|800163719123448894</stp>
        <tr r="DV5" s="102"/>
      </tp>
      <tp t="e">
        <v>#N/A</v>
        <stp/>
        <stp>BDS|399847122970611176</stp>
        <tr r="AE5" s="26"/>
      </tp>
      <tp t="e">
        <v>#N/A</v>
        <stp/>
        <stp>BDS|423686401385217892</stp>
        <tr r="MM5" s="82"/>
      </tp>
      <tp t="e">
        <v>#N/A</v>
        <stp/>
        <stp>BDS|536847773181750522</stp>
        <tr r="HM5" s="16"/>
      </tp>
      <tp t="e">
        <v>#N/A</v>
        <stp/>
        <stp>BDS|372255356549657565</stp>
        <tr r="FO5" s="59"/>
      </tp>
      <tp t="e">
        <v>#N/A</v>
        <stp/>
        <stp>BDS|471734117395570852</stp>
        <tr r="GS5" s="111"/>
      </tp>
      <tp t="e">
        <v>#N/A</v>
        <stp/>
        <stp>BDS|654710916589380432</stp>
        <tr r="GD5" s="18"/>
      </tp>
      <tp t="e">
        <v>#N/A</v>
        <stp/>
        <stp>BDS|995763499383352641</stp>
        <tr r="JK5" s="77"/>
      </tp>
      <tp t="e">
        <v>#N/A</v>
        <stp/>
        <stp>BDS|576573796321665633</stp>
        <tr r="BD5" s="35"/>
      </tp>
      <tp t="e">
        <v>#N/A</v>
        <stp/>
        <stp>BDS|187435397852052440</stp>
        <tr r="CC5" s="37"/>
      </tp>
      <tp t="e">
        <v>#N/A</v>
        <stp/>
        <stp>BDS|442569183045791370</stp>
        <tr r="NL5" s="75"/>
      </tp>
      <tp t="e">
        <v>#N/A</v>
        <stp/>
        <stp>BDS|575999577084108182</stp>
        <tr r="HR5" s="102"/>
      </tp>
      <tp t="e">
        <v>#N/A</v>
        <stp/>
        <stp>BDS|688163360475233908</stp>
        <tr r="GI5" s="20"/>
      </tp>
      <tp t="e">
        <v>#N/A</v>
        <stp/>
        <stp>BDS|302279916770328826</stp>
        <tr r="FT5" s="87"/>
      </tp>
      <tp t="e">
        <v>#N/A</v>
        <stp/>
        <stp>BDS|540228426022276908</stp>
        <tr r="DG5" s="97"/>
      </tp>
      <tp t="e">
        <v>#N/A</v>
        <stp/>
        <stp>BDS|684282415511129999</stp>
        <tr r="JA5" s="103"/>
      </tp>
      <tp t="e">
        <v>#N/A</v>
        <stp/>
        <stp>BDS|764307589034617548</stp>
        <tr r="KO5" s="22"/>
      </tp>
      <tp t="e">
        <v>#N/A</v>
        <stp/>
        <stp>BDS|891017124510429845</stp>
        <tr r="IB5" s="113"/>
      </tp>
      <tp t="e">
        <v>#N/A</v>
        <stp/>
        <stp>BDS|475893672281402467</stp>
        <tr r="EF5" s="119"/>
      </tp>
      <tp t="e">
        <v>#N/A</v>
        <stp/>
        <stp>BDS|495223729453432954</stp>
        <tr r="HH5" s="61"/>
      </tp>
      <tp t="e">
        <v>#N/A</v>
        <stp/>
        <stp>BDS|112975867063817664</stp>
        <tr r="Z5" s="85"/>
      </tp>
      <tp t="e">
        <v>#N/A</v>
        <stp/>
        <stp>BDS|562880858314550388</stp>
        <tr r="NV5" s="96"/>
      </tp>
      <tp t="e">
        <v>#N/A</v>
        <stp/>
        <stp>BDS|451212375329126682</stp>
        <tr r="DQ5" s="52"/>
      </tp>
      <tp t="e">
        <v>#N/A</v>
        <stp/>
        <stp>BDS|769249681320969018</stp>
        <tr r="LI5" s="73"/>
      </tp>
      <tp t="e">
        <v>#N/A</v>
        <stp/>
        <stp>BDS|622866019096027535</stp>
        <tr r="CC5" s="89"/>
      </tp>
      <tp t="e">
        <v>#N/A</v>
        <stp/>
        <stp>BDS|460781197346405245</stp>
        <tr r="HH5" s="92"/>
      </tp>
      <tp t="e">
        <v>#N/A</v>
        <stp/>
        <stp>BDS|420220432849976282</stp>
        <tr r="A5" s="92"/>
      </tp>
      <tp t="e">
        <v>#N/A</v>
        <stp/>
        <stp>BDS|663852883558240274</stp>
        <tr r="BS5" s="123"/>
      </tp>
      <tp t="e">
        <v>#N/A</v>
        <stp/>
        <stp>BDS|154546335548412416</stp>
        <tr r="IG5" s="26"/>
      </tp>
      <tp t="e">
        <v>#N/A</v>
        <stp/>
        <stp>BDS|974048788221167324</stp>
        <tr r="CR5" s="5"/>
      </tp>
      <tp t="e">
        <v>#N/A</v>
        <stp/>
        <stp>BDS|917309791886891671</stp>
        <tr r="FY5" s="9"/>
      </tp>
      <tp t="e">
        <v>#N/A</v>
        <stp/>
        <stp>BDS|124167995341184340</stp>
        <tr r="AY5" s="72"/>
      </tp>
      <tp t="e">
        <v>#N/A</v>
        <stp/>
        <stp>BDS|604174797544327621</stp>
        <tr r="HC5" s="26"/>
      </tp>
      <tp t="e">
        <v>#N/A</v>
        <stp/>
        <stp>BDS|968413952262544987</stp>
        <tr r="HM5" s="32"/>
      </tp>
      <tp t="e">
        <v>#N/A</v>
        <stp/>
        <stp>BDS|349802670087287210</stp>
        <tr r="IV5" s="91"/>
      </tp>
      <tp t="e">
        <v>#N/A</v>
        <stp/>
        <stp>BDS|490961846902532517</stp>
        <tr r="BI5" s="27"/>
      </tp>
      <tp t="e">
        <v>#N/A</v>
        <stp/>
        <stp>BDS|371409911416414975</stp>
        <tr r="NG5" s="122"/>
      </tp>
      <tp t="e">
        <v>#N/A</v>
        <stp/>
        <stp>BDS|312617609485987907</stp>
        <tr r="EP5" s="41"/>
      </tp>
      <tp t="e">
        <v>#N/A</v>
        <stp/>
        <stp>BDS|763466623268376438</stp>
        <tr r="BX5" s="113"/>
      </tp>
      <tp t="e">
        <v>#N/A</v>
        <stp/>
        <stp>BDS|256970547987466049</stp>
        <tr r="F5" s="92"/>
      </tp>
      <tp t="e">
        <v>#N/A</v>
        <stp/>
        <stp>BDS|800420088204331234</stp>
        <tr r="HH5" s="39"/>
      </tp>
    </main>
  </volType>
</volTypes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calcChain" Target="calcChain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volatileDependencies" Target="volatileDependenci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F9"/>
  <sheetViews>
    <sheetView workbookViewId="0">
      <selection activeCell="K1" sqref="K1"/>
    </sheetView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0</v>
      </c>
      <c r="K1" s="1" t="s">
        <v>1</v>
      </c>
      <c r="U1" s="1" t="s">
        <v>2</v>
      </c>
      <c r="AE1" s="1" t="s">
        <v>3</v>
      </c>
      <c r="AO1" s="1" t="s">
        <v>4</v>
      </c>
      <c r="AY1" s="1" t="s">
        <v>5</v>
      </c>
      <c r="BI1" s="1" t="s">
        <v>6</v>
      </c>
      <c r="BS1" s="1" t="s">
        <v>7</v>
      </c>
      <c r="CC1" s="1" t="s">
        <v>8</v>
      </c>
      <c r="CM1" s="1" t="s">
        <v>9</v>
      </c>
      <c r="CW1" s="1" t="s">
        <v>10</v>
      </c>
      <c r="DG1" s="1" t="s">
        <v>11</v>
      </c>
      <c r="DQ1" s="1" t="s">
        <v>12</v>
      </c>
      <c r="EA1" s="1" t="s">
        <v>13</v>
      </c>
      <c r="EK1" s="1" t="s">
        <v>14</v>
      </c>
      <c r="EU1" s="1" t="s">
        <v>15</v>
      </c>
      <c r="FE1" s="1" t="s">
        <v>16</v>
      </c>
      <c r="FO1" s="1" t="s">
        <v>17</v>
      </c>
      <c r="FY1" s="1" t="s">
        <v>18</v>
      </c>
      <c r="GI1" s="1" t="s">
        <v>19</v>
      </c>
      <c r="GS1" s="1" t="s">
        <v>20</v>
      </c>
      <c r="HC1" s="1" t="s">
        <v>21</v>
      </c>
      <c r="HM1" s="1" t="s">
        <v>22</v>
      </c>
      <c r="HW1" s="1" t="s">
        <v>23</v>
      </c>
      <c r="IG1" s="1" t="s">
        <v>24</v>
      </c>
      <c r="IQ1" s="1" t="s">
        <v>25</v>
      </c>
      <c r="JA1" s="1" t="s">
        <v>26</v>
      </c>
      <c r="JK1" s="1" t="s">
        <v>27</v>
      </c>
      <c r="JU1" s="1" t="s">
        <v>28</v>
      </c>
      <c r="KE1" s="1" t="s">
        <v>29</v>
      </c>
      <c r="KO1" s="1" t="s">
        <v>30</v>
      </c>
      <c r="KY1" s="1" t="s">
        <v>31</v>
      </c>
      <c r="LI1" s="1" t="s">
        <v>32</v>
      </c>
      <c r="LS1" s="1" t="s">
        <v>33</v>
      </c>
      <c r="MC1" s="1" t="s">
        <v>34</v>
      </c>
      <c r="MM1" s="1" t="s">
        <v>35</v>
      </c>
      <c r="MW1" s="1" t="s">
        <v>36</v>
      </c>
      <c r="NG1" s="1" t="s">
        <v>37</v>
      </c>
      <c r="NQ1" s="1" t="s">
        <v>38</v>
      </c>
      <c r="OA1" s="1" t="s">
        <v>39</v>
      </c>
    </row>
    <row r="2" spans="1:396" x14ac:dyDescent="0.25">
      <c r="A2" s="2" t="s">
        <v>40</v>
      </c>
      <c r="K2" s="2" t="s">
        <v>41</v>
      </c>
      <c r="U2" s="2" t="s">
        <v>42</v>
      </c>
      <c r="AE2" s="2" t="s">
        <v>43</v>
      </c>
      <c r="AO2" s="2" t="s">
        <v>44</v>
      </c>
      <c r="AY2" s="2" t="s">
        <v>45</v>
      </c>
      <c r="BI2" s="2" t="s">
        <v>46</v>
      </c>
      <c r="BS2" s="2" t="s">
        <v>41</v>
      </c>
      <c r="CC2" s="2" t="s">
        <v>47</v>
      </c>
      <c r="CM2" s="2" t="s">
        <v>48</v>
      </c>
      <c r="CW2" s="2" t="s">
        <v>49</v>
      </c>
      <c r="DG2" s="2" t="s">
        <v>50</v>
      </c>
      <c r="DQ2" s="2" t="s">
        <v>51</v>
      </c>
      <c r="EA2" s="2" t="s">
        <v>52</v>
      </c>
      <c r="EK2" s="2" t="s">
        <v>53</v>
      </c>
      <c r="EU2" s="2" t="s">
        <v>41</v>
      </c>
      <c r="FE2" s="2" t="s">
        <v>41</v>
      </c>
      <c r="FO2" s="2" t="s">
        <v>54</v>
      </c>
      <c r="FY2" s="2" t="s">
        <v>55</v>
      </c>
      <c r="GI2" s="2" t="s">
        <v>44</v>
      </c>
      <c r="GS2" s="2" t="s">
        <v>44</v>
      </c>
      <c r="HC2" s="2" t="s">
        <v>56</v>
      </c>
      <c r="HM2" s="2" t="s">
        <v>57</v>
      </c>
      <c r="HW2" s="2" t="s">
        <v>58</v>
      </c>
      <c r="IG2" s="2" t="s">
        <v>59</v>
      </c>
      <c r="IQ2" s="2" t="s">
        <v>60</v>
      </c>
      <c r="JA2" s="2" t="s">
        <v>61</v>
      </c>
      <c r="JK2" s="2" t="s">
        <v>62</v>
      </c>
      <c r="JU2" s="2" t="s">
        <v>63</v>
      </c>
      <c r="KE2" s="2" t="s">
        <v>64</v>
      </c>
      <c r="KO2" s="2" t="s">
        <v>57</v>
      </c>
      <c r="KY2" s="2" t="s">
        <v>65</v>
      </c>
      <c r="LI2" s="2" t="s">
        <v>66</v>
      </c>
      <c r="LS2" s="2" t="s">
        <v>67</v>
      </c>
      <c r="MC2" s="2" t="s">
        <v>68</v>
      </c>
      <c r="MM2" s="2" t="s">
        <v>69</v>
      </c>
      <c r="MW2" s="2" t="s">
        <v>70</v>
      </c>
      <c r="NG2" s="2" t="s">
        <v>47</v>
      </c>
      <c r="NQ2" s="2" t="s">
        <v>71</v>
      </c>
      <c r="OA2" s="2" t="s">
        <v>57</v>
      </c>
    </row>
    <row r="3" spans="1:396" x14ac:dyDescent="0.25">
      <c r="A3" t="s">
        <v>72</v>
      </c>
      <c r="K3" t="s">
        <v>73</v>
      </c>
      <c r="U3" t="s">
        <v>74</v>
      </c>
      <c r="AE3" t="s">
        <v>75</v>
      </c>
      <c r="AO3" t="s">
        <v>76</v>
      </c>
      <c r="AY3" t="s">
        <v>77</v>
      </c>
      <c r="BI3" t="s">
        <v>78</v>
      </c>
      <c r="BS3" t="s">
        <v>79</v>
      </c>
      <c r="CC3" t="s">
        <v>80</v>
      </c>
      <c r="CM3" t="s">
        <v>81</v>
      </c>
      <c r="CW3" t="s">
        <v>82</v>
      </c>
      <c r="DG3" t="s">
        <v>83</v>
      </c>
      <c r="DQ3" t="s">
        <v>84</v>
      </c>
      <c r="EA3" t="s">
        <v>85</v>
      </c>
      <c r="EK3" t="s">
        <v>86</v>
      </c>
      <c r="EU3" t="s">
        <v>87</v>
      </c>
      <c r="FE3" t="s">
        <v>88</v>
      </c>
      <c r="FO3" t="s">
        <v>89</v>
      </c>
      <c r="FY3" t="s">
        <v>90</v>
      </c>
      <c r="GI3" t="s">
        <v>91</v>
      </c>
      <c r="GS3" t="s">
        <v>92</v>
      </c>
      <c r="HC3" t="s">
        <v>93</v>
      </c>
      <c r="HM3" t="s">
        <v>94</v>
      </c>
      <c r="HW3" t="s">
        <v>95</v>
      </c>
      <c r="IG3" t="s">
        <v>96</v>
      </c>
      <c r="IQ3" t="s">
        <v>97</v>
      </c>
      <c r="JA3" t="s">
        <v>98</v>
      </c>
      <c r="JK3" t="s">
        <v>99</v>
      </c>
      <c r="JU3" t="s">
        <v>100</v>
      </c>
      <c r="KE3" t="s">
        <v>101</v>
      </c>
      <c r="KO3" t="s">
        <v>102</v>
      </c>
      <c r="KY3" t="s">
        <v>103</v>
      </c>
      <c r="LI3" t="s">
        <v>104</v>
      </c>
      <c r="LS3" t="s">
        <v>105</v>
      </c>
      <c r="MC3" t="s">
        <v>106</v>
      </c>
      <c r="MM3" t="s">
        <v>107</v>
      </c>
      <c r="MW3" t="s">
        <v>108</v>
      </c>
      <c r="NG3" t="s">
        <v>109</v>
      </c>
      <c r="NQ3" t="s">
        <v>110</v>
      </c>
      <c r="OA3" t="s">
        <v>111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_xll.BDS("TWX US Equity","SUPPLY_CHAIN_SUPPLIERS","RELATIONSHIP_AS_OF_DATE","20000110")</f>
        <v>#N/A N/A</v>
      </c>
      <c r="F5" t="str">
        <f>_xll.BDS("TWX US Equity","SUPPLY_CHAIN_CUSTOMERS","RELATIONSHIP_AS_OF_DATE","20000110")</f>
        <v>#N/A N/A</v>
      </c>
      <c r="K5" t="str">
        <f>_xll.BDS("T US Equity","SUPPLY_CHAIN_SUPPLIERS","RELATIONSHIP_AS_OF_DATE","20161022","cols=1;rows=5")</f>
        <v>AAPL US Equity</v>
      </c>
      <c r="P5" t="str">
        <f>_xll.BDS("T US Equity","SUPPLY_CHAIN_CUSTOMERS","RELATIONSHIP_AS_OF_DATE","20161022","cols=1;rows=5")</f>
        <v>IBM US Equity</v>
      </c>
      <c r="U5" t="str">
        <f>_xll.BDS("RTX US Equity","SUPPLY_CHAIN_SUPPLIERS","RELATIONSHIP_AS_OF_DATE","20190609","cols=1;rows=5")</f>
        <v>MTX GR Equity</v>
      </c>
      <c r="Z5" t="str">
        <f>_xll.BDS("RTX US Equity","SUPPLY_CHAIN_CUSTOMERS","RELATIONSHIP_AS_OF_DATE","20190609","cols=1;rows=5")</f>
        <v>3352Z US Equity</v>
      </c>
      <c r="AE5" t="str">
        <f>_xll.BDS("BMY US Equity","SUPPLY_CHAIN_SUPPLIERS","RELATIONSHIP_AS_OF_DATE","20190103","cols=1;rows=5")</f>
        <v>PFE US Equity</v>
      </c>
      <c r="AJ5" t="str">
        <f>_xll.BDS("BMY US Equity","SUPPLY_CHAIN_CUSTOMERS","RELATIONSHIP_AS_OF_DATE","20190103","cols=1;rows=5")</f>
        <v>MCK US Equity</v>
      </c>
      <c r="AO5" t="str">
        <f>_xll.BDS("PFE US Equity","SUPPLY_CHAIN_SUPPLIERS","RELATIONSHIP_AS_OF_DATE","19991104","cols=1;rows=5")</f>
        <v>BNTX US Equity</v>
      </c>
      <c r="AT5" t="str">
        <f>_xll.BDS("PFE US Equity","SUPPLY_CHAIN_CUSTOMERS","RELATIONSHIP_AS_OF_DATE","19991104","cols=1;rows=5")</f>
        <v>MCK US Equity</v>
      </c>
      <c r="AY5" t="str">
        <f>_xll.BDS("ABBV US Equity","SUPPLY_CHAIN_SUPPLIERS","RELATIONSHIP_AS_OF_DATE","20190625","cols=1;rows=5")</f>
        <v>ROG SW Equity</v>
      </c>
      <c r="BD5" t="str">
        <f>_xll.BDS("ABBV US Equity","SUPPLY_CHAIN_CUSTOMERS","RELATIONSHIP_AS_OF_DATE","20190625","cols=1;rows=5")</f>
        <v>MCK US Equity</v>
      </c>
      <c r="BI5" t="str">
        <f>_xll.BDS("DIS US Equity","SUPPLY_CHAIN_SUPPLIERS","RELATIONSHIP_AS_OF_DATE","20171214","cols=1;rows=5")</f>
        <v>GTN US Equity</v>
      </c>
      <c r="BN5" t="str">
        <f>_xll.BDS("DIS US Equity","SUPPLY_CHAIN_CUSTOMERS","RELATIONSHIP_AS_OF_DATE","20171214","cols=1;rows=5")</f>
        <v>AD NA Equity</v>
      </c>
      <c r="BS5" t="str">
        <f>_xll.BDS("T US Equity","SUPPLY_CHAIN_SUPPLIERS","RELATIONSHIP_AS_OF_DATE","20060305","cols=1;rows=5")</f>
        <v>AAPL US Equity</v>
      </c>
      <c r="BX5" t="str">
        <f>_xll.BDS("T US Equity","SUPPLY_CHAIN_CUSTOMERS","RELATIONSHIP_AS_OF_DATE","20060305","cols=1;rows=5")</f>
        <v>IBM US Equity</v>
      </c>
      <c r="CC5" t="str">
        <f>_xll.BDS("XOM US Equity","SUPPLY_CHAIN_SUPPLIERS","RELATIONSHIP_AS_OF_DATE","19981201","cols=1;rows=5")</f>
        <v>PAA US Equity</v>
      </c>
      <c r="CH5" t="str">
        <f>_xll.BDS("XOM US Equity","SUPPLY_CHAIN_CUSTOMERS","RELATIONSHIP_AS_OF_DATE","19981201","cols=1;rows=5")</f>
        <v>IMO CN Equity</v>
      </c>
      <c r="CM5" t="str">
        <f>_xll.BDS("9876540D US Equity","SUPPLY_CHAIN_SUPPLIERS","RELATIONSHIP_AS_OF_DATE","20150526")</f>
        <v>#N/A N/A</v>
      </c>
      <c r="CR5" t="str">
        <f>_xll.BDS("9876540D US Equity","SUPPLY_CHAIN_CUSTOMERS","RELATIONSHIP_AS_OF_DATE","20150526")</f>
        <v>#N/A N/A</v>
      </c>
      <c r="CW5" t="str">
        <f>_xll.BDS("VZ US Equity","SUPPLY_CHAIN_SUPPLIERS","RELATIONSHIP_AS_OF_DATE","19980728","cols=1;rows=5")</f>
        <v>AAPL US Equity</v>
      </c>
      <c r="DB5" t="str">
        <f>_xll.BDS("VZ US Equity","SUPPLY_CHAIN_CUSTOMERS","RELATIONSHIP_AS_OF_DATE","19980728","cols=1;rows=5")</f>
        <v>SNX US Equity</v>
      </c>
      <c r="DG5" t="str">
        <f>_xll.BDS("C US Equity","SUPPLY_CHAIN_SUPPLIERS","RELATIONSHIP_AS_OF_DATE","19980406","cols=1;rows=5")</f>
        <v>ORCL US Equity</v>
      </c>
      <c r="DL5" t="str">
        <f>_xll.BDS("C US Equity","SUPPLY_CHAIN_CUSTOMERS","RELATIONSHIP_AS_OF_DATE","19980406","cols=1;rows=5")</f>
        <v>ANTO LN Equity</v>
      </c>
      <c r="DQ5" t="str">
        <f>_xll.BDS("CI US Equity","SUPPLY_CHAIN_SUPPLIERS","RELATIONSHIP_AS_OF_DATE","20180308","cols=1;rows=5")</f>
        <v>COR US Equity</v>
      </c>
      <c r="DV5" t="str">
        <f>_xll.BDS("CI US Equity","SUPPLY_CHAIN_CUSTOMERS","RELATIONSHIP_AS_OF_DATE","20180308","cols=1;rows=5")</f>
        <v>3352Z US Equity</v>
      </c>
      <c r="EA5" t="str">
        <f>_xll.BDS("CVS US Equity","SUPPLY_CHAIN_SUPPLIERS","RELATIONSHIP_AS_OF_DATE","20171203","cols=1;rows=5")</f>
        <v>MCK US Equity</v>
      </c>
      <c r="EF5" t="str">
        <f>_xll.BDS("CVS US Equity","SUPPLY_CHAIN_CUSTOMERS","RELATIONSHIP_AS_OF_DATE","20171203","cols=1;rows=5")</f>
        <v>3352Z US Equity</v>
      </c>
      <c r="EK5" t="str">
        <f>_xll.BDS("TMUS US Equity","SUPPLY_CHAIN_SUPPLIERS","RELATIONSHIP_AS_OF_DATE","20180429","cols=1;rows=5")</f>
        <v>AAPL US Equity</v>
      </c>
      <c r="EP5" t="str">
        <f>_xll.BDS("TMUS US Equity","SUPPLY_CHAIN_CUSTOMERS","RELATIONSHIP_AS_OF_DATE","20180429","cols=1;rows=5")</f>
        <v>SNX US Equity</v>
      </c>
      <c r="EU5" t="str">
        <f>_xll.BDS("T US Equity","SUPPLY_CHAIN_SUPPLIERS","RELATIONSHIP_AS_OF_DATE","19980511","cols=1;rows=5")</f>
        <v>AAPL US Equity</v>
      </c>
      <c r="EZ5" t="str">
        <f>_xll.BDS("T US Equity","SUPPLY_CHAIN_CUSTOMERS","RELATIONSHIP_AS_OF_DATE","19980511","cols=1;rows=5")</f>
        <v>IBM US Equity</v>
      </c>
      <c r="FE5" t="str">
        <f>_xll.BDS("T US Equity","SUPPLY_CHAIN_SUPPLIERS","RELATIONSHIP_AS_OF_DATE","20140518","cols=1;rows=5")</f>
        <v>AAPL US Equity</v>
      </c>
      <c r="FJ5" t="str">
        <f>_xll.BDS("T US Equity","SUPPLY_CHAIN_CUSTOMERS","RELATIONSHIP_AS_OF_DATE","20140518","cols=1;rows=5")</f>
        <v>IBM US Equity</v>
      </c>
      <c r="FO5" t="str">
        <f>_xll.BDS("DD US Equity","SUPPLY_CHAIN_SUPPLIERS","RELATIONSHIP_AS_OF_DATE","20151211","cols=1;rows=5")</f>
        <v>900909 CH Equity</v>
      </c>
      <c r="FT5" t="str">
        <f>_xll.BDS("DD US Equity","SUPPLY_CHAIN_CUSTOMERS","RELATIONSHIP_AS_OF_DATE","20151211","cols=1;rows=5")</f>
        <v>AIR FP Equity</v>
      </c>
      <c r="FY5" t="str">
        <f>_xll.BDS("AGN US Equity","SUPPLY_CHAIN_SUPPLIERS","RELATIONSHIP_AS_OF_DATE","20141117","cols=1;rows=5")</f>
        <v>AEE US Equity</v>
      </c>
      <c r="GD5" t="str">
        <f>_xll.BDS("AGN US Equity","SUPPLY_CHAIN_CUSTOMERS","RELATIONSHIP_AS_OF_DATE","20141117")</f>
        <v>4569 JP Equity</v>
      </c>
      <c r="GI5" t="str">
        <f>_xll.BDS("PFE US Equity","SUPPLY_CHAIN_SUPPLIERS","RELATIONSHIP_AS_OF_DATE","20020715","cols=1;rows=5")</f>
        <v>BNTX US Equity</v>
      </c>
      <c r="GN5" t="str">
        <f>_xll.BDS("PFE US Equity","SUPPLY_CHAIN_CUSTOMERS","RELATIONSHIP_AS_OF_DATE","20020715","cols=1;rows=5")</f>
        <v>MCK US Equity</v>
      </c>
      <c r="GS5" t="str">
        <f>_xll.BDS("PFE US Equity","SUPPLY_CHAIN_SUPPLIERS","RELATIONSHIP_AS_OF_DATE","20090126","cols=1;rows=5")</f>
        <v>BNTX US Equity</v>
      </c>
      <c r="GX5" t="str">
        <f>_xll.BDS("PFE US Equity","SUPPLY_CHAIN_CUSTOMERS","RELATIONSHIP_AS_OF_DATE","20090126","cols=1;rows=5")</f>
        <v>MCK US Equity</v>
      </c>
      <c r="HC5" t="str">
        <f>_xll.BDS("ET US Equity","SUPPLY_CHAIN_SUPPLIERS","RELATIONSHIP_AS_OF_DATE","20180801","cols=1;rows=5")</f>
        <v>CNR CN Equity</v>
      </c>
      <c r="HH5" t="str">
        <f>_xll.BDS("ET US Equity","SUPPLY_CHAIN_CUSTOMERS","RELATIONSHIP_AS_OF_DATE","20180801","cols=1;rows=5")</f>
        <v>384 HK Equity</v>
      </c>
      <c r="HM5" t="str">
        <f>_xll.BDS("BAC US Equity","SUPPLY_CHAIN_SUPPLIERS","RELATIONSHIP_AS_OF_DATE","19980113","cols=1;rows=5")</f>
        <v>ORCL US Equity</v>
      </c>
      <c r="HR5" t="str">
        <f>_xll.BDS("BAC US Equity","SUPPLY_CHAIN_CUSTOMERS","RELATIONSHIP_AS_OF_DATE","19980113","cols=1;rows=4")</f>
        <v>3147564Z US Equity</v>
      </c>
      <c r="HW5" t="str">
        <f>_xll.BDS("PG US Equity","SUPPLY_CHAIN_SUPPLIERS","RELATIONSHIP_AS_OF_DATE","20050128","cols=1;rows=5")</f>
        <v>BABA US Equity</v>
      </c>
      <c r="IB5" t="str">
        <f>_xll.BDS("PG US Equity","SUPPLY_CHAIN_CUSTOMERS","RELATIONSHIP_AS_OF_DATE","20050128","cols=1;rows=5")</f>
        <v>WMT US Equity</v>
      </c>
      <c r="IG5" t="str">
        <f>_xll.BDS("653707Q US Equity","SUPPLY_CHAIN_SUPPLIERS","RELATIONSHIP_AS_OF_DATE","19990422")</f>
        <v>#N/A N/A</v>
      </c>
      <c r="IL5" t="str">
        <f>_xll.BDS("653707Q US Equity","SUPPLY_CHAIN_CUSTOMERS","RELATIONSHIP_AS_OF_DATE","19990422")</f>
        <v>#N/A N/A</v>
      </c>
      <c r="IQ5" t="str">
        <f>_xll.BDS("OXY US Equity","SUPPLY_CHAIN_SUPPLIERS","RELATIONSHIP_AS_OF_DATE","20190509","cols=1;rows=5")</f>
        <v>TEN IM Equity</v>
      </c>
      <c r="IV5" t="str">
        <f>_xll.BDS("OXY US Equity","SUPPLY_CHAIN_CUSTOMERS","RELATIONSHIP_AS_OF_DATE","20190509","cols=1;rows=5")</f>
        <v>0611520D US Equity</v>
      </c>
      <c r="JA5" t="str">
        <f>_xll.BDS("JPM US Equity","SUPPLY_CHAIN_SUPPLIERS","RELATIONSHIP_AS_OF_DATE","20040114","cols=1;rows=5")</f>
        <v>LUV US Equity</v>
      </c>
      <c r="JF5" t="str">
        <f>_xll.BDS("JPM US Equity","SUPPLY_CHAIN_CUSTOMERS","RELATIONSHIP_AS_OF_DATE","20040114","cols=1;rows=5")</f>
        <v>000737 CH Equity</v>
      </c>
      <c r="JK5" t="str">
        <f>_xll.BDS("ETP US Equity","SUPPLY_CHAIN_SUPPLIERS","RELATIONSHIP_AS_OF_DATE","20161121")</f>
        <v>#N/A N/A</v>
      </c>
      <c r="JP5" t="str">
        <f>_xll.BDS("ETP US Equity","SUPPLY_CHAIN_CUSTOMERS","RELATIONSHIP_AS_OF_DATE","20161121")</f>
        <v>#N/A N/A</v>
      </c>
      <c r="JU5" t="str">
        <f>_xll.BDS("KMI US Equity","SUPPLY_CHAIN_SUPPLIERS","RELATIONSHIP_AS_OF_DATE","20140810","cols=1;rows=5")</f>
        <v>PWR US Equity</v>
      </c>
      <c r="JZ5" t="str">
        <f>_xll.BDS("KMI US Equity","SUPPLY_CHAIN_CUSTOMERS","RELATIONSHIP_AS_OF_DATE","20140810","cols=1;rows=5")</f>
        <v>TX US Equity</v>
      </c>
      <c r="KE5" t="str">
        <f>_xll.BDS("nan Equity","SUPPLY_CHAIN_SUPPLIERS","RELATIONSHIP_AS_OF_DATE","20070226")</f>
        <v>#N/A N/A</v>
      </c>
      <c r="KJ5" t="str">
        <f>_xll.BDS("nan Equity","SUPPLY_CHAIN_CUSTOMERS","RELATIONSHIP_AS_OF_DATE","20070226")</f>
        <v>#N/A N/A</v>
      </c>
      <c r="KO5" t="str">
        <f>_xll.BDS("BAC US Equity","SUPPLY_CHAIN_SUPPLIERS","RELATIONSHIP_AS_OF_DATE","20031027","cols=1;rows=5")</f>
        <v>ORCL US Equity</v>
      </c>
      <c r="KT5" t="str">
        <f>_xll.BDS("BAC US Equity","SUPPLY_CHAIN_CUSTOMERS","RELATIONSHIP_AS_OF_DATE","20031027","cols=1;rows=4")</f>
        <v>3147564Z US Equity</v>
      </c>
      <c r="KY5" t="str">
        <f>_xll.BDS("MRK US Equity","SUPPLY_CHAIN_SUPPLIERS","RELATIONSHIP_AS_OF_DATE","20090309","cols=1;rows=5")</f>
        <v>AZN LN Equity</v>
      </c>
      <c r="LD5" t="str">
        <f>_xll.BDS("MRK US Equity","SUPPLY_CHAIN_CUSTOMERS","RELATIONSHIP_AS_OF_DATE","20090309","cols=1;rows=5")</f>
        <v>COR US Equity</v>
      </c>
      <c r="LI5" t="str">
        <f>_xll.BDS("MDT US Equity","SUPPLY_CHAIN_SUPPLIERS","RELATIONSHIP_AS_OF_DATE","20140615","cols=1;rows=5")</f>
        <v>FLEX US Equity</v>
      </c>
      <c r="LN5" t="str">
        <f>_xll.BDS("MDT US Equity","SUPPLY_CHAIN_CUSTOMERS","RELATIONSHIP_AS_OF_DATE","20140615","cols=1;rows=5")</f>
        <v>4104 TT Equity</v>
      </c>
      <c r="LS5" t="str">
        <f>_xll.BDS("0772031D US Equity","SUPPLY_CHAIN_SUPPLIERS","RELATIONSHIP_AS_OF_DATE","19990614")</f>
        <v>#N/A N/A</v>
      </c>
      <c r="LX5" t="str">
        <f>_xll.BDS("0772031D US Equity","SUPPLY_CHAIN_CUSTOMERS","RELATIONSHIP_AS_OF_DATE","19990614")</f>
        <v>#N/A N/A</v>
      </c>
      <c r="MC5" t="str">
        <f>_xll.BDS("CVX US Equity","SUPPLY_CHAIN_SUPPLIERS","RELATIONSHIP_AS_OF_DATE","20001016","cols=1;rows=5")</f>
        <v>RIG US Equity</v>
      </c>
      <c r="MH5" t="str">
        <f>_xll.BDS("CVX US Equity","SUPPLY_CHAIN_CUSTOMERS","RELATIONSHIP_AS_OF_DATE","20001016","cols=1;rows=5")</f>
        <v>UGPA3 BZ Equity</v>
      </c>
      <c r="MM5" t="str">
        <f>_xll.BDS("SPGI US Equity","SUPPLY_CHAIN_SUPPLIERS","RELATIONSHIP_AS_OF_DATE","20201130","cols=1;rows=5")</f>
        <v>CRISIL IN Equity</v>
      </c>
      <c r="MR5" t="str">
        <f>_xll.BDS("SPGI US Equity","SUPPLY_CHAIN_CUSTOMERS","RELATIONSHIP_AS_OF_DATE","20201130","cols=1;rows=5")</f>
        <v>CRISIL IN Equity</v>
      </c>
      <c r="MW5" t="str">
        <f>_xll.BDS("0848680D US Equity","SUPPLY_CHAIN_SUPPLIERS","RELATIONSHIP_AS_OF_DATE","20041215")</f>
        <v>#N/A N/A</v>
      </c>
      <c r="NB5" t="str">
        <f>_xll.BDS("0848680D US Equity","SUPPLY_CHAIN_CUSTOMERS","RELATIONSHIP_AS_OF_DATE","20041215")</f>
        <v>#N/A N/A</v>
      </c>
      <c r="NG5" t="str">
        <f>_xll.BDS("XOM US Equity","SUPPLY_CHAIN_SUPPLIERS","RELATIONSHIP_AS_OF_DATE","20091214","cols=1;rows=5")</f>
        <v>PAA US Equity</v>
      </c>
      <c r="NL5" t="str">
        <f>_xll.BDS("XOM US Equity","SUPPLY_CHAIN_CUSTOMERS","RELATIONSHIP_AS_OF_DATE","20091214","cols=1;rows=5")</f>
        <v>IMO CN Equity</v>
      </c>
      <c r="NQ5" t="str">
        <f>_xll.BDS("FIS US Equity","SUPPLY_CHAIN_SUPPLIERS","RELATIONSHIP_AS_OF_DATE","20190318","cols=1;rows=5")</f>
        <v>HPE US Equity</v>
      </c>
      <c r="NV5" t="str">
        <f>_xll.BDS("FIS US Equity","SUPPLY_CHAIN_CUSTOMERS","RELATIONSHIP_AS_OF_DATE","20190318","cols=1;rows=5")</f>
        <v>IBM US Equity</v>
      </c>
      <c r="OA5" t="str">
        <f>_xll.BDS("BAC US Equity","SUPPLY_CHAIN_SUPPLIERS","RELATIONSHIP_AS_OF_DATE","20080915","cols=1;rows=5")</f>
        <v>ORCL US Equity</v>
      </c>
      <c r="OF5" t="str">
        <f>_xll.BDS("BAC US Equity","SUPPLY_CHAIN_CUSTOMERS","RELATIONSHIP_AS_OF_DATE","20080915","cols=1;rows=4")</f>
        <v>3147564Z US Equity</v>
      </c>
    </row>
    <row r="6" spans="1:396" x14ac:dyDescent="0.25">
      <c r="K6" t="s">
        <v>10892</v>
      </c>
      <c r="P6" t="s">
        <v>2881</v>
      </c>
      <c r="U6" t="s">
        <v>11802</v>
      </c>
      <c r="Z6" t="s">
        <v>10939</v>
      </c>
      <c r="AE6" t="s">
        <v>12214</v>
      </c>
      <c r="AJ6" t="s">
        <v>1468</v>
      </c>
      <c r="AO6" t="s">
        <v>171</v>
      </c>
      <c r="AT6" t="s">
        <v>1468</v>
      </c>
      <c r="AY6" t="s">
        <v>368</v>
      </c>
      <c r="BD6" t="s">
        <v>1468</v>
      </c>
      <c r="BI6" t="s">
        <v>266</v>
      </c>
      <c r="BN6" t="s">
        <v>10944</v>
      </c>
      <c r="BS6" t="s">
        <v>10892</v>
      </c>
      <c r="BX6" t="s">
        <v>2881</v>
      </c>
      <c r="CC6" t="s">
        <v>12504</v>
      </c>
      <c r="CH6" t="s">
        <v>12572</v>
      </c>
      <c r="CW6" t="s">
        <v>10892</v>
      </c>
      <c r="DB6" t="s">
        <v>6473</v>
      </c>
      <c r="DG6" t="s">
        <v>1654</v>
      </c>
      <c r="DL6" t="s">
        <v>12472</v>
      </c>
      <c r="DQ6" t="s">
        <v>11018</v>
      </c>
      <c r="DV6" t="s">
        <v>470</v>
      </c>
      <c r="EA6" t="s">
        <v>970</v>
      </c>
      <c r="EF6" t="s">
        <v>12452</v>
      </c>
      <c r="EK6" t="s">
        <v>10892</v>
      </c>
      <c r="EP6" t="s">
        <v>10660</v>
      </c>
      <c r="EU6" t="s">
        <v>10892</v>
      </c>
      <c r="EZ6" t="s">
        <v>2881</v>
      </c>
      <c r="FE6" t="s">
        <v>10892</v>
      </c>
      <c r="FJ6" t="s">
        <v>2881</v>
      </c>
      <c r="FO6" t="s">
        <v>12949</v>
      </c>
      <c r="FT6" t="s">
        <v>266</v>
      </c>
      <c r="FY6" t="s">
        <v>10696</v>
      </c>
      <c r="GI6" t="s">
        <v>171</v>
      </c>
      <c r="GN6" t="s">
        <v>1468</v>
      </c>
      <c r="GS6" t="s">
        <v>171</v>
      </c>
      <c r="GX6" t="s">
        <v>1468</v>
      </c>
      <c r="HC6" t="s">
        <v>684</v>
      </c>
      <c r="HH6" t="s">
        <v>68</v>
      </c>
      <c r="HM6" t="s">
        <v>1654</v>
      </c>
      <c r="HR6" t="s">
        <v>2208</v>
      </c>
      <c r="HW6" t="s">
        <v>11946</v>
      </c>
      <c r="IB6" t="s">
        <v>469</v>
      </c>
      <c r="IQ6" t="s">
        <v>12959</v>
      </c>
      <c r="IV6" t="s">
        <v>12990</v>
      </c>
      <c r="JA6" t="s">
        <v>3865</v>
      </c>
      <c r="JF6" t="s">
        <v>12010</v>
      </c>
      <c r="JU6" t="s">
        <v>7384</v>
      </c>
      <c r="JZ6" t="s">
        <v>11678</v>
      </c>
      <c r="KO6" t="s">
        <v>1654</v>
      </c>
      <c r="KT6" t="s">
        <v>2208</v>
      </c>
      <c r="KY6" t="s">
        <v>368</v>
      </c>
      <c r="LD6" t="s">
        <v>385</v>
      </c>
      <c r="LI6" t="s">
        <v>11060</v>
      </c>
      <c r="LN6" t="s">
        <v>11016</v>
      </c>
      <c r="MC6" t="s">
        <v>11155</v>
      </c>
      <c r="MH6" t="s">
        <v>11640</v>
      </c>
      <c r="MM6" t="s">
        <v>13308</v>
      </c>
      <c r="MR6" t="s">
        <v>11457</v>
      </c>
      <c r="NG6" t="s">
        <v>12504</v>
      </c>
      <c r="NL6" t="s">
        <v>12572</v>
      </c>
      <c r="NQ6" t="s">
        <v>11099</v>
      </c>
      <c r="NV6" t="s">
        <v>12480</v>
      </c>
      <c r="OA6" t="s">
        <v>1654</v>
      </c>
      <c r="OF6" t="s">
        <v>2208</v>
      </c>
    </row>
    <row r="7" spans="1:396" x14ac:dyDescent="0.25">
      <c r="K7" t="s">
        <v>10738</v>
      </c>
      <c r="P7" t="s">
        <v>10680</v>
      </c>
      <c r="U7" t="s">
        <v>11009</v>
      </c>
      <c r="Z7" t="s">
        <v>1363</v>
      </c>
      <c r="AE7" t="s">
        <v>12215</v>
      </c>
      <c r="AJ7" t="s">
        <v>970</v>
      </c>
      <c r="AO7" t="s">
        <v>10816</v>
      </c>
      <c r="AT7" t="s">
        <v>970</v>
      </c>
      <c r="AY7" t="s">
        <v>12357</v>
      </c>
      <c r="BD7" t="s">
        <v>970</v>
      </c>
      <c r="BI7" t="s">
        <v>12482</v>
      </c>
      <c r="BN7" t="s">
        <v>10661</v>
      </c>
      <c r="BS7" t="s">
        <v>10738</v>
      </c>
      <c r="BX7" t="s">
        <v>10680</v>
      </c>
      <c r="CC7" t="s">
        <v>12957</v>
      </c>
      <c r="CH7" t="s">
        <v>11640</v>
      </c>
      <c r="CW7" t="s">
        <v>670</v>
      </c>
      <c r="DB7" t="s">
        <v>10660</v>
      </c>
      <c r="DG7" t="s">
        <v>11492</v>
      </c>
      <c r="DL7" t="s">
        <v>10913</v>
      </c>
      <c r="DQ7" t="s">
        <v>368</v>
      </c>
      <c r="DV7" t="s">
        <v>10797</v>
      </c>
      <c r="EA7" t="s">
        <v>58</v>
      </c>
      <c r="EF7" t="s">
        <v>12453</v>
      </c>
      <c r="EK7" t="s">
        <v>1070</v>
      </c>
      <c r="EP7" t="s">
        <v>10791</v>
      </c>
      <c r="EU7" t="s">
        <v>10738</v>
      </c>
      <c r="EZ7" t="s">
        <v>10680</v>
      </c>
      <c r="FE7" t="s">
        <v>10738</v>
      </c>
      <c r="FJ7" t="s">
        <v>10680</v>
      </c>
      <c r="FO7" t="s">
        <v>12950</v>
      </c>
      <c r="FT7" t="s">
        <v>487</v>
      </c>
      <c r="FY7" t="s">
        <v>1265</v>
      </c>
      <c r="GI7" t="s">
        <v>10816</v>
      </c>
      <c r="GN7" t="s">
        <v>970</v>
      </c>
      <c r="GS7" t="s">
        <v>10816</v>
      </c>
      <c r="GX7" t="s">
        <v>970</v>
      </c>
      <c r="HC7" t="s">
        <v>12295</v>
      </c>
      <c r="HH7" t="s">
        <v>6710</v>
      </c>
      <c r="HM7" t="s">
        <v>10986</v>
      </c>
      <c r="HR7" t="s">
        <v>11174</v>
      </c>
      <c r="HW7" t="s">
        <v>266</v>
      </c>
      <c r="IB7" t="s">
        <v>10775</v>
      </c>
      <c r="IQ7" t="s">
        <v>13180</v>
      </c>
      <c r="IV7" t="s">
        <v>12991</v>
      </c>
      <c r="JA7" t="s">
        <v>12022</v>
      </c>
      <c r="JF7" t="s">
        <v>12011</v>
      </c>
      <c r="JU7" t="s">
        <v>12741</v>
      </c>
      <c r="JZ7" t="s">
        <v>12893</v>
      </c>
      <c r="KO7" t="s">
        <v>10986</v>
      </c>
      <c r="KT7" t="s">
        <v>11174</v>
      </c>
      <c r="KY7" t="s">
        <v>11467</v>
      </c>
      <c r="LD7" t="s">
        <v>970</v>
      </c>
      <c r="LI7" t="s">
        <v>10735</v>
      </c>
      <c r="LN7" t="s">
        <v>8926</v>
      </c>
      <c r="MC7" t="s">
        <v>12104</v>
      </c>
      <c r="MH7" t="s">
        <v>12417</v>
      </c>
      <c r="MM7" t="s">
        <v>13309</v>
      </c>
      <c r="MR7" t="s">
        <v>8452</v>
      </c>
      <c r="NG7" t="s">
        <v>12957</v>
      </c>
      <c r="NL7" t="s">
        <v>11640</v>
      </c>
      <c r="NQ7" t="s">
        <v>11286</v>
      </c>
      <c r="NV7" t="s">
        <v>11294</v>
      </c>
      <c r="OA7" t="s">
        <v>10986</v>
      </c>
      <c r="OF7" t="s">
        <v>11174</v>
      </c>
    </row>
    <row r="8" spans="1:396" x14ac:dyDescent="0.25">
      <c r="K8" t="s">
        <v>670</v>
      </c>
      <c r="P8" t="s">
        <v>3519</v>
      </c>
      <c r="U8" t="s">
        <v>158</v>
      </c>
      <c r="Z8" t="s">
        <v>10785</v>
      </c>
      <c r="AE8" t="s">
        <v>65</v>
      </c>
      <c r="AJ8" t="s">
        <v>51</v>
      </c>
      <c r="AO8" t="s">
        <v>43</v>
      </c>
      <c r="AT8" t="s">
        <v>43</v>
      </c>
      <c r="AY8" t="s">
        <v>12263</v>
      </c>
      <c r="BD8" t="s">
        <v>368</v>
      </c>
      <c r="BI8" t="s">
        <v>11838</v>
      </c>
      <c r="BN8" t="s">
        <v>12027</v>
      </c>
      <c r="BS8" t="s">
        <v>670</v>
      </c>
      <c r="BX8" t="s">
        <v>3519</v>
      </c>
      <c r="CC8" t="s">
        <v>12958</v>
      </c>
      <c r="CH8" t="s">
        <v>11180</v>
      </c>
      <c r="CW8" t="s">
        <v>2705</v>
      </c>
      <c r="DB8" t="s">
        <v>4219</v>
      </c>
      <c r="DG8" t="s">
        <v>11349</v>
      </c>
      <c r="DL8" t="s">
        <v>1741</v>
      </c>
      <c r="DQ8" t="s">
        <v>44</v>
      </c>
      <c r="DV8" t="s">
        <v>13283</v>
      </c>
      <c r="EA8" t="s">
        <v>368</v>
      </c>
      <c r="EF8" t="s">
        <v>12454</v>
      </c>
      <c r="EK8" t="s">
        <v>670</v>
      </c>
      <c r="EP8" t="s">
        <v>3519</v>
      </c>
      <c r="EU8" t="s">
        <v>670</v>
      </c>
      <c r="EZ8" t="s">
        <v>3519</v>
      </c>
      <c r="FE8" t="s">
        <v>670</v>
      </c>
      <c r="FJ8" t="s">
        <v>3519</v>
      </c>
      <c r="FO8" t="s">
        <v>10940</v>
      </c>
      <c r="FT8" t="s">
        <v>3239</v>
      </c>
      <c r="FY8" t="s">
        <v>158</v>
      </c>
      <c r="GI8" t="s">
        <v>43</v>
      </c>
      <c r="GN8" t="s">
        <v>43</v>
      </c>
      <c r="GS8" t="s">
        <v>43</v>
      </c>
      <c r="GX8" t="s">
        <v>43</v>
      </c>
      <c r="HC8" t="s">
        <v>11757</v>
      </c>
      <c r="HH8" t="s">
        <v>10740</v>
      </c>
      <c r="HM8" t="s">
        <v>11188</v>
      </c>
      <c r="HR8" t="s">
        <v>11175</v>
      </c>
      <c r="HW8" t="s">
        <v>11978</v>
      </c>
      <c r="IB8" t="s">
        <v>52</v>
      </c>
      <c r="IQ8" t="s">
        <v>13181</v>
      </c>
      <c r="IV8" t="s">
        <v>12992</v>
      </c>
      <c r="JA8" t="s">
        <v>171</v>
      </c>
      <c r="JF8" t="s">
        <v>10657</v>
      </c>
      <c r="JU8" t="s">
        <v>11312</v>
      </c>
      <c r="JZ8" t="s">
        <v>11173</v>
      </c>
      <c r="KO8" t="s">
        <v>11188</v>
      </c>
      <c r="KT8" t="s">
        <v>11175</v>
      </c>
      <c r="KY8" t="s">
        <v>11468</v>
      </c>
      <c r="LD8" t="s">
        <v>43</v>
      </c>
      <c r="LI8" t="s">
        <v>3439</v>
      </c>
      <c r="LN8" t="s">
        <v>10140</v>
      </c>
      <c r="MC8" t="s">
        <v>375</v>
      </c>
      <c r="MH8" t="s">
        <v>12418</v>
      </c>
      <c r="MM8" t="s">
        <v>13310</v>
      </c>
      <c r="MR8" t="s">
        <v>13161</v>
      </c>
      <c r="NG8" t="s">
        <v>12958</v>
      </c>
      <c r="NL8" t="s">
        <v>11180</v>
      </c>
      <c r="NQ8" t="s">
        <v>12769</v>
      </c>
      <c r="NV8" t="s">
        <v>2881</v>
      </c>
      <c r="OA8" t="s">
        <v>11188</v>
      </c>
      <c r="OF8" t="s">
        <v>11175</v>
      </c>
    </row>
    <row r="9" spans="1:396" x14ac:dyDescent="0.25">
      <c r="K9" t="s">
        <v>6724</v>
      </c>
      <c r="P9" t="s">
        <v>11366</v>
      </c>
      <c r="U9" t="s">
        <v>1353</v>
      </c>
      <c r="Z9" t="s">
        <v>1740</v>
      </c>
      <c r="AE9" t="s">
        <v>368</v>
      </c>
      <c r="AJ9" t="s">
        <v>472</v>
      </c>
      <c r="AO9" t="s">
        <v>10817</v>
      </c>
      <c r="AT9" t="s">
        <v>10657</v>
      </c>
      <c r="AY9" t="s">
        <v>12326</v>
      </c>
      <c r="BD9" t="s">
        <v>12326</v>
      </c>
      <c r="BI9" t="s">
        <v>12483</v>
      </c>
      <c r="BN9" t="s">
        <v>10647</v>
      </c>
      <c r="BS9" t="s">
        <v>6724</v>
      </c>
      <c r="BX9" t="s">
        <v>11366</v>
      </c>
      <c r="CC9" t="s">
        <v>12959</v>
      </c>
      <c r="CH9" t="s">
        <v>13197</v>
      </c>
      <c r="CW9" t="s">
        <v>10738</v>
      </c>
      <c r="DB9" t="s">
        <v>10680</v>
      </c>
      <c r="DG9" t="s">
        <v>12812</v>
      </c>
      <c r="DL9" t="s">
        <v>12473</v>
      </c>
      <c r="DQ9" t="s">
        <v>10834</v>
      </c>
      <c r="DV9" t="s">
        <v>13284</v>
      </c>
      <c r="EA9" t="s">
        <v>11117</v>
      </c>
      <c r="EF9" t="s">
        <v>10868</v>
      </c>
      <c r="EK9" t="s">
        <v>12874</v>
      </c>
      <c r="EP9" t="s">
        <v>10680</v>
      </c>
      <c r="EU9" t="s">
        <v>6724</v>
      </c>
      <c r="EZ9" t="s">
        <v>11366</v>
      </c>
      <c r="FE9" t="s">
        <v>6724</v>
      </c>
      <c r="FJ9" t="s">
        <v>11366</v>
      </c>
      <c r="FO9" t="s">
        <v>12142</v>
      </c>
      <c r="FT9" t="s">
        <v>10876</v>
      </c>
      <c r="FY9" t="s">
        <v>260</v>
      </c>
      <c r="GI9" t="s">
        <v>10817</v>
      </c>
      <c r="GN9" t="s">
        <v>10657</v>
      </c>
      <c r="GS9" t="s">
        <v>10817</v>
      </c>
      <c r="GX9" t="s">
        <v>10657</v>
      </c>
      <c r="HC9" t="s">
        <v>11449</v>
      </c>
      <c r="HH9" t="s">
        <v>12617</v>
      </c>
      <c r="HM9" t="s">
        <v>10820</v>
      </c>
      <c r="HW9" t="s">
        <v>11414</v>
      </c>
      <c r="IB9" t="s">
        <v>477</v>
      </c>
      <c r="IQ9" t="s">
        <v>13182</v>
      </c>
      <c r="IV9" t="s">
        <v>12993</v>
      </c>
      <c r="JA9" t="s">
        <v>1654</v>
      </c>
      <c r="JF9" t="s">
        <v>12012</v>
      </c>
      <c r="JU9" t="s">
        <v>3251</v>
      </c>
      <c r="JZ9" t="s">
        <v>12894</v>
      </c>
      <c r="KO9" t="s">
        <v>10820</v>
      </c>
      <c r="KY9" t="s">
        <v>11159</v>
      </c>
      <c r="LD9" t="s">
        <v>11467</v>
      </c>
      <c r="LI9" t="s">
        <v>10806</v>
      </c>
      <c r="LN9" t="s">
        <v>10746</v>
      </c>
      <c r="MC9" t="s">
        <v>12105</v>
      </c>
      <c r="MH9" t="s">
        <v>12419</v>
      </c>
      <c r="MM9" t="s">
        <v>13311</v>
      </c>
      <c r="MR9" t="s">
        <v>11768</v>
      </c>
      <c r="NG9" t="s">
        <v>12959</v>
      </c>
      <c r="NL9" t="s">
        <v>13197</v>
      </c>
      <c r="NQ9" t="s">
        <v>12982</v>
      </c>
      <c r="NV9" t="s">
        <v>11131</v>
      </c>
      <c r="OA9" t="s">
        <v>10820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F9"/>
  <sheetViews>
    <sheetView workbookViewId="0">
      <selection activeCell="K5" sqref="K5"/>
    </sheetView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114</v>
      </c>
      <c r="K1" s="1" t="s">
        <v>115</v>
      </c>
      <c r="U1" s="1" t="s">
        <v>116</v>
      </c>
      <c r="AE1" s="1" t="s">
        <v>117</v>
      </c>
      <c r="AO1" s="1" t="s">
        <v>118</v>
      </c>
      <c r="AY1" s="1" t="s">
        <v>119</v>
      </c>
      <c r="BI1" s="1" t="s">
        <v>120</v>
      </c>
      <c r="BS1" s="1" t="s">
        <v>121</v>
      </c>
      <c r="CC1" s="1" t="s">
        <v>122</v>
      </c>
      <c r="CM1" s="1" t="s">
        <v>123</v>
      </c>
      <c r="CW1" s="1" t="s">
        <v>124</v>
      </c>
      <c r="DG1" s="1" t="s">
        <v>125</v>
      </c>
      <c r="DQ1" s="1" t="s">
        <v>126</v>
      </c>
      <c r="EA1" s="1" t="s">
        <v>127</v>
      </c>
      <c r="EK1" s="1" t="s">
        <v>128</v>
      </c>
      <c r="EU1" s="1" t="s">
        <v>129</v>
      </c>
      <c r="FE1" s="1" t="s">
        <v>130</v>
      </c>
      <c r="FO1" s="1" t="s">
        <v>131</v>
      </c>
      <c r="FY1" s="1" t="s">
        <v>132</v>
      </c>
      <c r="GI1" s="1" t="s">
        <v>133</v>
      </c>
      <c r="GS1" s="1" t="s">
        <v>134</v>
      </c>
      <c r="HC1" s="1" t="s">
        <v>135</v>
      </c>
      <c r="HM1" s="1" t="s">
        <v>136</v>
      </c>
      <c r="HW1" s="1" t="s">
        <v>137</v>
      </c>
      <c r="IG1" s="1" t="s">
        <v>138</v>
      </c>
      <c r="IQ1" s="1" t="s">
        <v>139</v>
      </c>
      <c r="JA1" s="1" t="s">
        <v>140</v>
      </c>
      <c r="JK1" s="1" t="s">
        <v>141</v>
      </c>
      <c r="JU1" s="1" t="s">
        <v>142</v>
      </c>
      <c r="KE1" s="1" t="s">
        <v>143</v>
      </c>
      <c r="KO1" s="1" t="s">
        <v>144</v>
      </c>
      <c r="KY1" s="1" t="s">
        <v>145</v>
      </c>
      <c r="LI1" s="1" t="s">
        <v>146</v>
      </c>
      <c r="LS1" s="1" t="s">
        <v>147</v>
      </c>
      <c r="MC1" s="1" t="s">
        <v>148</v>
      </c>
      <c r="MM1" s="1" t="s">
        <v>149</v>
      </c>
      <c r="MW1" s="1" t="s">
        <v>150</v>
      </c>
      <c r="NG1" s="1" t="s">
        <v>151</v>
      </c>
      <c r="NQ1" s="1" t="s">
        <v>152</v>
      </c>
      <c r="OA1" s="1" t="s">
        <v>153</v>
      </c>
    </row>
    <row r="2" spans="1:396" x14ac:dyDescent="0.25">
      <c r="A2" s="2" t="s">
        <v>59</v>
      </c>
      <c r="K2" s="2" t="s">
        <v>154</v>
      </c>
      <c r="U2" s="2" t="s">
        <v>63</v>
      </c>
      <c r="AE2" s="2" t="s">
        <v>155</v>
      </c>
      <c r="AO2" s="2" t="s">
        <v>156</v>
      </c>
      <c r="AY2" s="2" t="s">
        <v>157</v>
      </c>
      <c r="BI2" s="2" t="s">
        <v>158</v>
      </c>
      <c r="BS2" s="2" t="s">
        <v>158</v>
      </c>
      <c r="CC2" s="2" t="s">
        <v>57</v>
      </c>
      <c r="CM2" s="2" t="s">
        <v>155</v>
      </c>
      <c r="CW2" s="2" t="s">
        <v>159</v>
      </c>
      <c r="DG2" s="2" t="s">
        <v>160</v>
      </c>
      <c r="DQ2" s="2" t="s">
        <v>161</v>
      </c>
      <c r="EA2" s="2" t="s">
        <v>162</v>
      </c>
      <c r="EK2" s="2" t="s">
        <v>163</v>
      </c>
      <c r="EU2" s="2" t="s">
        <v>164</v>
      </c>
      <c r="FE2" s="2" t="s">
        <v>61</v>
      </c>
      <c r="FO2" s="2" t="s">
        <v>64</v>
      </c>
      <c r="FY2" s="2" t="s">
        <v>165</v>
      </c>
      <c r="GI2" s="2" t="s">
        <v>166</v>
      </c>
      <c r="GS2" s="2" t="s">
        <v>64</v>
      </c>
      <c r="HC2" s="2" t="s">
        <v>50</v>
      </c>
      <c r="HM2" s="2" t="s">
        <v>167</v>
      </c>
      <c r="HW2" s="2" t="s">
        <v>168</v>
      </c>
      <c r="IG2" s="2" t="s">
        <v>169</v>
      </c>
      <c r="IQ2" s="2" t="s">
        <v>42</v>
      </c>
      <c r="JA2" s="2" t="s">
        <v>170</v>
      </c>
      <c r="JK2" s="2" t="s">
        <v>171</v>
      </c>
      <c r="JU2" s="2" t="s">
        <v>172</v>
      </c>
      <c r="KE2" s="2" t="s">
        <v>173</v>
      </c>
      <c r="KO2" s="2" t="s">
        <v>174</v>
      </c>
      <c r="KY2" s="2" t="s">
        <v>175</v>
      </c>
      <c r="LI2" s="2" t="s">
        <v>64</v>
      </c>
      <c r="LS2" s="2" t="s">
        <v>64</v>
      </c>
      <c r="MC2" s="2" t="s">
        <v>64</v>
      </c>
      <c r="MM2" s="2" t="s">
        <v>64</v>
      </c>
      <c r="MW2" s="2" t="s">
        <v>64</v>
      </c>
      <c r="NG2" s="2" t="s">
        <v>176</v>
      </c>
      <c r="NQ2" s="2" t="s">
        <v>177</v>
      </c>
      <c r="OA2" s="2" t="s">
        <v>64</v>
      </c>
    </row>
    <row r="3" spans="1:396" x14ac:dyDescent="0.25">
      <c r="A3" t="s">
        <v>178</v>
      </c>
      <c r="K3" t="s">
        <v>179</v>
      </c>
      <c r="U3" t="s">
        <v>180</v>
      </c>
      <c r="AE3" t="s">
        <v>181</v>
      </c>
      <c r="AO3" t="s">
        <v>182</v>
      </c>
      <c r="AY3" t="s">
        <v>183</v>
      </c>
      <c r="BI3" t="s">
        <v>184</v>
      </c>
      <c r="BS3" t="s">
        <v>185</v>
      </c>
      <c r="CC3" t="s">
        <v>186</v>
      </c>
      <c r="CM3" t="s">
        <v>187</v>
      </c>
      <c r="CW3" t="s">
        <v>188</v>
      </c>
      <c r="DG3" t="s">
        <v>189</v>
      </c>
      <c r="DQ3" t="s">
        <v>190</v>
      </c>
      <c r="EA3" t="s">
        <v>191</v>
      </c>
      <c r="EK3" t="s">
        <v>192</v>
      </c>
      <c r="EU3" t="s">
        <v>193</v>
      </c>
      <c r="FE3" t="s">
        <v>194</v>
      </c>
      <c r="FO3" t="s">
        <v>195</v>
      </c>
      <c r="FY3" t="s">
        <v>196</v>
      </c>
      <c r="GI3" t="s">
        <v>197</v>
      </c>
      <c r="GS3" t="s">
        <v>198</v>
      </c>
      <c r="HC3" t="s">
        <v>199</v>
      </c>
      <c r="HM3" t="s">
        <v>200</v>
      </c>
      <c r="HW3" t="s">
        <v>201</v>
      </c>
      <c r="IG3" t="s">
        <v>202</v>
      </c>
      <c r="IQ3" t="s">
        <v>203</v>
      </c>
      <c r="JA3" t="s">
        <v>204</v>
      </c>
      <c r="JK3" t="s">
        <v>205</v>
      </c>
      <c r="JU3" t="s">
        <v>206</v>
      </c>
      <c r="KE3" t="s">
        <v>207</v>
      </c>
      <c r="KO3" t="s">
        <v>208</v>
      </c>
      <c r="KY3" t="s">
        <v>209</v>
      </c>
      <c r="LI3" t="s">
        <v>210</v>
      </c>
      <c r="LS3" t="s">
        <v>211</v>
      </c>
      <c r="MC3" t="s">
        <v>212</v>
      </c>
      <c r="MM3" t="s">
        <v>213</v>
      </c>
      <c r="MW3" t="s">
        <v>214</v>
      </c>
      <c r="NG3" t="s">
        <v>215</v>
      </c>
      <c r="NQ3" t="s">
        <v>216</v>
      </c>
      <c r="OA3" t="s">
        <v>217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_xll.BDS("653707Q US Equity","SUPPLY_CHAIN_SUPPLIERS","RELATIONSHIP_AS_OF_DATE","19980624")</f>
        <v>#N/A N/A</v>
      </c>
      <c r="F5" t="str">
        <f>_xll.BDS("653707Q US Equity","SUPPLY_CHAIN_CUSTOMERS","RELATIONSHIP_AS_OF_DATE","19980624")</f>
        <v>#N/A N/A</v>
      </c>
      <c r="K5" t="str">
        <f>_xll.BDS("FISV US Equity","SUPPLY_CHAIN_SUPPLIERS","RELATIONSHIP_AS_OF_DATE","20190116","cols=1;rows=5")</f>
        <v>ADBE US Equity</v>
      </c>
      <c r="P5" t="str">
        <f>_xll.BDS("FISV US Equity","SUPPLY_CHAIN_CUSTOMERS","RELATIONSHIP_AS_OF_DATE","20190116","cols=1;rows=5")</f>
        <v>ALE PW Equity</v>
      </c>
      <c r="U5" t="str">
        <f>_xll.BDS("KMI US Equity","SUPPLY_CHAIN_SUPPLIERS","RELATIONSHIP_AS_OF_DATE","20111016","cols=1;rows=5")</f>
        <v>PWR US Equity</v>
      </c>
      <c r="Z5" t="str">
        <f>_xll.BDS("KMI US Equity","SUPPLY_CHAIN_CUSTOMERS","RELATIONSHIP_AS_OF_DATE","20111016","cols=1;rows=5")</f>
        <v>TX US Equity</v>
      </c>
      <c r="AE5" t="str">
        <f>_xll.BDS("VIAV US Equity","SUPPLY_CHAIN_SUPPLIERS","RELATIONSHIP_AS_OF_DATE","20000710","cols=1;rows=5")</f>
        <v>TCS IN Equity</v>
      </c>
      <c r="AJ5" t="str">
        <f>_xll.BDS("VIAV US Equity","SUPPLY_CHAIN_CUSTOMERS","RELATIONSHIP_AS_OF_DATE","20000710","cols=1;rows=5")</f>
        <v>582647Z SW Equity</v>
      </c>
      <c r="AO5" t="str">
        <f>_xll.BDS("COP US Equity","SUPPLY_CHAIN_SUPPLIERS","RELATIONSHIP_AS_OF_DATE","20051212","cols=1;rows=5")</f>
        <v>TEN IM Equity</v>
      </c>
      <c r="AT5" t="str">
        <f>_xll.BDS("COP US Equity","SUPPLY_CHAIN_CUSTOMERS","RELATIONSHIP_AS_OF_DATE","20051212","cols=1;rows=5")</f>
        <v>386 HK Equity</v>
      </c>
      <c r="AY5" t="str">
        <f>_xll.BDS("WCOEQ US Equity","SUPPLY_CHAIN_SUPPLIERS","RELATIONSHIP_AS_OF_DATE","19971001")</f>
        <v>#N/A N/A</v>
      </c>
      <c r="BD5" t="str">
        <f>_xll.BDS("WCOEQ US Equity","SUPPLY_CHAIN_CUSTOMERS","RELATIONSHIP_AS_OF_DATE","19971001")</f>
        <v>#N/A N/A</v>
      </c>
      <c r="BI5" t="str">
        <f>_xll.BDS("BRK/A US Equity","SUPPLY_CHAIN_SUPPLIERS","RELATIONSHIP_AS_OF_DATE","20091103","cols=1;rows=5")</f>
        <v>HSY US Equity</v>
      </c>
      <c r="BN5" t="str">
        <f>_xll.BDS("BRK/A US Equity","SUPPLY_CHAIN_CUSTOMERS","RELATIONSHIP_AS_OF_DATE","20091103","cols=1;rows=5")</f>
        <v>WMT US Equity</v>
      </c>
      <c r="BS5" t="str">
        <f>_xll.BDS("BRK/A US Equity","SUPPLY_CHAIN_SUPPLIERS","RELATIONSHIP_AS_OF_DATE","20150810","cols=1;rows=5")</f>
        <v>HSY US Equity</v>
      </c>
      <c r="BX5" t="str">
        <f>_xll.BDS("BRK/A US Equity","SUPPLY_CHAIN_CUSTOMERS","RELATIONSHIP_AS_OF_DATE","20150810","cols=1;rows=5")</f>
        <v>WMT US Equity</v>
      </c>
      <c r="CC5" t="str">
        <f>_xll.BDS("BAC US Equity","SUPPLY_CHAIN_SUPPLIERS","RELATIONSHIP_AS_OF_DATE","20050630","cols=1;rows=5")</f>
        <v>ORCL US Equity</v>
      </c>
      <c r="CH5" t="str">
        <f>_xll.BDS("BAC US Equity","SUPPLY_CHAIN_CUSTOMERS","RELATIONSHIP_AS_OF_DATE","20050630","cols=1;rows=4")</f>
        <v>3147564Z US Equity</v>
      </c>
      <c r="CM5" t="str">
        <f>_xll.BDS("VIAV US Equity","SUPPLY_CHAIN_SUPPLIERS","RELATIONSHIP_AS_OF_DATE","20000118","cols=1;rows=5")</f>
        <v>TCS IN Equity</v>
      </c>
      <c r="CR5" t="str">
        <f>_xll.BDS("VIAV US Equity","SUPPLY_CHAIN_CUSTOMERS","RELATIONSHIP_AS_OF_DATE","20000118","cols=1;rows=5")</f>
        <v>582647Z SW Equity</v>
      </c>
      <c r="CW5" t="str">
        <f>_xll.BDS("ESRX US Equity","SUPPLY_CHAIN_SUPPLIERS","RELATIONSHIP_AS_OF_DATE","20110721")</f>
        <v>FE US Equity</v>
      </c>
      <c r="DB5" t="str">
        <f>_xll.BDS("ESRX US Equity","SUPPLY_CHAIN_CUSTOMERS","RELATIONSHIP_AS_OF_DATE","20110721")</f>
        <v>#N/A N/A</v>
      </c>
      <c r="DG5" t="str">
        <f>_xll.BDS("PARA US Equity","SUPPLY_CHAIN_SUPPLIERS","RELATIONSHIP_AS_OF_DATE","19990907","cols=1;rows=5")</f>
        <v>GTN US Equity</v>
      </c>
      <c r="DL5" t="str">
        <f>_xll.BDS("PARA US Equity","SUPPLY_CHAIN_CUSTOMERS","RELATIONSHIP_AS_OF_DATE","19990907","cols=1;rows=5")</f>
        <v>002293 CH Equity</v>
      </c>
      <c r="DQ5" t="str">
        <f>_xll.BDS("BX US Equity","SUPPLY_CHAIN_SUPPLIERS","RELATIONSHIP_AS_OF_DATE","20061120","cols=1;rows=5")</f>
        <v>ORCL US Equity</v>
      </c>
      <c r="DV5" t="str">
        <f>_xll.BDS("BX US Equity","SUPPLY_CHAIN_CUSTOMERS","RELATIONSHIP_AS_OF_DATE","20061120","cols=1;rows=5")</f>
        <v>002284 CH Equity</v>
      </c>
      <c r="EA5" t="str">
        <f>_xll.BDS("AMD US Equity","SUPPLY_CHAIN_SUPPLIERS","RELATIONSHIP_AS_OF_DATE","20201027","cols=1;rows=5")</f>
        <v>2330 TT Equity</v>
      </c>
      <c r="EF5" t="str">
        <f>_xll.BDS("AMD US Equity","SUPPLY_CHAIN_CUSTOMERS","RELATIONSHIP_AS_OF_DATE","20201027","cols=1;rows=5")</f>
        <v>HPQ US Equity</v>
      </c>
      <c r="EK5" t="str">
        <f>_xll.BDS("WPZ US Equity","SUPPLY_CHAIN_SUPPLIERS","RELATIONSHIP_AS_OF_DATE","20141026")</f>
        <v>#N/A N/A</v>
      </c>
      <c r="EP5" t="str">
        <f>_xll.BDS("WPZ US Equity","SUPPLY_CHAIN_CUSTOMERS","RELATIONSHIP_AS_OF_DATE","20141026")</f>
        <v>#N/A N/A</v>
      </c>
      <c r="EU5" t="str">
        <f>_xll.BDS("LUMN US Equity","SUPPLY_CHAIN_SUPPLIERS","RELATIONSHIP_AS_OF_DATE","20161031","cols=1;rows=5")</f>
        <v>DY US Equity</v>
      </c>
      <c r="EZ5" t="str">
        <f>_xll.BDS("LUMN US Equity","SUPPLY_CHAIN_CUSTOMERS","RELATIONSHIP_AS_OF_DATE","20161031","cols=1;rows=5")</f>
        <v>728 HK Equity</v>
      </c>
      <c r="FE5" t="str">
        <f>_xll.BDS("JPM US Equity","SUPPLY_CHAIN_SUPPLIERS","RELATIONSHIP_AS_OF_DATE","20000913","cols=1;rows=5")</f>
        <v>LUV US Equity</v>
      </c>
      <c r="FJ5" t="str">
        <f>_xll.BDS("JPM US Equity","SUPPLY_CHAIN_CUSTOMERS","RELATIONSHIP_AS_OF_DATE","20000913","cols=1;rows=5")</f>
        <v>000737 CH Equity</v>
      </c>
      <c r="FO5" t="str">
        <f>_xll.BDS("nan Equity","SUPPLY_CHAIN_SUPPLIERS","RELATIONSHIP_AS_OF_DATE","20060724")</f>
        <v>#N/A N/A</v>
      </c>
      <c r="FT5" t="str">
        <f>_xll.BDS("nan Equity","SUPPLY_CHAIN_CUSTOMERS","RELATIONSHIP_AS_OF_DATE","20060724")</f>
        <v>#N/A N/A</v>
      </c>
      <c r="FY5" t="str">
        <f>_xll.BDS("IBM US Equity","SUPPLY_CHAIN_SUPPLIERS","RELATIONSHIP_AS_OF_DATE","20181028","cols=1;rows=5")</f>
        <v>005930 KS Equity</v>
      </c>
      <c r="GD5" t="str">
        <f>_xll.BDS("IBM US Equity","SUPPLY_CHAIN_CUSTOMERS","RELATIONSHIP_AS_OF_DATE","20181028","cols=1;rows=5")</f>
        <v>AMZN US Equity</v>
      </c>
      <c r="GI5" t="str">
        <f>_xll.BDS("WFC US Equity","SUPPLY_CHAIN_SUPPLIERS","RELATIONSHIP_AS_OF_DATE","19980608","cols=1;rows=5")</f>
        <v>ADBE US Equity</v>
      </c>
      <c r="GN5" t="str">
        <f>_xll.BDS("WFC US Equity","SUPPLY_CHAIN_CUSTOMERS","RELATIONSHIP_AS_OF_DATE","19980608","cols=1;rows=5")</f>
        <v>CDW US Equity</v>
      </c>
      <c r="GS5" t="str">
        <f>_xll.BDS("nan Equity","SUPPLY_CHAIN_SUPPLIERS","RELATIONSHIP_AS_OF_DATE","20100308")</f>
        <v>#N/A N/A</v>
      </c>
      <c r="GX5" t="str">
        <f>_xll.BDS("nan Equity","SUPPLY_CHAIN_CUSTOMERS","RELATIONSHIP_AS_OF_DATE","20100308")</f>
        <v>#N/A N/A</v>
      </c>
      <c r="HC5" t="str">
        <f>_xll.BDS("C US Equity","SUPPLY_CHAIN_SUPPLIERS","RELATIONSHIP_AS_OF_DATE","20000906","cols=1;rows=5")</f>
        <v>ORCL US Equity</v>
      </c>
      <c r="HH5" t="str">
        <f>_xll.BDS("C US Equity","SUPPLY_CHAIN_CUSTOMERS","RELATIONSHIP_AS_OF_DATE","20000906","cols=1;rows=5")</f>
        <v>ANTO LN Equity</v>
      </c>
      <c r="HM5" t="str">
        <f>_xll.BDS("ABT US Equity","SUPPLY_CHAIN_SUPPLIERS","RELATIONSHIP_AS_OF_DATE","20160428","cols=1;rows=5")</f>
        <v>MSFT US Equity</v>
      </c>
      <c r="HR5" t="str">
        <f>_xll.BDS("ABT US Equity","SUPPLY_CHAIN_CUSTOMERS","RELATIONSHIP_AS_OF_DATE","20160428","cols=1;rows=5")</f>
        <v>SNX US Equity</v>
      </c>
      <c r="HW5" t="str">
        <f>_xll.BDS("SCHW US Equity","SUPPLY_CHAIN_SUPPLIERS","RELATIONSHIP_AS_OF_DATE","20191125","cols=1;rows=5")</f>
        <v>ADBE US Equity</v>
      </c>
      <c r="IB5" t="str">
        <f>_xll.BDS("SCHW US Equity","SUPPLY_CHAIN_CUSTOMERS","RELATIONSHIP_AS_OF_DATE","20191125")</f>
        <v>CNDT US Equity</v>
      </c>
      <c r="IG5" t="str">
        <f>_xll.BDS("3621240Q US Equity","SUPPLY_CHAIN_SUPPLIERS","RELATIONSHIP_AS_OF_DATE","19980413")</f>
        <v>#N/A N/A</v>
      </c>
      <c r="IL5" t="str">
        <f>_xll.BDS("3621240Q US Equity","SUPPLY_CHAIN_CUSTOMERS","RELATIONSHIP_AS_OF_DATE","19980413")</f>
        <v>#N/A N/A</v>
      </c>
      <c r="IQ5" t="str">
        <f>_xll.BDS("RTX US Equity","SUPPLY_CHAIN_SUPPLIERS","RELATIONSHIP_AS_OF_DATE","20170905","cols=1;rows=5")</f>
        <v>MTX GR Equity</v>
      </c>
      <c r="IV5" t="str">
        <f>_xll.BDS("RTX US Equity","SUPPLY_CHAIN_CUSTOMERS","RELATIONSHIP_AS_OF_DATE","20170905","cols=1;rows=5")</f>
        <v>3352Z US Equity</v>
      </c>
      <c r="JA5" t="str">
        <f>_xll.BDS("MPC US Equity","SUPPLY_CHAIN_SUPPLIERS","RELATIONSHIP_AS_OF_DATE","20180430","cols=1;rows=5")</f>
        <v>MPLX US Equity</v>
      </c>
      <c r="JF5" t="str">
        <f>_xll.BDS("MPC US Equity","SUPPLY_CHAIN_CUSTOMERS","RELATIONSHIP_AS_OF_DATE","20180430","cols=1;rows=5")</f>
        <v>3382 JP Equity</v>
      </c>
      <c r="JK5" t="str">
        <f>_xll.BDS("ORCL US Equity","SUPPLY_CHAIN_SUPPLIERS","RELATIONSHIP_AS_OF_DATE","20211220","cols=1;rows=5")</f>
        <v>NVDA US Equity</v>
      </c>
      <c r="JP5" t="str">
        <f>_xll.BDS("ORCL US Equity","SUPPLY_CHAIN_CUSTOMERS","RELATIONSHIP_AS_OF_DATE","20211220","cols=1;rows=5")</f>
        <v>ACN US Equity</v>
      </c>
      <c r="JU5" t="str">
        <f>_xll.BDS("CB US Equity","SUPPLY_CHAIN_SUPPLIERS","RELATIONSHIP_AS_OF_DATE","20150701","cols=1;rows=5")</f>
        <v>049480 KS Equity</v>
      </c>
      <c r="JZ5" t="str">
        <f>_xll.BDS("CB US Equity","SUPPLY_CHAIN_CUSTOMERS","RELATIONSHIP_AS_OF_DATE","20150701")</f>
        <v>NSP US Equity</v>
      </c>
      <c r="KE5" t="str">
        <f>_xll.BDS("JCI US Equity","SUPPLY_CHAIN_SUPPLIERS","RELATIONSHIP_AS_OF_DATE","20160125","cols=1;rows=5")</f>
        <v>KE US Equity</v>
      </c>
      <c r="KJ5" t="str">
        <f>_xll.BDS("JCI US Equity","SUPPLY_CHAIN_CUSTOMERS","RELATIONSHIP_AS_OF_DATE","20160125","cols=1;rows=5")</f>
        <v>WSO US Equity</v>
      </c>
      <c r="KO5" t="str">
        <f>_xll.BDS("CZR US Equity","SUPPLY_CHAIN_SUPPLIERS","RELATIONSHIP_AS_OF_DATE","20190624","cols=1;rows=5")</f>
        <v>VICI US Equity</v>
      </c>
      <c r="KT5" t="str">
        <f>_xll.BDS("CZR US Equity","SUPPLY_CHAIN_CUSTOMERS","RELATIONSHIP_AS_OF_DATE","20190624","cols=1;rows=4")</f>
        <v>0127957D US Equity</v>
      </c>
      <c r="KY5" t="str">
        <f>_xll.BDS("TFC US Equity","SUPPLY_CHAIN_SUPPLIERS","RELATIONSHIP_AS_OF_DATE","20190207","cols=1;rows=5")</f>
        <v>ADBE US Equity</v>
      </c>
      <c r="LD5" t="str">
        <f>_xll.BDS("TFC US Equity","SUPPLY_CHAIN_CUSTOMERS","RELATIONSHIP_AS_OF_DATE","20190207")</f>
        <v>RENG IN Equity</v>
      </c>
      <c r="LI5" t="str">
        <f>_xll.BDS("nan Equity","SUPPLY_CHAIN_SUPPLIERS","RELATIONSHIP_AS_OF_DATE","20130214")</f>
        <v>#N/A N/A</v>
      </c>
      <c r="LN5" t="str">
        <f>_xll.BDS("nan Equity","SUPPLY_CHAIN_CUSTOMERS","RELATIONSHIP_AS_OF_DATE","20130214")</f>
        <v>#N/A N/A</v>
      </c>
      <c r="LS5" t="str">
        <f>_xll.BDS("nan Equity","SUPPLY_CHAIN_SUPPLIERS","RELATIONSHIP_AS_OF_DATE","20070402")</f>
        <v>#N/A N/A</v>
      </c>
      <c r="LX5" t="str">
        <f>_xll.BDS("nan Equity","SUPPLY_CHAIN_CUSTOMERS","RELATIONSHIP_AS_OF_DATE","20070402")</f>
        <v>#N/A N/A</v>
      </c>
      <c r="MC5" t="str">
        <f>_xll.BDS("nan Equity","SUPPLY_CHAIN_SUPPLIERS","RELATIONSHIP_AS_OF_DATE","20060529")</f>
        <v>#N/A N/A</v>
      </c>
      <c r="MH5" t="str">
        <f>_xll.BDS("nan Equity","SUPPLY_CHAIN_CUSTOMERS","RELATIONSHIP_AS_OF_DATE","20060529")</f>
        <v>#N/A N/A</v>
      </c>
      <c r="MM5" t="str">
        <f>_xll.BDS("nan Equity","SUPPLY_CHAIN_SUPPLIERS","RELATIONSHIP_AS_OF_DATE","20061002")</f>
        <v>#N/A N/A</v>
      </c>
      <c r="MR5" t="str">
        <f>_xll.BDS("nan Equity","SUPPLY_CHAIN_CUSTOMERS","RELATIONSHIP_AS_OF_DATE","20061002")</f>
        <v>#N/A N/A</v>
      </c>
      <c r="MW5" t="str">
        <f>_xll.BDS("nan Equity","SUPPLY_CHAIN_SUPPLIERS","RELATIONSHIP_AS_OF_DATE","20070521")</f>
        <v>#N/A N/A</v>
      </c>
      <c r="NB5" t="str">
        <f>_xll.BDS("nan Equity","SUPPLY_CHAIN_CUSTOMERS","RELATIONSHIP_AS_OF_DATE","20070521")</f>
        <v>#N/A N/A</v>
      </c>
      <c r="NG5" t="str">
        <f>_xll.BDS("RAI US Equity","SUPPLY_CHAIN_SUPPLIERS","RELATIONSHIP_AS_OF_DATE","20140715")</f>
        <v>#N/A N/A</v>
      </c>
      <c r="NL5" t="str">
        <f>_xll.BDS("RAI US Equity","SUPPLY_CHAIN_CUSTOMERS","RELATIONSHIP_AS_OF_DATE","20140715")</f>
        <v>#N/A N/A</v>
      </c>
      <c r="NQ5" t="str">
        <f>_xll.BDS("PLD US Equity","SUPPLY_CHAIN_SUPPLIERS","RELATIONSHIP_AS_OF_DATE","20220613","cols=1;rows=5")</f>
        <v>SALFACOR CI Equity</v>
      </c>
      <c r="NV5" t="str">
        <f>_xll.BDS("PLD US Equity","SUPPLY_CHAIN_CUSTOMERS","RELATIONSHIP_AS_OF_DATE","20220613","cols=1;rows=5")</f>
        <v>AMZN US Equity</v>
      </c>
      <c r="OA5" t="str">
        <f>_xll.BDS("nan Equity","SUPPLY_CHAIN_SUPPLIERS","RELATIONSHIP_AS_OF_DATE","20070703")</f>
        <v>#N/A N/A</v>
      </c>
      <c r="OF5" t="str">
        <f>_xll.BDS("nan Equity","SUPPLY_CHAIN_CUSTOMERS","RELATIONSHIP_AS_OF_DATE","20070703")</f>
        <v>#N/A N/A</v>
      </c>
    </row>
    <row r="6" spans="1:396" x14ac:dyDescent="0.25">
      <c r="K6" t="s">
        <v>11073</v>
      </c>
      <c r="P6" t="s">
        <v>11033</v>
      </c>
      <c r="U6" t="s">
        <v>7384</v>
      </c>
      <c r="Z6" t="s">
        <v>11678</v>
      </c>
      <c r="AE6" t="s">
        <v>5575</v>
      </c>
      <c r="AJ6" t="s">
        <v>5236</v>
      </c>
      <c r="AO6" t="s">
        <v>13312</v>
      </c>
      <c r="AT6" t="s">
        <v>11823</v>
      </c>
      <c r="BI6" t="s">
        <v>2792</v>
      </c>
      <c r="BN6" t="s">
        <v>10677</v>
      </c>
      <c r="BS6" t="s">
        <v>2792</v>
      </c>
      <c r="BX6" t="s">
        <v>10677</v>
      </c>
      <c r="CC6" t="s">
        <v>1654</v>
      </c>
      <c r="CH6" t="s">
        <v>2208</v>
      </c>
      <c r="CM6" t="s">
        <v>5575</v>
      </c>
      <c r="CR6" t="s">
        <v>5236</v>
      </c>
      <c r="DG6" t="s">
        <v>11838</v>
      </c>
      <c r="DL6" t="s">
        <v>11076</v>
      </c>
      <c r="DQ6" t="s">
        <v>7544</v>
      </c>
      <c r="DV6" t="s">
        <v>11020</v>
      </c>
      <c r="EA6" t="s">
        <v>10892</v>
      </c>
      <c r="EF6" t="s">
        <v>11084</v>
      </c>
      <c r="EU6" t="s">
        <v>2606</v>
      </c>
      <c r="EZ6" t="s">
        <v>10660</v>
      </c>
      <c r="FE6" t="s">
        <v>3865</v>
      </c>
      <c r="FJ6" t="s">
        <v>12010</v>
      </c>
      <c r="FY6" t="s">
        <v>41</v>
      </c>
      <c r="GD6" t="s">
        <v>266</v>
      </c>
      <c r="GI6" t="s">
        <v>10986</v>
      </c>
      <c r="GN6" t="s">
        <v>11473</v>
      </c>
      <c r="HC6" t="s">
        <v>1654</v>
      </c>
      <c r="HH6" t="s">
        <v>12472</v>
      </c>
      <c r="HM6" t="s">
        <v>10838</v>
      </c>
      <c r="HR6" t="s">
        <v>6626</v>
      </c>
      <c r="HW6" t="s">
        <v>11787</v>
      </c>
      <c r="IQ6" t="s">
        <v>11802</v>
      </c>
      <c r="IV6" t="s">
        <v>10939</v>
      </c>
      <c r="JA6" t="s">
        <v>10940</v>
      </c>
      <c r="JF6" t="s">
        <v>13267</v>
      </c>
      <c r="JK6" t="s">
        <v>162</v>
      </c>
      <c r="JP6" t="s">
        <v>469</v>
      </c>
      <c r="JU6" t="s">
        <v>11951</v>
      </c>
      <c r="KE6" t="s">
        <v>586</v>
      </c>
      <c r="KJ6" t="s">
        <v>10680</v>
      </c>
      <c r="KO6" t="s">
        <v>1069</v>
      </c>
      <c r="KT6" t="s">
        <v>12245</v>
      </c>
      <c r="KY6" t="s">
        <v>11371</v>
      </c>
      <c r="NQ6" t="s">
        <v>13165</v>
      </c>
      <c r="NV6" t="s">
        <v>570</v>
      </c>
    </row>
    <row r="7" spans="1:396" x14ac:dyDescent="0.25">
      <c r="K7" t="s">
        <v>11074</v>
      </c>
      <c r="P7" t="s">
        <v>11034</v>
      </c>
      <c r="U7" t="s">
        <v>12741</v>
      </c>
      <c r="Z7" t="s">
        <v>12893</v>
      </c>
      <c r="AE7" t="s">
        <v>11675</v>
      </c>
      <c r="AJ7" t="s">
        <v>41</v>
      </c>
      <c r="AO7" t="s">
        <v>684</v>
      </c>
      <c r="AT7" t="s">
        <v>13265</v>
      </c>
      <c r="BI7" t="s">
        <v>10737</v>
      </c>
      <c r="BN7" t="s">
        <v>4642</v>
      </c>
      <c r="BS7" t="s">
        <v>10737</v>
      </c>
      <c r="BX7" t="s">
        <v>4642</v>
      </c>
      <c r="CC7" t="s">
        <v>10986</v>
      </c>
      <c r="CH7" t="s">
        <v>11174</v>
      </c>
      <c r="CM7" t="s">
        <v>11675</v>
      </c>
      <c r="CR7" t="s">
        <v>41</v>
      </c>
      <c r="DG7" t="s">
        <v>7300</v>
      </c>
      <c r="DL7" t="s">
        <v>11077</v>
      </c>
      <c r="DQ7" t="s">
        <v>11054</v>
      </c>
      <c r="DV7" t="s">
        <v>11021</v>
      </c>
      <c r="EA7" t="s">
        <v>12951</v>
      </c>
      <c r="EF7" t="s">
        <v>3519</v>
      </c>
      <c r="EU7" t="s">
        <v>3066</v>
      </c>
      <c r="EZ7" t="s">
        <v>10680</v>
      </c>
      <c r="FE7" t="s">
        <v>12022</v>
      </c>
      <c r="FJ7" t="s">
        <v>12011</v>
      </c>
      <c r="FY7" t="s">
        <v>469</v>
      </c>
      <c r="GD7" t="s">
        <v>10892</v>
      </c>
      <c r="GI7" t="s">
        <v>988</v>
      </c>
      <c r="GN7" t="s">
        <v>10787</v>
      </c>
      <c r="HC7" t="s">
        <v>11492</v>
      </c>
      <c r="HH7" t="s">
        <v>10913</v>
      </c>
      <c r="HM7" t="s">
        <v>10814</v>
      </c>
      <c r="HR7" t="s">
        <v>12013</v>
      </c>
      <c r="HW7" t="s">
        <v>12190</v>
      </c>
      <c r="IQ7" t="s">
        <v>11009</v>
      </c>
      <c r="IV7" t="s">
        <v>1363</v>
      </c>
      <c r="JA7" t="s">
        <v>3066</v>
      </c>
      <c r="JF7" t="s">
        <v>12505</v>
      </c>
      <c r="JK7" t="s">
        <v>279</v>
      </c>
      <c r="JP7" t="s">
        <v>2881</v>
      </c>
      <c r="JU7" t="s">
        <v>11952</v>
      </c>
      <c r="KE7" t="s">
        <v>273</v>
      </c>
      <c r="KJ7" t="s">
        <v>12903</v>
      </c>
      <c r="KO7" t="s">
        <v>171</v>
      </c>
      <c r="KT7" t="s">
        <v>10700</v>
      </c>
      <c r="KY7" t="s">
        <v>10986</v>
      </c>
      <c r="NQ7" t="s">
        <v>13166</v>
      </c>
      <c r="NV7" t="s">
        <v>3073</v>
      </c>
    </row>
    <row r="8" spans="1:396" x14ac:dyDescent="0.25">
      <c r="K8" t="s">
        <v>10987</v>
      </c>
      <c r="P8" t="s">
        <v>11035</v>
      </c>
      <c r="U8" t="s">
        <v>11312</v>
      </c>
      <c r="Z8" t="s">
        <v>11173</v>
      </c>
      <c r="AE8" t="s">
        <v>11676</v>
      </c>
      <c r="AJ8" t="s">
        <v>969</v>
      </c>
      <c r="AO8" t="s">
        <v>13313</v>
      </c>
      <c r="AT8" t="s">
        <v>11279</v>
      </c>
      <c r="BI8" t="s">
        <v>4475</v>
      </c>
      <c r="BN8" t="s">
        <v>1363</v>
      </c>
      <c r="BS8" t="s">
        <v>4475</v>
      </c>
      <c r="BX8" t="s">
        <v>1363</v>
      </c>
      <c r="CC8" t="s">
        <v>11188</v>
      </c>
      <c r="CH8" t="s">
        <v>11175</v>
      </c>
      <c r="CM8" t="s">
        <v>11676</v>
      </c>
      <c r="CR8" t="s">
        <v>969</v>
      </c>
      <c r="DG8" t="s">
        <v>11839</v>
      </c>
      <c r="DL8" t="s">
        <v>11078</v>
      </c>
      <c r="DQ8" t="s">
        <v>11055</v>
      </c>
      <c r="DV8" t="s">
        <v>11022</v>
      </c>
      <c r="EA8" t="s">
        <v>10859</v>
      </c>
      <c r="EF8" t="s">
        <v>10732</v>
      </c>
      <c r="EU8" t="s">
        <v>11546</v>
      </c>
      <c r="EZ8" t="s">
        <v>3522</v>
      </c>
      <c r="FE8" t="s">
        <v>171</v>
      </c>
      <c r="FJ8" t="s">
        <v>10657</v>
      </c>
      <c r="FY8" t="s">
        <v>2881</v>
      </c>
      <c r="GD8" t="s">
        <v>6473</v>
      </c>
      <c r="GI8" t="s">
        <v>1548</v>
      </c>
      <c r="GN8" t="s">
        <v>3340</v>
      </c>
      <c r="HC8" t="s">
        <v>11349</v>
      </c>
      <c r="HH8" t="s">
        <v>1741</v>
      </c>
      <c r="HM8" t="s">
        <v>11414</v>
      </c>
      <c r="HR8" t="s">
        <v>12014</v>
      </c>
      <c r="HW8" t="s">
        <v>11964</v>
      </c>
      <c r="IQ8" t="s">
        <v>158</v>
      </c>
      <c r="IV8" t="s">
        <v>10785</v>
      </c>
      <c r="JA8" t="s">
        <v>11508</v>
      </c>
      <c r="JF8" t="s">
        <v>11278</v>
      </c>
      <c r="JK8" t="s">
        <v>10818</v>
      </c>
      <c r="JP8" t="s">
        <v>52</v>
      </c>
      <c r="JU8" t="s">
        <v>11953</v>
      </c>
      <c r="KE8" t="s">
        <v>12932</v>
      </c>
      <c r="KJ8" t="s">
        <v>1927</v>
      </c>
      <c r="KO8" t="s">
        <v>1654</v>
      </c>
      <c r="KT8" t="s">
        <v>12246</v>
      </c>
      <c r="KY8" t="s">
        <v>11372</v>
      </c>
      <c r="NQ8" t="s">
        <v>13167</v>
      </c>
      <c r="NV8" t="s">
        <v>2967</v>
      </c>
    </row>
    <row r="9" spans="1:396" x14ac:dyDescent="0.25">
      <c r="K9" t="s">
        <v>11075</v>
      </c>
      <c r="P9" t="s">
        <v>11036</v>
      </c>
      <c r="U9" t="s">
        <v>3251</v>
      </c>
      <c r="Z9" t="s">
        <v>12894</v>
      </c>
      <c r="AE9" t="s">
        <v>682</v>
      </c>
      <c r="AJ9" t="s">
        <v>11376</v>
      </c>
      <c r="AO9" t="s">
        <v>4211</v>
      </c>
      <c r="AT9" t="s">
        <v>11403</v>
      </c>
      <c r="BI9" t="s">
        <v>10738</v>
      </c>
      <c r="BN9" t="s">
        <v>42</v>
      </c>
      <c r="BS9" t="s">
        <v>10738</v>
      </c>
      <c r="BX9" t="s">
        <v>42</v>
      </c>
      <c r="CC9" t="s">
        <v>10820</v>
      </c>
      <c r="CM9" t="s">
        <v>682</v>
      </c>
      <c r="CR9" t="s">
        <v>11376</v>
      </c>
      <c r="DG9" t="s">
        <v>11840</v>
      </c>
      <c r="DL9" t="s">
        <v>11079</v>
      </c>
      <c r="DQ9" t="s">
        <v>11056</v>
      </c>
      <c r="DV9" t="s">
        <v>11023</v>
      </c>
      <c r="EA9" t="s">
        <v>3611</v>
      </c>
      <c r="EF9" t="s">
        <v>171</v>
      </c>
      <c r="EU9" t="s">
        <v>3712</v>
      </c>
      <c r="EZ9" t="s">
        <v>12479</v>
      </c>
      <c r="FE9" t="s">
        <v>1654</v>
      </c>
      <c r="FJ9" t="s">
        <v>12012</v>
      </c>
      <c r="FY9" t="s">
        <v>10853</v>
      </c>
      <c r="GD9" t="s">
        <v>969</v>
      </c>
      <c r="GI9" t="s">
        <v>10877</v>
      </c>
      <c r="GN9" t="s">
        <v>11174</v>
      </c>
      <c r="HC9" t="s">
        <v>12812</v>
      </c>
      <c r="HH9" t="s">
        <v>12473</v>
      </c>
      <c r="HM9" t="s">
        <v>2509</v>
      </c>
      <c r="HR9" t="s">
        <v>12015</v>
      </c>
      <c r="HW9" t="s">
        <v>12353</v>
      </c>
      <c r="IQ9" t="s">
        <v>1353</v>
      </c>
      <c r="IV9" t="s">
        <v>1740</v>
      </c>
      <c r="JA9" t="s">
        <v>11449</v>
      </c>
      <c r="JF9" t="s">
        <v>12893</v>
      </c>
      <c r="JK9" t="s">
        <v>384</v>
      </c>
      <c r="JP9" t="s">
        <v>472</v>
      </c>
      <c r="JU9" t="s">
        <v>11954</v>
      </c>
      <c r="KE9" t="s">
        <v>11516</v>
      </c>
      <c r="KJ9" t="s">
        <v>10871</v>
      </c>
      <c r="KO9" t="s">
        <v>12449</v>
      </c>
      <c r="KY9" t="s">
        <v>10987</v>
      </c>
      <c r="NQ9" t="s">
        <v>12699</v>
      </c>
      <c r="NV9" t="s">
        <v>13157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F9"/>
  <sheetViews>
    <sheetView workbookViewId="0">
      <selection activeCell="F5" sqref="F5"/>
    </sheetView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218</v>
      </c>
      <c r="K1" s="1" t="s">
        <v>219</v>
      </c>
      <c r="U1" s="1" t="s">
        <v>220</v>
      </c>
      <c r="AE1" s="1" t="s">
        <v>221</v>
      </c>
      <c r="AO1" s="1" t="s">
        <v>222</v>
      </c>
      <c r="AY1" s="1" t="s">
        <v>223</v>
      </c>
      <c r="BI1" s="1" t="s">
        <v>224</v>
      </c>
      <c r="BS1" s="1" t="s">
        <v>225</v>
      </c>
      <c r="CC1" s="1" t="s">
        <v>226</v>
      </c>
      <c r="CM1" s="1" t="s">
        <v>227</v>
      </c>
      <c r="CW1" s="1" t="s">
        <v>228</v>
      </c>
      <c r="DG1" s="1" t="s">
        <v>229</v>
      </c>
      <c r="DQ1" s="1" t="s">
        <v>230</v>
      </c>
      <c r="EA1" s="1" t="s">
        <v>231</v>
      </c>
      <c r="EK1" s="1" t="s">
        <v>232</v>
      </c>
      <c r="EU1" s="1" t="s">
        <v>233</v>
      </c>
      <c r="FE1" s="1" t="s">
        <v>234</v>
      </c>
      <c r="FO1" s="1" t="s">
        <v>235</v>
      </c>
      <c r="FY1" s="1" t="s">
        <v>236</v>
      </c>
      <c r="GI1" s="1" t="s">
        <v>237</v>
      </c>
      <c r="GS1" s="1" t="s">
        <v>238</v>
      </c>
      <c r="HC1" s="1" t="s">
        <v>239</v>
      </c>
      <c r="HM1" s="1" t="s">
        <v>240</v>
      </c>
      <c r="HW1" s="1" t="s">
        <v>241</v>
      </c>
      <c r="IG1" s="1" t="s">
        <v>242</v>
      </c>
      <c r="IQ1" s="1" t="s">
        <v>243</v>
      </c>
      <c r="JA1" s="1" t="s">
        <v>244</v>
      </c>
      <c r="JK1" s="1" t="s">
        <v>245</v>
      </c>
      <c r="JU1" s="1" t="s">
        <v>246</v>
      </c>
      <c r="KE1" s="1" t="s">
        <v>247</v>
      </c>
      <c r="KO1" s="1" t="s">
        <v>248</v>
      </c>
      <c r="KY1" s="1" t="s">
        <v>249</v>
      </c>
      <c r="LI1" s="1" t="s">
        <v>250</v>
      </c>
      <c r="LS1" s="1" t="s">
        <v>251</v>
      </c>
      <c r="MC1" s="1" t="s">
        <v>252</v>
      </c>
      <c r="MM1" s="1" t="s">
        <v>253</v>
      </c>
      <c r="MW1" s="1" t="s">
        <v>254</v>
      </c>
      <c r="NG1" s="1" t="s">
        <v>255</v>
      </c>
      <c r="NQ1" s="1" t="s">
        <v>256</v>
      </c>
      <c r="OA1" s="1" t="s">
        <v>257</v>
      </c>
    </row>
    <row r="2" spans="1:396" x14ac:dyDescent="0.25">
      <c r="A2" s="2" t="s">
        <v>258</v>
      </c>
      <c r="K2" s="2" t="s">
        <v>259</v>
      </c>
      <c r="U2" s="2" t="s">
        <v>260</v>
      </c>
      <c r="AE2" s="2" t="s">
        <v>261</v>
      </c>
      <c r="AO2" s="2" t="s">
        <v>262</v>
      </c>
      <c r="AY2" s="2" t="s">
        <v>263</v>
      </c>
      <c r="BI2" s="2" t="s">
        <v>264</v>
      </c>
      <c r="BS2" s="2" t="s">
        <v>265</v>
      </c>
      <c r="CC2" s="2" t="s">
        <v>266</v>
      </c>
      <c r="CM2" s="2" t="s">
        <v>267</v>
      </c>
      <c r="CW2" s="2" t="s">
        <v>268</v>
      </c>
      <c r="DG2" s="2" t="s">
        <v>269</v>
      </c>
      <c r="DQ2" s="2" t="s">
        <v>41</v>
      </c>
      <c r="EA2" s="2" t="s">
        <v>164</v>
      </c>
      <c r="EK2" s="2" t="s">
        <v>160</v>
      </c>
      <c r="EU2" s="2" t="s">
        <v>270</v>
      </c>
      <c r="FE2" s="2" t="s">
        <v>52</v>
      </c>
      <c r="FO2" s="2" t="s">
        <v>55</v>
      </c>
      <c r="FY2" s="2" t="s">
        <v>271</v>
      </c>
      <c r="GI2" s="2" t="s">
        <v>272</v>
      </c>
      <c r="GS2" s="2" t="s">
        <v>68</v>
      </c>
      <c r="HC2" s="2" t="s">
        <v>64</v>
      </c>
      <c r="HM2" s="2" t="s">
        <v>45</v>
      </c>
      <c r="HW2" s="2" t="s">
        <v>273</v>
      </c>
      <c r="IG2" s="2" t="s">
        <v>268</v>
      </c>
      <c r="IQ2" s="2" t="s">
        <v>274</v>
      </c>
      <c r="JA2" s="2" t="s">
        <v>46</v>
      </c>
      <c r="JK2" s="2" t="s">
        <v>275</v>
      </c>
      <c r="JU2" s="2" t="s">
        <v>276</v>
      </c>
      <c r="KE2" s="2" t="s">
        <v>54</v>
      </c>
      <c r="KO2" s="2" t="s">
        <v>277</v>
      </c>
      <c r="KY2" s="2" t="s">
        <v>278</v>
      </c>
      <c r="LI2" s="2" t="s">
        <v>279</v>
      </c>
      <c r="LS2" s="2" t="s">
        <v>42</v>
      </c>
      <c r="MC2" s="2" t="s">
        <v>280</v>
      </c>
      <c r="MM2" s="2" t="s">
        <v>158</v>
      </c>
      <c r="MW2" s="2" t="s">
        <v>281</v>
      </c>
      <c r="NG2" s="2" t="s">
        <v>282</v>
      </c>
      <c r="NQ2" s="2" t="s">
        <v>283</v>
      </c>
      <c r="OA2" s="2" t="s">
        <v>266</v>
      </c>
    </row>
    <row r="3" spans="1:396" x14ac:dyDescent="0.25">
      <c r="A3" t="s">
        <v>284</v>
      </c>
      <c r="K3" t="s">
        <v>285</v>
      </c>
      <c r="U3" t="s">
        <v>286</v>
      </c>
      <c r="AE3" t="s">
        <v>287</v>
      </c>
      <c r="AO3" t="s">
        <v>288</v>
      </c>
      <c r="AY3" t="s">
        <v>289</v>
      </c>
      <c r="BI3" t="s">
        <v>290</v>
      </c>
      <c r="BS3" t="s">
        <v>291</v>
      </c>
      <c r="CC3" t="s">
        <v>292</v>
      </c>
      <c r="CM3" t="s">
        <v>293</v>
      </c>
      <c r="CW3" t="s">
        <v>294</v>
      </c>
      <c r="DG3" t="s">
        <v>295</v>
      </c>
      <c r="DQ3" t="s">
        <v>296</v>
      </c>
      <c r="EA3" t="s">
        <v>297</v>
      </c>
      <c r="EK3" t="s">
        <v>298</v>
      </c>
      <c r="EU3" t="s">
        <v>299</v>
      </c>
      <c r="FE3" t="s">
        <v>300</v>
      </c>
      <c r="FO3" t="s">
        <v>301</v>
      </c>
      <c r="FY3" t="s">
        <v>302</v>
      </c>
      <c r="GI3" t="s">
        <v>303</v>
      </c>
      <c r="GS3" t="s">
        <v>304</v>
      </c>
      <c r="HC3" t="s">
        <v>305</v>
      </c>
      <c r="HM3" t="s">
        <v>306</v>
      </c>
      <c r="HW3" t="s">
        <v>307</v>
      </c>
      <c r="IG3" t="s">
        <v>308</v>
      </c>
      <c r="IQ3" t="s">
        <v>309</v>
      </c>
      <c r="JA3" t="s">
        <v>310</v>
      </c>
      <c r="JK3" t="s">
        <v>311</v>
      </c>
      <c r="JU3" t="s">
        <v>312</v>
      </c>
      <c r="KE3" t="s">
        <v>313</v>
      </c>
      <c r="KO3" t="s">
        <v>314</v>
      </c>
      <c r="KY3" t="s">
        <v>315</v>
      </c>
      <c r="LI3" t="s">
        <v>316</v>
      </c>
      <c r="LS3" t="s">
        <v>317</v>
      </c>
      <c r="MC3" t="s">
        <v>318</v>
      </c>
      <c r="MM3" t="s">
        <v>319</v>
      </c>
      <c r="MW3" t="s">
        <v>320</v>
      </c>
      <c r="NG3" t="s">
        <v>321</v>
      </c>
      <c r="NQ3" t="s">
        <v>322</v>
      </c>
      <c r="OA3" t="s">
        <v>323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_xll.BDS("8375930Q US Equity","SUPPLY_CHAIN_SUPPLIERS","RELATIONSHIP_AS_OF_DATE","20011118")</f>
        <v>#N/A N/A</v>
      </c>
      <c r="F5" t="str">
        <f>_xll.BDS("8375930Q US Equity","SUPPLY_CHAIN_CUSTOMERS","RELATIONSHIP_AS_OF_DATE","20011118")</f>
        <v>#N/A N/A</v>
      </c>
      <c r="K5" t="str">
        <f>_xll.BDS("CRM US Equity","SUPPLY_CHAIN_SUPPLIERS","RELATIONSHIP_AS_OF_DATE","20201201","cols=1;rows=5")</f>
        <v>BXP US Equity</v>
      </c>
      <c r="P5" t="str">
        <f>_xll.BDS("CRM US Equity","SUPPLY_CHAIN_CUSTOMERS","RELATIONSHIP_AS_OF_DATE","20201201","cols=1;rows=5")</f>
        <v>SNX US Equity</v>
      </c>
      <c r="U5" t="str">
        <f>_xll.BDS("DUK US Equity","SUPPLY_CHAIN_SUPPLIERS","RELATIONSHIP_AS_OF_DATE","20110110","cols=1;rows=5")</f>
        <v>PWR US Equity</v>
      </c>
      <c r="Z5" t="str">
        <f>_xll.BDS("DUK US Equity","SUPPLY_CHAIN_CUSTOMERS","RELATIONSHIP_AS_OF_DATE","20110110","cols=1;rows=5")</f>
        <v>000150 KS Equity</v>
      </c>
      <c r="AE5" t="str">
        <f>_xll.BDS("HPQ US Equity","SUPPLY_CHAIN_SUPPLIERS","RELATIONSHIP_AS_OF_DATE","20010904","cols=1;rows=5")</f>
        <v>2356 TT Equity</v>
      </c>
      <c r="AJ5" t="str">
        <f>_xll.BDS("HPQ US Equity","SUPPLY_CHAIN_CUSTOMERS","RELATIONSHIP_AS_OF_DATE","20010904","cols=1;rows=5")</f>
        <v>SNX US Equity</v>
      </c>
      <c r="AO5" t="str">
        <f>_xll.BDS("BSX US Equity","SUPPLY_CHAIN_SUPPLIERS","RELATIONSHIP_AS_OF_DATE","20051205","cols=1;rows=5")</f>
        <v>FLEX US Equity</v>
      </c>
      <c r="AT5" t="str">
        <f>_xll.BDS("BSX US Equity","SUPPLY_CHAIN_CUSTOMERS","RELATIONSHIP_AS_OF_DATE","20051205","cols=1;rows=5")</f>
        <v>000078 CH Equity</v>
      </c>
      <c r="AY5" t="str">
        <f>_xll.BDS("748957Q US Equity","SUPPLY_CHAIN_SUPPLIERS","RELATIONSHIP_AS_OF_DATE","19991219")</f>
        <v>#N/A N/A</v>
      </c>
      <c r="BD5" t="str">
        <f>_xll.BDS("748957Q US Equity","SUPPLY_CHAIN_CUSTOMERS","RELATIONSHIP_AS_OF_DATE","19991219")</f>
        <v>#N/A N/A</v>
      </c>
      <c r="BI5" t="str">
        <f>_xll.BDS("GPN US Equity","SUPPLY_CHAIN_SUPPLIERS","RELATIONSHIP_AS_OF_DATE","20190528","cols=1;rows=5")</f>
        <v>HIW US Equity</v>
      </c>
      <c r="BN5" t="str">
        <f>_xll.BDS("GPN US Equity","SUPPLY_CHAIN_CUSTOMERS","RELATIONSHIP_AS_OF_DATE","20190528","cols=1;rows=5")</f>
        <v>SCSC US Equity</v>
      </c>
      <c r="BS5" t="str">
        <f>_xll.BDS("1255173D US Equity","SUPPLY_CHAIN_SUPPLIERS","RELATIONSHIP_AS_OF_DATE","20060507")</f>
        <v>#N/A N/A</v>
      </c>
      <c r="BX5" t="str">
        <f>_xll.BDS("1255173D US Equity","SUPPLY_CHAIN_CUSTOMERS","RELATIONSHIP_AS_OF_DATE","20060507")</f>
        <v>#N/A N/A</v>
      </c>
      <c r="CC5" t="str">
        <f>_xll.BDS("MSFT US Equity","SUPPLY_CHAIN_SUPPLIERS","RELATIONSHIP_AS_OF_DATE","20160613","cols=1;rows=5")</f>
        <v>NVDA US Equity</v>
      </c>
      <c r="CH5" t="str">
        <f>_xll.BDS("MSFT US Equity","SUPPLY_CHAIN_CUSTOMERS","RELATIONSHIP_AS_OF_DATE","20160613","cols=1;rows=5")</f>
        <v>SNX US Equity</v>
      </c>
      <c r="CM5" t="str">
        <f>_xll.BDS("BDX US Equity","SUPPLY_CHAIN_SUPPLIERS","RELATIONSHIP_AS_OF_DATE","20170423","cols=1;rows=5")</f>
        <v>FLEX US Equity</v>
      </c>
      <c r="CR5" t="str">
        <f>_xll.BDS("BDX US Equity","SUPPLY_CHAIN_CUSTOMERS","RELATIONSHIP_AS_OF_DATE","20170423","cols=1;rows=5")</f>
        <v>300326 CH Equity</v>
      </c>
      <c r="CW5" t="str">
        <f>_xll.BDS("AIG US Equity","SUPPLY_CHAIN_SUPPLIERS","RELATIONSHIP_AS_OF_DATE","20010403","cols=1;rows=5")</f>
        <v>PEGA US Equity</v>
      </c>
      <c r="DB5" t="str">
        <f>_xll.BDS("AIG US Equity","SUPPLY_CHAIN_CUSTOMERS","RELATIONSHIP_AS_OF_DATE","20010403","cols=1;rows=5")</f>
        <v>002348 CH Equity</v>
      </c>
      <c r="DG5" t="str">
        <f>_xll.BDS("FCX US Equity","SUPPLY_CHAIN_SUPPLIERS","RELATIONSHIP_AS_OF_DATE","20061119","cols=1;rows=5")</f>
        <v>5711 JP Equity</v>
      </c>
      <c r="DL5" t="str">
        <f>_xll.BDS("FCX US Equity","SUPPLY_CHAIN_CUSTOMERS","RELATIONSHIP_AS_OF_DATE","20061119","cols=1;rows=5")</f>
        <v>5711 JP Equity</v>
      </c>
      <c r="DQ5" t="str">
        <f>_xll.BDS("T US Equity","SUPPLY_CHAIN_SUPPLIERS","RELATIONSHIP_AS_OF_DATE","20050131","cols=1;rows=5")</f>
        <v>AAPL US Equity</v>
      </c>
      <c r="DV5" t="str">
        <f>_xll.BDS("T US Equity","SUPPLY_CHAIN_CUSTOMERS","RELATIONSHIP_AS_OF_DATE","20050131","cols=1;rows=5")</f>
        <v>IBM US Equity</v>
      </c>
      <c r="EA5" t="str">
        <f>_xll.BDS("LUMN US Equity","SUPPLY_CHAIN_SUPPLIERS","RELATIONSHIP_AS_OF_DATE","20100422","cols=1;rows=5")</f>
        <v>DY US Equity</v>
      </c>
      <c r="EF5" t="str">
        <f>_xll.BDS("LUMN US Equity","SUPPLY_CHAIN_CUSTOMERS","RELATIONSHIP_AS_OF_DATE","20100422","cols=1;rows=5")</f>
        <v>728 HK Equity</v>
      </c>
      <c r="EK5" t="str">
        <f>_xll.BDS("PARA US Equity","SUPPLY_CHAIN_SUPPLIERS","RELATIONSHIP_AS_OF_DATE","20190813","cols=1;rows=5")</f>
        <v>GTN US Equity</v>
      </c>
      <c r="EP5" t="str">
        <f>_xll.BDS("PARA US Equity","SUPPLY_CHAIN_CUSTOMERS","RELATIONSHIP_AS_OF_DATE","20190813","cols=1;rows=5")</f>
        <v>002293 CH Equity</v>
      </c>
      <c r="EU5" t="str">
        <f>_xll.BDS("USB US Equity","SUPPLY_CHAIN_SUPPLIERS","RELATIONSHIP_AS_OF_DATE","20001004","cols=1;rows=5")</f>
        <v>INFO IN Equity</v>
      </c>
      <c r="EZ5" t="str">
        <f>_xll.BDS("USB US Equity","SUPPLY_CHAIN_CUSTOMERS","RELATIONSHIP_AS_OF_DATE","20001004","cols=1;rows=2")</f>
        <v>FISV US Equity</v>
      </c>
      <c r="FE5" t="str">
        <f>_xll.BDS("CVS US Equity","SUPPLY_CHAIN_SUPPLIERS","RELATIONSHIP_AS_OF_DATE","20061101","cols=1;rows=5")</f>
        <v>MCK US Equity</v>
      </c>
      <c r="FJ5" t="str">
        <f>_xll.BDS("CVS US Equity","SUPPLY_CHAIN_CUSTOMERS","RELATIONSHIP_AS_OF_DATE","20061101","cols=1;rows=5")</f>
        <v>3352Z US Equity</v>
      </c>
      <c r="FO5" t="str">
        <f>_xll.BDS("AGN US Equity","SUPPLY_CHAIN_SUPPLIERS","RELATIONSHIP_AS_OF_DATE","20140218","cols=1;rows=5")</f>
        <v>AEE US Equity</v>
      </c>
      <c r="FT5" t="str">
        <f>_xll.BDS("AGN US Equity","SUPPLY_CHAIN_CUSTOMERS","RELATIONSHIP_AS_OF_DATE","20140218")</f>
        <v>4569 JP Equity</v>
      </c>
      <c r="FY5" t="str">
        <f>_xll.BDS("2968900Q US Equity","SUPPLY_CHAIN_SUPPLIERS","RELATIONSHIP_AS_OF_DATE","19991004")</f>
        <v>#N/A N/A</v>
      </c>
      <c r="GD5" t="str">
        <f>_xll.BDS("2968900Q US Equity","SUPPLY_CHAIN_CUSTOMERS","RELATIONSHIP_AS_OF_DATE","19991004")</f>
        <v>#N/A N/A</v>
      </c>
      <c r="GI5" t="str">
        <f>_xll.BDS("TMO US Equity","SUPPLY_CHAIN_SUPPLIERS","RELATIONSHIP_AS_OF_DATE","20210415","cols=1;rows=5")</f>
        <v>EMR US Equity</v>
      </c>
      <c r="GN5" t="str">
        <f>_xll.BDS("TMO US Equity","SUPPLY_CHAIN_CUSTOMERS","RELATIONSHIP_AS_OF_DATE","20210415","cols=1;rows=5")</f>
        <v>4195 TT Equity</v>
      </c>
      <c r="GS5" t="str">
        <f>_xll.BDS("CVX US Equity","SUPPLY_CHAIN_SUPPLIERS","RELATIONSHIP_AS_OF_DATE","20050404","cols=1;rows=5")</f>
        <v>RIG US Equity</v>
      </c>
      <c r="GX5" t="str">
        <f>_xll.BDS("CVX US Equity","SUPPLY_CHAIN_CUSTOMERS","RELATIONSHIP_AS_OF_DATE","20050404","cols=1;rows=5")</f>
        <v>UGPA3 BZ Equity</v>
      </c>
      <c r="HC5" t="str">
        <f>_xll.BDS("nan Equity","SUPPLY_CHAIN_SUPPLIERS","RELATIONSHIP_AS_OF_DATE","20070529")</f>
        <v>#N/A N/A</v>
      </c>
      <c r="HH5" t="str">
        <f>_xll.BDS("nan Equity","SUPPLY_CHAIN_CUSTOMERS","RELATIONSHIP_AS_OF_DATE","20070529")</f>
        <v>#N/A N/A</v>
      </c>
      <c r="HM5" t="str">
        <f>_xll.BDS("ABBV US Equity","SUPPLY_CHAIN_SUPPLIERS","RELATIONSHIP_AS_OF_DATE","20150304","cols=1;rows=5")</f>
        <v>ROG SW Equity</v>
      </c>
      <c r="HR5" t="str">
        <f>_xll.BDS("ABBV US Equity","SUPPLY_CHAIN_CUSTOMERS","RELATIONSHIP_AS_OF_DATE","20150304","cols=1;rows=5")</f>
        <v>MCK US Equity</v>
      </c>
      <c r="HW5" t="str">
        <f>_xll.BDS("ADI US Equity","SUPPLY_CHAIN_SUPPLIERS","RELATIONSHIP_AS_OF_DATE","20200713","cols=1;rows=5")</f>
        <v>2330 TT Equity</v>
      </c>
      <c r="IB5" t="str">
        <f>_xll.BDS("ADI US Equity","SUPPLY_CHAIN_CUSTOMERS","RELATIONSHIP_AS_OF_DATE","20200713","cols=1;rows=5")</f>
        <v>ARW US Equity</v>
      </c>
      <c r="IG5" t="str">
        <f>_xll.BDS("AIG US Equity","SUPPLY_CHAIN_SUPPLIERS","RELATIONSHIP_AS_OF_DATE","19980820","cols=1;rows=5")</f>
        <v>PEGA US Equity</v>
      </c>
      <c r="IL5" t="str">
        <f>_xll.BDS("AIG US Equity","SUPPLY_CHAIN_CUSTOMERS","RELATIONSHIP_AS_OF_DATE","19980820","cols=1;rows=5")</f>
        <v>002348 CH Equity</v>
      </c>
      <c r="IQ5" t="str">
        <f>_xll.BDS("LHX US Equity","SUPPLY_CHAIN_SUPPLIERS","RELATIONSHIP_AS_OF_DATE","20181014","cols=1;rows=5")</f>
        <v>HON US Equity</v>
      </c>
      <c r="IV5" t="str">
        <f>_xll.BDS("LHX US Equity","SUPPLY_CHAIN_CUSTOMERS","RELATIONSHIP_AS_OF_DATE","20181014","cols=1;rows=5")</f>
        <v>3352Z US Equity</v>
      </c>
      <c r="JA5" t="str">
        <f>_xll.BDS("DIS US Equity","SUPPLY_CHAIN_SUPPLIERS","RELATIONSHIP_AS_OF_DATE","19950731","cols=1;rows=5")</f>
        <v>GTN US Equity</v>
      </c>
      <c r="JF5" t="str">
        <f>_xll.BDS("DIS US Equity","SUPPLY_CHAIN_CUSTOMERS","RELATIONSHIP_AS_OF_DATE","19950731","cols=1;rows=5")</f>
        <v>AD NA Equity</v>
      </c>
      <c r="JK5" t="str">
        <f>_xll.BDS("GILD US Equity","SUPPLY_CHAIN_SUPPLIERS","RELATIONSHIP_AS_OF_DATE","20200913","cols=1;rows=5")</f>
        <v>JNJ US Equity</v>
      </c>
      <c r="JP5" t="str">
        <f>_xll.BDS("GILD US Equity","SUPPLY_CHAIN_CUSTOMERS","RELATIONSHIP_AS_OF_DATE","20200913","cols=1;rows=5")</f>
        <v>CAH US Equity</v>
      </c>
      <c r="JU5" t="str">
        <f>_xll.BDS("WM US Equity","SUPPLY_CHAIN_SUPPLIERS","RELATIONSHIP_AS_OF_DATE","19980311","cols=1;rows=5")</f>
        <v>CNR CN Equity</v>
      </c>
      <c r="JZ5" t="str">
        <f>_xll.BDS("WM US Equity","SUPPLY_CHAIN_CUSTOMERS","RELATIONSHIP_AS_OF_DATE","19980311")</f>
        <v>FLCM US Equity</v>
      </c>
      <c r="KE5" t="str">
        <f>_xll.BDS("DD US Equity","SUPPLY_CHAIN_SUPPLIERS","RELATIONSHIP_AS_OF_DATE","20080710","cols=1;rows=5")</f>
        <v>900909 CH Equity</v>
      </c>
      <c r="KJ5" t="str">
        <f>_xll.BDS("DD US Equity","SUPPLY_CHAIN_CUSTOMERS","RELATIONSHIP_AS_OF_DATE","20080710","cols=1;rows=5")</f>
        <v>AIR FP Equity</v>
      </c>
      <c r="KO5" t="str">
        <f>_xll.BDS("MO US Equity","SUPPLY_CHAIN_SUPPLIERS","RELATIONSHIP_AS_OF_DATE","20000625","cols=1;rows=5")</f>
        <v>UVV US Equity</v>
      </c>
      <c r="KT5" t="str">
        <f>_xll.BDS("MO US Equity","SUPPLY_CHAIN_CUSTOMERS","RELATIONSHIP_AS_OF_DATE","20000625","cols=1;rows=5")</f>
        <v>0835017D US Equity</v>
      </c>
      <c r="KY5" t="str">
        <f>_xll.BDS("APC US Equity","SUPPLY_CHAIN_SUPPLIERS","RELATIONSHIP_AS_OF_DATE","20060623")</f>
        <v>#N/A N/A</v>
      </c>
      <c r="LD5" t="str">
        <f>_xll.BDS("APC US Equity","SUPPLY_CHAIN_CUSTOMERS","RELATIONSHIP_AS_OF_DATE","20060623")</f>
        <v>#N/A N/A</v>
      </c>
      <c r="LI5" t="str">
        <f>_xll.BDS("AVGO US Equity","SUPPLY_CHAIN_SUPPLIERS","RELATIONSHIP_AS_OF_DATE","20180711","cols=1;rows=5")</f>
        <v>2330 TT Equity</v>
      </c>
      <c r="LN5" t="str">
        <f>_xll.BDS("AVGO US Equity","SUPPLY_CHAIN_CUSTOMERS","RELATIONSHIP_AS_OF_DATE","20180711","cols=1;rows=5")</f>
        <v>3036 TT Equity</v>
      </c>
      <c r="LS5" t="str">
        <f>_xll.BDS("RTX US Equity","SUPPLY_CHAIN_SUPPLIERS","RELATIONSHIP_AS_OF_DATE","20110921","cols=1;rows=5")</f>
        <v>MTX GR Equity</v>
      </c>
      <c r="LX5" t="str">
        <f>_xll.BDS("RTX US Equity","SUPPLY_CHAIN_CUSTOMERS","RELATIONSHIP_AS_OF_DATE","20110921","cols=1;rows=5")</f>
        <v>3352Z US Equity</v>
      </c>
      <c r="MC5" t="str">
        <f>_xll.BDS("NWL US Equity","SUPPLY_CHAIN_SUPPLIERS","RELATIONSHIP_AS_OF_DATE","20151214","cols=1;rows=5")</f>
        <v>ORCL US Equity</v>
      </c>
      <c r="MH5" t="str">
        <f>_xll.BDS("NWL US Equity","SUPPLY_CHAIN_CUSTOMERS","RELATIONSHIP_AS_OF_DATE","20151214","cols=1;rows=5")</f>
        <v>AMZN US Equity</v>
      </c>
      <c r="MM5" t="str">
        <f>_xll.BDS("BRK/A US Equity","SUPPLY_CHAIN_SUPPLIERS","RELATIONSHIP_AS_OF_DATE","19980619","cols=1;rows=5")</f>
        <v>HSY US Equity</v>
      </c>
      <c r="MR5" t="str">
        <f>_xll.BDS("BRK/A US Equity","SUPPLY_CHAIN_CUSTOMERS","RELATIONSHIP_AS_OF_DATE","19980619","cols=1;rows=5")</f>
        <v>WMT US Equity</v>
      </c>
      <c r="MW5" t="str">
        <f>_xll.BDS("RIG US Equity","SUPPLY_CHAIN_SUPPLIERS","RELATIONSHIP_AS_OF_DATE","20070723","cols=1;rows=5")</f>
        <v>PDM US Equity</v>
      </c>
      <c r="NB5" t="str">
        <f>_xll.BDS("RIG US Equity","SUPPLY_CHAIN_CUSTOMERS","RELATIONSHIP_AS_OF_DATE","20070723","cols=1;rows=5")</f>
        <v>PETR4 BZ Equity</v>
      </c>
      <c r="NG5" t="str">
        <f>_xll.BDS("9876456D US Equity","SUPPLY_CHAIN_SUPPLIERS","RELATIONSHIP_AS_OF_DATE","20150126")</f>
        <v>#N/A N/A</v>
      </c>
      <c r="NL5" t="str">
        <f>_xll.BDS("9876456D US Equity","SUPPLY_CHAIN_CUSTOMERS","RELATIONSHIP_AS_OF_DATE","20150126")</f>
        <v>#N/A N/A</v>
      </c>
      <c r="NQ5" t="str">
        <f>_xll.BDS("OKE US Equity","SUPPLY_CHAIN_SUPPLIERS","RELATIONSHIP_AS_OF_DATE","20170201","cols=1;rows=5")</f>
        <v>AROC US Equity</v>
      </c>
      <c r="NV5" t="str">
        <f>_xll.BDS("OKE US Equity","SUPPLY_CHAIN_CUSTOMERS","RELATIONSHIP_AS_OF_DATE","20170201","cols=1;rows=5")</f>
        <v>DOW US Equity</v>
      </c>
      <c r="OA5" t="str">
        <f>_xll.BDS("MSFT US Equity","SUPPLY_CHAIN_SUPPLIERS","RELATIONSHIP_AS_OF_DATE","20210412","cols=1;rows=5")</f>
        <v>NVDA US Equity</v>
      </c>
      <c r="OF5" t="str">
        <f>_xll.BDS("MSFT US Equity","SUPPLY_CHAIN_CUSTOMERS","RELATIONSHIP_AS_OF_DATE","20210412","cols=1;rows=5")</f>
        <v>SNX US Equity</v>
      </c>
    </row>
    <row r="6" spans="1:396" x14ac:dyDescent="0.25">
      <c r="K6" t="s">
        <v>6477</v>
      </c>
      <c r="P6" t="s">
        <v>165</v>
      </c>
      <c r="U6" t="s">
        <v>3251</v>
      </c>
      <c r="Z6" t="s">
        <v>11527</v>
      </c>
      <c r="AE6" t="s">
        <v>383</v>
      </c>
      <c r="AJ6" t="s">
        <v>4139</v>
      </c>
      <c r="AO6" t="s">
        <v>10735</v>
      </c>
      <c r="AT6" t="s">
        <v>10744</v>
      </c>
      <c r="BI6" t="s">
        <v>13215</v>
      </c>
      <c r="BN6" t="s">
        <v>10787</v>
      </c>
      <c r="CC6" t="s">
        <v>11089</v>
      </c>
      <c r="CH6" t="s">
        <v>4219</v>
      </c>
      <c r="CM6" t="s">
        <v>10813</v>
      </c>
      <c r="CR6" t="s">
        <v>10757</v>
      </c>
      <c r="CW6" t="s">
        <v>12604</v>
      </c>
      <c r="DB6" t="s">
        <v>12156</v>
      </c>
      <c r="DG6" t="s">
        <v>12054</v>
      </c>
      <c r="DL6" t="s">
        <v>12856</v>
      </c>
      <c r="DQ6" t="s">
        <v>10892</v>
      </c>
      <c r="DV6" t="s">
        <v>2881</v>
      </c>
      <c r="EA6" t="s">
        <v>2606</v>
      </c>
      <c r="EF6" t="s">
        <v>10660</v>
      </c>
      <c r="EK6" t="s">
        <v>11838</v>
      </c>
      <c r="EP6" t="s">
        <v>11076</v>
      </c>
      <c r="EU6" t="s">
        <v>266</v>
      </c>
      <c r="EZ6" t="s">
        <v>11294</v>
      </c>
      <c r="FE6" t="s">
        <v>970</v>
      </c>
      <c r="FJ6" t="s">
        <v>12452</v>
      </c>
      <c r="FO6" t="s">
        <v>10696</v>
      </c>
      <c r="GI6" t="s">
        <v>44</v>
      </c>
      <c r="GN6" t="s">
        <v>10662</v>
      </c>
      <c r="GS6" t="s">
        <v>11155</v>
      </c>
      <c r="GX6" t="s">
        <v>11640</v>
      </c>
      <c r="HM6" t="s">
        <v>368</v>
      </c>
      <c r="HR6" t="s">
        <v>1468</v>
      </c>
      <c r="HW6" t="s">
        <v>11933</v>
      </c>
      <c r="IB6" t="s">
        <v>10659</v>
      </c>
      <c r="IG6" t="s">
        <v>12604</v>
      </c>
      <c r="IL6" t="s">
        <v>12156</v>
      </c>
      <c r="IQ6" t="s">
        <v>3439</v>
      </c>
      <c r="IV6" t="s">
        <v>10785</v>
      </c>
      <c r="JA6" t="s">
        <v>266</v>
      </c>
      <c r="JF6" t="s">
        <v>10944</v>
      </c>
      <c r="JK6" t="s">
        <v>12260</v>
      </c>
      <c r="JP6" t="s">
        <v>385</v>
      </c>
      <c r="JU6" t="s">
        <v>171</v>
      </c>
      <c r="KE6" t="s">
        <v>12949</v>
      </c>
      <c r="KJ6" t="s">
        <v>266</v>
      </c>
      <c r="KO6" t="s">
        <v>11667</v>
      </c>
      <c r="KT6" t="s">
        <v>12007</v>
      </c>
      <c r="LI6" t="s">
        <v>10734</v>
      </c>
      <c r="LN6" t="s">
        <v>2705</v>
      </c>
      <c r="LS6" t="s">
        <v>11802</v>
      </c>
      <c r="LX6" t="s">
        <v>10939</v>
      </c>
      <c r="MC6" t="s">
        <v>12943</v>
      </c>
      <c r="MH6" t="s">
        <v>10676</v>
      </c>
      <c r="MM6" t="s">
        <v>2792</v>
      </c>
      <c r="MR6" t="s">
        <v>10677</v>
      </c>
      <c r="MW6" t="s">
        <v>11312</v>
      </c>
      <c r="NB6" t="s">
        <v>68</v>
      </c>
      <c r="NQ6" t="s">
        <v>13125</v>
      </c>
      <c r="NV6" t="s">
        <v>12894</v>
      </c>
      <c r="OA6" t="s">
        <v>11089</v>
      </c>
      <c r="OF6" t="s">
        <v>4219</v>
      </c>
    </row>
    <row r="7" spans="1:396" x14ac:dyDescent="0.25">
      <c r="K7" t="s">
        <v>165</v>
      </c>
      <c r="P7" t="s">
        <v>10838</v>
      </c>
      <c r="U7" t="s">
        <v>12085</v>
      </c>
      <c r="Z7" t="s">
        <v>11751</v>
      </c>
      <c r="AE7" t="s">
        <v>11038</v>
      </c>
      <c r="AJ7" t="s">
        <v>11749</v>
      </c>
      <c r="AO7" t="s">
        <v>10806</v>
      </c>
      <c r="AT7" t="s">
        <v>10745</v>
      </c>
      <c r="BI7" t="s">
        <v>13216</v>
      </c>
      <c r="BN7" t="s">
        <v>11318</v>
      </c>
      <c r="CC7" t="s">
        <v>10729</v>
      </c>
      <c r="CH7" t="s">
        <v>11368</v>
      </c>
      <c r="CM7" t="s">
        <v>10735</v>
      </c>
      <c r="CR7" t="s">
        <v>10758</v>
      </c>
      <c r="CW7" t="s">
        <v>12605</v>
      </c>
      <c r="DB7" t="s">
        <v>12157</v>
      </c>
      <c r="DG7" t="s">
        <v>11292</v>
      </c>
      <c r="DL7" t="s">
        <v>12096</v>
      </c>
      <c r="DQ7" t="s">
        <v>10738</v>
      </c>
      <c r="DV7" t="s">
        <v>10680</v>
      </c>
      <c r="EA7" t="s">
        <v>3066</v>
      </c>
      <c r="EF7" t="s">
        <v>10680</v>
      </c>
      <c r="EK7" t="s">
        <v>7300</v>
      </c>
      <c r="EP7" t="s">
        <v>11077</v>
      </c>
      <c r="EU7" t="s">
        <v>1654</v>
      </c>
      <c r="FE7" t="s">
        <v>58</v>
      </c>
      <c r="FJ7" t="s">
        <v>12453</v>
      </c>
      <c r="FO7" t="s">
        <v>1265</v>
      </c>
      <c r="GI7" t="s">
        <v>10734</v>
      </c>
      <c r="GN7" t="s">
        <v>10761</v>
      </c>
      <c r="GS7" t="s">
        <v>12104</v>
      </c>
      <c r="GX7" t="s">
        <v>12417</v>
      </c>
      <c r="HM7" t="s">
        <v>12357</v>
      </c>
      <c r="HR7" t="s">
        <v>970</v>
      </c>
      <c r="HW7" t="s">
        <v>11204</v>
      </c>
      <c r="IB7" t="s">
        <v>12800</v>
      </c>
      <c r="IG7" t="s">
        <v>12605</v>
      </c>
      <c r="IL7" t="s">
        <v>12157</v>
      </c>
      <c r="IQ7" t="s">
        <v>11206</v>
      </c>
      <c r="IV7" t="s">
        <v>42</v>
      </c>
      <c r="JA7" t="s">
        <v>12482</v>
      </c>
      <c r="JF7" t="s">
        <v>10661</v>
      </c>
      <c r="JK7" t="s">
        <v>12261</v>
      </c>
      <c r="JP7" t="s">
        <v>1468</v>
      </c>
      <c r="JU7" t="s">
        <v>4570</v>
      </c>
      <c r="KE7" t="s">
        <v>12950</v>
      </c>
      <c r="KJ7" t="s">
        <v>487</v>
      </c>
      <c r="KO7" t="s">
        <v>12475</v>
      </c>
      <c r="KT7" t="s">
        <v>12008</v>
      </c>
      <c r="LI7" t="s">
        <v>11204</v>
      </c>
      <c r="LN7" t="s">
        <v>5236</v>
      </c>
      <c r="LS7" t="s">
        <v>11009</v>
      </c>
      <c r="LX7" t="s">
        <v>1363</v>
      </c>
      <c r="MC7" t="s">
        <v>1654</v>
      </c>
      <c r="MH7" t="s">
        <v>10805</v>
      </c>
      <c r="MM7" t="s">
        <v>10737</v>
      </c>
      <c r="MR7" t="s">
        <v>4642</v>
      </c>
      <c r="MW7" t="s">
        <v>11842</v>
      </c>
      <c r="NB7" t="s">
        <v>11540</v>
      </c>
      <c r="NQ7" t="s">
        <v>11312</v>
      </c>
      <c r="NV7" t="s">
        <v>11403</v>
      </c>
      <c r="OA7" t="s">
        <v>10729</v>
      </c>
      <c r="OF7" t="s">
        <v>11368</v>
      </c>
    </row>
    <row r="8" spans="1:396" x14ac:dyDescent="0.25">
      <c r="K8" t="s">
        <v>11049</v>
      </c>
      <c r="P8" t="s">
        <v>10660</v>
      </c>
      <c r="U8" t="s">
        <v>7384</v>
      </c>
      <c r="Z8" t="s">
        <v>13266</v>
      </c>
      <c r="AE8" t="s">
        <v>11176</v>
      </c>
      <c r="AJ8" t="s">
        <v>10660</v>
      </c>
      <c r="AO8" t="s">
        <v>4043</v>
      </c>
      <c r="AT8" t="s">
        <v>10746</v>
      </c>
      <c r="BI8" t="s">
        <v>13217</v>
      </c>
      <c r="BN8" t="s">
        <v>13040</v>
      </c>
      <c r="CC8" t="s">
        <v>12659</v>
      </c>
      <c r="CH8" t="s">
        <v>10918</v>
      </c>
      <c r="CM8" t="s">
        <v>171</v>
      </c>
      <c r="CR8" t="s">
        <v>10759</v>
      </c>
      <c r="CW8" t="s">
        <v>12606</v>
      </c>
      <c r="DB8" t="s">
        <v>12158</v>
      </c>
      <c r="DG8" t="s">
        <v>12885</v>
      </c>
      <c r="DL8" t="s">
        <v>12857</v>
      </c>
      <c r="DQ8" t="s">
        <v>670</v>
      </c>
      <c r="DV8" t="s">
        <v>3519</v>
      </c>
      <c r="EA8" t="s">
        <v>11546</v>
      </c>
      <c r="EF8" t="s">
        <v>3522</v>
      </c>
      <c r="EK8" t="s">
        <v>11839</v>
      </c>
      <c r="EP8" t="s">
        <v>11078</v>
      </c>
      <c r="EU8" t="s">
        <v>772</v>
      </c>
      <c r="FE8" t="s">
        <v>368</v>
      </c>
      <c r="FJ8" t="s">
        <v>12454</v>
      </c>
      <c r="FO8" t="s">
        <v>158</v>
      </c>
      <c r="GI8" t="s">
        <v>10735</v>
      </c>
      <c r="GN8" t="s">
        <v>10762</v>
      </c>
      <c r="GS8" t="s">
        <v>375</v>
      </c>
      <c r="GX8" t="s">
        <v>12418</v>
      </c>
      <c r="HM8" t="s">
        <v>12263</v>
      </c>
      <c r="HR8" t="s">
        <v>368</v>
      </c>
      <c r="HW8" t="s">
        <v>11088</v>
      </c>
      <c r="IB8" t="s">
        <v>469</v>
      </c>
      <c r="IG8" t="s">
        <v>12606</v>
      </c>
      <c r="IL8" t="s">
        <v>12158</v>
      </c>
      <c r="IQ8" t="s">
        <v>8081</v>
      </c>
      <c r="IV8" t="s">
        <v>11193</v>
      </c>
      <c r="JA8" t="s">
        <v>11838</v>
      </c>
      <c r="JF8" t="s">
        <v>12027</v>
      </c>
      <c r="JK8" t="s">
        <v>12262</v>
      </c>
      <c r="JP8" t="s">
        <v>12230</v>
      </c>
      <c r="JU8" t="s">
        <v>11339</v>
      </c>
      <c r="KE8" t="s">
        <v>10940</v>
      </c>
      <c r="KJ8" t="s">
        <v>3239</v>
      </c>
      <c r="KO8" t="s">
        <v>12476</v>
      </c>
      <c r="KT8" t="s">
        <v>11126</v>
      </c>
      <c r="LI8" t="s">
        <v>11177</v>
      </c>
      <c r="LN8" t="s">
        <v>11084</v>
      </c>
      <c r="LS8" t="s">
        <v>158</v>
      </c>
      <c r="LX8" t="s">
        <v>10785</v>
      </c>
      <c r="MC8" t="s">
        <v>12944</v>
      </c>
      <c r="MH8" t="s">
        <v>570</v>
      </c>
      <c r="MM8" t="s">
        <v>4475</v>
      </c>
      <c r="MR8" t="s">
        <v>1363</v>
      </c>
      <c r="MW8" t="s">
        <v>12337</v>
      </c>
      <c r="NB8" t="s">
        <v>11808</v>
      </c>
      <c r="NQ8" t="s">
        <v>13302</v>
      </c>
      <c r="NV8" t="s">
        <v>13208</v>
      </c>
      <c r="OA8" t="s">
        <v>12659</v>
      </c>
      <c r="OF8" t="s">
        <v>10918</v>
      </c>
    </row>
    <row r="9" spans="1:396" x14ac:dyDescent="0.25">
      <c r="K9" t="s">
        <v>10748</v>
      </c>
      <c r="P9" t="s">
        <v>4219</v>
      </c>
      <c r="U9" t="s">
        <v>772</v>
      </c>
      <c r="Z9" t="s">
        <v>11555</v>
      </c>
      <c r="AE9" t="s">
        <v>10852</v>
      </c>
      <c r="AJ9" t="s">
        <v>10918</v>
      </c>
      <c r="AO9" t="s">
        <v>10807</v>
      </c>
      <c r="AT9" t="s">
        <v>10747</v>
      </c>
      <c r="BI9" t="s">
        <v>11522</v>
      </c>
      <c r="BN9" t="s">
        <v>13041</v>
      </c>
      <c r="CC9" t="s">
        <v>12660</v>
      </c>
      <c r="CH9" t="s">
        <v>10676</v>
      </c>
      <c r="CM9" t="s">
        <v>10814</v>
      </c>
      <c r="CR9" t="s">
        <v>10760</v>
      </c>
      <c r="CW9" t="s">
        <v>12439</v>
      </c>
      <c r="DB9" t="s">
        <v>12159</v>
      </c>
      <c r="DG9" t="s">
        <v>12857</v>
      </c>
      <c r="DL9" t="s">
        <v>12858</v>
      </c>
      <c r="DQ9" t="s">
        <v>6724</v>
      </c>
      <c r="DV9" t="s">
        <v>11366</v>
      </c>
      <c r="EA9" t="s">
        <v>3712</v>
      </c>
      <c r="EF9" t="s">
        <v>12479</v>
      </c>
      <c r="EK9" t="s">
        <v>11840</v>
      </c>
      <c r="EP9" t="s">
        <v>11079</v>
      </c>
      <c r="EU9" t="s">
        <v>11073</v>
      </c>
      <c r="FE9" t="s">
        <v>11117</v>
      </c>
      <c r="FJ9" t="s">
        <v>10868</v>
      </c>
      <c r="FO9" t="s">
        <v>260</v>
      </c>
      <c r="GI9" t="s">
        <v>3073</v>
      </c>
      <c r="GN9" t="s">
        <v>10763</v>
      </c>
      <c r="GS9" t="s">
        <v>12105</v>
      </c>
      <c r="GX9" t="s">
        <v>12419</v>
      </c>
      <c r="HM9" t="s">
        <v>12326</v>
      </c>
      <c r="HR9" t="s">
        <v>12326</v>
      </c>
      <c r="HW9" t="s">
        <v>11203</v>
      </c>
      <c r="IB9" t="s">
        <v>42</v>
      </c>
      <c r="IG9" t="s">
        <v>12439</v>
      </c>
      <c r="IL9" t="s">
        <v>12159</v>
      </c>
      <c r="IQ9" t="s">
        <v>1365</v>
      </c>
      <c r="IV9" t="s">
        <v>388</v>
      </c>
      <c r="JA9" t="s">
        <v>12483</v>
      </c>
      <c r="JF9" t="s">
        <v>10647</v>
      </c>
      <c r="JK9" t="s">
        <v>12263</v>
      </c>
      <c r="JP9" t="s">
        <v>10795</v>
      </c>
      <c r="JU9" t="s">
        <v>11151</v>
      </c>
      <c r="KE9" t="s">
        <v>12142</v>
      </c>
      <c r="KJ9" t="s">
        <v>10876</v>
      </c>
      <c r="KO9" t="s">
        <v>11787</v>
      </c>
      <c r="KT9" t="s">
        <v>12009</v>
      </c>
      <c r="LI9" t="s">
        <v>11933</v>
      </c>
      <c r="LN9" t="s">
        <v>2881</v>
      </c>
      <c r="LS9" t="s">
        <v>1353</v>
      </c>
      <c r="LX9" t="s">
        <v>1740</v>
      </c>
      <c r="MC9" t="s">
        <v>10751</v>
      </c>
      <c r="MH9" t="s">
        <v>10775</v>
      </c>
      <c r="MM9" t="s">
        <v>10738</v>
      </c>
      <c r="MR9" t="s">
        <v>42</v>
      </c>
      <c r="MW9" t="s">
        <v>12338</v>
      </c>
      <c r="NB9" t="s">
        <v>2210</v>
      </c>
      <c r="NQ9" t="s">
        <v>13303</v>
      </c>
      <c r="NV9" t="s">
        <v>12552</v>
      </c>
      <c r="OA9" t="s">
        <v>12660</v>
      </c>
      <c r="OF9" t="s">
        <v>10676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324</v>
      </c>
      <c r="K1" s="1" t="s">
        <v>325</v>
      </c>
      <c r="U1" s="1" t="s">
        <v>326</v>
      </c>
      <c r="AE1" s="1" t="s">
        <v>327</v>
      </c>
      <c r="AO1" s="1" t="s">
        <v>328</v>
      </c>
      <c r="AY1" s="1" t="s">
        <v>329</v>
      </c>
      <c r="BI1" s="1" t="s">
        <v>330</v>
      </c>
      <c r="BS1" s="1" t="s">
        <v>331</v>
      </c>
      <c r="CC1" s="1" t="s">
        <v>332</v>
      </c>
      <c r="CM1" s="1" t="s">
        <v>333</v>
      </c>
      <c r="CW1" s="1" t="s">
        <v>334</v>
      </c>
      <c r="DG1" s="1" t="s">
        <v>335</v>
      </c>
      <c r="DQ1" s="1" t="s">
        <v>336</v>
      </c>
      <c r="EA1" s="1" t="s">
        <v>337</v>
      </c>
      <c r="EK1" s="1" t="s">
        <v>338</v>
      </c>
      <c r="EU1" s="1" t="s">
        <v>339</v>
      </c>
      <c r="FE1" s="1" t="s">
        <v>340</v>
      </c>
      <c r="FO1" s="1" t="s">
        <v>341</v>
      </c>
      <c r="FY1" s="1" t="s">
        <v>342</v>
      </c>
      <c r="GI1" s="1" t="s">
        <v>343</v>
      </c>
      <c r="GS1" s="1" t="s">
        <v>344</v>
      </c>
      <c r="HC1" s="1" t="s">
        <v>345</v>
      </c>
      <c r="HM1" s="1" t="s">
        <v>346</v>
      </c>
      <c r="HW1" s="1" t="s">
        <v>347</v>
      </c>
      <c r="IG1" s="1" t="s">
        <v>348</v>
      </c>
      <c r="IQ1" s="1" t="s">
        <v>349</v>
      </c>
      <c r="JA1" s="1" t="s">
        <v>350</v>
      </c>
      <c r="JK1" s="1" t="s">
        <v>351</v>
      </c>
      <c r="JU1" s="1" t="s">
        <v>352</v>
      </c>
      <c r="KE1" s="1" t="s">
        <v>353</v>
      </c>
      <c r="KO1" s="1" t="s">
        <v>354</v>
      </c>
      <c r="KY1" s="1" t="s">
        <v>355</v>
      </c>
      <c r="LI1" s="1" t="s">
        <v>356</v>
      </c>
      <c r="LS1" s="1" t="s">
        <v>357</v>
      </c>
      <c r="MC1" s="1" t="s">
        <v>358</v>
      </c>
      <c r="MM1" s="1" t="s">
        <v>359</v>
      </c>
      <c r="MW1" s="1" t="s">
        <v>360</v>
      </c>
      <c r="NG1" s="1" t="s">
        <v>361</v>
      </c>
      <c r="NQ1" s="1" t="s">
        <v>362</v>
      </c>
      <c r="OA1" s="1" t="s">
        <v>363</v>
      </c>
    </row>
    <row r="2" spans="1:396" x14ac:dyDescent="0.25">
      <c r="A2" s="2" t="s">
        <v>44</v>
      </c>
      <c r="K2" s="2" t="s">
        <v>364</v>
      </c>
      <c r="U2" s="2" t="s">
        <v>365</v>
      </c>
      <c r="AE2" s="2" t="s">
        <v>177</v>
      </c>
      <c r="AO2" s="2" t="s">
        <v>366</v>
      </c>
      <c r="AY2" s="2" t="s">
        <v>367</v>
      </c>
      <c r="BI2" s="2" t="s">
        <v>368</v>
      </c>
      <c r="BS2" s="2" t="s">
        <v>64</v>
      </c>
      <c r="CC2" s="2" t="s">
        <v>369</v>
      </c>
      <c r="CM2" s="2" t="s">
        <v>370</v>
      </c>
      <c r="CW2" s="2" t="s">
        <v>64</v>
      </c>
      <c r="DG2" s="2" t="s">
        <v>371</v>
      </c>
      <c r="DQ2" s="2" t="s">
        <v>372</v>
      </c>
      <c r="EA2" s="2" t="s">
        <v>64</v>
      </c>
      <c r="EK2" s="2" t="s">
        <v>272</v>
      </c>
      <c r="EU2" s="2" t="s">
        <v>373</v>
      </c>
      <c r="FE2" s="2" t="s">
        <v>374</v>
      </c>
      <c r="FO2" s="2" t="s">
        <v>375</v>
      </c>
      <c r="FY2" s="2" t="s">
        <v>376</v>
      </c>
      <c r="GI2" s="2" t="s">
        <v>377</v>
      </c>
      <c r="GS2" s="2" t="s">
        <v>378</v>
      </c>
      <c r="HC2" s="2" t="s">
        <v>166</v>
      </c>
      <c r="HM2" s="2" t="s">
        <v>379</v>
      </c>
      <c r="HW2" s="2" t="s">
        <v>380</v>
      </c>
      <c r="IG2" s="2" t="s">
        <v>381</v>
      </c>
      <c r="IQ2" s="2" t="s">
        <v>382</v>
      </c>
      <c r="JA2" s="2" t="s">
        <v>383</v>
      </c>
      <c r="JK2" s="2" t="s">
        <v>384</v>
      </c>
      <c r="JU2" s="2" t="s">
        <v>383</v>
      </c>
      <c r="KE2" s="2" t="s">
        <v>265</v>
      </c>
      <c r="KO2" s="2" t="s">
        <v>259</v>
      </c>
      <c r="KY2" s="2" t="s">
        <v>64</v>
      </c>
      <c r="LI2" s="2" t="s">
        <v>385</v>
      </c>
      <c r="LS2" s="2" t="s">
        <v>386</v>
      </c>
      <c r="MC2" s="2" t="s">
        <v>387</v>
      </c>
      <c r="MM2" s="2" t="s">
        <v>388</v>
      </c>
      <c r="MW2" s="2" t="s">
        <v>260</v>
      </c>
      <c r="NG2" s="2" t="s">
        <v>44</v>
      </c>
      <c r="NQ2" s="2" t="s">
        <v>389</v>
      </c>
      <c r="OA2" s="2" t="s">
        <v>390</v>
      </c>
    </row>
    <row r="3" spans="1:396" x14ac:dyDescent="0.25">
      <c r="A3" t="s">
        <v>391</v>
      </c>
      <c r="K3" t="s">
        <v>392</v>
      </c>
      <c r="U3" t="s">
        <v>393</v>
      </c>
      <c r="AE3" t="s">
        <v>394</v>
      </c>
      <c r="AO3" t="s">
        <v>395</v>
      </c>
      <c r="AY3" t="s">
        <v>396</v>
      </c>
      <c r="BI3" t="s">
        <v>397</v>
      </c>
      <c r="BS3" t="s">
        <v>398</v>
      </c>
      <c r="CC3" t="s">
        <v>399</v>
      </c>
      <c r="CM3" t="s">
        <v>400</v>
      </c>
      <c r="CW3" t="s">
        <v>401</v>
      </c>
      <c r="DG3" t="s">
        <v>402</v>
      </c>
      <c r="DQ3" t="s">
        <v>403</v>
      </c>
      <c r="EA3" t="s">
        <v>404</v>
      </c>
      <c r="EK3" t="s">
        <v>405</v>
      </c>
      <c r="EU3" t="s">
        <v>406</v>
      </c>
      <c r="FE3" t="s">
        <v>407</v>
      </c>
      <c r="FO3" t="s">
        <v>408</v>
      </c>
      <c r="FY3" t="s">
        <v>187</v>
      </c>
      <c r="GI3" t="s">
        <v>409</v>
      </c>
      <c r="GS3" t="s">
        <v>410</v>
      </c>
      <c r="HC3" t="s">
        <v>411</v>
      </c>
      <c r="HM3" t="s">
        <v>102</v>
      </c>
      <c r="HW3" t="s">
        <v>412</v>
      </c>
      <c r="IG3" t="s">
        <v>413</v>
      </c>
      <c r="IQ3" t="s">
        <v>414</v>
      </c>
      <c r="JA3" t="s">
        <v>415</v>
      </c>
      <c r="JK3" t="s">
        <v>416</v>
      </c>
      <c r="JU3" t="s">
        <v>417</v>
      </c>
      <c r="KE3" t="s">
        <v>418</v>
      </c>
      <c r="KO3" t="s">
        <v>419</v>
      </c>
      <c r="KY3" t="s">
        <v>420</v>
      </c>
      <c r="LI3" t="s">
        <v>421</v>
      </c>
      <c r="LS3" t="s">
        <v>422</v>
      </c>
      <c r="MC3" t="s">
        <v>423</v>
      </c>
      <c r="MM3" t="s">
        <v>424</v>
      </c>
      <c r="MW3" t="s">
        <v>425</v>
      </c>
      <c r="NG3" t="s">
        <v>426</v>
      </c>
      <c r="NQ3" t="s">
        <v>427</v>
      </c>
      <c r="OA3" t="s">
        <v>428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_xll.BDS("PFE US Equity","SUPPLY_CHAIN_SUPPLIERS","RELATIONSHIP_AS_OF_DATE","20150205","cols=1;rows=5")</f>
        <v>BNTX US Equity</v>
      </c>
      <c r="F5" t="str">
        <f>_xll.BDS("PFE US Equity","SUPPLY_CHAIN_CUSTOMERS","RELATIONSHIP_AS_OF_DATE","20150205","cols=1;rows=5")</f>
        <v>MCK US Equity</v>
      </c>
      <c r="K5" t="str">
        <f>_xll.BDS("M US Equity","SUPPLY_CHAIN_SUPPLIERS","RELATIONSHIP_AS_OF_DATE","20050228","cols=1;rows=5")</f>
        <v>UPS US Equity</v>
      </c>
      <c r="P5" t="str">
        <f>_xll.BDS("M US Equity","SUPPLY_CHAIN_CUSTOMERS","RELATIONSHIP_AS_OF_DATE","20050228","cols=1;rows=5")</f>
        <v>002790 KS Equity</v>
      </c>
      <c r="U5" t="str">
        <f>_xll.BDS("BK US Equity","SUPPLY_CHAIN_SUPPLIERS","RELATIONSHIP_AS_OF_DATE","20061204","cols=1;rows=5")</f>
        <v>ORCL US Equity</v>
      </c>
      <c r="Z5" t="str">
        <f>_xll.BDS("BK US Equity","SUPPLY_CHAIN_CUSTOMERS","RELATIONSHIP_AS_OF_DATE","20061204")</f>
        <v>#N/A N/A</v>
      </c>
      <c r="AE5" t="str">
        <f>_xll.BDS("PLD US Equity","SUPPLY_CHAIN_SUPPLIERS","RELATIONSHIP_AS_OF_DATE","20110131","cols=1;rows=5")</f>
        <v>SALFACOR CI Equity</v>
      </c>
      <c r="AJ5" t="str">
        <f>_xll.BDS("PLD US Equity","SUPPLY_CHAIN_CUSTOMERS","RELATIONSHIP_AS_OF_DATE","20110131","cols=1;rows=5")</f>
        <v>AMZN US Equity</v>
      </c>
      <c r="AO5" t="str">
        <f>_xll.BDS("O US Equity","SUPPLY_CHAIN_SUPPLIERS","RELATIONSHIP_AS_OF_DATE","20210429")</f>
        <v>#N/A N/A</v>
      </c>
      <c r="AT5" t="str">
        <f>_xll.BDS("O US Equity","SUPPLY_CHAIN_CUSTOMERS","RELATIONSHIP_AS_OF_DATE","20210429","cols=1;rows=5")</f>
        <v>3382 JP Equity</v>
      </c>
      <c r="AY5" t="str">
        <f>_xll.BDS("3153670Q US Equity","SUPPLY_CHAIN_SUPPLIERS","RELATIONSHIP_AS_OF_DATE","20000329")</f>
        <v>#N/A N/A</v>
      </c>
      <c r="BD5" t="str">
        <f>_xll.BDS("3153670Q US Equity","SUPPLY_CHAIN_CUSTOMERS","RELATIONSHIP_AS_OF_DATE","20000329","cols=1;rows=2")</f>
        <v>2427 TT Equity</v>
      </c>
      <c r="BI5" t="str">
        <f>_xll.BDS("JNJ US Equity","SUPPLY_CHAIN_SUPPLIERS","RELATIONSHIP_AS_OF_DATE","20221101","cols=1;rows=5")</f>
        <v>GMAB DC Equity</v>
      </c>
      <c r="BN5" t="str">
        <f>_xll.BDS("JNJ US Equity","SUPPLY_CHAIN_CUSTOMERS","RELATIONSHIP_AS_OF_DATE","20221101","cols=1;rows=5")</f>
        <v>MCK US Equity</v>
      </c>
      <c r="BS5" t="str">
        <f>_xll.BDS("nan Equity","SUPPLY_CHAIN_SUPPLIERS","RELATIONSHIP_AS_OF_DATE","20060915")</f>
        <v>#N/A N/A</v>
      </c>
      <c r="BX5" t="str">
        <f>_xll.BDS("nan Equity","SUPPLY_CHAIN_CUSTOMERS","RELATIONSHIP_AS_OF_DATE","20060915")</f>
        <v>#N/A N/A</v>
      </c>
      <c r="CC5" t="str">
        <f>_xll.BDS("TRV US Equity","SUPPLY_CHAIN_SUPPLIERS","RELATIONSHIP_AS_OF_DATE","20031117","cols=1;rows=5")</f>
        <v>1892140D US Equity</v>
      </c>
      <c r="CH5" t="str">
        <f>_xll.BDS("TRV US Equity","SUPPLY_CHAIN_CUSTOMERS","RELATIONSHIP_AS_OF_DATE","20031117")</f>
        <v>#N/A N/A</v>
      </c>
      <c r="CM5" t="str">
        <f>_xll.BDS("VRSN US Equity","SUPPLY_CHAIN_SUPPLIERS","RELATIONSHIP_AS_OF_DATE","20000307","cols=1;rows=2")</f>
        <v>079940 KS Equity</v>
      </c>
      <c r="CR5" t="str">
        <f>_xll.BDS("VRSN US Equity","SUPPLY_CHAIN_CUSTOMERS","RELATIONSHIP_AS_OF_DATE","20000307","cols=1;rows=3")</f>
        <v>079940 KS Equity</v>
      </c>
      <c r="CW5" t="str">
        <f>_xll.BDS("nan Equity","SUPPLY_CHAIN_SUPPLIERS","RELATIONSHIP_AS_OF_DATE","20060123")</f>
        <v>#N/A N/A</v>
      </c>
      <c r="DB5" t="str">
        <f>_xll.BDS("nan Equity","SUPPLY_CHAIN_CUSTOMERS","RELATIONSHIP_AS_OF_DATE","20060123")</f>
        <v>#N/A N/A</v>
      </c>
      <c r="DG5" t="str">
        <f>_xll.BDS("HON US Equity","SUPPLY_CHAIN_SUPPLIERS","RELATIONSHIP_AS_OF_DATE","19990607","cols=1;rows=5")</f>
        <v>CLS CN Equity</v>
      </c>
      <c r="DL5" t="str">
        <f>_xll.BDS("HON US Equity","SUPPLY_CHAIN_CUSTOMERS","RELATIONSHIP_AS_OF_DATE","19990607","cols=1;rows=5")</f>
        <v>3352Z US Equity</v>
      </c>
      <c r="DQ5" t="str">
        <f>_xll.BDS("VICI US Equity","SUPPLY_CHAIN_SUPPLIERS","RELATIONSHIP_AS_OF_DATE","20210804","cols=1;rows=2")</f>
        <v>AGYS US Equity</v>
      </c>
      <c r="DV5" t="str">
        <f>_xll.BDS("VICI US Equity","SUPPLY_CHAIN_CUSTOMERS","RELATIONSHIP_AS_OF_DATE","20210804","cols=1;rows=5")</f>
        <v>CZR US Equity</v>
      </c>
      <c r="EA5" t="str">
        <f>_xll.BDS("nan Equity","SUPPLY_CHAIN_SUPPLIERS","RELATIONSHIP_AS_OF_DATE","20220329")</f>
        <v>#N/A N/A</v>
      </c>
      <c r="EF5" t="str">
        <f>_xll.BDS("nan Equity","SUPPLY_CHAIN_CUSTOMERS","RELATIONSHIP_AS_OF_DATE","20220329")</f>
        <v>#N/A N/A</v>
      </c>
      <c r="EK5" t="str">
        <f>_xll.BDS("TMO US Equity","SUPPLY_CHAIN_SUPPLIERS","RELATIONSHIP_AS_OF_DATE","20130415","cols=1;rows=5")</f>
        <v>EMR US Equity</v>
      </c>
      <c r="EP5" t="str">
        <f>_xll.BDS("TMO US Equity","SUPPLY_CHAIN_CUSTOMERS","RELATIONSHIP_AS_OF_DATE","20130415","cols=1;rows=5")</f>
        <v>4195 TT Equity</v>
      </c>
      <c r="EU5" t="str">
        <f>_xll.BDS("FBF US Equity","SUPPLY_CHAIN_SUPPLIERS","RELATIONSHIP_AS_OF_DATE","19990315")</f>
        <v>#N/A N/A</v>
      </c>
      <c r="EZ5" t="str">
        <f>_xll.BDS("FBF US Equity","SUPPLY_CHAIN_CUSTOMERS","RELATIONSHIP_AS_OF_DATE","19990315")</f>
        <v>#N/A N/A</v>
      </c>
      <c r="FE5" t="str">
        <f>_xll.BDS("MAR US Equity","SUPPLY_CHAIN_SUPPLIERS","RELATIONSHIP_AS_OF_DATE","20151116","cols=1;rows=5")</f>
        <v>ORCL US Equity</v>
      </c>
      <c r="FJ5" t="str">
        <f>_xll.BDS("MAR US Equity","SUPPLY_CHAIN_CUSTOMERS","RELATIONSHIP_AS_OF_DATE","20151116","cols=1;rows=5")</f>
        <v>139480 KS Equity</v>
      </c>
      <c r="FO5" t="str">
        <f>_xll.BDS("SLB US Equity","SUPPLY_CHAIN_SUPPLIERS","RELATIONSHIP_AS_OF_DATE","20150826","cols=1;rows=5")</f>
        <v>ARABIAND AB Equity</v>
      </c>
      <c r="FT5" t="str">
        <f>_xll.BDS("SLB US Equity","SUPPLY_CHAIN_CUSTOMERS","RELATIONSHIP_AS_OF_DATE","20150826","cols=1;rows=5")</f>
        <v>PETR4 BZ Equity</v>
      </c>
      <c r="FY5" t="str">
        <f>_xll.BDS("1996074D US Equity","SUPPLY_CHAIN_SUPPLIERS","RELATIONSHIP_AS_OF_DATE","20000118")</f>
        <v>#N/A N/A</v>
      </c>
      <c r="GD5" t="str">
        <f>_xll.BDS("1996074D US Equity","SUPPLY_CHAIN_CUSTOMERS","RELATIONSHIP_AS_OF_DATE","20000118")</f>
        <v>#N/A N/A</v>
      </c>
      <c r="GI5" t="str">
        <f>_xll.BDS("WBD US Equity","SUPPLY_CHAIN_SUPPLIERS","RELATIONSHIP_AS_OF_DATE","20170731","cols=1;rows=5")</f>
        <v>IMAX US Equity</v>
      </c>
      <c r="GN5" t="str">
        <f>_xll.BDS("WBD US Equity","SUPPLY_CHAIN_CUSTOMERS","RELATIONSHIP_AS_OF_DATE","20170731","cols=1;rows=5")</f>
        <v>8 HK Equity</v>
      </c>
      <c r="GS5" t="str">
        <f>_xll.BDS("PEP US Equity","SUPPLY_CHAIN_SUPPLIERS","RELATIONSHIP_AS_OF_DATE","20001204","cols=1;rows=5")</f>
        <v>AMCR US Equity</v>
      </c>
      <c r="GX5" t="str">
        <f>_xll.BDS("PEP US Equity","SUPPLY_CHAIN_CUSTOMERS","RELATIONSHIP_AS_OF_DATE","20001204","cols=1;rows=5")</f>
        <v>WMT US Equity</v>
      </c>
      <c r="HC5" t="str">
        <f>_xll.BDS("WFC US Equity","SUPPLY_CHAIN_SUPPLIERS","RELATIONSHIP_AS_OF_DATE","20081003","cols=1;rows=5")</f>
        <v>ADBE US Equity</v>
      </c>
      <c r="HH5" t="str">
        <f>_xll.BDS("WFC US Equity","SUPPLY_CHAIN_CUSTOMERS","RELATIONSHIP_AS_OF_DATE","20081003","cols=1;rows=5")</f>
        <v>CDW US Equity</v>
      </c>
      <c r="HM5" t="str">
        <f>_xll.BDS("ELV US Equity","SUPPLY_CHAIN_SUPPLIERS","RELATIONSHIP_AS_OF_DATE","20031027","cols=1;rows=5")</f>
        <v>HNGE US Equity</v>
      </c>
      <c r="HR5" t="str">
        <f>_xll.BDS("ELV US Equity","SUPPLY_CHAIN_CUSTOMERS","RELATIONSHIP_AS_OF_DATE","20031027","cols=1;rows=5")</f>
        <v>3352Z US Equity</v>
      </c>
      <c r="HW5" t="str">
        <f>_xll.BDS("COF US Equity","SUPPLY_CHAIN_SUPPLIERS","RELATIONSHIP_AS_OF_DATE","20060312","cols=1;rows=5")</f>
        <v>MTZ US Equity</v>
      </c>
      <c r="IB5" t="str">
        <f>_xll.BDS("COF US Equity","SUPPLY_CHAIN_CUSTOMERS","RELATIONSHIP_AS_OF_DATE","20060312","cols=1;rows=4")</f>
        <v>ASC LN Equity</v>
      </c>
      <c r="IG5" t="str">
        <f>_xll.BDS("MS US Equity","SUPPLY_CHAIN_SUPPLIERS","RELATIONSHIP_AS_OF_DATE","20200220","cols=1;rows=5")</f>
        <v>DLR US Equity</v>
      </c>
      <c r="IL5" t="str">
        <f>_xll.BDS("MS US Equity","SUPPLY_CHAIN_CUSTOMERS","RELATIONSHIP_AS_OF_DATE","20200220","cols=1;rows=5")</f>
        <v>012690 KS Equity</v>
      </c>
      <c r="IQ5" t="str">
        <f>_xll.BDS("D US Equity","SUPPLY_CHAIN_SUPPLIERS","RELATIONSHIP_AS_OF_DATE","20180103","cols=1;rows=5")</f>
        <v>PWR US Equity</v>
      </c>
      <c r="IV5" t="str">
        <f>_xll.BDS("D US Equity","SUPPLY_CHAIN_CUSTOMERS","RELATIONSHIP_AS_OF_DATE","20180103","cols=1;rows=5")</f>
        <v>000039 CH Equity</v>
      </c>
      <c r="JA5" t="str">
        <f>_xll.BDS("INTC US Equity","SUPPLY_CHAIN_SUPPLIERS","RELATIONSHIP_AS_OF_DATE","20150601","cols=1;rows=5")</f>
        <v>ASML NA Equity</v>
      </c>
      <c r="JF5" t="str">
        <f>_xll.BDS("INTC US Equity","SUPPLY_CHAIN_CUSTOMERS","RELATIONSHIP_AS_OF_DATE","20150601","cols=1;rows=5")</f>
        <v>DELL US Equity</v>
      </c>
      <c r="JK5" t="str">
        <f>_xll.BDS("WDC US Equity","SUPPLY_CHAIN_SUPPLIERS","RELATIONSHIP_AS_OF_DATE","20151021","cols=1;rows=5")</f>
        <v>000660 KS Equity</v>
      </c>
      <c r="JP5" t="str">
        <f>_xll.BDS("WDC US Equity","SUPPLY_CHAIN_CUSTOMERS","RELATIONSHIP_AS_OF_DATE","20151021","cols=1;rows=5")</f>
        <v>AMZN US Equity</v>
      </c>
      <c r="JU5" t="str">
        <f>_xll.BDS("INTC US Equity","SUPPLY_CHAIN_SUPPLIERS","RELATIONSHIP_AS_OF_DATE","20170313","cols=1;rows=5")</f>
        <v>ASML NA Equity</v>
      </c>
      <c r="JZ5" t="str">
        <f>_xll.BDS("INTC US Equity","SUPPLY_CHAIN_CUSTOMERS","RELATIONSHIP_AS_OF_DATE","20170313","cols=1;rows=5")</f>
        <v>DELL US Equity</v>
      </c>
      <c r="KE5" t="str">
        <f>_xll.BDS("1255173D US Equity","SUPPLY_CHAIN_SUPPLIERS","RELATIONSHIP_AS_OF_DATE","20040621")</f>
        <v>#N/A N/A</v>
      </c>
      <c r="KJ5" t="str">
        <f>_xll.BDS("1255173D US Equity","SUPPLY_CHAIN_CUSTOMERS","RELATIONSHIP_AS_OF_DATE","20040621")</f>
        <v>#N/A N/A</v>
      </c>
      <c r="KO5" t="str">
        <f>_xll.BDS("CRM US Equity","SUPPLY_CHAIN_SUPPLIERS","RELATIONSHIP_AS_OF_DATE","20190610","cols=1;rows=5")</f>
        <v>BXP US Equity</v>
      </c>
      <c r="KT5" t="str">
        <f>_xll.BDS("CRM US Equity","SUPPLY_CHAIN_CUSTOMERS","RELATIONSHIP_AS_OF_DATE","20190610","cols=1;rows=5")</f>
        <v>SNX US Equity</v>
      </c>
      <c r="KY5" t="str">
        <f>_xll.BDS("nan Equity","SUPPLY_CHAIN_SUPPLIERS","RELATIONSHIP_AS_OF_DATE","20151207")</f>
        <v>#N/A N/A</v>
      </c>
      <c r="LD5" t="str">
        <f>_xll.BDS("nan Equity","SUPPLY_CHAIN_CUSTOMERS","RELATIONSHIP_AS_OF_DATE","20151207")</f>
        <v>#N/A N/A</v>
      </c>
      <c r="LI5" t="str">
        <f>_xll.BDS("MCK US Equity","SUPPLY_CHAIN_SUPPLIERS","RELATIONSHIP_AS_OF_DATE","19981019","cols=1;rows=5")</f>
        <v>ABBV US Equity</v>
      </c>
      <c r="LN5" t="str">
        <f>_xll.BDS("MCK US Equity","SUPPLY_CHAIN_CUSTOMERS","RELATIONSHIP_AS_OF_DATE","19981019","cols=1;rows=5")</f>
        <v>CVS US Equity</v>
      </c>
      <c r="LS5" t="str">
        <f>_xll.BDS("WAMUQ US Equity","SUPPLY_CHAIN_SUPPLIERS","RELATIONSHIP_AS_OF_DATE","20010625")</f>
        <v>#N/A N/A</v>
      </c>
      <c r="LX5" t="str">
        <f>_xll.BDS("WAMUQ US Equity","SUPPLY_CHAIN_CUSTOMERS","RELATIONSHIP_AS_OF_DATE","20010625")</f>
        <v>#N/A N/A</v>
      </c>
      <c r="MC5" t="str">
        <f>_xll.BDS("DHR US Equity","SUPPLY_CHAIN_SUPPLIERS","RELATIONSHIP_AS_OF_DATE","20150513","cols=1;rows=5")</f>
        <v>FLEX US Equity</v>
      </c>
      <c r="MH5" t="str">
        <f>_xll.BDS("DHR US Equity","SUPPLY_CHAIN_CUSTOMERS","RELATIONSHIP_AS_OF_DATE","20150513","cols=1;rows=5")</f>
        <v>CDW US Equity</v>
      </c>
      <c r="MM5" t="str">
        <f>_xll.BDS("NOC US Equity","SUPPLY_CHAIN_SUPPLIERS","RELATIONSHIP_AS_OF_DATE","20020222","cols=1;rows=5")</f>
        <v>RTX US Equity</v>
      </c>
      <c r="MR5" t="str">
        <f>_xll.BDS("NOC US Equity","SUPPLY_CHAIN_CUSTOMERS","RELATIONSHIP_AS_OF_DATE","20020222","cols=1;rows=5")</f>
        <v>3352Z US Equity</v>
      </c>
      <c r="MW5" t="str">
        <f>_xll.BDS("DUK US Equity","SUPPLY_CHAIN_SUPPLIERS","RELATIONSHIP_AS_OF_DATE","20050509","cols=1;rows=5")</f>
        <v>PWR US Equity</v>
      </c>
      <c r="NB5" t="str">
        <f>_xll.BDS("DUK US Equity","SUPPLY_CHAIN_CUSTOMERS","RELATIONSHIP_AS_OF_DATE","20050509","cols=1;rows=5")</f>
        <v>000150 KS Equity</v>
      </c>
      <c r="NG5" t="str">
        <f>_xll.BDS("PFE US Equity","SUPPLY_CHAIN_SUPPLIERS","RELATIONSHIP_AS_OF_DATE","20160822","cols=1;rows=5")</f>
        <v>BNTX US Equity</v>
      </c>
      <c r="NL5" t="str">
        <f>_xll.BDS("PFE US Equity","SUPPLY_CHAIN_CUSTOMERS","RELATIONSHIP_AS_OF_DATE","20160822","cols=1;rows=5")</f>
        <v>MCK US Equity</v>
      </c>
      <c r="NQ5" t="str">
        <f>_xll.BDS("MPLX US Equity","SUPPLY_CHAIN_SUPPLIERS","RELATIONSHIP_AS_OF_DATE","20150713","cols=1;rows=5")</f>
        <v>DNOW US Equity</v>
      </c>
      <c r="NV5" t="str">
        <f>_xll.BDS("MPLX US Equity","SUPPLY_CHAIN_CUSTOMERS","RELATIONSHIP_AS_OF_DATE","20150713","cols=1;rows=3")</f>
        <v>MPC US Equity</v>
      </c>
      <c r="OA5" t="str">
        <f>_xll.BDS("GEN US Equity","SUPPLY_CHAIN_SUPPLIERS","RELATIONSHIP_AS_OF_DATE","20041216","cols=1;rows=5")</f>
        <v>354 HK Equity</v>
      </c>
      <c r="OF5" t="str">
        <f>_xll.BDS("GEN US Equity","SUPPLY_CHAIN_CUSTOMERS","RELATIONSHIP_AS_OF_DATE","20041216","cols=1;rows=5")</f>
        <v>BABA US Equity</v>
      </c>
    </row>
    <row r="6" spans="1:396" x14ac:dyDescent="0.25">
      <c r="A6" t="s">
        <v>171</v>
      </c>
      <c r="F6" t="s">
        <v>1468</v>
      </c>
      <c r="K6" t="s">
        <v>10880</v>
      </c>
      <c r="P6" t="s">
        <v>12457</v>
      </c>
      <c r="U6" t="s">
        <v>11286</v>
      </c>
      <c r="AE6" t="s">
        <v>13165</v>
      </c>
      <c r="AJ6" t="s">
        <v>570</v>
      </c>
      <c r="AT6" t="s">
        <v>3715</v>
      </c>
      <c r="BD6" t="s">
        <v>12899</v>
      </c>
      <c r="BI6" t="s">
        <v>10735</v>
      </c>
      <c r="BN6" t="s">
        <v>1468</v>
      </c>
      <c r="CC6" t="s">
        <v>11787</v>
      </c>
      <c r="CM6" t="s">
        <v>11141</v>
      </c>
      <c r="CR6" t="s">
        <v>12638</v>
      </c>
      <c r="DG6" t="s">
        <v>2599</v>
      </c>
      <c r="DL6" t="s">
        <v>1363</v>
      </c>
      <c r="DQ6" t="s">
        <v>11122</v>
      </c>
      <c r="DV6" t="s">
        <v>782</v>
      </c>
      <c r="EK6" t="s">
        <v>44</v>
      </c>
      <c r="EP6" t="s">
        <v>10662</v>
      </c>
      <c r="FE6" t="s">
        <v>11662</v>
      </c>
      <c r="FJ6" t="s">
        <v>12314</v>
      </c>
      <c r="FO6" t="s">
        <v>11846</v>
      </c>
      <c r="FT6" t="s">
        <v>11808</v>
      </c>
      <c r="GI6" t="s">
        <v>2204</v>
      </c>
      <c r="GN6" t="s">
        <v>13249</v>
      </c>
      <c r="GS6" t="s">
        <v>11892</v>
      </c>
      <c r="GX6" t="s">
        <v>477</v>
      </c>
      <c r="HC6" t="s">
        <v>10986</v>
      </c>
      <c r="HH6" t="s">
        <v>11473</v>
      </c>
      <c r="HM6" t="s">
        <v>13226</v>
      </c>
      <c r="HR6" t="s">
        <v>13034</v>
      </c>
      <c r="HW6" t="s">
        <v>1654</v>
      </c>
      <c r="IB6" t="s">
        <v>3244</v>
      </c>
      <c r="IG6" t="s">
        <v>11840</v>
      </c>
      <c r="IL6" t="s">
        <v>12493</v>
      </c>
      <c r="IQ6" t="s">
        <v>3251</v>
      </c>
      <c r="IV6" t="s">
        <v>11751</v>
      </c>
      <c r="JA6" t="s">
        <v>11090</v>
      </c>
      <c r="JF6" t="s">
        <v>261</v>
      </c>
      <c r="JK6" t="s">
        <v>11374</v>
      </c>
      <c r="JP6" t="s">
        <v>11084</v>
      </c>
      <c r="JU6" t="s">
        <v>11090</v>
      </c>
      <c r="JZ6" t="s">
        <v>261</v>
      </c>
      <c r="KO6" t="s">
        <v>6477</v>
      </c>
      <c r="KT6" t="s">
        <v>165</v>
      </c>
      <c r="LI6" t="s">
        <v>368</v>
      </c>
      <c r="LN6" t="s">
        <v>10676</v>
      </c>
      <c r="MC6" t="s">
        <v>10735</v>
      </c>
      <c r="MH6" t="s">
        <v>2881</v>
      </c>
      <c r="MM6" t="s">
        <v>12047</v>
      </c>
      <c r="MR6" t="s">
        <v>10785</v>
      </c>
      <c r="MW6" t="s">
        <v>3251</v>
      </c>
      <c r="NB6" t="s">
        <v>11527</v>
      </c>
      <c r="NG6" t="s">
        <v>171</v>
      </c>
      <c r="NL6" t="s">
        <v>1468</v>
      </c>
      <c r="NQ6" t="s">
        <v>11449</v>
      </c>
      <c r="NV6" t="s">
        <v>12894</v>
      </c>
      <c r="OA6" t="s">
        <v>5409</v>
      </c>
      <c r="OF6" t="s">
        <v>2881</v>
      </c>
    </row>
    <row r="7" spans="1:396" x14ac:dyDescent="0.25">
      <c r="A7" t="s">
        <v>10816</v>
      </c>
      <c r="F7" t="s">
        <v>970</v>
      </c>
      <c r="K7" t="s">
        <v>10838</v>
      </c>
      <c r="P7" t="s">
        <v>12458</v>
      </c>
      <c r="U7" t="s">
        <v>13168</v>
      </c>
      <c r="AE7" t="s">
        <v>13166</v>
      </c>
      <c r="AJ7" t="s">
        <v>3073</v>
      </c>
      <c r="AT7" t="s">
        <v>12795</v>
      </c>
      <c r="BI7" t="s">
        <v>45</v>
      </c>
      <c r="BN7" t="s">
        <v>970</v>
      </c>
      <c r="CC7" t="s">
        <v>12188</v>
      </c>
      <c r="CR7" t="s">
        <v>12639</v>
      </c>
      <c r="DG7" t="s">
        <v>11010</v>
      </c>
      <c r="DL7" t="s">
        <v>10939</v>
      </c>
      <c r="DV7" t="s">
        <v>13198</v>
      </c>
      <c r="EK7" t="s">
        <v>10734</v>
      </c>
      <c r="EP7" t="s">
        <v>10761</v>
      </c>
      <c r="FE7" t="s">
        <v>772</v>
      </c>
      <c r="FJ7" t="s">
        <v>12315</v>
      </c>
      <c r="FO7" t="s">
        <v>266</v>
      </c>
      <c r="FT7" t="s">
        <v>11809</v>
      </c>
      <c r="GI7" t="s">
        <v>13263</v>
      </c>
      <c r="GN7" t="s">
        <v>13250</v>
      </c>
      <c r="GS7" t="s">
        <v>12861</v>
      </c>
      <c r="GX7" t="s">
        <v>469</v>
      </c>
      <c r="HC7" t="s">
        <v>988</v>
      </c>
      <c r="HH7" t="s">
        <v>10787</v>
      </c>
      <c r="HM7" t="s">
        <v>972</v>
      </c>
      <c r="HR7" t="s">
        <v>13035</v>
      </c>
      <c r="HW7" t="s">
        <v>11691</v>
      </c>
      <c r="IB7" t="s">
        <v>11053</v>
      </c>
      <c r="IG7" t="s">
        <v>12364</v>
      </c>
      <c r="IL7" t="s">
        <v>12494</v>
      </c>
      <c r="IQ7" t="s">
        <v>12791</v>
      </c>
      <c r="IV7" t="s">
        <v>12455</v>
      </c>
      <c r="JA7" t="s">
        <v>10729</v>
      </c>
      <c r="JF7" t="s">
        <v>10853</v>
      </c>
      <c r="JK7" t="s">
        <v>11797</v>
      </c>
      <c r="JP7" t="s">
        <v>266</v>
      </c>
      <c r="JU7" t="s">
        <v>10729</v>
      </c>
      <c r="JZ7" t="s">
        <v>10853</v>
      </c>
      <c r="KO7" t="s">
        <v>165</v>
      </c>
      <c r="KT7" t="s">
        <v>10838</v>
      </c>
      <c r="LI7" t="s">
        <v>43</v>
      </c>
      <c r="LN7" t="s">
        <v>10882</v>
      </c>
      <c r="MC7" t="s">
        <v>273</v>
      </c>
      <c r="MH7" t="s">
        <v>10661</v>
      </c>
      <c r="MM7" t="s">
        <v>3439</v>
      </c>
      <c r="MR7" t="s">
        <v>469</v>
      </c>
      <c r="MW7" t="s">
        <v>12085</v>
      </c>
      <c r="NB7" t="s">
        <v>11751</v>
      </c>
      <c r="NG7" t="s">
        <v>10816</v>
      </c>
      <c r="NL7" t="s">
        <v>970</v>
      </c>
      <c r="NQ7" t="s">
        <v>578</v>
      </c>
      <c r="NV7" t="s">
        <v>13086</v>
      </c>
      <c r="OA7" t="s">
        <v>10981</v>
      </c>
      <c r="OF7" t="s">
        <v>4139</v>
      </c>
    </row>
    <row r="8" spans="1:396" x14ac:dyDescent="0.25">
      <c r="A8" t="s">
        <v>43</v>
      </c>
      <c r="F8" t="s">
        <v>43</v>
      </c>
      <c r="K8" t="s">
        <v>11769</v>
      </c>
      <c r="P8" t="s">
        <v>12459</v>
      </c>
      <c r="U8" t="s">
        <v>11522</v>
      </c>
      <c r="AE8" t="s">
        <v>13167</v>
      </c>
      <c r="AJ8" t="s">
        <v>2967</v>
      </c>
      <c r="AT8" t="s">
        <v>677</v>
      </c>
      <c r="BI8" t="s">
        <v>3437</v>
      </c>
      <c r="BN8" t="s">
        <v>51</v>
      </c>
      <c r="CC8" t="s">
        <v>11953</v>
      </c>
      <c r="DG8" t="s">
        <v>11802</v>
      </c>
      <c r="DL8" t="s">
        <v>10785</v>
      </c>
      <c r="DV8" t="s">
        <v>13199</v>
      </c>
      <c r="EK8" t="s">
        <v>10735</v>
      </c>
      <c r="EP8" t="s">
        <v>10762</v>
      </c>
      <c r="FE8" t="s">
        <v>11148</v>
      </c>
      <c r="FJ8" t="s">
        <v>11216</v>
      </c>
      <c r="FO8" t="s">
        <v>11847</v>
      </c>
      <c r="FT8" t="s">
        <v>11711</v>
      </c>
      <c r="GI8" t="s">
        <v>11838</v>
      </c>
      <c r="GN8" t="s">
        <v>13251</v>
      </c>
      <c r="GS8" t="s">
        <v>12862</v>
      </c>
      <c r="GX8" t="s">
        <v>10805</v>
      </c>
      <c r="HC8" t="s">
        <v>1548</v>
      </c>
      <c r="HH8" t="s">
        <v>3340</v>
      </c>
      <c r="HM8" t="s">
        <v>1654</v>
      </c>
      <c r="HR8" t="s">
        <v>13036</v>
      </c>
      <c r="HW8" t="s">
        <v>11934</v>
      </c>
      <c r="IB8" t="s">
        <v>11897</v>
      </c>
      <c r="IG8" t="s">
        <v>12303</v>
      </c>
      <c r="IL8" t="s">
        <v>3610</v>
      </c>
      <c r="IQ8" t="s">
        <v>6724</v>
      </c>
      <c r="IV8" t="s">
        <v>10987</v>
      </c>
      <c r="JA8" t="s">
        <v>10892</v>
      </c>
      <c r="JF8" t="s">
        <v>11566</v>
      </c>
      <c r="JK8" t="s">
        <v>279</v>
      </c>
      <c r="JP8" t="s">
        <v>11771</v>
      </c>
      <c r="JU8" t="s">
        <v>10892</v>
      </c>
      <c r="JZ8" t="s">
        <v>11566</v>
      </c>
      <c r="KO8" t="s">
        <v>11049</v>
      </c>
      <c r="KT8" t="s">
        <v>10660</v>
      </c>
      <c r="LI8" t="s">
        <v>870</v>
      </c>
      <c r="LN8" t="s">
        <v>10883</v>
      </c>
      <c r="MC8" t="s">
        <v>6320</v>
      </c>
      <c r="MH8" t="s">
        <v>10662</v>
      </c>
      <c r="MM8" t="s">
        <v>12048</v>
      </c>
      <c r="MR8" t="s">
        <v>1363</v>
      </c>
      <c r="MW8" t="s">
        <v>7384</v>
      </c>
      <c r="NB8" t="s">
        <v>13266</v>
      </c>
      <c r="NG8" t="s">
        <v>43</v>
      </c>
      <c r="NL8" t="s">
        <v>43</v>
      </c>
      <c r="NQ8" t="s">
        <v>888</v>
      </c>
      <c r="OA8" t="s">
        <v>10982</v>
      </c>
      <c r="OF8" t="s">
        <v>10954</v>
      </c>
    </row>
    <row r="9" spans="1:396" x14ac:dyDescent="0.25">
      <c r="A9" t="s">
        <v>10817</v>
      </c>
      <c r="F9" t="s">
        <v>10657</v>
      </c>
      <c r="K9" t="s">
        <v>1843</v>
      </c>
      <c r="P9" t="s">
        <v>6476</v>
      </c>
      <c r="U9" t="s">
        <v>12977</v>
      </c>
      <c r="AE9" t="s">
        <v>12699</v>
      </c>
      <c r="AJ9" t="s">
        <v>13157</v>
      </c>
      <c r="AT9" t="s">
        <v>12796</v>
      </c>
      <c r="BI9" t="s">
        <v>11012</v>
      </c>
      <c r="BN9" t="s">
        <v>10944</v>
      </c>
      <c r="CC9" t="s">
        <v>12189</v>
      </c>
      <c r="DG9" t="s">
        <v>12211</v>
      </c>
      <c r="DL9" t="s">
        <v>1652</v>
      </c>
      <c r="DV9" t="s">
        <v>13200</v>
      </c>
      <c r="EK9" t="s">
        <v>3073</v>
      </c>
      <c r="EP9" t="s">
        <v>10763</v>
      </c>
      <c r="FE9" t="s">
        <v>12299</v>
      </c>
      <c r="FJ9" t="s">
        <v>12316</v>
      </c>
      <c r="FO9" t="s">
        <v>11848</v>
      </c>
      <c r="FT9" t="s">
        <v>11540</v>
      </c>
      <c r="GI9" t="s">
        <v>7300</v>
      </c>
      <c r="GN9" t="s">
        <v>13252</v>
      </c>
      <c r="GS9" t="s">
        <v>11854</v>
      </c>
      <c r="GX9" t="s">
        <v>11114</v>
      </c>
      <c r="HC9" t="s">
        <v>10877</v>
      </c>
      <c r="HH9" t="s">
        <v>11174</v>
      </c>
      <c r="HM9" t="s">
        <v>7475</v>
      </c>
      <c r="HR9" t="s">
        <v>13037</v>
      </c>
      <c r="HW9" t="s">
        <v>11935</v>
      </c>
      <c r="IG9" t="s">
        <v>11910</v>
      </c>
      <c r="IL9" t="s">
        <v>6473</v>
      </c>
      <c r="IQ9" t="s">
        <v>7384</v>
      </c>
      <c r="IV9" t="s">
        <v>10892</v>
      </c>
      <c r="JA9" t="s">
        <v>1267</v>
      </c>
      <c r="JF9" t="s">
        <v>11875</v>
      </c>
      <c r="JK9" t="s">
        <v>11798</v>
      </c>
      <c r="JP9" t="s">
        <v>10732</v>
      </c>
      <c r="JU9" t="s">
        <v>1267</v>
      </c>
      <c r="JZ9" t="s">
        <v>11875</v>
      </c>
      <c r="KO9" t="s">
        <v>10748</v>
      </c>
      <c r="KT9" t="s">
        <v>4219</v>
      </c>
      <c r="LI9" t="s">
        <v>44</v>
      </c>
      <c r="LN9" t="s">
        <v>10925</v>
      </c>
      <c r="MC9" t="s">
        <v>1654</v>
      </c>
      <c r="MH9" t="s">
        <v>10663</v>
      </c>
      <c r="MM9" t="s">
        <v>10786</v>
      </c>
      <c r="MR9" t="s">
        <v>11193</v>
      </c>
      <c r="MW9" t="s">
        <v>772</v>
      </c>
      <c r="NB9" t="s">
        <v>11555</v>
      </c>
      <c r="NG9" t="s">
        <v>10817</v>
      </c>
      <c r="NL9" t="s">
        <v>10657</v>
      </c>
      <c r="NQ9" t="s">
        <v>56</v>
      </c>
      <c r="OA9" t="s">
        <v>279</v>
      </c>
      <c r="OF9" t="s">
        <v>10948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F9"/>
  <sheetViews>
    <sheetView tabSelected="1" workbookViewId="0">
      <selection activeCell="P5" sqref="P5"/>
    </sheetView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429</v>
      </c>
      <c r="K1" s="1" t="s">
        <v>430</v>
      </c>
      <c r="U1" s="1" t="s">
        <v>431</v>
      </c>
      <c r="AE1" s="1" t="s">
        <v>432</v>
      </c>
      <c r="AO1" s="1" t="s">
        <v>433</v>
      </c>
      <c r="AY1" s="1" t="s">
        <v>434</v>
      </c>
      <c r="BI1" s="1" t="s">
        <v>435</v>
      </c>
      <c r="BS1" s="1" t="s">
        <v>436</v>
      </c>
      <c r="CC1" s="1" t="s">
        <v>437</v>
      </c>
      <c r="CM1" s="1" t="s">
        <v>438</v>
      </c>
      <c r="CW1" s="1" t="s">
        <v>439</v>
      </c>
      <c r="DG1" s="1" t="s">
        <v>440</v>
      </c>
      <c r="DQ1" s="1" t="s">
        <v>441</v>
      </c>
      <c r="EA1" s="1" t="s">
        <v>442</v>
      </c>
      <c r="EK1" s="1" t="s">
        <v>443</v>
      </c>
      <c r="EU1" s="1" t="s">
        <v>444</v>
      </c>
      <c r="FE1" s="1" t="s">
        <v>445</v>
      </c>
      <c r="FO1" s="1" t="s">
        <v>446</v>
      </c>
      <c r="FY1" s="1" t="s">
        <v>447</v>
      </c>
      <c r="GI1" s="1" t="s">
        <v>448</v>
      </c>
      <c r="GS1" s="1" t="s">
        <v>449</v>
      </c>
      <c r="HC1" s="1" t="s">
        <v>450</v>
      </c>
      <c r="HM1" s="1" t="s">
        <v>451</v>
      </c>
      <c r="HW1" s="1" t="s">
        <v>452</v>
      </c>
      <c r="IG1" s="1" t="s">
        <v>453</v>
      </c>
      <c r="IQ1" s="1" t="s">
        <v>454</v>
      </c>
      <c r="JA1" s="1" t="s">
        <v>455</v>
      </c>
      <c r="JK1" s="1" t="s">
        <v>456</v>
      </c>
      <c r="JU1" s="1" t="s">
        <v>457</v>
      </c>
      <c r="KE1" s="1" t="s">
        <v>458</v>
      </c>
      <c r="KO1" s="1" t="s">
        <v>459</v>
      </c>
      <c r="KY1" s="1" t="s">
        <v>460</v>
      </c>
      <c r="LI1" s="1" t="s">
        <v>461</v>
      </c>
      <c r="LS1" s="1" t="s">
        <v>462</v>
      </c>
      <c r="MC1" s="1" t="s">
        <v>463</v>
      </c>
      <c r="MM1" s="1" t="s">
        <v>464</v>
      </c>
      <c r="MW1" s="1" t="s">
        <v>465</v>
      </c>
      <c r="NG1" s="1" t="s">
        <v>466</v>
      </c>
      <c r="NQ1" s="1" t="s">
        <v>467</v>
      </c>
      <c r="OA1" s="1" t="s">
        <v>468</v>
      </c>
    </row>
    <row r="2" spans="1:396" x14ac:dyDescent="0.25">
      <c r="A2" s="2" t="s">
        <v>158</v>
      </c>
      <c r="K2" s="2" t="s">
        <v>176</v>
      </c>
      <c r="U2" s="2" t="s">
        <v>469</v>
      </c>
      <c r="AE2" s="2" t="s">
        <v>265</v>
      </c>
      <c r="AO2" s="2" t="s">
        <v>470</v>
      </c>
      <c r="AY2" s="2" t="s">
        <v>471</v>
      </c>
      <c r="BI2" s="2" t="s">
        <v>156</v>
      </c>
      <c r="BS2" s="2" t="s">
        <v>472</v>
      </c>
      <c r="CC2" s="2" t="s">
        <v>473</v>
      </c>
      <c r="CM2" s="2" t="s">
        <v>474</v>
      </c>
      <c r="CW2" s="2" t="s">
        <v>475</v>
      </c>
      <c r="DG2" s="2" t="s">
        <v>261</v>
      </c>
      <c r="DQ2" s="2" t="s">
        <v>476</v>
      </c>
      <c r="EA2" s="2" t="s">
        <v>273</v>
      </c>
      <c r="EK2" s="2" t="s">
        <v>472</v>
      </c>
      <c r="EU2" s="2" t="s">
        <v>161</v>
      </c>
      <c r="FE2" s="2" t="s">
        <v>68</v>
      </c>
      <c r="FO2" s="2" t="s">
        <v>477</v>
      </c>
      <c r="FY2" s="2" t="s">
        <v>164</v>
      </c>
      <c r="GI2" s="2" t="s">
        <v>478</v>
      </c>
      <c r="GS2" s="2" t="s">
        <v>479</v>
      </c>
      <c r="HC2" s="2" t="s">
        <v>375</v>
      </c>
      <c r="HM2" s="2" t="s">
        <v>177</v>
      </c>
      <c r="HW2" s="2" t="s">
        <v>480</v>
      </c>
      <c r="IG2" s="2" t="s">
        <v>267</v>
      </c>
      <c r="IQ2" s="2" t="s">
        <v>481</v>
      </c>
      <c r="JA2" s="2" t="s">
        <v>482</v>
      </c>
      <c r="JK2" s="2" t="s">
        <v>483</v>
      </c>
      <c r="JU2" s="2" t="s">
        <v>368</v>
      </c>
      <c r="KE2" s="2" t="s">
        <v>277</v>
      </c>
      <c r="KO2" s="2" t="s">
        <v>64</v>
      </c>
      <c r="KY2" s="2" t="s">
        <v>64</v>
      </c>
      <c r="LI2" s="2" t="s">
        <v>484</v>
      </c>
      <c r="LS2" s="2" t="s">
        <v>485</v>
      </c>
      <c r="MC2" s="2" t="s">
        <v>272</v>
      </c>
      <c r="MM2" s="2" t="s">
        <v>486</v>
      </c>
      <c r="MW2" s="2" t="s">
        <v>52</v>
      </c>
      <c r="NG2" s="2" t="s">
        <v>487</v>
      </c>
      <c r="NQ2" s="2" t="s">
        <v>488</v>
      </c>
      <c r="OA2" s="2" t="s">
        <v>489</v>
      </c>
    </row>
    <row r="3" spans="1:396" x14ac:dyDescent="0.25">
      <c r="A3" t="s">
        <v>490</v>
      </c>
      <c r="K3" t="s">
        <v>314</v>
      </c>
      <c r="U3" t="s">
        <v>491</v>
      </c>
      <c r="AE3" t="s">
        <v>492</v>
      </c>
      <c r="AO3" t="s">
        <v>493</v>
      </c>
      <c r="AY3" t="s">
        <v>494</v>
      </c>
      <c r="BI3" t="s">
        <v>495</v>
      </c>
      <c r="BS3" t="s">
        <v>496</v>
      </c>
      <c r="CC3" t="s">
        <v>497</v>
      </c>
      <c r="CM3" t="s">
        <v>498</v>
      </c>
      <c r="CW3" t="s">
        <v>499</v>
      </c>
      <c r="DG3" t="s">
        <v>500</v>
      </c>
      <c r="DQ3" t="s">
        <v>501</v>
      </c>
      <c r="EA3" t="s">
        <v>502</v>
      </c>
      <c r="EK3" t="s">
        <v>503</v>
      </c>
      <c r="EU3" t="s">
        <v>504</v>
      </c>
      <c r="FE3" t="s">
        <v>505</v>
      </c>
      <c r="FO3" t="s">
        <v>506</v>
      </c>
      <c r="FY3" t="s">
        <v>507</v>
      </c>
      <c r="GI3" t="s">
        <v>508</v>
      </c>
      <c r="GS3" t="s">
        <v>509</v>
      </c>
      <c r="HC3" t="s">
        <v>510</v>
      </c>
      <c r="HM3" t="s">
        <v>511</v>
      </c>
      <c r="HW3" t="s">
        <v>512</v>
      </c>
      <c r="IG3" t="s">
        <v>513</v>
      </c>
      <c r="IQ3" t="s">
        <v>514</v>
      </c>
      <c r="JA3" t="s">
        <v>515</v>
      </c>
      <c r="JK3" t="s">
        <v>516</v>
      </c>
      <c r="JU3" t="s">
        <v>517</v>
      </c>
      <c r="KE3" t="s">
        <v>518</v>
      </c>
      <c r="KO3" t="s">
        <v>519</v>
      </c>
      <c r="KY3" t="s">
        <v>520</v>
      </c>
      <c r="LI3" t="s">
        <v>521</v>
      </c>
      <c r="LS3" t="s">
        <v>522</v>
      </c>
      <c r="MC3" t="s">
        <v>523</v>
      </c>
      <c r="MM3" t="s">
        <v>524</v>
      </c>
      <c r="MW3" t="s">
        <v>525</v>
      </c>
      <c r="NG3" t="s">
        <v>526</v>
      </c>
      <c r="NQ3" t="s">
        <v>527</v>
      </c>
      <c r="OA3" t="s">
        <v>528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_xll.BDS("BRK/A US Equity","SUPPLY_CHAIN_SUPPLIERS","RELATIONSHIP_AS_OF_DATE","20220321","cols=1;rows=5")</f>
        <v>HSY US Equity</v>
      </c>
      <c r="F5" t="str">
        <f>_xll.BDS("BRK/A US Equity","SUPPLY_CHAIN_CUSTOMERS","RELATIONSHIP_AS_OF_DATE","20220321","cols=1;rows=5")</f>
        <v>WMT US Equity</v>
      </c>
      <c r="K5" t="str">
        <f>_xll.BDS("RAI US Equity","SUPPLY_CHAIN_SUPPLIERS","RELATIONSHIP_AS_OF_DATE","20000625")</f>
        <v>#N/A N/A</v>
      </c>
      <c r="P5" t="str">
        <f>_xll.BDS("RAI US Equity","SUPPLY_CHAIN_CUSTOMERS","RELATIONSHIP_AS_OF_DATE","20000625")</f>
        <v>#N/A N/A</v>
      </c>
      <c r="U5" t="str">
        <f>_xll.BDS("AMZN US Equity","SUPPLY_CHAIN_SUPPLIERS","RELATIONSHIP_AS_OF_DATE","20170616","cols=1;rows=5")</f>
        <v>NVDA US Equity</v>
      </c>
      <c r="Z5" t="str">
        <f>_xll.BDS("AMZN US Equity","SUPPLY_CHAIN_CUSTOMERS","RELATIONSHIP_AS_OF_DATE","20170616","cols=1;rows=5")</f>
        <v>SNX US Equity</v>
      </c>
      <c r="AE5" t="str">
        <f>_xll.BDS("1255173D US Equity","SUPPLY_CHAIN_SUPPLIERS","RELATIONSHIP_AS_OF_DATE","20010416")</f>
        <v>#N/A N/A</v>
      </c>
      <c r="AJ5" t="str">
        <f>_xll.BDS("1255173D US Equity","SUPPLY_CHAIN_CUSTOMERS","RELATIONSHIP_AS_OF_DATE","20010416")</f>
        <v>#N/A N/A</v>
      </c>
      <c r="AO5" t="str">
        <f>_xll.BDS("CNC US Equity","SUPPLY_CHAIN_SUPPLIERS","RELATIONSHIP_AS_OF_DATE","20190327","cols=1;rows=5")</f>
        <v>CI US Equity</v>
      </c>
      <c r="AT5" t="str">
        <f>_xll.BDS("CNC US Equity","SUPPLY_CHAIN_CUSTOMERS","RELATIONSHIP_AS_OF_DATE","20190327","cols=1;rows=5")</f>
        <v>STONY1 US Equity</v>
      </c>
      <c r="AY5" t="str">
        <f>_xll.BDS("BHC CN Equity","SUPPLY_CHAIN_SUPPLIERS","RELATIONSHIP_AS_OF_DATE","20150222","cols=1;rows=5")</f>
        <v>ATR US Equity</v>
      </c>
      <c r="BD5" t="str">
        <f>_xll.BDS("BHC CN Equity","SUPPLY_CHAIN_CUSTOMERS","RELATIONSHIP_AS_OF_DATE","20150222","cols=1;rows=5")</f>
        <v>COR US Equity</v>
      </c>
      <c r="BI5" t="str">
        <f>_xll.BDS("COP US Equity","SUPPLY_CHAIN_SUPPLIERS","RELATIONSHIP_AS_OF_DATE","20201019","cols=1;rows=5")</f>
        <v>TEN IM Equity</v>
      </c>
      <c r="BN5" t="str">
        <f>_xll.BDS("COP US Equity","SUPPLY_CHAIN_CUSTOMERS","RELATIONSHIP_AS_OF_DATE","20201019","cols=1;rows=5")</f>
        <v>386 HK Equity</v>
      </c>
      <c r="BS5" t="str">
        <f>_xll.BDS("UNH US Equity","SUPPLY_CHAIN_SUPPLIERS","RELATIONSHIP_AS_OF_DATE","20150330","cols=1;rows=5")</f>
        <v>VRTX US Equity</v>
      </c>
      <c r="BX5" t="str">
        <f>_xll.BDS("UNH US Equity","SUPPLY_CHAIN_CUSTOMERS","RELATIONSHIP_AS_OF_DATE","20150330","cols=1;rows=5")</f>
        <v>9877893Z US Equity</v>
      </c>
      <c r="CC5" t="str">
        <f>_xll.BDS("TDOC US Equity","SUPPLY_CHAIN_SUPPLIERS","RELATIONSHIP_AS_OF_DATE","20200805","cols=1;rows=5")</f>
        <v>ERICB SS Equity</v>
      </c>
      <c r="CH5" t="str">
        <f>_xll.BDS("TDOC US Equity","SUPPLY_CHAIN_CUSTOMERS","RELATIONSHIP_AS_OF_DATE","20200805","cols=1;rows=2")</f>
        <v>ARMK US Equity</v>
      </c>
      <c r="CM5" t="str">
        <f>_xll.BDS("SHLDQ US Equity","SUPPLY_CHAIN_SUPPLIERS","RELATIONSHIP_AS_OF_DATE","20041117","cols=1;rows=5")</f>
        <v>2353 TT Equity</v>
      </c>
      <c r="CR5" t="str">
        <f>_xll.BDS("SHLDQ US Equity","SUPPLY_CHAIN_CUSTOMERS","RELATIONSHIP_AS_OF_DATE","20041117")</f>
        <v>GCARSOA1 MM Equity</v>
      </c>
      <c r="CW5" t="str">
        <f>_xll.BDS("RSG US Equity","SUPPLY_CHAIN_SUPPLIERS","RELATIONSHIP_AS_OF_DATE","20080623","cols=1;rows=5")</f>
        <v>ORCL US Equity</v>
      </c>
      <c r="DB5" t="str">
        <f>_xll.BDS("RSG US Equity","SUPPLY_CHAIN_CUSTOMERS","RELATIONSHIP_AS_OF_DATE","20080623","cols=1;rows=2")</f>
        <v>0992020D US Equity</v>
      </c>
      <c r="DG5" t="str">
        <f>_xll.BDS("HPQ US Equity","SUPPLY_CHAIN_SUPPLIERS","RELATIONSHIP_AS_OF_DATE","20080513","cols=1;rows=5")</f>
        <v>2356 TT Equity</v>
      </c>
      <c r="DL5" t="str">
        <f>_xll.BDS("HPQ US Equity","SUPPLY_CHAIN_CUSTOMERS","RELATIONSHIP_AS_OF_DATE","20080513","cols=1;rows=5")</f>
        <v>SNX US Equity</v>
      </c>
      <c r="DQ5" t="str">
        <f>_xll.BDS("ETN US Equity","SUPPLY_CHAIN_SUPPLIERS","RELATIONSHIP_AS_OF_DATE","20120521","cols=1;rows=5")</f>
        <v>300750 CH Equity</v>
      </c>
      <c r="DV5" t="str">
        <f>_xll.BDS("ETN US Equity","SUPPLY_CHAIN_CUSTOMERS","RELATIONSHIP_AS_OF_DATE","20120521","cols=1;rows=5")</f>
        <v>WCC US Equity</v>
      </c>
      <c r="EA5" t="str">
        <f>_xll.BDS("ADI US Equity","SUPPLY_CHAIN_SUPPLIERS","RELATIONSHIP_AS_OF_DATE","20160726","cols=1;rows=5")</f>
        <v>2330 TT Equity</v>
      </c>
      <c r="EF5" t="str">
        <f>_xll.BDS("ADI US Equity","SUPPLY_CHAIN_CUSTOMERS","RELATIONSHIP_AS_OF_DATE","20160726","cols=1;rows=5")</f>
        <v>ARW US Equity</v>
      </c>
      <c r="EK5" t="str">
        <f>_xll.BDS("UNH US Equity","SUPPLY_CHAIN_SUPPLIERS","RELATIONSHIP_AS_OF_DATE","20210106","cols=1;rows=5")</f>
        <v>VRTX US Equity</v>
      </c>
      <c r="EP5" t="str">
        <f>_xll.BDS("UNH US Equity","SUPPLY_CHAIN_CUSTOMERS","RELATIONSHIP_AS_OF_DATE","20210106","cols=1;rows=5")</f>
        <v>9877893Z US Equity</v>
      </c>
      <c r="EU5" t="str">
        <f>_xll.BDS("BX US Equity","SUPPLY_CHAIN_SUPPLIERS","RELATIONSHIP_AS_OF_DATE","20220419","cols=1;rows=5")</f>
        <v>ORCL US Equity</v>
      </c>
      <c r="EZ5" t="str">
        <f>_xll.BDS("BX US Equity","SUPPLY_CHAIN_CUSTOMERS","RELATIONSHIP_AS_OF_DATE","20220419","cols=1;rows=5")</f>
        <v>002284 CH Equity</v>
      </c>
      <c r="FE5" t="str">
        <f>_xll.BDS("CVX US Equity","SUPPLY_CHAIN_SUPPLIERS","RELATIONSHIP_AS_OF_DATE","20200720","cols=1;rows=5")</f>
        <v>RIG US Equity</v>
      </c>
      <c r="FJ5" t="str">
        <f>_xll.BDS("CVX US Equity","SUPPLY_CHAIN_CUSTOMERS","RELATIONSHIP_AS_OF_DATE","20200720","cols=1;rows=5")</f>
        <v>UGPA3 BZ Equity</v>
      </c>
      <c r="FO5" t="str">
        <f>_xll.BDS("KR US Equity","SUPPLY_CHAIN_SUPPLIERS","RELATIONSHIP_AS_OF_DATE","19981018","cols=1;rows=5")</f>
        <v>CAH US Equity</v>
      </c>
      <c r="FT5" t="str">
        <f>_xll.BDS("KR US Equity","SUPPLY_CHAIN_CUSTOMERS","RELATIONSHIP_AS_OF_DATE","19981018")</f>
        <v>TTD US Equity</v>
      </c>
      <c r="FY5" t="str">
        <f>_xll.BDS("LUMN US Equity","SUPPLY_CHAIN_SUPPLIERS","RELATIONSHIP_AS_OF_DATE","20081027","cols=1;rows=5")</f>
        <v>DY US Equity</v>
      </c>
      <c r="GD5" t="str">
        <f>_xll.BDS("LUMN US Equity","SUPPLY_CHAIN_CUSTOMERS","RELATIONSHIP_AS_OF_DATE","20081027","cols=1;rows=5")</f>
        <v>728 HK Equity</v>
      </c>
      <c r="GI5" t="str">
        <f>_xll.BDS("IQV US Equity","SUPPLY_CHAIN_SUPPLIERS","RELATIONSHIP_AS_OF_DATE","20160503","cols=1;rows=5")</f>
        <v>DSY FP Equity</v>
      </c>
      <c r="GN5" t="str">
        <f>_xll.BDS("IQV US Equity","SUPPLY_CHAIN_CUSTOMERS","RELATIONSHIP_AS_OF_DATE","20160503","cols=1;rows=5")</f>
        <v>2565 HK Equity</v>
      </c>
      <c r="GS5" t="str">
        <f>_xll.BDS("1312089D US Equity","SUPPLY_CHAIN_SUPPLIERS","RELATIONSHIP_AS_OF_DATE","19980803")</f>
        <v>#N/A N/A</v>
      </c>
      <c r="GX5" t="str">
        <f>_xll.BDS("1312089D US Equity","SUPPLY_CHAIN_CUSTOMERS","RELATIONSHIP_AS_OF_DATE","19980803")</f>
        <v>#N/A N/A</v>
      </c>
      <c r="HC5" t="str">
        <f>_xll.BDS("SLB US Equity","SUPPLY_CHAIN_SUPPLIERS","RELATIONSHIP_AS_OF_DATE","20100221","cols=1;rows=5")</f>
        <v>ARABIAND AB Equity</v>
      </c>
      <c r="HH5" t="str">
        <f>_xll.BDS("SLB US Equity","SUPPLY_CHAIN_CUSTOMERS","RELATIONSHIP_AS_OF_DATE","20100221","cols=1;rows=5")</f>
        <v>PETR4 BZ Equity</v>
      </c>
      <c r="HM5" t="str">
        <f>_xll.BDS("PLD US Equity","SUPPLY_CHAIN_SUPPLIERS","RELATIONSHIP_AS_OF_DATE","20191027","cols=1;rows=5")</f>
        <v>SALFACOR CI Equity</v>
      </c>
      <c r="HR5" t="str">
        <f>_xll.BDS("PLD US Equity","SUPPLY_CHAIN_CUSTOMERS","RELATIONSHIP_AS_OF_DATE","20191027","cols=1;rows=5")</f>
        <v>AMZN US Equity</v>
      </c>
      <c r="HW5" t="str">
        <f>_xll.BDS("EXC US Equity","SUPPLY_CHAIN_SUPPLIERS","RELATIONSHIP_AS_OF_DATE","20140430","cols=1;rows=5")</f>
        <v>PWR US Equity</v>
      </c>
      <c r="IB5" t="str">
        <f>_xll.BDS("EXC US Equity","SUPPLY_CHAIN_CUSTOMERS","RELATIONSHIP_AS_OF_DATE","20140430","cols=1;rows=5")</f>
        <v>ARW US Equity</v>
      </c>
      <c r="IG5" t="str">
        <f>_xll.BDS("BDX US Equity","SUPPLY_CHAIN_SUPPLIERS","RELATIONSHIP_AS_OF_DATE","20141005","cols=1;rows=5")</f>
        <v>FLEX US Equity</v>
      </c>
      <c r="IL5" t="str">
        <f>_xll.BDS("BDX US Equity","SUPPLY_CHAIN_CUSTOMERS","RELATIONSHIP_AS_OF_DATE","20141005","cols=1;rows=5")</f>
        <v>300326 CH Equity</v>
      </c>
      <c r="IQ5" t="str">
        <f>_xll.BDS("TTWO US Equity","SUPPLY_CHAIN_SUPPLIERS","RELATIONSHIP_AS_OF_DATE","20220110","cols=1;rows=5")</f>
        <v>6758 JP Equity</v>
      </c>
      <c r="IV5" t="str">
        <f>_xll.BDS("TTWO US Equity","SUPPLY_CHAIN_CUSTOMERS","RELATIONSHIP_AS_OF_DATE","20220110","cols=1;rows=5")</f>
        <v>6758 JP Equity</v>
      </c>
      <c r="JA5" t="str">
        <f>_xll.BDS("SO US Equity","SUPPLY_CHAIN_SUPPLIERS","RELATIONSHIP_AS_OF_DATE","20150824","cols=1;rows=5")</f>
        <v>GEV US Equity</v>
      </c>
      <c r="JF5" t="str">
        <f>_xll.BDS("SO US Equity","SUPPLY_CHAIN_CUSTOMERS","RELATIONSHIP_AS_OF_DATE","20150824","cols=1;rows=5")</f>
        <v>000039 CH Equity</v>
      </c>
      <c r="JK5" t="str">
        <f>_xll.BDS("BAX US Equity","SUPPLY_CHAIN_SUPPLIERS","RELATIONSHIP_AS_OF_DATE","20210902","cols=1;rows=5")</f>
        <v>BHE US Equity</v>
      </c>
      <c r="JP5" t="str">
        <f>_xll.BDS("BAX US Equity","SUPPLY_CHAIN_CUSTOMERS","RELATIONSHIP_AS_OF_DATE","20210902","cols=1;rows=5")</f>
        <v>1788 TT Equity</v>
      </c>
      <c r="JU5" t="str">
        <f>_xll.BDS("JNJ US Equity","SUPPLY_CHAIN_SUPPLIERS","RELATIONSHIP_AS_OF_DATE","20010327","cols=1;rows=5")</f>
        <v>GMAB DC Equity</v>
      </c>
      <c r="JZ5" t="str">
        <f>_xll.BDS("JNJ US Equity","SUPPLY_CHAIN_CUSTOMERS","RELATIONSHIP_AS_OF_DATE","20010327","cols=1;rows=5")</f>
        <v>MCK US Equity</v>
      </c>
      <c r="KE5" t="str">
        <f>_xll.BDS("MO US Equity","SUPPLY_CHAIN_SUPPLIERS","RELATIONSHIP_AS_OF_DATE","20080908","cols=1;rows=5")</f>
        <v>UVV US Equity</v>
      </c>
      <c r="KJ5" t="str">
        <f>_xll.BDS("MO US Equity","SUPPLY_CHAIN_CUSTOMERS","RELATIONSHIP_AS_OF_DATE","20080908","cols=1;rows=5")</f>
        <v>0835017D US Equity</v>
      </c>
      <c r="KO5" t="str">
        <f>_xll.BDS("nan Equity","SUPPLY_CHAIN_SUPPLIERS","RELATIONSHIP_AS_OF_DATE","20211115")</f>
        <v>#N/A N/A</v>
      </c>
      <c r="KT5" t="str">
        <f>_xll.BDS("nan Equity","SUPPLY_CHAIN_CUSTOMERS","RELATIONSHIP_AS_OF_DATE","20211115")</f>
        <v>#N/A N/A</v>
      </c>
      <c r="KY5" t="str">
        <f>_xll.BDS("nan Equity","SUPPLY_CHAIN_SUPPLIERS","RELATIONSHIP_AS_OF_DATE","20061218")</f>
        <v>#N/A N/A</v>
      </c>
      <c r="LD5" t="str">
        <f>_xll.BDS("nan Equity","SUPPLY_CHAIN_CUSTOMERS","RELATIONSHIP_AS_OF_DATE","20061218")</f>
        <v>#N/A N/A</v>
      </c>
      <c r="LI5" t="str">
        <f>_xll.BDS("WY US Equity","SUPPLY_CHAIN_SUPPLIERS","RELATIONSHIP_AS_OF_DATE","20151108","cols=1;rows=5")</f>
        <v>CNR CN Equity</v>
      </c>
      <c r="LN5" t="str">
        <f>_xll.BDS("WY US Equity","SUPPLY_CHAIN_CUSTOMERS","RELATIONSHIP_AS_OF_DATE","20151108","cols=1;rows=5")</f>
        <v>BLDR US Equity</v>
      </c>
      <c r="LS5" t="str">
        <f>_xll.BDS("TRGP US Equity","SUPPLY_CHAIN_SUPPLIERS","RELATIONSHIP_AS_OF_DATE","20151103","cols=1;rows=5")</f>
        <v>SD US Equity</v>
      </c>
      <c r="LX5" t="str">
        <f>_xll.BDS("TRGP US Equity","SUPPLY_CHAIN_CUSTOMERS","RELATIONSHIP_AS_OF_DATE","20151103","cols=1;rows=5")</f>
        <v>EPD US Equity</v>
      </c>
      <c r="MC5" t="str">
        <f>_xll.BDS("TMO US Equity","SUPPLY_CHAIN_SUPPLIERS","RELATIONSHIP_AS_OF_DATE","20060508","cols=1;rows=5")</f>
        <v>EMR US Equity</v>
      </c>
      <c r="MH5" t="str">
        <f>_xll.BDS("TMO US Equity","SUPPLY_CHAIN_CUSTOMERS","RELATIONSHIP_AS_OF_DATE","20060508","cols=1;rows=5")</f>
        <v>4195 TT Equity</v>
      </c>
      <c r="MM5" t="str">
        <f>_xll.BDS("BPYU US Equity","SUPPLY_CHAIN_SUPPLIERS","RELATIONSHIP_AS_OF_DATE","20040820")</f>
        <v>#N/A N/A</v>
      </c>
      <c r="MR5" t="str">
        <f>_xll.BDS("BPYU US Equity","SUPPLY_CHAIN_CUSTOMERS","RELATIONSHIP_AS_OF_DATE","20040820")</f>
        <v>#N/A N/A</v>
      </c>
      <c r="MW5" t="str">
        <f>_xll.BDS("CVS US Equity","SUPPLY_CHAIN_SUPPLIERS","RELATIONSHIP_AS_OF_DATE","20150521","cols=1;rows=5")</f>
        <v>MCK US Equity</v>
      </c>
      <c r="NB5" t="str">
        <f>_xll.BDS("CVS US Equity","SUPPLY_CHAIN_CUSTOMERS","RELATIONSHIP_AS_OF_DATE","20150521","cols=1;rows=5")</f>
        <v>3352Z US Equity</v>
      </c>
      <c r="NG5" t="str">
        <f>_xll.BDS("SHW US Equity","SUPPLY_CHAIN_SUPPLIERS","RELATIONSHIP_AS_OF_DATE","20160320","cols=1;rows=5")</f>
        <v>AKE FP Equity</v>
      </c>
      <c r="NL5" t="str">
        <f>_xll.BDS("SHW US Equity","SUPPLY_CHAIN_CUSTOMERS","RELATIONSHIP_AS_OF_DATE","20160320","cols=1;rows=5")</f>
        <v>LOW US Equity</v>
      </c>
      <c r="NQ5" t="str">
        <f>_xll.BDS("TWO US Equity","SUPPLY_CHAIN_SUPPLIERS","RELATIONSHIP_AS_OF_DATE","20180426")</f>
        <v>#N/A N/A</v>
      </c>
      <c r="NV5" t="str">
        <f>_xll.BDS("TWO US Equity","SUPPLY_CHAIN_CUSTOMERS","RELATIONSHIP_AS_OF_DATE","20180426")</f>
        <v>#N/A N/A</v>
      </c>
      <c r="OA5" t="str">
        <f>_xll.BDS("TT US Equity","SUPPLY_CHAIN_SUPPLIERS","RELATIONSHIP_AS_OF_DATE","20071217","cols=1;rows=5")</f>
        <v>NUE US Equity</v>
      </c>
      <c r="OF5" t="str">
        <f>_xll.BDS("TT US Equity","SUPPLY_CHAIN_CUSTOMERS","RELATIONSHIP_AS_OF_DATE","20071217","cols=1;rows=5")</f>
        <v>INTC US Equity</v>
      </c>
    </row>
    <row r="6" spans="1:396" x14ac:dyDescent="0.25">
      <c r="A6" t="s">
        <v>2792</v>
      </c>
      <c r="F6" t="s">
        <v>10677</v>
      </c>
      <c r="U6" t="s">
        <v>11089</v>
      </c>
      <c r="Z6" t="s">
        <v>165</v>
      </c>
      <c r="AO6" t="s">
        <v>6897</v>
      </c>
      <c r="AT6" t="s">
        <v>13209</v>
      </c>
      <c r="AY6" t="s">
        <v>10814</v>
      </c>
      <c r="BD6" t="s">
        <v>385</v>
      </c>
      <c r="BI6" t="s">
        <v>13312</v>
      </c>
      <c r="BN6" t="s">
        <v>11823</v>
      </c>
      <c r="BS6" t="s">
        <v>10846</v>
      </c>
      <c r="BX6" t="s">
        <v>10657</v>
      </c>
      <c r="CC6" t="s">
        <v>13288</v>
      </c>
      <c r="CH6" t="s">
        <v>10787</v>
      </c>
      <c r="CM6" t="s">
        <v>13223</v>
      </c>
      <c r="CW6" t="s">
        <v>4570</v>
      </c>
      <c r="DB6" t="s">
        <v>12926</v>
      </c>
      <c r="DG6" t="s">
        <v>383</v>
      </c>
      <c r="DL6" t="s">
        <v>4139</v>
      </c>
      <c r="DQ6" t="s">
        <v>11666</v>
      </c>
      <c r="DV6" t="s">
        <v>3519</v>
      </c>
      <c r="EA6" t="s">
        <v>11933</v>
      </c>
      <c r="EF6" t="s">
        <v>10659</v>
      </c>
      <c r="EK6" t="s">
        <v>10846</v>
      </c>
      <c r="EP6" t="s">
        <v>10657</v>
      </c>
      <c r="EU6" t="s">
        <v>7544</v>
      </c>
      <c r="EZ6" t="s">
        <v>11020</v>
      </c>
      <c r="FE6" t="s">
        <v>11155</v>
      </c>
      <c r="FJ6" t="s">
        <v>11640</v>
      </c>
      <c r="FO6" t="s">
        <v>378</v>
      </c>
      <c r="FY6" t="s">
        <v>2606</v>
      </c>
      <c r="GD6" t="s">
        <v>10660</v>
      </c>
      <c r="GI6" t="s">
        <v>13190</v>
      </c>
      <c r="GN6" t="s">
        <v>10752</v>
      </c>
      <c r="HC6" t="s">
        <v>11846</v>
      </c>
      <c r="HH6" t="s">
        <v>11808</v>
      </c>
      <c r="HM6" t="s">
        <v>13165</v>
      </c>
      <c r="HR6" t="s">
        <v>570</v>
      </c>
      <c r="HW6" t="s">
        <v>3251</v>
      </c>
      <c r="IB6" t="s">
        <v>13272</v>
      </c>
      <c r="IG6" t="s">
        <v>10813</v>
      </c>
      <c r="IL6" t="s">
        <v>10757</v>
      </c>
      <c r="IQ6" t="s">
        <v>11167</v>
      </c>
      <c r="IV6" t="s">
        <v>2705</v>
      </c>
      <c r="JA6" t="s">
        <v>7384</v>
      </c>
      <c r="JF6" t="s">
        <v>11527</v>
      </c>
      <c r="JK6" t="s">
        <v>11924</v>
      </c>
      <c r="JP6" t="s">
        <v>11948</v>
      </c>
      <c r="JU6" t="s">
        <v>10735</v>
      </c>
      <c r="JZ6" t="s">
        <v>1468</v>
      </c>
      <c r="KE6" t="s">
        <v>11667</v>
      </c>
      <c r="KJ6" t="s">
        <v>12007</v>
      </c>
      <c r="LI6" t="s">
        <v>12520</v>
      </c>
      <c r="LN6" t="s">
        <v>12238</v>
      </c>
      <c r="LS6" t="s">
        <v>10940</v>
      </c>
      <c r="LX6" t="s">
        <v>11403</v>
      </c>
      <c r="MC6" t="s">
        <v>44</v>
      </c>
      <c r="MH6" t="s">
        <v>10662</v>
      </c>
      <c r="MW6" t="s">
        <v>970</v>
      </c>
      <c r="NB6" t="s">
        <v>12452</v>
      </c>
      <c r="NG6" t="s">
        <v>9230</v>
      </c>
      <c r="NL6" t="s">
        <v>3330</v>
      </c>
      <c r="OA6" t="s">
        <v>13017</v>
      </c>
      <c r="OF6" t="s">
        <v>10962</v>
      </c>
    </row>
    <row r="7" spans="1:396" x14ac:dyDescent="0.25">
      <c r="A7" t="s">
        <v>10737</v>
      </c>
      <c r="F7" t="s">
        <v>4642</v>
      </c>
      <c r="U7" t="s">
        <v>2967</v>
      </c>
      <c r="Z7" t="s">
        <v>10660</v>
      </c>
      <c r="AO7" t="s">
        <v>13262</v>
      </c>
      <c r="AT7" t="s">
        <v>12421</v>
      </c>
      <c r="AY7" t="s">
        <v>11152</v>
      </c>
      <c r="BD7" t="s">
        <v>970</v>
      </c>
      <c r="BI7" t="s">
        <v>684</v>
      </c>
      <c r="BN7" t="s">
        <v>13265</v>
      </c>
      <c r="BS7" t="s">
        <v>10834</v>
      </c>
      <c r="BX7" t="s">
        <v>165</v>
      </c>
      <c r="CC7" t="s">
        <v>13289</v>
      </c>
      <c r="CM7" t="s">
        <v>13224</v>
      </c>
      <c r="CW7" t="s">
        <v>11099</v>
      </c>
      <c r="DG7" t="s">
        <v>11038</v>
      </c>
      <c r="DL7" t="s">
        <v>11749</v>
      </c>
      <c r="DQ7" t="s">
        <v>12739</v>
      </c>
      <c r="DV7" t="s">
        <v>6473</v>
      </c>
      <c r="EA7" t="s">
        <v>11204</v>
      </c>
      <c r="EF7" t="s">
        <v>12800</v>
      </c>
      <c r="EK7" t="s">
        <v>10834</v>
      </c>
      <c r="EP7" t="s">
        <v>165</v>
      </c>
      <c r="EU7" t="s">
        <v>11054</v>
      </c>
      <c r="EZ7" t="s">
        <v>11021</v>
      </c>
      <c r="FE7" t="s">
        <v>12104</v>
      </c>
      <c r="FJ7" t="s">
        <v>12417</v>
      </c>
      <c r="FO7" t="s">
        <v>11946</v>
      </c>
      <c r="FY7" t="s">
        <v>3066</v>
      </c>
      <c r="GD7" t="s">
        <v>10680</v>
      </c>
      <c r="GI7" t="s">
        <v>13191</v>
      </c>
      <c r="GN7" t="s">
        <v>13171</v>
      </c>
      <c r="HC7" t="s">
        <v>266</v>
      </c>
      <c r="HH7" t="s">
        <v>11809</v>
      </c>
      <c r="HM7" t="s">
        <v>13166</v>
      </c>
      <c r="HR7" t="s">
        <v>3073</v>
      </c>
      <c r="HW7" t="s">
        <v>11055</v>
      </c>
      <c r="IB7" t="s">
        <v>11554</v>
      </c>
      <c r="IG7" t="s">
        <v>10735</v>
      </c>
      <c r="IL7" t="s">
        <v>10758</v>
      </c>
      <c r="IQ7" t="s">
        <v>11208</v>
      </c>
      <c r="IV7" t="s">
        <v>5236</v>
      </c>
      <c r="JA7" t="s">
        <v>11991</v>
      </c>
      <c r="JF7" t="s">
        <v>10914</v>
      </c>
      <c r="JK7" t="s">
        <v>10814</v>
      </c>
      <c r="JP7" t="s">
        <v>11925</v>
      </c>
      <c r="JU7" t="s">
        <v>45</v>
      </c>
      <c r="JZ7" t="s">
        <v>970</v>
      </c>
      <c r="KE7" t="s">
        <v>12475</v>
      </c>
      <c r="KJ7" t="s">
        <v>12008</v>
      </c>
      <c r="LI7" t="s">
        <v>12521</v>
      </c>
      <c r="LN7" t="s">
        <v>12239</v>
      </c>
      <c r="LS7" t="s">
        <v>13207</v>
      </c>
      <c r="LX7" t="s">
        <v>13179</v>
      </c>
      <c r="MC7" t="s">
        <v>10734</v>
      </c>
      <c r="MH7" t="s">
        <v>10761</v>
      </c>
      <c r="MW7" t="s">
        <v>58</v>
      </c>
      <c r="NB7" t="s">
        <v>12453</v>
      </c>
      <c r="NG7" t="s">
        <v>11345</v>
      </c>
      <c r="NL7" t="s">
        <v>10911</v>
      </c>
      <c r="OA7" t="s">
        <v>2322</v>
      </c>
      <c r="OF7" t="s">
        <v>7215</v>
      </c>
    </row>
    <row r="8" spans="1:396" x14ac:dyDescent="0.25">
      <c r="A8" t="s">
        <v>4475</v>
      </c>
      <c r="F8" t="s">
        <v>1363</v>
      </c>
      <c r="U8" t="s">
        <v>10853</v>
      </c>
      <c r="Z8" t="s">
        <v>10918</v>
      </c>
      <c r="AO8" t="s">
        <v>972</v>
      </c>
      <c r="AT8" t="s">
        <v>13210</v>
      </c>
      <c r="AY8" t="s">
        <v>11153</v>
      </c>
      <c r="BD8" t="s">
        <v>10646</v>
      </c>
      <c r="BI8" t="s">
        <v>13313</v>
      </c>
      <c r="BN8" t="s">
        <v>11279</v>
      </c>
      <c r="BS8" t="s">
        <v>11029</v>
      </c>
      <c r="BX8" t="s">
        <v>10676</v>
      </c>
      <c r="CC8" t="s">
        <v>2705</v>
      </c>
      <c r="CM8" t="s">
        <v>12591</v>
      </c>
      <c r="CW8" t="s">
        <v>11339</v>
      </c>
      <c r="DG8" t="s">
        <v>11176</v>
      </c>
      <c r="DL8" t="s">
        <v>10660</v>
      </c>
      <c r="DQ8" t="s">
        <v>2126</v>
      </c>
      <c r="DV8" t="s">
        <v>11184</v>
      </c>
      <c r="EA8" t="s">
        <v>11088</v>
      </c>
      <c r="EF8" t="s">
        <v>469</v>
      </c>
      <c r="EK8" t="s">
        <v>11029</v>
      </c>
      <c r="EP8" t="s">
        <v>10676</v>
      </c>
      <c r="EU8" t="s">
        <v>11055</v>
      </c>
      <c r="EZ8" t="s">
        <v>11022</v>
      </c>
      <c r="FE8" t="s">
        <v>375</v>
      </c>
      <c r="FJ8" t="s">
        <v>12418</v>
      </c>
      <c r="FO8" t="s">
        <v>58</v>
      </c>
      <c r="FY8" t="s">
        <v>11546</v>
      </c>
      <c r="GD8" t="s">
        <v>3522</v>
      </c>
      <c r="GI8" t="s">
        <v>13192</v>
      </c>
      <c r="GN8" t="s">
        <v>8452</v>
      </c>
      <c r="HC8" t="s">
        <v>11847</v>
      </c>
      <c r="HH8" t="s">
        <v>11711</v>
      </c>
      <c r="HM8" t="s">
        <v>13167</v>
      </c>
      <c r="HR8" t="s">
        <v>2967</v>
      </c>
      <c r="HW8" t="s">
        <v>772</v>
      </c>
      <c r="IB8" t="s">
        <v>13273</v>
      </c>
      <c r="IG8" t="s">
        <v>171</v>
      </c>
      <c r="IL8" t="s">
        <v>10759</v>
      </c>
      <c r="IQ8" t="s">
        <v>11209</v>
      </c>
      <c r="IV8" t="s">
        <v>266</v>
      </c>
      <c r="JA8" t="s">
        <v>3066</v>
      </c>
      <c r="JF8" t="s">
        <v>12537</v>
      </c>
      <c r="JK8" t="s">
        <v>11412</v>
      </c>
      <c r="JP8" t="s">
        <v>11949</v>
      </c>
      <c r="JU8" t="s">
        <v>3437</v>
      </c>
      <c r="JZ8" t="s">
        <v>51</v>
      </c>
      <c r="KE8" t="s">
        <v>12476</v>
      </c>
      <c r="KJ8" t="s">
        <v>11126</v>
      </c>
      <c r="LI8" t="s">
        <v>10696</v>
      </c>
      <c r="LN8" t="s">
        <v>1371</v>
      </c>
      <c r="LS8" t="s">
        <v>11312</v>
      </c>
      <c r="LX8" t="s">
        <v>8073</v>
      </c>
      <c r="MC8" t="s">
        <v>10735</v>
      </c>
      <c r="MH8" t="s">
        <v>10762</v>
      </c>
      <c r="MW8" t="s">
        <v>368</v>
      </c>
      <c r="NB8" t="s">
        <v>12454</v>
      </c>
      <c r="NG8" t="s">
        <v>54</v>
      </c>
      <c r="NL8" t="s">
        <v>3069</v>
      </c>
      <c r="OA8" t="s">
        <v>13018</v>
      </c>
      <c r="OF8" t="s">
        <v>10939</v>
      </c>
    </row>
    <row r="9" spans="1:396" x14ac:dyDescent="0.25">
      <c r="A9" t="s">
        <v>10738</v>
      </c>
      <c r="F9" t="s">
        <v>42</v>
      </c>
      <c r="U9" t="s">
        <v>58</v>
      </c>
      <c r="Z9" t="s">
        <v>6473</v>
      </c>
      <c r="AO9" t="s">
        <v>6640</v>
      </c>
      <c r="AT9" t="s">
        <v>13211</v>
      </c>
      <c r="AY9" t="s">
        <v>2111</v>
      </c>
      <c r="BD9" t="s">
        <v>11145</v>
      </c>
      <c r="BI9" t="s">
        <v>4211</v>
      </c>
      <c r="BN9" t="s">
        <v>11403</v>
      </c>
      <c r="BS9" t="s">
        <v>43</v>
      </c>
      <c r="BX9" t="s">
        <v>11267</v>
      </c>
      <c r="CC9" t="s">
        <v>13225</v>
      </c>
      <c r="CM9" t="s">
        <v>11437</v>
      </c>
      <c r="CW9" t="s">
        <v>12965</v>
      </c>
      <c r="DG9" t="s">
        <v>10852</v>
      </c>
      <c r="DL9" t="s">
        <v>10918</v>
      </c>
      <c r="DQ9" t="s">
        <v>10830</v>
      </c>
      <c r="DV9" t="s">
        <v>1363</v>
      </c>
      <c r="EA9" t="s">
        <v>11203</v>
      </c>
      <c r="EF9" t="s">
        <v>42</v>
      </c>
      <c r="EK9" t="s">
        <v>43</v>
      </c>
      <c r="EP9" t="s">
        <v>11267</v>
      </c>
      <c r="EU9" t="s">
        <v>11056</v>
      </c>
      <c r="EZ9" t="s">
        <v>11023</v>
      </c>
      <c r="FE9" t="s">
        <v>12105</v>
      </c>
      <c r="FJ9" t="s">
        <v>12419</v>
      </c>
      <c r="FO9" t="s">
        <v>687</v>
      </c>
      <c r="FY9" t="s">
        <v>3712</v>
      </c>
      <c r="GD9" t="s">
        <v>12479</v>
      </c>
      <c r="GI9" t="s">
        <v>13193</v>
      </c>
      <c r="GN9" t="s">
        <v>259</v>
      </c>
      <c r="HC9" t="s">
        <v>11848</v>
      </c>
      <c r="HH9" t="s">
        <v>11540</v>
      </c>
      <c r="HM9" t="s">
        <v>12699</v>
      </c>
      <c r="HR9" t="s">
        <v>13157</v>
      </c>
      <c r="HW9" t="s">
        <v>13207</v>
      </c>
      <c r="IB9" t="s">
        <v>12640</v>
      </c>
      <c r="IG9" t="s">
        <v>10814</v>
      </c>
      <c r="IL9" t="s">
        <v>10760</v>
      </c>
      <c r="IQ9" t="s">
        <v>11210</v>
      </c>
      <c r="IV9" t="s">
        <v>11167</v>
      </c>
      <c r="JA9" t="s">
        <v>3251</v>
      </c>
      <c r="JF9" t="s">
        <v>12538</v>
      </c>
      <c r="JK9" t="s">
        <v>11925</v>
      </c>
      <c r="JP9" t="s">
        <v>11833</v>
      </c>
      <c r="JU9" t="s">
        <v>11012</v>
      </c>
      <c r="JZ9" t="s">
        <v>10944</v>
      </c>
      <c r="KE9" t="s">
        <v>11787</v>
      </c>
      <c r="KJ9" t="s">
        <v>12009</v>
      </c>
      <c r="LI9" t="s">
        <v>12522</v>
      </c>
      <c r="LN9" t="s">
        <v>10369</v>
      </c>
      <c r="LS9" t="s">
        <v>11449</v>
      </c>
      <c r="LX9" t="s">
        <v>1159</v>
      </c>
      <c r="MC9" t="s">
        <v>3073</v>
      </c>
      <c r="MH9" t="s">
        <v>10763</v>
      </c>
      <c r="MW9" t="s">
        <v>11117</v>
      </c>
      <c r="NB9" t="s">
        <v>10868</v>
      </c>
      <c r="NG9" t="s">
        <v>11146</v>
      </c>
      <c r="NL9" t="s">
        <v>12900</v>
      </c>
      <c r="OA9" t="s">
        <v>11760</v>
      </c>
      <c r="OF9" t="s">
        <v>12821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529</v>
      </c>
      <c r="K1" s="1" t="s">
        <v>530</v>
      </c>
      <c r="U1" s="1" t="s">
        <v>531</v>
      </c>
      <c r="AE1" s="1" t="s">
        <v>532</v>
      </c>
      <c r="AO1" s="1" t="s">
        <v>533</v>
      </c>
      <c r="AY1" s="1" t="s">
        <v>534</v>
      </c>
      <c r="BI1" s="1" t="s">
        <v>535</v>
      </c>
      <c r="BS1" s="1" t="s">
        <v>536</v>
      </c>
      <c r="CC1" s="1" t="s">
        <v>537</v>
      </c>
      <c r="CM1" s="1" t="s">
        <v>538</v>
      </c>
      <c r="CW1" s="1" t="s">
        <v>539</v>
      </c>
      <c r="DG1" s="1" t="s">
        <v>540</v>
      </c>
      <c r="DQ1" s="1" t="s">
        <v>541</v>
      </c>
      <c r="EA1" s="1" t="s">
        <v>542</v>
      </c>
      <c r="EK1" s="1" t="s">
        <v>543</v>
      </c>
      <c r="EU1" s="1" t="s">
        <v>544</v>
      </c>
      <c r="FE1" s="1" t="s">
        <v>545</v>
      </c>
      <c r="FO1" s="1" t="s">
        <v>546</v>
      </c>
      <c r="FY1" s="1" t="s">
        <v>547</v>
      </c>
      <c r="GI1" s="1" t="s">
        <v>548</v>
      </c>
      <c r="GS1" s="1" t="s">
        <v>549</v>
      </c>
      <c r="HC1" s="1" t="s">
        <v>550</v>
      </c>
      <c r="HM1" s="1" t="s">
        <v>551</v>
      </c>
      <c r="HW1" s="1" t="s">
        <v>552</v>
      </c>
      <c r="IG1" s="1" t="s">
        <v>553</v>
      </c>
      <c r="IQ1" s="1" t="s">
        <v>554</v>
      </c>
      <c r="JA1" s="1" t="s">
        <v>555</v>
      </c>
      <c r="JK1" s="1" t="s">
        <v>556</v>
      </c>
      <c r="JU1" s="1" t="s">
        <v>557</v>
      </c>
      <c r="KE1" s="1" t="s">
        <v>558</v>
      </c>
      <c r="KO1" s="1" t="s">
        <v>559</v>
      </c>
      <c r="KY1" s="1" t="s">
        <v>560</v>
      </c>
      <c r="LI1" s="1" t="s">
        <v>561</v>
      </c>
      <c r="LS1" s="1" t="s">
        <v>562</v>
      </c>
      <c r="MC1" s="1" t="s">
        <v>563</v>
      </c>
      <c r="MM1" s="1" t="s">
        <v>564</v>
      </c>
      <c r="MW1" s="1" t="s">
        <v>565</v>
      </c>
      <c r="NG1" s="1" t="s">
        <v>566</v>
      </c>
      <c r="NQ1" s="1" t="s">
        <v>567</v>
      </c>
      <c r="OA1" s="1" t="s">
        <v>568</v>
      </c>
    </row>
    <row r="2" spans="1:396" x14ac:dyDescent="0.25">
      <c r="A2" s="2" t="s">
        <v>569</v>
      </c>
      <c r="K2" s="2" t="s">
        <v>570</v>
      </c>
      <c r="U2" s="2" t="s">
        <v>270</v>
      </c>
      <c r="AE2" s="2" t="s">
        <v>43</v>
      </c>
      <c r="AO2" s="2" t="s">
        <v>44</v>
      </c>
      <c r="AY2" s="2" t="s">
        <v>65</v>
      </c>
      <c r="BI2" s="2" t="s">
        <v>571</v>
      </c>
      <c r="BS2" s="2" t="s">
        <v>572</v>
      </c>
      <c r="CC2" s="2" t="s">
        <v>573</v>
      </c>
      <c r="CM2" s="2" t="s">
        <v>63</v>
      </c>
      <c r="CW2" s="2" t="s">
        <v>275</v>
      </c>
      <c r="DG2" s="2" t="s">
        <v>64</v>
      </c>
      <c r="DQ2" s="2" t="s">
        <v>574</v>
      </c>
      <c r="EA2" s="2" t="s">
        <v>59</v>
      </c>
      <c r="EK2" s="2" t="s">
        <v>44</v>
      </c>
      <c r="EU2" s="2" t="s">
        <v>575</v>
      </c>
      <c r="FE2" s="2" t="s">
        <v>381</v>
      </c>
      <c r="FO2" s="2" t="s">
        <v>64</v>
      </c>
      <c r="FY2" s="2" t="s">
        <v>158</v>
      </c>
      <c r="GI2" s="2" t="s">
        <v>576</v>
      </c>
      <c r="GS2" s="2" t="s">
        <v>577</v>
      </c>
      <c r="HC2" s="2" t="s">
        <v>63</v>
      </c>
      <c r="HM2" s="2" t="s">
        <v>469</v>
      </c>
      <c r="HW2" s="2" t="s">
        <v>578</v>
      </c>
      <c r="IG2" s="2" t="s">
        <v>389</v>
      </c>
      <c r="IQ2" s="2" t="s">
        <v>269</v>
      </c>
      <c r="JA2" s="2" t="s">
        <v>579</v>
      </c>
      <c r="JK2" s="2" t="s">
        <v>480</v>
      </c>
      <c r="JU2" s="2" t="s">
        <v>275</v>
      </c>
      <c r="KE2" s="2" t="s">
        <v>580</v>
      </c>
      <c r="KO2" s="2" t="s">
        <v>378</v>
      </c>
      <c r="KY2" s="2" t="s">
        <v>581</v>
      </c>
      <c r="LI2" s="2" t="s">
        <v>582</v>
      </c>
      <c r="LS2" s="2" t="s">
        <v>583</v>
      </c>
      <c r="MC2" s="2" t="s">
        <v>584</v>
      </c>
      <c r="MM2" s="2" t="s">
        <v>585</v>
      </c>
      <c r="MW2" s="2" t="s">
        <v>586</v>
      </c>
      <c r="NG2" s="2" t="s">
        <v>587</v>
      </c>
      <c r="NQ2" s="2" t="s">
        <v>588</v>
      </c>
      <c r="OA2" s="2" t="s">
        <v>589</v>
      </c>
    </row>
    <row r="3" spans="1:396" x14ac:dyDescent="0.25">
      <c r="A3" t="s">
        <v>590</v>
      </c>
      <c r="K3" t="s">
        <v>591</v>
      </c>
      <c r="U3" t="s">
        <v>592</v>
      </c>
      <c r="AE3" t="s">
        <v>593</v>
      </c>
      <c r="AO3" t="s">
        <v>594</v>
      </c>
      <c r="AY3" t="s">
        <v>595</v>
      </c>
      <c r="BI3" t="s">
        <v>596</v>
      </c>
      <c r="BS3" t="s">
        <v>597</v>
      </c>
      <c r="CC3" t="s">
        <v>598</v>
      </c>
      <c r="CM3" t="s">
        <v>100</v>
      </c>
      <c r="CW3" t="s">
        <v>599</v>
      </c>
      <c r="DG3" t="s">
        <v>600</v>
      </c>
      <c r="DQ3" t="s">
        <v>601</v>
      </c>
      <c r="EA3" t="s">
        <v>602</v>
      </c>
      <c r="EK3" t="s">
        <v>603</v>
      </c>
      <c r="EU3" t="s">
        <v>604</v>
      </c>
      <c r="FE3" t="s">
        <v>605</v>
      </c>
      <c r="FO3" t="s">
        <v>606</v>
      </c>
      <c r="FY3" t="s">
        <v>607</v>
      </c>
      <c r="GI3" t="s">
        <v>608</v>
      </c>
      <c r="GS3" t="s">
        <v>609</v>
      </c>
      <c r="HC3" t="s">
        <v>100</v>
      </c>
      <c r="HM3" t="s">
        <v>610</v>
      </c>
      <c r="HW3" t="s">
        <v>611</v>
      </c>
      <c r="IG3" t="s">
        <v>612</v>
      </c>
      <c r="IQ3" t="s">
        <v>613</v>
      </c>
      <c r="JA3" t="s">
        <v>614</v>
      </c>
      <c r="JK3" t="s">
        <v>615</v>
      </c>
      <c r="JU3" t="s">
        <v>616</v>
      </c>
      <c r="KE3" t="s">
        <v>617</v>
      </c>
      <c r="KO3" t="s">
        <v>618</v>
      </c>
      <c r="KY3" t="s">
        <v>619</v>
      </c>
      <c r="LI3" t="s">
        <v>620</v>
      </c>
      <c r="LS3" t="s">
        <v>621</v>
      </c>
      <c r="MC3" t="s">
        <v>622</v>
      </c>
      <c r="MM3" t="s">
        <v>623</v>
      </c>
      <c r="MW3" t="s">
        <v>624</v>
      </c>
      <c r="NG3" t="s">
        <v>625</v>
      </c>
      <c r="NQ3" t="s">
        <v>626</v>
      </c>
      <c r="OA3" t="s">
        <v>321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_xll.BDS("1825471D US Equity","SUPPLY_CHAIN_SUPPLIERS","RELATIONSHIP_AS_OF_DATE","20000717","cols=1;rows=5")</f>
        <v>LXP US Equity</v>
      </c>
      <c r="F5" t="str">
        <f>_xll.BDS("1825471D US Equity","SUPPLY_CHAIN_CUSTOMERS","RELATIONSHIP_AS_OF_DATE","20000717","cols=1;rows=5")</f>
        <v>AIT US Equity</v>
      </c>
      <c r="K5" t="str">
        <f>_xll.BDS("HD US Equity","SUPPLY_CHAIN_SUPPLIERS","RELATIONSHIP_AS_OF_DATE","20201116","cols=1;rows=5")</f>
        <v>669 HK Equity</v>
      </c>
      <c r="P5" t="str">
        <f>_xll.BDS("HD US Equity","SUPPLY_CHAIN_CUSTOMERS","RELATIONSHIP_AS_OF_DATE","20201116","cols=1;rows=5")</f>
        <v>603201 CH Equity</v>
      </c>
      <c r="U5" t="str">
        <f>_xll.BDS("USB US Equity","SUPPLY_CHAIN_SUPPLIERS","RELATIONSHIP_AS_OF_DATE","19990503","cols=1;rows=5")</f>
        <v>INFO IN Equity</v>
      </c>
      <c r="Z5" t="str">
        <f>_xll.BDS("USB US Equity","SUPPLY_CHAIN_CUSTOMERS","RELATIONSHIP_AS_OF_DATE","19990503","cols=1;rows=2")</f>
        <v>FISV US Equity</v>
      </c>
      <c r="AE5" t="str">
        <f>_xll.BDS("BMY US Equity","SUPPLY_CHAIN_SUPPLIERS","RELATIONSHIP_AS_OF_DATE","20201005","cols=1;rows=5")</f>
        <v>PFE US Equity</v>
      </c>
      <c r="AJ5" t="str">
        <f>_xll.BDS("BMY US Equity","SUPPLY_CHAIN_CUSTOMERS","RELATIONSHIP_AS_OF_DATE","20201005","cols=1;rows=5")</f>
        <v>MCK US Equity</v>
      </c>
      <c r="AO5" t="str">
        <f>_xll.BDS("PFE US Equity","SUPPLY_CHAIN_SUPPLIERS","RELATIONSHIP_AS_OF_DATE","20190617","cols=1;rows=5")</f>
        <v>BNTX US Equity</v>
      </c>
      <c r="AT5" t="str">
        <f>_xll.BDS("PFE US Equity","SUPPLY_CHAIN_CUSTOMERS","RELATIONSHIP_AS_OF_DATE","20190617","cols=1;rows=5")</f>
        <v>MCK US Equity</v>
      </c>
      <c r="AY5" t="str">
        <f>_xll.BDS("MRK US Equity","SUPPLY_CHAIN_SUPPLIERS","RELATIONSHIP_AS_OF_DATE","20210930","cols=1;rows=5")</f>
        <v>AZN LN Equity</v>
      </c>
      <c r="BD5" t="str">
        <f>_xll.BDS("MRK US Equity","SUPPLY_CHAIN_CUSTOMERS","RELATIONSHIP_AS_OF_DATE","20210930","cols=1;rows=5")</f>
        <v>COR US Equity</v>
      </c>
      <c r="BI5" t="str">
        <f>_xll.BDS("LBRDA US Equity","SUPPLY_CHAIN_SUPPLIERS","RELATIONSHIP_AS_OF_DATE","20200806","cols=1;rows=5")</f>
        <v>ERICB SS Equity</v>
      </c>
      <c r="BN5" t="str">
        <f>_xll.BDS("LBRDA US Equity","SUPPLY_CHAIN_CUSTOMERS","RELATIONSHIP_AS_OF_DATE","20200806","cols=1;rows=4")</f>
        <v>2056675D MM Equity</v>
      </c>
      <c r="BS5" t="str">
        <f>_xll.BDS("FE US Equity","SUPPLY_CHAIN_SUPPLIERS","RELATIONSHIP_AS_OF_DATE","20000808","cols=1;rows=5")</f>
        <v>PWR US Equity</v>
      </c>
      <c r="BX5" t="str">
        <f>_xll.BDS("FE US Equity","SUPPLY_CHAIN_CUSTOMERS","RELATIONSHIP_AS_OF_DATE","20000808","cols=1;rows=5")</f>
        <v>0058754D US Equity</v>
      </c>
      <c r="CC5" t="str">
        <f>_xll.BDS("CAG US Equity","SUPPLY_CHAIN_SUPPLIERS","RELATIONSHIP_AS_OF_DATE","20180627","cols=1;rows=5")</f>
        <v>AMCR US Equity</v>
      </c>
      <c r="CH5" t="str">
        <f>_xll.BDS("CAG US Equity","SUPPLY_CHAIN_CUSTOMERS","RELATIONSHIP_AS_OF_DATE","20180627","cols=1;rows=5")</f>
        <v>WMT US Equity</v>
      </c>
      <c r="CM5" t="str">
        <f>_xll.BDS("KMI US Equity","SUPPLY_CHAIN_SUPPLIERS","RELATIONSHIP_AS_OF_DATE","20140810","cols=1;rows=5")</f>
        <v>PWR US Equity</v>
      </c>
      <c r="CR5" t="str">
        <f>_xll.BDS("KMI US Equity","SUPPLY_CHAIN_CUSTOMERS","RELATIONSHIP_AS_OF_DATE","20140810","cols=1;rows=5")</f>
        <v>TX US Equity</v>
      </c>
      <c r="CW5" t="str">
        <f>_xll.BDS("GILD US Equity","SUPPLY_CHAIN_SUPPLIERS","RELATIONSHIP_AS_OF_DATE","20111121","cols=1;rows=5")</f>
        <v>JNJ US Equity</v>
      </c>
      <c r="DB5" t="str">
        <f>_xll.BDS("GILD US Equity","SUPPLY_CHAIN_CUSTOMERS","RELATIONSHIP_AS_OF_DATE","20111121","cols=1;rows=5")</f>
        <v>CAH US Equity</v>
      </c>
      <c r="DG5" t="str">
        <f>_xll.BDS("nan Equity","SUPPLY_CHAIN_SUPPLIERS","RELATIONSHIP_AS_OF_DATE","20050328")</f>
        <v>#N/A N/A</v>
      </c>
      <c r="DL5" t="str">
        <f>_xll.BDS("nan Equity","SUPPLY_CHAIN_CUSTOMERS","RELATIONSHIP_AS_OF_DATE","20050328")</f>
        <v>#N/A N/A</v>
      </c>
      <c r="DQ5" t="str">
        <f>_xll.BDS("VST US Equity","SUPPLY_CHAIN_SUPPLIERS","RELATIONSHIP_AS_OF_DATE","20171030","cols=1;rows=5")</f>
        <v>CNP US Equity</v>
      </c>
      <c r="DV5" t="str">
        <f>_xll.BDS("VST US Equity","SUPPLY_CHAIN_CUSTOMERS","RELATIONSHIP_AS_OF_DATE","20171030","cols=1;rows=5")</f>
        <v>172048Z US Equity</v>
      </c>
      <c r="EA5" t="str">
        <f>_xll.BDS("653707Q US Equity","SUPPLY_CHAIN_SUPPLIERS","RELATIONSHIP_AS_OF_DATE","19980108")</f>
        <v>#N/A N/A</v>
      </c>
      <c r="EF5" t="str">
        <f>_xll.BDS("653707Q US Equity","SUPPLY_CHAIN_CUSTOMERS","RELATIONSHIP_AS_OF_DATE","19980108")</f>
        <v>#N/A N/A</v>
      </c>
      <c r="EK5" t="str">
        <f>_xll.BDS("PFE US Equity","SUPPLY_CHAIN_SUPPLIERS","RELATIONSHIP_AS_OF_DATE","20220510","cols=1;rows=5")</f>
        <v>BNTX US Equity</v>
      </c>
      <c r="EP5" t="str">
        <f>_xll.BDS("PFE US Equity","SUPPLY_CHAIN_CUSTOMERS","RELATIONSHIP_AS_OF_DATE","20220510","cols=1;rows=5")</f>
        <v>MCK US Equity</v>
      </c>
      <c r="EU5" t="str">
        <f>_xll.BDS("680884Q US Equity","SUPPLY_CHAIN_SUPPLIERS","RELATIONSHIP_AS_OF_DATE","19980126")</f>
        <v>#N/A N/A</v>
      </c>
      <c r="EZ5" t="str">
        <f>_xll.BDS("680884Q US Equity","SUPPLY_CHAIN_CUSTOMERS","RELATIONSHIP_AS_OF_DATE","19980126")</f>
        <v>#N/A N/A</v>
      </c>
      <c r="FE5" t="str">
        <f>_xll.BDS("MS US Equity","SUPPLY_CHAIN_SUPPLIERS","RELATIONSHIP_AS_OF_DATE","19970205","cols=1;rows=5")</f>
        <v>DLR US Equity</v>
      </c>
      <c r="FJ5" t="str">
        <f>_xll.BDS("MS US Equity","SUPPLY_CHAIN_CUSTOMERS","RELATIONSHIP_AS_OF_DATE","19970205","cols=1;rows=5")</f>
        <v>012690 KS Equity</v>
      </c>
      <c r="FO5" t="str">
        <f>_xll.BDS("nan Equity","SUPPLY_CHAIN_SUPPLIERS","RELATIONSHIP_AS_OF_DATE","20190204")</f>
        <v>#N/A N/A</v>
      </c>
      <c r="FT5" t="str">
        <f>_xll.BDS("nan Equity","SUPPLY_CHAIN_CUSTOMERS","RELATIONSHIP_AS_OF_DATE","20190204")</f>
        <v>#N/A N/A</v>
      </c>
      <c r="FY5" t="str">
        <f>_xll.BDS("BRK/A US Equity","SUPPLY_CHAIN_SUPPLIERS","RELATIONSHIP_AS_OF_DATE","20130529","cols=1;rows=5")</f>
        <v>HSY US Equity</v>
      </c>
      <c r="GD5" t="str">
        <f>_xll.BDS("BRK/A US Equity","SUPPLY_CHAIN_CUSTOMERS","RELATIONSHIP_AS_OF_DATE","20130529","cols=1;rows=5")</f>
        <v>WMT US Equity</v>
      </c>
      <c r="GI5" t="str">
        <f>_xll.BDS("ICE US Equity","SUPPLY_CHAIN_SUPPLIERS","RELATIONSHIP_AS_OF_DATE","20121220","cols=1;rows=5")</f>
        <v>EXTR US Equity</v>
      </c>
      <c r="GN5" t="str">
        <f>_xll.BDS("ICE US Equity","SUPPLY_CHAIN_CUSTOMERS","RELATIONSHIP_AS_OF_DATE","20121220")</f>
        <v>9877206Z US Equity</v>
      </c>
      <c r="GS5" t="str">
        <f>_xll.BDS("355488Q US Equity","SUPPLY_CHAIN_SUPPLIERS","RELATIONSHIP_AS_OF_DATE","20040123")</f>
        <v>#N/A N/A</v>
      </c>
      <c r="GX5" t="str">
        <f>_xll.BDS("355488Q US Equity","SUPPLY_CHAIN_CUSTOMERS","RELATIONSHIP_AS_OF_DATE","20040123")</f>
        <v>#N/A N/A</v>
      </c>
      <c r="HC5" t="str">
        <f>_xll.BDS("KMI US Equity","SUPPLY_CHAIN_SUPPLIERS","RELATIONSHIP_AS_OF_DATE","20140810","cols=1;rows=5")</f>
        <v>PWR US Equity</v>
      </c>
      <c r="HH5" t="str">
        <f>_xll.BDS("KMI US Equity","SUPPLY_CHAIN_CUSTOMERS","RELATIONSHIP_AS_OF_DATE","20140810","cols=1;rows=5")</f>
        <v>TX US Equity</v>
      </c>
      <c r="HM5" t="str">
        <f>_xll.BDS("AMZN US Equity","SUPPLY_CHAIN_SUPPLIERS","RELATIONSHIP_AS_OF_DATE","20210526","cols=1;rows=5")</f>
        <v>NVDA US Equity</v>
      </c>
      <c r="HR5" t="str">
        <f>_xll.BDS("AMZN US Equity","SUPPLY_CHAIN_CUSTOMERS","RELATIONSHIP_AS_OF_DATE","20210526","cols=1;rows=5")</f>
        <v>SNX US Equity</v>
      </c>
      <c r="HW5" t="str">
        <f>_xll.BDS("ENLC US Equity","SUPPLY_CHAIN_SUPPLIERS","RELATIONSHIP_AS_OF_DATE","20181022","cols=1;rows=5")</f>
        <v>AROC US Equity</v>
      </c>
      <c r="IB5" t="str">
        <f>_xll.BDS("ENLC US Equity","SUPPLY_CHAIN_CUSTOMERS","RELATIONSHIP_AS_OF_DATE","20181022","cols=1;rows=5")</f>
        <v>1216765D US Equity</v>
      </c>
      <c r="IG5" t="str">
        <f>_xll.BDS("MPLX US Equity","SUPPLY_CHAIN_SUPPLIERS","RELATIONSHIP_AS_OF_DATE","20190508","cols=1;rows=5")</f>
        <v>DNOW US Equity</v>
      </c>
      <c r="IL5" t="str">
        <f>_xll.BDS("MPLX US Equity","SUPPLY_CHAIN_CUSTOMERS","RELATIONSHIP_AS_OF_DATE","20190508","cols=1;rows=3")</f>
        <v>MPC US Equity</v>
      </c>
      <c r="IQ5" t="str">
        <f>_xll.BDS("FCX US Equity","SUPPLY_CHAIN_SUPPLIERS","RELATIONSHIP_AS_OF_DATE","20121205","cols=1;rows=5")</f>
        <v>5711 JP Equity</v>
      </c>
      <c r="IV5" t="str">
        <f>_xll.BDS("FCX US Equity","SUPPLY_CHAIN_CUSTOMERS","RELATIONSHIP_AS_OF_DATE","20121205","cols=1;rows=5")</f>
        <v>5711 JP Equity</v>
      </c>
      <c r="JA5" t="str">
        <f>_xll.BDS("RF US Equity","SUPPLY_CHAIN_SUPPLIERS","RELATIONSHIP_AS_OF_DATE","20060525","cols=1;rows=2")</f>
        <v>NEWT US Equity</v>
      </c>
      <c r="JF5" t="str">
        <f>_xll.BDS("RF US Equity","SUPPLY_CHAIN_CUSTOMERS","RELATIONSHIP_AS_OF_DATE","20060525")</f>
        <v>#N/A N/A</v>
      </c>
      <c r="JK5" t="str">
        <f>_xll.BDS("EXC US Equity","SUPPLY_CHAIN_SUPPLIERS","RELATIONSHIP_AS_OF_DATE","20110428","cols=1;rows=5")</f>
        <v>PWR US Equity</v>
      </c>
      <c r="JP5" t="str">
        <f>_xll.BDS("EXC US Equity","SUPPLY_CHAIN_CUSTOMERS","RELATIONSHIP_AS_OF_DATE","20110428","cols=1;rows=5")</f>
        <v>ARW US Equity</v>
      </c>
      <c r="JU5" t="str">
        <f>_xll.BDS("GILD US Equity","SUPPLY_CHAIN_SUPPLIERS","RELATIONSHIP_AS_OF_DATE","20170828","cols=1;rows=5")</f>
        <v>JNJ US Equity</v>
      </c>
      <c r="JZ5" t="str">
        <f>_xll.BDS("GILD US Equity","SUPPLY_CHAIN_CUSTOMERS","RELATIONSHIP_AS_OF_DATE","20170828","cols=1;rows=5")</f>
        <v>CAH US Equity</v>
      </c>
      <c r="KE5" t="str">
        <f>_xll.BDS("DBRG US Equity","SUPPLY_CHAIN_SUPPLIERS","RELATIONSHIP_AS_OF_DATE","20160603","cols=1;rows=5")</f>
        <v>1504275D US Equity</v>
      </c>
      <c r="KJ5" t="str">
        <f>_xll.BDS("DBRG US Equity","SUPPLY_CHAIN_CUSTOMERS","RELATIONSHIP_AS_OF_DATE","20160603","cols=1;rows=5")</f>
        <v>603667 CH Equity</v>
      </c>
      <c r="KO5" t="str">
        <f>_xll.BDS("PEP US Equity","SUPPLY_CHAIN_SUPPLIERS","RELATIONSHIP_AS_OF_DATE","20090420","cols=1;rows=5")</f>
        <v>AMCR US Equity</v>
      </c>
      <c r="KT5" t="str">
        <f>_xll.BDS("PEP US Equity","SUPPLY_CHAIN_CUSTOMERS","RELATIONSHIP_AS_OF_DATE","20090420","cols=1;rows=5")</f>
        <v>WMT US Equity</v>
      </c>
      <c r="KY5" t="str">
        <f>_xll.BDS("1377Q US Equity","SUPPLY_CHAIN_SUPPLIERS","RELATIONSHIP_AS_OF_DATE","19940830")</f>
        <v>#N/A N/A</v>
      </c>
      <c r="LD5" t="str">
        <f>_xll.BDS("1377Q US Equity","SUPPLY_CHAIN_CUSTOMERS","RELATIONSHIP_AS_OF_DATE","19940830")</f>
        <v>#N/A N/A</v>
      </c>
      <c r="LI5" t="str">
        <f>_xll.BDS("WMB US Equity","SUPPLY_CHAIN_SUPPLIERS","RELATIONSHIP_AS_OF_DATE","20180517","cols=1;rows=5")</f>
        <v>PWR US Equity</v>
      </c>
      <c r="LN5" t="str">
        <f>_xll.BDS("WMB US Equity","SUPPLY_CHAIN_CUSTOMERS","RELATIONSHIP_AS_OF_DATE","20180517","cols=1;rows=5")</f>
        <v>3352Z US Equity</v>
      </c>
      <c r="LS5" t="str">
        <f>_xll.BDS("AW US Equity","SUPPLY_CHAIN_SUPPLIERS","RELATIONSHIP_AS_OF_DATE","19990308")</f>
        <v>#N/A N/A</v>
      </c>
      <c r="LX5" t="str">
        <f>_xll.BDS("AW US Equity","SUPPLY_CHAIN_CUSTOMERS","RELATIONSHIP_AS_OF_DATE","19990308")</f>
        <v>#N/A N/A</v>
      </c>
      <c r="MC5" t="str">
        <f>_xll.BDS("IP US Equity","SUPPLY_CHAIN_SUPPLIERS","RELATIONSHIP_AS_OF_DATE","20000425","cols=1;rows=5")</f>
        <v>MTX US Equity</v>
      </c>
      <c r="MH5" t="str">
        <f>_xll.BDS("IP US Equity","SUPPLY_CHAIN_CUSTOMERS","RELATIONSHIP_AS_OF_DATE","20000425","cols=1;rows=5")</f>
        <v>TSCO LN Equity</v>
      </c>
      <c r="MM5" t="str">
        <f>_xll.BDS("VER US Equity","SUPPLY_CHAIN_SUPPLIERS","RELATIONSHIP_AS_OF_DATE","20131023")</f>
        <v>#N/A N/A</v>
      </c>
      <c r="MR5" t="str">
        <f>_xll.BDS("VER US Equity","SUPPLY_CHAIN_CUSTOMERS","RELATIONSHIP_AS_OF_DATE","20131023")</f>
        <v>#N/A N/A</v>
      </c>
      <c r="MW5" t="str">
        <f>_xll.BDS("MCHP US Equity","SUPPLY_CHAIN_SUPPLIERS","RELATIONSHIP_AS_OF_DATE","20180301","cols=1;rows=5")</f>
        <v>GFS US Equity</v>
      </c>
      <c r="NB5" t="str">
        <f>_xll.BDS("MCHP US Equity","SUPPLY_CHAIN_CUSTOMERS","RELATIONSHIP_AS_OF_DATE","20180301","cols=1;rows=5")</f>
        <v>ARW US Equity</v>
      </c>
      <c r="NG5" t="str">
        <f>_xll.BDS("2499073D US Equity","SUPPLY_CHAIN_SUPPLIERS","RELATIONSHIP_AS_OF_DATE","20160321")</f>
        <v>#N/A N/A</v>
      </c>
      <c r="NL5" t="str">
        <f>_xll.BDS("2499073D US Equity","SUPPLY_CHAIN_CUSTOMERS","RELATIONSHIP_AS_OF_DATE","20160321")</f>
        <v>#N/A N/A</v>
      </c>
      <c r="NQ5" t="str">
        <f>_xll.BDS("RHDCQ US Equity","SUPPLY_CHAIN_SUPPLIERS","RELATIONSHIP_AS_OF_DATE","20051003")</f>
        <v>#N/A N/A</v>
      </c>
      <c r="NV5" t="str">
        <f>_xll.BDS("RHDCQ US Equity","SUPPLY_CHAIN_CUSTOMERS","RELATIONSHIP_AS_OF_DATE","20051003")</f>
        <v>#N/A N/A</v>
      </c>
      <c r="OA5" t="str">
        <f>_xll.BDS("1813626D US Equity","SUPPLY_CHAIN_SUPPLIERS","RELATIONSHIP_AS_OF_DATE","20150126")</f>
        <v>FE US Equity</v>
      </c>
      <c r="OF5" t="str">
        <f>_xll.BDS("1813626D US Equity","SUPPLY_CHAIN_CUSTOMERS","RELATIONSHIP_AS_OF_DATE","20150126")</f>
        <v>#N/A N/A</v>
      </c>
    </row>
    <row r="6" spans="1:396" x14ac:dyDescent="0.25">
      <c r="A6" t="s">
        <v>12068</v>
      </c>
      <c r="F6" t="s">
        <v>12238</v>
      </c>
      <c r="K6" t="s">
        <v>11717</v>
      </c>
      <c r="P6" t="s">
        <v>11432</v>
      </c>
      <c r="U6" t="s">
        <v>266</v>
      </c>
      <c r="Z6" t="s">
        <v>11294</v>
      </c>
      <c r="AE6" t="s">
        <v>12214</v>
      </c>
      <c r="AJ6" t="s">
        <v>1468</v>
      </c>
      <c r="AO6" t="s">
        <v>171</v>
      </c>
      <c r="AT6" t="s">
        <v>1468</v>
      </c>
      <c r="AY6" t="s">
        <v>368</v>
      </c>
      <c r="BD6" t="s">
        <v>385</v>
      </c>
      <c r="BI6" t="s">
        <v>11492</v>
      </c>
      <c r="BN6" t="s">
        <v>9766</v>
      </c>
      <c r="BS6" t="s">
        <v>3251</v>
      </c>
      <c r="BX6" t="s">
        <v>13231</v>
      </c>
      <c r="CC6" t="s">
        <v>11254</v>
      </c>
      <c r="CH6" t="s">
        <v>477</v>
      </c>
      <c r="CM6" t="s">
        <v>7384</v>
      </c>
      <c r="CR6" t="s">
        <v>11678</v>
      </c>
      <c r="CW6" t="s">
        <v>12260</v>
      </c>
      <c r="DB6" t="s">
        <v>385</v>
      </c>
      <c r="DQ6" t="s">
        <v>13264</v>
      </c>
      <c r="DV6" t="s">
        <v>13245</v>
      </c>
      <c r="EK6" t="s">
        <v>171</v>
      </c>
      <c r="EP6" t="s">
        <v>1468</v>
      </c>
      <c r="FE6" t="s">
        <v>11840</v>
      </c>
      <c r="FJ6" t="s">
        <v>12493</v>
      </c>
      <c r="FY6" t="s">
        <v>2792</v>
      </c>
      <c r="GD6" t="s">
        <v>10677</v>
      </c>
      <c r="GI6" t="s">
        <v>11074</v>
      </c>
      <c r="HC6" t="s">
        <v>7384</v>
      </c>
      <c r="HH6" t="s">
        <v>11678</v>
      </c>
      <c r="HM6" t="s">
        <v>11089</v>
      </c>
      <c r="HR6" t="s">
        <v>165</v>
      </c>
      <c r="HW6" t="s">
        <v>13152</v>
      </c>
      <c r="IB6" t="s">
        <v>11403</v>
      </c>
      <c r="IG6" t="s">
        <v>11449</v>
      </c>
      <c r="IL6" t="s">
        <v>12894</v>
      </c>
      <c r="IQ6" t="s">
        <v>12054</v>
      </c>
      <c r="IV6" t="s">
        <v>12856</v>
      </c>
      <c r="JA6" t="s">
        <v>3162</v>
      </c>
      <c r="JK6" t="s">
        <v>3251</v>
      </c>
      <c r="JP6" t="s">
        <v>13272</v>
      </c>
      <c r="JU6" t="s">
        <v>12260</v>
      </c>
      <c r="JZ6" t="s">
        <v>385</v>
      </c>
      <c r="KE6" t="s">
        <v>2204</v>
      </c>
      <c r="KJ6" t="s">
        <v>12895</v>
      </c>
      <c r="KO6" t="s">
        <v>11892</v>
      </c>
      <c r="KT6" t="s">
        <v>477</v>
      </c>
      <c r="LI6" t="s">
        <v>4211</v>
      </c>
      <c r="LN6" t="s">
        <v>11636</v>
      </c>
      <c r="MC6" t="s">
        <v>171</v>
      </c>
      <c r="MH6" t="s">
        <v>11527</v>
      </c>
      <c r="MW6" t="s">
        <v>11203</v>
      </c>
      <c r="NB6" t="s">
        <v>10659</v>
      </c>
    </row>
    <row r="7" spans="1:396" x14ac:dyDescent="0.25">
      <c r="A7" t="s">
        <v>12205</v>
      </c>
      <c r="F7" t="s">
        <v>12239</v>
      </c>
      <c r="K7" t="s">
        <v>1274</v>
      </c>
      <c r="P7" t="s">
        <v>11704</v>
      </c>
      <c r="U7" t="s">
        <v>1654</v>
      </c>
      <c r="AE7" t="s">
        <v>12215</v>
      </c>
      <c r="AJ7" t="s">
        <v>970</v>
      </c>
      <c r="AO7" t="s">
        <v>10816</v>
      </c>
      <c r="AT7" t="s">
        <v>970</v>
      </c>
      <c r="AY7" t="s">
        <v>11467</v>
      </c>
      <c r="BD7" t="s">
        <v>970</v>
      </c>
      <c r="BI7" t="s">
        <v>2608</v>
      </c>
      <c r="BN7" t="s">
        <v>1175</v>
      </c>
      <c r="BS7" t="s">
        <v>1265</v>
      </c>
      <c r="BX7" t="s">
        <v>13232</v>
      </c>
      <c r="CC7" t="s">
        <v>10978</v>
      </c>
      <c r="CH7" t="s">
        <v>11811</v>
      </c>
      <c r="CM7" t="s">
        <v>12741</v>
      </c>
      <c r="CR7" t="s">
        <v>12893</v>
      </c>
      <c r="CW7" t="s">
        <v>12261</v>
      </c>
      <c r="DB7" t="s">
        <v>1468</v>
      </c>
      <c r="DQ7" t="s">
        <v>11757</v>
      </c>
      <c r="DV7" t="s">
        <v>13246</v>
      </c>
      <c r="EK7" t="s">
        <v>10816</v>
      </c>
      <c r="EP7" t="s">
        <v>970</v>
      </c>
      <c r="FE7" t="s">
        <v>12364</v>
      </c>
      <c r="FJ7" t="s">
        <v>12494</v>
      </c>
      <c r="FY7" t="s">
        <v>10737</v>
      </c>
      <c r="GD7" t="s">
        <v>4642</v>
      </c>
      <c r="GI7" t="s">
        <v>13294</v>
      </c>
      <c r="HC7" t="s">
        <v>12741</v>
      </c>
      <c r="HH7" t="s">
        <v>12893</v>
      </c>
      <c r="HM7" t="s">
        <v>2967</v>
      </c>
      <c r="HR7" t="s">
        <v>10660</v>
      </c>
      <c r="HW7" t="s">
        <v>10940</v>
      </c>
      <c r="IB7" t="s">
        <v>13208</v>
      </c>
      <c r="IG7" t="s">
        <v>578</v>
      </c>
      <c r="IL7" t="s">
        <v>13086</v>
      </c>
      <c r="IQ7" t="s">
        <v>11292</v>
      </c>
      <c r="IV7" t="s">
        <v>12096</v>
      </c>
      <c r="JK7" t="s">
        <v>11055</v>
      </c>
      <c r="JP7" t="s">
        <v>11554</v>
      </c>
      <c r="JU7" t="s">
        <v>12261</v>
      </c>
      <c r="JZ7" t="s">
        <v>1468</v>
      </c>
      <c r="KE7" t="s">
        <v>12945</v>
      </c>
      <c r="KJ7" t="s">
        <v>12896</v>
      </c>
      <c r="KO7" t="s">
        <v>12861</v>
      </c>
      <c r="KT7" t="s">
        <v>469</v>
      </c>
      <c r="LI7" t="s">
        <v>7384</v>
      </c>
      <c r="LN7" t="s">
        <v>11403</v>
      </c>
      <c r="MC7" t="s">
        <v>11846</v>
      </c>
      <c r="MH7" t="s">
        <v>12174</v>
      </c>
      <c r="MW7" t="s">
        <v>3611</v>
      </c>
      <c r="NB7" t="s">
        <v>3519</v>
      </c>
    </row>
    <row r="8" spans="1:396" x14ac:dyDescent="0.25">
      <c r="A8" t="s">
        <v>12919</v>
      </c>
      <c r="F8" t="s">
        <v>12456</v>
      </c>
      <c r="K8" t="s">
        <v>11194</v>
      </c>
      <c r="P8" t="s">
        <v>11705</v>
      </c>
      <c r="U8" t="s">
        <v>772</v>
      </c>
      <c r="AE8" t="s">
        <v>65</v>
      </c>
      <c r="AJ8" t="s">
        <v>51</v>
      </c>
      <c r="AO8" t="s">
        <v>43</v>
      </c>
      <c r="AT8" t="s">
        <v>43</v>
      </c>
      <c r="AY8" t="s">
        <v>11468</v>
      </c>
      <c r="BD8" t="s">
        <v>43</v>
      </c>
      <c r="BI8" t="s">
        <v>10892</v>
      </c>
      <c r="BN8" t="s">
        <v>10738</v>
      </c>
      <c r="BS8" t="s">
        <v>13188</v>
      </c>
      <c r="BX8" t="s">
        <v>13233</v>
      </c>
      <c r="CC8" t="s">
        <v>11585</v>
      </c>
      <c r="CH8" t="s">
        <v>10992</v>
      </c>
      <c r="CM8" t="s">
        <v>11312</v>
      </c>
      <c r="CR8" t="s">
        <v>11173</v>
      </c>
      <c r="CW8" t="s">
        <v>12262</v>
      </c>
      <c r="DB8" t="s">
        <v>12230</v>
      </c>
      <c r="DQ8" t="s">
        <v>10696</v>
      </c>
      <c r="DV8" t="s">
        <v>13247</v>
      </c>
      <c r="EK8" t="s">
        <v>43</v>
      </c>
      <c r="EP8" t="s">
        <v>43</v>
      </c>
      <c r="FE8" t="s">
        <v>12303</v>
      </c>
      <c r="FJ8" t="s">
        <v>3610</v>
      </c>
      <c r="FY8" t="s">
        <v>4475</v>
      </c>
      <c r="GD8" t="s">
        <v>1363</v>
      </c>
      <c r="GI8" t="s">
        <v>13295</v>
      </c>
      <c r="HC8" t="s">
        <v>11312</v>
      </c>
      <c r="HH8" t="s">
        <v>11173</v>
      </c>
      <c r="HM8" t="s">
        <v>10853</v>
      </c>
      <c r="HR8" t="s">
        <v>10918</v>
      </c>
      <c r="HW8" t="s">
        <v>13153</v>
      </c>
      <c r="IB8" t="s">
        <v>693</v>
      </c>
      <c r="IG8" t="s">
        <v>888</v>
      </c>
      <c r="IQ8" t="s">
        <v>12885</v>
      </c>
      <c r="IV8" t="s">
        <v>12857</v>
      </c>
      <c r="JK8" t="s">
        <v>772</v>
      </c>
      <c r="JP8" t="s">
        <v>13273</v>
      </c>
      <c r="JU8" t="s">
        <v>12262</v>
      </c>
      <c r="JZ8" t="s">
        <v>12230</v>
      </c>
      <c r="KE8" t="s">
        <v>12290</v>
      </c>
      <c r="KJ8" t="s">
        <v>12897</v>
      </c>
      <c r="KO8" t="s">
        <v>12862</v>
      </c>
      <c r="KT8" t="s">
        <v>10805</v>
      </c>
      <c r="LI8" t="s">
        <v>12741</v>
      </c>
      <c r="LN8" t="s">
        <v>12933</v>
      </c>
      <c r="MC8" t="s">
        <v>772</v>
      </c>
      <c r="MH8" t="s">
        <v>12175</v>
      </c>
      <c r="MW8" t="s">
        <v>11094</v>
      </c>
      <c r="NB8" t="s">
        <v>11194</v>
      </c>
    </row>
    <row r="9" spans="1:396" x14ac:dyDescent="0.25">
      <c r="A9" t="s">
        <v>4048</v>
      </c>
      <c r="F9" t="s">
        <v>12097</v>
      </c>
      <c r="K9" t="s">
        <v>10967</v>
      </c>
      <c r="P9" t="s">
        <v>11706</v>
      </c>
      <c r="U9" t="s">
        <v>11073</v>
      </c>
      <c r="AE9" t="s">
        <v>368</v>
      </c>
      <c r="AJ9" t="s">
        <v>472</v>
      </c>
      <c r="AO9" t="s">
        <v>10817</v>
      </c>
      <c r="AT9" t="s">
        <v>10657</v>
      </c>
      <c r="AY9" t="s">
        <v>11159</v>
      </c>
      <c r="BD9" t="s">
        <v>11467</v>
      </c>
      <c r="BI9" t="s">
        <v>11194</v>
      </c>
      <c r="BS9" t="s">
        <v>13189</v>
      </c>
      <c r="BX9" t="s">
        <v>12256</v>
      </c>
      <c r="CC9" t="s">
        <v>10748</v>
      </c>
      <c r="CH9" t="s">
        <v>10805</v>
      </c>
      <c r="CM9" t="s">
        <v>3251</v>
      </c>
      <c r="CR9" t="s">
        <v>12894</v>
      </c>
      <c r="CW9" t="s">
        <v>12263</v>
      </c>
      <c r="DB9" t="s">
        <v>10795</v>
      </c>
      <c r="DQ9" t="s">
        <v>12522</v>
      </c>
      <c r="DV9" t="s">
        <v>13248</v>
      </c>
      <c r="EK9" t="s">
        <v>10817</v>
      </c>
      <c r="EP9" t="s">
        <v>10657</v>
      </c>
      <c r="FE9" t="s">
        <v>11910</v>
      </c>
      <c r="FJ9" t="s">
        <v>6473</v>
      </c>
      <c r="FY9" t="s">
        <v>10738</v>
      </c>
      <c r="GD9" t="s">
        <v>42</v>
      </c>
      <c r="GI9" t="s">
        <v>162</v>
      </c>
      <c r="HC9" t="s">
        <v>3251</v>
      </c>
      <c r="HH9" t="s">
        <v>12894</v>
      </c>
      <c r="HM9" t="s">
        <v>58</v>
      </c>
      <c r="HR9" t="s">
        <v>6473</v>
      </c>
      <c r="HW9" t="s">
        <v>12118</v>
      </c>
      <c r="IB9" t="s">
        <v>156</v>
      </c>
      <c r="IG9" t="s">
        <v>56</v>
      </c>
      <c r="IQ9" t="s">
        <v>12857</v>
      </c>
      <c r="IV9" t="s">
        <v>12858</v>
      </c>
      <c r="JK9" t="s">
        <v>13207</v>
      </c>
      <c r="JP9" t="s">
        <v>12640</v>
      </c>
      <c r="JU9" t="s">
        <v>12263</v>
      </c>
      <c r="JZ9" t="s">
        <v>10795</v>
      </c>
      <c r="KE9" t="s">
        <v>12946</v>
      </c>
      <c r="KJ9" t="s">
        <v>11441</v>
      </c>
      <c r="KO9" t="s">
        <v>11854</v>
      </c>
      <c r="KT9" t="s">
        <v>11114</v>
      </c>
      <c r="LI9" t="s">
        <v>10855</v>
      </c>
      <c r="LN9" t="s">
        <v>6969</v>
      </c>
      <c r="MC9" t="s">
        <v>12631</v>
      </c>
      <c r="MH9" t="s">
        <v>12176</v>
      </c>
      <c r="MW9" t="s">
        <v>4898</v>
      </c>
      <c r="NB9" t="s">
        <v>10688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627</v>
      </c>
      <c r="K1" s="1" t="s">
        <v>628</v>
      </c>
      <c r="U1" s="1" t="s">
        <v>629</v>
      </c>
      <c r="AE1" s="1" t="s">
        <v>630</v>
      </c>
      <c r="AO1" s="1" t="s">
        <v>631</v>
      </c>
      <c r="AY1" s="1" t="s">
        <v>632</v>
      </c>
      <c r="BI1" s="1" t="s">
        <v>633</v>
      </c>
      <c r="BS1" s="1" t="s">
        <v>634</v>
      </c>
      <c r="CC1" s="1" t="s">
        <v>635</v>
      </c>
      <c r="CM1" s="1" t="s">
        <v>636</v>
      </c>
      <c r="CW1" s="1" t="s">
        <v>637</v>
      </c>
      <c r="DG1" s="1" t="s">
        <v>638</v>
      </c>
      <c r="DQ1" s="1" t="s">
        <v>639</v>
      </c>
      <c r="EA1" s="1" t="s">
        <v>640</v>
      </c>
      <c r="EK1" s="1" t="s">
        <v>641</v>
      </c>
      <c r="EU1" s="1" t="s">
        <v>642</v>
      </c>
      <c r="FE1" s="1" t="s">
        <v>643</v>
      </c>
      <c r="FO1" s="1" t="s">
        <v>644</v>
      </c>
      <c r="FY1" s="1" t="s">
        <v>645</v>
      </c>
      <c r="GI1" s="1" t="s">
        <v>646</v>
      </c>
      <c r="GS1" s="1" t="s">
        <v>647</v>
      </c>
      <c r="HC1" s="1" t="s">
        <v>648</v>
      </c>
      <c r="HM1" s="1" t="s">
        <v>649</v>
      </c>
      <c r="HW1" s="1" t="s">
        <v>650</v>
      </c>
      <c r="IG1" s="1" t="s">
        <v>651</v>
      </c>
      <c r="IQ1" s="1" t="s">
        <v>652</v>
      </c>
      <c r="JA1" s="1" t="s">
        <v>653</v>
      </c>
      <c r="JK1" s="1" t="s">
        <v>654</v>
      </c>
      <c r="JU1" s="1" t="s">
        <v>655</v>
      </c>
      <c r="KE1" s="1" t="s">
        <v>656</v>
      </c>
      <c r="KO1" s="1" t="s">
        <v>657</v>
      </c>
      <c r="KY1" s="1" t="s">
        <v>658</v>
      </c>
      <c r="LI1" s="1" t="s">
        <v>659</v>
      </c>
      <c r="LS1" s="1" t="s">
        <v>660</v>
      </c>
      <c r="MC1" s="1" t="s">
        <v>661</v>
      </c>
      <c r="MM1" s="1" t="s">
        <v>662</v>
      </c>
      <c r="MW1" s="1" t="s">
        <v>663</v>
      </c>
      <c r="NG1" s="1" t="s">
        <v>664</v>
      </c>
      <c r="NQ1" s="1" t="s">
        <v>665</v>
      </c>
      <c r="OA1" s="1" t="s">
        <v>666</v>
      </c>
    </row>
    <row r="2" spans="1:396" x14ac:dyDescent="0.25">
      <c r="A2" s="2" t="s">
        <v>667</v>
      </c>
      <c r="K2" s="2" t="s">
        <v>668</v>
      </c>
      <c r="U2" s="2" t="s">
        <v>669</v>
      </c>
      <c r="AE2" s="2" t="s">
        <v>670</v>
      </c>
      <c r="AO2" s="2" t="s">
        <v>671</v>
      </c>
      <c r="AY2" s="2" t="s">
        <v>672</v>
      </c>
      <c r="BI2" s="2" t="s">
        <v>390</v>
      </c>
      <c r="BS2" s="2" t="s">
        <v>56</v>
      </c>
      <c r="CC2" s="2" t="s">
        <v>673</v>
      </c>
      <c r="CM2" s="2" t="s">
        <v>158</v>
      </c>
      <c r="CW2" s="2" t="s">
        <v>572</v>
      </c>
      <c r="DG2" s="2" t="s">
        <v>674</v>
      </c>
      <c r="DQ2" s="2" t="s">
        <v>675</v>
      </c>
      <c r="EA2" s="2" t="s">
        <v>158</v>
      </c>
      <c r="EK2" s="2" t="s">
        <v>64</v>
      </c>
      <c r="EU2" s="2" t="s">
        <v>676</v>
      </c>
      <c r="FE2" s="2" t="s">
        <v>677</v>
      </c>
      <c r="FO2" s="2" t="s">
        <v>678</v>
      </c>
      <c r="FY2" s="2" t="s">
        <v>679</v>
      </c>
      <c r="GI2" s="2" t="s">
        <v>680</v>
      </c>
      <c r="GS2" s="2" t="s">
        <v>681</v>
      </c>
      <c r="HC2" s="2" t="s">
        <v>682</v>
      </c>
      <c r="HM2" s="2" t="s">
        <v>64</v>
      </c>
      <c r="HW2" s="2" t="s">
        <v>171</v>
      </c>
      <c r="IG2" s="2" t="s">
        <v>683</v>
      </c>
      <c r="IQ2" s="2" t="s">
        <v>684</v>
      </c>
      <c r="JA2" s="2" t="s">
        <v>386</v>
      </c>
      <c r="JK2" s="2" t="s">
        <v>685</v>
      </c>
      <c r="JU2" s="2" t="s">
        <v>686</v>
      </c>
      <c r="KE2" s="2" t="s">
        <v>382</v>
      </c>
      <c r="KO2" s="2" t="s">
        <v>171</v>
      </c>
      <c r="KY2" s="2" t="s">
        <v>687</v>
      </c>
      <c r="LI2" s="2" t="s">
        <v>688</v>
      </c>
      <c r="LS2" s="2" t="s">
        <v>65</v>
      </c>
      <c r="MC2" s="2" t="s">
        <v>689</v>
      </c>
      <c r="MM2" s="2" t="s">
        <v>690</v>
      </c>
      <c r="MW2" s="2" t="s">
        <v>691</v>
      </c>
      <c r="NG2" s="2" t="s">
        <v>692</v>
      </c>
      <c r="NQ2" s="2" t="s">
        <v>64</v>
      </c>
      <c r="OA2" s="2" t="s">
        <v>693</v>
      </c>
    </row>
    <row r="3" spans="1:396" x14ac:dyDescent="0.25">
      <c r="A3" t="s">
        <v>694</v>
      </c>
      <c r="K3" t="s">
        <v>695</v>
      </c>
      <c r="U3" t="s">
        <v>696</v>
      </c>
      <c r="AE3" t="s">
        <v>519</v>
      </c>
      <c r="AO3" t="s">
        <v>697</v>
      </c>
      <c r="AY3" t="s">
        <v>698</v>
      </c>
      <c r="BI3" t="s">
        <v>699</v>
      </c>
      <c r="BS3" t="s">
        <v>700</v>
      </c>
      <c r="CC3" t="s">
        <v>601</v>
      </c>
      <c r="CM3" t="s">
        <v>701</v>
      </c>
      <c r="CW3" t="s">
        <v>702</v>
      </c>
      <c r="DG3" t="s">
        <v>703</v>
      </c>
      <c r="DQ3" t="s">
        <v>704</v>
      </c>
      <c r="EA3" t="s">
        <v>705</v>
      </c>
      <c r="EK3" t="s">
        <v>706</v>
      </c>
      <c r="EU3" t="s">
        <v>707</v>
      </c>
      <c r="FE3" t="s">
        <v>708</v>
      </c>
      <c r="FO3" t="s">
        <v>709</v>
      </c>
      <c r="FY3" t="s">
        <v>710</v>
      </c>
      <c r="GI3" t="s">
        <v>711</v>
      </c>
      <c r="GS3" t="s">
        <v>712</v>
      </c>
      <c r="HC3" t="s">
        <v>713</v>
      </c>
      <c r="HM3" t="s">
        <v>714</v>
      </c>
      <c r="HW3" t="s">
        <v>715</v>
      </c>
      <c r="IG3" t="s">
        <v>716</v>
      </c>
      <c r="IQ3" t="s">
        <v>717</v>
      </c>
      <c r="JA3" t="s">
        <v>718</v>
      </c>
      <c r="JK3" t="s">
        <v>719</v>
      </c>
      <c r="JU3" t="s">
        <v>402</v>
      </c>
      <c r="KE3" t="s">
        <v>720</v>
      </c>
      <c r="KO3" t="s">
        <v>721</v>
      </c>
      <c r="KY3" t="s">
        <v>722</v>
      </c>
      <c r="LI3" t="s">
        <v>723</v>
      </c>
      <c r="LS3" t="s">
        <v>724</v>
      </c>
      <c r="MC3" t="s">
        <v>725</v>
      </c>
      <c r="MM3" t="s">
        <v>726</v>
      </c>
      <c r="MW3" t="s">
        <v>727</v>
      </c>
      <c r="NG3" t="s">
        <v>728</v>
      </c>
      <c r="NQ3" t="s">
        <v>729</v>
      </c>
      <c r="OA3" t="s">
        <v>730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_xll.BDS("GD US Equity","SUPPLY_CHAIN_SUPPLIERS","RELATIONSHIP_AS_OF_DATE","20180212","cols=1;rows=5")</f>
        <v>RTX US Equity</v>
      </c>
      <c r="F5" t="str">
        <f>_xll.BDS("GD US Equity","SUPPLY_CHAIN_CUSTOMERS","RELATIONSHIP_AS_OF_DATE","20180212","cols=1;rows=5")</f>
        <v>3352Z US Equity</v>
      </c>
      <c r="K5" t="str">
        <f>_xll.BDS("CME US Equity","SUPPLY_CHAIN_SUPPLIERS","RELATIONSHIP_AS_OF_DATE","20061017","cols=1;rows=2")</f>
        <v>BUC LN Equity</v>
      </c>
      <c r="P5" t="str">
        <f>_xll.BDS("CME US Equity","SUPPLY_CHAIN_CUSTOMERS","RELATIONSHIP_AS_OF_DATE","20061017","cols=1;rows=2")</f>
        <v>8284 TT Equity</v>
      </c>
      <c r="U5" t="str">
        <f>_xll.BDS("MSI US Equity","SUPPLY_CHAIN_SUPPLIERS","RELATIONSHIP_AS_OF_DATE","19990915","cols=1;rows=5")</f>
        <v>SANM US Equity</v>
      </c>
      <c r="Z5" t="str">
        <f>_xll.BDS("MSI US Equity","SUPPLY_CHAIN_CUSTOMERS","RELATIONSHIP_AS_OF_DATE","19990915","cols=1;rows=5")</f>
        <v>3352Z US Equity</v>
      </c>
      <c r="AE5" t="str">
        <f>_xll.BDS("AMT US Equity","SUPPLY_CHAIN_SUPPLIERS","RELATIONSHIP_AS_OF_DATE","20211115","cols=1;rows=5")</f>
        <v>ORCL US Equity</v>
      </c>
      <c r="AJ5" t="str">
        <f>_xll.BDS("AMT US Equity","SUPPLY_CHAIN_CUSTOMERS","RELATIONSHIP_AS_OF_DATE","20211115","cols=1;rows=5")</f>
        <v>TMUS US Equity</v>
      </c>
      <c r="AO5" t="str">
        <f>_xll.BDS("HET US Equity","SUPPLY_CHAIN_SUPPLIERS","RELATIONSHIP_AS_OF_DATE","20040715")</f>
        <v>#N/A N/A</v>
      </c>
      <c r="AT5" t="str">
        <f>_xll.BDS("HET US Equity","SUPPLY_CHAIN_CUSTOMERS","RELATIONSHIP_AS_OF_DATE","20040715")</f>
        <v>#N/A N/A</v>
      </c>
      <c r="AY5" t="str">
        <f>_xll.BDS("WES US Equity","SUPPLY_CHAIN_SUPPLIERS","RELATIONSHIP_AS_OF_DATE","20181108","cols=1;rows=5")</f>
        <v>AROC US Equity</v>
      </c>
      <c r="BD5" t="str">
        <f>_xll.BDS("WES US Equity","SUPPLY_CHAIN_CUSTOMERS","RELATIONSHIP_AS_OF_DATE","20181108","cols=1;rows=5")</f>
        <v>PSX US Equity</v>
      </c>
      <c r="BI5" t="str">
        <f>_xll.BDS("GEN US Equity","SUPPLY_CHAIN_SUPPLIERS","RELATIONSHIP_AS_OF_DATE","20210810","cols=1;rows=5")</f>
        <v>354 HK Equity</v>
      </c>
      <c r="BN5" t="str">
        <f>_xll.BDS("GEN US Equity","SUPPLY_CHAIN_CUSTOMERS","RELATIONSHIP_AS_OF_DATE","20210810","cols=1;rows=5")</f>
        <v>BABA US Equity</v>
      </c>
      <c r="BS5" t="str">
        <f>_xll.BDS("ET US Equity","SUPPLY_CHAIN_SUPPLIERS","RELATIONSHIP_AS_OF_DATE","20110616","cols=1;rows=5")</f>
        <v>CNR CN Equity</v>
      </c>
      <c r="BX5" t="str">
        <f>_xll.BDS("ET US Equity","SUPPLY_CHAIN_CUSTOMERS","RELATIONSHIP_AS_OF_DATE","20110616","cols=1;rows=5")</f>
        <v>384 HK Equity</v>
      </c>
      <c r="CC5" t="str">
        <f>_xll.BDS("LEN US Equity","SUPPLY_CHAIN_SUPPLIERS","RELATIONSHIP_AS_OF_DATE","20171030","cols=1;rows=5")</f>
        <v>WLK US Equity</v>
      </c>
      <c r="CH5" t="str">
        <f>_xll.BDS("LEN US Equity","SUPPLY_CHAIN_CUSTOMERS","RELATIONSHIP_AS_OF_DATE","20171030")</f>
        <v>#N/A N/A</v>
      </c>
      <c r="CM5" t="str">
        <f>_xll.BDS("BRK/A US Equity","SUPPLY_CHAIN_SUPPLIERS","RELATIONSHIP_AS_OF_DATE","20110314","cols=1;rows=5")</f>
        <v>HSY US Equity</v>
      </c>
      <c r="CR5" t="str">
        <f>_xll.BDS("BRK/A US Equity","SUPPLY_CHAIN_CUSTOMERS","RELATIONSHIP_AS_OF_DATE","20110314","cols=1;rows=5")</f>
        <v>WMT US Equity</v>
      </c>
      <c r="CW5" t="str">
        <f>_xll.BDS("FE US Equity","SUPPLY_CHAIN_SUPPLIERS","RELATIONSHIP_AS_OF_DATE","20100211","cols=1;rows=5")</f>
        <v>PWR US Equity</v>
      </c>
      <c r="DB5" t="str">
        <f>_xll.BDS("FE US Equity","SUPPLY_CHAIN_CUSTOMERS","RELATIONSHIP_AS_OF_DATE","20100211","cols=1;rows=5")</f>
        <v>0058754D US Equity</v>
      </c>
      <c r="DG5" t="str">
        <f>_xll.BDS("CXO US Equity","SUPPLY_CHAIN_SUPPLIERS","RELATIONSHIP_AS_OF_DATE","20180328")</f>
        <v>#N/A N/A</v>
      </c>
      <c r="DL5" t="str">
        <f>_xll.BDS("CXO US Equity","SUPPLY_CHAIN_CUSTOMERS","RELATIONSHIP_AS_OF_DATE","20180328")</f>
        <v>#N/A N/A</v>
      </c>
      <c r="DQ5" t="str">
        <f>_xll.BDS("FANG US Equity","SUPPLY_CHAIN_SUPPLIERS","RELATIONSHIP_AS_OF_DATE","20180814","cols=1;rows=5")</f>
        <v>TEN IM Equity</v>
      </c>
      <c r="DV5" t="str">
        <f>_xll.BDS("FANG US Equity","SUPPLY_CHAIN_CUSTOMERS","RELATIONSHIP_AS_OF_DATE","20180814","cols=1;rows=4")</f>
        <v>9888092Z US Equity</v>
      </c>
      <c r="EA5" t="str">
        <f>_xll.BDS("BRK/A US Equity","SUPPLY_CHAIN_SUPPLIERS","RELATIONSHIP_AS_OF_DATE","19991025","cols=1;rows=5")</f>
        <v>HSY US Equity</v>
      </c>
      <c r="EF5" t="str">
        <f>_xll.BDS("BRK/A US Equity","SUPPLY_CHAIN_CUSTOMERS","RELATIONSHIP_AS_OF_DATE","19991025","cols=1;rows=5")</f>
        <v>WMT US Equity</v>
      </c>
      <c r="EK5" t="str">
        <f>_xll.BDS("nan Equity","SUPPLY_CHAIN_SUPPLIERS","RELATIONSHIP_AS_OF_DATE","20190701")</f>
        <v>#N/A N/A</v>
      </c>
      <c r="EP5" t="str">
        <f>_xll.BDS("nan Equity","SUPPLY_CHAIN_CUSTOMERS","RELATIONSHIP_AS_OF_DATE","20190701")</f>
        <v>#N/A N/A</v>
      </c>
      <c r="EU5" t="str">
        <f>_xll.BDS("2370058D US Equity","SUPPLY_CHAIN_SUPPLIERS","RELATIONSHIP_AS_OF_DATE","19980720")</f>
        <v>#N/A N/A</v>
      </c>
      <c r="EZ5" t="str">
        <f>_xll.BDS("2370058D US Equity","SUPPLY_CHAIN_CUSTOMERS","RELATIONSHIP_AS_OF_DATE","19980720")</f>
        <v>#N/A N/A</v>
      </c>
      <c r="FE5" t="str">
        <f>_xll.BDS("DLTR US Equity","SUPPLY_CHAIN_SUPPLIERS","RELATIONSHIP_AS_OF_DATE","20140728","cols=1;rows=5")</f>
        <v>PG US Equity</v>
      </c>
      <c r="FJ5" t="str">
        <f>_xll.BDS("DLTR US Equity","SUPPLY_CHAIN_CUSTOMERS","RELATIONSHIP_AS_OF_DATE","20140728","cols=1;rows=2")</f>
        <v>CART US Equity</v>
      </c>
      <c r="FO5" t="str">
        <f>_xll.BDS("WEC US Equity","SUPPLY_CHAIN_SUPPLIERS","RELATIONSHIP_AS_OF_DATE","20140623","cols=1;rows=5")</f>
        <v>LNT US Equity</v>
      </c>
      <c r="FT5" t="str">
        <f>_xll.BDS("WEC US Equity","SUPPLY_CHAIN_CUSTOMERS","RELATIONSHIP_AS_OF_DATE","20140623","cols=1;rows=5")</f>
        <v>LNT US Equity</v>
      </c>
      <c r="FY5" t="str">
        <f>_xll.BDS("EPD US Equity","SUPPLY_CHAIN_SUPPLIERS","RELATIONSHIP_AS_OF_DATE","20100907","cols=1;rows=5")</f>
        <v>MTDR US Equity</v>
      </c>
      <c r="GD5" t="str">
        <f>_xll.BDS("EPD US Equity","SUPPLY_CHAIN_CUSTOMERS","RELATIONSHIP_AS_OF_DATE","20100907","cols=1;rows=5")</f>
        <v>62647Z LN Equity</v>
      </c>
      <c r="GI5" t="str">
        <f>_xll.BDS("CTRA US Equity","SUPPLY_CHAIN_SUPPLIERS","RELATIONSHIP_AS_OF_DATE","20210524","cols=1;rows=5")</f>
        <v>AROC US Equity</v>
      </c>
      <c r="GN5" t="str">
        <f>_xll.BDS("CTRA US Equity","SUPPLY_CHAIN_CUSTOMERS","RELATIONSHIP_AS_OF_DATE","20210524")</f>
        <v>CNA LN Equity</v>
      </c>
      <c r="GS5" t="str">
        <f>_xll.BDS("MRVL US Equity","SUPPLY_CHAIN_SUPPLIERS","RELATIONSHIP_AS_OF_DATE","20201029","cols=1;rows=5")</f>
        <v>2330 TT Equity</v>
      </c>
      <c r="GX5" t="str">
        <f>_xll.BDS("MRVL US Equity","SUPPLY_CHAIN_CUSTOMERS","RELATIONSHIP_AS_OF_DATE","20201029","cols=1;rows=5")</f>
        <v>3036 TT Equity</v>
      </c>
      <c r="HC5" t="str">
        <f>_xll.BDS("EVRG US Equity","SUPPLY_CHAIN_SUPPLIERS","RELATIONSHIP_AS_OF_DATE","20160531","cols=1;rows=5")</f>
        <v>PWR US Equity</v>
      </c>
      <c r="HH5" t="str">
        <f>_xll.BDS("EVRG US Equity","SUPPLY_CHAIN_CUSTOMERS","RELATIONSHIP_AS_OF_DATE","20160531","cols=1;rows=5")</f>
        <v>LNN US Equity</v>
      </c>
      <c r="HM5" t="str">
        <f>_xll.BDS("nan Equity","SUPPLY_CHAIN_SUPPLIERS","RELATIONSHIP_AS_OF_DATE","20061217")</f>
        <v>#N/A N/A</v>
      </c>
      <c r="HR5" t="str">
        <f>_xll.BDS("nan Equity","SUPPLY_CHAIN_CUSTOMERS","RELATIONSHIP_AS_OF_DATE","20061217")</f>
        <v>#N/A N/A</v>
      </c>
      <c r="HW5" t="str">
        <f>_xll.BDS("ORCL US Equity","SUPPLY_CHAIN_SUPPLIERS","RELATIONSHIP_AS_OF_DATE","20160728","cols=1;rows=5")</f>
        <v>NVDA US Equity</v>
      </c>
      <c r="IB5" t="str">
        <f>_xll.BDS("ORCL US Equity","SUPPLY_CHAIN_CUSTOMERS","RELATIONSHIP_AS_OF_DATE","20160728","cols=1;rows=5")</f>
        <v>ACN US Equity</v>
      </c>
      <c r="IG5" t="str">
        <f>_xll.BDS("45950Q US Equity","SUPPLY_CHAIN_SUPPLIERS","RELATIONSHIP_AS_OF_DATE","19990527")</f>
        <v>#N/A N/A</v>
      </c>
      <c r="IL5" t="str">
        <f>_xll.BDS("45950Q US Equity","SUPPLY_CHAIN_CUSTOMERS","RELATIONSHIP_AS_OF_DATE","19990527")</f>
        <v>#N/A N/A</v>
      </c>
      <c r="IQ5" t="str">
        <f>_xll.BDS("CAT US Equity","SUPPLY_CHAIN_SUPPLIERS","RELATIONSHIP_AS_OF_DATE","20101115","cols=1;rows=5")</f>
        <v>SHA0 GR Equity</v>
      </c>
      <c r="IV5" t="str">
        <f>_xll.BDS("CAT US Equity","SUPPLY_CHAIN_CUSTOMERS","RELATIONSHIP_AS_OF_DATE","20101115","cols=1;rows=5")</f>
        <v>XOM US Equity</v>
      </c>
      <c r="JA5" t="str">
        <f>_xll.BDS("WAMUQ US Equity","SUPPLY_CHAIN_SUPPLIERS","RELATIONSHIP_AS_OF_DATE","19980317")</f>
        <v>#N/A N/A</v>
      </c>
      <c r="JF5" t="str">
        <f>_xll.BDS("WAMUQ US Equity","SUPPLY_CHAIN_CUSTOMERS","RELATIONSHIP_AS_OF_DATE","19980317")</f>
        <v>#N/A N/A</v>
      </c>
      <c r="JK5" t="str">
        <f>_xll.BDS("AMGN US Equity","SUPPLY_CHAIN_SUPPLIERS","RELATIONSHIP_AS_OF_DATE","20130630","cols=1;rows=5")</f>
        <v>AZN LN Equity</v>
      </c>
      <c r="JP5" t="str">
        <f>_xll.BDS("AMGN US Equity","SUPPLY_CHAIN_CUSTOMERS","RELATIONSHIP_AS_OF_DATE","20130630","cols=1;rows=5")</f>
        <v>MCK US Equity</v>
      </c>
      <c r="JU5" t="str">
        <f>_xll.BDS("NI US Equity","SUPPLY_CHAIN_SUPPLIERS","RELATIONSHIP_AS_OF_DATE","19990607","cols=1;rows=5")</f>
        <v>PWR US Equity</v>
      </c>
      <c r="JZ5" t="str">
        <f>_xll.BDS("NI US Equity","SUPPLY_CHAIN_CUSTOMERS","RELATIONSHIP_AS_OF_DATE","19990607","cols=1;rows=5")</f>
        <v>000039 CH Equity</v>
      </c>
      <c r="KE5" t="str">
        <f>_xll.BDS("D US Equity","SUPPLY_CHAIN_SUPPLIERS","RELATIONSHIP_AS_OF_DATE","19990222","cols=1;rows=5")</f>
        <v>PWR US Equity</v>
      </c>
      <c r="KJ5" t="str">
        <f>_xll.BDS("D US Equity","SUPPLY_CHAIN_CUSTOMERS","RELATIONSHIP_AS_OF_DATE","19990222","cols=1;rows=5")</f>
        <v>000039 CH Equity</v>
      </c>
      <c r="KO5" t="str">
        <f>_xll.BDS("ORCL US Equity","SUPPLY_CHAIN_SUPPLIERS","RELATIONSHIP_AS_OF_DATE","20030606","cols=1;rows=5")</f>
        <v>NVDA US Equity</v>
      </c>
      <c r="KT5" t="str">
        <f>_xll.BDS("ORCL US Equity","SUPPLY_CHAIN_CUSTOMERS","RELATIONSHIP_AS_OF_DATE","20030606","cols=1;rows=5")</f>
        <v>ACN US Equity</v>
      </c>
      <c r="KY5" t="str">
        <f>_xll.BDS("TSN US Equity","SUPPLY_CHAIN_SUPPLIERS","RELATIONSHIP_AS_OF_DATE","20140529","cols=1;rows=5")</f>
        <v>AMCR US Equity</v>
      </c>
      <c r="LD5" t="str">
        <f>_xll.BDS("TSN US Equity","SUPPLY_CHAIN_CUSTOMERS","RELATIONSHIP_AS_OF_DATE","20140529","cols=1;rows=5")</f>
        <v>WMT US Equity</v>
      </c>
      <c r="LI5" t="str">
        <f>_xll.BDS("ANRZQ US Equity","SUPPLY_CHAIN_SUPPLIERS","RELATIONSHIP_AS_OF_DATE","20110129")</f>
        <v>#N/A N/A</v>
      </c>
      <c r="LN5" t="str">
        <f>_xll.BDS("ANRZQ US Equity","SUPPLY_CHAIN_CUSTOMERS","RELATIONSHIP_AS_OF_DATE","20110129")</f>
        <v>#N/A N/A</v>
      </c>
      <c r="LS5" t="str">
        <f>_xll.BDS("MRK US Equity","SUPPLY_CHAIN_SUPPLIERS","RELATIONSHIP_AS_OF_DATE","20141208","cols=1;rows=5")</f>
        <v>AZN LN Equity</v>
      </c>
      <c r="LX5" t="str">
        <f>_xll.BDS("MRK US Equity","SUPPLY_CHAIN_CUSTOMERS","RELATIONSHIP_AS_OF_DATE","20141208","cols=1;rows=5")</f>
        <v>COR US Equity</v>
      </c>
      <c r="MC5" t="str">
        <f>_xll.BDS("WTW US Equity","SUPPLY_CHAIN_SUPPLIERS","RELATIONSHIP_AS_OF_DATE","20150630","cols=1;rows=5")</f>
        <v>1972 HK Equity</v>
      </c>
      <c r="MH5" t="str">
        <f>_xll.BDS("WTW US Equity","SUPPLY_CHAIN_CUSTOMERS","RELATIONSHIP_AS_OF_DATE","20150630","cols=1;rows=3")</f>
        <v>600626 CH Equity</v>
      </c>
      <c r="MM5" t="str">
        <f>_xll.BDS("HAL US Equity","SUPPLY_CHAIN_SUPPLIERS","RELATIONSHIP_AS_OF_DATE","19980226","cols=1;rows=5")</f>
        <v>KEMIRA FH Equity</v>
      </c>
      <c r="MR5" t="str">
        <f>_xll.BDS("HAL US Equity","SUPPLY_CHAIN_CUSTOMERS","RELATIONSHIP_AS_OF_DATE","19980226","cols=1;rows=5")</f>
        <v>0318891D GR Equity</v>
      </c>
      <c r="MW5" t="str">
        <f>_xll.BDS("BN CN Equity","SUPPLY_CHAIN_SUPPLIERS","RELATIONSHIP_AS_OF_DATE","20220407","cols=1;rows=5")</f>
        <v>PRIME SP Equity</v>
      </c>
      <c r="NB5" t="str">
        <f>_xll.BDS("BN CN Equity","SUPPLY_CHAIN_CUSTOMERS","RELATIONSHIP_AS_OF_DATE","20220407","cols=1;rows=5")</f>
        <v>ITX SM Equity</v>
      </c>
      <c r="NG5" t="str">
        <f>_xll.BDS("2727195Q US Equity","SUPPLY_CHAIN_SUPPLIERS","RELATIONSHIP_AS_OF_DATE","19980407")</f>
        <v>#N/A N/A</v>
      </c>
      <c r="NL5" t="str">
        <f>_xll.BDS("2727195Q US Equity","SUPPLY_CHAIN_CUSTOMERS","RELATIONSHIP_AS_OF_DATE","19980407")</f>
        <v>#N/A N/A</v>
      </c>
      <c r="NQ5" t="str">
        <f>_xll.BDS("nan Equity","SUPPLY_CHAIN_SUPPLIERS","RELATIONSHIP_AS_OF_DATE","20050317")</f>
        <v>#N/A N/A</v>
      </c>
      <c r="NV5" t="str">
        <f>_xll.BDS("nan Equity","SUPPLY_CHAIN_CUSTOMERS","RELATIONSHIP_AS_OF_DATE","20050317")</f>
        <v>#N/A N/A</v>
      </c>
      <c r="OA5" t="str">
        <f>_xll.BDS("CNP US Equity","SUPPLY_CHAIN_SUPPLIERS","RELATIONSHIP_AS_OF_DATE","20180423","cols=1;rows=5")</f>
        <v>PWR US Equity</v>
      </c>
      <c r="OF5" t="str">
        <f>_xll.BDS("CNP US Equity","SUPPLY_CHAIN_CUSTOMERS","RELATIONSHIP_AS_OF_DATE","20180423","cols=1;rows=5")</f>
        <v>NRG US Equity</v>
      </c>
    </row>
    <row r="6" spans="1:396" x14ac:dyDescent="0.25">
      <c r="A6" t="s">
        <v>11007</v>
      </c>
      <c r="F6" t="s">
        <v>11193</v>
      </c>
      <c r="K6" t="s">
        <v>5755</v>
      </c>
      <c r="P6" t="s">
        <v>2881</v>
      </c>
      <c r="U6" t="s">
        <v>10734</v>
      </c>
      <c r="Z6" t="s">
        <v>2881</v>
      </c>
      <c r="AE6" t="s">
        <v>12746</v>
      </c>
      <c r="AJ6" t="s">
        <v>41</v>
      </c>
      <c r="AY6" t="s">
        <v>11312</v>
      </c>
      <c r="BD6" t="s">
        <v>2871</v>
      </c>
      <c r="BI6" t="s">
        <v>5409</v>
      </c>
      <c r="BN6" t="s">
        <v>2881</v>
      </c>
      <c r="BS6" t="s">
        <v>684</v>
      </c>
      <c r="BX6" t="s">
        <v>68</v>
      </c>
      <c r="CC6" t="s">
        <v>6073</v>
      </c>
      <c r="CM6" t="s">
        <v>2792</v>
      </c>
      <c r="CR6" t="s">
        <v>10677</v>
      </c>
      <c r="CW6" t="s">
        <v>3251</v>
      </c>
      <c r="DB6" t="s">
        <v>13231</v>
      </c>
      <c r="DQ6" t="s">
        <v>4211</v>
      </c>
      <c r="DV6" t="s">
        <v>12550</v>
      </c>
      <c r="EA6" t="s">
        <v>2792</v>
      </c>
      <c r="EF6" t="s">
        <v>10677</v>
      </c>
      <c r="FE6" t="s">
        <v>378</v>
      </c>
      <c r="FJ6" t="s">
        <v>12006</v>
      </c>
      <c r="FO6" t="s">
        <v>12642</v>
      </c>
      <c r="FT6" t="s">
        <v>12640</v>
      </c>
      <c r="FY6" t="s">
        <v>7384</v>
      </c>
      <c r="GD6" t="s">
        <v>2219</v>
      </c>
      <c r="GI6" t="s">
        <v>11464</v>
      </c>
      <c r="GS6" t="s">
        <v>10859</v>
      </c>
      <c r="GX6" t="s">
        <v>469</v>
      </c>
      <c r="HC6" t="s">
        <v>10738</v>
      </c>
      <c r="HH6" t="s">
        <v>9159</v>
      </c>
      <c r="HW6" t="s">
        <v>162</v>
      </c>
      <c r="IB6" t="s">
        <v>469</v>
      </c>
      <c r="IQ6" t="s">
        <v>11760</v>
      </c>
      <c r="IV6" t="s">
        <v>12685</v>
      </c>
      <c r="JK6" t="s">
        <v>10817</v>
      </c>
      <c r="JP6" t="s">
        <v>1468</v>
      </c>
      <c r="JU6" t="s">
        <v>13175</v>
      </c>
      <c r="JZ6" t="s">
        <v>11753</v>
      </c>
      <c r="KE6" t="s">
        <v>3251</v>
      </c>
      <c r="KJ6" t="s">
        <v>11751</v>
      </c>
      <c r="KO6" t="s">
        <v>162</v>
      </c>
      <c r="KT6" t="s">
        <v>469</v>
      </c>
      <c r="KY6" t="s">
        <v>171</v>
      </c>
      <c r="LD6" t="s">
        <v>5983</v>
      </c>
      <c r="LS6" t="s">
        <v>368</v>
      </c>
      <c r="LX6" t="s">
        <v>385</v>
      </c>
      <c r="MC6" t="s">
        <v>11260</v>
      </c>
      <c r="MH6" t="s">
        <v>13285</v>
      </c>
      <c r="MM6" t="s">
        <v>11858</v>
      </c>
      <c r="MR6" t="s">
        <v>11813</v>
      </c>
      <c r="MW6" t="s">
        <v>11055</v>
      </c>
      <c r="NB6" t="s">
        <v>11921</v>
      </c>
      <c r="OA6" t="s">
        <v>7384</v>
      </c>
      <c r="OF6" t="s">
        <v>574</v>
      </c>
    </row>
    <row r="7" spans="1:396" x14ac:dyDescent="0.25">
      <c r="A7" t="s">
        <v>11756</v>
      </c>
      <c r="F7" t="s">
        <v>11955</v>
      </c>
      <c r="U7" t="s">
        <v>10858</v>
      </c>
      <c r="Z7" t="s">
        <v>4139</v>
      </c>
      <c r="AE7" t="s">
        <v>12747</v>
      </c>
      <c r="AJ7" t="s">
        <v>49</v>
      </c>
      <c r="AY7" t="s">
        <v>12118</v>
      </c>
      <c r="BD7" t="s">
        <v>12892</v>
      </c>
      <c r="BI7" t="s">
        <v>10981</v>
      </c>
      <c r="BN7" t="s">
        <v>4139</v>
      </c>
      <c r="BS7" t="s">
        <v>12295</v>
      </c>
      <c r="BX7" t="s">
        <v>6710</v>
      </c>
      <c r="CC7" t="s">
        <v>4307</v>
      </c>
      <c r="CM7" t="s">
        <v>10737</v>
      </c>
      <c r="CR7" t="s">
        <v>4642</v>
      </c>
      <c r="CW7" t="s">
        <v>1265</v>
      </c>
      <c r="DB7" t="s">
        <v>13232</v>
      </c>
      <c r="DQ7" t="s">
        <v>6238</v>
      </c>
      <c r="DV7" t="s">
        <v>11540</v>
      </c>
      <c r="EA7" t="s">
        <v>10737</v>
      </c>
      <c r="EF7" t="s">
        <v>4642</v>
      </c>
      <c r="FE7" t="s">
        <v>11946</v>
      </c>
      <c r="FO7" t="s">
        <v>12979</v>
      </c>
      <c r="FT7" t="s">
        <v>12641</v>
      </c>
      <c r="FY7" t="s">
        <v>3066</v>
      </c>
      <c r="GD7" t="s">
        <v>12240</v>
      </c>
      <c r="GI7" t="s">
        <v>12953</v>
      </c>
      <c r="GS7" t="s">
        <v>11203</v>
      </c>
      <c r="GX7" t="s">
        <v>266</v>
      </c>
      <c r="HC7" t="s">
        <v>12792</v>
      </c>
      <c r="HH7" t="s">
        <v>1376</v>
      </c>
      <c r="HW7" t="s">
        <v>279</v>
      </c>
      <c r="IB7" t="s">
        <v>2881</v>
      </c>
      <c r="IQ7" t="s">
        <v>12713</v>
      </c>
      <c r="IV7" t="s">
        <v>11299</v>
      </c>
      <c r="JK7" t="s">
        <v>10816</v>
      </c>
      <c r="JP7" t="s">
        <v>970</v>
      </c>
      <c r="JU7" t="s">
        <v>6969</v>
      </c>
      <c r="JZ7" t="s">
        <v>13235</v>
      </c>
      <c r="KE7" t="s">
        <v>12791</v>
      </c>
      <c r="KJ7" t="s">
        <v>12455</v>
      </c>
      <c r="KO7" t="s">
        <v>279</v>
      </c>
      <c r="KT7" t="s">
        <v>2881</v>
      </c>
      <c r="KY7" t="s">
        <v>772</v>
      </c>
      <c r="LD7" t="s">
        <v>10805</v>
      </c>
      <c r="LS7" t="s">
        <v>11467</v>
      </c>
      <c r="LX7" t="s">
        <v>970</v>
      </c>
      <c r="MC7" t="s">
        <v>13292</v>
      </c>
      <c r="MH7" t="s">
        <v>10685</v>
      </c>
      <c r="MM7" t="s">
        <v>11464</v>
      </c>
      <c r="MR7" t="s">
        <v>11814</v>
      </c>
      <c r="MW7" t="s">
        <v>11921</v>
      </c>
      <c r="NB7" t="s">
        <v>10658</v>
      </c>
      <c r="OA7" t="s">
        <v>11530</v>
      </c>
      <c r="OF7" t="s">
        <v>11527</v>
      </c>
    </row>
    <row r="8" spans="1:396" x14ac:dyDescent="0.25">
      <c r="A8" t="s">
        <v>1353</v>
      </c>
      <c r="F8" t="s">
        <v>10660</v>
      </c>
      <c r="U8" t="s">
        <v>10859</v>
      </c>
      <c r="Z8" t="s">
        <v>10660</v>
      </c>
      <c r="AE8" t="s">
        <v>12748</v>
      </c>
      <c r="AJ8" t="s">
        <v>12127</v>
      </c>
      <c r="AY8" t="s">
        <v>11645</v>
      </c>
      <c r="BD8" t="s">
        <v>156</v>
      </c>
      <c r="BI8" t="s">
        <v>10982</v>
      </c>
      <c r="BN8" t="s">
        <v>10954</v>
      </c>
      <c r="BS8" t="s">
        <v>11757</v>
      </c>
      <c r="BX8" t="s">
        <v>10740</v>
      </c>
      <c r="CC8" t="s">
        <v>11362</v>
      </c>
      <c r="CM8" t="s">
        <v>4475</v>
      </c>
      <c r="CR8" t="s">
        <v>1363</v>
      </c>
      <c r="CW8" t="s">
        <v>13188</v>
      </c>
      <c r="DB8" t="s">
        <v>13233</v>
      </c>
      <c r="DQ8" t="s">
        <v>11276</v>
      </c>
      <c r="DV8" t="s">
        <v>3697</v>
      </c>
      <c r="EA8" t="s">
        <v>4475</v>
      </c>
      <c r="EF8" t="s">
        <v>1363</v>
      </c>
      <c r="FE8" t="s">
        <v>366</v>
      </c>
      <c r="FO8" t="s">
        <v>12980</v>
      </c>
      <c r="FT8" t="s">
        <v>12642</v>
      </c>
      <c r="FY8" t="s">
        <v>4211</v>
      </c>
      <c r="GD8" t="s">
        <v>11146</v>
      </c>
      <c r="GI8" t="s">
        <v>13141</v>
      </c>
      <c r="GS8" t="s">
        <v>10726</v>
      </c>
      <c r="GX8" t="s">
        <v>2705</v>
      </c>
      <c r="HC8" t="s">
        <v>12947</v>
      </c>
      <c r="HH8" t="s">
        <v>12890</v>
      </c>
      <c r="HW8" t="s">
        <v>10818</v>
      </c>
      <c r="IB8" t="s">
        <v>52</v>
      </c>
      <c r="IQ8" t="s">
        <v>12714</v>
      </c>
      <c r="IV8" t="s">
        <v>11712</v>
      </c>
      <c r="JK8" t="s">
        <v>2785</v>
      </c>
      <c r="JP8" t="s">
        <v>51</v>
      </c>
      <c r="JU8" t="s">
        <v>13205</v>
      </c>
      <c r="JZ8" t="s">
        <v>11173</v>
      </c>
      <c r="KE8" t="s">
        <v>6724</v>
      </c>
      <c r="KJ8" t="s">
        <v>10987</v>
      </c>
      <c r="KO8" t="s">
        <v>10818</v>
      </c>
      <c r="KT8" t="s">
        <v>52</v>
      </c>
      <c r="KY8" t="s">
        <v>13120</v>
      </c>
      <c r="LD8" t="s">
        <v>1849</v>
      </c>
      <c r="LS8" t="s">
        <v>11468</v>
      </c>
      <c r="LX8" t="s">
        <v>43</v>
      </c>
      <c r="MC8" t="s">
        <v>13293</v>
      </c>
      <c r="MM8" t="s">
        <v>11859</v>
      </c>
      <c r="MR8" t="s">
        <v>11815</v>
      </c>
      <c r="MW8" t="s">
        <v>13187</v>
      </c>
      <c r="NB8" t="s">
        <v>13243</v>
      </c>
      <c r="OA8" t="s">
        <v>11531</v>
      </c>
      <c r="OF8" t="s">
        <v>11528</v>
      </c>
    </row>
    <row r="9" spans="1:396" x14ac:dyDescent="0.25">
      <c r="A9" t="s">
        <v>1172</v>
      </c>
      <c r="F9" t="s">
        <v>11956</v>
      </c>
      <c r="U9" t="s">
        <v>10860</v>
      </c>
      <c r="Z9" t="s">
        <v>10808</v>
      </c>
      <c r="AE9" t="s">
        <v>12749</v>
      </c>
      <c r="AJ9" t="s">
        <v>12128</v>
      </c>
      <c r="AY9" t="s">
        <v>60</v>
      </c>
      <c r="BD9" t="s">
        <v>60</v>
      </c>
      <c r="BI9" t="s">
        <v>279</v>
      </c>
      <c r="BN9" t="s">
        <v>10948</v>
      </c>
      <c r="BS9" t="s">
        <v>11449</v>
      </c>
      <c r="BX9" t="s">
        <v>12617</v>
      </c>
      <c r="CC9" t="s">
        <v>11363</v>
      </c>
      <c r="CM9" t="s">
        <v>10738</v>
      </c>
      <c r="CR9" t="s">
        <v>42</v>
      </c>
      <c r="CW9" t="s">
        <v>13189</v>
      </c>
      <c r="DB9" t="s">
        <v>12256</v>
      </c>
      <c r="DQ9" t="s">
        <v>12600</v>
      </c>
      <c r="EA9" t="s">
        <v>10738</v>
      </c>
      <c r="EF9" t="s">
        <v>42</v>
      </c>
      <c r="FE9" t="s">
        <v>11150</v>
      </c>
      <c r="FO9" t="s">
        <v>12981</v>
      </c>
      <c r="FT9" t="s">
        <v>11229</v>
      </c>
      <c r="FY9" t="s">
        <v>485</v>
      </c>
      <c r="GD9" t="s">
        <v>12241</v>
      </c>
      <c r="GI9" t="s">
        <v>13131</v>
      </c>
      <c r="GS9" t="s">
        <v>2683</v>
      </c>
      <c r="GX9" t="s">
        <v>11084</v>
      </c>
      <c r="HC9" t="s">
        <v>12948</v>
      </c>
      <c r="HH9" t="s">
        <v>12891</v>
      </c>
      <c r="HW9" t="s">
        <v>384</v>
      </c>
      <c r="IB9" t="s">
        <v>472</v>
      </c>
      <c r="IQ9" t="s">
        <v>11229</v>
      </c>
      <c r="IV9" t="s">
        <v>12686</v>
      </c>
      <c r="JK9" t="s">
        <v>772</v>
      </c>
      <c r="JP9" t="s">
        <v>12323</v>
      </c>
      <c r="JU9" t="s">
        <v>13206</v>
      </c>
      <c r="JZ9" t="s">
        <v>13236</v>
      </c>
      <c r="KE9" t="s">
        <v>7384</v>
      </c>
      <c r="KJ9" t="s">
        <v>10892</v>
      </c>
      <c r="KO9" t="s">
        <v>384</v>
      </c>
      <c r="KT9" t="s">
        <v>472</v>
      </c>
      <c r="KY9" t="s">
        <v>11074</v>
      </c>
      <c r="LD9" t="s">
        <v>477</v>
      </c>
      <c r="LS9" t="s">
        <v>11159</v>
      </c>
      <c r="LX9" t="s">
        <v>11467</v>
      </c>
      <c r="MC9" t="s">
        <v>11465</v>
      </c>
      <c r="MM9" t="s">
        <v>11860</v>
      </c>
      <c r="MR9" t="s">
        <v>11816</v>
      </c>
      <c r="MW9" t="s">
        <v>11286</v>
      </c>
      <c r="NB9" t="s">
        <v>13244</v>
      </c>
      <c r="OA9" t="s">
        <v>10643</v>
      </c>
      <c r="OF9" t="s">
        <v>11529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731</v>
      </c>
      <c r="K1" s="1" t="s">
        <v>732</v>
      </c>
      <c r="U1" s="1" t="s">
        <v>733</v>
      </c>
      <c r="AE1" s="1" t="s">
        <v>734</v>
      </c>
      <c r="AO1" s="1" t="s">
        <v>735</v>
      </c>
      <c r="AY1" s="1" t="s">
        <v>736</v>
      </c>
      <c r="BI1" s="1" t="s">
        <v>737</v>
      </c>
      <c r="BS1" s="1" t="s">
        <v>738</v>
      </c>
      <c r="CC1" s="1" t="s">
        <v>739</v>
      </c>
      <c r="CM1" s="1" t="s">
        <v>740</v>
      </c>
      <c r="CW1" s="1" t="s">
        <v>741</v>
      </c>
      <c r="DG1" s="1" t="s">
        <v>742</v>
      </c>
      <c r="DQ1" s="1" t="s">
        <v>743</v>
      </c>
      <c r="EA1" s="1" t="s">
        <v>744</v>
      </c>
      <c r="EK1" s="1" t="s">
        <v>745</v>
      </c>
      <c r="EU1" s="1" t="s">
        <v>746</v>
      </c>
      <c r="FE1" s="1" t="s">
        <v>747</v>
      </c>
      <c r="FO1" s="1" t="s">
        <v>748</v>
      </c>
      <c r="FY1" s="1" t="s">
        <v>749</v>
      </c>
      <c r="GI1" s="1" t="s">
        <v>750</v>
      </c>
      <c r="GS1" s="1" t="s">
        <v>751</v>
      </c>
      <c r="HC1" s="1" t="s">
        <v>752</v>
      </c>
      <c r="HM1" s="1" t="s">
        <v>753</v>
      </c>
      <c r="HW1" s="1" t="s">
        <v>754</v>
      </c>
      <c r="IG1" s="1" t="s">
        <v>755</v>
      </c>
      <c r="IQ1" s="1" t="s">
        <v>756</v>
      </c>
      <c r="JA1" s="1" t="s">
        <v>757</v>
      </c>
      <c r="JK1" s="1" t="s">
        <v>758</v>
      </c>
      <c r="JU1" s="1" t="s">
        <v>759</v>
      </c>
      <c r="KE1" s="1" t="s">
        <v>760</v>
      </c>
      <c r="KO1" s="1" t="s">
        <v>761</v>
      </c>
      <c r="KY1" s="1" t="s">
        <v>762</v>
      </c>
      <c r="LI1" s="1" t="s">
        <v>763</v>
      </c>
      <c r="LS1" s="1" t="s">
        <v>764</v>
      </c>
      <c r="MC1" s="1" t="s">
        <v>765</v>
      </c>
      <c r="MM1" s="1" t="s">
        <v>766</v>
      </c>
      <c r="MW1" s="1" t="s">
        <v>767</v>
      </c>
      <c r="NG1" s="1" t="s">
        <v>768</v>
      </c>
      <c r="NQ1" s="1" t="s">
        <v>769</v>
      </c>
      <c r="OA1" s="1" t="s">
        <v>770</v>
      </c>
    </row>
    <row r="2" spans="1:396" x14ac:dyDescent="0.25">
      <c r="A2" s="2" t="s">
        <v>771</v>
      </c>
      <c r="K2" s="2" t="s">
        <v>772</v>
      </c>
      <c r="U2" s="2" t="s">
        <v>773</v>
      </c>
      <c r="AE2" s="2" t="s">
        <v>774</v>
      </c>
      <c r="AO2" s="2" t="s">
        <v>177</v>
      </c>
      <c r="AY2" s="2" t="s">
        <v>775</v>
      </c>
      <c r="BI2" s="2" t="s">
        <v>776</v>
      </c>
      <c r="BS2" s="2" t="s">
        <v>777</v>
      </c>
      <c r="CC2" s="2" t="s">
        <v>778</v>
      </c>
      <c r="CM2" s="2" t="s">
        <v>779</v>
      </c>
      <c r="CW2" s="2" t="s">
        <v>55</v>
      </c>
      <c r="DG2" s="2" t="s">
        <v>780</v>
      </c>
      <c r="DQ2" s="2" t="s">
        <v>781</v>
      </c>
      <c r="EA2" s="2" t="s">
        <v>388</v>
      </c>
      <c r="EK2" s="2" t="s">
        <v>484</v>
      </c>
      <c r="EU2" s="2" t="s">
        <v>161</v>
      </c>
      <c r="FE2" s="2" t="s">
        <v>782</v>
      </c>
      <c r="FO2" s="2" t="s">
        <v>783</v>
      </c>
      <c r="FY2" s="2" t="s">
        <v>668</v>
      </c>
      <c r="GI2" s="2" t="s">
        <v>281</v>
      </c>
      <c r="GS2" s="2" t="s">
        <v>167</v>
      </c>
      <c r="HC2" s="2" t="s">
        <v>784</v>
      </c>
      <c r="HM2" s="2" t="s">
        <v>785</v>
      </c>
      <c r="HW2" s="2" t="s">
        <v>786</v>
      </c>
      <c r="IG2" s="2" t="s">
        <v>787</v>
      </c>
      <c r="IQ2" s="2" t="s">
        <v>788</v>
      </c>
      <c r="JA2" s="2" t="s">
        <v>373</v>
      </c>
      <c r="JK2" s="2" t="s">
        <v>789</v>
      </c>
      <c r="JU2" s="2" t="s">
        <v>64</v>
      </c>
      <c r="KE2" s="2" t="s">
        <v>790</v>
      </c>
      <c r="KO2" s="2" t="s">
        <v>161</v>
      </c>
      <c r="KY2" s="2" t="s">
        <v>791</v>
      </c>
      <c r="LI2" s="2" t="s">
        <v>480</v>
      </c>
      <c r="LS2" s="2" t="s">
        <v>171</v>
      </c>
      <c r="MC2" s="2" t="s">
        <v>676</v>
      </c>
      <c r="MM2" s="2" t="s">
        <v>272</v>
      </c>
      <c r="MW2" s="2" t="s">
        <v>472</v>
      </c>
      <c r="NG2" s="2" t="s">
        <v>792</v>
      </c>
      <c r="NQ2" s="2" t="s">
        <v>793</v>
      </c>
      <c r="OA2" s="2" t="s">
        <v>265</v>
      </c>
    </row>
    <row r="3" spans="1:396" x14ac:dyDescent="0.25">
      <c r="A3" t="s">
        <v>794</v>
      </c>
      <c r="K3" t="s">
        <v>795</v>
      </c>
      <c r="U3" t="s">
        <v>796</v>
      </c>
      <c r="AE3" t="s">
        <v>797</v>
      </c>
      <c r="AO3" t="s">
        <v>86</v>
      </c>
      <c r="AY3" t="s">
        <v>798</v>
      </c>
      <c r="BI3" t="s">
        <v>799</v>
      </c>
      <c r="BS3" t="s">
        <v>800</v>
      </c>
      <c r="CC3" t="s">
        <v>801</v>
      </c>
      <c r="CM3" t="s">
        <v>802</v>
      </c>
      <c r="CW3" t="s">
        <v>803</v>
      </c>
      <c r="DG3" t="s">
        <v>804</v>
      </c>
      <c r="DQ3" t="s">
        <v>302</v>
      </c>
      <c r="EA3" t="s">
        <v>805</v>
      </c>
      <c r="EK3" t="s">
        <v>806</v>
      </c>
      <c r="EU3" t="s">
        <v>807</v>
      </c>
      <c r="FE3" t="s">
        <v>808</v>
      </c>
      <c r="FO3" t="s">
        <v>809</v>
      </c>
      <c r="FY3" t="s">
        <v>810</v>
      </c>
      <c r="GI3" t="s">
        <v>811</v>
      </c>
      <c r="GS3" t="s">
        <v>812</v>
      </c>
      <c r="HC3" t="s">
        <v>813</v>
      </c>
      <c r="HM3" t="s">
        <v>814</v>
      </c>
      <c r="HW3" t="s">
        <v>815</v>
      </c>
      <c r="IG3" t="s">
        <v>816</v>
      </c>
      <c r="IQ3" t="s">
        <v>817</v>
      </c>
      <c r="JA3" t="s">
        <v>818</v>
      </c>
      <c r="JK3" t="s">
        <v>698</v>
      </c>
      <c r="JU3" t="s">
        <v>819</v>
      </c>
      <c r="KE3" t="s">
        <v>820</v>
      </c>
      <c r="KO3" t="s">
        <v>821</v>
      </c>
      <c r="KY3" t="s">
        <v>822</v>
      </c>
      <c r="LI3" t="s">
        <v>823</v>
      </c>
      <c r="LS3" t="s">
        <v>824</v>
      </c>
      <c r="MC3" t="s">
        <v>825</v>
      </c>
      <c r="MM3" t="s">
        <v>826</v>
      </c>
      <c r="MW3" t="s">
        <v>827</v>
      </c>
      <c r="NG3" t="s">
        <v>828</v>
      </c>
      <c r="NQ3" t="s">
        <v>528</v>
      </c>
      <c r="OA3" t="s">
        <v>829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_xll.BDS("COL US Equity","SUPPLY_CHAIN_SUPPLIERS","RELATIONSHIP_AS_OF_DATE","20161023")</f>
        <v>FE US Equity</v>
      </c>
      <c r="F5" t="str">
        <f>_xll.BDS("COL US Equity","SUPPLY_CHAIN_CUSTOMERS","RELATIONSHIP_AS_OF_DATE","20161023")</f>
        <v>#N/A N/A</v>
      </c>
      <c r="K5" t="str">
        <f>_xll.BDS("ECL US Equity","SUPPLY_CHAIN_SUPPLIERS","RELATIONSHIP_AS_OF_DATE","20110720","cols=1;rows=5")</f>
        <v>CLN SW Equity</v>
      </c>
      <c r="P5" t="str">
        <f>_xll.BDS("ECL US Equity","SUPPLY_CHAIN_CUSTOMERS","RELATIONSHIP_AS_OF_DATE","20110720","cols=1;rows=5")</f>
        <v>WMT US Equity</v>
      </c>
      <c r="U5" t="str">
        <f>_xll.BDS("NXST US Equity","SUPPLY_CHAIN_SUPPLIERS","RELATIONSHIP_AS_OF_DATE","20181203","cols=1;rows=5")</f>
        <v>DLB US Equity</v>
      </c>
      <c r="Z5" t="str">
        <f>_xll.BDS("NXST US Equity","SUPPLY_CHAIN_CUSTOMERS","RELATIONSHIP_AS_OF_DATE","20181203","cols=1;rows=5")</f>
        <v>3276470Z US Equity</v>
      </c>
      <c r="AE5" t="str">
        <f>_xll.BDS("0961514D US Equity","SUPPLY_CHAIN_SUPPLIERS","RELATIONSHIP_AS_OF_DATE","19990822")</f>
        <v>#N/A N/A</v>
      </c>
      <c r="AJ5" t="str">
        <f>_xll.BDS("0961514D US Equity","SUPPLY_CHAIN_CUSTOMERS","RELATIONSHIP_AS_OF_DATE","19990822")</f>
        <v>#N/A N/A</v>
      </c>
      <c r="AO5" t="str">
        <f>_xll.BDS("PLD US Equity","SUPPLY_CHAIN_SUPPLIERS","RELATIONSHIP_AS_OF_DATE","20180429","cols=1;rows=5")</f>
        <v>SALFACOR CI Equity</v>
      </c>
      <c r="AT5" t="str">
        <f>_xll.BDS("PLD US Equity","SUPPLY_CHAIN_CUSTOMERS","RELATIONSHIP_AS_OF_DATE","20180429","cols=1;rows=5")</f>
        <v>AMZN US Equity</v>
      </c>
      <c r="AY5" t="str">
        <f>_xll.BDS("ALXN US Equity","SUPPLY_CHAIN_SUPPLIERS","RELATIONSHIP_AS_OF_DATE","20150506")</f>
        <v>#N/A N/A</v>
      </c>
      <c r="BD5" t="str">
        <f>_xll.BDS("ALXN US Equity","SUPPLY_CHAIN_CUSTOMERS","RELATIONSHIP_AS_OF_DATE","20150506")</f>
        <v>#N/A N/A</v>
      </c>
      <c r="BI5" t="str">
        <f>_xll.BDS("CELG US Equity","SUPPLY_CHAIN_SUPPLIERS","RELATIONSHIP_AS_OF_DATE","20180122")</f>
        <v>FE US Equity</v>
      </c>
      <c r="BN5" t="str">
        <f>_xll.BDS("CELG US Equity","SUPPLY_CHAIN_CUSTOMERS","RELATIONSHIP_AS_OF_DATE","20180122")</f>
        <v>#N/A N/A</v>
      </c>
      <c r="BS5" t="str">
        <f>_xll.BDS("GIS US Equity","SUPPLY_CHAIN_SUPPLIERS","RELATIONSHIP_AS_OF_DATE","20180223","cols=1;rows=5")</f>
        <v>GPK US Equity</v>
      </c>
      <c r="BX5" t="str">
        <f>_xll.BDS("GIS US Equity","SUPPLY_CHAIN_CUSTOMERS","RELATIONSHIP_AS_OF_DATE","20180223","cols=1;rows=5")</f>
        <v>WMT US Equity</v>
      </c>
      <c r="CC5" t="str">
        <f>_xll.BDS("1260972D US Equity","SUPPLY_CHAIN_SUPPLIERS","RELATIONSHIP_AS_OF_DATE","19990520")</f>
        <v>#N/A N/A</v>
      </c>
      <c r="CH5" t="str">
        <f>_xll.BDS("1260972D US Equity","SUPPLY_CHAIN_CUSTOMERS","RELATIONSHIP_AS_OF_DATE","19990520")</f>
        <v>#N/A N/A</v>
      </c>
      <c r="CM5" t="str">
        <f>_xll.BDS("INVH US Equity","SUPPLY_CHAIN_SUPPLIERS","RELATIONSHIP_AS_OF_DATE","20170810")</f>
        <v>#N/A N/A</v>
      </c>
      <c r="CR5" t="str">
        <f>_xll.BDS("INVH US Equity","SUPPLY_CHAIN_CUSTOMERS","RELATIONSHIP_AS_OF_DATE","20170810")</f>
        <v>#N/A N/A</v>
      </c>
      <c r="CW5" t="str">
        <f>_xll.BDS("AGN US Equity","SUPPLY_CHAIN_SUPPLIERS","RELATIONSHIP_AS_OF_DATE","20130520","cols=1;rows=5")</f>
        <v>AEE US Equity</v>
      </c>
      <c r="DB5" t="str">
        <f>_xll.BDS("AGN US Equity","SUPPLY_CHAIN_CUSTOMERS","RELATIONSHIP_AS_OF_DATE","20130520")</f>
        <v>4569 JP Equity</v>
      </c>
      <c r="DG5" t="str">
        <f>_xll.BDS("VLO US Equity","SUPPLY_CHAIN_SUPPLIERS","RELATIONSHIP_AS_OF_DATE","20050425","cols=1;rows=5")</f>
        <v>DAR US Equity</v>
      </c>
      <c r="DL5" t="str">
        <f>_xll.BDS("VLO US Equity","SUPPLY_CHAIN_CUSTOMERS","RELATIONSHIP_AS_OF_DATE","20050425","cols=1;rows=5")</f>
        <v>ARKO US Equity</v>
      </c>
      <c r="DQ5" t="str">
        <f>_xll.BDS("GMST US Equity","SUPPLY_CHAIN_SUPPLIERS","RELATIONSHIP_AS_OF_DATE","19991004")</f>
        <v>#N/A N/A</v>
      </c>
      <c r="DV5" t="str">
        <f>_xll.BDS("GMST US Equity","SUPPLY_CHAIN_CUSTOMERS","RELATIONSHIP_AS_OF_DATE","19991004")</f>
        <v>#N/A N/A</v>
      </c>
      <c r="EA5" t="str">
        <f>_xll.BDS("NOC US Equity","SUPPLY_CHAIN_SUPPLIERS","RELATIONSHIP_AS_OF_DATE","20170918","cols=1;rows=5")</f>
        <v>RTX US Equity</v>
      </c>
      <c r="EF5" t="str">
        <f>_xll.BDS("NOC US Equity","SUPPLY_CHAIN_CUSTOMERS","RELATIONSHIP_AS_OF_DATE","20170918","cols=1;rows=5")</f>
        <v>3352Z US Equity</v>
      </c>
      <c r="EK5" t="str">
        <f>_xll.BDS("WY US Equity","SUPPLY_CHAIN_SUPPLIERS","RELATIONSHIP_AS_OF_DATE","20001106","cols=1;rows=5")</f>
        <v>CNR CN Equity</v>
      </c>
      <c r="EP5" t="str">
        <f>_xll.BDS("WY US Equity","SUPPLY_CHAIN_CUSTOMERS","RELATIONSHIP_AS_OF_DATE","20001106","cols=1;rows=5")</f>
        <v>BLDR US Equity</v>
      </c>
      <c r="EU5" t="str">
        <f>_xll.BDS("BX US Equity","SUPPLY_CHAIN_SUPPLIERS","RELATIONSHIP_AS_OF_DATE","20151008","cols=1;rows=5")</f>
        <v>ORCL US Equity</v>
      </c>
      <c r="EZ5" t="str">
        <f>_xll.BDS("BX US Equity","SUPPLY_CHAIN_CUSTOMERS","RELATIONSHIP_AS_OF_DATE","20151008","cols=1;rows=5")</f>
        <v>002284 CH Equity</v>
      </c>
      <c r="FE5" t="str">
        <f>_xll.BDS("MGM US Equity","SUPPLY_CHAIN_SUPPLIERS","RELATIONSHIP_AS_OF_DATE","20040604","cols=1;rows=5")</f>
        <v>VICI US Equity</v>
      </c>
      <c r="FJ5" t="str">
        <f>_xll.BDS("MGM US Equity","SUPPLY_CHAIN_CUSTOMERS","RELATIONSHIP_AS_OF_DATE","20040604","cols=1;rows=5")</f>
        <v>0676719D US Equity</v>
      </c>
      <c r="FO5" t="str">
        <f>_xll.BDS("LNC US Equity","SUPPLY_CHAIN_SUPPLIERS","RELATIONSHIP_AS_OF_DATE","20051010","cols=1;rows=5")</f>
        <v>BDN US Equity</v>
      </c>
      <c r="FT5" t="str">
        <f>_xll.BDS("LNC US Equity","SUPPLY_CHAIN_CUSTOMERS","RELATIONSHIP_AS_OF_DATE","20051010")</f>
        <v>#N/A N/A</v>
      </c>
      <c r="FY5" t="str">
        <f>_xll.BDS("CME US Equity","SUPPLY_CHAIN_SUPPLIERS","RELATIONSHIP_AS_OF_DATE","20080317","cols=1;rows=2")</f>
        <v>BUC LN Equity</v>
      </c>
      <c r="GD5" t="str">
        <f>_xll.BDS("CME US Equity","SUPPLY_CHAIN_CUSTOMERS","RELATIONSHIP_AS_OF_DATE","20080317","cols=1;rows=2")</f>
        <v>8284 TT Equity</v>
      </c>
      <c r="GI5" t="str">
        <f>_xll.BDS("RIG US Equity","SUPPLY_CHAIN_SUPPLIERS","RELATIONSHIP_AS_OF_DATE","20000821","cols=1;rows=5")</f>
        <v>PDM US Equity</v>
      </c>
      <c r="GN5" t="str">
        <f>_xll.BDS("RIG US Equity","SUPPLY_CHAIN_CUSTOMERS","RELATIONSHIP_AS_OF_DATE","20000821","cols=1;rows=5")</f>
        <v>PETR4 BZ Equity</v>
      </c>
      <c r="GS5" t="str">
        <f>_xll.BDS("ABT US Equity","SUPPLY_CHAIN_SUPPLIERS","RELATIONSHIP_AS_OF_DATE","20160201","cols=1;rows=5")</f>
        <v>MSFT US Equity</v>
      </c>
      <c r="GX5" t="str">
        <f>_xll.BDS("ABT US Equity","SUPPLY_CHAIN_CUSTOMERS","RELATIONSHIP_AS_OF_DATE","20160201","cols=1;rows=5")</f>
        <v>SNX US Equity</v>
      </c>
      <c r="HC5" t="str">
        <f>_xll.BDS("TRB US Equity","SUPPLY_CHAIN_SUPPLIERS","RELATIONSHIP_AS_OF_DATE","20000313")</f>
        <v>#N/A N/A</v>
      </c>
      <c r="HH5" t="str">
        <f>_xll.BDS("TRB US Equity","SUPPLY_CHAIN_CUSTOMERS","RELATIONSHIP_AS_OF_DATE","20000313")</f>
        <v>#N/A N/A</v>
      </c>
      <c r="HM5" t="str">
        <f>_xll.BDS("AMSG US Equity","SUPPLY_CHAIN_SUPPLIERS","RELATIONSHIP_AS_OF_DATE","20160615")</f>
        <v>#N/A N/A</v>
      </c>
      <c r="HR5" t="str">
        <f>_xll.BDS("AMSG US Equity","SUPPLY_CHAIN_CUSTOMERS","RELATIONSHIP_AS_OF_DATE","20160615")</f>
        <v>#N/A N/A</v>
      </c>
      <c r="HW5" t="str">
        <f>_xll.BDS("QDEL US Equity","SUPPLY_CHAIN_SUPPLIERS","RELATIONSHIP_AS_OF_DATE","20211223","cols=1;rows=5")</f>
        <v>JBL US Equity</v>
      </c>
      <c r="IB5" t="str">
        <f>_xll.BDS("QDEL US Equity","SUPPLY_CHAIN_CUSTOMERS","RELATIONSHIP_AS_OF_DATE","20211223","cols=1;rows=5")</f>
        <v>MDLA IJ Equity</v>
      </c>
      <c r="IG5" t="str">
        <f>_xll.BDS("FDC US Equity","SUPPLY_CHAIN_SUPPLIERS","RELATIONSHIP_AS_OF_DATE","20030402")</f>
        <v>#N/A N/A</v>
      </c>
      <c r="IL5" t="str">
        <f>_xll.BDS("FDC US Equity","SUPPLY_CHAIN_CUSTOMERS","RELATIONSHIP_AS_OF_DATE","20030402")</f>
        <v>#N/A N/A</v>
      </c>
      <c r="IQ5" t="str">
        <f>_xll.BDS("PXD US Equity","SUPPLY_CHAIN_SUPPLIERS","RELATIONSHIP_AS_OF_DATE","20201020","cols=1;rows=5")</f>
        <v>CUZ US Equity</v>
      </c>
      <c r="IV5" t="str">
        <f>_xll.BDS("PXD US Equity","SUPPLY_CHAIN_CUSTOMERS","RELATIONSHIP_AS_OF_DATE","20201020","cols=1;rows=5")</f>
        <v>0834107D US Equity</v>
      </c>
      <c r="JA5" t="str">
        <f>_xll.BDS("FBF US Equity","SUPPLY_CHAIN_SUPPLIERS","RELATIONSHIP_AS_OF_DATE","20001002")</f>
        <v>#N/A N/A</v>
      </c>
      <c r="JF5" t="str">
        <f>_xll.BDS("FBF US Equity","SUPPLY_CHAIN_CUSTOMERS","RELATIONSHIP_AS_OF_DATE","20001002")</f>
        <v>#N/A N/A</v>
      </c>
      <c r="JK5" t="str">
        <f>_xll.BDS("VISN US Equity","SUPPLY_CHAIN_SUPPLIERS","RELATIONSHIP_AS_OF_DATE","20181108","cols=1;rows=5")</f>
        <v>MXL US Equity</v>
      </c>
      <c r="JP5" t="str">
        <f>_xll.BDS("VISN US Equity","SUPPLY_CHAIN_CUSTOMERS","RELATIONSHIP_AS_OF_DATE","20181108","cols=1;rows=5")</f>
        <v>CMCSA US Equity</v>
      </c>
      <c r="JU5" t="str">
        <f>_xll.BDS("nan Equity","SUPPLY_CHAIN_SUPPLIERS","RELATIONSHIP_AS_OF_DATE","20070312")</f>
        <v>#N/A N/A</v>
      </c>
      <c r="JZ5" t="str">
        <f>_xll.BDS("nan Equity","SUPPLY_CHAIN_CUSTOMERS","RELATIONSHIP_AS_OF_DATE","20070312")</f>
        <v>#N/A N/A</v>
      </c>
      <c r="KE5" t="str">
        <f>_xll.BDS("APO US Equity","SUPPLY_CHAIN_SUPPLIERS","RELATIONSHIP_AS_OF_DATE","20210308","cols=1;rows=5")</f>
        <v>PG US Equity</v>
      </c>
      <c r="KJ5" t="str">
        <f>_xll.BDS("APO US Equity","SUPPLY_CHAIN_CUSTOMERS","RELATIONSHIP_AS_OF_DATE","20210308","cols=1;rows=5")</f>
        <v>RTX US Equity</v>
      </c>
      <c r="KO5" t="str">
        <f>_xll.BDS("BX US Equity","SUPPLY_CHAIN_SUPPLIERS","RELATIONSHIP_AS_OF_DATE","20180507","cols=1;rows=5")</f>
        <v>ORCL US Equity</v>
      </c>
      <c r="KT5" t="str">
        <f>_xll.BDS("BX US Equity","SUPPLY_CHAIN_CUSTOMERS","RELATIONSHIP_AS_OF_DATE","20180507","cols=1;rows=5")</f>
        <v>002284 CH Equity</v>
      </c>
      <c r="KY5" t="str">
        <f>_xll.BDS("LVLT US Equity","SUPPLY_CHAIN_SUPPLIERS","RELATIONSHIP_AS_OF_DATE","20140616")</f>
        <v>#N/A N/A</v>
      </c>
      <c r="LD5" t="str">
        <f>_xll.BDS("LVLT US Equity","SUPPLY_CHAIN_CUSTOMERS","RELATIONSHIP_AS_OF_DATE","20140616")</f>
        <v>#N/A N/A</v>
      </c>
      <c r="LI5" t="str">
        <f>_xll.BDS("EXC US Equity","SUPPLY_CHAIN_SUPPLIERS","RELATIONSHIP_AS_OF_DATE","19990923","cols=1;rows=5")</f>
        <v>PWR US Equity</v>
      </c>
      <c r="LN5" t="str">
        <f>_xll.BDS("EXC US Equity","SUPPLY_CHAIN_CUSTOMERS","RELATIONSHIP_AS_OF_DATE","19990923","cols=1;rows=5")</f>
        <v>ARW US Equity</v>
      </c>
      <c r="LS5" t="str">
        <f>_xll.BDS("ORCL US Equity","SUPPLY_CHAIN_SUPPLIERS","RELATIONSHIP_AS_OF_DATE","20071012","cols=1;rows=5")</f>
        <v>NVDA US Equity</v>
      </c>
      <c r="LX5" t="str">
        <f>_xll.BDS("ORCL US Equity","SUPPLY_CHAIN_CUSTOMERS","RELATIONSHIP_AS_OF_DATE","20071012","cols=1;rows=5")</f>
        <v>ACN US Equity</v>
      </c>
      <c r="MC5" t="str">
        <f>_xll.BDS("2370058D US Equity","SUPPLY_CHAIN_SUPPLIERS","RELATIONSHIP_AS_OF_DATE","20040509")</f>
        <v>#N/A N/A</v>
      </c>
      <c r="MH5" t="str">
        <f>_xll.BDS("2370058D US Equity","SUPPLY_CHAIN_CUSTOMERS","RELATIONSHIP_AS_OF_DATE","20040509")</f>
        <v>#N/A N/A</v>
      </c>
      <c r="MM5" t="str">
        <f>_xll.BDS("TMO US Equity","SUPPLY_CHAIN_SUPPLIERS","RELATIONSHIP_AS_OF_DATE","20170515","cols=1;rows=5")</f>
        <v>EMR US Equity</v>
      </c>
      <c r="MR5" t="str">
        <f>_xll.BDS("TMO US Equity","SUPPLY_CHAIN_CUSTOMERS","RELATIONSHIP_AS_OF_DATE","20170515","cols=1;rows=5")</f>
        <v>4195 TT Equity</v>
      </c>
      <c r="MW5" t="str">
        <f>_xll.BDS("UNH US Equity","SUPPLY_CHAIN_SUPPLIERS","RELATIONSHIP_AS_OF_DATE","20050706","cols=1;rows=5")</f>
        <v>VRTX US Equity</v>
      </c>
      <c r="NB5" t="str">
        <f>_xll.BDS("UNH US Equity","SUPPLY_CHAIN_CUSTOMERS","RELATIONSHIP_AS_OF_DATE","20050706","cols=1;rows=5")</f>
        <v>9877893Z US Equity</v>
      </c>
      <c r="NG5" t="str">
        <f>_xll.BDS("COHR US Equity","SUPPLY_CHAIN_SUPPLIERS","RELATIONSHIP_AS_OF_DATE","20210325","cols=1;rows=5")</f>
        <v>AVGO US Equity</v>
      </c>
      <c r="NL5" t="str">
        <f>_xll.BDS("COHR US Equity","SUPPLY_CHAIN_CUSTOMERS","RELATIONSHIP_AS_OF_DATE","20210325","cols=1;rows=5")</f>
        <v>HPE US Equity</v>
      </c>
      <c r="NQ5" t="str">
        <f>_xll.BDS("NOV US Equity","SUPPLY_CHAIN_SUPPLIERS","RELATIONSHIP_AS_OF_DATE","20071217","cols=1;rows=5")</f>
        <v>OERL SW Equity</v>
      </c>
      <c r="NV5" t="str">
        <f>_xll.BDS("NOV US Equity","SUPPLY_CHAIN_CUSTOMERS","RELATIONSHIP_AS_OF_DATE","20071217","cols=1;rows=5")</f>
        <v>329180 KS Equity</v>
      </c>
      <c r="OA5" t="str">
        <f>_xll.BDS("1255173D US Equity","SUPPLY_CHAIN_SUPPLIERS","RELATIONSHIP_AS_OF_DATE","20070531")</f>
        <v>#N/A N/A</v>
      </c>
      <c r="OF5" t="str">
        <f>_xll.BDS("1255173D US Equity","SUPPLY_CHAIN_CUSTOMERS","RELATIONSHIP_AS_OF_DATE","20070531")</f>
        <v>#N/A N/A</v>
      </c>
    </row>
    <row r="6" spans="1:396" x14ac:dyDescent="0.25">
      <c r="K6" t="s">
        <v>10855</v>
      </c>
      <c r="P6" t="s">
        <v>5236</v>
      </c>
      <c r="U6" t="s">
        <v>13277</v>
      </c>
      <c r="Z6" t="s">
        <v>13258</v>
      </c>
      <c r="AO6" t="s">
        <v>13165</v>
      </c>
      <c r="AT6" t="s">
        <v>570</v>
      </c>
      <c r="BS6" t="s">
        <v>11868</v>
      </c>
      <c r="BX6" t="s">
        <v>10805</v>
      </c>
      <c r="CW6" t="s">
        <v>10696</v>
      </c>
      <c r="DG6" t="s">
        <v>171</v>
      </c>
      <c r="DL6" t="s">
        <v>11279</v>
      </c>
      <c r="EA6" t="s">
        <v>12047</v>
      </c>
      <c r="EF6" t="s">
        <v>10785</v>
      </c>
      <c r="EK6" t="s">
        <v>12520</v>
      </c>
      <c r="EP6" t="s">
        <v>12238</v>
      </c>
      <c r="EU6" t="s">
        <v>7544</v>
      </c>
      <c r="EZ6" t="s">
        <v>11020</v>
      </c>
      <c r="FE6" t="s">
        <v>366</v>
      </c>
      <c r="FJ6" t="s">
        <v>12773</v>
      </c>
      <c r="FO6" t="s">
        <v>13222</v>
      </c>
      <c r="FY6" t="s">
        <v>5755</v>
      </c>
      <c r="GD6" t="s">
        <v>2881</v>
      </c>
      <c r="GI6" t="s">
        <v>11312</v>
      </c>
      <c r="GN6" t="s">
        <v>68</v>
      </c>
      <c r="GS6" t="s">
        <v>10838</v>
      </c>
      <c r="GX6" t="s">
        <v>6626</v>
      </c>
      <c r="HW6" t="s">
        <v>13299</v>
      </c>
      <c r="IB6" t="s">
        <v>13270</v>
      </c>
      <c r="IQ6" t="s">
        <v>6238</v>
      </c>
      <c r="IV6" t="s">
        <v>56</v>
      </c>
      <c r="JK6" t="s">
        <v>969</v>
      </c>
      <c r="JP6" t="s">
        <v>11548</v>
      </c>
      <c r="KE6" t="s">
        <v>3343</v>
      </c>
      <c r="KJ6" t="s">
        <v>684</v>
      </c>
      <c r="KO6" t="s">
        <v>7544</v>
      </c>
      <c r="KT6" t="s">
        <v>11020</v>
      </c>
      <c r="LI6" t="s">
        <v>3251</v>
      </c>
      <c r="LN6" t="s">
        <v>13272</v>
      </c>
      <c r="LS6" t="s">
        <v>162</v>
      </c>
      <c r="LX6" t="s">
        <v>469</v>
      </c>
      <c r="MM6" t="s">
        <v>44</v>
      </c>
      <c r="MR6" t="s">
        <v>10662</v>
      </c>
      <c r="MW6" t="s">
        <v>10846</v>
      </c>
      <c r="NB6" t="s">
        <v>10657</v>
      </c>
      <c r="NG6" t="s">
        <v>11042</v>
      </c>
      <c r="NL6" t="s">
        <v>969</v>
      </c>
      <c r="NQ6" t="s">
        <v>11312</v>
      </c>
      <c r="NV6" t="s">
        <v>11001</v>
      </c>
    </row>
    <row r="7" spans="1:396" x14ac:dyDescent="0.25">
      <c r="K7" t="s">
        <v>1746</v>
      </c>
      <c r="P7" t="s">
        <v>10805</v>
      </c>
      <c r="U7" t="s">
        <v>13278</v>
      </c>
      <c r="Z7" t="s">
        <v>49</v>
      </c>
      <c r="AO7" t="s">
        <v>13166</v>
      </c>
      <c r="AT7" t="s">
        <v>3073</v>
      </c>
      <c r="BS7" t="s">
        <v>10814</v>
      </c>
      <c r="BX7" t="s">
        <v>469</v>
      </c>
      <c r="CW7" t="s">
        <v>1265</v>
      </c>
      <c r="DG7" t="s">
        <v>7384</v>
      </c>
      <c r="DL7" t="s">
        <v>11280</v>
      </c>
      <c r="EA7" t="s">
        <v>3439</v>
      </c>
      <c r="EF7" t="s">
        <v>469</v>
      </c>
      <c r="EK7" t="s">
        <v>12521</v>
      </c>
      <c r="EP7" t="s">
        <v>12239</v>
      </c>
      <c r="EU7" t="s">
        <v>11054</v>
      </c>
      <c r="EZ7" t="s">
        <v>11021</v>
      </c>
      <c r="FE7" t="s">
        <v>171</v>
      </c>
      <c r="FJ7" t="s">
        <v>12774</v>
      </c>
      <c r="FO7" t="s">
        <v>3533</v>
      </c>
      <c r="GI7" t="s">
        <v>11842</v>
      </c>
      <c r="GN7" t="s">
        <v>11540</v>
      </c>
      <c r="GS7" t="s">
        <v>10814</v>
      </c>
      <c r="GX7" t="s">
        <v>12013</v>
      </c>
      <c r="HW7" t="s">
        <v>10932</v>
      </c>
      <c r="IB7" t="s">
        <v>13271</v>
      </c>
      <c r="IQ7" t="s">
        <v>11312</v>
      </c>
      <c r="IV7" t="s">
        <v>60</v>
      </c>
      <c r="JK7" t="s">
        <v>5575</v>
      </c>
      <c r="JP7" t="s">
        <v>1366</v>
      </c>
      <c r="KE7" t="s">
        <v>2219</v>
      </c>
      <c r="KJ7" t="s">
        <v>12534</v>
      </c>
      <c r="KO7" t="s">
        <v>11054</v>
      </c>
      <c r="KT7" t="s">
        <v>11021</v>
      </c>
      <c r="LI7" t="s">
        <v>11055</v>
      </c>
      <c r="LN7" t="s">
        <v>11554</v>
      </c>
      <c r="LS7" t="s">
        <v>279</v>
      </c>
      <c r="LX7" t="s">
        <v>2881</v>
      </c>
      <c r="MM7" t="s">
        <v>10734</v>
      </c>
      <c r="MR7" t="s">
        <v>10761</v>
      </c>
      <c r="MW7" t="s">
        <v>10834</v>
      </c>
      <c r="NB7" t="s">
        <v>165</v>
      </c>
      <c r="NG7" t="s">
        <v>10726</v>
      </c>
      <c r="NL7" t="s">
        <v>10732</v>
      </c>
      <c r="NQ7" t="s">
        <v>11859</v>
      </c>
      <c r="NV7" t="s">
        <v>12069</v>
      </c>
    </row>
    <row r="8" spans="1:396" x14ac:dyDescent="0.25">
      <c r="K8" t="s">
        <v>10856</v>
      </c>
      <c r="P8" t="s">
        <v>2705</v>
      </c>
      <c r="U8" t="s">
        <v>12482</v>
      </c>
      <c r="Z8" t="s">
        <v>5670</v>
      </c>
      <c r="AO8" t="s">
        <v>13167</v>
      </c>
      <c r="AT8" t="s">
        <v>2967</v>
      </c>
      <c r="BS8" t="s">
        <v>10978</v>
      </c>
      <c r="BX8" t="s">
        <v>477</v>
      </c>
      <c r="CW8" t="s">
        <v>158</v>
      </c>
      <c r="DG8" t="s">
        <v>371</v>
      </c>
      <c r="DL8" t="s">
        <v>11281</v>
      </c>
      <c r="EA8" t="s">
        <v>12048</v>
      </c>
      <c r="EF8" t="s">
        <v>1363</v>
      </c>
      <c r="EK8" t="s">
        <v>10696</v>
      </c>
      <c r="EP8" t="s">
        <v>1371</v>
      </c>
      <c r="EU8" t="s">
        <v>11055</v>
      </c>
      <c r="EZ8" t="s">
        <v>11022</v>
      </c>
      <c r="FE8" t="s">
        <v>2316</v>
      </c>
      <c r="FJ8" t="s">
        <v>12775</v>
      </c>
      <c r="FO8" t="s">
        <v>11233</v>
      </c>
      <c r="GI8" t="s">
        <v>12337</v>
      </c>
      <c r="GN8" t="s">
        <v>11808</v>
      </c>
      <c r="GS8" t="s">
        <v>11414</v>
      </c>
      <c r="GX8" t="s">
        <v>12014</v>
      </c>
      <c r="HW8" t="s">
        <v>13300</v>
      </c>
      <c r="IB8" t="s">
        <v>11477</v>
      </c>
      <c r="IQ8" t="s">
        <v>11313</v>
      </c>
      <c r="IV8" t="s">
        <v>12504</v>
      </c>
      <c r="JK8" t="s">
        <v>1473</v>
      </c>
      <c r="JP8" t="s">
        <v>2881</v>
      </c>
      <c r="KE8" t="s">
        <v>874</v>
      </c>
      <c r="KJ8" t="s">
        <v>1363</v>
      </c>
      <c r="KO8" t="s">
        <v>11055</v>
      </c>
      <c r="KT8" t="s">
        <v>11022</v>
      </c>
      <c r="LI8" t="s">
        <v>772</v>
      </c>
      <c r="LN8" t="s">
        <v>13273</v>
      </c>
      <c r="LS8" t="s">
        <v>10818</v>
      </c>
      <c r="LX8" t="s">
        <v>52</v>
      </c>
      <c r="MM8" t="s">
        <v>10735</v>
      </c>
      <c r="MR8" t="s">
        <v>10762</v>
      </c>
      <c r="MW8" t="s">
        <v>11029</v>
      </c>
      <c r="NB8" t="s">
        <v>10676</v>
      </c>
      <c r="NG8" t="s">
        <v>4898</v>
      </c>
      <c r="NL8" t="s">
        <v>11376</v>
      </c>
      <c r="NQ8" t="s">
        <v>12131</v>
      </c>
      <c r="NV8" t="s">
        <v>12070</v>
      </c>
    </row>
    <row r="9" spans="1:396" x14ac:dyDescent="0.25">
      <c r="K9" t="s">
        <v>10857</v>
      </c>
      <c r="P9" t="s">
        <v>5983</v>
      </c>
      <c r="U9" t="s">
        <v>9766</v>
      </c>
      <c r="Z9" t="s">
        <v>1175</v>
      </c>
      <c r="AO9" t="s">
        <v>12699</v>
      </c>
      <c r="AT9" t="s">
        <v>13157</v>
      </c>
      <c r="BS9" t="s">
        <v>11978</v>
      </c>
      <c r="BX9" t="s">
        <v>11296</v>
      </c>
      <c r="CW9" t="s">
        <v>260</v>
      </c>
      <c r="DG9" t="s">
        <v>10940</v>
      </c>
      <c r="DL9" t="s">
        <v>68</v>
      </c>
      <c r="EA9" t="s">
        <v>10786</v>
      </c>
      <c r="EF9" t="s">
        <v>11193</v>
      </c>
      <c r="EK9" t="s">
        <v>12522</v>
      </c>
      <c r="EP9" t="s">
        <v>10369</v>
      </c>
      <c r="EU9" t="s">
        <v>11056</v>
      </c>
      <c r="EZ9" t="s">
        <v>11023</v>
      </c>
      <c r="FE9" t="s">
        <v>12112</v>
      </c>
      <c r="FJ9" t="s">
        <v>12776</v>
      </c>
      <c r="FO9" t="s">
        <v>11964</v>
      </c>
      <c r="GI9" t="s">
        <v>12338</v>
      </c>
      <c r="GN9" t="s">
        <v>2210</v>
      </c>
      <c r="GS9" t="s">
        <v>2509</v>
      </c>
      <c r="GX9" t="s">
        <v>12015</v>
      </c>
      <c r="HW9" t="s">
        <v>13301</v>
      </c>
      <c r="IB9" t="s">
        <v>10714</v>
      </c>
      <c r="IQ9" t="s">
        <v>12359</v>
      </c>
      <c r="IV9" t="s">
        <v>12505</v>
      </c>
      <c r="JK9" t="s">
        <v>13186</v>
      </c>
      <c r="JP9" t="s">
        <v>53</v>
      </c>
      <c r="KE9" t="s">
        <v>11584</v>
      </c>
      <c r="KJ9" t="s">
        <v>10939</v>
      </c>
      <c r="KO9" t="s">
        <v>11056</v>
      </c>
      <c r="KT9" t="s">
        <v>11023</v>
      </c>
      <c r="LI9" t="s">
        <v>13207</v>
      </c>
      <c r="LN9" t="s">
        <v>12640</v>
      </c>
      <c r="LS9" t="s">
        <v>384</v>
      </c>
      <c r="LX9" t="s">
        <v>472</v>
      </c>
      <c r="MM9" t="s">
        <v>3073</v>
      </c>
      <c r="MR9" t="s">
        <v>10763</v>
      </c>
      <c r="MW9" t="s">
        <v>43</v>
      </c>
      <c r="NB9" t="s">
        <v>11267</v>
      </c>
      <c r="NG9" t="s">
        <v>11043</v>
      </c>
      <c r="NL9" t="s">
        <v>10893</v>
      </c>
      <c r="NQ9" t="s">
        <v>11849</v>
      </c>
      <c r="NV9" t="s">
        <v>11312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830</v>
      </c>
      <c r="K1" s="1" t="s">
        <v>831</v>
      </c>
      <c r="U1" s="1" t="s">
        <v>832</v>
      </c>
      <c r="AE1" s="1" t="s">
        <v>833</v>
      </c>
      <c r="AO1" s="1" t="s">
        <v>834</v>
      </c>
      <c r="AY1" s="1" t="s">
        <v>835</v>
      </c>
      <c r="BI1" s="1" t="s">
        <v>836</v>
      </c>
      <c r="BS1" s="1" t="s">
        <v>837</v>
      </c>
      <c r="CC1" s="1" t="s">
        <v>838</v>
      </c>
      <c r="CM1" s="1" t="s">
        <v>839</v>
      </c>
      <c r="CW1" s="1" t="s">
        <v>840</v>
      </c>
      <c r="DG1" s="1" t="s">
        <v>841</v>
      </c>
      <c r="DQ1" s="1" t="s">
        <v>842</v>
      </c>
      <c r="EA1" s="1" t="s">
        <v>843</v>
      </c>
      <c r="EK1" s="1" t="s">
        <v>844</v>
      </c>
      <c r="EU1" s="1" t="s">
        <v>845</v>
      </c>
      <c r="FE1" s="1" t="s">
        <v>846</v>
      </c>
      <c r="FO1" s="1" t="s">
        <v>847</v>
      </c>
      <c r="FY1" s="1" t="s">
        <v>848</v>
      </c>
      <c r="GI1" s="1" t="s">
        <v>849</v>
      </c>
      <c r="GS1" s="1" t="s">
        <v>850</v>
      </c>
      <c r="HC1" s="1" t="s">
        <v>851</v>
      </c>
      <c r="HM1" s="1" t="s">
        <v>852</v>
      </c>
      <c r="HW1" s="1" t="s">
        <v>853</v>
      </c>
      <c r="IG1" s="1" t="s">
        <v>854</v>
      </c>
      <c r="IQ1" s="1" t="s">
        <v>855</v>
      </c>
      <c r="JA1" s="1" t="s">
        <v>856</v>
      </c>
      <c r="JK1" s="1" t="s">
        <v>857</v>
      </c>
      <c r="JU1" s="1" t="s">
        <v>858</v>
      </c>
      <c r="KE1" s="1" t="s">
        <v>859</v>
      </c>
      <c r="KO1" s="1" t="s">
        <v>860</v>
      </c>
      <c r="KY1" s="1" t="s">
        <v>861</v>
      </c>
      <c r="LI1" s="1" t="s">
        <v>862</v>
      </c>
      <c r="LS1" s="1" t="s">
        <v>863</v>
      </c>
      <c r="MC1" s="1" t="s">
        <v>864</v>
      </c>
      <c r="MM1" s="1" t="s">
        <v>865</v>
      </c>
      <c r="MW1" s="1" t="s">
        <v>866</v>
      </c>
      <c r="NG1" s="1" t="s">
        <v>867</v>
      </c>
      <c r="NQ1" s="1" t="s">
        <v>868</v>
      </c>
      <c r="OA1" s="1" t="s">
        <v>869</v>
      </c>
    </row>
    <row r="2" spans="1:396" x14ac:dyDescent="0.25">
      <c r="A2" s="2" t="s">
        <v>870</v>
      </c>
      <c r="K2" s="2" t="s">
        <v>387</v>
      </c>
      <c r="U2" s="2" t="s">
        <v>270</v>
      </c>
      <c r="AE2" s="2" t="s">
        <v>580</v>
      </c>
      <c r="AO2" s="2" t="s">
        <v>64</v>
      </c>
      <c r="AY2" s="2" t="s">
        <v>871</v>
      </c>
      <c r="BI2" s="2" t="s">
        <v>872</v>
      </c>
      <c r="BS2" s="2" t="s">
        <v>873</v>
      </c>
      <c r="CC2" s="2" t="s">
        <v>874</v>
      </c>
      <c r="CM2" s="2" t="s">
        <v>56</v>
      </c>
      <c r="CW2" s="2" t="s">
        <v>386</v>
      </c>
      <c r="DG2" s="2" t="s">
        <v>282</v>
      </c>
      <c r="DQ2" s="2" t="s">
        <v>776</v>
      </c>
      <c r="EA2" s="2" t="s">
        <v>41</v>
      </c>
      <c r="EK2" s="2" t="s">
        <v>875</v>
      </c>
      <c r="EU2" s="2" t="s">
        <v>876</v>
      </c>
      <c r="FE2" s="2" t="s">
        <v>383</v>
      </c>
      <c r="FO2" s="2" t="s">
        <v>877</v>
      </c>
      <c r="FY2" s="2" t="s">
        <v>878</v>
      </c>
      <c r="GI2" s="2" t="s">
        <v>64</v>
      </c>
      <c r="GS2" s="2" t="s">
        <v>879</v>
      </c>
      <c r="HC2" s="2" t="s">
        <v>880</v>
      </c>
      <c r="HM2" s="2" t="s">
        <v>573</v>
      </c>
      <c r="HW2" s="2" t="s">
        <v>49</v>
      </c>
      <c r="IG2" s="2" t="s">
        <v>881</v>
      </c>
      <c r="IQ2" s="2" t="s">
        <v>882</v>
      </c>
      <c r="JA2" s="2" t="s">
        <v>260</v>
      </c>
      <c r="JK2" s="2" t="s">
        <v>883</v>
      </c>
      <c r="JU2" s="2" t="s">
        <v>70</v>
      </c>
      <c r="KE2" s="2" t="s">
        <v>278</v>
      </c>
      <c r="KO2" s="2" t="s">
        <v>470</v>
      </c>
      <c r="KY2" s="2" t="s">
        <v>884</v>
      </c>
      <c r="LI2" s="2" t="s">
        <v>43</v>
      </c>
      <c r="LS2" s="2" t="s">
        <v>885</v>
      </c>
      <c r="MC2" s="2" t="s">
        <v>886</v>
      </c>
      <c r="MM2" s="2" t="s">
        <v>887</v>
      </c>
      <c r="MW2" s="2" t="s">
        <v>379</v>
      </c>
      <c r="NG2" s="2" t="s">
        <v>888</v>
      </c>
      <c r="NQ2" s="2" t="s">
        <v>889</v>
      </c>
      <c r="OA2" s="2" t="s">
        <v>782</v>
      </c>
    </row>
    <row r="3" spans="1:396" x14ac:dyDescent="0.25">
      <c r="A3" t="s">
        <v>890</v>
      </c>
      <c r="K3" t="s">
        <v>891</v>
      </c>
      <c r="U3" t="s">
        <v>892</v>
      </c>
      <c r="AE3" t="s">
        <v>893</v>
      </c>
      <c r="AO3" t="s">
        <v>894</v>
      </c>
      <c r="AY3" t="s">
        <v>895</v>
      </c>
      <c r="BI3" t="s">
        <v>896</v>
      </c>
      <c r="BS3" t="s">
        <v>897</v>
      </c>
      <c r="CC3" t="s">
        <v>898</v>
      </c>
      <c r="CM3" t="s">
        <v>899</v>
      </c>
      <c r="CW3" t="s">
        <v>900</v>
      </c>
      <c r="DG3" t="s">
        <v>901</v>
      </c>
      <c r="DQ3" t="s">
        <v>902</v>
      </c>
      <c r="EA3" t="s">
        <v>903</v>
      </c>
      <c r="EK3" t="s">
        <v>904</v>
      </c>
      <c r="EU3" t="s">
        <v>905</v>
      </c>
      <c r="FE3" t="s">
        <v>906</v>
      </c>
      <c r="FO3" t="s">
        <v>907</v>
      </c>
      <c r="FY3" t="s">
        <v>908</v>
      </c>
      <c r="GI3" t="s">
        <v>909</v>
      </c>
      <c r="GS3" t="s">
        <v>728</v>
      </c>
      <c r="HC3" t="s">
        <v>178</v>
      </c>
      <c r="HM3" t="s">
        <v>910</v>
      </c>
      <c r="HW3" t="s">
        <v>911</v>
      </c>
      <c r="IG3" t="s">
        <v>912</v>
      </c>
      <c r="IQ3" t="s">
        <v>913</v>
      </c>
      <c r="JA3" t="s">
        <v>914</v>
      </c>
      <c r="JK3" t="s">
        <v>915</v>
      </c>
      <c r="JU3" t="s">
        <v>916</v>
      </c>
      <c r="KE3" t="s">
        <v>917</v>
      </c>
      <c r="KO3" t="s">
        <v>918</v>
      </c>
      <c r="KY3" t="s">
        <v>919</v>
      </c>
      <c r="LI3" t="s">
        <v>920</v>
      </c>
      <c r="LS3" t="s">
        <v>921</v>
      </c>
      <c r="MC3" t="s">
        <v>813</v>
      </c>
      <c r="MM3" t="s">
        <v>922</v>
      </c>
      <c r="MW3" t="s">
        <v>923</v>
      </c>
      <c r="NG3" t="s">
        <v>924</v>
      </c>
      <c r="NQ3" t="s">
        <v>925</v>
      </c>
      <c r="OA3" t="s">
        <v>926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_xll.BDS("LLY US Equity","SUPPLY_CHAIN_SUPPLIERS","RELATIONSHIP_AS_OF_DATE","20190107","cols=1;rows=5")</f>
        <v>RIGL US Equity</v>
      </c>
      <c r="F5" t="str">
        <f>_xll.BDS("LLY US Equity","SUPPLY_CHAIN_CUSTOMERS","RELATIONSHIP_AS_OF_DATE","20190107","cols=1;rows=5")</f>
        <v>MCK US Equity</v>
      </c>
      <c r="K5" t="str">
        <f>_xll.BDS("DHR US Equity","SUPPLY_CHAIN_SUPPLIERS","RELATIONSHIP_AS_OF_DATE","20110207","cols=1;rows=5")</f>
        <v>FLEX US Equity</v>
      </c>
      <c r="P5" t="str">
        <f>_xll.BDS("DHR US Equity","SUPPLY_CHAIN_CUSTOMERS","RELATIONSHIP_AS_OF_DATE","20110207","cols=1;rows=5")</f>
        <v>CDW US Equity</v>
      </c>
      <c r="U5" t="str">
        <f>_xll.BDS("USB US Equity","SUPPLY_CHAIN_SUPPLIERS","RELATIONSHIP_AS_OF_DATE","19980701","cols=1;rows=5")</f>
        <v>INFO IN Equity</v>
      </c>
      <c r="Z5" t="str">
        <f>_xll.BDS("USB US Equity","SUPPLY_CHAIN_CUSTOMERS","RELATIONSHIP_AS_OF_DATE","19980701","cols=1;rows=2")</f>
        <v>FISV US Equity</v>
      </c>
      <c r="AE5" t="str">
        <f>_xll.BDS("DBRG US Equity","SUPPLY_CHAIN_SUPPLIERS","RELATIONSHIP_AS_OF_DATE","20220511","cols=1;rows=5")</f>
        <v>1504275D US Equity</v>
      </c>
      <c r="AJ5" t="str">
        <f>_xll.BDS("DBRG US Equity","SUPPLY_CHAIN_CUSTOMERS","RELATIONSHIP_AS_OF_DATE","20220511","cols=1;rows=5")</f>
        <v>603667 CH Equity</v>
      </c>
      <c r="AO5" t="str">
        <f>_xll.BDS("nan Equity","SUPPLY_CHAIN_SUPPLIERS","RELATIONSHIP_AS_OF_DATE","20180808")</f>
        <v>#N/A N/A</v>
      </c>
      <c r="AT5" t="str">
        <f>_xll.BDS("nan Equity","SUPPLY_CHAIN_CUSTOMERS","RELATIONSHIP_AS_OF_DATE","20180808")</f>
        <v>#N/A N/A</v>
      </c>
      <c r="AY5" t="str">
        <f>_xll.BDS("OVV US Equity","SUPPLY_CHAIN_SUPPLIERS","RELATIONSHIP_AS_OF_DATE","20140929","cols=1;rows=5")</f>
        <v>VK FP Equity</v>
      </c>
      <c r="BD5" t="str">
        <f>_xll.BDS("OVV US Equity","SUPPLY_CHAIN_CUSTOMERS","RELATIONSHIP_AS_OF_DATE","20140929")</f>
        <v>9888092Z US Equity</v>
      </c>
      <c r="BI5" t="str">
        <f>_xll.BDS("ES US Equity","SUPPLY_CHAIN_SUPPLIERS","RELATIONSHIP_AS_OF_DATE","20101018","cols=1;rows=5")</f>
        <v>PWR US Equity</v>
      </c>
      <c r="BN5" t="str">
        <f>_xll.BDS("ES US Equity","SUPPLY_CHAIN_CUSTOMERS","RELATIONSHIP_AS_OF_DATE","20101018","cols=1;rows=5")</f>
        <v>ARW US Equity</v>
      </c>
      <c r="BS5" t="str">
        <f>_xll.BDS("GEC US Equity","SUPPLY_CHAIN_SUPPLIERS","RELATIONSHIP_AS_OF_DATE","20000809")</f>
        <v>#N/A N/A</v>
      </c>
      <c r="BX5" t="str">
        <f>_xll.BDS("GEC US Equity","SUPPLY_CHAIN_CUSTOMERS","RELATIONSHIP_AS_OF_DATE","20000809")</f>
        <v>#N/A N/A</v>
      </c>
      <c r="CC5" t="str">
        <f>_xll.BDS("VTR US Equity","SUPPLY_CHAIN_SUPPLIERS","RELATIONSHIP_AS_OF_DATE","20110228")</f>
        <v>#N/A N/A</v>
      </c>
      <c r="CH5" t="str">
        <f>_xll.BDS("VTR US Equity","SUPPLY_CHAIN_CUSTOMERS","RELATIONSHIP_AS_OF_DATE","20110228","cols=1;rows=3")</f>
        <v>BKD US Equity</v>
      </c>
      <c r="CM5" t="str">
        <f>_xll.BDS("ET US Equity","SUPPLY_CHAIN_SUPPLIERS","RELATIONSHIP_AS_OF_DATE","20210217","cols=1;rows=5")</f>
        <v>CNR CN Equity</v>
      </c>
      <c r="CR5" t="str">
        <f>_xll.BDS("ET US Equity","SUPPLY_CHAIN_CUSTOMERS","RELATIONSHIP_AS_OF_DATE","20210217","cols=1;rows=5")</f>
        <v>384 HK Equity</v>
      </c>
      <c r="CW5" t="str">
        <f>_xll.BDS("WAMUQ US Equity","SUPPLY_CHAIN_SUPPLIERS","RELATIONSHIP_AS_OF_DATE","19970306")</f>
        <v>#N/A N/A</v>
      </c>
      <c r="DB5" t="str">
        <f>_xll.BDS("WAMUQ US Equity","SUPPLY_CHAIN_CUSTOMERS","RELATIONSHIP_AS_OF_DATE","19970306")</f>
        <v>#N/A N/A</v>
      </c>
      <c r="DG5" t="str">
        <f>_xll.BDS("9876456D US Equity","SUPPLY_CHAIN_SUPPLIERS","RELATIONSHIP_AS_OF_DATE","20120430")</f>
        <v>#N/A N/A</v>
      </c>
      <c r="DL5" t="str">
        <f>_xll.BDS("9876456D US Equity","SUPPLY_CHAIN_CUSTOMERS","RELATIONSHIP_AS_OF_DATE","20120430")</f>
        <v>#N/A N/A</v>
      </c>
      <c r="DQ5" t="str">
        <f>_xll.BDS("CELG US Equity","SUPPLY_CHAIN_SUPPLIERS","RELATIONSHIP_AS_OF_DATE","20150714")</f>
        <v>FE US Equity</v>
      </c>
      <c r="DV5" t="str">
        <f>_xll.BDS("CELG US Equity","SUPPLY_CHAIN_CUSTOMERS","RELATIONSHIP_AS_OF_DATE","20150714")</f>
        <v>#N/A N/A</v>
      </c>
      <c r="EA5" t="str">
        <f>_xll.BDS("T US Equity","SUPPLY_CHAIN_SUPPLIERS","RELATIONSHIP_AS_OF_DATE","19980105","cols=1;rows=5")</f>
        <v>AAPL US Equity</v>
      </c>
      <c r="EF5" t="str">
        <f>_xll.BDS("T US Equity","SUPPLY_CHAIN_CUSTOMERS","RELATIONSHIP_AS_OF_DATE","19980105","cols=1;rows=5")</f>
        <v>IBM US Equity</v>
      </c>
      <c r="EK5" t="str">
        <f>_xll.BDS("CYH US Equity","SUPPLY_CHAIN_SUPPLIERS","RELATIONSHIP_AS_OF_DATE","20130730","cols=1;rows=5")</f>
        <v>DOC US Equity</v>
      </c>
      <c r="EP5" t="str">
        <f>_xll.BDS("CYH US Equity","SUPPLY_CHAIN_CUSTOMERS","RELATIONSHIP_AS_OF_DATE","20130730")</f>
        <v>9877893Z US Equity</v>
      </c>
      <c r="EU5" t="str">
        <f>_xll.BDS("MNIQQ US Equity","SUPPLY_CHAIN_SUPPLIERS","RELATIONSHIP_AS_OF_DATE","20060313")</f>
        <v>#N/A N/A</v>
      </c>
      <c r="EZ5" t="str">
        <f>_xll.BDS("MNIQQ US Equity","SUPPLY_CHAIN_CUSTOMERS","RELATIONSHIP_AS_OF_DATE","20060313")</f>
        <v>#N/A N/A</v>
      </c>
      <c r="FE5" t="str">
        <f>_xll.BDS("INTC US Equity","SUPPLY_CHAIN_SUPPLIERS","RELATIONSHIP_AS_OF_DATE","20100819","cols=1;rows=5")</f>
        <v>ASML NA Equity</v>
      </c>
      <c r="FJ5" t="str">
        <f>_xll.BDS("INTC US Equity","SUPPLY_CHAIN_CUSTOMERS","RELATIONSHIP_AS_OF_DATE","20100819","cols=1;rows=5")</f>
        <v>DELL US Equity</v>
      </c>
      <c r="FO5" t="str">
        <f>_xll.BDS("3133754Q US Equity","SUPPLY_CHAIN_SUPPLIERS","RELATIONSHIP_AS_OF_DATE","19990601")</f>
        <v>#N/A N/A</v>
      </c>
      <c r="FT5" t="str">
        <f>_xll.BDS("3133754Q US Equity","SUPPLY_CHAIN_CUSTOMERS","RELATIONSHIP_AS_OF_DATE","19990601")</f>
        <v>#N/A N/A</v>
      </c>
      <c r="FY5" t="str">
        <f>_xll.BDS("4622869Z US Equity","SUPPLY_CHAIN_SUPPLIERS","RELATIONSHIP_AS_OF_DATE","20070119")</f>
        <v>#N/A N/A</v>
      </c>
      <c r="GD5" t="str">
        <f>_xll.BDS("4622869Z US Equity","SUPPLY_CHAIN_CUSTOMERS","RELATIONSHIP_AS_OF_DATE","20070119")</f>
        <v>#N/A N/A</v>
      </c>
      <c r="GI5" t="str">
        <f>_xll.BDS("nan Equity","SUPPLY_CHAIN_SUPPLIERS","RELATIONSHIP_AS_OF_DATE","20060605")</f>
        <v>#N/A N/A</v>
      </c>
      <c r="GN5" t="str">
        <f>_xll.BDS("nan Equity","SUPPLY_CHAIN_CUSTOMERS","RELATIONSHIP_AS_OF_DATE","20060605")</f>
        <v>#N/A N/A</v>
      </c>
      <c r="GS5" t="str">
        <f>_xll.BDS("CNCEQ US Equity","SUPPLY_CHAIN_SUPPLIERS","RELATIONSHIP_AS_OF_DATE","19980407")</f>
        <v>#N/A N/A</v>
      </c>
      <c r="GX5" t="str">
        <f>_xll.BDS("CNCEQ US Equity","SUPPLY_CHAIN_CUSTOMERS","RELATIONSHIP_AS_OF_DATE","19980407")</f>
        <v>#N/A N/A</v>
      </c>
      <c r="HC5" t="str">
        <f>_xll.BDS("2860436Q US Equity","SUPPLY_CHAIN_SUPPLIERS","RELATIONSHIP_AS_OF_DATE","19980624")</f>
        <v>#N/A N/A</v>
      </c>
      <c r="HH5" t="str">
        <f>_xll.BDS("2860436Q US Equity","SUPPLY_CHAIN_CUSTOMERS","RELATIONSHIP_AS_OF_DATE","19980624")</f>
        <v>#N/A N/A</v>
      </c>
      <c r="HM5" t="str">
        <f>_xll.BDS("CAG US Equity","SUPPLY_CHAIN_SUPPLIERS","RELATIONSHIP_AS_OF_DATE","20121127","cols=1;rows=5")</f>
        <v>AMCR US Equity</v>
      </c>
      <c r="HR5" t="str">
        <f>_xll.BDS("CAG US Equity","SUPPLY_CHAIN_CUSTOMERS","RELATIONSHIP_AS_OF_DATE","20121127","cols=1;rows=5")</f>
        <v>WMT US Equity</v>
      </c>
      <c r="HW5" t="str">
        <f>_xll.BDS("VZ US Equity","SUPPLY_CHAIN_SUPPLIERS","RELATIONSHIP_AS_OF_DATE","20050214","cols=1;rows=5")</f>
        <v>AAPL US Equity</v>
      </c>
      <c r="IB5" t="str">
        <f>_xll.BDS("VZ US Equity","SUPPLY_CHAIN_CUSTOMERS","RELATIONSHIP_AS_OF_DATE","20050214","cols=1;rows=5")</f>
        <v>SNX US Equity</v>
      </c>
      <c r="IG5" t="str">
        <f>_xll.BDS("TXN US Equity","SUPPLY_CHAIN_SUPPLIERS","RELATIONSHIP_AS_OF_DATE","20000621","cols=1;rows=5")</f>
        <v>2330 TT Equity</v>
      </c>
      <c r="IL5" t="str">
        <f>_xll.BDS("TXN US Equity","SUPPLY_CHAIN_CUSTOMERS","RELATIONSHIP_AS_OF_DATE","20000621","cols=1;rows=5")</f>
        <v>VOW GR Equity</v>
      </c>
      <c r="IQ5" t="str">
        <f>_xll.BDS("HR US Equity","SUPPLY_CHAIN_SUPPLIERS","RELATIONSHIP_AS_OF_DATE","20220228")</f>
        <v>#N/A N/A</v>
      </c>
      <c r="IV5" t="str">
        <f>_xll.BDS("HR US Equity","SUPPLY_CHAIN_CUSTOMERS","RELATIONSHIP_AS_OF_DATE","20220228","cols=1;rows=5")</f>
        <v>HCA US Equity</v>
      </c>
      <c r="JA5" t="str">
        <f>_xll.BDS("DUK US Equity","SUPPLY_CHAIN_SUPPLIERS","RELATIONSHIP_AS_OF_DATE","20151026","cols=1;rows=5")</f>
        <v>PWR US Equity</v>
      </c>
      <c r="JF5" t="str">
        <f>_xll.BDS("DUK US Equity","SUPPLY_CHAIN_CUSTOMERS","RELATIONSHIP_AS_OF_DATE","20151026","cols=1;rows=5")</f>
        <v>000150 KS Equity</v>
      </c>
      <c r="JK5" t="str">
        <f>_xll.BDS("LYO US Equity","SUPPLY_CHAIN_SUPPLIERS","RELATIONSHIP_AS_OF_DATE","19980618")</f>
        <v>#N/A N/A</v>
      </c>
      <c r="JP5" t="str">
        <f>_xll.BDS("LYO US Equity","SUPPLY_CHAIN_CUSTOMERS","RELATIONSHIP_AS_OF_DATE","19980618")</f>
        <v>#N/A N/A</v>
      </c>
      <c r="JU5" t="str">
        <f>_xll.BDS("0848680D US Equity","SUPPLY_CHAIN_SUPPLIERS","RELATIONSHIP_AS_OF_DATE","20051024")</f>
        <v>#N/A N/A</v>
      </c>
      <c r="JZ5" t="str">
        <f>_xll.BDS("0848680D US Equity","SUPPLY_CHAIN_CUSTOMERS","RELATIONSHIP_AS_OF_DATE","20051024")</f>
        <v>#N/A N/A</v>
      </c>
      <c r="KE5" t="str">
        <f>_xll.BDS("APC US Equity","SUPPLY_CHAIN_SUPPLIERS","RELATIONSHIP_AS_OF_DATE","20000403")</f>
        <v>#N/A N/A</v>
      </c>
      <c r="KJ5" t="str">
        <f>_xll.BDS("APC US Equity","SUPPLY_CHAIN_CUSTOMERS","RELATIONSHIP_AS_OF_DATE","20000403")</f>
        <v>#N/A N/A</v>
      </c>
      <c r="KO5" t="str">
        <f>_xll.BDS("CNC US Equity","SUPPLY_CHAIN_SUPPLIERS","RELATIONSHIP_AS_OF_DATE","20150702","cols=1;rows=5")</f>
        <v>CI US Equity</v>
      </c>
      <c r="KT5" t="str">
        <f>_xll.BDS("CNC US Equity","SUPPLY_CHAIN_CUSTOMERS","RELATIONSHIP_AS_OF_DATE","20150702","cols=1;rows=5")</f>
        <v>STONY1 US Equity</v>
      </c>
      <c r="KY5" t="str">
        <f>_xll.BDS("EOP US Equity","SUPPLY_CHAIN_SUPPLIERS","RELATIONSHIP_AS_OF_DATE","20010223")</f>
        <v>#N/A N/A</v>
      </c>
      <c r="LD5" t="str">
        <f>_xll.BDS("EOP US Equity","SUPPLY_CHAIN_CUSTOMERS","RELATIONSHIP_AS_OF_DATE","20010223")</f>
        <v>#N/A N/A</v>
      </c>
      <c r="LI5" t="str">
        <f>_xll.BDS("BMY US Equity","SUPPLY_CHAIN_SUPPLIERS","RELATIONSHIP_AS_OF_DATE","20120629","cols=1;rows=5")</f>
        <v>PFE US Equity</v>
      </c>
      <c r="LN5" t="str">
        <f>_xll.BDS("BMY US Equity","SUPPLY_CHAIN_CUSTOMERS","RELATIONSHIP_AS_OF_DATE","20120629","cols=1;rows=5")</f>
        <v>MCK US Equity</v>
      </c>
      <c r="LS5" t="str">
        <f>_xll.BDS("SPG US Equity","SUPPLY_CHAIN_SUPPLIERS","RELATIONSHIP_AS_OF_DATE","20200210","cols=1;rows=4")</f>
        <v>420 HK Equity</v>
      </c>
      <c r="LX5" t="str">
        <f>_xll.BDS("SPG US Equity","SUPPLY_CHAIN_CUSTOMERS","RELATIONSHIP_AS_OF_DATE","20200210","cols=1;rows=5")</f>
        <v>GAP US Equity</v>
      </c>
      <c r="MC5" t="str">
        <f>_xll.BDS("2471693D US Equity","SUPPLY_CHAIN_SUPPLIERS","RELATIONSHIP_AS_OF_DATE","20000313")</f>
        <v>#N/A N/A</v>
      </c>
      <c r="MH5" t="str">
        <f>_xll.BDS("2471693D US Equity","SUPPLY_CHAIN_CUSTOMERS","RELATIONSHIP_AS_OF_DATE","20000313")</f>
        <v>#N/A N/A</v>
      </c>
      <c r="MM5" t="str">
        <f>_xll.BDS("ENTG US Equity","SUPPLY_CHAIN_SUPPLIERS","RELATIONSHIP_AS_OF_DATE","20211215","cols=1;rows=5")</f>
        <v>CBT US Equity</v>
      </c>
      <c r="MR5" t="str">
        <f>_xll.BDS("ENTG US Equity","SUPPLY_CHAIN_CUSTOMERS","RELATIONSHIP_AS_OF_DATE","20211215","cols=1;rows=5")</f>
        <v>2330 TT Equity</v>
      </c>
      <c r="MW5" t="str">
        <f>_xll.BDS("ELV US Equity","SUPPLY_CHAIN_SUPPLIERS","RELATIONSHIP_AS_OF_DATE","20050927","cols=1;rows=5")</f>
        <v>HNGE US Equity</v>
      </c>
      <c r="NB5" t="str">
        <f>_xll.BDS("ELV US Equity","SUPPLY_CHAIN_CUSTOMERS","RELATIONSHIP_AS_OF_DATE","20050927","cols=1;rows=5")</f>
        <v>3352Z US Equity</v>
      </c>
      <c r="NG5" t="str">
        <f>_xll.BDS("EQT US Equity","SUPPLY_CHAIN_SUPPLIERS","RELATIONSHIP_AS_OF_DATE","20170619","cols=1;rows=5")</f>
        <v>PWR US Equity</v>
      </c>
      <c r="NL5" t="str">
        <f>_xll.BDS("EQT US Equity","SUPPLY_CHAIN_CUSTOMERS","RELATIONSHIP_AS_OF_DATE","20170619","cols=1;rows=4")</f>
        <v>0641942D US Equity</v>
      </c>
      <c r="NQ5" t="str">
        <f>_xll.BDS("1255459D US Equity","SUPPLY_CHAIN_SUPPLIERS","RELATIONSHIP_AS_OF_DATE","20080612","cols=1;rows=2")</f>
        <v>CREI LN Equity</v>
      </c>
      <c r="NV5" t="str">
        <f>_xll.BDS("1255459D US Equity","SUPPLY_CHAIN_CUSTOMERS","RELATIONSHIP_AS_OF_DATE","20080612","cols=1;rows=5")</f>
        <v>028260 KS Equity</v>
      </c>
      <c r="OA5" t="str">
        <f>_xll.BDS("MGM US Equity","SUPPLY_CHAIN_SUPPLIERS","RELATIONSHIP_AS_OF_DATE","20000223","cols=1;rows=5")</f>
        <v>VICI US Equity</v>
      </c>
      <c r="OF5" t="str">
        <f>_xll.BDS("MGM US Equity","SUPPLY_CHAIN_CUSTOMERS","RELATIONSHIP_AS_OF_DATE","20000223","cols=1;rows=5")</f>
        <v>0676719D US Equity</v>
      </c>
    </row>
    <row r="6" spans="1:396" x14ac:dyDescent="0.25">
      <c r="A6" t="s">
        <v>10846</v>
      </c>
      <c r="F6" t="s">
        <v>1468</v>
      </c>
      <c r="K6" t="s">
        <v>10735</v>
      </c>
      <c r="P6" t="s">
        <v>2881</v>
      </c>
      <c r="U6" t="s">
        <v>266</v>
      </c>
      <c r="Z6" t="s">
        <v>11294</v>
      </c>
      <c r="AE6" t="s">
        <v>2204</v>
      </c>
      <c r="AJ6" t="s">
        <v>12895</v>
      </c>
      <c r="AY6" t="s">
        <v>12079</v>
      </c>
      <c r="BI6" t="s">
        <v>10667</v>
      </c>
      <c r="BN6" t="s">
        <v>11553</v>
      </c>
      <c r="CH6" t="s">
        <v>790</v>
      </c>
      <c r="CM6" t="s">
        <v>684</v>
      </c>
      <c r="CR6" t="s">
        <v>68</v>
      </c>
      <c r="EA6" t="s">
        <v>10892</v>
      </c>
      <c r="EF6" t="s">
        <v>2881</v>
      </c>
      <c r="EK6" t="s">
        <v>13218</v>
      </c>
      <c r="FE6" t="s">
        <v>11090</v>
      </c>
      <c r="FJ6" t="s">
        <v>261</v>
      </c>
      <c r="HM6" t="s">
        <v>11254</v>
      </c>
      <c r="HR6" t="s">
        <v>477</v>
      </c>
      <c r="HW6" t="s">
        <v>10892</v>
      </c>
      <c r="IB6" t="s">
        <v>6473</v>
      </c>
      <c r="IG6" t="s">
        <v>12033</v>
      </c>
      <c r="IL6" t="s">
        <v>6473</v>
      </c>
      <c r="IV6" t="s">
        <v>12634</v>
      </c>
      <c r="JA6" t="s">
        <v>3251</v>
      </c>
      <c r="JF6" t="s">
        <v>11527</v>
      </c>
      <c r="KO6" t="s">
        <v>6897</v>
      </c>
      <c r="KT6" t="s">
        <v>13209</v>
      </c>
      <c r="LI6" t="s">
        <v>12214</v>
      </c>
      <c r="LN6" t="s">
        <v>1468</v>
      </c>
      <c r="LS6" t="s">
        <v>13194</v>
      </c>
      <c r="LX6" t="s">
        <v>13047</v>
      </c>
      <c r="MM6" t="s">
        <v>12751</v>
      </c>
      <c r="MR6" t="s">
        <v>10892</v>
      </c>
      <c r="MW6" t="s">
        <v>13226</v>
      </c>
      <c r="NB6" t="s">
        <v>13034</v>
      </c>
      <c r="NG6" t="s">
        <v>11171</v>
      </c>
      <c r="NL6" t="s">
        <v>389</v>
      </c>
      <c r="NQ6" t="s">
        <v>2887</v>
      </c>
      <c r="NV6" t="s">
        <v>10637</v>
      </c>
      <c r="OA6" t="s">
        <v>366</v>
      </c>
      <c r="OF6" t="s">
        <v>12773</v>
      </c>
    </row>
    <row r="7" spans="1:396" x14ac:dyDescent="0.25">
      <c r="A7" t="s">
        <v>10847</v>
      </c>
      <c r="F7" t="s">
        <v>970</v>
      </c>
      <c r="K7" t="s">
        <v>273</v>
      </c>
      <c r="P7" t="s">
        <v>10661</v>
      </c>
      <c r="U7" t="s">
        <v>1654</v>
      </c>
      <c r="AE7" t="s">
        <v>12945</v>
      </c>
      <c r="AJ7" t="s">
        <v>12896</v>
      </c>
      <c r="AY7" t="s">
        <v>11312</v>
      </c>
      <c r="BI7" t="s">
        <v>12758</v>
      </c>
      <c r="BN7" t="s">
        <v>11554</v>
      </c>
      <c r="CH7" t="s">
        <v>12154</v>
      </c>
      <c r="CM7" t="s">
        <v>12295</v>
      </c>
      <c r="CR7" t="s">
        <v>6710</v>
      </c>
      <c r="EA7" t="s">
        <v>10738</v>
      </c>
      <c r="EF7" t="s">
        <v>10680</v>
      </c>
      <c r="EK7" t="s">
        <v>12354</v>
      </c>
      <c r="FE7" t="s">
        <v>10729</v>
      </c>
      <c r="FJ7" t="s">
        <v>10853</v>
      </c>
      <c r="HM7" t="s">
        <v>10978</v>
      </c>
      <c r="HR7" t="s">
        <v>11811</v>
      </c>
      <c r="HW7" t="s">
        <v>670</v>
      </c>
      <c r="IB7" t="s">
        <v>10660</v>
      </c>
      <c r="IG7" t="s">
        <v>4898</v>
      </c>
      <c r="IL7" t="s">
        <v>5236</v>
      </c>
      <c r="IV7" t="s">
        <v>13150</v>
      </c>
      <c r="JA7" t="s">
        <v>12085</v>
      </c>
      <c r="JF7" t="s">
        <v>11751</v>
      </c>
      <c r="KO7" t="s">
        <v>13262</v>
      </c>
      <c r="KT7" t="s">
        <v>12421</v>
      </c>
      <c r="LI7" t="s">
        <v>12215</v>
      </c>
      <c r="LN7" t="s">
        <v>970</v>
      </c>
      <c r="LS7" t="s">
        <v>13195</v>
      </c>
      <c r="LX7" t="s">
        <v>2033</v>
      </c>
      <c r="MM7" t="s">
        <v>12752</v>
      </c>
      <c r="MR7" t="s">
        <v>11597</v>
      </c>
      <c r="MW7" t="s">
        <v>972</v>
      </c>
      <c r="NB7" t="s">
        <v>13035</v>
      </c>
      <c r="NG7" t="s">
        <v>3251</v>
      </c>
      <c r="NL7" t="s">
        <v>582</v>
      </c>
      <c r="NV7" t="s">
        <v>10638</v>
      </c>
      <c r="OA7" t="s">
        <v>171</v>
      </c>
      <c r="OF7" t="s">
        <v>12774</v>
      </c>
    </row>
    <row r="8" spans="1:396" x14ac:dyDescent="0.25">
      <c r="A8" t="s">
        <v>2785</v>
      </c>
      <c r="F8" t="s">
        <v>10799</v>
      </c>
      <c r="K8" t="s">
        <v>6320</v>
      </c>
      <c r="P8" t="s">
        <v>10662</v>
      </c>
      <c r="U8" t="s">
        <v>772</v>
      </c>
      <c r="AE8" t="s">
        <v>12290</v>
      </c>
      <c r="AJ8" t="s">
        <v>12897</v>
      </c>
      <c r="AY8" t="s">
        <v>1548</v>
      </c>
      <c r="BI8" t="s">
        <v>375</v>
      </c>
      <c r="BN8" t="s">
        <v>12255</v>
      </c>
      <c r="CM8" t="s">
        <v>11757</v>
      </c>
      <c r="CR8" t="s">
        <v>10740</v>
      </c>
      <c r="EA8" t="s">
        <v>670</v>
      </c>
      <c r="EF8" t="s">
        <v>3519</v>
      </c>
      <c r="EK8" t="s">
        <v>13219</v>
      </c>
      <c r="FE8" t="s">
        <v>10892</v>
      </c>
      <c r="FJ8" t="s">
        <v>11566</v>
      </c>
      <c r="HM8" t="s">
        <v>11585</v>
      </c>
      <c r="HR8" t="s">
        <v>10992</v>
      </c>
      <c r="HW8" t="s">
        <v>2705</v>
      </c>
      <c r="IB8" t="s">
        <v>4219</v>
      </c>
      <c r="IG8" t="s">
        <v>11933</v>
      </c>
      <c r="IL8" t="s">
        <v>11106</v>
      </c>
      <c r="IV8" t="s">
        <v>12636</v>
      </c>
      <c r="JA8" t="s">
        <v>7384</v>
      </c>
      <c r="JF8" t="s">
        <v>13266</v>
      </c>
      <c r="KO8" t="s">
        <v>972</v>
      </c>
      <c r="KT8" t="s">
        <v>13210</v>
      </c>
      <c r="LI8" t="s">
        <v>65</v>
      </c>
      <c r="LN8" t="s">
        <v>51</v>
      </c>
      <c r="LS8" t="s">
        <v>13196</v>
      </c>
      <c r="LX8" t="s">
        <v>3074</v>
      </c>
      <c r="MM8" t="s">
        <v>12753</v>
      </c>
      <c r="MR8" t="s">
        <v>1267</v>
      </c>
      <c r="MW8" t="s">
        <v>1654</v>
      </c>
      <c r="NB8" t="s">
        <v>13036</v>
      </c>
      <c r="NG8" t="s">
        <v>2406</v>
      </c>
      <c r="NL8" t="s">
        <v>9373</v>
      </c>
      <c r="NV8" t="s">
        <v>10639</v>
      </c>
      <c r="OA8" t="s">
        <v>2316</v>
      </c>
      <c r="OF8" t="s">
        <v>12775</v>
      </c>
    </row>
    <row r="9" spans="1:396" x14ac:dyDescent="0.25">
      <c r="A9" t="s">
        <v>10821</v>
      </c>
      <c r="F9" t="s">
        <v>10800</v>
      </c>
      <c r="K9" t="s">
        <v>1654</v>
      </c>
      <c r="P9" t="s">
        <v>10663</v>
      </c>
      <c r="U9" t="s">
        <v>11073</v>
      </c>
      <c r="AE9" t="s">
        <v>12946</v>
      </c>
      <c r="AJ9" t="s">
        <v>11441</v>
      </c>
      <c r="AY9" t="s">
        <v>12820</v>
      </c>
      <c r="BI9" t="s">
        <v>12488</v>
      </c>
      <c r="BN9" t="s">
        <v>12256</v>
      </c>
      <c r="CM9" t="s">
        <v>11449</v>
      </c>
      <c r="CR9" t="s">
        <v>12617</v>
      </c>
      <c r="EA9" t="s">
        <v>6724</v>
      </c>
      <c r="EF9" t="s">
        <v>11366</v>
      </c>
      <c r="EK9" t="s">
        <v>13220</v>
      </c>
      <c r="FE9" t="s">
        <v>1267</v>
      </c>
      <c r="FJ9" t="s">
        <v>11875</v>
      </c>
      <c r="HM9" t="s">
        <v>10748</v>
      </c>
      <c r="HR9" t="s">
        <v>10805</v>
      </c>
      <c r="HW9" t="s">
        <v>10738</v>
      </c>
      <c r="IB9" t="s">
        <v>10680</v>
      </c>
      <c r="IG9" t="s">
        <v>11204</v>
      </c>
      <c r="IL9" t="s">
        <v>10660</v>
      </c>
      <c r="IV9" t="s">
        <v>13151</v>
      </c>
      <c r="JA9" t="s">
        <v>772</v>
      </c>
      <c r="JF9" t="s">
        <v>11555</v>
      </c>
      <c r="KO9" t="s">
        <v>6640</v>
      </c>
      <c r="KT9" t="s">
        <v>13211</v>
      </c>
      <c r="LI9" t="s">
        <v>368</v>
      </c>
      <c r="LN9" t="s">
        <v>472</v>
      </c>
      <c r="LX9" t="s">
        <v>12797</v>
      </c>
      <c r="MM9" t="s">
        <v>12754</v>
      </c>
      <c r="MR9" t="s">
        <v>383</v>
      </c>
      <c r="MW9" t="s">
        <v>7475</v>
      </c>
      <c r="NB9" t="s">
        <v>13037</v>
      </c>
      <c r="NG9" t="s">
        <v>11172</v>
      </c>
      <c r="NV9" t="s">
        <v>10640</v>
      </c>
      <c r="OA9" t="s">
        <v>12112</v>
      </c>
      <c r="OF9" t="s">
        <v>12776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927</v>
      </c>
      <c r="K1" s="1" t="s">
        <v>928</v>
      </c>
      <c r="U1" s="1" t="s">
        <v>929</v>
      </c>
      <c r="AE1" s="1" t="s">
        <v>930</v>
      </c>
      <c r="AO1" s="1" t="s">
        <v>931</v>
      </c>
      <c r="AY1" s="1" t="s">
        <v>932</v>
      </c>
      <c r="BI1" s="1" t="s">
        <v>933</v>
      </c>
      <c r="BS1" s="1" t="s">
        <v>934</v>
      </c>
      <c r="CC1" s="1" t="s">
        <v>935</v>
      </c>
      <c r="CM1" s="1" t="s">
        <v>936</v>
      </c>
      <c r="CW1" s="1" t="s">
        <v>937</v>
      </c>
      <c r="DG1" s="1" t="s">
        <v>938</v>
      </c>
      <c r="DQ1" s="1" t="s">
        <v>939</v>
      </c>
      <c r="EA1" s="1" t="s">
        <v>940</v>
      </c>
      <c r="EK1" s="1" t="s">
        <v>941</v>
      </c>
      <c r="EU1" s="1" t="s">
        <v>942</v>
      </c>
      <c r="FE1" s="1" t="s">
        <v>943</v>
      </c>
      <c r="FO1" s="1" t="s">
        <v>944</v>
      </c>
      <c r="FY1" s="1" t="s">
        <v>945</v>
      </c>
      <c r="GI1" s="1" t="s">
        <v>946</v>
      </c>
      <c r="GS1" s="1" t="s">
        <v>947</v>
      </c>
      <c r="HC1" s="1" t="s">
        <v>948</v>
      </c>
      <c r="HM1" s="1" t="s">
        <v>949</v>
      </c>
      <c r="HW1" s="1" t="s">
        <v>950</v>
      </c>
      <c r="IG1" s="1" t="s">
        <v>951</v>
      </c>
      <c r="IQ1" s="1" t="s">
        <v>952</v>
      </c>
      <c r="JA1" s="1" t="s">
        <v>953</v>
      </c>
      <c r="JK1" s="1" t="s">
        <v>954</v>
      </c>
      <c r="JU1" s="1" t="s">
        <v>955</v>
      </c>
      <c r="KE1" s="1" t="s">
        <v>956</v>
      </c>
      <c r="KO1" s="1" t="s">
        <v>957</v>
      </c>
      <c r="KY1" s="1" t="s">
        <v>958</v>
      </c>
      <c r="LI1" s="1" t="s">
        <v>959</v>
      </c>
      <c r="LS1" s="1" t="s">
        <v>960</v>
      </c>
      <c r="MC1" s="1" t="s">
        <v>961</v>
      </c>
      <c r="MM1" s="1" t="s">
        <v>962</v>
      </c>
      <c r="MW1" s="1" t="s">
        <v>963</v>
      </c>
      <c r="NG1" s="1" t="s">
        <v>964</v>
      </c>
      <c r="NQ1" s="1" t="s">
        <v>965</v>
      </c>
      <c r="OA1" s="1" t="s">
        <v>966</v>
      </c>
    </row>
    <row r="2" spans="1:396" x14ac:dyDescent="0.25">
      <c r="A2" s="2" t="s">
        <v>881</v>
      </c>
      <c r="K2" s="2" t="s">
        <v>875</v>
      </c>
      <c r="U2" s="2" t="s">
        <v>967</v>
      </c>
      <c r="AE2" s="2" t="s">
        <v>584</v>
      </c>
      <c r="AO2" s="2" t="s">
        <v>968</v>
      </c>
      <c r="AY2" s="2" t="s">
        <v>969</v>
      </c>
      <c r="BI2" s="2" t="s">
        <v>376</v>
      </c>
      <c r="BS2" s="2" t="s">
        <v>970</v>
      </c>
      <c r="CC2" s="2" t="s">
        <v>790</v>
      </c>
      <c r="CM2" s="2" t="s">
        <v>971</v>
      </c>
      <c r="CW2" s="2" t="s">
        <v>972</v>
      </c>
      <c r="DG2" s="2" t="s">
        <v>973</v>
      </c>
      <c r="DQ2" s="2" t="s">
        <v>974</v>
      </c>
      <c r="EA2" s="2" t="s">
        <v>975</v>
      </c>
      <c r="EK2" s="2" t="s">
        <v>976</v>
      </c>
      <c r="EU2" s="2" t="s">
        <v>977</v>
      </c>
      <c r="FE2" s="2" t="s">
        <v>790</v>
      </c>
      <c r="FO2" s="2" t="s">
        <v>978</v>
      </c>
      <c r="FY2" s="2" t="s">
        <v>979</v>
      </c>
      <c r="GI2" s="2" t="s">
        <v>580</v>
      </c>
      <c r="GS2" s="2" t="s">
        <v>980</v>
      </c>
      <c r="HC2" s="2" t="s">
        <v>280</v>
      </c>
      <c r="HM2" s="2" t="s">
        <v>582</v>
      </c>
      <c r="HW2" s="2" t="s">
        <v>870</v>
      </c>
      <c r="IG2" s="2" t="s">
        <v>981</v>
      </c>
      <c r="IQ2" s="2" t="s">
        <v>382</v>
      </c>
      <c r="JA2" s="2" t="s">
        <v>982</v>
      </c>
      <c r="JK2" s="2" t="s">
        <v>983</v>
      </c>
      <c r="JU2" s="2" t="s">
        <v>984</v>
      </c>
      <c r="KE2" s="2" t="s">
        <v>985</v>
      </c>
      <c r="KO2" s="2" t="s">
        <v>986</v>
      </c>
      <c r="KY2" s="2" t="s">
        <v>40</v>
      </c>
      <c r="LI2" s="2" t="s">
        <v>987</v>
      </c>
      <c r="LS2" s="2" t="s">
        <v>981</v>
      </c>
      <c r="MC2" s="2" t="s">
        <v>679</v>
      </c>
      <c r="MM2" s="2" t="s">
        <v>988</v>
      </c>
      <c r="MW2" s="2" t="s">
        <v>989</v>
      </c>
      <c r="NG2" s="2" t="s">
        <v>990</v>
      </c>
      <c r="NQ2" s="2" t="s">
        <v>991</v>
      </c>
      <c r="OA2" s="2" t="s">
        <v>992</v>
      </c>
    </row>
    <row r="3" spans="1:396" x14ac:dyDescent="0.25">
      <c r="A3" t="s">
        <v>993</v>
      </c>
      <c r="K3" t="s">
        <v>994</v>
      </c>
      <c r="U3" t="s">
        <v>995</v>
      </c>
      <c r="AE3" t="s">
        <v>996</v>
      </c>
      <c r="AO3" t="s">
        <v>87</v>
      </c>
      <c r="AY3" t="s">
        <v>997</v>
      </c>
      <c r="BI3" t="s">
        <v>998</v>
      </c>
      <c r="BS3" t="s">
        <v>999</v>
      </c>
      <c r="CC3" t="s">
        <v>1000</v>
      </c>
      <c r="CM3" t="s">
        <v>1001</v>
      </c>
      <c r="CW3" t="s">
        <v>1002</v>
      </c>
      <c r="DG3" t="s">
        <v>1003</v>
      </c>
      <c r="DQ3" t="s">
        <v>1004</v>
      </c>
      <c r="EA3" t="s">
        <v>406</v>
      </c>
      <c r="EK3" t="s">
        <v>1005</v>
      </c>
      <c r="EU3" t="s">
        <v>1006</v>
      </c>
      <c r="FE3" t="s">
        <v>1007</v>
      </c>
      <c r="FO3" t="s">
        <v>1008</v>
      </c>
      <c r="FY3" t="s">
        <v>1004</v>
      </c>
      <c r="GI3" t="s">
        <v>617</v>
      </c>
      <c r="GS3" t="s">
        <v>215</v>
      </c>
      <c r="HC3" t="s">
        <v>1009</v>
      </c>
      <c r="HM3" t="s">
        <v>104</v>
      </c>
      <c r="HW3" t="s">
        <v>1010</v>
      </c>
      <c r="IG3" t="s">
        <v>1011</v>
      </c>
      <c r="IQ3" t="s">
        <v>812</v>
      </c>
      <c r="JA3" t="s">
        <v>1012</v>
      </c>
      <c r="JK3" t="s">
        <v>1013</v>
      </c>
      <c r="JU3" t="s">
        <v>1014</v>
      </c>
      <c r="KE3" t="s">
        <v>1015</v>
      </c>
      <c r="KO3" t="s">
        <v>1016</v>
      </c>
      <c r="KY3" t="s">
        <v>996</v>
      </c>
      <c r="LI3" t="s">
        <v>1017</v>
      </c>
      <c r="LS3" t="s">
        <v>1018</v>
      </c>
      <c r="MC3" t="s">
        <v>1019</v>
      </c>
      <c r="MM3" t="s">
        <v>1020</v>
      </c>
      <c r="MW3" t="s">
        <v>1021</v>
      </c>
      <c r="NG3" t="s">
        <v>1022</v>
      </c>
      <c r="NQ3" t="s">
        <v>1023</v>
      </c>
      <c r="OA3" t="s">
        <v>1024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_xll.BDS("TXN US Equity","SUPPLY_CHAIN_SUPPLIERS","RELATIONSHIP_AS_OF_DATE","20110404","cols=1;rows=5")</f>
        <v>2330 TT Equity</v>
      </c>
      <c r="F5" t="str">
        <f>_xll.BDS("TXN US Equity","SUPPLY_CHAIN_CUSTOMERS","RELATIONSHIP_AS_OF_DATE","20110404","cols=1;rows=5")</f>
        <v>VOW GR Equity</v>
      </c>
      <c r="K5" t="str">
        <f>_xll.BDS("CYH US Equity","SUPPLY_CHAIN_SUPPLIERS","RELATIONSHIP_AS_OF_DATE","20070319","cols=1;rows=5")</f>
        <v>DOC US Equity</v>
      </c>
      <c r="P5" t="str">
        <f>_xll.BDS("CYH US Equity","SUPPLY_CHAIN_CUSTOMERS","RELATIONSHIP_AS_OF_DATE","20070319")</f>
        <v>9877893Z US Equity</v>
      </c>
      <c r="U5" t="str">
        <f>_xll.BDS("DLR US Equity","SUPPLY_CHAIN_SUPPLIERS","RELATIONSHIP_AS_OF_DATE","20170609","cols=1;rows=5")</f>
        <v>5401 JP Equity</v>
      </c>
      <c r="Z5" t="str">
        <f>_xll.BDS("DLR US Equity","SUPPLY_CHAIN_CUSTOMERS","RELATIONSHIP_AS_OF_DATE","20170609","cols=1;rows=5")</f>
        <v>ORCL US Equity</v>
      </c>
      <c r="AE5" t="str">
        <f>_xll.BDS("IP US Equity","SUPPLY_CHAIN_SUPPLIERS","RELATIONSHIP_AS_OF_DATE","19981124","cols=1;rows=5")</f>
        <v>MTX US Equity</v>
      </c>
      <c r="AJ5" t="str">
        <f>_xll.BDS("IP US Equity","SUPPLY_CHAIN_CUSTOMERS","RELATIONSHIP_AS_OF_DATE","19981124","cols=1;rows=5")</f>
        <v>TSCO LN Equity</v>
      </c>
      <c r="AO5" t="str">
        <f>_xll.BDS("SSCCQ US Equity","SUPPLY_CHAIN_SUPPLIERS","RELATIONSHIP_AS_OF_DATE","19980511")</f>
        <v>#N/A N/A</v>
      </c>
      <c r="AT5" t="str">
        <f>_xll.BDS("SSCCQ US Equity","SUPPLY_CHAIN_CUSTOMERS","RELATIONSHIP_AS_OF_DATE","19980511")</f>
        <v>#N/A N/A</v>
      </c>
      <c r="AY5" t="str">
        <f>_xll.BDS("CSCO US Equity","SUPPLY_CHAIN_SUPPLIERS","RELATIONSHIP_AS_OF_DATE","19990826","cols=1;rows=5")</f>
        <v>NVDA US Equity</v>
      </c>
      <c r="BD5" t="str">
        <f>_xll.BDS("CSCO US Equity","SUPPLY_CHAIN_CUSTOMERS","RELATIONSHIP_AS_OF_DATE","19990826","cols=1;rows=5")</f>
        <v>SNX US Equity</v>
      </c>
      <c r="BI5" t="str">
        <f>_xll.BDS("1996074D US Equity","SUPPLY_CHAIN_SUPPLIERS","RELATIONSHIP_AS_OF_DATE","19990313")</f>
        <v>#N/A N/A</v>
      </c>
      <c r="BN5" t="str">
        <f>_xll.BDS("1996074D US Equity","SUPPLY_CHAIN_CUSTOMERS","RELATIONSHIP_AS_OF_DATE","19990313")</f>
        <v>#N/A N/A</v>
      </c>
      <c r="BS5" t="str">
        <f>_xll.BDS("CAH US Equity","SUPPLY_CHAIN_SUPPLIERS","RELATIONSHIP_AS_OF_DATE","19981009","cols=1;rows=5")</f>
        <v>LLY US Equity</v>
      </c>
      <c r="BX5" t="str">
        <f>_xll.BDS("CAH US Equity","SUPPLY_CHAIN_CUSTOMERS","RELATIONSHIP_AS_OF_DATE","19981009","cols=1;rows=5")</f>
        <v>CVS US Equity</v>
      </c>
      <c r="CC5" t="str">
        <f>_xll.BDS("APO US Equity","SUPPLY_CHAIN_SUPPLIERS","RELATIONSHIP_AS_OF_DATE","20220223","cols=1;rows=5")</f>
        <v>PG US Equity</v>
      </c>
      <c r="CH5" t="str">
        <f>_xll.BDS("APO US Equity","SUPPLY_CHAIN_CUSTOMERS","RELATIONSHIP_AS_OF_DATE","20220223","cols=1;rows=5")</f>
        <v>RTX US Equity</v>
      </c>
      <c r="CM5" t="str">
        <f>_xll.BDS("DXC US Equity","SUPPLY_CHAIN_SUPPLIERS","RELATIONSHIP_AS_OF_DATE","20160524","cols=1;rows=5")</f>
        <v>IBM US Equity</v>
      </c>
      <c r="CR5" t="str">
        <f>_xll.BDS("DXC US Equity","SUPPLY_CHAIN_CUSTOMERS","RELATIONSHIP_AS_OF_DATE","20160524","cols=1;rows=5")</f>
        <v>8206440Z LN Equity</v>
      </c>
      <c r="CW5" t="str">
        <f>_xll.BDS("BIIB US Equity","SUPPLY_CHAIN_SUPPLIERS","RELATIONSHIP_AS_OF_DATE","20030623","cols=1;rows=5")</f>
        <v>IONS US Equity</v>
      </c>
      <c r="DB5" t="str">
        <f>_xll.BDS("BIIB US Equity","SUPPLY_CHAIN_CUSTOMERS","RELATIONSHIP_AS_OF_DATE","20030623","cols=1;rows=5")</f>
        <v>COR US Equity</v>
      </c>
      <c r="DG5" t="str">
        <f>_xll.BDS("285939Q US Equity","SUPPLY_CHAIN_SUPPLIERS","RELATIONSHIP_AS_OF_DATE","19950820")</f>
        <v>#N/A N/A</v>
      </c>
      <c r="DL5" t="str">
        <f>_xll.BDS("285939Q US Equity","SUPPLY_CHAIN_CUSTOMERS","RELATIONSHIP_AS_OF_DATE","19950820")</f>
        <v>#N/A N/A</v>
      </c>
      <c r="DQ5" t="str">
        <f>_xll.BDS("ACM US Equity","SUPPLY_CHAIN_SUPPLIERS","RELATIONSHIP_AS_OF_DATE","20140713","cols=1;rows=5")</f>
        <v>ERF FP Equity</v>
      </c>
      <c r="DV5" t="str">
        <f>_xll.BDS("ACM US Equity","SUPPLY_CHAIN_CUSTOMERS","RELATIONSHIP_AS_OF_DATE","20140713","cols=1;rows=5")</f>
        <v>3352Z US Equity</v>
      </c>
      <c r="EA5" t="str">
        <f>_xll.BDS("1715651D US Equity","SUPPLY_CHAIN_SUPPLIERS","RELATIONSHIP_AS_OF_DATE","19990315")</f>
        <v>FE US Equity</v>
      </c>
      <c r="EF5" t="str">
        <f>_xll.BDS("1715651D US Equity","SUPPLY_CHAIN_CUSTOMERS","RELATIONSHIP_AS_OF_DATE","19990315")</f>
        <v>#N/A N/A</v>
      </c>
      <c r="EK5" t="str">
        <f>_xll.BDS("MTCH US Equity","SUPPLY_CHAIN_SUPPLIERS","RELATIONSHIP_AS_OF_DATE","20191219","cols=1;rows=5")</f>
        <v>053300 KS Equity</v>
      </c>
      <c r="EP5" t="str">
        <f>_xll.BDS("MTCH US Equity","SUPPLY_CHAIN_CUSTOMERS","RELATIONSHIP_AS_OF_DATE","20191219","cols=1;rows=3")</f>
        <v>AAPL US Equity</v>
      </c>
      <c r="EU5" t="str">
        <f>_xll.BDS("NFB US Equity","SUPPLY_CHAIN_SUPPLIERS","RELATIONSHIP_AS_OF_DATE","20040216")</f>
        <v>#N/A N/A</v>
      </c>
      <c r="EZ5" t="str">
        <f>_xll.BDS("NFB US Equity","SUPPLY_CHAIN_CUSTOMERS","RELATIONSHIP_AS_OF_DATE","20040216")</f>
        <v>#N/A N/A</v>
      </c>
      <c r="FE5" t="str">
        <f>_xll.BDS("APO US Equity","SUPPLY_CHAIN_SUPPLIERS","RELATIONSHIP_AS_OF_DATE","20191113","cols=1;rows=5")</f>
        <v>PG US Equity</v>
      </c>
      <c r="FJ5" t="str">
        <f>_xll.BDS("APO US Equity","SUPPLY_CHAIN_CUSTOMERS","RELATIONSHIP_AS_OF_DATE","20191113","cols=1;rows=5")</f>
        <v>RTX US Equity</v>
      </c>
      <c r="FO5" t="str">
        <f>_xll.BDS("CPB US Equity","SUPPLY_CHAIN_SUPPLIERS","RELATIONSHIP_AS_OF_DATE","20171218","cols=1;rows=5")</f>
        <v>SLGN US Equity</v>
      </c>
      <c r="FT5" t="str">
        <f>_xll.BDS("CPB US Equity","SUPPLY_CHAIN_CUSTOMERS","RELATIONSHIP_AS_OF_DATE","20171218","cols=1;rows=5")</f>
        <v>WMT US Equity</v>
      </c>
      <c r="FY5" t="str">
        <f>_xll.BDS("WLL US Equity","SUPPLY_CHAIN_SUPPLIERS","RELATIONSHIP_AS_OF_DATE","20140713")</f>
        <v>#N/A N/A</v>
      </c>
      <c r="GD5" t="str">
        <f>_xll.BDS("WLL US Equity","SUPPLY_CHAIN_CUSTOMERS","RELATIONSHIP_AS_OF_DATE","20140713")</f>
        <v>#N/A N/A</v>
      </c>
      <c r="GI5" t="str">
        <f>_xll.BDS("DBRG US Equity","SUPPLY_CHAIN_SUPPLIERS","RELATIONSHIP_AS_OF_DATE","20160603","cols=1;rows=5")</f>
        <v>1504275D US Equity</v>
      </c>
      <c r="GN5" t="str">
        <f>_xll.BDS("DBRG US Equity","SUPPLY_CHAIN_CUSTOMERS","RELATIONSHIP_AS_OF_DATE","20160603","cols=1;rows=5")</f>
        <v>603667 CH Equity</v>
      </c>
      <c r="GS5" t="str">
        <f>_xll.BDS("ALB US Equity","SUPPLY_CHAIN_SUPPLIERS","RELATIONSHIP_AS_OF_DATE","20140715","cols=1;rows=5")</f>
        <v>002466 CH Equity</v>
      </c>
      <c r="GX5" t="str">
        <f>_xll.BDS("ALB US Equity","SUPPLY_CHAIN_CUSTOMERS","RELATIONSHIP_AS_OF_DATE","20140715","cols=1;rows=5")</f>
        <v>UMI BB Equity</v>
      </c>
      <c r="HC5" t="str">
        <f>_xll.BDS("NWL US Equity","SUPPLY_CHAIN_SUPPLIERS","RELATIONSHIP_AS_OF_DATE","19981021","cols=1;rows=5")</f>
        <v>ORCL US Equity</v>
      </c>
      <c r="HH5" t="str">
        <f>_xll.BDS("NWL US Equity","SUPPLY_CHAIN_CUSTOMERS","RELATIONSHIP_AS_OF_DATE","19981021","cols=1;rows=5")</f>
        <v>AMZN US Equity</v>
      </c>
      <c r="HM5" t="str">
        <f>_xll.BDS("WMB US Equity","SUPPLY_CHAIN_SUPPLIERS","RELATIONSHIP_AS_OF_DATE","20140615","cols=1;rows=5")</f>
        <v>PWR US Equity</v>
      </c>
      <c r="HR5" t="str">
        <f>_xll.BDS("WMB US Equity","SUPPLY_CHAIN_CUSTOMERS","RELATIONSHIP_AS_OF_DATE","20140615","cols=1;rows=5")</f>
        <v>3352Z US Equity</v>
      </c>
      <c r="HW5" t="str">
        <f>_xll.BDS("LLY US Equity","SUPPLY_CHAIN_SUPPLIERS","RELATIONSHIP_AS_OF_DATE","20081006","cols=1;rows=5")</f>
        <v>RIGL US Equity</v>
      </c>
      <c r="IB5" t="str">
        <f>_xll.BDS("LLY US Equity","SUPPLY_CHAIN_CUSTOMERS","RELATIONSHIP_AS_OF_DATE","20081006","cols=1;rows=5")</f>
        <v>MCK US Equity</v>
      </c>
      <c r="IG5" t="str">
        <f>_xll.BDS("TFCFA US Equity","SUPPLY_CHAIN_SUPPLIERS","RELATIONSHIP_AS_OF_DATE","20050110")</f>
        <v>#N/A N/A</v>
      </c>
      <c r="IL5" t="str">
        <f>_xll.BDS("TFCFA US Equity","SUPPLY_CHAIN_CUSTOMERS","RELATIONSHIP_AS_OF_DATE","20050110")</f>
        <v>#N/A N/A</v>
      </c>
      <c r="IQ5" t="str">
        <f>_xll.BDS("D US Equity","SUPPLY_CHAIN_SUPPLIERS","RELATIONSHIP_AS_OF_DATE","20160201","cols=1;rows=5")</f>
        <v>PWR US Equity</v>
      </c>
      <c r="IV5" t="str">
        <f>_xll.BDS("D US Equity","SUPPLY_CHAIN_CUSTOMERS","RELATIONSHIP_AS_OF_DATE","20160201","cols=1;rows=5")</f>
        <v>000039 CH Equity</v>
      </c>
      <c r="JA5" t="str">
        <f>_xll.BDS("EMR US Equity","SUPPLY_CHAIN_SUPPLIERS","RELATIONSHIP_AS_OF_DATE","20211011","cols=1;rows=5")</f>
        <v>JBL US Equity</v>
      </c>
      <c r="JF5" t="str">
        <f>_xll.BDS("EMR US Equity","SUPPLY_CHAIN_CUSTOMERS","RELATIONSHIP_AS_OF_DATE","20211011","cols=1;rows=5")</f>
        <v>TMO US Equity</v>
      </c>
      <c r="JK5" t="str">
        <f>_xll.BDS("DVN US Equity","SUPPLY_CHAIN_SUPPLIERS","RELATIONSHIP_AS_OF_DATE","20200928","cols=1;rows=5")</f>
        <v>AROC US Equity</v>
      </c>
      <c r="JP5" t="str">
        <f>_xll.BDS("DVN US Equity","SUPPLY_CHAIN_CUSTOMERS","RELATIONSHIP_AS_OF_DATE","20200928")</f>
        <v>CNA LN Equity</v>
      </c>
      <c r="JU5" t="str">
        <f>_xll.BDS("3692470Q US Equity","SUPPLY_CHAIN_SUPPLIERS","RELATIONSHIP_AS_OF_DATE","19980316")</f>
        <v>#N/A N/A</v>
      </c>
      <c r="JZ5" t="str">
        <f>_xll.BDS("3692470Q US Equity","SUPPLY_CHAIN_CUSTOMERS","RELATIONSHIP_AS_OF_DATE","19980316")</f>
        <v>#N/A N/A</v>
      </c>
      <c r="KE5" t="str">
        <f>_xll.BDS("ESS US Equity","SUPPLY_CHAIN_SUPPLIERS","RELATIONSHIP_AS_OF_DATE","20131209","cols=1;rows=2")</f>
        <v>1447661D US Equity</v>
      </c>
      <c r="KJ5" t="str">
        <f>_xll.BDS("ESS US Equity","SUPPLY_CHAIN_CUSTOMERS","RELATIONSHIP_AS_OF_DATE","20131209")</f>
        <v>#N/A N/A</v>
      </c>
      <c r="KO5" t="str">
        <f>_xll.BDS("CG US Equity","SUPPLY_CHAIN_SUPPLIERS","RELATIONSHIP_AS_OF_DATE","20070702","cols=1;rows=5")</f>
        <v>SLG US Equity</v>
      </c>
      <c r="KT5" t="str">
        <f>_xll.BDS("CG US Equity","SUPPLY_CHAIN_CUSTOMERS","RELATIONSHIP_AS_OF_DATE","20070702","cols=1;rows=5")</f>
        <v>POOL US Equity</v>
      </c>
      <c r="KY5" t="str">
        <f>_xll.BDS("TWX US Equity","SUPPLY_CHAIN_SUPPLIERS","RELATIONSHIP_AS_OF_DATE","19981124")</f>
        <v>#N/A N/A</v>
      </c>
      <c r="LD5" t="str">
        <f>_xll.BDS("TWX US Equity","SUPPLY_CHAIN_CUSTOMERS","RELATIONSHIP_AS_OF_DATE","19981124")</f>
        <v>#N/A N/A</v>
      </c>
      <c r="LI5" t="str">
        <f>_xll.BDS("PNC US Equity","SUPPLY_CHAIN_SUPPLIERS","RELATIONSHIP_AS_OF_DATE","20061009","cols=1;rows=5")</f>
        <v>ORCL US Equity</v>
      </c>
      <c r="LN5" t="str">
        <f>_xll.BDS("PNC US Equity","SUPPLY_CHAIN_CUSTOMERS","RELATIONSHIP_AS_OF_DATE","20061009")</f>
        <v>4502 JP Equity</v>
      </c>
      <c r="LS5" t="str">
        <f>_xll.BDS("TFCFA US Equity","SUPPLY_CHAIN_SUPPLIERS","RELATIONSHIP_AS_OF_DATE","20070501")</f>
        <v>#N/A N/A</v>
      </c>
      <c r="LX5" t="str">
        <f>_xll.BDS("TFCFA US Equity","SUPPLY_CHAIN_CUSTOMERS","RELATIONSHIP_AS_OF_DATE","20070501")</f>
        <v>#N/A N/A</v>
      </c>
      <c r="MC5" t="str">
        <f>_xll.BDS("EPD US Equity","SUPPLY_CHAIN_SUPPLIERS","RELATIONSHIP_AS_OF_DATE","20090629","cols=1;rows=5")</f>
        <v>MTDR US Equity</v>
      </c>
      <c r="MH5" t="str">
        <f>_xll.BDS("EPD US Equity","SUPPLY_CHAIN_CUSTOMERS","RELATIONSHIP_AS_OF_DATE","20090629","cols=1;rows=5")</f>
        <v>62647Z LN Equity</v>
      </c>
      <c r="MM5" t="str">
        <f>_xll.BDS("REG US Equity","SUPPLY_CHAIN_SUPPLIERS","RELATIONSHIP_AS_OF_DATE","20161114")</f>
        <v>#N/A N/A</v>
      </c>
      <c r="MR5" t="str">
        <f>_xll.BDS("REG US Equity","SUPPLY_CHAIN_CUSTOMERS","RELATIONSHIP_AS_OF_DATE","20161114","cols=1;rows=5")</f>
        <v>2455892D US Equity</v>
      </c>
      <c r="MW5" t="str">
        <f>_xll.BDS("ANDV US Equity","SUPPLY_CHAIN_SUPPLIERS","RELATIONSHIP_AS_OF_DATE","20161117")</f>
        <v>#N/A N/A</v>
      </c>
      <c r="NB5" t="str">
        <f>_xll.BDS("ANDV US Equity","SUPPLY_CHAIN_CUSTOMERS","RELATIONSHIP_AS_OF_DATE","20161117")</f>
        <v>#N/A N/A</v>
      </c>
      <c r="NG5" t="str">
        <f>_xll.BDS("WBS US Equity","SUPPLY_CHAIN_SUPPLIERS","RELATIONSHIP_AS_OF_DATE","20210419","cols=1;rows=2")</f>
        <v>FISV US Equity</v>
      </c>
      <c r="NL5" t="str">
        <f>_xll.BDS("WBS US Equity","SUPPLY_CHAIN_CUSTOMERS","RELATIONSHIP_AS_OF_DATE","20210419")</f>
        <v>CNXN US Equity</v>
      </c>
      <c r="NQ5" t="str">
        <f>_xll.BDS("SITC US Equity","SUPPLY_CHAIN_SUPPLIERS","RELATIONSHIP_AS_OF_DATE","20061023")</f>
        <v>#N/A N/A</v>
      </c>
      <c r="NV5" t="str">
        <f>_xll.BDS("SITC US Equity","SUPPLY_CHAIN_CUSTOMERS","RELATIONSHIP_AS_OF_DATE","20061023","cols=1;rows=5")</f>
        <v>TJX US Equity</v>
      </c>
      <c r="OA5" t="str">
        <f>_xll.BDS("BEN US Equity","SUPPLY_CHAIN_SUPPLIERS","RELATIONSHIP_AS_OF_DATE","20200218","cols=1;rows=5")</f>
        <v>SLG US Equity</v>
      </c>
      <c r="OF5" t="str">
        <f>_xll.BDS("BEN US Equity","SUPPLY_CHAIN_CUSTOMERS","RELATIONSHIP_AS_OF_DATE","20200218")</f>
        <v>#N/A N/A</v>
      </c>
    </row>
    <row r="6" spans="1:396" x14ac:dyDescent="0.25">
      <c r="A6" t="s">
        <v>12033</v>
      </c>
      <c r="F6" t="s">
        <v>6473</v>
      </c>
      <c r="K6" t="s">
        <v>13218</v>
      </c>
      <c r="U6" t="s">
        <v>11055</v>
      </c>
      <c r="Z6" t="s">
        <v>165</v>
      </c>
      <c r="AE6" t="s">
        <v>171</v>
      </c>
      <c r="AJ6" t="s">
        <v>11527</v>
      </c>
      <c r="AY6" t="s">
        <v>11089</v>
      </c>
      <c r="BD6" t="s">
        <v>266</v>
      </c>
      <c r="BS6" t="s">
        <v>45</v>
      </c>
      <c r="BX6" t="s">
        <v>10882</v>
      </c>
      <c r="CC6" t="s">
        <v>3343</v>
      </c>
      <c r="CH6" t="s">
        <v>684</v>
      </c>
      <c r="CM6" t="s">
        <v>171</v>
      </c>
      <c r="CR6" t="s">
        <v>13229</v>
      </c>
      <c r="CW6" t="s">
        <v>12810</v>
      </c>
      <c r="DB6" t="s">
        <v>11018</v>
      </c>
      <c r="DQ6" t="s">
        <v>1654</v>
      </c>
      <c r="DV6" t="s">
        <v>11824</v>
      </c>
      <c r="EK6" t="s">
        <v>11503</v>
      </c>
      <c r="EP6" t="s">
        <v>2705</v>
      </c>
      <c r="FE6" t="s">
        <v>3343</v>
      </c>
      <c r="FJ6" t="s">
        <v>684</v>
      </c>
      <c r="FO6" t="s">
        <v>11892</v>
      </c>
      <c r="FT6" t="s">
        <v>10805</v>
      </c>
      <c r="GI6" t="s">
        <v>2204</v>
      </c>
      <c r="GN6" t="s">
        <v>12895</v>
      </c>
      <c r="GS6" t="s">
        <v>11187</v>
      </c>
      <c r="GX6" t="s">
        <v>11184</v>
      </c>
      <c r="HC6" t="s">
        <v>12943</v>
      </c>
      <c r="HH6" t="s">
        <v>10676</v>
      </c>
      <c r="HM6" t="s">
        <v>4211</v>
      </c>
      <c r="HR6" t="s">
        <v>11636</v>
      </c>
      <c r="HW6" t="s">
        <v>10846</v>
      </c>
      <c r="IB6" t="s">
        <v>1468</v>
      </c>
      <c r="IQ6" t="s">
        <v>3251</v>
      </c>
      <c r="IV6" t="s">
        <v>11751</v>
      </c>
      <c r="JA6" t="s">
        <v>10830</v>
      </c>
      <c r="JF6" t="s">
        <v>570</v>
      </c>
      <c r="JK6" t="s">
        <v>11464</v>
      </c>
      <c r="KE6" t="s">
        <v>12431</v>
      </c>
      <c r="KO6" t="s">
        <v>10877</v>
      </c>
      <c r="KT6" t="s">
        <v>11686</v>
      </c>
      <c r="LI6" t="s">
        <v>11188</v>
      </c>
      <c r="MC6" t="s">
        <v>7384</v>
      </c>
      <c r="MH6" t="s">
        <v>2219</v>
      </c>
      <c r="MR6" t="s">
        <v>11524</v>
      </c>
      <c r="NG6" t="s">
        <v>10739</v>
      </c>
      <c r="NV6" t="s">
        <v>5070</v>
      </c>
      <c r="OA6" t="s">
        <v>11910</v>
      </c>
    </row>
    <row r="7" spans="1:396" x14ac:dyDescent="0.25">
      <c r="A7" t="s">
        <v>4898</v>
      </c>
      <c r="F7" t="s">
        <v>5236</v>
      </c>
      <c r="K7" t="s">
        <v>12354</v>
      </c>
      <c r="U7" t="s">
        <v>3712</v>
      </c>
      <c r="Z7" t="s">
        <v>3533</v>
      </c>
      <c r="AE7" t="s">
        <v>11846</v>
      </c>
      <c r="AJ7" t="s">
        <v>12174</v>
      </c>
      <c r="AY7" t="s">
        <v>11090</v>
      </c>
      <c r="BD7" t="s">
        <v>10892</v>
      </c>
      <c r="BS7" t="s">
        <v>368</v>
      </c>
      <c r="BX7" t="s">
        <v>10883</v>
      </c>
      <c r="CC7" t="s">
        <v>2219</v>
      </c>
      <c r="CH7" t="s">
        <v>12534</v>
      </c>
      <c r="CM7" t="s">
        <v>12812</v>
      </c>
      <c r="CR7" t="s">
        <v>10809</v>
      </c>
      <c r="CW7" t="s">
        <v>11338</v>
      </c>
      <c r="DB7" t="s">
        <v>385</v>
      </c>
      <c r="DQ7" t="s">
        <v>13173</v>
      </c>
      <c r="DV7" t="s">
        <v>11826</v>
      </c>
      <c r="EK7" t="s">
        <v>11504</v>
      </c>
      <c r="EP7" t="s">
        <v>11037</v>
      </c>
      <c r="FE7" t="s">
        <v>2219</v>
      </c>
      <c r="FJ7" t="s">
        <v>12534</v>
      </c>
      <c r="FO7" t="s">
        <v>11258</v>
      </c>
      <c r="FT7" t="s">
        <v>10992</v>
      </c>
      <c r="GI7" t="s">
        <v>12945</v>
      </c>
      <c r="GN7" t="s">
        <v>12896</v>
      </c>
      <c r="GS7" t="s">
        <v>11188</v>
      </c>
      <c r="GX7" t="s">
        <v>3875</v>
      </c>
      <c r="HC7" t="s">
        <v>1654</v>
      </c>
      <c r="HH7" t="s">
        <v>10805</v>
      </c>
      <c r="HM7" t="s">
        <v>7384</v>
      </c>
      <c r="HR7" t="s">
        <v>11403</v>
      </c>
      <c r="HW7" t="s">
        <v>10847</v>
      </c>
      <c r="IB7" t="s">
        <v>970</v>
      </c>
      <c r="IQ7" t="s">
        <v>12791</v>
      </c>
      <c r="IV7" t="s">
        <v>12455</v>
      </c>
      <c r="JA7" t="s">
        <v>11595</v>
      </c>
      <c r="JF7" t="s">
        <v>2219</v>
      </c>
      <c r="JK7" t="s">
        <v>11312</v>
      </c>
      <c r="KO7" t="s">
        <v>11282</v>
      </c>
      <c r="KT7" t="s">
        <v>11114</v>
      </c>
      <c r="LI7" t="s">
        <v>10987</v>
      </c>
      <c r="MC7" t="s">
        <v>3066</v>
      </c>
      <c r="MH7" t="s">
        <v>12240</v>
      </c>
      <c r="MR7" t="s">
        <v>10992</v>
      </c>
      <c r="NV7" t="s">
        <v>11526</v>
      </c>
      <c r="OA7" t="s">
        <v>12371</v>
      </c>
    </row>
    <row r="8" spans="1:396" x14ac:dyDescent="0.25">
      <c r="A8" t="s">
        <v>11933</v>
      </c>
      <c r="F8" t="s">
        <v>11106</v>
      </c>
      <c r="K8" t="s">
        <v>13219</v>
      </c>
      <c r="U8" t="s">
        <v>13187</v>
      </c>
      <c r="Z8" t="s">
        <v>266</v>
      </c>
      <c r="AE8" t="s">
        <v>772</v>
      </c>
      <c r="AJ8" t="s">
        <v>12175</v>
      </c>
      <c r="AY8" t="s">
        <v>10734</v>
      </c>
      <c r="BD8" t="s">
        <v>469</v>
      </c>
      <c r="BS8" t="s">
        <v>43</v>
      </c>
      <c r="BX8" t="s">
        <v>477</v>
      </c>
      <c r="CC8" t="s">
        <v>874</v>
      </c>
      <c r="CH8" t="s">
        <v>1363</v>
      </c>
      <c r="CM8" t="s">
        <v>12601</v>
      </c>
      <c r="CR8" t="s">
        <v>13230</v>
      </c>
      <c r="CW8" t="s">
        <v>4814</v>
      </c>
      <c r="DB8" t="s">
        <v>51</v>
      </c>
      <c r="DQ8" t="s">
        <v>13174</v>
      </c>
      <c r="DV8" t="s">
        <v>13145</v>
      </c>
      <c r="EK8" t="s">
        <v>5236</v>
      </c>
      <c r="FE8" t="s">
        <v>874</v>
      </c>
      <c r="FJ8" t="s">
        <v>1363</v>
      </c>
      <c r="FO8" t="s">
        <v>11256</v>
      </c>
      <c r="FT8" t="s">
        <v>10646</v>
      </c>
      <c r="GI8" t="s">
        <v>12290</v>
      </c>
      <c r="GN8" t="s">
        <v>12897</v>
      </c>
      <c r="GS8" t="s">
        <v>11189</v>
      </c>
      <c r="GX8" t="s">
        <v>10953</v>
      </c>
      <c r="HC8" t="s">
        <v>12944</v>
      </c>
      <c r="HH8" t="s">
        <v>570</v>
      </c>
      <c r="HM8" t="s">
        <v>12741</v>
      </c>
      <c r="HR8" t="s">
        <v>12933</v>
      </c>
      <c r="HW8" t="s">
        <v>2785</v>
      </c>
      <c r="IB8" t="s">
        <v>10799</v>
      </c>
      <c r="IQ8" t="s">
        <v>6724</v>
      </c>
      <c r="IV8" t="s">
        <v>10987</v>
      </c>
      <c r="JA8" t="s">
        <v>11161</v>
      </c>
      <c r="JF8" t="s">
        <v>11345</v>
      </c>
      <c r="JK8" t="s">
        <v>13129</v>
      </c>
      <c r="KO8" t="s">
        <v>11283</v>
      </c>
      <c r="KT8" t="s">
        <v>11010</v>
      </c>
      <c r="LI8" t="s">
        <v>12358</v>
      </c>
      <c r="MC8" t="s">
        <v>4211</v>
      </c>
      <c r="MH8" t="s">
        <v>11146</v>
      </c>
      <c r="MR8" t="s">
        <v>469</v>
      </c>
      <c r="NV8" t="s">
        <v>477</v>
      </c>
      <c r="OA8" t="s">
        <v>12372</v>
      </c>
    </row>
    <row r="9" spans="1:396" x14ac:dyDescent="0.25">
      <c r="A9" t="s">
        <v>11204</v>
      </c>
      <c r="F9" t="s">
        <v>10660</v>
      </c>
      <c r="K9" t="s">
        <v>13220</v>
      </c>
      <c r="U9" t="s">
        <v>164</v>
      </c>
      <c r="Z9" t="s">
        <v>11084</v>
      </c>
      <c r="AE9" t="s">
        <v>12631</v>
      </c>
      <c r="AJ9" t="s">
        <v>12176</v>
      </c>
      <c r="AY9" t="s">
        <v>11170</v>
      </c>
      <c r="BD9" t="s">
        <v>41</v>
      </c>
      <c r="BS9" t="s">
        <v>275</v>
      </c>
      <c r="BX9" t="s">
        <v>10634</v>
      </c>
      <c r="CC9" t="s">
        <v>11584</v>
      </c>
      <c r="CH9" t="s">
        <v>10939</v>
      </c>
      <c r="CM9" t="s">
        <v>7475</v>
      </c>
      <c r="CR9" t="s">
        <v>11376</v>
      </c>
      <c r="CW9" t="s">
        <v>10820</v>
      </c>
      <c r="DB9" t="s">
        <v>52</v>
      </c>
      <c r="DQ9" t="s">
        <v>12605</v>
      </c>
      <c r="DV9" t="s">
        <v>12331</v>
      </c>
      <c r="EK9" t="s">
        <v>11505</v>
      </c>
      <c r="FE9" t="s">
        <v>11584</v>
      </c>
      <c r="FJ9" t="s">
        <v>10939</v>
      </c>
      <c r="FO9" t="s">
        <v>13261</v>
      </c>
      <c r="FT9" t="s">
        <v>477</v>
      </c>
      <c r="GI9" t="s">
        <v>12946</v>
      </c>
      <c r="GN9" t="s">
        <v>11441</v>
      </c>
      <c r="GS9" t="s">
        <v>482</v>
      </c>
      <c r="GX9" t="s">
        <v>11185</v>
      </c>
      <c r="HC9" t="s">
        <v>10751</v>
      </c>
      <c r="HH9" t="s">
        <v>10775</v>
      </c>
      <c r="HM9" t="s">
        <v>10855</v>
      </c>
      <c r="HR9" t="s">
        <v>6969</v>
      </c>
      <c r="HW9" t="s">
        <v>10821</v>
      </c>
      <c r="IB9" t="s">
        <v>10800</v>
      </c>
      <c r="IQ9" t="s">
        <v>7384</v>
      </c>
      <c r="IV9" t="s">
        <v>10892</v>
      </c>
      <c r="JA9" t="s">
        <v>11596</v>
      </c>
      <c r="JF9" t="s">
        <v>7215</v>
      </c>
      <c r="JK9" t="s">
        <v>11842</v>
      </c>
      <c r="KO9" t="s">
        <v>11139</v>
      </c>
      <c r="KT9" t="s">
        <v>10660</v>
      </c>
      <c r="LI9" t="s">
        <v>11522</v>
      </c>
      <c r="MC9" t="s">
        <v>485</v>
      </c>
      <c r="MH9" t="s">
        <v>12241</v>
      </c>
      <c r="MR9" t="s">
        <v>477</v>
      </c>
      <c r="NV9" t="s">
        <v>11556</v>
      </c>
      <c r="OA9" t="s">
        <v>12373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1025</v>
      </c>
      <c r="K1" s="1" t="s">
        <v>1026</v>
      </c>
      <c r="U1" s="1" t="s">
        <v>1027</v>
      </c>
      <c r="AE1" s="1" t="s">
        <v>1028</v>
      </c>
      <c r="AO1" s="1" t="s">
        <v>1029</v>
      </c>
      <c r="AY1" s="1" t="s">
        <v>1030</v>
      </c>
      <c r="BI1" s="1" t="s">
        <v>1031</v>
      </c>
      <c r="BS1" s="1" t="s">
        <v>1032</v>
      </c>
      <c r="CC1" s="1" t="s">
        <v>1033</v>
      </c>
      <c r="CM1" s="1" t="s">
        <v>1034</v>
      </c>
      <c r="CW1" s="1" t="s">
        <v>1035</v>
      </c>
      <c r="DG1" s="1" t="s">
        <v>1036</v>
      </c>
      <c r="DQ1" s="1" t="s">
        <v>1037</v>
      </c>
      <c r="EA1" s="1" t="s">
        <v>1038</v>
      </c>
      <c r="EK1" s="1" t="s">
        <v>1039</v>
      </c>
      <c r="EU1" s="1" t="s">
        <v>1040</v>
      </c>
      <c r="FE1" s="1" t="s">
        <v>1041</v>
      </c>
      <c r="FO1" s="1" t="s">
        <v>1042</v>
      </c>
      <c r="FY1" s="1" t="s">
        <v>1043</v>
      </c>
      <c r="GI1" s="1" t="s">
        <v>1044</v>
      </c>
      <c r="GS1" s="1" t="s">
        <v>1045</v>
      </c>
      <c r="HC1" s="1" t="s">
        <v>1046</v>
      </c>
      <c r="HM1" s="1" t="s">
        <v>1047</v>
      </c>
      <c r="HW1" s="1" t="s">
        <v>1048</v>
      </c>
      <c r="IG1" s="1" t="s">
        <v>1049</v>
      </c>
      <c r="IQ1" s="1" t="s">
        <v>1050</v>
      </c>
      <c r="JA1" s="1" t="s">
        <v>1051</v>
      </c>
      <c r="JK1" s="1" t="s">
        <v>1052</v>
      </c>
      <c r="JU1" s="1" t="s">
        <v>1053</v>
      </c>
      <c r="KE1" s="1" t="s">
        <v>1054</v>
      </c>
      <c r="KO1" s="1" t="s">
        <v>1055</v>
      </c>
      <c r="KY1" s="1" t="s">
        <v>1056</v>
      </c>
      <c r="LI1" s="1" t="s">
        <v>1057</v>
      </c>
      <c r="LS1" s="1" t="s">
        <v>1058</v>
      </c>
      <c r="MC1" s="1" t="s">
        <v>1059</v>
      </c>
      <c r="MM1" s="1" t="s">
        <v>1060</v>
      </c>
      <c r="MW1" s="1" t="s">
        <v>1061</v>
      </c>
      <c r="NG1" s="1" t="s">
        <v>1062</v>
      </c>
      <c r="NQ1" s="1" t="s">
        <v>1063</v>
      </c>
      <c r="OA1" s="1" t="s">
        <v>1064</v>
      </c>
    </row>
    <row r="2" spans="1:396" x14ac:dyDescent="0.25">
      <c r="A2" s="2" t="s">
        <v>46</v>
      </c>
      <c r="K2" s="2" t="s">
        <v>368</v>
      </c>
      <c r="U2" s="2" t="s">
        <v>64</v>
      </c>
      <c r="AE2" s="2" t="s">
        <v>1065</v>
      </c>
      <c r="AO2" s="2" t="s">
        <v>780</v>
      </c>
      <c r="AY2" s="2" t="s">
        <v>1066</v>
      </c>
      <c r="BI2" s="2" t="s">
        <v>1067</v>
      </c>
      <c r="BS2" s="2" t="s">
        <v>1068</v>
      </c>
      <c r="CC2" s="2" t="s">
        <v>1069</v>
      </c>
      <c r="CM2" s="2" t="s">
        <v>171</v>
      </c>
      <c r="CW2" s="2" t="s">
        <v>64</v>
      </c>
      <c r="DG2" s="2" t="s">
        <v>1070</v>
      </c>
      <c r="DQ2" s="2" t="s">
        <v>1071</v>
      </c>
      <c r="EA2" s="2" t="s">
        <v>259</v>
      </c>
      <c r="EK2" s="2" t="s">
        <v>1072</v>
      </c>
      <c r="EU2" s="2" t="s">
        <v>1073</v>
      </c>
      <c r="FE2" s="2" t="s">
        <v>1074</v>
      </c>
      <c r="FO2" s="2" t="s">
        <v>1075</v>
      </c>
      <c r="FY2" s="2" t="s">
        <v>64</v>
      </c>
      <c r="GI2" s="2" t="s">
        <v>161</v>
      </c>
      <c r="GS2" s="2" t="s">
        <v>64</v>
      </c>
      <c r="HC2" s="2" t="s">
        <v>386</v>
      </c>
      <c r="HM2" s="2" t="s">
        <v>1076</v>
      </c>
      <c r="HW2" s="2" t="s">
        <v>1077</v>
      </c>
      <c r="IG2" s="2" t="s">
        <v>64</v>
      </c>
      <c r="IQ2" s="2" t="s">
        <v>1078</v>
      </c>
      <c r="JA2" s="2" t="s">
        <v>64</v>
      </c>
      <c r="JK2" s="2" t="s">
        <v>1079</v>
      </c>
      <c r="JU2" s="2" t="s">
        <v>1080</v>
      </c>
      <c r="KE2" s="2" t="s">
        <v>1081</v>
      </c>
      <c r="KO2" s="2" t="s">
        <v>279</v>
      </c>
      <c r="KY2" s="2" t="s">
        <v>177</v>
      </c>
      <c r="LI2" s="2" t="s">
        <v>1076</v>
      </c>
      <c r="LS2" s="2" t="s">
        <v>1082</v>
      </c>
      <c r="MC2" s="2" t="s">
        <v>266</v>
      </c>
      <c r="MM2" s="2" t="s">
        <v>1083</v>
      </c>
      <c r="MW2" s="2" t="s">
        <v>50</v>
      </c>
      <c r="NG2" s="2" t="s">
        <v>44</v>
      </c>
      <c r="NQ2" s="2" t="s">
        <v>268</v>
      </c>
      <c r="OA2" s="2" t="s">
        <v>161</v>
      </c>
    </row>
    <row r="3" spans="1:396" x14ac:dyDescent="0.25">
      <c r="A3" t="s">
        <v>1084</v>
      </c>
      <c r="K3" t="s">
        <v>1085</v>
      </c>
      <c r="U3" t="s">
        <v>1086</v>
      </c>
      <c r="AE3" t="s">
        <v>1008</v>
      </c>
      <c r="AO3" t="s">
        <v>1087</v>
      </c>
      <c r="AY3" t="s">
        <v>1088</v>
      </c>
      <c r="BI3" t="s">
        <v>1089</v>
      </c>
      <c r="BS3" t="s">
        <v>1090</v>
      </c>
      <c r="CC3" t="s">
        <v>1091</v>
      </c>
      <c r="CM3" t="s">
        <v>618</v>
      </c>
      <c r="CW3" t="s">
        <v>1092</v>
      </c>
      <c r="DG3" t="s">
        <v>1093</v>
      </c>
      <c r="DQ3" t="s">
        <v>1094</v>
      </c>
      <c r="EA3" t="s">
        <v>1095</v>
      </c>
      <c r="EK3" t="s">
        <v>1096</v>
      </c>
      <c r="EU3" t="s">
        <v>1097</v>
      </c>
      <c r="FE3" t="s">
        <v>1098</v>
      </c>
      <c r="FO3" t="s">
        <v>1099</v>
      </c>
      <c r="FY3" t="s">
        <v>1100</v>
      </c>
      <c r="GI3" t="s">
        <v>1101</v>
      </c>
      <c r="GS3" t="s">
        <v>1102</v>
      </c>
      <c r="HC3" t="s">
        <v>1103</v>
      </c>
      <c r="HM3" t="s">
        <v>87</v>
      </c>
      <c r="HW3" t="s">
        <v>1104</v>
      </c>
      <c r="IG3" t="s">
        <v>1105</v>
      </c>
      <c r="IQ3" t="s">
        <v>1106</v>
      </c>
      <c r="JA3" t="s">
        <v>1107</v>
      </c>
      <c r="JK3" t="s">
        <v>1108</v>
      </c>
      <c r="JU3" t="s">
        <v>1109</v>
      </c>
      <c r="KE3" t="s">
        <v>303</v>
      </c>
      <c r="KO3" t="s">
        <v>1110</v>
      </c>
      <c r="KY3" t="s">
        <v>1111</v>
      </c>
      <c r="LI3" t="s">
        <v>1112</v>
      </c>
      <c r="LS3" t="s">
        <v>1113</v>
      </c>
      <c r="MC3" t="s">
        <v>1114</v>
      </c>
      <c r="MM3" t="s">
        <v>1115</v>
      </c>
      <c r="MW3" t="s">
        <v>1116</v>
      </c>
      <c r="NG3" t="s">
        <v>1117</v>
      </c>
      <c r="NQ3" t="s">
        <v>799</v>
      </c>
      <c r="OA3" t="s">
        <v>1118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_xll.BDS("DIS US Equity","SUPPLY_CHAIN_SUPPLIERS","RELATIONSHIP_AS_OF_DATE","20060124","cols=1;rows=5")</f>
        <v>GTN US Equity</v>
      </c>
      <c r="F5" t="str">
        <f>_xll.BDS("DIS US Equity","SUPPLY_CHAIN_CUSTOMERS","RELATIONSHIP_AS_OF_DATE","20060124","cols=1;rows=5")</f>
        <v>AD NA Equity</v>
      </c>
      <c r="K5" t="str">
        <f>_xll.BDS("JNJ US Equity","SUPPLY_CHAIN_SUPPLIERS","RELATIONSHIP_AS_OF_DATE","20200819","cols=1;rows=5")</f>
        <v>GMAB DC Equity</v>
      </c>
      <c r="P5" t="str">
        <f>_xll.BDS("JNJ US Equity","SUPPLY_CHAIN_CUSTOMERS","RELATIONSHIP_AS_OF_DATE","20200819","cols=1;rows=5")</f>
        <v>MCK US Equity</v>
      </c>
      <c r="U5" t="str">
        <f>_xll.BDS("nan Equity","SUPPLY_CHAIN_SUPPLIERS","RELATIONSHIP_AS_OF_DATE","20150913")</f>
        <v>#N/A N/A</v>
      </c>
      <c r="Z5" t="str">
        <f>_xll.BDS("nan Equity","SUPPLY_CHAIN_CUSTOMERS","RELATIONSHIP_AS_OF_DATE","20150913")</f>
        <v>#N/A N/A</v>
      </c>
      <c r="AE5" t="str">
        <f>_xll.BDS("PENN US Equity","SUPPLY_CHAIN_SUPPLIERS","RELATIONSHIP_AS_OF_DATE","20171218","cols=1;rows=5")</f>
        <v>GLPI US Equity</v>
      </c>
      <c r="AJ5" t="str">
        <f>_xll.BDS("PENN US Equity","SUPPLY_CHAIN_CUSTOMERS","RELATIONSHIP_AS_OF_DATE","20171218","cols=1;rows=4")</f>
        <v>0127957D US Equity</v>
      </c>
      <c r="AO5" t="str">
        <f>_xll.BDS("VLO US Equity","SUPPLY_CHAIN_SUPPLIERS","RELATIONSHIP_AS_OF_DATE","20010507","cols=1;rows=5")</f>
        <v>DAR US Equity</v>
      </c>
      <c r="AT5" t="str">
        <f>_xll.BDS("VLO US Equity","SUPPLY_CHAIN_CUSTOMERS","RELATIONSHIP_AS_OF_DATE","20010507","cols=1;rows=5")</f>
        <v>ARKO US Equity</v>
      </c>
      <c r="AY5" t="str">
        <f>_xll.BDS("PXP US Equity","SUPPLY_CHAIN_SUPPLIERS","RELATIONSHIP_AS_OF_DATE","20070717")</f>
        <v>#N/A N/A</v>
      </c>
      <c r="BD5" t="str">
        <f>_xll.BDS("PXP US Equity","SUPPLY_CHAIN_CUSTOMERS","RELATIONSHIP_AS_OF_DATE","20070717")</f>
        <v>#N/A N/A</v>
      </c>
      <c r="BI5" t="str">
        <f>_xll.BDS("FSK US Equity","SUPPLY_CHAIN_SUPPLIERS","RELATIONSHIP_AS_OF_DATE","20201124")</f>
        <v>#N/A N/A</v>
      </c>
      <c r="BN5" t="str">
        <f>_xll.BDS("FSK US Equity","SUPPLY_CHAIN_CUSTOMERS","RELATIONSHIP_AS_OF_DATE","20201124")</f>
        <v>#N/A N/A</v>
      </c>
      <c r="BS5" t="str">
        <f>_xll.BDS("HBAN US Equity","SUPPLY_CHAIN_SUPPLIERS","RELATIONSHIP_AS_OF_DATE","20201213","cols=1;rows=4")</f>
        <v>004800 KS Equity</v>
      </c>
      <c r="BX5" t="str">
        <f>_xll.BDS("HBAN US Equity","SUPPLY_CHAIN_CUSTOMERS","RELATIONSHIP_AS_OF_DATE","20201213")</f>
        <v>#N/A N/A</v>
      </c>
      <c r="CC5" t="str">
        <f>_xll.BDS("GLPI US Equity","SUPPLY_CHAIN_SUPPLIERS","RELATIONSHIP_AS_OF_DATE","20150309")</f>
        <v>AGYS US Equity</v>
      </c>
      <c r="CH5" t="str">
        <f>_xll.BDS("GLPI US Equity","SUPPLY_CHAIN_CUSTOMERS","RELATIONSHIP_AS_OF_DATE","20150309","cols=1;rows=5")</f>
        <v>PENN US Equity</v>
      </c>
      <c r="CM5" t="str">
        <f>_xll.BDS("ORCL US Equity","SUPPLY_CHAIN_SUPPLIERS","RELATIONSHIP_AS_OF_DATE","20090420","cols=1;rows=5")</f>
        <v>NVDA US Equity</v>
      </c>
      <c r="CR5" t="str">
        <f>_xll.BDS("ORCL US Equity","SUPPLY_CHAIN_CUSTOMERS","RELATIONSHIP_AS_OF_DATE","20090420","cols=1;rows=5")</f>
        <v>ACN US Equity</v>
      </c>
      <c r="CW5" t="str">
        <f>_xll.BDS("nan Equity","SUPPLY_CHAIN_SUPPLIERS","RELATIONSHIP_AS_OF_DATE","20191217")</f>
        <v>#N/A N/A</v>
      </c>
      <c r="DB5" t="str">
        <f>_xll.BDS("nan Equity","SUPPLY_CHAIN_CUSTOMERS","RELATIONSHIP_AS_OF_DATE","20191217")</f>
        <v>#N/A N/A</v>
      </c>
      <c r="DG5" t="str">
        <f>_xll.BDS("CCI US Equity","SUPPLY_CHAIN_SUPPLIERS","RELATIONSHIP_AS_OF_DATE","20061006","cols=1;rows=5")</f>
        <v>092200 KS Equity</v>
      </c>
      <c r="DL5" t="str">
        <f>_xll.BDS("CCI US Equity","SUPPLY_CHAIN_CUSTOMERS","RELATIONSHIP_AS_OF_DATE","20061006","cols=1;rows=5")</f>
        <v>TMUS US Equity</v>
      </c>
      <c r="DQ5" t="str">
        <f>_xll.BDS("NLY US Equity","SUPPLY_CHAIN_SUPPLIERS","RELATIONSHIP_AS_OF_DATE","20180502")</f>
        <v>#N/A N/A</v>
      </c>
      <c r="DV5" t="str">
        <f>_xll.BDS("NLY US Equity","SUPPLY_CHAIN_CUSTOMERS","RELATIONSHIP_AS_OF_DATE","20180502")</f>
        <v>#N/A N/A</v>
      </c>
      <c r="EA5" t="str">
        <f>_xll.BDS("CRM US Equity","SUPPLY_CHAIN_SUPPLIERS","RELATIONSHIP_AS_OF_DATE","20180320","cols=1;rows=5")</f>
        <v>BXP US Equity</v>
      </c>
      <c r="EF5" t="str">
        <f>_xll.BDS("CRM US Equity","SUPPLY_CHAIN_CUSTOMERS","RELATIONSHIP_AS_OF_DATE","20180320","cols=1;rows=5")</f>
        <v>SNX US Equity</v>
      </c>
      <c r="EK5" t="str">
        <f>_xll.BDS("1793839D US Equity","SUPPLY_CHAIN_SUPPLIERS","RELATIONSHIP_AS_OF_DATE","20131010")</f>
        <v>#N/A N/A</v>
      </c>
      <c r="EP5" t="str">
        <f>_xll.BDS("1793839D US Equity","SUPPLY_CHAIN_CUSTOMERS","RELATIONSHIP_AS_OF_DATE","20131010")</f>
        <v>#N/A N/A</v>
      </c>
      <c r="EU5" t="str">
        <f>_xll.BDS("9210611D US Equity","SUPPLY_CHAIN_SUPPLIERS","RELATIONSHIP_AS_OF_DATE","20070219","cols=1;rows=5")</f>
        <v>0006325D US Equity</v>
      </c>
      <c r="EZ5" t="str">
        <f>_xll.BDS("9210611D US Equity","SUPPLY_CHAIN_CUSTOMERS","RELATIONSHIP_AS_OF_DATE","20070219","cols=1;rows=5")</f>
        <v>0115249D GR Equity</v>
      </c>
      <c r="FE5" t="str">
        <f>_xll.BDS("HOLX US Equity","SUPPLY_CHAIN_SUPPLIERS","RELATIONSHIP_AS_OF_DATE","20070520","cols=1;rows=5")</f>
        <v>FLEX US Equity</v>
      </c>
      <c r="FJ5" t="str">
        <f>_xll.BDS("HOLX US Equity","SUPPLY_CHAIN_CUSTOMERS","RELATIONSHIP_AS_OF_DATE","20070520","cols=1;rows=5")</f>
        <v>0219250Z US Equity</v>
      </c>
      <c r="FO5" t="str">
        <f>_xll.BDS("AA US Equity","SUPPLY_CHAIN_SUPPLIERS","RELATIONSHIP_AS_OF_DATE","19990811","cols=1;rows=5")</f>
        <v>MAADEN AB Equity</v>
      </c>
      <c r="FT5" t="str">
        <f>_xll.BDS("AA US Equity","SUPPLY_CHAIN_CUSTOMERS","RELATIONSHIP_AS_OF_DATE","19990811","cols=1;rows=5")</f>
        <v>MAADEN AB Equity</v>
      </c>
      <c r="FY5" t="str">
        <f>_xll.BDS("nan Equity","SUPPLY_CHAIN_SUPPLIERS","RELATIONSHIP_AS_OF_DATE","20210315")</f>
        <v>#N/A N/A</v>
      </c>
      <c r="GD5" t="str">
        <f>_xll.BDS("nan Equity","SUPPLY_CHAIN_CUSTOMERS","RELATIONSHIP_AS_OF_DATE","20210315")</f>
        <v>#N/A N/A</v>
      </c>
      <c r="GI5" t="str">
        <f>_xll.BDS("BX US Equity","SUPPLY_CHAIN_SUPPLIERS","RELATIONSHIP_AS_OF_DATE","20150908","cols=1;rows=5")</f>
        <v>ORCL US Equity</v>
      </c>
      <c r="GN5" t="str">
        <f>_xll.BDS("BX US Equity","SUPPLY_CHAIN_CUSTOMERS","RELATIONSHIP_AS_OF_DATE","20150908","cols=1;rows=5")</f>
        <v>002284 CH Equity</v>
      </c>
      <c r="GS5" t="str">
        <f>_xll.BDS("nan Equity","SUPPLY_CHAIN_SUPPLIERS","RELATIONSHIP_AS_OF_DATE","20060630")</f>
        <v>#N/A N/A</v>
      </c>
      <c r="GX5" t="str">
        <f>_xll.BDS("nan Equity","SUPPLY_CHAIN_CUSTOMERS","RELATIONSHIP_AS_OF_DATE","20060630")</f>
        <v>#N/A N/A</v>
      </c>
      <c r="HC5" t="str">
        <f>_xll.BDS("WAMUQ US Equity","SUPPLY_CHAIN_SUPPLIERS","RELATIONSHIP_AS_OF_DATE","20050606")</f>
        <v>#N/A N/A</v>
      </c>
      <c r="HH5" t="str">
        <f>_xll.BDS("WAMUQ US Equity","SUPPLY_CHAIN_CUSTOMERS","RELATIONSHIP_AS_OF_DATE","20050606")</f>
        <v>#N/A N/A</v>
      </c>
      <c r="HM5" t="str">
        <f>_xll.BDS("BKR US Equity","SUPPLY_CHAIN_SUPPLIERS","RELATIONSHIP_AS_OF_DATE","19980511","cols=1;rows=5")</f>
        <v>ACX SM Equity</v>
      </c>
      <c r="HR5" t="str">
        <f>_xll.BDS("BKR US Equity","SUPPLY_CHAIN_CUSTOMERS","RELATIONSHIP_AS_OF_DATE","19980511","cols=1;rows=5")</f>
        <v>0125537D US Equity</v>
      </c>
      <c r="HW5" t="str">
        <f>_xll.BDS("AET US Equity","SUPPLY_CHAIN_SUPPLIERS","RELATIONSHIP_AS_OF_DATE","20120820")</f>
        <v>#N/A N/A</v>
      </c>
      <c r="IB5" t="str">
        <f>_xll.BDS("AET US Equity","SUPPLY_CHAIN_CUSTOMERS","RELATIONSHIP_AS_OF_DATE","20120820","cols=1;rows=2")</f>
        <v>002506 CH Equity</v>
      </c>
      <c r="IG5" t="str">
        <f>_xll.BDS("nan Equity","SUPPLY_CHAIN_SUPPLIERS","RELATIONSHIP_AS_OF_DATE","20070628")</f>
        <v>#N/A N/A</v>
      </c>
      <c r="IL5" t="str">
        <f>_xll.BDS("nan Equity","SUPPLY_CHAIN_CUSTOMERS","RELATIONSHIP_AS_OF_DATE","20070628")</f>
        <v>#N/A N/A</v>
      </c>
      <c r="IQ5" t="str">
        <f>_xll.BDS("SSNC US Equity","SUPPLY_CHAIN_SUPPLIERS","RELATIONSHIP_AS_OF_DATE","20180111","cols=1;rows=5")</f>
        <v>D-U CN Equity</v>
      </c>
      <c r="IV5" t="str">
        <f>_xll.BDS("SSNC US Equity","SUPPLY_CHAIN_CUSTOMERS","RELATIONSHIP_AS_OF_DATE","20180111","cols=1;rows=5")</f>
        <v>AYX US Equity</v>
      </c>
      <c r="JA5" t="str">
        <f>_xll.BDS("nan Equity","SUPPLY_CHAIN_SUPPLIERS","RELATIONSHIP_AS_OF_DATE","20070620")</f>
        <v>#N/A N/A</v>
      </c>
      <c r="JF5" t="str">
        <f>_xll.BDS("nan Equity","SUPPLY_CHAIN_CUSTOMERS","RELATIONSHIP_AS_OF_DATE","20070620")</f>
        <v>#N/A N/A</v>
      </c>
      <c r="JK5" t="str">
        <f>_xll.BDS("9980328D US Equity","SUPPLY_CHAIN_SUPPLIERS","RELATIONSHIP_AS_OF_DATE","20141103","cols=1;rows=5")</f>
        <v>1052024D US Equity</v>
      </c>
      <c r="JP5" t="str">
        <f>_xll.BDS("9980328D US Equity","SUPPLY_CHAIN_CUSTOMERS","RELATIONSHIP_AS_OF_DATE","20141103","cols=1;rows=5")</f>
        <v>002630 KS Equity</v>
      </c>
      <c r="JU5" t="str">
        <f>_xll.BDS("UNP US Equity","SUPPLY_CHAIN_SUPPLIERS","RELATIONSHIP_AS_OF_DATE","19950803","cols=1;rows=5")</f>
        <v>WAB US Equity</v>
      </c>
      <c r="JZ5" t="str">
        <f>_xll.BDS("UNP US Equity","SUPPLY_CHAIN_CUSTOMERS","RELATIONSHIP_AS_OF_DATE","19950803","cols=1;rows=5")</f>
        <v>0517476D US Equity</v>
      </c>
      <c r="KE5" t="str">
        <f>_xll.BDS("KIM US Equity","SUPPLY_CHAIN_SUPPLIERS","RELATIONSHIP_AS_OF_DATE","20210415")</f>
        <v>WOOD IJ Equity</v>
      </c>
      <c r="KJ5" t="str">
        <f>_xll.BDS("KIM US Equity","SUPPLY_CHAIN_CUSTOMERS","RELATIONSHIP_AS_OF_DATE","20210415","cols=1;rows=5")</f>
        <v>TJX US Equity</v>
      </c>
      <c r="KO5" t="str">
        <f>_xll.BDS("AVGO US Equity","SUPPLY_CHAIN_SUPPLIERS","RELATIONSHIP_AS_OF_DATE","20161102","cols=1;rows=5")</f>
        <v>2330 TT Equity</v>
      </c>
      <c r="KT5" t="str">
        <f>_xll.BDS("AVGO US Equity","SUPPLY_CHAIN_CUSTOMERS","RELATIONSHIP_AS_OF_DATE","20161102","cols=1;rows=5")</f>
        <v>3036 TT Equity</v>
      </c>
      <c r="KY5" t="str">
        <f>_xll.BDS("PLD US Equity","SUPPLY_CHAIN_SUPPLIERS","RELATIONSHIP_AS_OF_DATE","20190716","cols=1;rows=5")</f>
        <v>SALFACOR CI Equity</v>
      </c>
      <c r="LD5" t="str">
        <f>_xll.BDS("PLD US Equity","SUPPLY_CHAIN_CUSTOMERS","RELATIONSHIP_AS_OF_DATE","20190716","cols=1;rows=5")</f>
        <v>AMZN US Equity</v>
      </c>
      <c r="LI5" t="str">
        <f>_xll.BDS("BKR US Equity","SUPPLY_CHAIN_SUPPLIERS","RELATIONSHIP_AS_OF_DATE","20090831","cols=1;rows=5")</f>
        <v>ACX SM Equity</v>
      </c>
      <c r="LN5" t="str">
        <f>_xll.BDS("BKR US Equity","SUPPLY_CHAIN_CUSTOMERS","RELATIONSHIP_AS_OF_DATE","20090831","cols=1;rows=5")</f>
        <v>0125537D US Equity</v>
      </c>
      <c r="LS5" t="str">
        <f>_xll.BDS("WPC US Equity","SUPPLY_CHAIN_SUPPLIERS","RELATIONSHIP_AS_OF_DATE","20180618")</f>
        <v>#N/A N/A</v>
      </c>
      <c r="LX5" t="str">
        <f>_xll.BDS("WPC US Equity","SUPPLY_CHAIN_CUSTOMERS","RELATIONSHIP_AS_OF_DATE","20180618","cols=1;rows=5")</f>
        <v>EXR US Equity</v>
      </c>
      <c r="MC5" t="str">
        <f>_xll.BDS("MSFT US Equity","SUPPLY_CHAIN_SUPPLIERS","RELATIONSHIP_AS_OF_DATE","20070518","cols=1;rows=5")</f>
        <v>NVDA US Equity</v>
      </c>
      <c r="MH5" t="str">
        <f>_xll.BDS("MSFT US Equity","SUPPLY_CHAIN_CUSTOMERS","RELATIONSHIP_AS_OF_DATE","20070518","cols=1;rows=5")</f>
        <v>SNX US Equity</v>
      </c>
      <c r="MM5" t="str">
        <f>_xll.BDS("MNKTQ US Equity","SUPPLY_CHAIN_SUPPLIERS","RELATIONSHIP_AS_OF_DATE","20140407","cols=1;rows=5")</f>
        <v>CAP FP Equity</v>
      </c>
      <c r="MR5" t="str">
        <f>_xll.BDS("MNKTQ US Equity","SUPPLY_CHAIN_CUSTOMERS","RELATIONSHIP_AS_OF_DATE","20140407","cols=1;rows=5")</f>
        <v>102460 KS Equity</v>
      </c>
      <c r="MW5" t="str">
        <f>_xll.BDS("C US Equity","SUPPLY_CHAIN_SUPPLIERS","RELATIONSHIP_AS_OF_DATE","20020521","cols=1;rows=5")</f>
        <v>ORCL US Equity</v>
      </c>
      <c r="NB5" t="str">
        <f>_xll.BDS("C US Equity","SUPPLY_CHAIN_CUSTOMERS","RELATIONSHIP_AS_OF_DATE","20020521","cols=1;rows=5")</f>
        <v>ANTO LN Equity</v>
      </c>
      <c r="NG5" t="str">
        <f>_xll.BDS("PFE US Equity","SUPPLY_CHAIN_SUPPLIERS","RELATIONSHIP_AS_OF_DATE","20211213","cols=1;rows=5")</f>
        <v>BNTX US Equity</v>
      </c>
      <c r="NL5" t="str">
        <f>_xll.BDS("PFE US Equity","SUPPLY_CHAIN_CUSTOMERS","RELATIONSHIP_AS_OF_DATE","20211213","cols=1;rows=5")</f>
        <v>MCK US Equity</v>
      </c>
      <c r="NQ5" t="str">
        <f>_xll.BDS("AIG US Equity","SUPPLY_CHAIN_SUPPLIERS","RELATIONSHIP_AS_OF_DATE","20180122","cols=1;rows=5")</f>
        <v>PEGA US Equity</v>
      </c>
      <c r="NV5" t="str">
        <f>_xll.BDS("AIG US Equity","SUPPLY_CHAIN_CUSTOMERS","RELATIONSHIP_AS_OF_DATE","20180122","cols=1;rows=5")</f>
        <v>002348 CH Equity</v>
      </c>
      <c r="OA5" t="str">
        <f>_xll.BDS("BX US Equity","SUPPLY_CHAIN_SUPPLIERS","RELATIONSHIP_AS_OF_DATE","20210607","cols=1;rows=5")</f>
        <v>ORCL US Equity</v>
      </c>
      <c r="OF5" t="str">
        <f>_xll.BDS("BX US Equity","SUPPLY_CHAIN_CUSTOMERS","RELATIONSHIP_AS_OF_DATE","20210607","cols=1;rows=5")</f>
        <v>002284 CH Equity</v>
      </c>
    </row>
    <row r="6" spans="1:396" x14ac:dyDescent="0.25">
      <c r="A6" t="s">
        <v>266</v>
      </c>
      <c r="F6" t="s">
        <v>10944</v>
      </c>
      <c r="K6" t="s">
        <v>10735</v>
      </c>
      <c r="P6" t="s">
        <v>1468</v>
      </c>
      <c r="AE6" t="s">
        <v>12703</v>
      </c>
      <c r="AJ6" t="s">
        <v>10921</v>
      </c>
      <c r="AO6" t="s">
        <v>171</v>
      </c>
      <c r="AT6" t="s">
        <v>11279</v>
      </c>
      <c r="BS6" t="s">
        <v>10713</v>
      </c>
      <c r="CH6" t="s">
        <v>13142</v>
      </c>
      <c r="CM6" t="s">
        <v>162</v>
      </c>
      <c r="CR6" t="s">
        <v>469</v>
      </c>
      <c r="DG6" t="s">
        <v>12290</v>
      </c>
      <c r="DL6" t="s">
        <v>41</v>
      </c>
      <c r="EA6" t="s">
        <v>6477</v>
      </c>
      <c r="EF6" t="s">
        <v>165</v>
      </c>
      <c r="EU6" t="s">
        <v>12966</v>
      </c>
      <c r="EZ6" t="s">
        <v>12922</v>
      </c>
      <c r="FE6" t="s">
        <v>12208</v>
      </c>
      <c r="FJ6" t="s">
        <v>10797</v>
      </c>
      <c r="FO6" t="s">
        <v>12250</v>
      </c>
      <c r="FT6" t="s">
        <v>12161</v>
      </c>
      <c r="GI6" t="s">
        <v>7544</v>
      </c>
      <c r="GN6" t="s">
        <v>11020</v>
      </c>
      <c r="HM6" t="s">
        <v>11845</v>
      </c>
      <c r="HR6" t="s">
        <v>11812</v>
      </c>
      <c r="IB6" t="s">
        <v>12453</v>
      </c>
      <c r="IQ6" t="s">
        <v>10707</v>
      </c>
      <c r="IV6" t="s">
        <v>10649</v>
      </c>
      <c r="JK6" t="s">
        <v>11453</v>
      </c>
      <c r="JP6" t="s">
        <v>11428</v>
      </c>
      <c r="JU6" t="s">
        <v>5491</v>
      </c>
      <c r="JZ6" t="s">
        <v>11744</v>
      </c>
      <c r="KJ6" t="s">
        <v>11525</v>
      </c>
      <c r="KO6" t="s">
        <v>10734</v>
      </c>
      <c r="KT6" t="s">
        <v>2705</v>
      </c>
      <c r="KY6" t="s">
        <v>13165</v>
      </c>
      <c r="LD6" t="s">
        <v>570</v>
      </c>
      <c r="LI6" t="s">
        <v>11845</v>
      </c>
      <c r="LN6" t="s">
        <v>11812</v>
      </c>
      <c r="LX6" t="s">
        <v>13087</v>
      </c>
      <c r="MC6" t="s">
        <v>11089</v>
      </c>
      <c r="MH6" t="s">
        <v>4219</v>
      </c>
      <c r="MM6" t="s">
        <v>10719</v>
      </c>
      <c r="MR6" t="s">
        <v>10656</v>
      </c>
      <c r="MW6" t="s">
        <v>1654</v>
      </c>
      <c r="NB6" t="s">
        <v>12472</v>
      </c>
      <c r="NG6" t="s">
        <v>171</v>
      </c>
      <c r="NL6" t="s">
        <v>1468</v>
      </c>
      <c r="NQ6" t="s">
        <v>12604</v>
      </c>
      <c r="NV6" t="s">
        <v>12156</v>
      </c>
      <c r="OA6" t="s">
        <v>7544</v>
      </c>
      <c r="OF6" t="s">
        <v>11020</v>
      </c>
    </row>
    <row r="7" spans="1:396" x14ac:dyDescent="0.25">
      <c r="A7" t="s">
        <v>12482</v>
      </c>
      <c r="F7" t="s">
        <v>10661</v>
      </c>
      <c r="K7" t="s">
        <v>45</v>
      </c>
      <c r="P7" t="s">
        <v>970</v>
      </c>
      <c r="AE7" t="s">
        <v>5236</v>
      </c>
      <c r="AJ7" t="s">
        <v>46</v>
      </c>
      <c r="AO7" t="s">
        <v>7384</v>
      </c>
      <c r="AT7" t="s">
        <v>11280</v>
      </c>
      <c r="BS7" t="s">
        <v>154</v>
      </c>
      <c r="CH7" t="s">
        <v>13143</v>
      </c>
      <c r="CM7" t="s">
        <v>279</v>
      </c>
      <c r="CR7" t="s">
        <v>2881</v>
      </c>
      <c r="DG7" t="s">
        <v>3712</v>
      </c>
      <c r="DL7" t="s">
        <v>49</v>
      </c>
      <c r="EA7" t="s">
        <v>165</v>
      </c>
      <c r="EF7" t="s">
        <v>10838</v>
      </c>
      <c r="EU7" t="s">
        <v>12967</v>
      </c>
      <c r="EZ7" t="s">
        <v>12923</v>
      </c>
      <c r="FE7" t="s">
        <v>10996</v>
      </c>
      <c r="FJ7" t="s">
        <v>12151</v>
      </c>
      <c r="FO7" t="s">
        <v>12204</v>
      </c>
      <c r="FT7" t="s">
        <v>12162</v>
      </c>
      <c r="GI7" t="s">
        <v>11054</v>
      </c>
      <c r="GN7" t="s">
        <v>11021</v>
      </c>
      <c r="HM7" t="s">
        <v>12266</v>
      </c>
      <c r="HR7" t="s">
        <v>13139</v>
      </c>
      <c r="IQ7" t="s">
        <v>10708</v>
      </c>
      <c r="IV7" t="s">
        <v>10650</v>
      </c>
      <c r="JK7" t="s">
        <v>11289</v>
      </c>
      <c r="JP7" t="s">
        <v>11429</v>
      </c>
      <c r="JU7" t="s">
        <v>11853</v>
      </c>
      <c r="JZ7" t="s">
        <v>11745</v>
      </c>
      <c r="KJ7" t="s">
        <v>570</v>
      </c>
      <c r="KO7" t="s">
        <v>11204</v>
      </c>
      <c r="KT7" t="s">
        <v>5236</v>
      </c>
      <c r="KY7" t="s">
        <v>13166</v>
      </c>
      <c r="LD7" t="s">
        <v>3073</v>
      </c>
      <c r="LI7" t="s">
        <v>12266</v>
      </c>
      <c r="LN7" t="s">
        <v>13139</v>
      </c>
      <c r="LX7" t="s">
        <v>13088</v>
      </c>
      <c r="MC7" t="s">
        <v>10729</v>
      </c>
      <c r="MH7" t="s">
        <v>11368</v>
      </c>
      <c r="MM7" t="s">
        <v>10720</v>
      </c>
      <c r="MR7" t="s">
        <v>10657</v>
      </c>
      <c r="MW7" t="s">
        <v>11492</v>
      </c>
      <c r="NB7" t="s">
        <v>10913</v>
      </c>
      <c r="NG7" t="s">
        <v>10816</v>
      </c>
      <c r="NL7" t="s">
        <v>970</v>
      </c>
      <c r="NQ7" t="s">
        <v>12605</v>
      </c>
      <c r="NV7" t="s">
        <v>12157</v>
      </c>
      <c r="OA7" t="s">
        <v>11054</v>
      </c>
      <c r="OF7" t="s">
        <v>11021</v>
      </c>
    </row>
    <row r="8" spans="1:396" x14ac:dyDescent="0.25">
      <c r="A8" t="s">
        <v>11838</v>
      </c>
      <c r="F8" t="s">
        <v>12027</v>
      </c>
      <c r="K8" t="s">
        <v>3437</v>
      </c>
      <c r="P8" t="s">
        <v>51</v>
      </c>
      <c r="AE8" t="s">
        <v>12704</v>
      </c>
      <c r="AJ8" t="s">
        <v>12687</v>
      </c>
      <c r="AO8" t="s">
        <v>371</v>
      </c>
      <c r="AT8" t="s">
        <v>11281</v>
      </c>
      <c r="BS8" t="s">
        <v>11543</v>
      </c>
      <c r="CH8" t="s">
        <v>174</v>
      </c>
      <c r="CM8" t="s">
        <v>10818</v>
      </c>
      <c r="CR8" t="s">
        <v>52</v>
      </c>
      <c r="DG8" t="s">
        <v>13163</v>
      </c>
      <c r="DL8" t="s">
        <v>12571</v>
      </c>
      <c r="EA8" t="s">
        <v>11049</v>
      </c>
      <c r="EF8" t="s">
        <v>10660</v>
      </c>
      <c r="EU8" t="s">
        <v>12968</v>
      </c>
      <c r="EZ8" t="s">
        <v>5236</v>
      </c>
      <c r="FE8" t="s">
        <v>12152</v>
      </c>
      <c r="FJ8" t="s">
        <v>10657</v>
      </c>
      <c r="FO8" t="s">
        <v>772</v>
      </c>
      <c r="FT8" t="s">
        <v>12163</v>
      </c>
      <c r="GI8" t="s">
        <v>11055</v>
      </c>
      <c r="GN8" t="s">
        <v>11022</v>
      </c>
      <c r="HM8" t="s">
        <v>12085</v>
      </c>
      <c r="HR8" t="s">
        <v>11021</v>
      </c>
      <c r="IQ8" t="s">
        <v>682</v>
      </c>
      <c r="IV8" t="s">
        <v>10651</v>
      </c>
      <c r="JK8" t="s">
        <v>10996</v>
      </c>
      <c r="JP8" t="s">
        <v>11430</v>
      </c>
      <c r="JU8" t="s">
        <v>171</v>
      </c>
      <c r="JZ8" t="s">
        <v>1655</v>
      </c>
      <c r="KJ8" t="s">
        <v>469</v>
      </c>
      <c r="KO8" t="s">
        <v>11177</v>
      </c>
      <c r="KT8" t="s">
        <v>11084</v>
      </c>
      <c r="KY8" t="s">
        <v>13167</v>
      </c>
      <c r="LD8" t="s">
        <v>2967</v>
      </c>
      <c r="LI8" t="s">
        <v>12085</v>
      </c>
      <c r="LN8" t="s">
        <v>11021</v>
      </c>
      <c r="LX8" t="s">
        <v>790</v>
      </c>
      <c r="MC8" t="s">
        <v>12659</v>
      </c>
      <c r="MH8" t="s">
        <v>10918</v>
      </c>
      <c r="MM8" t="s">
        <v>10721</v>
      </c>
      <c r="MR8" t="s">
        <v>970</v>
      </c>
      <c r="MW8" t="s">
        <v>11349</v>
      </c>
      <c r="NB8" t="s">
        <v>1741</v>
      </c>
      <c r="NG8" t="s">
        <v>43</v>
      </c>
      <c r="NL8" t="s">
        <v>43</v>
      </c>
      <c r="NQ8" t="s">
        <v>12606</v>
      </c>
      <c r="NV8" t="s">
        <v>12158</v>
      </c>
      <c r="OA8" t="s">
        <v>11055</v>
      </c>
      <c r="OF8" t="s">
        <v>11022</v>
      </c>
    </row>
    <row r="9" spans="1:396" x14ac:dyDescent="0.25">
      <c r="A9" t="s">
        <v>12483</v>
      </c>
      <c r="F9" t="s">
        <v>10647</v>
      </c>
      <c r="K9" t="s">
        <v>11012</v>
      </c>
      <c r="P9" t="s">
        <v>10944</v>
      </c>
      <c r="AE9" t="s">
        <v>12705</v>
      </c>
      <c r="AO9" t="s">
        <v>10940</v>
      </c>
      <c r="AT9" t="s">
        <v>68</v>
      </c>
      <c r="CH9" t="s">
        <v>13144</v>
      </c>
      <c r="CM9" t="s">
        <v>384</v>
      </c>
      <c r="CR9" t="s">
        <v>472</v>
      </c>
      <c r="DG9" t="s">
        <v>13164</v>
      </c>
      <c r="DL9" t="s">
        <v>11546</v>
      </c>
      <c r="EA9" t="s">
        <v>10748</v>
      </c>
      <c r="EF9" t="s">
        <v>4219</v>
      </c>
      <c r="EU9" t="s">
        <v>12969</v>
      </c>
      <c r="EZ9" t="s">
        <v>469</v>
      </c>
      <c r="FE9" t="s">
        <v>10851</v>
      </c>
      <c r="FJ9" t="s">
        <v>12152</v>
      </c>
      <c r="FO9" t="s">
        <v>10940</v>
      </c>
      <c r="FT9" t="s">
        <v>12164</v>
      </c>
      <c r="GI9" t="s">
        <v>11056</v>
      </c>
      <c r="GN9" t="s">
        <v>11023</v>
      </c>
      <c r="HM9" t="s">
        <v>11464</v>
      </c>
      <c r="HR9" t="s">
        <v>13140</v>
      </c>
      <c r="IQ9" t="s">
        <v>10709</v>
      </c>
      <c r="IV9" t="s">
        <v>10652</v>
      </c>
      <c r="JK9" t="s">
        <v>11454</v>
      </c>
      <c r="JP9" t="s">
        <v>11431</v>
      </c>
      <c r="JU9" t="s">
        <v>7614</v>
      </c>
      <c r="JZ9" t="s">
        <v>11746</v>
      </c>
      <c r="KJ9" t="s">
        <v>11526</v>
      </c>
      <c r="KO9" t="s">
        <v>11933</v>
      </c>
      <c r="KT9" t="s">
        <v>2881</v>
      </c>
      <c r="KY9" t="s">
        <v>12699</v>
      </c>
      <c r="LD9" t="s">
        <v>13157</v>
      </c>
      <c r="LI9" t="s">
        <v>11464</v>
      </c>
      <c r="LN9" t="s">
        <v>13140</v>
      </c>
      <c r="LX9" t="s">
        <v>13089</v>
      </c>
      <c r="MC9" t="s">
        <v>12660</v>
      </c>
      <c r="MH9" t="s">
        <v>10676</v>
      </c>
      <c r="MM9" t="s">
        <v>10722</v>
      </c>
      <c r="MR9" t="s">
        <v>51</v>
      </c>
      <c r="MW9" t="s">
        <v>12812</v>
      </c>
      <c r="NB9" t="s">
        <v>12473</v>
      </c>
      <c r="NG9" t="s">
        <v>10817</v>
      </c>
      <c r="NL9" t="s">
        <v>10657</v>
      </c>
      <c r="NQ9" t="s">
        <v>12439</v>
      </c>
      <c r="NV9" t="s">
        <v>12159</v>
      </c>
      <c r="OA9" t="s">
        <v>11056</v>
      </c>
      <c r="OF9" t="s">
        <v>11023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1119</v>
      </c>
      <c r="K1" s="1" t="s">
        <v>1120</v>
      </c>
      <c r="U1" s="1" t="s">
        <v>1121</v>
      </c>
      <c r="AE1" s="1" t="s">
        <v>1122</v>
      </c>
      <c r="AO1" s="1" t="s">
        <v>1123</v>
      </c>
      <c r="AY1" s="1" t="s">
        <v>1124</v>
      </c>
      <c r="BI1" s="1" t="s">
        <v>1125</v>
      </c>
      <c r="BS1" s="1" t="s">
        <v>1126</v>
      </c>
      <c r="CC1" s="1" t="s">
        <v>1127</v>
      </c>
      <c r="CM1" s="1" t="s">
        <v>1128</v>
      </c>
      <c r="CW1" s="1" t="s">
        <v>1129</v>
      </c>
      <c r="DG1" s="1" t="s">
        <v>1130</v>
      </c>
      <c r="DQ1" s="1" t="s">
        <v>1131</v>
      </c>
      <c r="EA1" s="1" t="s">
        <v>1132</v>
      </c>
      <c r="EK1" s="1" t="s">
        <v>1133</v>
      </c>
      <c r="EU1" s="1" t="s">
        <v>1134</v>
      </c>
      <c r="FE1" s="1" t="s">
        <v>1135</v>
      </c>
      <c r="FO1" s="1" t="s">
        <v>1136</v>
      </c>
      <c r="FY1" s="1" t="s">
        <v>1137</v>
      </c>
      <c r="GI1" s="1" t="s">
        <v>1138</v>
      </c>
      <c r="GS1" s="1" t="s">
        <v>1139</v>
      </c>
      <c r="HC1" s="1" t="s">
        <v>1140</v>
      </c>
      <c r="HM1" s="1" t="s">
        <v>1141</v>
      </c>
      <c r="HW1" s="1" t="s">
        <v>1142</v>
      </c>
      <c r="IG1" s="1" t="s">
        <v>1143</v>
      </c>
      <c r="IQ1" s="1" t="s">
        <v>1144</v>
      </c>
      <c r="JA1" s="1" t="s">
        <v>1145</v>
      </c>
      <c r="JK1" s="1" t="s">
        <v>1146</v>
      </c>
      <c r="JU1" s="1" t="s">
        <v>1147</v>
      </c>
      <c r="KE1" s="1" t="s">
        <v>1148</v>
      </c>
      <c r="KO1" s="1" t="s">
        <v>1149</v>
      </c>
      <c r="KY1" s="1" t="s">
        <v>1150</v>
      </c>
      <c r="LI1" s="1" t="s">
        <v>1151</v>
      </c>
      <c r="LS1" s="1" t="s">
        <v>1152</v>
      </c>
      <c r="MC1" s="1" t="s">
        <v>1153</v>
      </c>
      <c r="MM1" s="1" t="s">
        <v>1154</v>
      </c>
      <c r="MW1" s="1" t="s">
        <v>1155</v>
      </c>
      <c r="NG1" s="1" t="s">
        <v>1156</v>
      </c>
      <c r="NQ1" s="1" t="s">
        <v>1157</v>
      </c>
      <c r="OA1" s="1" t="s">
        <v>1158</v>
      </c>
    </row>
    <row r="2" spans="1:396" x14ac:dyDescent="0.25">
      <c r="A2" s="2" t="s">
        <v>667</v>
      </c>
      <c r="K2" s="2" t="s">
        <v>1159</v>
      </c>
      <c r="U2" s="2" t="s">
        <v>1160</v>
      </c>
      <c r="AE2" s="2" t="s">
        <v>1161</v>
      </c>
      <c r="AO2" s="2" t="s">
        <v>1162</v>
      </c>
      <c r="AY2" s="2" t="s">
        <v>1163</v>
      </c>
      <c r="BI2" s="2" t="s">
        <v>987</v>
      </c>
      <c r="BS2" s="2" t="s">
        <v>1164</v>
      </c>
      <c r="CC2" s="2" t="s">
        <v>1163</v>
      </c>
      <c r="CM2" s="2" t="s">
        <v>969</v>
      </c>
      <c r="CW2" s="2" t="s">
        <v>1165</v>
      </c>
      <c r="DG2" s="2" t="s">
        <v>278</v>
      </c>
      <c r="DQ2" s="2" t="s">
        <v>1166</v>
      </c>
      <c r="EA2" s="2" t="s">
        <v>1167</v>
      </c>
      <c r="EK2" s="2" t="s">
        <v>388</v>
      </c>
      <c r="EU2" s="2" t="s">
        <v>64</v>
      </c>
      <c r="FE2" s="2" t="s">
        <v>1168</v>
      </c>
      <c r="FO2" s="2" t="s">
        <v>1169</v>
      </c>
      <c r="FY2" s="2" t="s">
        <v>1170</v>
      </c>
      <c r="GI2" s="2" t="s">
        <v>1171</v>
      </c>
      <c r="GS2" s="2" t="s">
        <v>1172</v>
      </c>
      <c r="HC2" s="2" t="s">
        <v>1173</v>
      </c>
      <c r="HM2" s="2" t="s">
        <v>161</v>
      </c>
      <c r="HW2" s="2" t="s">
        <v>1174</v>
      </c>
      <c r="IG2" s="2" t="s">
        <v>64</v>
      </c>
      <c r="IQ2" s="2" t="s">
        <v>1175</v>
      </c>
      <c r="JA2" s="2" t="s">
        <v>1176</v>
      </c>
      <c r="JK2" s="2" t="s">
        <v>271</v>
      </c>
      <c r="JU2" s="2" t="s">
        <v>1177</v>
      </c>
      <c r="KE2" s="2" t="s">
        <v>68</v>
      </c>
      <c r="KO2" s="2" t="s">
        <v>1178</v>
      </c>
      <c r="KY2" s="2" t="s">
        <v>64</v>
      </c>
      <c r="LI2" s="2" t="s">
        <v>983</v>
      </c>
      <c r="LS2" s="2" t="s">
        <v>1164</v>
      </c>
      <c r="MC2" s="2" t="s">
        <v>67</v>
      </c>
      <c r="MM2" s="2" t="s">
        <v>1179</v>
      </c>
      <c r="MW2" s="2" t="s">
        <v>485</v>
      </c>
      <c r="NG2" s="2" t="s">
        <v>64</v>
      </c>
      <c r="NQ2" s="2" t="s">
        <v>1180</v>
      </c>
      <c r="OA2" s="2" t="s">
        <v>1181</v>
      </c>
    </row>
    <row r="3" spans="1:396" x14ac:dyDescent="0.25">
      <c r="A3" t="s">
        <v>1182</v>
      </c>
      <c r="K3" t="s">
        <v>1183</v>
      </c>
      <c r="U3" t="s">
        <v>1184</v>
      </c>
      <c r="AE3" t="s">
        <v>798</v>
      </c>
      <c r="AO3" t="s">
        <v>1185</v>
      </c>
      <c r="AY3" t="s">
        <v>1186</v>
      </c>
      <c r="BI3" t="s">
        <v>1187</v>
      </c>
      <c r="BS3" t="s">
        <v>1188</v>
      </c>
      <c r="CC3" t="s">
        <v>1189</v>
      </c>
      <c r="CM3" t="s">
        <v>1190</v>
      </c>
      <c r="CW3" t="s">
        <v>1191</v>
      </c>
      <c r="DG3" t="s">
        <v>315</v>
      </c>
      <c r="DQ3" t="s">
        <v>1192</v>
      </c>
      <c r="EA3" t="s">
        <v>1193</v>
      </c>
      <c r="EK3" t="s">
        <v>1194</v>
      </c>
      <c r="EU3" t="s">
        <v>1195</v>
      </c>
      <c r="FE3" t="s">
        <v>1196</v>
      </c>
      <c r="FO3" t="s">
        <v>1197</v>
      </c>
      <c r="FY3" t="s">
        <v>1198</v>
      </c>
      <c r="GI3" t="s">
        <v>1199</v>
      </c>
      <c r="GS3" t="s">
        <v>1200</v>
      </c>
      <c r="HC3" t="s">
        <v>204</v>
      </c>
      <c r="HM3" t="s">
        <v>1201</v>
      </c>
      <c r="HW3" t="s">
        <v>1202</v>
      </c>
      <c r="IG3" t="s">
        <v>1203</v>
      </c>
      <c r="IQ3" t="s">
        <v>1204</v>
      </c>
      <c r="JA3" t="s">
        <v>1205</v>
      </c>
      <c r="JK3" t="s">
        <v>1206</v>
      </c>
      <c r="JU3" t="s">
        <v>1207</v>
      </c>
      <c r="KE3" t="s">
        <v>1208</v>
      </c>
      <c r="KO3" t="s">
        <v>1209</v>
      </c>
      <c r="KY3" t="s">
        <v>1210</v>
      </c>
      <c r="LI3" t="s">
        <v>1211</v>
      </c>
      <c r="LS3" t="s">
        <v>1212</v>
      </c>
      <c r="MC3" t="s">
        <v>1213</v>
      </c>
      <c r="MM3" t="s">
        <v>1214</v>
      </c>
      <c r="MW3" t="s">
        <v>1193</v>
      </c>
      <c r="NG3" t="s">
        <v>1215</v>
      </c>
      <c r="NQ3" t="s">
        <v>1216</v>
      </c>
      <c r="OA3" t="s">
        <v>1217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_xll.BDS("GD US Equity","SUPPLY_CHAIN_SUPPLIERS","RELATIONSHIP_AS_OF_DATE","19990517","cols=1;rows=5")</f>
        <v>RTX US Equity</v>
      </c>
      <c r="F5" t="str">
        <f>_xll.BDS("GD US Equity","SUPPLY_CHAIN_CUSTOMERS","RELATIONSHIP_AS_OF_DATE","19990517","cols=1;rows=5")</f>
        <v>3352Z US Equity</v>
      </c>
      <c r="K5" t="str">
        <f>_xll.BDS("UGI US Equity","SUPPLY_CHAIN_SUPPLIERS","RELATIONSHIP_AS_OF_DATE","20190402","cols=1;rows=5")</f>
        <v>ESOA US Equity</v>
      </c>
      <c r="P5" t="str">
        <f>_xll.BDS("UGI US Equity","SUPPLY_CHAIN_CUSTOMERS","RELATIONSHIP_AS_OF_DATE","20190402","cols=1;rows=5")</f>
        <v>1725219D US Equity</v>
      </c>
      <c r="U5" t="str">
        <f>_xll.BDS("1005945D US Equity","SUPPLY_CHAIN_SUPPLIERS","RELATIONSHIP_AS_OF_DATE","19960916")</f>
        <v>#N/A N/A</v>
      </c>
      <c r="Z5" t="str">
        <f>_xll.BDS("1005945D US Equity","SUPPLY_CHAIN_CUSTOMERS","RELATIONSHIP_AS_OF_DATE","19960916")</f>
        <v>#N/A N/A</v>
      </c>
      <c r="AE5" t="str">
        <f>_xll.BDS("CEQP US Equity","SUPPLY_CHAIN_SUPPLIERS","RELATIONSHIP_AS_OF_DATE","20150506")</f>
        <v>#N/A N/A</v>
      </c>
      <c r="AJ5" t="str">
        <f>_xll.BDS("CEQP US Equity","SUPPLY_CHAIN_CUSTOMERS","RELATIONSHIP_AS_OF_DATE","20150506")</f>
        <v>SPH US Equity</v>
      </c>
      <c r="AO5" t="str">
        <f>_xll.BDS("TSLA US Equity","SUPPLY_CHAIN_SUPPLIERS","RELATIONSHIP_AS_OF_DATE","20160801","cols=1;rows=5")</f>
        <v>300750 CH Equity</v>
      </c>
      <c r="AT5" t="str">
        <f>_xll.BDS("TSLA US Equity","SUPPLY_CHAIN_CUSTOMERS","RELATIONSHIP_AS_OF_DATE","20160801","cols=1;rows=5")</f>
        <v>HTZ US Equity</v>
      </c>
      <c r="AY5" t="str">
        <f>_xll.BDS("MTB US Equity","SUPPLY_CHAIN_SUPPLIERS","RELATIONSHIP_AS_OF_DATE","20120827","cols=1;rows=5")</f>
        <v>ORCL US Equity</v>
      </c>
      <c r="BD5" t="str">
        <f>_xll.BDS("MTB US Equity","SUPPLY_CHAIN_CUSTOMERS","RELATIONSHIP_AS_OF_DATE","20120827","cols=1;rows=3")</f>
        <v>2610 TT Equity</v>
      </c>
      <c r="BI5" t="str">
        <f>_xll.BDS("PNC US Equity","SUPPLY_CHAIN_SUPPLIERS","RELATIONSHIP_AS_OF_DATE","20081024","cols=1;rows=5")</f>
        <v>ORCL US Equity</v>
      </c>
      <c r="BN5" t="str">
        <f>_xll.BDS("PNC US Equity","SUPPLY_CHAIN_CUSTOMERS","RELATIONSHIP_AS_OF_DATE","20081024")</f>
        <v>4502 JP Equity</v>
      </c>
      <c r="BS5" t="str">
        <f>_xll.BDS("GE US Equity","SUPPLY_CHAIN_SUPPLIERS","RELATIONSHIP_AS_OF_DATE","20010730","cols=1;rows=5")</f>
        <v>SAF FP Equity</v>
      </c>
      <c r="BX5" t="str">
        <f>_xll.BDS("GE US Equity","SUPPLY_CHAIN_CUSTOMERS","RELATIONSHIP_AS_OF_DATE","20010730","cols=1;rows=5")</f>
        <v>3352Z US Equity</v>
      </c>
      <c r="CC5" t="str">
        <f>_xll.BDS("MTB US Equity","SUPPLY_CHAIN_SUPPLIERS","RELATIONSHIP_AS_OF_DATE","20210222","cols=1;rows=5")</f>
        <v>ORCL US Equity</v>
      </c>
      <c r="CH5" t="str">
        <f>_xll.BDS("MTB US Equity","SUPPLY_CHAIN_CUSTOMERS","RELATIONSHIP_AS_OF_DATE","20210222","cols=1;rows=3")</f>
        <v>2610 TT Equity</v>
      </c>
      <c r="CM5" t="str">
        <f>_xll.BDS("CSCO US Equity","SUPPLY_CHAIN_SUPPLIERS","RELATIONSHIP_AS_OF_DATE","20051118","cols=1;rows=5")</f>
        <v>NVDA US Equity</v>
      </c>
      <c r="CR5" t="str">
        <f>_xll.BDS("CSCO US Equity","SUPPLY_CHAIN_CUSTOMERS","RELATIONSHIP_AS_OF_DATE","20051118","cols=1;rows=5")</f>
        <v>SNX US Equity</v>
      </c>
      <c r="CW5" t="str">
        <f>_xll.BDS("BKD US Equity","SUPPLY_CHAIN_SUPPLIERS","RELATIONSHIP_AS_OF_DATE","20140220","cols=1;rows=4")</f>
        <v>VTR US Equity</v>
      </c>
      <c r="DB5" t="str">
        <f>_xll.BDS("BKD US Equity","SUPPLY_CHAIN_CUSTOMERS","RELATIONSHIP_AS_OF_DATE","20140220")</f>
        <v>9877893Z US Equity</v>
      </c>
      <c r="DG5" t="str">
        <f>_xll.BDS("APC US Equity","SUPPLY_CHAIN_SUPPLIERS","RELATIONSHIP_AS_OF_DATE","20060623")</f>
        <v>#N/A N/A</v>
      </c>
      <c r="DL5" t="str">
        <f>_xll.BDS("APC US Equity","SUPPLY_CHAIN_CUSTOMERS","RELATIONSHIP_AS_OF_DATE","20060623")</f>
        <v>#N/A N/A</v>
      </c>
      <c r="DQ5" t="str">
        <f>_xll.BDS("ROH US Equity","SUPPLY_CHAIN_SUPPLIERS","RELATIONSHIP_AS_OF_DATE","19990201","cols=1;rows=3")</f>
        <v>002741 CH Equity</v>
      </c>
      <c r="DV5" t="str">
        <f>_xll.BDS("ROH US Equity","SUPPLY_CHAIN_CUSTOMERS","RELATIONSHIP_AS_OF_DATE","19990201")</f>
        <v>000990 KS Equity</v>
      </c>
      <c r="EA5" t="str">
        <f>_xll.BDS("NGLS US Equity","SUPPLY_CHAIN_SUPPLIERS","RELATIONSHIP_AS_OF_DATE","20141013")</f>
        <v>#N/A N/A</v>
      </c>
      <c r="EF5" t="str">
        <f>_xll.BDS("NGLS US Equity","SUPPLY_CHAIN_CUSTOMERS","RELATIONSHIP_AS_OF_DATE","20141013")</f>
        <v>#N/A N/A</v>
      </c>
      <c r="EK5" t="str">
        <f>_xll.BDS("NOC US Equity","SUPPLY_CHAIN_SUPPLIERS","RELATIONSHIP_AS_OF_DATE","20001221","cols=1;rows=5")</f>
        <v>RTX US Equity</v>
      </c>
      <c r="EP5" t="str">
        <f>_xll.BDS("NOC US Equity","SUPPLY_CHAIN_CUSTOMERS","RELATIONSHIP_AS_OF_DATE","20001221","cols=1;rows=5")</f>
        <v>3352Z US Equity</v>
      </c>
      <c r="EU5" t="str">
        <f>_xll.BDS("nan Equity","SUPPLY_CHAIN_SUPPLIERS","RELATIONSHIP_AS_OF_DATE","20101125")</f>
        <v>#N/A N/A</v>
      </c>
      <c r="EZ5" t="str">
        <f>_xll.BDS("nan Equity","SUPPLY_CHAIN_CUSTOMERS","RELATIONSHIP_AS_OF_DATE","20101125")</f>
        <v>#N/A N/A</v>
      </c>
      <c r="FE5" t="str">
        <f>_xll.BDS("LNWO US Equity","SUPPLY_CHAIN_SUPPLIERS","RELATIONSHIP_AS_OF_DATE","20140801","cols=1;rows=5")</f>
        <v>HAS US Equity</v>
      </c>
      <c r="FJ5" t="str">
        <f>_xll.BDS("LNWO US Equity","SUPPLY_CHAIN_CUSTOMERS","RELATIONSHIP_AS_OF_DATE","20140801","cols=1;rows=5")</f>
        <v>ENT LN Equity</v>
      </c>
      <c r="FO5" t="str">
        <f>_xll.BDS("XRAY US Equity","SUPPLY_CHAIN_SUPPLIERS","RELATIONSHIP_AS_OF_DATE","20150915","cols=1;rows=5")</f>
        <v>8109 TT Equity</v>
      </c>
      <c r="FT5" t="str">
        <f>_xll.BDS("XRAY US Equity","SUPPLY_CHAIN_CUSTOMERS","RELATIONSHIP_AS_OF_DATE","20150915","cols=1;rows=5")</f>
        <v>3705975Z US Equity</v>
      </c>
      <c r="FY5" t="str">
        <f>_xll.BDS("BPY-U CN Equity","SUPPLY_CHAIN_SUPPLIERS","RELATIONSHIP_AS_OF_DATE","20130930")</f>
        <v>#N/A N/A</v>
      </c>
      <c r="GD5" t="str">
        <f>_xll.BDS("BPY-U CN Equity","SUPPLY_CHAIN_CUSTOMERS","RELATIONSHIP_AS_OF_DATE","20130930")</f>
        <v>#N/A N/A</v>
      </c>
      <c r="GI5" t="str">
        <f>_xll.BDS("PEB US Equity","SUPPLY_CHAIN_SUPPLIERS","RELATIONSHIP_AS_OF_DATE","20180906","cols=1;rows=5")</f>
        <v>SABR US Equity</v>
      </c>
      <c r="GN5" t="str">
        <f>_xll.BDS("PEB US Equity","SUPPLY_CHAIN_CUSTOMERS","RELATIONSHIP_AS_OF_DATE","20180906")</f>
        <v>#N/A N/A</v>
      </c>
      <c r="GS5" t="str">
        <f>_xll.BDS("SANM US Equity","SUPPLY_CHAIN_SUPPLIERS","RELATIONSHIP_AS_OF_DATE","20010716","cols=1;rows=5")</f>
        <v>MU US Equity</v>
      </c>
      <c r="GX5" t="str">
        <f>_xll.BDS("SANM US Equity","SUPPLY_CHAIN_CUSTOMERS","RELATIONSHIP_AS_OF_DATE","20010716","cols=1;rows=5")</f>
        <v>MSI US Equity</v>
      </c>
      <c r="HC5" t="str">
        <f>_xll.BDS("VAC US Equity","SUPPLY_CHAIN_SUPPLIERS","RELATIONSHIP_AS_OF_DATE","20180430","cols=1;rows=2")</f>
        <v>H US Equity</v>
      </c>
      <c r="HH5" t="str">
        <f>_xll.BDS("VAC US Equity","SUPPLY_CHAIN_CUSTOMERS","RELATIONSHIP_AS_OF_DATE","20180430")</f>
        <v>1665313D US Equity</v>
      </c>
      <c r="HM5" t="str">
        <f>_xll.BDS("BX US Equity","SUPPLY_CHAIN_SUPPLIERS","RELATIONSHIP_AS_OF_DATE","20220425","cols=1;rows=5")</f>
        <v>ORCL US Equity</v>
      </c>
      <c r="HR5" t="str">
        <f>_xll.BDS("BX US Equity","SUPPLY_CHAIN_CUSTOMERS","RELATIONSHIP_AS_OF_DATE","20220425","cols=1;rows=5")</f>
        <v>002284 CH Equity</v>
      </c>
      <c r="HW5" t="str">
        <f>_xll.BDS("119240Q US Equity","SUPPLY_CHAIN_SUPPLIERS","RELATIONSHIP_AS_OF_DATE","20010212")</f>
        <v>#N/A N/A</v>
      </c>
      <c r="IB5" t="str">
        <f>_xll.BDS("119240Q US Equity","SUPPLY_CHAIN_CUSTOMERS","RELATIONSHIP_AS_OF_DATE","20010212")</f>
        <v>#N/A N/A</v>
      </c>
      <c r="IG5" t="str">
        <f>_xll.BDS("nan Equity","SUPPLY_CHAIN_SUPPLIERS","RELATIONSHIP_AS_OF_DATE","20070530")</f>
        <v>#N/A N/A</v>
      </c>
      <c r="IL5" t="str">
        <f>_xll.BDS("nan Equity","SUPPLY_CHAIN_CUSTOMERS","RELATIONSHIP_AS_OF_DATE","20070530")</f>
        <v>#N/A N/A</v>
      </c>
      <c r="IQ5" t="str">
        <f>_xll.BDS("CMCSA US Equity","SUPPLY_CHAIN_SUPPLIERS","RELATIONSHIP_AS_OF_DATE","19990809","cols=1;rows=5")</f>
        <v>GTN US Equity</v>
      </c>
      <c r="IV5" t="str">
        <f>_xll.BDS("CMCSA US Equity","SUPPLY_CHAIN_CUSTOMERS","RELATIONSHIP_AS_OF_DATE","19990809","cols=1;rows=5")</f>
        <v>ARW US Equity</v>
      </c>
      <c r="JA5" t="str">
        <f>_xll.BDS("WRK US Equity","SUPPLY_CHAIN_SUPPLIERS","RELATIONSHIP_AS_OF_DATE","20180129","cols=1;rows=5")</f>
        <v>9501 JP Equity</v>
      </c>
      <c r="JF5" t="str">
        <f>_xll.BDS("WRK US Equity","SUPPLY_CHAIN_CUSTOMERS","RELATIONSHIP_AS_OF_DATE","20180129","cols=1;rows=5")</f>
        <v>033780 KS Equity</v>
      </c>
      <c r="JK5" t="str">
        <f>_xll.BDS("2968900Q US Equity","SUPPLY_CHAIN_SUPPLIERS","RELATIONSHIP_AS_OF_DATE","19981008")</f>
        <v>#N/A N/A</v>
      </c>
      <c r="JP5" t="str">
        <f>_xll.BDS("2968900Q US Equity","SUPPLY_CHAIN_CUSTOMERS","RELATIONSHIP_AS_OF_DATE","19981008")</f>
        <v>#N/A N/A</v>
      </c>
      <c r="JU5" t="str">
        <f>_xll.BDS("SYK US Equity","SUPPLY_CHAIN_SUPPLIERS","RELATIONSHIP_AS_OF_DATE","20191104","cols=1;rows=5")</f>
        <v>FLEX US Equity</v>
      </c>
      <c r="JZ5" t="str">
        <f>_xll.BDS("SYK US Equity","SUPPLY_CHAIN_CUSTOMERS","RELATIONSHIP_AS_OF_DATE","20191104","cols=1;rows=5")</f>
        <v>CNXN US Equity</v>
      </c>
      <c r="KE5" t="str">
        <f>_xll.BDS("CVX US Equity","SUPPLY_CHAIN_SUPPLIERS","RELATIONSHIP_AS_OF_DATE","20101109","cols=1;rows=5")</f>
        <v>RIG US Equity</v>
      </c>
      <c r="KJ5" t="str">
        <f>_xll.BDS("CVX US Equity","SUPPLY_CHAIN_CUSTOMERS","RELATIONSHIP_AS_OF_DATE","20101109","cols=1;rows=5")</f>
        <v>UGPA3 BZ Equity</v>
      </c>
      <c r="KO5" t="str">
        <f>_xll.BDS("MAA US Equity","SUPPLY_CHAIN_SUPPLIERS","RELATIONSHIP_AS_OF_DATE","20160815")</f>
        <v>SMRT US Equity</v>
      </c>
      <c r="KT5" t="str">
        <f>_xll.BDS("MAA US Equity","SUPPLY_CHAIN_CUSTOMERS","RELATIONSHIP_AS_OF_DATE","20160815")</f>
        <v>#N/A N/A</v>
      </c>
      <c r="KY5" t="str">
        <f>_xll.BDS("nan Equity","SUPPLY_CHAIN_SUPPLIERS","RELATIONSHIP_AS_OF_DATE","20150407")</f>
        <v>#N/A N/A</v>
      </c>
      <c r="LD5" t="str">
        <f>_xll.BDS("nan Equity","SUPPLY_CHAIN_CUSTOMERS","RELATIONSHIP_AS_OF_DATE","20150407")</f>
        <v>#N/A N/A</v>
      </c>
      <c r="LI5" t="str">
        <f>_xll.BDS("DVN US Equity","SUPPLY_CHAIN_SUPPLIERS","RELATIONSHIP_AS_OF_DATE","20030224","cols=1;rows=5")</f>
        <v>AROC US Equity</v>
      </c>
      <c r="LN5" t="str">
        <f>_xll.BDS("DVN US Equity","SUPPLY_CHAIN_CUSTOMERS","RELATIONSHIP_AS_OF_DATE","20030224")</f>
        <v>CNA LN Equity</v>
      </c>
      <c r="LS5" t="str">
        <f>_xll.BDS("GE US Equity","SUPPLY_CHAIN_SUPPLIERS","RELATIONSHIP_AS_OF_DATE","20011215","cols=1;rows=5")</f>
        <v>SAF FP Equity</v>
      </c>
      <c r="LX5" t="str">
        <f>_xll.BDS("GE US Equity","SUPPLY_CHAIN_CUSTOMERS","RELATIONSHIP_AS_OF_DATE","20011215","cols=1;rows=5")</f>
        <v>3352Z US Equity</v>
      </c>
      <c r="MC5" t="str">
        <f>_xll.BDS("0772031D US Equity","SUPPLY_CHAIN_SUPPLIERS","RELATIONSHIP_AS_OF_DATE","19980309")</f>
        <v>#N/A N/A</v>
      </c>
      <c r="MH5" t="str">
        <f>_xll.BDS("0772031D US Equity","SUPPLY_CHAIN_CUSTOMERS","RELATIONSHIP_AS_OF_DATE","19980309")</f>
        <v>#N/A N/A</v>
      </c>
      <c r="MM5" t="str">
        <f>_xll.BDS("1235274D US Equity","SUPPLY_CHAIN_SUPPLIERS","RELATIONSHIP_AS_OF_DATE","20010927")</f>
        <v>#N/A N/A</v>
      </c>
      <c r="MR5" t="str">
        <f>_xll.BDS("1235274D US Equity","SUPPLY_CHAIN_CUSTOMERS","RELATIONSHIP_AS_OF_DATE","20010927")</f>
        <v>#N/A N/A</v>
      </c>
      <c r="MW5" t="str">
        <f>_xll.BDS("TRGP US Equity","SUPPLY_CHAIN_SUPPLIERS","RELATIONSHIP_AS_OF_DATE","20141013","cols=1;rows=5")</f>
        <v>SD US Equity</v>
      </c>
      <c r="NB5" t="str">
        <f>_xll.BDS("TRGP US Equity","SUPPLY_CHAIN_CUSTOMERS","RELATIONSHIP_AS_OF_DATE","20141013","cols=1;rows=5")</f>
        <v>EPD US Equity</v>
      </c>
      <c r="NG5" t="str">
        <f>_xll.BDS("nan Equity","SUPPLY_CHAIN_SUPPLIERS","RELATIONSHIP_AS_OF_DATE","20040913")</f>
        <v>#N/A N/A</v>
      </c>
      <c r="NL5" t="str">
        <f>_xll.BDS("nan Equity","SUPPLY_CHAIN_CUSTOMERS","RELATIONSHIP_AS_OF_DATE","20040913")</f>
        <v>#N/A N/A</v>
      </c>
      <c r="NQ5" t="str">
        <f>_xll.BDS("SPB US Equity","SUPPLY_CHAIN_SUPPLIERS","RELATIONSHIP_AS_OF_DATE","20180226","cols=1;rows=5")</f>
        <v>SLGN US Equity</v>
      </c>
      <c r="NV5" t="str">
        <f>_xll.BDS("SPB US Equity","SUPPLY_CHAIN_CUSTOMERS","RELATIONSHIP_AS_OF_DATE","20180226","cols=1;rows=5")</f>
        <v>WMT US Equity</v>
      </c>
      <c r="OA5" t="str">
        <f>_xll.BDS("CMX US Equity","SUPPLY_CHAIN_SUPPLIERS","RELATIONSHIP_AS_OF_DATE","20030902")</f>
        <v>#N/A N/A</v>
      </c>
      <c r="OF5" t="str">
        <f>_xll.BDS("CMX US Equity","SUPPLY_CHAIN_CUSTOMERS","RELATIONSHIP_AS_OF_DATE","20030902")</f>
        <v>#N/A N/A</v>
      </c>
    </row>
    <row r="6" spans="1:396" x14ac:dyDescent="0.25">
      <c r="A6" t="s">
        <v>11007</v>
      </c>
      <c r="F6" t="s">
        <v>11193</v>
      </c>
      <c r="K6" t="s">
        <v>13176</v>
      </c>
      <c r="P6" t="s">
        <v>13097</v>
      </c>
      <c r="AO6" t="s">
        <v>12136</v>
      </c>
      <c r="AT6" t="s">
        <v>12059</v>
      </c>
      <c r="AY6" t="s">
        <v>12259</v>
      </c>
      <c r="BD6" t="s">
        <v>11577</v>
      </c>
      <c r="BI6" t="s">
        <v>11188</v>
      </c>
      <c r="BS6" t="s">
        <v>11008</v>
      </c>
      <c r="BX6" t="s">
        <v>1363</v>
      </c>
      <c r="CC6" t="s">
        <v>12259</v>
      </c>
      <c r="CH6" t="s">
        <v>11577</v>
      </c>
      <c r="CM6" t="s">
        <v>11089</v>
      </c>
      <c r="CR6" t="s">
        <v>266</v>
      </c>
      <c r="CW6" t="s">
        <v>2131</v>
      </c>
      <c r="DQ6" t="s">
        <v>12225</v>
      </c>
      <c r="EK6" t="s">
        <v>12047</v>
      </c>
      <c r="EP6" t="s">
        <v>10785</v>
      </c>
      <c r="FE6" t="s">
        <v>10711</v>
      </c>
      <c r="FJ6" t="s">
        <v>10698</v>
      </c>
      <c r="FO6" t="s">
        <v>10851</v>
      </c>
      <c r="FT6" t="s">
        <v>13094</v>
      </c>
      <c r="GI6" t="s">
        <v>12112</v>
      </c>
      <c r="GS6" t="s">
        <v>12183</v>
      </c>
      <c r="GX6" t="s">
        <v>11376</v>
      </c>
      <c r="HC6" t="s">
        <v>374</v>
      </c>
      <c r="HM6" t="s">
        <v>7544</v>
      </c>
      <c r="HR6" t="s">
        <v>11020</v>
      </c>
      <c r="IQ6" t="s">
        <v>789</v>
      </c>
      <c r="IV6" t="s">
        <v>2881</v>
      </c>
      <c r="JA6" t="s">
        <v>11290</v>
      </c>
      <c r="JF6" t="s">
        <v>13146</v>
      </c>
      <c r="JU6" t="s">
        <v>11412</v>
      </c>
      <c r="JZ6" t="s">
        <v>11830</v>
      </c>
      <c r="KE6" t="s">
        <v>11155</v>
      </c>
      <c r="KJ6" t="s">
        <v>11640</v>
      </c>
      <c r="LI6" t="s">
        <v>11464</v>
      </c>
      <c r="LS6" t="s">
        <v>11008</v>
      </c>
      <c r="LX6" t="s">
        <v>1363</v>
      </c>
      <c r="MW6" t="s">
        <v>10940</v>
      </c>
      <c r="NB6" t="s">
        <v>11403</v>
      </c>
      <c r="NQ6" t="s">
        <v>1274</v>
      </c>
      <c r="NV6" t="s">
        <v>469</v>
      </c>
    </row>
    <row r="7" spans="1:396" x14ac:dyDescent="0.25">
      <c r="A7" t="s">
        <v>11756</v>
      </c>
      <c r="F7" t="s">
        <v>11955</v>
      </c>
      <c r="K7" t="s">
        <v>11537</v>
      </c>
      <c r="P7" t="s">
        <v>12201</v>
      </c>
      <c r="AO7" t="s">
        <v>10892</v>
      </c>
      <c r="AT7" t="s">
        <v>12060</v>
      </c>
      <c r="AY7" t="s">
        <v>10718</v>
      </c>
      <c r="BD7" t="s">
        <v>11578</v>
      </c>
      <c r="BI7" t="s">
        <v>10987</v>
      </c>
      <c r="BS7" t="s">
        <v>11009</v>
      </c>
      <c r="BX7" t="s">
        <v>10939</v>
      </c>
      <c r="CC7" t="s">
        <v>10718</v>
      </c>
      <c r="CH7" t="s">
        <v>11578</v>
      </c>
      <c r="CM7" t="s">
        <v>11090</v>
      </c>
      <c r="CR7" t="s">
        <v>10892</v>
      </c>
      <c r="CW7" t="s">
        <v>13234</v>
      </c>
      <c r="DQ7" t="s">
        <v>12226</v>
      </c>
      <c r="EK7" t="s">
        <v>3439</v>
      </c>
      <c r="EP7" t="s">
        <v>469</v>
      </c>
      <c r="FE7" t="s">
        <v>10712</v>
      </c>
      <c r="FJ7" t="s">
        <v>10699</v>
      </c>
      <c r="FO7" t="s">
        <v>13286</v>
      </c>
      <c r="FT7" t="s">
        <v>10747</v>
      </c>
      <c r="GI7" t="s">
        <v>13255</v>
      </c>
      <c r="GS7" t="s">
        <v>4043</v>
      </c>
      <c r="GX7" t="s">
        <v>10785</v>
      </c>
      <c r="HM7" t="s">
        <v>11054</v>
      </c>
      <c r="HR7" t="s">
        <v>11021</v>
      </c>
      <c r="IQ7" t="s">
        <v>969</v>
      </c>
      <c r="IV7" t="s">
        <v>11366</v>
      </c>
      <c r="JA7" t="s">
        <v>11417</v>
      </c>
      <c r="JF7" t="s">
        <v>13147</v>
      </c>
      <c r="JU7" t="s">
        <v>11413</v>
      </c>
      <c r="JZ7" t="s">
        <v>11831</v>
      </c>
      <c r="KE7" t="s">
        <v>12104</v>
      </c>
      <c r="KJ7" t="s">
        <v>12417</v>
      </c>
      <c r="LI7" t="s">
        <v>11312</v>
      </c>
      <c r="LS7" t="s">
        <v>11009</v>
      </c>
      <c r="LX7" t="s">
        <v>10939</v>
      </c>
      <c r="MW7" t="s">
        <v>13207</v>
      </c>
      <c r="NB7" t="s">
        <v>13179</v>
      </c>
      <c r="NQ7" t="s">
        <v>11346</v>
      </c>
      <c r="NV7" t="s">
        <v>11295</v>
      </c>
    </row>
    <row r="8" spans="1:396" x14ac:dyDescent="0.25">
      <c r="A8" t="s">
        <v>1353</v>
      </c>
      <c r="F8" t="s">
        <v>10660</v>
      </c>
      <c r="K8" t="s">
        <v>13177</v>
      </c>
      <c r="P8" t="s">
        <v>13098</v>
      </c>
      <c r="AO8" t="s">
        <v>12071</v>
      </c>
      <c r="AT8" t="s">
        <v>10997</v>
      </c>
      <c r="AY8" t="s">
        <v>11386</v>
      </c>
      <c r="BI8" t="s">
        <v>12358</v>
      </c>
      <c r="BS8" t="s">
        <v>11010</v>
      </c>
      <c r="BX8" t="s">
        <v>1652</v>
      </c>
      <c r="CC8" t="s">
        <v>11386</v>
      </c>
      <c r="CM8" t="s">
        <v>10734</v>
      </c>
      <c r="CR8" t="s">
        <v>469</v>
      </c>
      <c r="CW8" t="s">
        <v>11157</v>
      </c>
      <c r="EK8" t="s">
        <v>12048</v>
      </c>
      <c r="EP8" t="s">
        <v>1363</v>
      </c>
      <c r="FE8" t="s">
        <v>41</v>
      </c>
      <c r="FJ8" t="s">
        <v>10700</v>
      </c>
      <c r="FO8" t="s">
        <v>260</v>
      </c>
      <c r="FT8" t="s">
        <v>13095</v>
      </c>
      <c r="GI8" t="s">
        <v>13256</v>
      </c>
      <c r="GS8" t="s">
        <v>155</v>
      </c>
      <c r="GX8" t="s">
        <v>2968</v>
      </c>
      <c r="HM8" t="s">
        <v>11055</v>
      </c>
      <c r="HR8" t="s">
        <v>11022</v>
      </c>
      <c r="IQ8" t="s">
        <v>10852</v>
      </c>
      <c r="IV8" t="s">
        <v>10680</v>
      </c>
      <c r="JA8" t="s">
        <v>2111</v>
      </c>
      <c r="JF8" t="s">
        <v>13148</v>
      </c>
      <c r="JU8" t="s">
        <v>11414</v>
      </c>
      <c r="JZ8" t="s">
        <v>11832</v>
      </c>
      <c r="KE8" t="s">
        <v>375</v>
      </c>
      <c r="KJ8" t="s">
        <v>12418</v>
      </c>
      <c r="LI8" t="s">
        <v>13129</v>
      </c>
      <c r="LS8" t="s">
        <v>11010</v>
      </c>
      <c r="LX8" t="s">
        <v>1652</v>
      </c>
      <c r="MW8" t="s">
        <v>11312</v>
      </c>
      <c r="NB8" t="s">
        <v>8073</v>
      </c>
      <c r="NQ8" t="s">
        <v>11347</v>
      </c>
      <c r="NV8" t="s">
        <v>11296</v>
      </c>
    </row>
    <row r="9" spans="1:396" x14ac:dyDescent="0.25">
      <c r="A9" t="s">
        <v>1172</v>
      </c>
      <c r="F9" t="s">
        <v>11956</v>
      </c>
      <c r="K9" t="s">
        <v>12694</v>
      </c>
      <c r="P9" t="s">
        <v>11509</v>
      </c>
      <c r="AO9" t="s">
        <v>11694</v>
      </c>
      <c r="AT9" t="s">
        <v>11659</v>
      </c>
      <c r="AY9" t="s">
        <v>11964</v>
      </c>
      <c r="BI9" t="s">
        <v>11522</v>
      </c>
      <c r="BS9" t="s">
        <v>3625</v>
      </c>
      <c r="BX9" t="s">
        <v>1740</v>
      </c>
      <c r="CC9" t="s">
        <v>11964</v>
      </c>
      <c r="CM9" t="s">
        <v>11170</v>
      </c>
      <c r="CR9" t="s">
        <v>41</v>
      </c>
      <c r="EK9" t="s">
        <v>10786</v>
      </c>
      <c r="EP9" t="s">
        <v>11193</v>
      </c>
      <c r="FE9" t="s">
        <v>5236</v>
      </c>
      <c r="FJ9" t="s">
        <v>10701</v>
      </c>
      <c r="FO9" t="s">
        <v>3150</v>
      </c>
      <c r="FT9" t="s">
        <v>13096</v>
      </c>
      <c r="GI9" t="s">
        <v>13257</v>
      </c>
      <c r="GS9" t="s">
        <v>5592</v>
      </c>
      <c r="GX9" t="s">
        <v>667</v>
      </c>
      <c r="HM9" t="s">
        <v>11056</v>
      </c>
      <c r="HR9" t="s">
        <v>11023</v>
      </c>
      <c r="IQ9" t="s">
        <v>6724</v>
      </c>
      <c r="IV9" t="s">
        <v>12860</v>
      </c>
      <c r="JA9" t="s">
        <v>10696</v>
      </c>
      <c r="JF9" t="s">
        <v>13149</v>
      </c>
      <c r="JU9" t="s">
        <v>5575</v>
      </c>
      <c r="JZ9" t="s">
        <v>11833</v>
      </c>
      <c r="KE9" t="s">
        <v>12105</v>
      </c>
      <c r="KJ9" t="s">
        <v>12419</v>
      </c>
      <c r="LI9" t="s">
        <v>11842</v>
      </c>
      <c r="LS9" t="s">
        <v>3625</v>
      </c>
      <c r="LX9" t="s">
        <v>1740</v>
      </c>
      <c r="MW9" t="s">
        <v>11449</v>
      </c>
      <c r="NB9" t="s">
        <v>1159</v>
      </c>
      <c r="NQ9" t="s">
        <v>11348</v>
      </c>
      <c r="NV9" t="s">
        <v>10775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1218</v>
      </c>
      <c r="K1" s="1" t="s">
        <v>1219</v>
      </c>
      <c r="U1" s="1" t="s">
        <v>1220</v>
      </c>
      <c r="AE1" s="1" t="s">
        <v>1221</v>
      </c>
      <c r="AO1" s="1" t="s">
        <v>1222</v>
      </c>
      <c r="AY1" s="1" t="s">
        <v>1223</v>
      </c>
      <c r="BI1" s="1" t="s">
        <v>1224</v>
      </c>
      <c r="BS1" s="1" t="s">
        <v>1225</v>
      </c>
      <c r="CC1" s="1" t="s">
        <v>1226</v>
      </c>
      <c r="CM1" s="1" t="s">
        <v>1227</v>
      </c>
      <c r="CW1" s="1" t="s">
        <v>1228</v>
      </c>
      <c r="DG1" s="1" t="s">
        <v>1229</v>
      </c>
      <c r="DQ1" s="1" t="s">
        <v>1230</v>
      </c>
      <c r="EA1" s="1" t="s">
        <v>1231</v>
      </c>
      <c r="EK1" s="1" t="s">
        <v>1232</v>
      </c>
      <c r="EU1" s="1" t="s">
        <v>1233</v>
      </c>
      <c r="FE1" s="1" t="s">
        <v>1234</v>
      </c>
      <c r="FO1" s="1" t="s">
        <v>1235</v>
      </c>
      <c r="FY1" s="1" t="s">
        <v>1236</v>
      </c>
      <c r="GI1" s="1" t="s">
        <v>1237</v>
      </c>
      <c r="GS1" s="1" t="s">
        <v>1238</v>
      </c>
      <c r="HC1" s="1" t="s">
        <v>1239</v>
      </c>
      <c r="HM1" s="1" t="s">
        <v>1240</v>
      </c>
      <c r="HW1" s="1" t="s">
        <v>1241</v>
      </c>
      <c r="IG1" s="1" t="s">
        <v>1242</v>
      </c>
      <c r="IQ1" s="1" t="s">
        <v>1243</v>
      </c>
      <c r="JA1" s="1" t="s">
        <v>1244</v>
      </c>
      <c r="JK1" s="1" t="s">
        <v>1245</v>
      </c>
      <c r="JU1" s="1" t="s">
        <v>1246</v>
      </c>
      <c r="KE1" s="1" t="s">
        <v>1247</v>
      </c>
      <c r="KO1" s="1" t="s">
        <v>1248</v>
      </c>
      <c r="KY1" s="1" t="s">
        <v>1249</v>
      </c>
      <c r="LI1" s="1" t="s">
        <v>1250</v>
      </c>
      <c r="LS1" s="1" t="s">
        <v>1251</v>
      </c>
      <c r="MC1" s="1" t="s">
        <v>1252</v>
      </c>
      <c r="MM1" s="1" t="s">
        <v>1253</v>
      </c>
      <c r="MW1" s="1" t="s">
        <v>1254</v>
      </c>
      <c r="NG1" s="1" t="s">
        <v>1255</v>
      </c>
      <c r="NQ1" s="1" t="s">
        <v>1256</v>
      </c>
      <c r="OA1" s="1" t="s">
        <v>1257</v>
      </c>
    </row>
    <row r="2" spans="1:396" x14ac:dyDescent="0.25">
      <c r="A2" s="2" t="s">
        <v>1258</v>
      </c>
      <c r="K2" s="2" t="s">
        <v>1259</v>
      </c>
      <c r="U2" s="2" t="s">
        <v>1260</v>
      </c>
      <c r="AE2" s="2" t="s">
        <v>274</v>
      </c>
      <c r="AO2" s="2" t="s">
        <v>1261</v>
      </c>
      <c r="AY2" s="2" t="s">
        <v>1262</v>
      </c>
      <c r="BI2" s="2" t="s">
        <v>1263</v>
      </c>
      <c r="BS2" s="2" t="s">
        <v>64</v>
      </c>
      <c r="CC2" s="2" t="s">
        <v>64</v>
      </c>
      <c r="CM2" s="2" t="s">
        <v>1264</v>
      </c>
      <c r="CW2" s="2" t="s">
        <v>1164</v>
      </c>
      <c r="DG2" s="2" t="s">
        <v>1265</v>
      </c>
      <c r="DQ2" s="2" t="s">
        <v>1266</v>
      </c>
      <c r="EA2" s="2" t="s">
        <v>44</v>
      </c>
      <c r="EK2" s="2" t="s">
        <v>381</v>
      </c>
      <c r="EU2" s="2" t="s">
        <v>679</v>
      </c>
      <c r="FE2" s="2" t="s">
        <v>276</v>
      </c>
      <c r="FO2" s="2" t="s">
        <v>1267</v>
      </c>
      <c r="FY2" s="2" t="s">
        <v>1268</v>
      </c>
      <c r="GI2" s="2" t="s">
        <v>379</v>
      </c>
      <c r="GS2" s="2" t="s">
        <v>1269</v>
      </c>
      <c r="HC2" s="2" t="s">
        <v>41</v>
      </c>
      <c r="HM2" s="2" t="s">
        <v>161</v>
      </c>
      <c r="HW2" s="2" t="s">
        <v>1270</v>
      </c>
      <c r="IG2" s="2" t="s">
        <v>1271</v>
      </c>
      <c r="IQ2" s="2" t="s">
        <v>1272</v>
      </c>
      <c r="JA2" s="2" t="s">
        <v>271</v>
      </c>
      <c r="JK2" s="2" t="s">
        <v>160</v>
      </c>
      <c r="JU2" s="2" t="s">
        <v>171</v>
      </c>
      <c r="KE2" s="2" t="s">
        <v>44</v>
      </c>
      <c r="KO2" s="2" t="s">
        <v>1273</v>
      </c>
      <c r="KY2" s="2" t="s">
        <v>261</v>
      </c>
      <c r="LI2" s="2" t="s">
        <v>368</v>
      </c>
      <c r="LS2" s="2" t="s">
        <v>381</v>
      </c>
      <c r="MC2" s="2" t="s">
        <v>1274</v>
      </c>
      <c r="MM2" s="2" t="s">
        <v>1275</v>
      </c>
      <c r="MW2" s="2" t="s">
        <v>57</v>
      </c>
      <c r="NG2" s="2" t="s">
        <v>969</v>
      </c>
      <c r="NQ2" s="2" t="s">
        <v>1276</v>
      </c>
      <c r="OA2" s="2" t="s">
        <v>687</v>
      </c>
    </row>
    <row r="3" spans="1:396" x14ac:dyDescent="0.25">
      <c r="A3" t="s">
        <v>1277</v>
      </c>
      <c r="K3" t="s">
        <v>1278</v>
      </c>
      <c r="U3" t="s">
        <v>1279</v>
      </c>
      <c r="AE3" t="s">
        <v>1280</v>
      </c>
      <c r="AO3" t="s">
        <v>1281</v>
      </c>
      <c r="AY3" t="s">
        <v>1103</v>
      </c>
      <c r="BI3" t="s">
        <v>1282</v>
      </c>
      <c r="BS3" t="s">
        <v>1283</v>
      </c>
      <c r="CC3" t="s">
        <v>1284</v>
      </c>
      <c r="CM3" t="s">
        <v>1285</v>
      </c>
      <c r="CW3" t="s">
        <v>1286</v>
      </c>
      <c r="DG3" t="s">
        <v>1287</v>
      </c>
      <c r="DQ3" t="s">
        <v>1288</v>
      </c>
      <c r="EA3" t="s">
        <v>1289</v>
      </c>
      <c r="EK3" t="s">
        <v>1290</v>
      </c>
      <c r="EU3" t="s">
        <v>1291</v>
      </c>
      <c r="FE3" t="s">
        <v>1292</v>
      </c>
      <c r="FO3" t="s">
        <v>1293</v>
      </c>
      <c r="FY3" t="s">
        <v>1294</v>
      </c>
      <c r="GI3" t="s">
        <v>1295</v>
      </c>
      <c r="GS3" t="s">
        <v>1296</v>
      </c>
      <c r="HC3" t="s">
        <v>1297</v>
      </c>
      <c r="HM3" t="s">
        <v>1298</v>
      </c>
      <c r="HW3" t="s">
        <v>1299</v>
      </c>
      <c r="IG3" t="s">
        <v>1097</v>
      </c>
      <c r="IQ3" t="s">
        <v>1300</v>
      </c>
      <c r="JA3" t="s">
        <v>1301</v>
      </c>
      <c r="JK3" t="s">
        <v>1302</v>
      </c>
      <c r="JU3" t="s">
        <v>709</v>
      </c>
      <c r="KE3" t="s">
        <v>1303</v>
      </c>
      <c r="KO3" t="s">
        <v>1304</v>
      </c>
      <c r="KY3" t="s">
        <v>1305</v>
      </c>
      <c r="LI3" t="s">
        <v>1306</v>
      </c>
      <c r="LS3" t="s">
        <v>1307</v>
      </c>
      <c r="MC3" t="s">
        <v>1308</v>
      </c>
      <c r="MM3" t="s">
        <v>1309</v>
      </c>
      <c r="MW3" t="s">
        <v>1310</v>
      </c>
      <c r="NG3" t="s">
        <v>1311</v>
      </c>
      <c r="NQ3" t="s">
        <v>1312</v>
      </c>
      <c r="OA3" t="s">
        <v>410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_xll.BDS("166783Q US Equity","SUPPLY_CHAIN_SUPPLIERS","RELATIONSHIP_AS_OF_DATE","20000827")</f>
        <v>#N/A N/A</v>
      </c>
      <c r="F5" t="str">
        <f>_xll.BDS("166783Q US Equity","SUPPLY_CHAIN_CUSTOMERS","RELATIONSHIP_AS_OF_DATE","20000827")</f>
        <v>#N/A N/A</v>
      </c>
      <c r="K5" t="str">
        <f>_xll.BDS("ADELQ US Equity","SUPPLY_CHAIN_SUPPLIERS","RELATIONSHIP_AS_OF_DATE","19990305")</f>
        <v>#N/A N/A</v>
      </c>
      <c r="P5" t="str">
        <f>_xll.BDS("ADELQ US Equity","SUPPLY_CHAIN_CUSTOMERS","RELATIONSHIP_AS_OF_DATE","19990305")</f>
        <v>#N/A N/A</v>
      </c>
      <c r="U5" t="str">
        <f>_xll.BDS("MRCHQ US Equity","SUPPLY_CHAIN_SUPPLIERS","RELATIONSHIP_AS_OF_DATE","19991213")</f>
        <v>#N/A N/A</v>
      </c>
      <c r="Z5" t="str">
        <f>_xll.BDS("MRCHQ US Equity","SUPPLY_CHAIN_CUSTOMERS","RELATIONSHIP_AS_OF_DATE","19991213")</f>
        <v>#N/A N/A</v>
      </c>
      <c r="AE5" t="str">
        <f>_xll.BDS("LHX US Equity","SUPPLY_CHAIN_SUPPLIERS","RELATIONSHIP_AS_OF_DATE","20150206","cols=1;rows=5")</f>
        <v>HON US Equity</v>
      </c>
      <c r="AJ5" t="str">
        <f>_xll.BDS("LHX US Equity","SUPPLY_CHAIN_CUSTOMERS","RELATIONSHIP_AS_OF_DATE","20150206","cols=1;rows=5")</f>
        <v>3352Z US Equity</v>
      </c>
      <c r="AO5" t="str">
        <f>_xll.BDS("ATHMQ US Equity","SUPPLY_CHAIN_SUPPLIERS","RELATIONSHIP_AS_OF_DATE","19990119")</f>
        <v>004410 KS Equity</v>
      </c>
      <c r="AT5" t="str">
        <f>_xll.BDS("ATHMQ US Equity","SUPPLY_CHAIN_CUSTOMERS","RELATIONSHIP_AS_OF_DATE","19990119")</f>
        <v>#N/A N/A</v>
      </c>
      <c r="AY5" t="str">
        <f>_xll.BDS("8394653Q US Equity","SUPPLY_CHAIN_SUPPLIERS","RELATIONSHIP_AS_OF_DATE","20050606")</f>
        <v>#N/A N/A</v>
      </c>
      <c r="BD5" t="str">
        <f>_xll.BDS("8394653Q US Equity","SUPPLY_CHAIN_CUSTOMERS","RELATIONSHIP_AS_OF_DATE","20050606")</f>
        <v>#N/A N/A</v>
      </c>
      <c r="BI5" t="str">
        <f>_xll.BDS("XEL US Equity","SUPPLY_CHAIN_SUPPLIERS","RELATIONSHIP_AS_OF_DATE","19990325","cols=1;rows=5")</f>
        <v>PWR US Equity</v>
      </c>
      <c r="BN5" t="str">
        <f>_xll.BDS("XEL US Equity","SUPPLY_CHAIN_CUSTOMERS","RELATIONSHIP_AS_OF_DATE","19990325","cols=1;rows=5")</f>
        <v>000150 KS Equity</v>
      </c>
      <c r="BS5" t="str">
        <f>_xll.BDS("nan Equity","SUPPLY_CHAIN_SUPPLIERS","RELATIONSHIP_AS_OF_DATE","20210601")</f>
        <v>#N/A N/A</v>
      </c>
      <c r="BX5" t="str">
        <f>_xll.BDS("nan Equity","SUPPLY_CHAIN_CUSTOMERS","RELATIONSHIP_AS_OF_DATE","20210601")</f>
        <v>#N/A N/A</v>
      </c>
      <c r="CC5" t="str">
        <f>_xll.BDS("nan Equity","SUPPLY_CHAIN_SUPPLIERS","RELATIONSHIP_AS_OF_DATE","20141020")</f>
        <v>#N/A N/A</v>
      </c>
      <c r="CH5" t="str">
        <f>_xll.BDS("nan Equity","SUPPLY_CHAIN_CUSTOMERS","RELATIONSHIP_AS_OF_DATE","20141020")</f>
        <v>#N/A N/A</v>
      </c>
      <c r="CM5" t="str">
        <f>_xll.BDS("ATBA AV Equity","SUPPLY_CHAIN_SUPPLIERS","RELATIONSHIP_AS_OF_DATE","19990401","cols=1;rows=5")</f>
        <v>000676 CH Equity</v>
      </c>
      <c r="CR5" t="str">
        <f>_xll.BDS("ATBA AV Equity","SUPPLY_CHAIN_CUSTOMERS","RELATIONSHIP_AS_OF_DATE","19990401","cols=1;rows=5")</f>
        <v>066570 KS Equity</v>
      </c>
      <c r="CW5" t="str">
        <f>_xll.BDS("GE US Equity","SUPPLY_CHAIN_SUPPLIERS","RELATIONSHIP_AS_OF_DATE","20051222","cols=1;rows=5")</f>
        <v>SAF FP Equity</v>
      </c>
      <c r="DB5" t="str">
        <f>_xll.BDS("GE US Equity","SUPPLY_CHAIN_CUSTOMERS","RELATIONSHIP_AS_OF_DATE","20051222","cols=1;rows=5")</f>
        <v>3352Z US Equity</v>
      </c>
      <c r="DG5" t="str">
        <f>_xll.BDS("AES US Equity","SUPPLY_CHAIN_SUPPLIERS","RELATIONSHIP_AS_OF_DATE","20110420","cols=1;rows=5")</f>
        <v>FLNC US Equity</v>
      </c>
      <c r="DL5" t="str">
        <f>_xll.BDS("AES US Equity","SUPPLY_CHAIN_CUSTOMERS","RELATIONSHIP_AS_OF_DATE","20110420","cols=1;rows=5")</f>
        <v>PE&amp;OLES* MM Equity</v>
      </c>
      <c r="DQ5" t="str">
        <f>_xll.BDS("PSA US Equity","SUPPLY_CHAIN_SUPPLIERS","RELATIONSHIP_AS_OF_DATE","20050801","cols=1;rows=4")</f>
        <v>1347L US Equity</v>
      </c>
      <c r="DV5" t="str">
        <f>_xll.BDS("PSA US Equity","SUPPLY_CHAIN_CUSTOMERS","RELATIONSHIP_AS_OF_DATE","20050801")</f>
        <v>#N/A N/A</v>
      </c>
      <c r="EA5" t="str">
        <f>_xll.BDS("PFE US Equity","SUPPLY_CHAIN_SUPPLIERS","RELATIONSHIP_AS_OF_DATE","20220808","cols=1;rows=5")</f>
        <v>BNTX US Equity</v>
      </c>
      <c r="EF5" t="str">
        <f>_xll.BDS("PFE US Equity","SUPPLY_CHAIN_CUSTOMERS","RELATIONSHIP_AS_OF_DATE","20220808","cols=1;rows=5")</f>
        <v>MCK US Equity</v>
      </c>
      <c r="EK5" t="str">
        <f>_xll.BDS("MS US Equity","SUPPLY_CHAIN_SUPPLIERS","RELATIONSHIP_AS_OF_DATE","20070522","cols=1;rows=5")</f>
        <v>DLR US Equity</v>
      </c>
      <c r="EP5" t="str">
        <f>_xll.BDS("MS US Equity","SUPPLY_CHAIN_CUSTOMERS","RELATIONSHIP_AS_OF_DATE","20070522","cols=1;rows=5")</f>
        <v>012690 KS Equity</v>
      </c>
      <c r="EU5" t="str">
        <f>_xll.BDS("EPD US Equity","SUPPLY_CHAIN_SUPPLIERS","RELATIONSHIP_AS_OF_DATE","20141001","cols=1;rows=5")</f>
        <v>MTDR US Equity</v>
      </c>
      <c r="EZ5" t="str">
        <f>_xll.BDS("EPD US Equity","SUPPLY_CHAIN_CUSTOMERS","RELATIONSHIP_AS_OF_DATE","20141001","cols=1;rows=5")</f>
        <v>62647Z LN Equity</v>
      </c>
      <c r="FE5" t="str">
        <f>_xll.BDS("WM US Equity","SUPPLY_CHAIN_SUPPLIERS","RELATIONSHIP_AS_OF_DATE","20190415","cols=1;rows=5")</f>
        <v>CNR CN Equity</v>
      </c>
      <c r="FJ5" t="str">
        <f>_xll.BDS("WM US Equity","SUPPLY_CHAIN_CUSTOMERS","RELATIONSHIP_AS_OF_DATE","20190415")</f>
        <v>FLCM US Equity</v>
      </c>
      <c r="FO5" t="str">
        <f>_xll.BDS("AMAT US Equity","SUPPLY_CHAIN_SUPPLIERS","RELATIONSHIP_AS_OF_DATE","20110504","cols=1;rows=5")</f>
        <v>UCTT US Equity</v>
      </c>
      <c r="FT5" t="str">
        <f>_xll.BDS("AMAT US Equity","SUPPLY_CHAIN_CUSTOMERS","RELATIONSHIP_AS_OF_DATE","20110504","cols=1;rows=5")</f>
        <v>2330 TT Equity</v>
      </c>
      <c r="FY5" t="str">
        <f>_xll.BDS("1051665D US Equity","SUPPLY_CHAIN_SUPPLIERS","RELATIONSHIP_AS_OF_DATE","20010829")</f>
        <v>#N/A N/A</v>
      </c>
      <c r="GD5" t="str">
        <f>_xll.BDS("1051665D US Equity","SUPPLY_CHAIN_CUSTOMERS","RELATIONSHIP_AS_OF_DATE","20010829")</f>
        <v>#N/A N/A</v>
      </c>
      <c r="GI5" t="str">
        <f>_xll.BDS("ELV US Equity","SUPPLY_CHAIN_SUPPLIERS","RELATIONSHIP_AS_OF_DATE","20120709","cols=1;rows=5")</f>
        <v>HNGE US Equity</v>
      </c>
      <c r="GN5" t="str">
        <f>_xll.BDS("ELV US Equity","SUPPLY_CHAIN_CUSTOMERS","RELATIONSHIP_AS_OF_DATE","20120709","cols=1;rows=5")</f>
        <v>3352Z US Equity</v>
      </c>
      <c r="GS5" t="str">
        <f>_xll.BDS("UNM US Equity","SUPPLY_CHAIN_SUPPLIERS","RELATIONSHIP_AS_OF_DATE","19981123","cols=1;rows=3")</f>
        <v>1667771D US Equity</v>
      </c>
      <c r="GX5" t="str">
        <f>_xll.BDS("UNM US Equity","SUPPLY_CHAIN_CUSTOMERS","RELATIONSHIP_AS_OF_DATE","19981123")</f>
        <v>#N/A N/A</v>
      </c>
      <c r="HC5" t="str">
        <f>_xll.BDS("T US Equity","SUPPLY_CHAIN_SUPPLIERS","RELATIONSHIP_AS_OF_DATE","20070629","cols=1;rows=5")</f>
        <v>AAPL US Equity</v>
      </c>
      <c r="HH5" t="str">
        <f>_xll.BDS("T US Equity","SUPPLY_CHAIN_CUSTOMERS","RELATIONSHIP_AS_OF_DATE","20070629","cols=1;rows=5")</f>
        <v>IBM US Equity</v>
      </c>
      <c r="HM5" t="str">
        <f>_xll.BDS("BX US Equity","SUPPLY_CHAIN_SUPPLIERS","RELATIONSHIP_AS_OF_DATE","20060306","cols=1;rows=5")</f>
        <v>ORCL US Equity</v>
      </c>
      <c r="HR5" t="str">
        <f>_xll.BDS("BX US Equity","SUPPLY_CHAIN_CUSTOMERS","RELATIONSHIP_AS_OF_DATE","20060306","cols=1;rows=5")</f>
        <v>002284 CH Equity</v>
      </c>
      <c r="HW5" t="str">
        <f>_xll.BDS("EMN US Equity","SUPPLY_CHAIN_SUPPLIERS","RELATIONSHIP_AS_OF_DATE","20120127","cols=1;rows=5")</f>
        <v>AI FP Equity</v>
      </c>
      <c r="IB5" t="str">
        <f>_xll.BDS("EMN US Equity","SUPPLY_CHAIN_CUSTOMERS","RELATIONSHIP_AS_OF_DATE","20120127","cols=1;rows=5")</f>
        <v>JNJ US Equity</v>
      </c>
      <c r="IG5" t="str">
        <f>_xll.BDS("VMC US Equity","SUPPLY_CHAIN_SUPPLIERS","RELATIONSHIP_AS_OF_DATE","20070219","cols=1;rows=5")</f>
        <v>ATCOA SS Equity</v>
      </c>
      <c r="IL5" t="str">
        <f>_xll.BDS("VMC US Equity","SUPPLY_CHAIN_CUSTOMERS","RELATIONSHIP_AS_OF_DATE","20070219","cols=1;rows=2")</f>
        <v>267222Z US Equity</v>
      </c>
      <c r="IQ5" t="str">
        <f>_xll.BDS("FITB US Equity","SUPPLY_CHAIN_SUPPLIERS","RELATIONSHIP_AS_OF_DATE","20180521","cols=1;rows=5")</f>
        <v>004800 KS Equity</v>
      </c>
      <c r="IV5" t="str">
        <f>_xll.BDS("FITB US Equity","SUPPLY_CHAIN_CUSTOMERS","RELATIONSHIP_AS_OF_DATE","20180521")</f>
        <v>USIO US Equity</v>
      </c>
      <c r="JA5" t="str">
        <f>_xll.BDS("2968900Q US Equity","SUPPLY_CHAIN_SUPPLIERS","RELATIONSHIP_AS_OF_DATE","20000229")</f>
        <v>#N/A N/A</v>
      </c>
      <c r="JF5" t="str">
        <f>_xll.BDS("2968900Q US Equity","SUPPLY_CHAIN_CUSTOMERS","RELATIONSHIP_AS_OF_DATE","20000229")</f>
        <v>#N/A N/A</v>
      </c>
      <c r="JK5" t="str">
        <f>_xll.BDS("PARA US Equity","SUPPLY_CHAIN_SUPPLIERS","RELATIONSHIP_AS_OF_DATE","20000815","cols=1;rows=5")</f>
        <v>GTN US Equity</v>
      </c>
      <c r="JP5" t="str">
        <f>_xll.BDS("PARA US Equity","SUPPLY_CHAIN_CUSTOMERS","RELATIONSHIP_AS_OF_DATE","20000815","cols=1;rows=5")</f>
        <v>002293 CH Equity</v>
      </c>
      <c r="JU5" t="str">
        <f>_xll.BDS("ORCL US Equity","SUPPLY_CHAIN_SUPPLIERS","RELATIONSHIP_AS_OF_DATE","20140623","cols=1;rows=5")</f>
        <v>NVDA US Equity</v>
      </c>
      <c r="JZ5" t="str">
        <f>_xll.BDS("ORCL US Equity","SUPPLY_CHAIN_CUSTOMERS","RELATIONSHIP_AS_OF_DATE","20140623","cols=1;rows=5")</f>
        <v>ACN US Equity</v>
      </c>
      <c r="KE5" t="str">
        <f>_xll.BDS("PFE US Equity","SUPPLY_CHAIN_SUPPLIERS","RELATIONSHIP_AS_OF_DATE","20160516","cols=1;rows=5")</f>
        <v>BNTX US Equity</v>
      </c>
      <c r="KJ5" t="str">
        <f>_xll.BDS("PFE US Equity","SUPPLY_CHAIN_CUSTOMERS","RELATIONSHIP_AS_OF_DATE","20160516","cols=1;rows=5")</f>
        <v>MCK US Equity</v>
      </c>
      <c r="KO5" t="str">
        <f>_xll.BDS("STT US Equity","SUPPLY_CHAIN_SUPPLIERS","RELATIONSHIP_AS_OF_DATE","20070205","cols=1;rows=5")</f>
        <v>IBM US Equity</v>
      </c>
      <c r="KT5" t="str">
        <f>_xll.BDS("STT US Equity","SUPPLY_CHAIN_CUSTOMERS","RELATIONSHIP_AS_OF_DATE","20070205","cols=1;rows=2")</f>
        <v>IBM US Equity</v>
      </c>
      <c r="KY5" t="str">
        <f>_xll.BDS("HPQ US Equity","SUPPLY_CHAIN_SUPPLIERS","RELATIONSHIP_AS_OF_DATE","20060725","cols=1;rows=5")</f>
        <v>2356 TT Equity</v>
      </c>
      <c r="LD5" t="str">
        <f>_xll.BDS("HPQ US Equity","SUPPLY_CHAIN_CUSTOMERS","RELATIONSHIP_AS_OF_DATE","20060725","cols=1;rows=5")</f>
        <v>SNX US Equity</v>
      </c>
      <c r="LI5" t="str">
        <f>_xll.BDS("JNJ US Equity","SUPPLY_CHAIN_SUPPLIERS","RELATIONSHIP_AS_OF_DATE","19990721","cols=1;rows=5")</f>
        <v>GMAB DC Equity</v>
      </c>
      <c r="LN5" t="str">
        <f>_xll.BDS("JNJ US Equity","SUPPLY_CHAIN_CUSTOMERS","RELATIONSHIP_AS_OF_DATE","19990721","cols=1;rows=5")</f>
        <v>MCK US Equity</v>
      </c>
      <c r="LS5" t="str">
        <f>_xll.BDS("MS US Equity","SUPPLY_CHAIN_SUPPLIERS","RELATIONSHIP_AS_OF_DATE","20201008","cols=1;rows=5")</f>
        <v>DLR US Equity</v>
      </c>
      <c r="LX5" t="str">
        <f>_xll.BDS("MS US Equity","SUPPLY_CHAIN_CUSTOMERS","RELATIONSHIP_AS_OF_DATE","20201008","cols=1;rows=5")</f>
        <v>012690 KS Equity</v>
      </c>
      <c r="MC5" t="str">
        <f>_xll.BDS("SWK US Equity","SUPPLY_CHAIN_SUPPLIERS","RELATIONSHIP_AS_OF_DATE","20091102","cols=1;rows=5")</f>
        <v>HCLT IN Equity</v>
      </c>
      <c r="MH5" t="str">
        <f>_xll.BDS("SWK US Equity","SUPPLY_CHAIN_CUSTOMERS","RELATIONSHIP_AS_OF_DATE","20091102","cols=1;rows=5")</f>
        <v>HD US Equity</v>
      </c>
      <c r="MM5" t="str">
        <f>_xll.BDS("PTVE US Equity","SUPPLY_CHAIN_SUPPLIERS","RELATIONSHIP_AS_OF_DATE","20110614","cols=1;rows=5")</f>
        <v>REYN US Equity</v>
      </c>
      <c r="MR5" t="str">
        <f>_xll.BDS("PTVE US Equity","SUPPLY_CHAIN_CUSTOMERS","RELATIONSHIP_AS_OF_DATE","20110614","cols=1;rows=2")</f>
        <v>REYN US Equity</v>
      </c>
      <c r="MW5" t="str">
        <f>_xll.BDS("BAC US Equity","SUPPLY_CHAIN_SUPPLIERS","RELATIONSHIP_AS_OF_DATE","20080111","cols=1;rows=5")</f>
        <v>ORCL US Equity</v>
      </c>
      <c r="NB5" t="str">
        <f>_xll.BDS("BAC US Equity","SUPPLY_CHAIN_CUSTOMERS","RELATIONSHIP_AS_OF_DATE","20080111","cols=1;rows=4")</f>
        <v>3147564Z US Equity</v>
      </c>
      <c r="NG5" t="str">
        <f>_xll.BDS("CSCO US Equity","SUPPLY_CHAIN_SUPPLIERS","RELATIONSHIP_AS_OF_DATE","20190709","cols=1;rows=5")</f>
        <v>NVDA US Equity</v>
      </c>
      <c r="NL5" t="str">
        <f>_xll.BDS("CSCO US Equity","SUPPLY_CHAIN_CUSTOMERS","RELATIONSHIP_AS_OF_DATE","20190709","cols=1;rows=5")</f>
        <v>SNX US Equity</v>
      </c>
      <c r="NQ5" t="str">
        <f>_xll.BDS("LNCOQ US Equity","SUPPLY_CHAIN_SUPPLIERS","RELATIONSHIP_AS_OF_DATE","20130221")</f>
        <v>#N/A N/A</v>
      </c>
      <c r="NV5" t="str">
        <f>_xll.BDS("LNCOQ US Equity","SUPPLY_CHAIN_CUSTOMERS","RELATIONSHIP_AS_OF_DATE","20130221")</f>
        <v>#N/A N/A</v>
      </c>
      <c r="OA5" t="str">
        <f>_xll.BDS("TSN US Equity","SUPPLY_CHAIN_SUPPLIERS","RELATIONSHIP_AS_OF_DATE","20001204","cols=1;rows=5")</f>
        <v>AMCR US Equity</v>
      </c>
      <c r="OF5" t="str">
        <f>_xll.BDS("TSN US Equity","SUPPLY_CHAIN_CUSTOMERS","RELATIONSHIP_AS_OF_DATE","20001204","cols=1;rows=5")</f>
        <v>WMT US Equity</v>
      </c>
    </row>
    <row r="6" spans="1:396" x14ac:dyDescent="0.25">
      <c r="AE6" t="s">
        <v>3439</v>
      </c>
      <c r="AJ6" t="s">
        <v>10785</v>
      </c>
      <c r="BI6" t="s">
        <v>11665</v>
      </c>
      <c r="BN6" t="s">
        <v>12777</v>
      </c>
      <c r="CM6" t="s">
        <v>11224</v>
      </c>
      <c r="CR6" t="s">
        <v>11195</v>
      </c>
      <c r="CW6" t="s">
        <v>11008</v>
      </c>
      <c r="DB6" t="s">
        <v>1363</v>
      </c>
      <c r="DG6" t="s">
        <v>3066</v>
      </c>
      <c r="DL6" t="s">
        <v>11114</v>
      </c>
      <c r="DQ6" t="s">
        <v>13061</v>
      </c>
      <c r="EA6" t="s">
        <v>171</v>
      </c>
      <c r="EF6" t="s">
        <v>1468</v>
      </c>
      <c r="EK6" t="s">
        <v>11840</v>
      </c>
      <c r="EP6" t="s">
        <v>12493</v>
      </c>
      <c r="EU6" t="s">
        <v>7384</v>
      </c>
      <c r="EZ6" t="s">
        <v>2219</v>
      </c>
      <c r="FE6" t="s">
        <v>171</v>
      </c>
      <c r="FO6" t="s">
        <v>11060</v>
      </c>
      <c r="FT6" t="s">
        <v>10892</v>
      </c>
      <c r="GI6" t="s">
        <v>13226</v>
      </c>
      <c r="GN6" t="s">
        <v>13034</v>
      </c>
      <c r="GS6" t="s">
        <v>13287</v>
      </c>
      <c r="HC6" t="s">
        <v>10892</v>
      </c>
      <c r="HH6" t="s">
        <v>2881</v>
      </c>
      <c r="HM6" t="s">
        <v>7544</v>
      </c>
      <c r="HR6" t="s">
        <v>11020</v>
      </c>
      <c r="HW6" t="s">
        <v>11509</v>
      </c>
      <c r="IB6" t="s">
        <v>11946</v>
      </c>
      <c r="IG6" t="s">
        <v>10971</v>
      </c>
      <c r="IL6" t="s">
        <v>10657</v>
      </c>
      <c r="IQ6" t="s">
        <v>4388</v>
      </c>
      <c r="JK6" t="s">
        <v>11838</v>
      </c>
      <c r="JP6" t="s">
        <v>11076</v>
      </c>
      <c r="JU6" t="s">
        <v>162</v>
      </c>
      <c r="JZ6" t="s">
        <v>469</v>
      </c>
      <c r="KE6" t="s">
        <v>171</v>
      </c>
      <c r="KJ6" t="s">
        <v>1468</v>
      </c>
      <c r="KO6" t="s">
        <v>171</v>
      </c>
      <c r="KT6" t="s">
        <v>13162</v>
      </c>
      <c r="KY6" t="s">
        <v>383</v>
      </c>
      <c r="LD6" t="s">
        <v>4139</v>
      </c>
      <c r="LI6" t="s">
        <v>10735</v>
      </c>
      <c r="LN6" t="s">
        <v>1468</v>
      </c>
      <c r="LS6" t="s">
        <v>11840</v>
      </c>
      <c r="LX6" t="s">
        <v>12493</v>
      </c>
      <c r="MC6" t="s">
        <v>11160</v>
      </c>
      <c r="MH6" t="s">
        <v>3239</v>
      </c>
      <c r="MM6" t="s">
        <v>13281</v>
      </c>
      <c r="MR6" t="s">
        <v>10871</v>
      </c>
      <c r="MW6" t="s">
        <v>1654</v>
      </c>
      <c r="NB6" t="s">
        <v>2208</v>
      </c>
      <c r="NG6" t="s">
        <v>11089</v>
      </c>
      <c r="NL6" t="s">
        <v>266</v>
      </c>
      <c r="OA6" t="s">
        <v>171</v>
      </c>
      <c r="OF6" t="s">
        <v>5983</v>
      </c>
    </row>
    <row r="7" spans="1:396" x14ac:dyDescent="0.25">
      <c r="AE7" t="s">
        <v>11206</v>
      </c>
      <c r="AJ7" t="s">
        <v>42</v>
      </c>
      <c r="BI7" t="s">
        <v>11664</v>
      </c>
      <c r="BN7" t="s">
        <v>12778</v>
      </c>
      <c r="CM7" t="s">
        <v>11225</v>
      </c>
      <c r="CR7" t="s">
        <v>11196</v>
      </c>
      <c r="CW7" t="s">
        <v>11009</v>
      </c>
      <c r="DB7" t="s">
        <v>10939</v>
      </c>
      <c r="DG7" t="s">
        <v>11162</v>
      </c>
      <c r="DL7" t="s">
        <v>12220</v>
      </c>
      <c r="DQ7" t="s">
        <v>13062</v>
      </c>
      <c r="EA7" t="s">
        <v>10816</v>
      </c>
      <c r="EF7" t="s">
        <v>970</v>
      </c>
      <c r="EK7" t="s">
        <v>12364</v>
      </c>
      <c r="EP7" t="s">
        <v>12494</v>
      </c>
      <c r="EU7" t="s">
        <v>3066</v>
      </c>
      <c r="EZ7" t="s">
        <v>12240</v>
      </c>
      <c r="FE7" t="s">
        <v>4570</v>
      </c>
      <c r="FO7" t="s">
        <v>9441</v>
      </c>
      <c r="FT7" t="s">
        <v>3611</v>
      </c>
      <c r="GI7" t="s">
        <v>972</v>
      </c>
      <c r="GN7" t="s">
        <v>13035</v>
      </c>
      <c r="GS7" t="s">
        <v>11439</v>
      </c>
      <c r="HC7" t="s">
        <v>10738</v>
      </c>
      <c r="HH7" t="s">
        <v>10680</v>
      </c>
      <c r="HM7" t="s">
        <v>11054</v>
      </c>
      <c r="HR7" t="s">
        <v>11021</v>
      </c>
      <c r="HW7" t="s">
        <v>11510</v>
      </c>
      <c r="IB7" t="s">
        <v>10939</v>
      </c>
      <c r="IG7" t="s">
        <v>12875</v>
      </c>
      <c r="IQ7" t="s">
        <v>11522</v>
      </c>
      <c r="JK7" t="s">
        <v>7300</v>
      </c>
      <c r="JP7" t="s">
        <v>11077</v>
      </c>
      <c r="JU7" t="s">
        <v>279</v>
      </c>
      <c r="JZ7" t="s">
        <v>2881</v>
      </c>
      <c r="KE7" t="s">
        <v>10816</v>
      </c>
      <c r="KJ7" t="s">
        <v>970</v>
      </c>
      <c r="KO7" t="s">
        <v>266</v>
      </c>
      <c r="KY7" t="s">
        <v>11038</v>
      </c>
      <c r="LD7" t="s">
        <v>11749</v>
      </c>
      <c r="LI7" t="s">
        <v>45</v>
      </c>
      <c r="LN7" t="s">
        <v>970</v>
      </c>
      <c r="LS7" t="s">
        <v>12364</v>
      </c>
      <c r="LX7" t="s">
        <v>12494</v>
      </c>
      <c r="MC7" t="s">
        <v>1270</v>
      </c>
      <c r="MH7" t="s">
        <v>10676</v>
      </c>
      <c r="MM7" t="s">
        <v>10696</v>
      </c>
      <c r="MW7" t="s">
        <v>10986</v>
      </c>
      <c r="NB7" t="s">
        <v>11174</v>
      </c>
      <c r="NG7" t="s">
        <v>11090</v>
      </c>
      <c r="NL7" t="s">
        <v>10892</v>
      </c>
      <c r="OA7" t="s">
        <v>772</v>
      </c>
      <c r="OF7" t="s">
        <v>10805</v>
      </c>
    </row>
    <row r="8" spans="1:396" x14ac:dyDescent="0.25">
      <c r="AE8" t="s">
        <v>8081</v>
      </c>
      <c r="AJ8" t="s">
        <v>11193</v>
      </c>
      <c r="BI8" t="s">
        <v>7384</v>
      </c>
      <c r="BN8" t="s">
        <v>12779</v>
      </c>
      <c r="CM8" t="s">
        <v>11226</v>
      </c>
      <c r="CR8" t="s">
        <v>11197</v>
      </c>
      <c r="CW8" t="s">
        <v>11010</v>
      </c>
      <c r="DB8" t="s">
        <v>1652</v>
      </c>
      <c r="DG8" t="s">
        <v>12737</v>
      </c>
      <c r="DL8" t="s">
        <v>11500</v>
      </c>
      <c r="DQ8" t="s">
        <v>12880</v>
      </c>
      <c r="EA8" t="s">
        <v>43</v>
      </c>
      <c r="EF8" t="s">
        <v>43</v>
      </c>
      <c r="EK8" t="s">
        <v>12303</v>
      </c>
      <c r="EP8" t="s">
        <v>3610</v>
      </c>
      <c r="EU8" t="s">
        <v>4211</v>
      </c>
      <c r="EZ8" t="s">
        <v>11146</v>
      </c>
      <c r="FE8" t="s">
        <v>11339</v>
      </c>
      <c r="FO8" t="s">
        <v>5575</v>
      </c>
      <c r="FT8" t="s">
        <v>383</v>
      </c>
      <c r="GI8" t="s">
        <v>1654</v>
      </c>
      <c r="GN8" t="s">
        <v>13036</v>
      </c>
      <c r="HC8" t="s">
        <v>670</v>
      </c>
      <c r="HH8" t="s">
        <v>3519</v>
      </c>
      <c r="HM8" t="s">
        <v>11055</v>
      </c>
      <c r="HR8" t="s">
        <v>11022</v>
      </c>
      <c r="HW8" t="s">
        <v>11511</v>
      </c>
      <c r="IB8" t="s">
        <v>58</v>
      </c>
      <c r="IG8" t="s">
        <v>2111</v>
      </c>
      <c r="IQ8" t="s">
        <v>11523</v>
      </c>
      <c r="JK8" t="s">
        <v>11839</v>
      </c>
      <c r="JP8" t="s">
        <v>11078</v>
      </c>
      <c r="JU8" t="s">
        <v>10818</v>
      </c>
      <c r="JZ8" t="s">
        <v>52</v>
      </c>
      <c r="KE8" t="s">
        <v>43</v>
      </c>
      <c r="KJ8" t="s">
        <v>43</v>
      </c>
      <c r="KO8" t="s">
        <v>10706</v>
      </c>
      <c r="KY8" t="s">
        <v>11176</v>
      </c>
      <c r="LD8" t="s">
        <v>10660</v>
      </c>
      <c r="LI8" t="s">
        <v>3437</v>
      </c>
      <c r="LN8" t="s">
        <v>51</v>
      </c>
      <c r="LS8" t="s">
        <v>12303</v>
      </c>
      <c r="LX8" t="s">
        <v>3610</v>
      </c>
      <c r="MC8" t="s">
        <v>11161</v>
      </c>
      <c r="MH8" t="s">
        <v>469</v>
      </c>
      <c r="MM8" t="s">
        <v>158</v>
      </c>
      <c r="MW8" t="s">
        <v>11188</v>
      </c>
      <c r="NB8" t="s">
        <v>11175</v>
      </c>
      <c r="NG8" t="s">
        <v>10734</v>
      </c>
      <c r="NL8" t="s">
        <v>469</v>
      </c>
      <c r="OA8" t="s">
        <v>13120</v>
      </c>
      <c r="OF8" t="s">
        <v>1849</v>
      </c>
    </row>
    <row r="9" spans="1:396" x14ac:dyDescent="0.25">
      <c r="AE9" t="s">
        <v>1365</v>
      </c>
      <c r="AJ9" t="s">
        <v>388</v>
      </c>
      <c r="BI9" t="s">
        <v>12661</v>
      </c>
      <c r="BN9" t="s">
        <v>12256</v>
      </c>
      <c r="CM9" t="s">
        <v>11227</v>
      </c>
      <c r="CR9" t="s">
        <v>11198</v>
      </c>
      <c r="CW9" t="s">
        <v>3625</v>
      </c>
      <c r="DB9" t="s">
        <v>1740</v>
      </c>
      <c r="DG9" t="s">
        <v>12738</v>
      </c>
      <c r="DL9" t="s">
        <v>12499</v>
      </c>
      <c r="EA9" t="s">
        <v>10817</v>
      </c>
      <c r="EF9" t="s">
        <v>10657</v>
      </c>
      <c r="EK9" t="s">
        <v>11910</v>
      </c>
      <c r="EP9" t="s">
        <v>6473</v>
      </c>
      <c r="EU9" t="s">
        <v>485</v>
      </c>
      <c r="EZ9" t="s">
        <v>12241</v>
      </c>
      <c r="FE9" t="s">
        <v>11151</v>
      </c>
      <c r="FO9" t="s">
        <v>11486</v>
      </c>
      <c r="FT9" t="s">
        <v>10729</v>
      </c>
      <c r="GI9" t="s">
        <v>7475</v>
      </c>
      <c r="GN9" t="s">
        <v>13037</v>
      </c>
      <c r="HC9" t="s">
        <v>6724</v>
      </c>
      <c r="HH9" t="s">
        <v>11366</v>
      </c>
      <c r="HM9" t="s">
        <v>11056</v>
      </c>
      <c r="HR9" t="s">
        <v>11023</v>
      </c>
      <c r="HW9" t="s">
        <v>11449</v>
      </c>
      <c r="IB9" t="s">
        <v>261</v>
      </c>
      <c r="IG9" t="s">
        <v>10696</v>
      </c>
      <c r="IQ9" t="s">
        <v>8762</v>
      </c>
      <c r="JK9" t="s">
        <v>11840</v>
      </c>
      <c r="JP9" t="s">
        <v>11079</v>
      </c>
      <c r="JU9" t="s">
        <v>384</v>
      </c>
      <c r="JZ9" t="s">
        <v>472</v>
      </c>
      <c r="KE9" t="s">
        <v>10817</v>
      </c>
      <c r="KJ9" t="s">
        <v>10657</v>
      </c>
      <c r="KO9" t="s">
        <v>12859</v>
      </c>
      <c r="KY9" t="s">
        <v>10852</v>
      </c>
      <c r="LD9" t="s">
        <v>10918</v>
      </c>
      <c r="LI9" t="s">
        <v>11012</v>
      </c>
      <c r="LN9" t="s">
        <v>10944</v>
      </c>
      <c r="LS9" t="s">
        <v>11910</v>
      </c>
      <c r="LX9" t="s">
        <v>6473</v>
      </c>
      <c r="MC9" t="s">
        <v>11162</v>
      </c>
      <c r="MH9" t="s">
        <v>10948</v>
      </c>
      <c r="MM9" t="s">
        <v>12677</v>
      </c>
      <c r="MW9" t="s">
        <v>10820</v>
      </c>
      <c r="NG9" t="s">
        <v>11170</v>
      </c>
      <c r="NL9" t="s">
        <v>41</v>
      </c>
      <c r="OA9" t="s">
        <v>11074</v>
      </c>
      <c r="OF9" t="s">
        <v>477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1313</v>
      </c>
      <c r="K1" s="1" t="s">
        <v>1314</v>
      </c>
      <c r="U1" s="1" t="s">
        <v>1315</v>
      </c>
      <c r="AE1" s="1" t="s">
        <v>1316</v>
      </c>
      <c r="AO1" s="1" t="s">
        <v>1317</v>
      </c>
      <c r="AY1" s="1" t="s">
        <v>1318</v>
      </c>
      <c r="BI1" s="1" t="s">
        <v>1319</v>
      </c>
      <c r="BS1" s="1" t="s">
        <v>1320</v>
      </c>
      <c r="CC1" s="1" t="s">
        <v>1321</v>
      </c>
      <c r="CM1" s="1" t="s">
        <v>1322</v>
      </c>
      <c r="CW1" s="1" t="s">
        <v>1323</v>
      </c>
      <c r="DG1" s="1" t="s">
        <v>1324</v>
      </c>
      <c r="DQ1" s="1" t="s">
        <v>1325</v>
      </c>
      <c r="EA1" s="1" t="s">
        <v>1326</v>
      </c>
      <c r="EK1" s="1" t="s">
        <v>1327</v>
      </c>
      <c r="EU1" s="1" t="s">
        <v>1328</v>
      </c>
      <c r="FE1" s="1" t="s">
        <v>1329</v>
      </c>
      <c r="FO1" s="1" t="s">
        <v>1330</v>
      </c>
      <c r="FY1" s="1" t="s">
        <v>1331</v>
      </c>
      <c r="GI1" s="1" t="s">
        <v>1332</v>
      </c>
      <c r="GS1" s="1" t="s">
        <v>1333</v>
      </c>
      <c r="HC1" s="1" t="s">
        <v>1334</v>
      </c>
      <c r="HM1" s="1" t="s">
        <v>1335</v>
      </c>
      <c r="HW1" s="1" t="s">
        <v>1336</v>
      </c>
      <c r="IG1" s="1" t="s">
        <v>1337</v>
      </c>
      <c r="IQ1" s="1" t="s">
        <v>1338</v>
      </c>
      <c r="JA1" s="1" t="s">
        <v>1339</v>
      </c>
      <c r="JK1" s="1" t="s">
        <v>1340</v>
      </c>
      <c r="JU1" s="1" t="s">
        <v>1341</v>
      </c>
      <c r="KE1" s="1" t="s">
        <v>1342</v>
      </c>
      <c r="KO1" s="1" t="s">
        <v>1343</v>
      </c>
      <c r="KY1" s="1" t="s">
        <v>1344</v>
      </c>
      <c r="LI1" s="1" t="s">
        <v>1345</v>
      </c>
      <c r="LS1" s="1" t="s">
        <v>1346</v>
      </c>
      <c r="MC1" s="1" t="s">
        <v>1347</v>
      </c>
      <c r="MM1" s="1" t="s">
        <v>1348</v>
      </c>
      <c r="MW1" s="1" t="s">
        <v>1349</v>
      </c>
      <c r="NG1" s="1" t="s">
        <v>1350</v>
      </c>
      <c r="NQ1" s="1" t="s">
        <v>1351</v>
      </c>
      <c r="OA1" s="1" t="s">
        <v>1352</v>
      </c>
    </row>
    <row r="2" spans="1:396" x14ac:dyDescent="0.25">
      <c r="A2" s="2" t="s">
        <v>1353</v>
      </c>
      <c r="K2" s="2" t="s">
        <v>1354</v>
      </c>
      <c r="U2" s="2" t="s">
        <v>1355</v>
      </c>
      <c r="AE2" s="2" t="s">
        <v>71</v>
      </c>
      <c r="AO2" s="2" t="s">
        <v>1258</v>
      </c>
      <c r="AY2" s="2" t="s">
        <v>584</v>
      </c>
      <c r="BI2" s="2" t="s">
        <v>1356</v>
      </c>
      <c r="BS2" s="2" t="s">
        <v>1357</v>
      </c>
      <c r="CC2" s="2" t="s">
        <v>1358</v>
      </c>
      <c r="CM2" s="2" t="s">
        <v>275</v>
      </c>
      <c r="CW2" s="2" t="s">
        <v>1359</v>
      </c>
      <c r="DG2" s="2" t="s">
        <v>1360</v>
      </c>
      <c r="DQ2" s="2" t="s">
        <v>1361</v>
      </c>
      <c r="EA2" s="2" t="s">
        <v>1362</v>
      </c>
      <c r="EK2" s="2" t="s">
        <v>1363</v>
      </c>
      <c r="EU2" s="2" t="s">
        <v>1364</v>
      </c>
      <c r="FE2" s="2" t="s">
        <v>1365</v>
      </c>
      <c r="FO2" s="2" t="s">
        <v>1366</v>
      </c>
      <c r="FY2" s="2" t="s">
        <v>264</v>
      </c>
      <c r="GI2" s="2" t="s">
        <v>1367</v>
      </c>
      <c r="GS2" s="2" t="s">
        <v>60</v>
      </c>
      <c r="HC2" s="2" t="s">
        <v>1368</v>
      </c>
      <c r="HM2" s="2" t="s">
        <v>1369</v>
      </c>
      <c r="HW2" s="2" t="s">
        <v>1370</v>
      </c>
      <c r="IG2" s="2" t="s">
        <v>679</v>
      </c>
      <c r="IQ2" s="2" t="s">
        <v>687</v>
      </c>
      <c r="JA2" s="2" t="s">
        <v>64</v>
      </c>
      <c r="JK2" s="2" t="s">
        <v>272</v>
      </c>
      <c r="JU2" s="2" t="s">
        <v>1371</v>
      </c>
      <c r="KE2" s="2" t="s">
        <v>41</v>
      </c>
      <c r="KO2" s="2" t="s">
        <v>1372</v>
      </c>
      <c r="KY2" s="2" t="s">
        <v>1178</v>
      </c>
      <c r="LI2" s="2" t="s">
        <v>1373</v>
      </c>
      <c r="LS2" s="2" t="s">
        <v>70</v>
      </c>
      <c r="MC2" s="2" t="s">
        <v>49</v>
      </c>
      <c r="MM2" s="2" t="s">
        <v>1374</v>
      </c>
      <c r="MW2" s="2" t="s">
        <v>154</v>
      </c>
      <c r="NG2" s="2" t="s">
        <v>1375</v>
      </c>
      <c r="NQ2" s="2" t="s">
        <v>1376</v>
      </c>
      <c r="OA2" s="2" t="s">
        <v>986</v>
      </c>
    </row>
    <row r="3" spans="1:396" x14ac:dyDescent="0.25">
      <c r="A3" t="s">
        <v>1377</v>
      </c>
      <c r="K3" t="s">
        <v>1303</v>
      </c>
      <c r="U3" t="s">
        <v>1378</v>
      </c>
      <c r="AE3" t="s">
        <v>1379</v>
      </c>
      <c r="AO3" t="s">
        <v>1380</v>
      </c>
      <c r="AY3" t="s">
        <v>1381</v>
      </c>
      <c r="BI3" t="s">
        <v>1382</v>
      </c>
      <c r="BS3" t="s">
        <v>1383</v>
      </c>
      <c r="CC3" t="s">
        <v>1384</v>
      </c>
      <c r="CM3" t="s">
        <v>1385</v>
      </c>
      <c r="CW3" t="s">
        <v>1386</v>
      </c>
      <c r="DG3" t="s">
        <v>1387</v>
      </c>
      <c r="DQ3" t="s">
        <v>1388</v>
      </c>
      <c r="EA3" t="s">
        <v>1389</v>
      </c>
      <c r="EK3" t="s">
        <v>1390</v>
      </c>
      <c r="EU3" t="s">
        <v>1391</v>
      </c>
      <c r="FE3" t="s">
        <v>1392</v>
      </c>
      <c r="FO3" t="s">
        <v>1393</v>
      </c>
      <c r="FY3" t="s">
        <v>1394</v>
      </c>
      <c r="GI3" t="s">
        <v>1395</v>
      </c>
      <c r="GS3" t="s">
        <v>1396</v>
      </c>
      <c r="HC3" t="s">
        <v>1397</v>
      </c>
      <c r="HM3" t="s">
        <v>1398</v>
      </c>
      <c r="HW3" t="s">
        <v>1301</v>
      </c>
      <c r="IG3" t="s">
        <v>1399</v>
      </c>
      <c r="IQ3" t="s">
        <v>1400</v>
      </c>
      <c r="JA3" t="s">
        <v>1401</v>
      </c>
      <c r="JK3" t="s">
        <v>1402</v>
      </c>
      <c r="JU3" t="s">
        <v>1403</v>
      </c>
      <c r="KE3" t="s">
        <v>1404</v>
      </c>
      <c r="KO3" t="s">
        <v>1405</v>
      </c>
      <c r="KY3" t="s">
        <v>1406</v>
      </c>
      <c r="LI3" t="s">
        <v>1407</v>
      </c>
      <c r="LS3" t="s">
        <v>1408</v>
      </c>
      <c r="MC3" t="s">
        <v>1409</v>
      </c>
      <c r="MM3" t="s">
        <v>1410</v>
      </c>
      <c r="MW3" t="s">
        <v>1411</v>
      </c>
      <c r="NG3" t="s">
        <v>1412</v>
      </c>
      <c r="NQ3" t="s">
        <v>1413</v>
      </c>
      <c r="OA3" t="s">
        <v>1414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_xll.BDS("PH US Equity","SUPPLY_CHAIN_SUPPLIERS","RELATIONSHIP_AS_OF_DATE","20161201","cols=1;rows=5")</f>
        <v>RBC US Equity</v>
      </c>
      <c r="F5" t="str">
        <f>_xll.BDS("PH US Equity","SUPPLY_CHAIN_CUSTOMERS","RELATIONSHIP_AS_OF_DATE","20161201","cols=1;rows=5")</f>
        <v>BA US Equity</v>
      </c>
      <c r="K5" t="str">
        <f>_xll.BDS("RRC US Equity","SUPPLY_CHAIN_SUPPLIERS","RELATIONSHIP_AS_OF_DATE","20160516","cols=1;rows=3")</f>
        <v>PFIE US Equity</v>
      </c>
      <c r="P5" t="str">
        <f>_xll.BDS("RRC US Equity","SUPPLY_CHAIN_CUSTOMERS","RELATIONSHIP_AS_OF_DATE","20160516")</f>
        <v>#N/A N/A</v>
      </c>
      <c r="U5" t="str">
        <f>_xll.BDS("CF US Equity","SUPPLY_CHAIN_SUPPLIERS","RELATIONSHIP_AS_OF_DATE","20090115","cols=1;rows=5")</f>
        <v>JMAT LN Equity</v>
      </c>
      <c r="Z5" t="str">
        <f>_xll.BDS("CF US Equity","SUPPLY_CHAIN_CUSTOMERS","RELATIONSHIP_AS_OF_DATE","20090115","cols=1;rows=5")</f>
        <v>7165Z US Equity</v>
      </c>
      <c r="AE5" t="str">
        <f>_xll.BDS("FIS US Equity","SUPPLY_CHAIN_SUPPLIERS","RELATIONSHIP_AS_OF_DATE","20090401","cols=1;rows=5")</f>
        <v>HPE US Equity</v>
      </c>
      <c r="AJ5" t="str">
        <f>_xll.BDS("FIS US Equity","SUPPLY_CHAIN_CUSTOMERS","RELATIONSHIP_AS_OF_DATE","20090401","cols=1;rows=5")</f>
        <v>IBM US Equity</v>
      </c>
      <c r="AO5" t="str">
        <f>_xll.BDS("166783Q US Equity","SUPPLY_CHAIN_SUPPLIERS","RELATIONSHIP_AS_OF_DATE","19990623")</f>
        <v>#N/A N/A</v>
      </c>
      <c r="AT5" t="str">
        <f>_xll.BDS("166783Q US Equity","SUPPLY_CHAIN_CUSTOMERS","RELATIONSHIP_AS_OF_DATE","19990623")</f>
        <v>#N/A N/A</v>
      </c>
      <c r="AY5" t="str">
        <f>_xll.BDS("IP US Equity","SUPPLY_CHAIN_SUPPLIERS","RELATIONSHIP_AS_OF_DATE","20110606","cols=1;rows=5")</f>
        <v>MTX US Equity</v>
      </c>
      <c r="BD5" t="str">
        <f>_xll.BDS("IP US Equity","SUPPLY_CHAIN_CUSTOMERS","RELATIONSHIP_AS_OF_DATE","20110606","cols=1;rows=5")</f>
        <v>TSCO LN Equity</v>
      </c>
      <c r="BI5" t="str">
        <f>_xll.BDS("TCF US Equity","SUPPLY_CHAIN_SUPPLIERS","RELATIONSHIP_AS_OF_DATE","20190128")</f>
        <v>#N/A N/A</v>
      </c>
      <c r="BN5" t="str">
        <f>_xll.BDS("TCF US Equity","SUPPLY_CHAIN_CUSTOMERS","RELATIONSHIP_AS_OF_DATE","20190128")</f>
        <v>#N/A N/A</v>
      </c>
      <c r="BS5" t="str">
        <f>_xll.BDS("0616747D US Equity","SUPPLY_CHAIN_SUPPLIERS","RELATIONSHIP_AS_OF_DATE","19980827")</f>
        <v>#N/A N/A</v>
      </c>
      <c r="BX5" t="str">
        <f>_xll.BDS("0616747D US Equity","SUPPLY_CHAIN_CUSTOMERS","RELATIONSHIP_AS_OF_DATE","19980827")</f>
        <v>#N/A N/A</v>
      </c>
      <c r="CC5" t="str">
        <f>_xll.BDS("DCNAQ US Equity","SUPPLY_CHAIN_SUPPLIERS","RELATIONSHIP_AS_OF_DATE","19980504")</f>
        <v>#N/A N/A</v>
      </c>
      <c r="CH5" t="str">
        <f>_xll.BDS("DCNAQ US Equity","SUPPLY_CHAIN_CUSTOMERS","RELATIONSHIP_AS_OF_DATE","19980504")</f>
        <v>000320 KS Equity</v>
      </c>
      <c r="CM5" t="str">
        <f>_xll.BDS("GILD US Equity","SUPPLY_CHAIN_SUPPLIERS","RELATIONSHIP_AS_OF_DATE","20200302","cols=1;rows=5")</f>
        <v>JNJ US Equity</v>
      </c>
      <c r="CR5" t="str">
        <f>_xll.BDS("GILD US Equity","SUPPLY_CHAIN_CUSTOMERS","RELATIONSHIP_AS_OF_DATE","20200302","cols=1;rows=5")</f>
        <v>CAH US Equity</v>
      </c>
      <c r="CW5" t="str">
        <f>_xll.BDS("NRG US Equity","SUPPLY_CHAIN_SUPPLIERS","RELATIONSHIP_AS_OF_DATE","20120723","cols=1;rows=5")</f>
        <v>CNP US Equity</v>
      </c>
      <c r="DB5" t="str">
        <f>_xll.BDS("NRG US Equity","SUPPLY_CHAIN_CUSTOMERS","RELATIONSHIP_AS_OF_DATE","20120723","cols=1;rows=5")</f>
        <v>GAIN US Equity</v>
      </c>
      <c r="DG5" t="str">
        <f>_xll.BDS("EXPE US Equity","SUPPLY_CHAIN_SUPPLIERS","RELATIONSHIP_AS_OF_DATE","20190416","cols=1;rows=5")</f>
        <v>TRIP US Equity</v>
      </c>
      <c r="DL5" t="str">
        <f>_xll.BDS("EXPE US Equity","SUPPLY_CHAIN_CUSTOMERS","RELATIONSHIP_AS_OF_DATE","20190416","cols=1;rows=5")</f>
        <v>2731 TT Equity</v>
      </c>
      <c r="DQ5" t="str">
        <f>_xll.BDS("K US Equity","SUPPLY_CHAIN_SUPPLIERS","RELATIONSHIP_AS_OF_DATE","20001026","cols=1;rows=5")</f>
        <v>AMCR US Equity</v>
      </c>
      <c r="DV5" t="str">
        <f>_xll.BDS("K US Equity","SUPPLY_CHAIN_CUSTOMERS","RELATIONSHIP_AS_OF_DATE","20001026","cols=1;rows=5")</f>
        <v>WMT US Equity</v>
      </c>
      <c r="EA5" t="str">
        <f>_xll.BDS("OLN US Equity","SUPPLY_CHAIN_SUPPLIERS","RELATIONSHIP_AS_OF_DATE","20150327","cols=1;rows=5")</f>
        <v>CNR CN Equity</v>
      </c>
      <c r="EF5" t="str">
        <f>_xll.BDS("OLN US Equity","SUPPLY_CHAIN_CUSTOMERS","RELATIONSHIP_AS_OF_DATE","20150327","cols=1;rows=5")</f>
        <v>3352Z US Equity</v>
      </c>
      <c r="EK5" t="str">
        <f>_xll.BDS("BA US Equity","SUPPLY_CHAIN_SUPPLIERS","RELATIONSHIP_AS_OF_DATE","20180501","cols=1;rows=5")</f>
        <v>RTX US Equity</v>
      </c>
      <c r="EP5" t="str">
        <f>_xll.BDS("BA US Equity","SUPPLY_CHAIN_CUSTOMERS","RELATIONSHIP_AS_OF_DATE","20180501","cols=1;rows=5")</f>
        <v>3352Z US Equity</v>
      </c>
      <c r="EU5" t="str">
        <f>_xll.BDS("STE US Equity","SUPPLY_CHAIN_SUPPLIERS","RELATIONSHIP_AS_OF_DATE","20210112","cols=1;rows=5")</f>
        <v>MOG/A US Equity</v>
      </c>
      <c r="EZ5" t="str">
        <f>_xll.BDS("STE US Equity","SUPPLY_CHAIN_CUSTOMERS","RELATIONSHIP_AS_OF_DATE","20210112","cols=1;rows=2")</f>
        <v>4116 TT Equity</v>
      </c>
      <c r="FE5" t="str">
        <f>_xll.BDS("TDY US Equity","SUPPLY_CHAIN_SUPPLIERS","RELATIONSHIP_AS_OF_DATE","20210104","cols=1;rows=5")</f>
        <v>VOYG US Equity</v>
      </c>
      <c r="FJ5" t="str">
        <f>_xll.BDS("TDY US Equity","SUPPLY_CHAIN_CUSTOMERS","RELATIONSHIP_AS_OF_DATE","20210104","cols=1;rows=5")</f>
        <v>3352Z US Equity</v>
      </c>
      <c r="FO5" t="str">
        <f>_xll.BDS("WCC US Equity","SUPPLY_CHAIN_SUPPLIERS","RELATIONSHIP_AS_OF_DATE","20200113","cols=1;rows=5")</f>
        <v>ETN US Equity</v>
      </c>
      <c r="FT5" t="str">
        <f>_xll.BDS("WCC US Equity","SUPPLY_CHAIN_CUSTOMERS","RELATIONSHIP_AS_OF_DATE","20200113","cols=1;rows=5")</f>
        <v>IBM US Equity</v>
      </c>
      <c r="FY5" t="str">
        <f>_xll.BDS("GPN US Equity","SUPPLY_CHAIN_SUPPLIERS","RELATIONSHIP_AS_OF_DATE","20151215","cols=1;rows=5")</f>
        <v>HIW US Equity</v>
      </c>
      <c r="GD5" t="str">
        <f>_xll.BDS("GPN US Equity","SUPPLY_CHAIN_CUSTOMERS","RELATIONSHIP_AS_OF_DATE","20151215","cols=1;rows=5")</f>
        <v>SCSC US Equity</v>
      </c>
      <c r="GI5" t="str">
        <f>_xll.BDS("CCT CN Equity","SUPPLY_CHAIN_SUPPLIERS","RELATIONSHIP_AS_OF_DATE","20120418")</f>
        <v>#N/A N/A</v>
      </c>
      <c r="GN5" t="str">
        <f>_xll.BDS("CCT CN Equity","SUPPLY_CHAIN_CUSTOMERS","RELATIONSHIP_AS_OF_DATE","20120418")</f>
        <v>#N/A N/A</v>
      </c>
      <c r="GS5" t="str">
        <f>_xll.BDS("OXY US Equity","SUPPLY_CHAIN_SUPPLIERS","RELATIONSHIP_AS_OF_DATE","20051013","cols=1;rows=5")</f>
        <v>TEN IM Equity</v>
      </c>
      <c r="GX5" t="str">
        <f>_xll.BDS("OXY US Equity","SUPPLY_CHAIN_CUSTOMERS","RELATIONSHIP_AS_OF_DATE","20051013","cols=1;rows=5")</f>
        <v>0611520D US Equity</v>
      </c>
      <c r="HC5" t="str">
        <f>_xll.BDS("STRZ US Equity","SUPPLY_CHAIN_SUPPLIERS","RELATIONSHIP_AS_OF_DATE","20160630","cols=1;rows=5")</f>
        <v>LION US Equity</v>
      </c>
      <c r="HH5" t="str">
        <f>_xll.BDS("STRZ US Equity","SUPPLY_CHAIN_CUSTOMERS","RELATIONSHIP_AS_OF_DATE","20160630","cols=1;rows=5")</f>
        <v>AMZN US Equity</v>
      </c>
      <c r="HM5" t="str">
        <f>_xll.BDS("KMP US Equity","SUPPLY_CHAIN_SUPPLIERS","RELATIONSHIP_AS_OF_DATE","20130129")</f>
        <v>#N/A N/A</v>
      </c>
      <c r="HR5" t="str">
        <f>_xll.BDS("KMP US Equity","SUPPLY_CHAIN_CUSTOMERS","RELATIONSHIP_AS_OF_DATE","20130129")</f>
        <v>#N/A N/A</v>
      </c>
      <c r="HW5" t="str">
        <f>_xll.BDS("196850Q US Equity","SUPPLY_CHAIN_SUPPLIERS","RELATIONSHIP_AS_OF_DATE","20000229")</f>
        <v>#N/A N/A</v>
      </c>
      <c r="IB5" t="str">
        <f>_xll.BDS("196850Q US Equity","SUPPLY_CHAIN_CUSTOMERS","RELATIONSHIP_AS_OF_DATE","20000229")</f>
        <v>#N/A N/A</v>
      </c>
      <c r="IG5" t="str">
        <f>_xll.BDS("EPD US Equity","SUPPLY_CHAIN_SUPPLIERS","RELATIONSHIP_AS_OF_DATE","20031215","cols=1;rows=5")</f>
        <v>MTDR US Equity</v>
      </c>
      <c r="IL5" t="str">
        <f>_xll.BDS("EPD US Equity","SUPPLY_CHAIN_CUSTOMERS","RELATIONSHIP_AS_OF_DATE","20031215","cols=1;rows=5")</f>
        <v>62647Z LN Equity</v>
      </c>
      <c r="IQ5" t="str">
        <f>_xll.BDS("TSN US Equity","SUPPLY_CHAIN_SUPPLIERS","RELATIONSHIP_AS_OF_DATE","20170425","cols=1;rows=5")</f>
        <v>AMCR US Equity</v>
      </c>
      <c r="IV5" t="str">
        <f>_xll.BDS("TSN US Equity","SUPPLY_CHAIN_CUSTOMERS","RELATIONSHIP_AS_OF_DATE","20170425","cols=1;rows=5")</f>
        <v>WMT US Equity</v>
      </c>
      <c r="JA5" t="str">
        <f>_xll.BDS("nan Equity","SUPPLY_CHAIN_SUPPLIERS","RELATIONSHIP_AS_OF_DATE","20160826")</f>
        <v>#N/A N/A</v>
      </c>
      <c r="JF5" t="str">
        <f>_xll.BDS("nan Equity","SUPPLY_CHAIN_CUSTOMERS","RELATIONSHIP_AS_OF_DATE","20160826")</f>
        <v>#N/A N/A</v>
      </c>
      <c r="JK5" t="str">
        <f>_xll.BDS("TMO US Equity","SUPPLY_CHAIN_SUPPLIERS","RELATIONSHIP_AS_OF_DATE","20160527","cols=1;rows=5")</f>
        <v>EMR US Equity</v>
      </c>
      <c r="JP5" t="str">
        <f>_xll.BDS("TMO US Equity","SUPPLY_CHAIN_CUSTOMERS","RELATIONSHIP_AS_OF_DATE","20160527","cols=1;rows=5")</f>
        <v>4195 TT Equity</v>
      </c>
      <c r="JU5" t="str">
        <f>_xll.BDS("DEN US Equity","SUPPLY_CHAIN_SUPPLIERS","RELATIONSHIP_AS_OF_DATE","20091101")</f>
        <v>WY US Equity</v>
      </c>
      <c r="JZ5" t="str">
        <f>_xll.BDS("DEN US Equity","SUPPLY_CHAIN_CUSTOMERS","RELATIONSHIP_AS_OF_DATE","20091101","cols=1;rows=4")</f>
        <v>0356193D US Equity</v>
      </c>
      <c r="KE5" t="str">
        <f>_xll.BDS("T US Equity","SUPPLY_CHAIN_SUPPLIERS","RELATIONSHIP_AS_OF_DATE","20130712","cols=1;rows=5")</f>
        <v>AAPL US Equity</v>
      </c>
      <c r="KJ5" t="str">
        <f>_xll.BDS("T US Equity","SUPPLY_CHAIN_CUSTOMERS","RELATIONSHIP_AS_OF_DATE","20130712","cols=1;rows=5")</f>
        <v>IBM US Equity</v>
      </c>
      <c r="KO5" t="str">
        <f>_xll.BDS("1023761D US Equity","SUPPLY_CHAIN_SUPPLIERS","RELATIONSHIP_AS_OF_DATE","20130528")</f>
        <v>#N/A N/A</v>
      </c>
      <c r="KT5" t="str">
        <f>_xll.BDS("1023761D US Equity","SUPPLY_CHAIN_CUSTOMERS","RELATIONSHIP_AS_OF_DATE","20130528")</f>
        <v>#N/A N/A</v>
      </c>
      <c r="KY5" t="str">
        <f>_xll.BDS("MAA US Equity","SUPPLY_CHAIN_SUPPLIERS","RELATIONSHIP_AS_OF_DATE","20130603")</f>
        <v>SMRT US Equity</v>
      </c>
      <c r="LD5" t="str">
        <f>_xll.BDS("MAA US Equity","SUPPLY_CHAIN_CUSTOMERS","RELATIONSHIP_AS_OF_DATE","20130603")</f>
        <v>#N/A N/A</v>
      </c>
      <c r="LI5" t="str">
        <f>_xll.BDS("SBRA US Equity","SUPPLY_CHAIN_SUPPLIERS","RELATIONSHIP_AS_OF_DATE","20170508")</f>
        <v>#N/A N/A</v>
      </c>
      <c r="LN5" t="str">
        <f>_xll.BDS("SBRA US Equity","SUPPLY_CHAIN_CUSTOMERS","RELATIONSHIP_AS_OF_DATE","20170508","cols=1;rows=5")</f>
        <v>0210338D US Equity</v>
      </c>
      <c r="LS5" t="str">
        <f>_xll.BDS("0848680D US Equity","SUPPLY_CHAIN_SUPPLIERS","RELATIONSHIP_AS_OF_DATE","20051121")</f>
        <v>#N/A N/A</v>
      </c>
      <c r="LX5" t="str">
        <f>_xll.BDS("0848680D US Equity","SUPPLY_CHAIN_CUSTOMERS","RELATIONSHIP_AS_OF_DATE","20051121")</f>
        <v>#N/A N/A</v>
      </c>
      <c r="MC5" t="str">
        <f>_xll.BDS("VZ US Equity","SUPPLY_CHAIN_SUPPLIERS","RELATIONSHIP_AS_OF_DATE","20150512","cols=1;rows=5")</f>
        <v>AAPL US Equity</v>
      </c>
      <c r="MH5" t="str">
        <f>_xll.BDS("VZ US Equity","SUPPLY_CHAIN_CUSTOMERS","RELATIONSHIP_AS_OF_DATE","20150512","cols=1;rows=5")</f>
        <v>SNX US Equity</v>
      </c>
      <c r="MM5" t="str">
        <f>_xll.BDS("TGE US Equity","SUPPLY_CHAIN_SUPPLIERS","RELATIONSHIP_AS_OF_DATE","20180326")</f>
        <v>#N/A N/A</v>
      </c>
      <c r="MR5" t="str">
        <f>_xll.BDS("TGE US Equity","SUPPLY_CHAIN_CUSTOMERS","RELATIONSHIP_AS_OF_DATE","20180326")</f>
        <v>#N/A N/A</v>
      </c>
      <c r="MW5" t="str">
        <f>_xll.BDS("FISV US Equity","SUPPLY_CHAIN_SUPPLIERS","RELATIONSHIP_AS_OF_DATE","20070802","cols=1;rows=5")</f>
        <v>ADBE US Equity</v>
      </c>
      <c r="NB5" t="str">
        <f>_xll.BDS("FISV US Equity","SUPPLY_CHAIN_CUSTOMERS","RELATIONSHIP_AS_OF_DATE","20070802","cols=1;rows=5")</f>
        <v>ALE PW Equity</v>
      </c>
      <c r="NG5" t="str">
        <f>_xll.BDS("KEY US Equity","SUPPLY_CHAIN_SUPPLIERS","RELATIONSHIP_AS_OF_DATE","20151030","cols=1;rows=5")</f>
        <v>BILL US Equity</v>
      </c>
      <c r="NL5" t="str">
        <f>_xll.BDS("KEY US Equity","SUPPLY_CHAIN_CUSTOMERS","RELATIONSHIP_AS_OF_DATE","20151030")</f>
        <v>#N/A N/A</v>
      </c>
      <c r="NQ5" t="str">
        <f>_xll.BDS("TDG US Equity","SUPPLY_CHAIN_SUPPLIERS","RELATIONSHIP_AS_OF_DATE","20181010","cols=1;rows=5")</f>
        <v>DCO US Equity</v>
      </c>
      <c r="NV5" t="str">
        <f>_xll.BDS("TDG US Equity","SUPPLY_CHAIN_CUSTOMERS","RELATIONSHIP_AS_OF_DATE","20181010","cols=1;rows=5")</f>
        <v>BA US Equity</v>
      </c>
      <c r="OA5" t="str">
        <f>_xll.BDS("CG US Equity","SUPPLY_CHAIN_SUPPLIERS","RELATIONSHIP_AS_OF_DATE","20220516","cols=1;rows=5")</f>
        <v>SLG US Equity</v>
      </c>
      <c r="OF5" t="str">
        <f>_xll.BDS("CG US Equity","SUPPLY_CHAIN_CUSTOMERS","RELATIONSHIP_AS_OF_DATE","20220516","cols=1;rows=5")</f>
        <v>POOL US Equity</v>
      </c>
    </row>
    <row r="6" spans="1:396" x14ac:dyDescent="0.25">
      <c r="A6" t="s">
        <v>12266</v>
      </c>
      <c r="F6" t="s">
        <v>42</v>
      </c>
      <c r="K6" t="s">
        <v>7835</v>
      </c>
      <c r="U6" t="s">
        <v>11557</v>
      </c>
      <c r="Z6" t="s">
        <v>12236</v>
      </c>
      <c r="AE6" t="s">
        <v>11099</v>
      </c>
      <c r="AJ6" t="s">
        <v>12480</v>
      </c>
      <c r="AY6" t="s">
        <v>171</v>
      </c>
      <c r="BD6" t="s">
        <v>11527</v>
      </c>
      <c r="CM6" t="s">
        <v>12260</v>
      </c>
      <c r="CR6" t="s">
        <v>385</v>
      </c>
      <c r="CW6" t="s">
        <v>3347</v>
      </c>
      <c r="DB6" t="s">
        <v>13043</v>
      </c>
      <c r="DG6" t="s">
        <v>6477</v>
      </c>
      <c r="DL6" t="s">
        <v>2208</v>
      </c>
      <c r="DQ6" t="s">
        <v>11585</v>
      </c>
      <c r="DV6" t="s">
        <v>10805</v>
      </c>
      <c r="EA6" t="s">
        <v>11702</v>
      </c>
      <c r="EF6" t="s">
        <v>11180</v>
      </c>
      <c r="EK6" t="s">
        <v>1164</v>
      </c>
      <c r="EP6" t="s">
        <v>1652</v>
      </c>
      <c r="EU6" t="s">
        <v>2111</v>
      </c>
      <c r="EZ6" t="s">
        <v>13227</v>
      </c>
      <c r="FE6" t="s">
        <v>7220</v>
      </c>
      <c r="FJ6" t="s">
        <v>1363</v>
      </c>
      <c r="FO6" t="s">
        <v>58</v>
      </c>
      <c r="FT6" t="s">
        <v>13083</v>
      </c>
      <c r="FY6" t="s">
        <v>13215</v>
      </c>
      <c r="GD6" t="s">
        <v>10787</v>
      </c>
      <c r="GS6" t="s">
        <v>12959</v>
      </c>
      <c r="GX6" t="s">
        <v>12990</v>
      </c>
      <c r="HC6" t="s">
        <v>10912</v>
      </c>
      <c r="HH6" t="s">
        <v>10892</v>
      </c>
      <c r="IG6" t="s">
        <v>7384</v>
      </c>
      <c r="IL6" t="s">
        <v>2219</v>
      </c>
      <c r="IQ6" t="s">
        <v>171</v>
      </c>
      <c r="IV6" t="s">
        <v>5983</v>
      </c>
      <c r="JK6" t="s">
        <v>44</v>
      </c>
      <c r="JP6" t="s">
        <v>10662</v>
      </c>
      <c r="JZ6" t="s">
        <v>12970</v>
      </c>
      <c r="KE6" t="s">
        <v>10892</v>
      </c>
      <c r="KJ6" t="s">
        <v>2881</v>
      </c>
      <c r="LN6" t="s">
        <v>11380</v>
      </c>
      <c r="MC6" t="s">
        <v>10892</v>
      </c>
      <c r="MH6" t="s">
        <v>6473</v>
      </c>
      <c r="MW6" t="s">
        <v>11073</v>
      </c>
      <c r="NB6" t="s">
        <v>11033</v>
      </c>
      <c r="NG6" t="s">
        <v>10772</v>
      </c>
      <c r="NQ6" t="s">
        <v>10878</v>
      </c>
      <c r="NV6" t="s">
        <v>10939</v>
      </c>
      <c r="OA6" t="s">
        <v>10877</v>
      </c>
      <c r="OF6" t="s">
        <v>11686</v>
      </c>
    </row>
    <row r="7" spans="1:396" x14ac:dyDescent="0.25">
      <c r="A7" t="s">
        <v>8602</v>
      </c>
      <c r="F7" t="s">
        <v>10939</v>
      </c>
      <c r="K7" t="s">
        <v>12119</v>
      </c>
      <c r="U7" t="s">
        <v>11449</v>
      </c>
      <c r="Z7" t="s">
        <v>12655</v>
      </c>
      <c r="AE7" t="s">
        <v>11286</v>
      </c>
      <c r="AJ7" t="s">
        <v>11294</v>
      </c>
      <c r="AY7" t="s">
        <v>11846</v>
      </c>
      <c r="BD7" t="s">
        <v>12174</v>
      </c>
      <c r="CM7" t="s">
        <v>12261</v>
      </c>
      <c r="CR7" t="s">
        <v>1468</v>
      </c>
      <c r="CW7" t="s">
        <v>12085</v>
      </c>
      <c r="DB7" t="s">
        <v>13044</v>
      </c>
      <c r="DG7" t="s">
        <v>11283</v>
      </c>
      <c r="DL7" t="s">
        <v>7378</v>
      </c>
      <c r="DQ7" t="s">
        <v>11868</v>
      </c>
      <c r="DV7" t="s">
        <v>477</v>
      </c>
      <c r="EA7" t="s">
        <v>11146</v>
      </c>
      <c r="EF7" t="s">
        <v>10778</v>
      </c>
      <c r="EK7" t="s">
        <v>12294</v>
      </c>
      <c r="EP7" t="s">
        <v>3244</v>
      </c>
      <c r="EU7" t="s">
        <v>10696</v>
      </c>
      <c r="FE7" t="s">
        <v>10878</v>
      </c>
      <c r="FJ7" t="s">
        <v>10939</v>
      </c>
      <c r="FO7" t="s">
        <v>11694</v>
      </c>
      <c r="FT7" t="s">
        <v>12873</v>
      </c>
      <c r="FY7" t="s">
        <v>13216</v>
      </c>
      <c r="GD7" t="s">
        <v>11318</v>
      </c>
      <c r="GS7" t="s">
        <v>13180</v>
      </c>
      <c r="GX7" t="s">
        <v>12991</v>
      </c>
      <c r="HC7" t="s">
        <v>12941</v>
      </c>
      <c r="HH7" t="s">
        <v>12914</v>
      </c>
      <c r="IG7" t="s">
        <v>3066</v>
      </c>
      <c r="IL7" t="s">
        <v>12240</v>
      </c>
      <c r="IQ7" t="s">
        <v>772</v>
      </c>
      <c r="IV7" t="s">
        <v>10805</v>
      </c>
      <c r="JK7" t="s">
        <v>10734</v>
      </c>
      <c r="JP7" t="s">
        <v>10761</v>
      </c>
      <c r="JZ7" t="s">
        <v>12971</v>
      </c>
      <c r="KE7" t="s">
        <v>10738</v>
      </c>
      <c r="KJ7" t="s">
        <v>10680</v>
      </c>
      <c r="LN7" t="s">
        <v>13136</v>
      </c>
      <c r="MC7" t="s">
        <v>670</v>
      </c>
      <c r="MH7" t="s">
        <v>10660</v>
      </c>
      <c r="MW7" t="s">
        <v>11074</v>
      </c>
      <c r="NB7" t="s">
        <v>11034</v>
      </c>
      <c r="NG7" t="s">
        <v>11232</v>
      </c>
      <c r="NQ7" t="s">
        <v>11030</v>
      </c>
      <c r="NV7" t="s">
        <v>10785</v>
      </c>
      <c r="OA7" t="s">
        <v>11282</v>
      </c>
      <c r="OF7" t="s">
        <v>11114</v>
      </c>
    </row>
    <row r="8" spans="1:396" x14ac:dyDescent="0.25">
      <c r="A8" t="s">
        <v>11337</v>
      </c>
      <c r="F8" t="s">
        <v>10785</v>
      </c>
      <c r="U8" t="s">
        <v>12666</v>
      </c>
      <c r="Z8" t="s">
        <v>12656</v>
      </c>
      <c r="AE8" t="s">
        <v>12769</v>
      </c>
      <c r="AJ8" t="s">
        <v>2881</v>
      </c>
      <c r="AY8" t="s">
        <v>772</v>
      </c>
      <c r="BD8" t="s">
        <v>12175</v>
      </c>
      <c r="CM8" t="s">
        <v>12262</v>
      </c>
      <c r="CR8" t="s">
        <v>12230</v>
      </c>
      <c r="CW8" t="s">
        <v>12488</v>
      </c>
      <c r="DB8" t="s">
        <v>13045</v>
      </c>
      <c r="DG8" t="s">
        <v>1548</v>
      </c>
      <c r="DL8" t="s">
        <v>3244</v>
      </c>
      <c r="DQ8" t="s">
        <v>177</v>
      </c>
      <c r="DV8" t="s">
        <v>10944</v>
      </c>
      <c r="EA8" t="s">
        <v>11557</v>
      </c>
      <c r="EF8" t="s">
        <v>11761</v>
      </c>
      <c r="EK8" t="s">
        <v>11007</v>
      </c>
      <c r="EP8" t="s">
        <v>12717</v>
      </c>
      <c r="EU8" t="s">
        <v>1265</v>
      </c>
      <c r="FE8" t="s">
        <v>11247</v>
      </c>
      <c r="FJ8" t="s">
        <v>274</v>
      </c>
      <c r="FO8" t="s">
        <v>12791</v>
      </c>
      <c r="FT8" t="s">
        <v>13084</v>
      </c>
      <c r="FY8" t="s">
        <v>13217</v>
      </c>
      <c r="GD8" t="s">
        <v>13040</v>
      </c>
      <c r="GS8" t="s">
        <v>13181</v>
      </c>
      <c r="GX8" t="s">
        <v>12992</v>
      </c>
      <c r="HC8" t="s">
        <v>7300</v>
      </c>
      <c r="HH8" t="s">
        <v>12915</v>
      </c>
      <c r="IG8" t="s">
        <v>4211</v>
      </c>
      <c r="IL8" t="s">
        <v>11146</v>
      </c>
      <c r="IQ8" t="s">
        <v>13120</v>
      </c>
      <c r="IV8" t="s">
        <v>1849</v>
      </c>
      <c r="JK8" t="s">
        <v>10735</v>
      </c>
      <c r="JP8" t="s">
        <v>10762</v>
      </c>
      <c r="JZ8" t="s">
        <v>12504</v>
      </c>
      <c r="KE8" t="s">
        <v>670</v>
      </c>
      <c r="KJ8" t="s">
        <v>3519</v>
      </c>
      <c r="LN8" t="s">
        <v>13137</v>
      </c>
      <c r="MC8" t="s">
        <v>2705</v>
      </c>
      <c r="MH8" t="s">
        <v>4219</v>
      </c>
      <c r="MW8" t="s">
        <v>10987</v>
      </c>
      <c r="NB8" t="s">
        <v>11035</v>
      </c>
      <c r="NG8" t="s">
        <v>11233</v>
      </c>
      <c r="NQ8" t="s">
        <v>11031</v>
      </c>
      <c r="NV8" t="s">
        <v>1652</v>
      </c>
      <c r="OA8" t="s">
        <v>11283</v>
      </c>
      <c r="OF8" t="s">
        <v>11010</v>
      </c>
    </row>
    <row r="9" spans="1:396" x14ac:dyDescent="0.25">
      <c r="A9" t="s">
        <v>5325</v>
      </c>
      <c r="F9" t="s">
        <v>667</v>
      </c>
      <c r="U9" t="s">
        <v>11732</v>
      </c>
      <c r="Z9" t="s">
        <v>47</v>
      </c>
      <c r="AE9" t="s">
        <v>12982</v>
      </c>
      <c r="AJ9" t="s">
        <v>11131</v>
      </c>
      <c r="AY9" t="s">
        <v>12631</v>
      </c>
      <c r="BD9" t="s">
        <v>12176</v>
      </c>
      <c r="CM9" t="s">
        <v>12263</v>
      </c>
      <c r="CR9" t="s">
        <v>10795</v>
      </c>
      <c r="CW9" t="s">
        <v>13291</v>
      </c>
      <c r="DB9" t="s">
        <v>13046</v>
      </c>
      <c r="DG9" t="s">
        <v>1654</v>
      </c>
      <c r="DL9" t="s">
        <v>12464</v>
      </c>
      <c r="DQ9" t="s">
        <v>11414</v>
      </c>
      <c r="DV9" t="s">
        <v>11811</v>
      </c>
      <c r="EA9" t="s">
        <v>11465</v>
      </c>
      <c r="EF9" t="s">
        <v>11762</v>
      </c>
      <c r="EK9" t="s">
        <v>11756</v>
      </c>
      <c r="EP9" t="s">
        <v>1740</v>
      </c>
      <c r="EU9" t="s">
        <v>10827</v>
      </c>
      <c r="FE9" t="s">
        <v>155</v>
      </c>
      <c r="FJ9" t="s">
        <v>6473</v>
      </c>
      <c r="FO9" t="s">
        <v>789</v>
      </c>
      <c r="FT9" t="s">
        <v>13085</v>
      </c>
      <c r="FY9" t="s">
        <v>11522</v>
      </c>
      <c r="GD9" t="s">
        <v>13041</v>
      </c>
      <c r="GS9" t="s">
        <v>13182</v>
      </c>
      <c r="GX9" t="s">
        <v>12993</v>
      </c>
      <c r="HC9" t="s">
        <v>12942</v>
      </c>
      <c r="HH9" t="s">
        <v>11194</v>
      </c>
      <c r="IG9" t="s">
        <v>485</v>
      </c>
      <c r="IL9" t="s">
        <v>12241</v>
      </c>
      <c r="IQ9" t="s">
        <v>11074</v>
      </c>
      <c r="IV9" t="s">
        <v>477</v>
      </c>
      <c r="JK9" t="s">
        <v>3073</v>
      </c>
      <c r="JP9" t="s">
        <v>10763</v>
      </c>
      <c r="KE9" t="s">
        <v>6724</v>
      </c>
      <c r="KJ9" t="s">
        <v>11366</v>
      </c>
      <c r="LN9" t="s">
        <v>13138</v>
      </c>
      <c r="MC9" t="s">
        <v>10738</v>
      </c>
      <c r="MH9" t="s">
        <v>10680</v>
      </c>
      <c r="MW9" t="s">
        <v>11075</v>
      </c>
      <c r="NB9" t="s">
        <v>11036</v>
      </c>
      <c r="NG9" t="s">
        <v>11234</v>
      </c>
      <c r="NQ9" t="s">
        <v>11032</v>
      </c>
      <c r="NV9" t="s">
        <v>1847</v>
      </c>
      <c r="OA9" t="s">
        <v>11139</v>
      </c>
      <c r="OF9" t="s">
        <v>10660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1415</v>
      </c>
      <c r="K1" s="1" t="s">
        <v>1416</v>
      </c>
      <c r="U1" s="1" t="s">
        <v>1417</v>
      </c>
      <c r="AE1" s="1" t="s">
        <v>1418</v>
      </c>
      <c r="AO1" s="1" t="s">
        <v>1419</v>
      </c>
      <c r="AY1" s="1" t="s">
        <v>1420</v>
      </c>
      <c r="BI1" s="1" t="s">
        <v>1421</v>
      </c>
      <c r="BS1" s="1" t="s">
        <v>1422</v>
      </c>
      <c r="CC1" s="1" t="s">
        <v>1423</v>
      </c>
      <c r="CM1" s="1" t="s">
        <v>1424</v>
      </c>
      <c r="CW1" s="1" t="s">
        <v>1425</v>
      </c>
      <c r="DG1" s="1" t="s">
        <v>1426</v>
      </c>
      <c r="DQ1" s="1" t="s">
        <v>1427</v>
      </c>
      <c r="EA1" s="1" t="s">
        <v>1428</v>
      </c>
      <c r="EK1" s="1" t="s">
        <v>1429</v>
      </c>
      <c r="EU1" s="1" t="s">
        <v>1430</v>
      </c>
      <c r="FE1" s="1" t="s">
        <v>1431</v>
      </c>
      <c r="FO1" s="1" t="s">
        <v>1432</v>
      </c>
      <c r="FY1" s="1" t="s">
        <v>1433</v>
      </c>
      <c r="GI1" s="1" t="s">
        <v>1434</v>
      </c>
      <c r="GS1" s="1" t="s">
        <v>1435</v>
      </c>
      <c r="HC1" s="1" t="s">
        <v>1436</v>
      </c>
      <c r="HM1" s="1" t="s">
        <v>1437</v>
      </c>
      <c r="HW1" s="1" t="s">
        <v>1438</v>
      </c>
      <c r="IG1" s="1" t="s">
        <v>1439</v>
      </c>
      <c r="IQ1" s="1" t="s">
        <v>1440</v>
      </c>
      <c r="JA1" s="1" t="s">
        <v>1441</v>
      </c>
      <c r="JK1" s="1" t="s">
        <v>1442</v>
      </c>
      <c r="JU1" s="1" t="s">
        <v>1443</v>
      </c>
      <c r="KE1" s="1" t="s">
        <v>1444</v>
      </c>
      <c r="KO1" s="1" t="s">
        <v>1445</v>
      </c>
      <c r="KY1" s="1" t="s">
        <v>1446</v>
      </c>
      <c r="LI1" s="1" t="s">
        <v>1447</v>
      </c>
      <c r="LS1" s="1" t="s">
        <v>1448</v>
      </c>
      <c r="MC1" s="1" t="s">
        <v>1449</v>
      </c>
      <c r="MM1" s="1" t="s">
        <v>1450</v>
      </c>
      <c r="MW1" s="1" t="s">
        <v>1451</v>
      </c>
      <c r="NG1" s="1" t="s">
        <v>1452</v>
      </c>
      <c r="NQ1" s="1" t="s">
        <v>1453</v>
      </c>
      <c r="OA1" s="1" t="s">
        <v>1454</v>
      </c>
    </row>
    <row r="2" spans="1:396" x14ac:dyDescent="0.25">
      <c r="A2" s="2" t="s">
        <v>1455</v>
      </c>
      <c r="K2" s="2" t="s">
        <v>53</v>
      </c>
      <c r="U2" s="2" t="s">
        <v>1456</v>
      </c>
      <c r="AE2" s="2" t="s">
        <v>378</v>
      </c>
      <c r="AO2" s="2" t="s">
        <v>1457</v>
      </c>
      <c r="AY2" s="2" t="s">
        <v>171</v>
      </c>
      <c r="BI2" s="2" t="s">
        <v>589</v>
      </c>
      <c r="BS2" s="2" t="s">
        <v>1458</v>
      </c>
      <c r="CC2" s="2" t="s">
        <v>387</v>
      </c>
      <c r="CM2" s="2" t="s">
        <v>64</v>
      </c>
      <c r="CW2" s="2" t="s">
        <v>1459</v>
      </c>
      <c r="DG2" s="2" t="s">
        <v>1081</v>
      </c>
      <c r="DQ2" s="2" t="s">
        <v>1460</v>
      </c>
      <c r="EA2" s="2" t="s">
        <v>64</v>
      </c>
      <c r="EK2" s="2" t="s">
        <v>1461</v>
      </c>
      <c r="EU2" s="2" t="s">
        <v>46</v>
      </c>
      <c r="FE2" s="2" t="s">
        <v>1462</v>
      </c>
      <c r="FO2" s="2" t="s">
        <v>66</v>
      </c>
      <c r="FY2" s="2" t="s">
        <v>64</v>
      </c>
      <c r="GI2" s="2" t="s">
        <v>51</v>
      </c>
      <c r="GS2" s="2" t="s">
        <v>1463</v>
      </c>
      <c r="HC2" s="2" t="s">
        <v>1464</v>
      </c>
      <c r="HM2" s="2" t="s">
        <v>1175</v>
      </c>
      <c r="HW2" s="2" t="s">
        <v>1465</v>
      </c>
      <c r="IG2" s="2" t="s">
        <v>64</v>
      </c>
      <c r="IQ2" s="2" t="s">
        <v>42</v>
      </c>
      <c r="JA2" s="2" t="s">
        <v>1466</v>
      </c>
      <c r="JK2" s="2" t="s">
        <v>1467</v>
      </c>
      <c r="JU2" s="2" t="s">
        <v>1068</v>
      </c>
      <c r="KE2" s="2" t="s">
        <v>1074</v>
      </c>
      <c r="KO2" s="2" t="s">
        <v>1075</v>
      </c>
      <c r="KY2" s="2" t="s">
        <v>1468</v>
      </c>
      <c r="LI2" s="2" t="s">
        <v>1469</v>
      </c>
      <c r="LS2" s="2" t="s">
        <v>1470</v>
      </c>
      <c r="MC2" s="2" t="s">
        <v>1471</v>
      </c>
      <c r="MM2" s="2" t="s">
        <v>1472</v>
      </c>
      <c r="MW2" s="2" t="s">
        <v>56</v>
      </c>
      <c r="NG2" s="2" t="s">
        <v>157</v>
      </c>
      <c r="NQ2" s="2" t="s">
        <v>1473</v>
      </c>
      <c r="OA2" s="2" t="s">
        <v>1474</v>
      </c>
    </row>
    <row r="3" spans="1:396" x14ac:dyDescent="0.25">
      <c r="A3" t="s">
        <v>1475</v>
      </c>
      <c r="K3" t="s">
        <v>86</v>
      </c>
      <c r="U3" t="s">
        <v>189</v>
      </c>
      <c r="AE3" t="s">
        <v>618</v>
      </c>
      <c r="AO3" t="s">
        <v>1476</v>
      </c>
      <c r="AY3" t="s">
        <v>1477</v>
      </c>
      <c r="BI3" t="s">
        <v>1478</v>
      </c>
      <c r="BS3" t="s">
        <v>1479</v>
      </c>
      <c r="CC3" t="s">
        <v>1480</v>
      </c>
      <c r="CM3" t="s">
        <v>1008</v>
      </c>
      <c r="CW3" t="s">
        <v>1481</v>
      </c>
      <c r="DG3" t="s">
        <v>1482</v>
      </c>
      <c r="DQ3" t="s">
        <v>1483</v>
      </c>
      <c r="EA3" t="s">
        <v>1484</v>
      </c>
      <c r="EK3" t="s">
        <v>1485</v>
      </c>
      <c r="EU3" t="s">
        <v>1112</v>
      </c>
      <c r="FE3" t="s">
        <v>1486</v>
      </c>
      <c r="FO3" t="s">
        <v>1487</v>
      </c>
      <c r="FY3" t="s">
        <v>1488</v>
      </c>
      <c r="GI3" t="s">
        <v>1489</v>
      </c>
      <c r="GS3" t="s">
        <v>1490</v>
      </c>
      <c r="HC3" t="s">
        <v>1491</v>
      </c>
      <c r="HM3" t="s">
        <v>200</v>
      </c>
      <c r="HW3" t="s">
        <v>1492</v>
      </c>
      <c r="IG3" t="s">
        <v>1493</v>
      </c>
      <c r="IQ3" t="s">
        <v>720</v>
      </c>
      <c r="JA3" t="s">
        <v>393</v>
      </c>
      <c r="JK3" t="s">
        <v>1494</v>
      </c>
      <c r="JU3" t="s">
        <v>207</v>
      </c>
      <c r="KE3" t="s">
        <v>901</v>
      </c>
      <c r="KO3" t="s">
        <v>1213</v>
      </c>
      <c r="KY3" t="s">
        <v>1495</v>
      </c>
      <c r="LI3" t="s">
        <v>1496</v>
      </c>
      <c r="LS3" t="s">
        <v>1207</v>
      </c>
      <c r="MC3" t="s">
        <v>1497</v>
      </c>
      <c r="MM3" t="s">
        <v>599</v>
      </c>
      <c r="MW3" t="s">
        <v>1498</v>
      </c>
      <c r="NG3" t="s">
        <v>1499</v>
      </c>
      <c r="NQ3" t="s">
        <v>1500</v>
      </c>
      <c r="OA3" t="s">
        <v>1501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_xll.BDS("AWE US Equity","SUPPLY_CHAIN_SUPPLIERS","RELATIONSHIP_AS_OF_DATE","20011008")</f>
        <v>#N/A N/A</v>
      </c>
      <c r="F5" t="str">
        <f>_xll.BDS("AWE US Equity","SUPPLY_CHAIN_CUSTOMERS","RELATIONSHIP_AS_OF_DATE","20011008")</f>
        <v>#N/A N/A</v>
      </c>
      <c r="K5" t="str">
        <f>_xll.BDS("TMUS US Equity","SUPPLY_CHAIN_SUPPLIERS","RELATIONSHIP_AS_OF_DATE","20180429","cols=1;rows=5")</f>
        <v>AAPL US Equity</v>
      </c>
      <c r="P5" t="str">
        <f>_xll.BDS("TMUS US Equity","SUPPLY_CHAIN_CUSTOMERS","RELATIONSHIP_AS_OF_DATE","20180429","cols=1;rows=5")</f>
        <v>SNX US Equity</v>
      </c>
      <c r="U5" t="str">
        <f>_xll.BDS("0910150D US Equity","SUPPLY_CHAIN_SUPPLIERS","RELATIONSHIP_AS_OF_DATE","19990907")</f>
        <v>#N/A N/A</v>
      </c>
      <c r="Z5" t="str">
        <f>_xll.BDS("0910150D US Equity","SUPPLY_CHAIN_CUSTOMERS","RELATIONSHIP_AS_OF_DATE","19990907")</f>
        <v>#N/A N/A</v>
      </c>
      <c r="AE5" t="str">
        <f>_xll.BDS("PEP US Equity","SUPPLY_CHAIN_SUPPLIERS","RELATIONSHIP_AS_OF_DATE","20090420","cols=1;rows=5")</f>
        <v>AMCR US Equity</v>
      </c>
      <c r="AJ5" t="str">
        <f>_xll.BDS("PEP US Equity","SUPPLY_CHAIN_CUSTOMERS","RELATIONSHIP_AS_OF_DATE","20090420","cols=1;rows=5")</f>
        <v>WMT US Equity</v>
      </c>
      <c r="AO5" t="str">
        <f>_xll.BDS("NBL US Equity","SUPPLY_CHAIN_SUPPLIERS","RELATIONSHIP_AS_OF_DATE","20150511")</f>
        <v>#N/A N/A</v>
      </c>
      <c r="AT5" t="str">
        <f>_xll.BDS("NBL US Equity","SUPPLY_CHAIN_CUSTOMERS","RELATIONSHIP_AS_OF_DATE","20150511")</f>
        <v>#N/A N/A</v>
      </c>
      <c r="AY5" t="str">
        <f>_xll.BDS("ORCL US Equity","SUPPLY_CHAIN_SUPPLIERS","RELATIONSHIP_AS_OF_DATE","20050912","cols=1;rows=5")</f>
        <v>NVDA US Equity</v>
      </c>
      <c r="BD5" t="str">
        <f>_xll.BDS("ORCL US Equity","SUPPLY_CHAIN_CUSTOMERS","RELATIONSHIP_AS_OF_DATE","20050912","cols=1;rows=5")</f>
        <v>ACN US Equity</v>
      </c>
      <c r="BI5" t="str">
        <f>_xll.BDS("1813626D US Equity","SUPPLY_CHAIN_SUPPLIERS","RELATIONSHIP_AS_OF_DATE","20110123")</f>
        <v>FE US Equity</v>
      </c>
      <c r="BN5" t="str">
        <f>_xll.BDS("1813626D US Equity","SUPPLY_CHAIN_CUSTOMERS","RELATIONSHIP_AS_OF_DATE","20110123")</f>
        <v>#N/A N/A</v>
      </c>
      <c r="BS5" t="str">
        <f>_xll.BDS("ASFZ US Equity","SUPPLY_CHAIN_SUPPLIERS","RELATIONSHIP_AS_OF_DATE","19980811")</f>
        <v>#N/A N/A</v>
      </c>
      <c r="BX5" t="str">
        <f>_xll.BDS("ASFZ US Equity","SUPPLY_CHAIN_CUSTOMERS","RELATIONSHIP_AS_OF_DATE","19980811")</f>
        <v>#N/A N/A</v>
      </c>
      <c r="CC5" t="str">
        <f>_xll.BDS("DHR US Equity","SUPPLY_CHAIN_SUPPLIERS","RELATIONSHIP_AS_OF_DATE","20160906","cols=1;rows=5")</f>
        <v>FLEX US Equity</v>
      </c>
      <c r="CH5" t="str">
        <f>_xll.BDS("DHR US Equity","SUPPLY_CHAIN_CUSTOMERS","RELATIONSHIP_AS_OF_DATE","20160906","cols=1;rows=5")</f>
        <v>CDW US Equity</v>
      </c>
      <c r="CM5" t="str">
        <f>_xll.BDS("nan Equity","SUPPLY_CHAIN_SUPPLIERS","RELATIONSHIP_AS_OF_DATE","20171218")</f>
        <v>#N/A N/A</v>
      </c>
      <c r="CR5" t="str">
        <f>_xll.BDS("nan Equity","SUPPLY_CHAIN_CUSTOMERS","RELATIONSHIP_AS_OF_DATE","20171218")</f>
        <v>#N/A N/A</v>
      </c>
      <c r="CW5" t="str">
        <f>_xll.BDS("WPGGQ US Equity","SUPPLY_CHAIN_SUPPLIERS","RELATIONSHIP_AS_OF_DATE","20140916")</f>
        <v>#N/A N/A</v>
      </c>
      <c r="DB5" t="str">
        <f>_xll.BDS("WPGGQ US Equity","SUPPLY_CHAIN_CUSTOMERS","RELATIONSHIP_AS_OF_DATE","20140916")</f>
        <v>#N/A N/A</v>
      </c>
      <c r="DG5" t="str">
        <f>_xll.BDS("KIM US Equity","SUPPLY_CHAIN_SUPPLIERS","RELATIONSHIP_AS_OF_DATE","20060710")</f>
        <v>WOOD IJ Equity</v>
      </c>
      <c r="DL5" t="str">
        <f>_xll.BDS("KIM US Equity","SUPPLY_CHAIN_CUSTOMERS","RELATIONSHIP_AS_OF_DATE","20060710","cols=1;rows=5")</f>
        <v>TJX US Equity</v>
      </c>
      <c r="DQ5" t="str">
        <f>_xll.BDS("329802Q US Equity","SUPPLY_CHAIN_SUPPLIERS","RELATIONSHIP_AS_OF_DATE","19980812")</f>
        <v>#N/A N/A</v>
      </c>
      <c r="DV5" t="str">
        <f>_xll.BDS("329802Q US Equity","SUPPLY_CHAIN_CUSTOMERS","RELATIONSHIP_AS_OF_DATE","19980812")</f>
        <v>#N/A N/A</v>
      </c>
      <c r="EA5" t="str">
        <f>_xll.BDS("nan Equity","SUPPLY_CHAIN_SUPPLIERS","RELATIONSHIP_AS_OF_DATE","20130308")</f>
        <v>#N/A N/A</v>
      </c>
      <c r="EF5" t="str">
        <f>_xll.BDS("nan Equity","SUPPLY_CHAIN_CUSTOMERS","RELATIONSHIP_AS_OF_DATE","20130308")</f>
        <v>#N/A N/A</v>
      </c>
      <c r="EK5" t="str">
        <f>_xll.BDS("MAT US Equity","SUPPLY_CHAIN_SUPPLIERS","RELATIONSHIP_AS_OF_DATE","19981214","cols=1;rows=5")</f>
        <v>HCLT IN Equity</v>
      </c>
      <c r="EP5" t="str">
        <f>_xll.BDS("MAT US Equity","SUPPLY_CHAIN_CUSTOMERS","RELATIONSHIP_AS_OF_DATE","19981214","cols=1;rows=5")</f>
        <v>WMT US Equity</v>
      </c>
      <c r="EU5" t="str">
        <f>_xll.BDS("DIS US Equity","SUPPLY_CHAIN_SUPPLIERS","RELATIONSHIP_AS_OF_DATE","20090831","cols=1;rows=5")</f>
        <v>GTN US Equity</v>
      </c>
      <c r="EZ5" t="str">
        <f>_xll.BDS("DIS US Equity","SUPPLY_CHAIN_CUSTOMERS","RELATIONSHIP_AS_OF_DATE","20090831","cols=1;rows=5")</f>
        <v>AD NA Equity</v>
      </c>
      <c r="FE5" t="str">
        <f>_xll.BDS("4134807Q US Equity","SUPPLY_CHAIN_SUPPLIERS","RELATIONSHIP_AS_OF_DATE","20010903")</f>
        <v>#N/A N/A</v>
      </c>
      <c r="FJ5" t="str">
        <f>_xll.BDS("4134807Q US Equity","SUPPLY_CHAIN_CUSTOMERS","RELATIONSHIP_AS_OF_DATE","20010903")</f>
        <v>#N/A N/A</v>
      </c>
      <c r="FO5" t="str">
        <f>_xll.BDS("MDT US Equity","SUPPLY_CHAIN_SUPPLIERS","RELATIONSHIP_AS_OF_DATE","20070727","cols=1;rows=5")</f>
        <v>FLEX US Equity</v>
      </c>
      <c r="FT5" t="str">
        <f>_xll.BDS("MDT US Equity","SUPPLY_CHAIN_CUSTOMERS","RELATIONSHIP_AS_OF_DATE","20070727","cols=1;rows=5")</f>
        <v>4104 TT Equity</v>
      </c>
      <c r="FY5" t="str">
        <f>_xll.BDS("nan Equity","SUPPLY_CHAIN_SUPPLIERS","RELATIONSHIP_AS_OF_DATE","20100715")</f>
        <v>#N/A N/A</v>
      </c>
      <c r="GD5" t="str">
        <f>_xll.BDS("nan Equity","SUPPLY_CHAIN_CUSTOMERS","RELATIONSHIP_AS_OF_DATE","20100715")</f>
        <v>#N/A N/A</v>
      </c>
      <c r="GI5" t="str">
        <f>_xll.BDS("CI US Equity","SUPPLY_CHAIN_SUPPLIERS","RELATIONSHIP_AS_OF_DATE","20111024","cols=1;rows=5")</f>
        <v>COR US Equity</v>
      </c>
      <c r="GN5" t="str">
        <f>_xll.BDS("CI US Equity","SUPPLY_CHAIN_CUSTOMERS","RELATIONSHIP_AS_OF_DATE","20111024","cols=1;rows=5")</f>
        <v>3352Z US Equity</v>
      </c>
      <c r="GS5" t="str">
        <f>_xll.BDS("ITW US Equity","SUPPLY_CHAIN_SUPPLIERS","RELATIONSHIP_AS_OF_DATE","19990909","cols=1;rows=5")</f>
        <v>179 HK Equity</v>
      </c>
      <c r="GX5" t="str">
        <f>_xll.BDS("ITW US Equity","SUPPLY_CHAIN_CUSTOMERS","RELATIONSHIP_AS_OF_DATE","19990909","cols=1;rows=5")</f>
        <v>TSCO US Equity</v>
      </c>
      <c r="HC5" t="str">
        <f>_xll.BDS("9990302D US Equity","SUPPLY_CHAIN_SUPPLIERS","RELATIONSHIP_AS_OF_DATE","20100415")</f>
        <v>#N/A N/A</v>
      </c>
      <c r="HH5" t="str">
        <f>_xll.BDS("9990302D US Equity","SUPPLY_CHAIN_CUSTOMERS","RELATIONSHIP_AS_OF_DATE","20100415")</f>
        <v>#N/A N/A</v>
      </c>
      <c r="HM5" t="str">
        <f>_xll.BDS("CMCSA US Equity","SUPPLY_CHAIN_SUPPLIERS","RELATIONSHIP_AS_OF_DATE","20160428","cols=1;rows=5")</f>
        <v>GTN US Equity</v>
      </c>
      <c r="HR5" t="str">
        <f>_xll.BDS("CMCSA US Equity","SUPPLY_CHAIN_CUSTOMERS","RELATIONSHIP_AS_OF_DATE","20160428","cols=1;rows=5")</f>
        <v>ARW US Equity</v>
      </c>
      <c r="HW5" t="str">
        <f>_xll.BDS("DZA US Equity","SUPPLY_CHAIN_SUPPLIERS","RELATIONSHIP_AS_OF_DATE","19990818")</f>
        <v>#N/A N/A</v>
      </c>
      <c r="IB5" t="str">
        <f>_xll.BDS("DZA US Equity","SUPPLY_CHAIN_CUSTOMERS","RELATIONSHIP_AS_OF_DATE","19990818")</f>
        <v>#N/A N/A</v>
      </c>
      <c r="IG5" t="str">
        <f>_xll.BDS("nan Equity","SUPPLY_CHAIN_SUPPLIERS","RELATIONSHIP_AS_OF_DATE","20101025")</f>
        <v>#N/A N/A</v>
      </c>
      <c r="IL5" t="str">
        <f>_xll.BDS("nan Equity","SUPPLY_CHAIN_CUSTOMERS","RELATIONSHIP_AS_OF_DATE","20101025")</f>
        <v>#N/A N/A</v>
      </c>
      <c r="IQ5" t="str">
        <f>_xll.BDS("RTX US Equity","SUPPLY_CHAIN_SUPPLIERS","RELATIONSHIP_AS_OF_DATE","19990222","cols=1;rows=5")</f>
        <v>MTX GR Equity</v>
      </c>
      <c r="IV5" t="str">
        <f>_xll.BDS("RTX US Equity","SUPPLY_CHAIN_CUSTOMERS","RELATIONSHIP_AS_OF_DATE","19990222","cols=1;rows=5")</f>
        <v>3352Z US Equity</v>
      </c>
      <c r="JA5" t="str">
        <f>_xll.BDS("1431816D US Equity","SUPPLY_CHAIN_SUPPLIERS","RELATIONSHIP_AS_OF_DATE","20061204")</f>
        <v>#N/A N/A</v>
      </c>
      <c r="JF5" t="str">
        <f>_xll.BDS("1431816D US Equity","SUPPLY_CHAIN_CUSTOMERS","RELATIONSHIP_AS_OF_DATE","20061204")</f>
        <v>#N/A N/A</v>
      </c>
      <c r="JK5" t="str">
        <f>_xll.BDS("GTN US Equity","SUPPLY_CHAIN_SUPPLIERS","RELATIONSHIP_AS_OF_DATE","20210503","cols=1;rows=5")</f>
        <v>0129612D US Equity</v>
      </c>
      <c r="JP5" t="str">
        <f>_xll.BDS("GTN US Equity","SUPPLY_CHAIN_CUSTOMERS","RELATIONSHIP_AS_OF_DATE","20210503","cols=1;rows=5")</f>
        <v>CMCSA US Equity</v>
      </c>
      <c r="JU5" t="str">
        <f>_xll.BDS("HBAN US Equity","SUPPLY_CHAIN_SUPPLIERS","RELATIONSHIP_AS_OF_DATE","20160125","cols=1;rows=4")</f>
        <v>004800 KS Equity</v>
      </c>
      <c r="JZ5" t="str">
        <f>_xll.BDS("HBAN US Equity","SUPPLY_CHAIN_CUSTOMERS","RELATIONSHIP_AS_OF_DATE","20160125")</f>
        <v>#N/A N/A</v>
      </c>
      <c r="KE5" t="str">
        <f>_xll.BDS("HOLX US Equity","SUPPLY_CHAIN_SUPPLIERS","RELATIONSHIP_AS_OF_DATE","20120430","cols=1;rows=5")</f>
        <v>FLEX US Equity</v>
      </c>
      <c r="KJ5" t="str">
        <f>_xll.BDS("HOLX US Equity","SUPPLY_CHAIN_CUSTOMERS","RELATIONSHIP_AS_OF_DATE","20120430","cols=1;rows=5")</f>
        <v>0219250Z US Equity</v>
      </c>
      <c r="KO5" t="str">
        <f>_xll.BDS("AA US Equity","SUPPLY_CHAIN_SUPPLIERS","RELATIONSHIP_AS_OF_DATE","19980309","cols=1;rows=5")</f>
        <v>MAADEN AB Equity</v>
      </c>
      <c r="KT5" t="str">
        <f>_xll.BDS("AA US Equity","SUPPLY_CHAIN_CUSTOMERS","RELATIONSHIP_AS_OF_DATE","19980309","cols=1;rows=5")</f>
        <v>MAADEN AB Equity</v>
      </c>
      <c r="KY5" t="str">
        <f>_xll.BDS("COR US Equity","SUPPLY_CHAIN_SUPPLIERS","RELATIONSHIP_AS_OF_DATE","20010319","cols=1;rows=5")</f>
        <v>LLY US Equity</v>
      </c>
      <c r="LD5" t="str">
        <f>_xll.BDS("COR US Equity","SUPPLY_CHAIN_CUSTOMERS","RELATIONSHIP_AS_OF_DATE","20010319","cols=1;rows=5")</f>
        <v>WBA US Equity</v>
      </c>
      <c r="LI5" t="str">
        <f>_xll.BDS("FSH US Equity","SUPPLY_CHAIN_SUPPLIERS","RELATIONSHIP_AS_OF_DATE","20040317")</f>
        <v>#N/A N/A</v>
      </c>
      <c r="LN5" t="str">
        <f>_xll.BDS("FSH US Equity","SUPPLY_CHAIN_CUSTOMERS","RELATIONSHIP_AS_OF_DATE","20040317")</f>
        <v>#N/A N/A</v>
      </c>
      <c r="LS5" t="str">
        <f>_xll.BDS("FHN US Equity","SUPPLY_CHAIN_SUPPLIERS","RELATIONSHIP_AS_OF_DATE","20191104","cols=1;rows=3")</f>
        <v>GBG LN Equity</v>
      </c>
      <c r="LX5" t="str">
        <f>_xll.BDS("FHN US Equity","SUPPLY_CHAIN_CUSTOMERS","RELATIONSHIP_AS_OF_DATE","20191104")</f>
        <v>#N/A N/A</v>
      </c>
      <c r="MC5" t="str">
        <f>_xll.BDS("COX US Equity","SUPPLY_CHAIN_SUPPLIERS","RELATIONSHIP_AS_OF_DATE","19990512","cols=1;rows=5")</f>
        <v>2008 HK Equity</v>
      </c>
      <c r="MH5" t="str">
        <f>_xll.BDS("COX US Equity","SUPPLY_CHAIN_CUSTOMERS","RELATIONSHIP_AS_OF_DATE","19990512","cols=1;rows=4")</f>
        <v>CURI US Equity</v>
      </c>
      <c r="MM5" t="str">
        <f>_xll.BDS("Y US Equity","SUPPLY_CHAIN_SUPPLIERS","RELATIONSHIP_AS_OF_DATE","20111121")</f>
        <v>LRDC US Equity</v>
      </c>
      <c r="MR5" t="str">
        <f>_xll.BDS("Y US Equity","SUPPLY_CHAIN_CUSTOMERS","RELATIONSHIP_AS_OF_DATE","20111121")</f>
        <v>#N/A N/A</v>
      </c>
      <c r="MW5" t="str">
        <f>_xll.BDS("ET US Equity","SUPPLY_CHAIN_SUPPLIERS","RELATIONSHIP_AS_OF_DATE","20190916","cols=1;rows=5")</f>
        <v>CNR CN Equity</v>
      </c>
      <c r="NB5" t="str">
        <f>_xll.BDS("ET US Equity","SUPPLY_CHAIN_CUSTOMERS","RELATIONSHIP_AS_OF_DATE","20190916","cols=1;rows=5")</f>
        <v>384 HK Equity</v>
      </c>
      <c r="NG5" t="str">
        <f>_xll.BDS("WCOEQ US Equity","SUPPLY_CHAIN_SUPPLIERS","RELATIONSHIP_AS_OF_DATE","20000905")</f>
        <v>#N/A N/A</v>
      </c>
      <c r="NL5" t="str">
        <f>_xll.BDS("WCOEQ US Equity","SUPPLY_CHAIN_CUSTOMERS","RELATIONSHIP_AS_OF_DATE","20000905")</f>
        <v>#N/A N/A</v>
      </c>
      <c r="NQ5" t="str">
        <f>_xll.BDS("OPITQ US Equity","SUPPLY_CHAIN_SUPPLIERS","RELATIONSHIP_AS_OF_DATE","20180917","cols=1;rows=3")</f>
        <v>SVC US Equity</v>
      </c>
      <c r="NV5" t="str">
        <f>_xll.BDS("OPITQ US Equity","SUPPLY_CHAIN_CUSTOMERS","RELATIONSHIP_AS_OF_DATE","20180917","cols=1;rows=5")</f>
        <v>3352Z US Equity</v>
      </c>
      <c r="OA5" t="str">
        <f>_xll.BDS("PCL US Equity","SUPPLY_CHAIN_SUPPLIERS","RELATIONSHIP_AS_OF_DATE","20000718")</f>
        <v>#N/A N/A</v>
      </c>
      <c r="OF5" t="str">
        <f>_xll.BDS("PCL US Equity","SUPPLY_CHAIN_CUSTOMERS","RELATIONSHIP_AS_OF_DATE","20000718")</f>
        <v>#N/A N/A</v>
      </c>
    </row>
    <row r="6" spans="1:396" x14ac:dyDescent="0.25">
      <c r="K6" t="s">
        <v>10892</v>
      </c>
      <c r="P6" t="s">
        <v>10660</v>
      </c>
      <c r="AE6" t="s">
        <v>11892</v>
      </c>
      <c r="AJ6" t="s">
        <v>477</v>
      </c>
      <c r="AY6" t="s">
        <v>162</v>
      </c>
      <c r="BD6" t="s">
        <v>469</v>
      </c>
      <c r="CC6" t="s">
        <v>10735</v>
      </c>
      <c r="CH6" t="s">
        <v>2881</v>
      </c>
      <c r="DL6" t="s">
        <v>11525</v>
      </c>
      <c r="EK6" t="s">
        <v>11167</v>
      </c>
      <c r="EP6" t="s">
        <v>10775</v>
      </c>
      <c r="EU6" t="s">
        <v>266</v>
      </c>
      <c r="EZ6" t="s">
        <v>10944</v>
      </c>
      <c r="FO6" t="s">
        <v>11060</v>
      </c>
      <c r="FT6" t="s">
        <v>11016</v>
      </c>
      <c r="GI6" t="s">
        <v>11018</v>
      </c>
      <c r="GN6" t="s">
        <v>470</v>
      </c>
      <c r="GS6" t="s">
        <v>11335</v>
      </c>
      <c r="GX6" t="s">
        <v>10660</v>
      </c>
      <c r="HM6" t="s">
        <v>789</v>
      </c>
      <c r="HR6" t="s">
        <v>2881</v>
      </c>
      <c r="IQ6" t="s">
        <v>11802</v>
      </c>
      <c r="IV6" t="s">
        <v>10939</v>
      </c>
      <c r="JK6" t="s">
        <v>12212</v>
      </c>
      <c r="JP6" t="s">
        <v>5984</v>
      </c>
      <c r="JU6" t="s">
        <v>10713</v>
      </c>
      <c r="KE6" t="s">
        <v>12208</v>
      </c>
      <c r="KJ6" t="s">
        <v>10797</v>
      </c>
      <c r="KO6" t="s">
        <v>12250</v>
      </c>
      <c r="KT6" t="s">
        <v>12161</v>
      </c>
      <c r="KY6" t="s">
        <v>368</v>
      </c>
      <c r="LD6" t="s">
        <v>51</v>
      </c>
      <c r="LS6" t="s">
        <v>11371</v>
      </c>
      <c r="MC6" t="s">
        <v>1654</v>
      </c>
      <c r="MH6" t="s">
        <v>11939</v>
      </c>
      <c r="MW6" t="s">
        <v>684</v>
      </c>
      <c r="NB6" t="s">
        <v>68</v>
      </c>
      <c r="NQ6" t="s">
        <v>12973</v>
      </c>
      <c r="NV6" t="s">
        <v>6901</v>
      </c>
    </row>
    <row r="7" spans="1:396" x14ac:dyDescent="0.25">
      <c r="K7" t="s">
        <v>1070</v>
      </c>
      <c r="P7" t="s">
        <v>10791</v>
      </c>
      <c r="AE7" t="s">
        <v>12861</v>
      </c>
      <c r="AJ7" t="s">
        <v>469</v>
      </c>
      <c r="AY7" t="s">
        <v>279</v>
      </c>
      <c r="BD7" t="s">
        <v>2881</v>
      </c>
      <c r="CC7" t="s">
        <v>273</v>
      </c>
      <c r="CH7" t="s">
        <v>10661</v>
      </c>
      <c r="DL7" t="s">
        <v>570</v>
      </c>
      <c r="EK7" t="s">
        <v>11255</v>
      </c>
      <c r="EP7" t="s">
        <v>469</v>
      </c>
      <c r="EU7" t="s">
        <v>12482</v>
      </c>
      <c r="EZ7" t="s">
        <v>10661</v>
      </c>
      <c r="FO7" t="s">
        <v>10735</v>
      </c>
      <c r="FT7" t="s">
        <v>8926</v>
      </c>
      <c r="GI7" t="s">
        <v>368</v>
      </c>
      <c r="GN7" t="s">
        <v>10797</v>
      </c>
      <c r="GS7" t="s">
        <v>10807</v>
      </c>
      <c r="GX7" t="s">
        <v>10998</v>
      </c>
      <c r="HM7" t="s">
        <v>969</v>
      </c>
      <c r="HR7" t="s">
        <v>11366</v>
      </c>
      <c r="IQ7" t="s">
        <v>11009</v>
      </c>
      <c r="IV7" t="s">
        <v>1363</v>
      </c>
      <c r="JK7" t="s">
        <v>12213</v>
      </c>
      <c r="JP7" t="s">
        <v>46</v>
      </c>
      <c r="JU7" t="s">
        <v>154</v>
      </c>
      <c r="KE7" t="s">
        <v>10996</v>
      </c>
      <c r="KJ7" t="s">
        <v>12151</v>
      </c>
      <c r="KO7" t="s">
        <v>12204</v>
      </c>
      <c r="KT7" t="s">
        <v>12162</v>
      </c>
      <c r="KY7" t="s">
        <v>45</v>
      </c>
      <c r="LD7" t="s">
        <v>11883</v>
      </c>
      <c r="LS7" t="s">
        <v>11234</v>
      </c>
      <c r="MC7" t="s">
        <v>2410</v>
      </c>
      <c r="MH7" t="s">
        <v>12618</v>
      </c>
      <c r="MW7" t="s">
        <v>12295</v>
      </c>
      <c r="NB7" t="s">
        <v>6710</v>
      </c>
      <c r="NQ7" t="s">
        <v>12974</v>
      </c>
      <c r="NV7" t="s">
        <v>2705</v>
      </c>
    </row>
    <row r="8" spans="1:396" x14ac:dyDescent="0.25">
      <c r="K8" t="s">
        <v>670</v>
      </c>
      <c r="P8" t="s">
        <v>3519</v>
      </c>
      <c r="AE8" t="s">
        <v>12862</v>
      </c>
      <c r="AJ8" t="s">
        <v>10805</v>
      </c>
      <c r="AY8" t="s">
        <v>10818</v>
      </c>
      <c r="BD8" t="s">
        <v>52</v>
      </c>
      <c r="CC8" t="s">
        <v>6320</v>
      </c>
      <c r="CH8" t="s">
        <v>10662</v>
      </c>
      <c r="DL8" t="s">
        <v>469</v>
      </c>
      <c r="EK8" t="s">
        <v>1654</v>
      </c>
      <c r="EP8" t="s">
        <v>11114</v>
      </c>
      <c r="EU8" t="s">
        <v>11838</v>
      </c>
      <c r="EZ8" t="s">
        <v>12027</v>
      </c>
      <c r="FO8" t="s">
        <v>3439</v>
      </c>
      <c r="FT8" t="s">
        <v>10140</v>
      </c>
      <c r="GI8" t="s">
        <v>44</v>
      </c>
      <c r="GN8" t="s">
        <v>13283</v>
      </c>
      <c r="GS8" t="s">
        <v>11336</v>
      </c>
      <c r="GX8" t="s">
        <v>6473</v>
      </c>
      <c r="HM8" t="s">
        <v>10852</v>
      </c>
      <c r="HR8" t="s">
        <v>10680</v>
      </c>
      <c r="IQ8" t="s">
        <v>158</v>
      </c>
      <c r="IV8" t="s">
        <v>10785</v>
      </c>
      <c r="JK8" t="s">
        <v>790</v>
      </c>
      <c r="JP8" t="s">
        <v>12160</v>
      </c>
      <c r="JU8" t="s">
        <v>11543</v>
      </c>
      <c r="KE8" t="s">
        <v>12152</v>
      </c>
      <c r="KJ8" t="s">
        <v>10657</v>
      </c>
      <c r="KO8" t="s">
        <v>772</v>
      </c>
      <c r="KT8" t="s">
        <v>12163</v>
      </c>
      <c r="KY8" t="s">
        <v>43</v>
      </c>
      <c r="LD8" t="s">
        <v>10797</v>
      </c>
      <c r="MC8" t="s">
        <v>9766</v>
      </c>
      <c r="MH8" t="s">
        <v>10680</v>
      </c>
      <c r="MW8" t="s">
        <v>11757</v>
      </c>
      <c r="NB8" t="s">
        <v>10740</v>
      </c>
      <c r="NV8" t="s">
        <v>12811</v>
      </c>
    </row>
    <row r="9" spans="1:396" x14ac:dyDescent="0.25">
      <c r="K9" t="s">
        <v>12874</v>
      </c>
      <c r="P9" t="s">
        <v>10680</v>
      </c>
      <c r="AE9" t="s">
        <v>11854</v>
      </c>
      <c r="AJ9" t="s">
        <v>11114</v>
      </c>
      <c r="AY9" t="s">
        <v>384</v>
      </c>
      <c r="BD9" t="s">
        <v>472</v>
      </c>
      <c r="CC9" t="s">
        <v>1654</v>
      </c>
      <c r="CH9" t="s">
        <v>10663</v>
      </c>
      <c r="DL9" t="s">
        <v>11526</v>
      </c>
      <c r="EK9" t="s">
        <v>5989</v>
      </c>
      <c r="EP9" t="s">
        <v>5236</v>
      </c>
      <c r="EU9" t="s">
        <v>12483</v>
      </c>
      <c r="EZ9" t="s">
        <v>10647</v>
      </c>
      <c r="FO9" t="s">
        <v>10806</v>
      </c>
      <c r="FT9" t="s">
        <v>10746</v>
      </c>
      <c r="GI9" t="s">
        <v>10834</v>
      </c>
      <c r="GN9" t="s">
        <v>13284</v>
      </c>
      <c r="GS9" t="s">
        <v>11337</v>
      </c>
      <c r="GX9" t="s">
        <v>3239</v>
      </c>
      <c r="HM9" t="s">
        <v>6724</v>
      </c>
      <c r="HR9" t="s">
        <v>12860</v>
      </c>
      <c r="IQ9" t="s">
        <v>1353</v>
      </c>
      <c r="IV9" t="s">
        <v>1740</v>
      </c>
      <c r="JK9" t="s">
        <v>1175</v>
      </c>
      <c r="JP9" t="s">
        <v>10892</v>
      </c>
      <c r="KE9" t="s">
        <v>10851</v>
      </c>
      <c r="KJ9" t="s">
        <v>12152</v>
      </c>
      <c r="KO9" t="s">
        <v>10940</v>
      </c>
      <c r="KT9" t="s">
        <v>12164</v>
      </c>
      <c r="KY9" t="s">
        <v>11029</v>
      </c>
      <c r="LD9" t="s">
        <v>11884</v>
      </c>
      <c r="MC9" t="s">
        <v>12987</v>
      </c>
      <c r="MW9" t="s">
        <v>11449</v>
      </c>
      <c r="NB9" t="s">
        <v>12617</v>
      </c>
      <c r="NV9" t="s">
        <v>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1502</v>
      </c>
      <c r="K1" s="1" t="s">
        <v>1503</v>
      </c>
      <c r="U1" s="1" t="s">
        <v>1504</v>
      </c>
      <c r="AE1" s="1" t="s">
        <v>1505</v>
      </c>
      <c r="AO1" s="1" t="s">
        <v>1506</v>
      </c>
      <c r="AY1" s="1" t="s">
        <v>1507</v>
      </c>
      <c r="BI1" s="1" t="s">
        <v>1508</v>
      </c>
      <c r="BS1" s="1" t="s">
        <v>1509</v>
      </c>
      <c r="CC1" s="1" t="s">
        <v>1510</v>
      </c>
      <c r="CM1" s="1" t="s">
        <v>1511</v>
      </c>
      <c r="CW1" s="1" t="s">
        <v>1512</v>
      </c>
      <c r="DG1" s="1" t="s">
        <v>1513</v>
      </c>
      <c r="DQ1" s="1" t="s">
        <v>1514</v>
      </c>
      <c r="EA1" s="1" t="s">
        <v>1515</v>
      </c>
      <c r="EK1" s="1" t="s">
        <v>1516</v>
      </c>
      <c r="EU1" s="1" t="s">
        <v>1517</v>
      </c>
      <c r="FE1" s="1" t="s">
        <v>1518</v>
      </c>
      <c r="FO1" s="1" t="s">
        <v>1519</v>
      </c>
      <c r="FY1" s="1" t="s">
        <v>1520</v>
      </c>
      <c r="GI1" s="1" t="s">
        <v>1521</v>
      </c>
      <c r="GS1" s="1" t="s">
        <v>1522</v>
      </c>
      <c r="HC1" s="1" t="s">
        <v>1523</v>
      </c>
      <c r="HM1" s="1" t="s">
        <v>1524</v>
      </c>
      <c r="HW1" s="1" t="s">
        <v>1525</v>
      </c>
      <c r="IG1" s="1" t="s">
        <v>1526</v>
      </c>
      <c r="IQ1" s="1" t="s">
        <v>1527</v>
      </c>
      <c r="JA1" s="1" t="s">
        <v>1528</v>
      </c>
      <c r="JK1" s="1" t="s">
        <v>1529</v>
      </c>
      <c r="JU1" s="1" t="s">
        <v>1530</v>
      </c>
      <c r="KE1" s="1" t="s">
        <v>1531</v>
      </c>
      <c r="KO1" s="1" t="s">
        <v>1532</v>
      </c>
      <c r="KY1" s="1" t="s">
        <v>1533</v>
      </c>
      <c r="LI1" s="1" t="s">
        <v>1534</v>
      </c>
      <c r="LS1" s="1" t="s">
        <v>1535</v>
      </c>
      <c r="MC1" s="1" t="s">
        <v>1536</v>
      </c>
      <c r="MM1" s="1" t="s">
        <v>1537</v>
      </c>
      <c r="MW1" s="1" t="s">
        <v>1538</v>
      </c>
      <c r="NG1" s="1" t="s">
        <v>1539</v>
      </c>
      <c r="NQ1" s="1" t="s">
        <v>1540</v>
      </c>
      <c r="OA1" s="1" t="s">
        <v>1541</v>
      </c>
    </row>
    <row r="2" spans="1:396" x14ac:dyDescent="0.25">
      <c r="A2" s="2" t="s">
        <v>670</v>
      </c>
      <c r="K2" s="2" t="s">
        <v>1542</v>
      </c>
      <c r="U2" s="2" t="s">
        <v>669</v>
      </c>
      <c r="AE2" s="2" t="s">
        <v>161</v>
      </c>
      <c r="AO2" s="2" t="s">
        <v>379</v>
      </c>
      <c r="AY2" s="2" t="s">
        <v>1543</v>
      </c>
      <c r="BI2" s="2" t="s">
        <v>1544</v>
      </c>
      <c r="BS2" s="2" t="s">
        <v>1545</v>
      </c>
      <c r="CC2" s="2" t="s">
        <v>1546</v>
      </c>
      <c r="CM2" s="2" t="s">
        <v>1547</v>
      </c>
      <c r="CW2" s="2" t="s">
        <v>70</v>
      </c>
      <c r="DG2" s="2" t="s">
        <v>65</v>
      </c>
      <c r="DQ2" s="2" t="s">
        <v>969</v>
      </c>
      <c r="EA2" s="2" t="s">
        <v>1548</v>
      </c>
      <c r="EK2" s="2" t="s">
        <v>1549</v>
      </c>
      <c r="EU2" s="2" t="s">
        <v>1550</v>
      </c>
      <c r="FE2" s="2" t="s">
        <v>1551</v>
      </c>
      <c r="FO2" s="2" t="s">
        <v>773</v>
      </c>
      <c r="FY2" s="2" t="s">
        <v>1067</v>
      </c>
      <c r="GI2" s="2" t="s">
        <v>1552</v>
      </c>
      <c r="GS2" s="2" t="s">
        <v>1553</v>
      </c>
      <c r="HC2" s="2" t="s">
        <v>885</v>
      </c>
      <c r="HM2" s="2" t="s">
        <v>41</v>
      </c>
      <c r="HW2" s="2" t="s">
        <v>375</v>
      </c>
      <c r="IG2" s="2" t="s">
        <v>64</v>
      </c>
      <c r="IQ2" s="2" t="s">
        <v>64</v>
      </c>
      <c r="JA2" s="2" t="s">
        <v>71</v>
      </c>
      <c r="JK2" s="2" t="s">
        <v>167</v>
      </c>
      <c r="JU2" s="2" t="s">
        <v>570</v>
      </c>
      <c r="KE2" s="2" t="s">
        <v>685</v>
      </c>
      <c r="KO2" s="2" t="s">
        <v>1554</v>
      </c>
      <c r="KY2" s="2" t="s">
        <v>175</v>
      </c>
      <c r="LI2" s="2" t="s">
        <v>1555</v>
      </c>
      <c r="LS2" s="2" t="s">
        <v>1556</v>
      </c>
      <c r="MC2" s="2" t="s">
        <v>1272</v>
      </c>
      <c r="MM2" s="2" t="s">
        <v>1557</v>
      </c>
      <c r="MW2" s="2" t="s">
        <v>265</v>
      </c>
      <c r="NG2" s="2" t="s">
        <v>1558</v>
      </c>
      <c r="NQ2" s="2" t="s">
        <v>1559</v>
      </c>
      <c r="OA2" s="2" t="s">
        <v>983</v>
      </c>
    </row>
    <row r="3" spans="1:396" x14ac:dyDescent="0.25">
      <c r="A3" t="s">
        <v>1560</v>
      </c>
      <c r="K3" t="s">
        <v>1561</v>
      </c>
      <c r="U3" t="s">
        <v>1562</v>
      </c>
      <c r="AE3" t="s">
        <v>1563</v>
      </c>
      <c r="AO3" t="s">
        <v>1564</v>
      </c>
      <c r="AY3" t="s">
        <v>916</v>
      </c>
      <c r="BI3" t="s">
        <v>1565</v>
      </c>
      <c r="BS3" t="s">
        <v>1566</v>
      </c>
      <c r="CC3" t="s">
        <v>1567</v>
      </c>
      <c r="CM3" t="s">
        <v>1568</v>
      </c>
      <c r="CW3" t="s">
        <v>1569</v>
      </c>
      <c r="DG3" t="s">
        <v>1570</v>
      </c>
      <c r="DQ3" t="s">
        <v>1571</v>
      </c>
      <c r="EA3" t="s">
        <v>1572</v>
      </c>
      <c r="EK3" t="s">
        <v>1573</v>
      </c>
      <c r="EU3" t="s">
        <v>1574</v>
      </c>
      <c r="FE3" t="s">
        <v>1008</v>
      </c>
      <c r="FO3" t="s">
        <v>1575</v>
      </c>
      <c r="FY3" t="s">
        <v>1576</v>
      </c>
      <c r="GI3" t="s">
        <v>1577</v>
      </c>
      <c r="GS3" t="s">
        <v>1578</v>
      </c>
      <c r="HC3" t="s">
        <v>418</v>
      </c>
      <c r="HM3" t="s">
        <v>1579</v>
      </c>
      <c r="HW3" t="s">
        <v>319</v>
      </c>
      <c r="IG3" t="s">
        <v>1580</v>
      </c>
      <c r="IQ3" t="s">
        <v>1581</v>
      </c>
      <c r="JA3" t="s">
        <v>1582</v>
      </c>
      <c r="JK3" t="s">
        <v>1583</v>
      </c>
      <c r="JU3" t="s">
        <v>1584</v>
      </c>
      <c r="KE3" t="s">
        <v>1585</v>
      </c>
      <c r="KO3" t="s">
        <v>1586</v>
      </c>
      <c r="KY3" t="s">
        <v>1587</v>
      </c>
      <c r="LI3" t="s">
        <v>1588</v>
      </c>
      <c r="LS3" t="s">
        <v>1589</v>
      </c>
      <c r="MC3" t="s">
        <v>1590</v>
      </c>
      <c r="MM3" t="s">
        <v>1591</v>
      </c>
      <c r="MW3" t="s">
        <v>1477</v>
      </c>
      <c r="NG3" t="s">
        <v>626</v>
      </c>
      <c r="NQ3" t="s">
        <v>1592</v>
      </c>
      <c r="OA3" t="s">
        <v>1593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_xll.BDS("AMT US Equity","SUPPLY_CHAIN_SUPPLIERS","RELATIONSHIP_AS_OF_DATE","20050504","cols=1;rows=5")</f>
        <v>ORCL US Equity</v>
      </c>
      <c r="F5" t="str">
        <f>_xll.BDS("AMT US Equity","SUPPLY_CHAIN_CUSTOMERS","RELATIONSHIP_AS_OF_DATE","20050504","cols=1;rows=5")</f>
        <v>TMUS US Equity</v>
      </c>
      <c r="K5" t="str">
        <f>_xll.BDS("1293405D US Equity","SUPPLY_CHAIN_SUPPLIERS","RELATIONSHIP_AS_OF_DATE","20020612")</f>
        <v>DV US Equity</v>
      </c>
      <c r="P5" t="str">
        <f>_xll.BDS("1293405D US Equity","SUPPLY_CHAIN_CUSTOMERS","RELATIONSHIP_AS_OF_DATE","20020612")</f>
        <v>TTD US Equity</v>
      </c>
      <c r="U5" t="str">
        <f>_xll.BDS("MSI US Equity","SUPPLY_CHAIN_SUPPLIERS","RELATIONSHIP_AS_OF_DATE","20060919","cols=1;rows=5")</f>
        <v>SANM US Equity</v>
      </c>
      <c r="Z5" t="str">
        <f>_xll.BDS("MSI US Equity","SUPPLY_CHAIN_CUSTOMERS","RELATIONSHIP_AS_OF_DATE","20060919","cols=1;rows=5")</f>
        <v>3352Z US Equity</v>
      </c>
      <c r="AE5" t="str">
        <f>_xll.BDS("BX US Equity","SUPPLY_CHAIN_SUPPLIERS","RELATIONSHIP_AS_OF_DATE","20220216","cols=1;rows=5")</f>
        <v>ORCL US Equity</v>
      </c>
      <c r="AJ5" t="str">
        <f>_xll.BDS("BX US Equity","SUPPLY_CHAIN_CUSTOMERS","RELATIONSHIP_AS_OF_DATE","20220216","cols=1;rows=5")</f>
        <v>002284 CH Equity</v>
      </c>
      <c r="AO5" t="str">
        <f>_xll.BDS("ELV US Equity","SUPPLY_CHAIN_SUPPLIERS","RELATIONSHIP_AS_OF_DATE","20020429","cols=1;rows=5")</f>
        <v>HNGE US Equity</v>
      </c>
      <c r="AT5" t="str">
        <f>_xll.BDS("ELV US Equity","SUPPLY_CHAIN_CUSTOMERS","RELATIONSHIP_AS_OF_DATE","20020429","cols=1;rows=5")</f>
        <v>3352Z US Equity</v>
      </c>
      <c r="AY5" t="str">
        <f>_xll.BDS("SOV US Equity","SUPPLY_CHAIN_SUPPLIERS","RELATIONSHIP_AS_OF_DATE","20051024")</f>
        <v>#N/A N/A</v>
      </c>
      <c r="BD5" t="str">
        <f>_xll.BDS("SOV US Equity","SUPPLY_CHAIN_CUSTOMERS","RELATIONSHIP_AS_OF_DATE","20051024")</f>
        <v>#N/A N/A</v>
      </c>
      <c r="BI5" t="str">
        <f>_xll.BDS("ALL US Equity","SUPPLY_CHAIN_SUPPLIERS","RELATIONSHIP_AS_OF_DATE","20200707","cols=1;rows=5")</f>
        <v>OPITQ US Equity</v>
      </c>
      <c r="BN5" t="str">
        <f>_xll.BDS("ALL US Equity","SUPPLY_CHAIN_CUSTOMERS","RELATIONSHIP_AS_OF_DATE","20200707","cols=1;rows=5")</f>
        <v>035720 KS Equity</v>
      </c>
      <c r="BS5" t="str">
        <f>_xll.BDS("DTE US Equity","SUPPLY_CHAIN_SUPPLIERS","RELATIONSHIP_AS_OF_DATE","19991005","cols=1;rows=5")</f>
        <v>GNRC US Equity</v>
      </c>
      <c r="BX5" t="str">
        <f>_xll.BDS("DTE US Equity","SUPPLY_CHAIN_CUSTOMERS","RELATIONSHIP_AS_OF_DATE","19991005","cols=1;rows=5")</f>
        <v>000333 CH Equity</v>
      </c>
      <c r="CC5" t="str">
        <f>_xll.BDS("CFG US Equity","SUPPLY_CHAIN_SUPPLIERS","RELATIONSHIP_AS_OF_DATE","20210728","cols=1;rows=5")</f>
        <v>INFO IN Equity</v>
      </c>
      <c r="CH5" t="str">
        <f>_xll.BDS("CFG US Equity","SUPPLY_CHAIN_CUSTOMERS","RELATIONSHIP_AS_OF_DATE","20210728")</f>
        <v>#N/A N/A</v>
      </c>
      <c r="CM5" t="str">
        <f>_xll.BDS("1683997D US Equity","SUPPLY_CHAIN_SUPPLIERS","RELATIONSHIP_AS_OF_DATE","20090921")</f>
        <v>#N/A N/A</v>
      </c>
      <c r="CR5" t="str">
        <f>_xll.BDS("1683997D US Equity","SUPPLY_CHAIN_CUSTOMERS","RELATIONSHIP_AS_OF_DATE","20090921")</f>
        <v>#N/A N/A</v>
      </c>
      <c r="CW5" t="str">
        <f>_xll.BDS("0848680D US Equity","SUPPLY_CHAIN_SUPPLIERS","RELATIONSHIP_AS_OF_DATE","20121213")</f>
        <v>#N/A N/A</v>
      </c>
      <c r="DB5" t="str">
        <f>_xll.BDS("0848680D US Equity","SUPPLY_CHAIN_CUSTOMERS","RELATIONSHIP_AS_OF_DATE","20121213")</f>
        <v>#N/A N/A</v>
      </c>
      <c r="DG5" t="str">
        <f>_xll.BDS("MRK US Equity","SUPPLY_CHAIN_SUPPLIERS","RELATIONSHIP_AS_OF_DATE","20140609","cols=1;rows=5")</f>
        <v>AZN LN Equity</v>
      </c>
      <c r="DL5" t="str">
        <f>_xll.BDS("MRK US Equity","SUPPLY_CHAIN_CUSTOMERS","RELATIONSHIP_AS_OF_DATE","20140609","cols=1;rows=5")</f>
        <v>COR US Equity</v>
      </c>
      <c r="DQ5" t="str">
        <f>_xll.BDS("CSCO US Equity","SUPPLY_CHAIN_SUPPLIERS","RELATIONSHIP_AS_OF_DATE","20170124","cols=1;rows=5")</f>
        <v>NVDA US Equity</v>
      </c>
      <c r="DV5" t="str">
        <f>_xll.BDS("CSCO US Equity","SUPPLY_CHAIN_CUSTOMERS","RELATIONSHIP_AS_OF_DATE","20170124","cols=1;rows=5")</f>
        <v>SNX US Equity</v>
      </c>
      <c r="EA5" t="str">
        <f>_xll.BDS("CUZ US Equity","SUPPLY_CHAIN_SUPPLIERS","RELATIONSHIP_AS_OF_DATE","20160429")</f>
        <v>PCOR US Equity</v>
      </c>
      <c r="EF5" t="str">
        <f>_xll.BDS("CUZ US Equity","SUPPLY_CHAIN_CUSTOMERS","RELATIONSHIP_AS_OF_DATE","20160429","cols=1;rows=5")</f>
        <v>AMZN US Equity</v>
      </c>
      <c r="EK5" t="str">
        <f>_xll.BDS("CMI US Equity","SUPPLY_CHAIN_SUPPLIERS","RELATIONSHIP_AS_OF_DATE","20220222","cols=1;rows=5")</f>
        <v>TKA GR Equity</v>
      </c>
      <c r="EP5" t="str">
        <f>_xll.BDS("CMI US Equity","SUPPLY_CHAIN_CUSTOMERS","RELATIONSHIP_AS_OF_DATE","20220222","cols=1;rows=5")</f>
        <v>PCAR US Equity</v>
      </c>
      <c r="EU5" t="str">
        <f>_xll.BDS("582663Q US Equity","SUPPLY_CHAIN_SUPPLIERS","RELATIONSHIP_AS_OF_DATE","20050118")</f>
        <v>#N/A N/A</v>
      </c>
      <c r="EZ5" t="str">
        <f>_xll.BDS("582663Q US Equity","SUPPLY_CHAIN_CUSTOMERS","RELATIONSHIP_AS_OF_DATE","20050118")</f>
        <v>#N/A N/A</v>
      </c>
      <c r="FE5" t="str">
        <f>_xll.BDS("MDRIQ US Equity","SUPPLY_CHAIN_SUPPLIERS","RELATIONSHIP_AS_OF_DATE","20171218","cols=1;rows=5")</f>
        <v>091090 KS Equity</v>
      </c>
      <c r="FJ5" t="str">
        <f>_xll.BDS("MDRIQ US Equity","SUPPLY_CHAIN_CUSTOMERS","RELATIONSHIP_AS_OF_DATE","20171218","cols=1;rows=5")</f>
        <v>16453Z QD Equity</v>
      </c>
      <c r="FO5" t="str">
        <f>_xll.BDS("NXST US Equity","SUPPLY_CHAIN_SUPPLIERS","RELATIONSHIP_AS_OF_DATE","20150928","cols=1;rows=5")</f>
        <v>DLB US Equity</v>
      </c>
      <c r="FT5" t="str">
        <f>_xll.BDS("NXST US Equity","SUPPLY_CHAIN_CUSTOMERS","RELATIONSHIP_AS_OF_DATE","20150928","cols=1;rows=5")</f>
        <v>3276470Z US Equity</v>
      </c>
      <c r="FY5" t="str">
        <f>_xll.BDS("FSK US Equity","SUPPLY_CHAIN_SUPPLIERS","RELATIONSHIP_AS_OF_DATE","20180723")</f>
        <v>#N/A N/A</v>
      </c>
      <c r="GD5" t="str">
        <f>_xll.BDS("FSK US Equity","SUPPLY_CHAIN_CUSTOMERS","RELATIONSHIP_AS_OF_DATE","20180723")</f>
        <v>#N/A N/A</v>
      </c>
      <c r="GI5" t="str">
        <f>_xll.BDS("WLK US Equity","SUPPLY_CHAIN_SUPPLIERS","RELATIONSHIP_AS_OF_DATE","20160610","cols=1;rows=5")</f>
        <v>WLKP US Equity</v>
      </c>
      <c r="GN5" t="str">
        <f>_xll.BDS("WLK US Equity","SUPPLY_CHAIN_CUSTOMERS","RELATIONSHIP_AS_OF_DATE","20160610","cols=1;rows=5")</f>
        <v>HD US Equity</v>
      </c>
      <c r="GS5" t="str">
        <f>_xll.BDS("SLG US Equity","SUPPLY_CHAIN_SUPPLIERS","RELATIONSHIP_AS_OF_DATE","20060803","cols=1;rows=4")</f>
        <v>0155090D US Equity</v>
      </c>
      <c r="GX5" t="str">
        <f>_xll.BDS("SLG US Equity","SUPPLY_CHAIN_CUSTOMERS","RELATIONSHIP_AS_OF_DATE","20060803","cols=1;rows=5")</f>
        <v>PSKY US Equity</v>
      </c>
      <c r="HC5" t="str">
        <f>_xll.BDS("SPG US Equity","SUPPLY_CHAIN_SUPPLIERS","RELATIONSHIP_AS_OF_DATE","20040621","cols=1;rows=4")</f>
        <v>420 HK Equity</v>
      </c>
      <c r="HH5" t="str">
        <f>_xll.BDS("SPG US Equity","SUPPLY_CHAIN_CUSTOMERS","RELATIONSHIP_AS_OF_DATE","20040621","cols=1;rows=5")</f>
        <v>GAP US Equity</v>
      </c>
      <c r="HM5" t="str">
        <f>_xll.BDS("T US Equity","SUPPLY_CHAIN_SUPPLIERS","RELATIONSHIP_AS_OF_DATE","20000222","cols=1;rows=5")</f>
        <v>AAPL US Equity</v>
      </c>
      <c r="HR5" t="str">
        <f>_xll.BDS("T US Equity","SUPPLY_CHAIN_CUSTOMERS","RELATIONSHIP_AS_OF_DATE","20000222","cols=1;rows=5")</f>
        <v>IBM US Equity</v>
      </c>
      <c r="HW5" t="str">
        <f>_xll.BDS("SLB US Equity","SUPPLY_CHAIN_SUPPLIERS","RELATIONSHIP_AS_OF_DATE","19980619","cols=1;rows=5")</f>
        <v>ARABIAND AB Equity</v>
      </c>
      <c r="IB5" t="str">
        <f>_xll.BDS("SLB US Equity","SUPPLY_CHAIN_CUSTOMERS","RELATIONSHIP_AS_OF_DATE","19980619","cols=1;rows=5")</f>
        <v>PETR4 BZ Equity</v>
      </c>
      <c r="IG5" t="str">
        <f>_xll.BDS("nan Equity","SUPPLY_CHAIN_SUPPLIERS","RELATIONSHIP_AS_OF_DATE","20070129")</f>
        <v>#N/A N/A</v>
      </c>
      <c r="IL5" t="str">
        <f>_xll.BDS("nan Equity","SUPPLY_CHAIN_CUSTOMERS","RELATIONSHIP_AS_OF_DATE","20070129")</f>
        <v>#N/A N/A</v>
      </c>
      <c r="IQ5" t="str">
        <f>_xll.BDS("nan Equity","SUPPLY_CHAIN_SUPPLIERS","RELATIONSHIP_AS_OF_DATE","20111003")</f>
        <v>#N/A N/A</v>
      </c>
      <c r="IV5" t="str">
        <f>_xll.BDS("nan Equity","SUPPLY_CHAIN_CUSTOMERS","RELATIONSHIP_AS_OF_DATE","20111003")</f>
        <v>#N/A N/A</v>
      </c>
      <c r="JA5" t="str">
        <f>_xll.BDS("FIS US Equity","SUPPLY_CHAIN_SUPPLIERS","RELATIONSHIP_AS_OF_DATE","20060625","cols=1;rows=5")</f>
        <v>HPE US Equity</v>
      </c>
      <c r="JF5" t="str">
        <f>_xll.BDS("FIS US Equity","SUPPLY_CHAIN_CUSTOMERS","RELATIONSHIP_AS_OF_DATE","20060625","cols=1;rows=5")</f>
        <v>IBM US Equity</v>
      </c>
      <c r="JK5" t="str">
        <f>_xll.BDS("ABT US Equity","SUPPLY_CHAIN_SUPPLIERS","RELATIONSHIP_AS_OF_DATE","20061106","cols=1;rows=5")</f>
        <v>MSFT US Equity</v>
      </c>
      <c r="JP5" t="str">
        <f>_xll.BDS("ABT US Equity","SUPPLY_CHAIN_CUSTOMERS","RELATIONSHIP_AS_OF_DATE","20061106","cols=1;rows=5")</f>
        <v>SNX US Equity</v>
      </c>
      <c r="JU5" t="str">
        <f>_xll.BDS("HD US Equity","SUPPLY_CHAIN_SUPPLIERS","RELATIONSHIP_AS_OF_DATE","20060110","cols=1;rows=5")</f>
        <v>669 HK Equity</v>
      </c>
      <c r="JZ5" t="str">
        <f>_xll.BDS("HD US Equity","SUPPLY_CHAIN_CUSTOMERS","RELATIONSHIP_AS_OF_DATE","20060110","cols=1;rows=5")</f>
        <v>603201 CH Equity</v>
      </c>
      <c r="KE5" t="str">
        <f>_xll.BDS("AMGN US Equity","SUPPLY_CHAIN_SUPPLIERS","RELATIONSHIP_AS_OF_DATE","20220804","cols=1;rows=5")</f>
        <v>AZN LN Equity</v>
      </c>
      <c r="KJ5" t="str">
        <f>_xll.BDS("AMGN US Equity","SUPPLY_CHAIN_CUSTOMERS","RELATIONSHIP_AS_OF_DATE","20220804","cols=1;rows=5")</f>
        <v>MCK US Equity</v>
      </c>
      <c r="KO5" t="str">
        <f>_xll.BDS("CBOE US Equity","SUPPLY_CHAIN_SUPPLIERS","RELATIONSHIP_AS_OF_DATE","20160926","cols=1;rows=2")</f>
        <v>3747 JP Equity</v>
      </c>
      <c r="KT5" t="str">
        <f>_xll.BDS("CBOE US Equity","SUPPLY_CHAIN_CUSTOMERS","RELATIONSHIP_AS_OF_DATE","20160926")</f>
        <v>ONCO CN Equity</v>
      </c>
      <c r="KY5" t="str">
        <f>_xll.BDS("TFC US Equity","SUPPLY_CHAIN_SUPPLIERS","RELATIONSHIP_AS_OF_DATE","20030121","cols=1;rows=5")</f>
        <v>ADBE US Equity</v>
      </c>
      <c r="LD5" t="str">
        <f>_xll.BDS("TFC US Equity","SUPPLY_CHAIN_CUSTOMERS","RELATIONSHIP_AS_OF_DATE","20030121")</f>
        <v>RENG IN Equity</v>
      </c>
      <c r="LI5" t="str">
        <f>_xll.BDS("ARCC US Equity","SUPPLY_CHAIN_SUPPLIERS","RELATIONSHIP_AS_OF_DATE","20160523")</f>
        <v>NEWT US Equity</v>
      </c>
      <c r="LN5" t="str">
        <f>_xll.BDS("ARCC US Equity","SUPPLY_CHAIN_CUSTOMERS","RELATIONSHIP_AS_OF_DATE","20160523")</f>
        <v>DKS US Equity</v>
      </c>
      <c r="LS5" t="str">
        <f>_xll.BDS("WELL US Equity","SUPPLY_CHAIN_SUPPLIERS","RELATIONSHIP_AS_OF_DATE","20180425","cols=1;rows=2")</f>
        <v>OHI US Equity</v>
      </c>
      <c r="LX5" t="str">
        <f>_xll.BDS("WELL US Equity","SUPPLY_CHAIN_CUSTOMERS","RELATIONSHIP_AS_OF_DATE","20180425","cols=1;rows=5")</f>
        <v>SRZ US Equity</v>
      </c>
      <c r="MC5" t="str">
        <f>_xll.BDS("FITB US Equity","SUPPLY_CHAIN_SUPPLIERS","RELATIONSHIP_AS_OF_DATE","20001120","cols=1;rows=5")</f>
        <v>004800 KS Equity</v>
      </c>
      <c r="MH5" t="str">
        <f>_xll.BDS("FITB US Equity","SUPPLY_CHAIN_CUSTOMERS","RELATIONSHIP_AS_OF_DATE","20001120")</f>
        <v>USIO US Equity</v>
      </c>
      <c r="MM5" t="str">
        <f>_xll.BDS("BRCM US Equity","SUPPLY_CHAIN_SUPPLIERS","RELATIONSHIP_AS_OF_DATE","20110912")</f>
        <v>#N/A N/A</v>
      </c>
      <c r="MR5" t="str">
        <f>_xll.BDS("BRCM US Equity","SUPPLY_CHAIN_CUSTOMERS","RELATIONSHIP_AS_OF_DATE","20110912")</f>
        <v>#N/A N/A</v>
      </c>
      <c r="MW5" t="str">
        <f>_xll.BDS("1255173D US Equity","SUPPLY_CHAIN_SUPPLIERS","RELATIONSHIP_AS_OF_DATE","20050912")</f>
        <v>#N/A N/A</v>
      </c>
      <c r="NB5" t="str">
        <f>_xll.BDS("1255173D US Equity","SUPPLY_CHAIN_CUSTOMERS","RELATIONSHIP_AS_OF_DATE","20050912")</f>
        <v>#N/A N/A</v>
      </c>
      <c r="NG5" t="str">
        <f>_xll.BDS("BDN US Equity","SUPPLY_CHAIN_SUPPLIERS","RELATIONSHIP_AS_OF_DATE","20051003")</f>
        <v>#N/A N/A</v>
      </c>
      <c r="NL5" t="str">
        <f>_xll.BDS("BDN US Equity","SUPPLY_CHAIN_CUSTOMERS","RELATIONSHIP_AS_OF_DATE","20051003","cols=1;rows=5")</f>
        <v>IBM US Equity</v>
      </c>
      <c r="NQ5" t="str">
        <f>_xll.BDS("0544749D US Equity","SUPPLY_CHAIN_SUPPLIERS","RELATIONSHIP_AS_OF_DATE","20040407")</f>
        <v>#N/A N/A</v>
      </c>
      <c r="NV5" t="str">
        <f>_xll.BDS("0544749D US Equity","SUPPLY_CHAIN_CUSTOMERS","RELATIONSHIP_AS_OF_DATE","20040407")</f>
        <v>#N/A N/A</v>
      </c>
      <c r="OA5" t="str">
        <f>_xll.BDS("DVN US Equity","SUPPLY_CHAIN_SUPPLIERS","RELATIONSHIP_AS_OF_DATE","20010814","cols=1;rows=5")</f>
        <v>AROC US Equity</v>
      </c>
      <c r="OF5" t="str">
        <f>_xll.BDS("DVN US Equity","SUPPLY_CHAIN_CUSTOMERS","RELATIONSHIP_AS_OF_DATE","20010814")</f>
        <v>CNA LN Equity</v>
      </c>
    </row>
    <row r="6" spans="1:396" x14ac:dyDescent="0.25">
      <c r="A6" t="s">
        <v>12746</v>
      </c>
      <c r="F6" t="s">
        <v>41</v>
      </c>
      <c r="U6" t="s">
        <v>10734</v>
      </c>
      <c r="Z6" t="s">
        <v>2881</v>
      </c>
      <c r="AE6" t="s">
        <v>7544</v>
      </c>
      <c r="AJ6" t="s">
        <v>11020</v>
      </c>
      <c r="AO6" t="s">
        <v>13226</v>
      </c>
      <c r="AT6" t="s">
        <v>13034</v>
      </c>
      <c r="BI6" t="s">
        <v>1548</v>
      </c>
      <c r="BN6" t="s">
        <v>12975</v>
      </c>
      <c r="BS6" t="s">
        <v>12934</v>
      </c>
      <c r="BX6" t="s">
        <v>12937</v>
      </c>
      <c r="CC6" t="s">
        <v>7475</v>
      </c>
      <c r="DG6" t="s">
        <v>368</v>
      </c>
      <c r="DL6" t="s">
        <v>385</v>
      </c>
      <c r="DQ6" t="s">
        <v>11089</v>
      </c>
      <c r="DV6" t="s">
        <v>266</v>
      </c>
      <c r="EF6" t="s">
        <v>2705</v>
      </c>
      <c r="EK6" t="s">
        <v>13279</v>
      </c>
      <c r="EP6" t="s">
        <v>12821</v>
      </c>
      <c r="FE6" t="s">
        <v>10696</v>
      </c>
      <c r="FJ6" t="s">
        <v>12426</v>
      </c>
      <c r="FO6" t="s">
        <v>13277</v>
      </c>
      <c r="FT6" t="s">
        <v>13258</v>
      </c>
      <c r="GI6" t="s">
        <v>11449</v>
      </c>
      <c r="GN6" t="s">
        <v>673</v>
      </c>
      <c r="GS6" t="s">
        <v>13112</v>
      </c>
      <c r="GX6" t="s">
        <v>13077</v>
      </c>
      <c r="HC6" t="s">
        <v>13194</v>
      </c>
      <c r="HH6" t="s">
        <v>13047</v>
      </c>
      <c r="HM6" t="s">
        <v>10892</v>
      </c>
      <c r="HR6" t="s">
        <v>2881</v>
      </c>
      <c r="HW6" t="s">
        <v>11846</v>
      </c>
      <c r="IB6" t="s">
        <v>11808</v>
      </c>
      <c r="JA6" t="s">
        <v>11099</v>
      </c>
      <c r="JF6" t="s">
        <v>12480</v>
      </c>
      <c r="JK6" t="s">
        <v>10838</v>
      </c>
      <c r="JP6" t="s">
        <v>6626</v>
      </c>
      <c r="JU6" t="s">
        <v>11717</v>
      </c>
      <c r="JZ6" t="s">
        <v>11432</v>
      </c>
      <c r="KE6" t="s">
        <v>10817</v>
      </c>
      <c r="KJ6" t="s">
        <v>1468</v>
      </c>
      <c r="KO6" t="s">
        <v>13042</v>
      </c>
      <c r="KY6" t="s">
        <v>11371</v>
      </c>
      <c r="LS6" t="s">
        <v>12209</v>
      </c>
      <c r="LX6" t="s">
        <v>12584</v>
      </c>
      <c r="MC6" t="s">
        <v>4388</v>
      </c>
      <c r="NL6" t="s">
        <v>11018</v>
      </c>
      <c r="OA6" t="s">
        <v>11464</v>
      </c>
    </row>
    <row r="7" spans="1:396" x14ac:dyDescent="0.25">
      <c r="A7" t="s">
        <v>12747</v>
      </c>
      <c r="F7" t="s">
        <v>49</v>
      </c>
      <c r="U7" t="s">
        <v>10858</v>
      </c>
      <c r="Z7" t="s">
        <v>4139</v>
      </c>
      <c r="AE7" t="s">
        <v>11054</v>
      </c>
      <c r="AJ7" t="s">
        <v>11021</v>
      </c>
      <c r="AO7" t="s">
        <v>972</v>
      </c>
      <c r="AT7" t="s">
        <v>13035</v>
      </c>
      <c r="BI7" t="s">
        <v>10738</v>
      </c>
      <c r="BN7" t="s">
        <v>11442</v>
      </c>
      <c r="BS7" t="s">
        <v>12935</v>
      </c>
      <c r="BX7" t="s">
        <v>12938</v>
      </c>
      <c r="CC7" t="s">
        <v>11729</v>
      </c>
      <c r="DG7" t="s">
        <v>11467</v>
      </c>
      <c r="DL7" t="s">
        <v>970</v>
      </c>
      <c r="DQ7" t="s">
        <v>11090</v>
      </c>
      <c r="DV7" t="s">
        <v>10892</v>
      </c>
      <c r="EF7" t="s">
        <v>3162</v>
      </c>
      <c r="EK7" t="s">
        <v>12491</v>
      </c>
      <c r="EP7" t="s">
        <v>12685</v>
      </c>
      <c r="FE7" t="s">
        <v>12843</v>
      </c>
      <c r="FJ7" t="s">
        <v>12427</v>
      </c>
      <c r="FO7" t="s">
        <v>13278</v>
      </c>
      <c r="FT7" t="s">
        <v>49</v>
      </c>
      <c r="GI7" t="s">
        <v>12112</v>
      </c>
      <c r="GN7" t="s">
        <v>3069</v>
      </c>
      <c r="GS7" t="s">
        <v>165</v>
      </c>
      <c r="GX7" t="s">
        <v>13078</v>
      </c>
      <c r="HC7" t="s">
        <v>13195</v>
      </c>
      <c r="HH7" t="s">
        <v>2033</v>
      </c>
      <c r="HM7" t="s">
        <v>10738</v>
      </c>
      <c r="HR7" t="s">
        <v>10680</v>
      </c>
      <c r="HW7" t="s">
        <v>266</v>
      </c>
      <c r="IB7" t="s">
        <v>11809</v>
      </c>
      <c r="JA7" t="s">
        <v>11286</v>
      </c>
      <c r="JF7" t="s">
        <v>11294</v>
      </c>
      <c r="JK7" t="s">
        <v>10814</v>
      </c>
      <c r="JP7" t="s">
        <v>12013</v>
      </c>
      <c r="JU7" t="s">
        <v>1274</v>
      </c>
      <c r="JZ7" t="s">
        <v>11704</v>
      </c>
      <c r="KE7" t="s">
        <v>10816</v>
      </c>
      <c r="KJ7" t="s">
        <v>970</v>
      </c>
      <c r="KY7" t="s">
        <v>10986</v>
      </c>
      <c r="LX7" t="s">
        <v>12585</v>
      </c>
      <c r="MC7" t="s">
        <v>11522</v>
      </c>
      <c r="NL7" t="s">
        <v>1175</v>
      </c>
      <c r="OA7" t="s">
        <v>11312</v>
      </c>
    </row>
    <row r="8" spans="1:396" x14ac:dyDescent="0.25">
      <c r="A8" t="s">
        <v>12748</v>
      </c>
      <c r="F8" t="s">
        <v>12127</v>
      </c>
      <c r="U8" t="s">
        <v>10859</v>
      </c>
      <c r="Z8" t="s">
        <v>10660</v>
      </c>
      <c r="AE8" t="s">
        <v>11055</v>
      </c>
      <c r="AJ8" t="s">
        <v>11022</v>
      </c>
      <c r="AO8" t="s">
        <v>1654</v>
      </c>
      <c r="AT8" t="s">
        <v>13036</v>
      </c>
      <c r="BI8" t="s">
        <v>12707</v>
      </c>
      <c r="BN8" t="s">
        <v>12293</v>
      </c>
      <c r="BS8" t="s">
        <v>12936</v>
      </c>
      <c r="BX8" t="s">
        <v>12939</v>
      </c>
      <c r="CC8" t="s">
        <v>10793</v>
      </c>
      <c r="DG8" t="s">
        <v>11468</v>
      </c>
      <c r="DL8" t="s">
        <v>43</v>
      </c>
      <c r="DQ8" t="s">
        <v>10734</v>
      </c>
      <c r="DV8" t="s">
        <v>469</v>
      </c>
      <c r="EF8" t="s">
        <v>47</v>
      </c>
      <c r="EK8" t="s">
        <v>13280</v>
      </c>
      <c r="EP8" t="s">
        <v>12050</v>
      </c>
      <c r="FE8" t="s">
        <v>158</v>
      </c>
      <c r="FJ8" t="s">
        <v>12428</v>
      </c>
      <c r="FO8" t="s">
        <v>12482</v>
      </c>
      <c r="FT8" t="s">
        <v>5670</v>
      </c>
      <c r="GI8" t="s">
        <v>13241</v>
      </c>
      <c r="GN8" t="s">
        <v>13135</v>
      </c>
      <c r="GS8" t="s">
        <v>13113</v>
      </c>
      <c r="GX8" t="s">
        <v>10912</v>
      </c>
      <c r="HC8" t="s">
        <v>13196</v>
      </c>
      <c r="HH8" t="s">
        <v>3074</v>
      </c>
      <c r="HM8" t="s">
        <v>670</v>
      </c>
      <c r="HR8" t="s">
        <v>3519</v>
      </c>
      <c r="HW8" t="s">
        <v>11847</v>
      </c>
      <c r="IB8" t="s">
        <v>11711</v>
      </c>
      <c r="JA8" t="s">
        <v>12769</v>
      </c>
      <c r="JF8" t="s">
        <v>2881</v>
      </c>
      <c r="JK8" t="s">
        <v>11414</v>
      </c>
      <c r="JP8" t="s">
        <v>12014</v>
      </c>
      <c r="JU8" t="s">
        <v>11194</v>
      </c>
      <c r="JZ8" t="s">
        <v>11705</v>
      </c>
      <c r="KE8" t="s">
        <v>2785</v>
      </c>
      <c r="KJ8" t="s">
        <v>51</v>
      </c>
      <c r="KY8" t="s">
        <v>11372</v>
      </c>
      <c r="LX8" t="s">
        <v>12586</v>
      </c>
      <c r="MC8" t="s">
        <v>11523</v>
      </c>
      <c r="NL8" t="s">
        <v>13092</v>
      </c>
      <c r="OA8" t="s">
        <v>13129</v>
      </c>
    </row>
    <row r="9" spans="1:396" x14ac:dyDescent="0.25">
      <c r="A9" t="s">
        <v>12749</v>
      </c>
      <c r="F9" t="s">
        <v>12128</v>
      </c>
      <c r="U9" t="s">
        <v>10860</v>
      </c>
      <c r="Z9" t="s">
        <v>10808</v>
      </c>
      <c r="AE9" t="s">
        <v>11056</v>
      </c>
      <c r="AJ9" t="s">
        <v>11023</v>
      </c>
      <c r="AO9" t="s">
        <v>7475</v>
      </c>
      <c r="AT9" t="s">
        <v>13037</v>
      </c>
      <c r="BI9" t="s">
        <v>12084</v>
      </c>
      <c r="BN9" t="s">
        <v>12976</v>
      </c>
      <c r="BS9" t="s">
        <v>10741</v>
      </c>
      <c r="BX9" t="s">
        <v>12940</v>
      </c>
      <c r="CC9" t="s">
        <v>10772</v>
      </c>
      <c r="DG9" t="s">
        <v>11159</v>
      </c>
      <c r="DL9" t="s">
        <v>11467</v>
      </c>
      <c r="DQ9" t="s">
        <v>11170</v>
      </c>
      <c r="DV9" t="s">
        <v>41</v>
      </c>
      <c r="EF9" t="s">
        <v>165</v>
      </c>
      <c r="EK9" t="s">
        <v>12665</v>
      </c>
      <c r="EP9" t="s">
        <v>13240</v>
      </c>
      <c r="FE9" t="s">
        <v>693</v>
      </c>
      <c r="FJ9" t="s">
        <v>12429</v>
      </c>
      <c r="FO9" t="s">
        <v>9766</v>
      </c>
      <c r="FT9" t="s">
        <v>1175</v>
      </c>
      <c r="GI9" t="s">
        <v>13242</v>
      </c>
      <c r="GN9" t="s">
        <v>3239</v>
      </c>
      <c r="GX9" t="s">
        <v>12978</v>
      </c>
      <c r="HH9" t="s">
        <v>12797</v>
      </c>
      <c r="HM9" t="s">
        <v>6724</v>
      </c>
      <c r="HR9" t="s">
        <v>11366</v>
      </c>
      <c r="HW9" t="s">
        <v>11848</v>
      </c>
      <c r="IB9" t="s">
        <v>11540</v>
      </c>
      <c r="JA9" t="s">
        <v>12982</v>
      </c>
      <c r="JF9" t="s">
        <v>11131</v>
      </c>
      <c r="JK9" t="s">
        <v>2509</v>
      </c>
      <c r="JP9" t="s">
        <v>12015</v>
      </c>
      <c r="JU9" t="s">
        <v>10967</v>
      </c>
      <c r="JZ9" t="s">
        <v>11706</v>
      </c>
      <c r="KE9" t="s">
        <v>772</v>
      </c>
      <c r="KJ9" t="s">
        <v>12323</v>
      </c>
      <c r="KY9" t="s">
        <v>10987</v>
      </c>
      <c r="LX9" t="s">
        <v>12587</v>
      </c>
      <c r="MC9" t="s">
        <v>8762</v>
      </c>
      <c r="NL9" t="s">
        <v>13093</v>
      </c>
      <c r="OA9" t="s">
        <v>11842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1594</v>
      </c>
      <c r="K1" s="1" t="s">
        <v>1595</v>
      </c>
      <c r="U1" s="1" t="s">
        <v>1596</v>
      </c>
      <c r="AE1" s="1" t="s">
        <v>1597</v>
      </c>
      <c r="AO1" s="1" t="s">
        <v>1598</v>
      </c>
      <c r="AY1" s="1" t="s">
        <v>1599</v>
      </c>
      <c r="BI1" s="1" t="s">
        <v>1600</v>
      </c>
      <c r="BS1" s="1" t="s">
        <v>1601</v>
      </c>
      <c r="CC1" s="1" t="s">
        <v>1602</v>
      </c>
      <c r="CM1" s="1" t="s">
        <v>1603</v>
      </c>
      <c r="CW1" s="1" t="s">
        <v>1604</v>
      </c>
      <c r="DG1" s="1" t="s">
        <v>1605</v>
      </c>
      <c r="DQ1" s="1" t="s">
        <v>1606</v>
      </c>
      <c r="EA1" s="1" t="s">
        <v>1607</v>
      </c>
      <c r="EK1" s="1" t="s">
        <v>1608</v>
      </c>
      <c r="EU1" s="1" t="s">
        <v>1609</v>
      </c>
      <c r="FE1" s="1" t="s">
        <v>1610</v>
      </c>
      <c r="FO1" s="1" t="s">
        <v>1611</v>
      </c>
      <c r="FY1" s="1" t="s">
        <v>1612</v>
      </c>
      <c r="GI1" s="1" t="s">
        <v>1613</v>
      </c>
      <c r="GS1" s="1" t="s">
        <v>1614</v>
      </c>
      <c r="HC1" s="1" t="s">
        <v>1615</v>
      </c>
      <c r="HM1" s="1" t="s">
        <v>1616</v>
      </c>
      <c r="HW1" s="1" t="s">
        <v>1617</v>
      </c>
      <c r="IG1" s="1" t="s">
        <v>1618</v>
      </c>
      <c r="IQ1" s="1" t="s">
        <v>1619</v>
      </c>
      <c r="JA1" s="1" t="s">
        <v>1620</v>
      </c>
      <c r="JK1" s="1" t="s">
        <v>1621</v>
      </c>
      <c r="JU1" s="1" t="s">
        <v>1622</v>
      </c>
      <c r="KE1" s="1" t="s">
        <v>1623</v>
      </c>
      <c r="KO1" s="1" t="s">
        <v>1624</v>
      </c>
      <c r="KY1" s="1" t="s">
        <v>1625</v>
      </c>
      <c r="LI1" s="1" t="s">
        <v>1626</v>
      </c>
      <c r="LS1" s="1" t="s">
        <v>1627</v>
      </c>
      <c r="MC1" s="1" t="s">
        <v>1628</v>
      </c>
      <c r="MM1" s="1" t="s">
        <v>1629</v>
      </c>
      <c r="MW1" s="1" t="s">
        <v>1630</v>
      </c>
      <c r="NG1" s="1" t="s">
        <v>1631</v>
      </c>
      <c r="NQ1" s="1" t="s">
        <v>1632</v>
      </c>
      <c r="OA1" s="1" t="s">
        <v>1633</v>
      </c>
    </row>
    <row r="2" spans="1:396" x14ac:dyDescent="0.25">
      <c r="A2" s="2" t="s">
        <v>1634</v>
      </c>
      <c r="K2" s="2" t="s">
        <v>1635</v>
      </c>
      <c r="U2" s="2" t="s">
        <v>1636</v>
      </c>
      <c r="AE2" s="2" t="s">
        <v>1637</v>
      </c>
      <c r="AO2" s="2" t="s">
        <v>64</v>
      </c>
      <c r="AY2" s="2" t="s">
        <v>369</v>
      </c>
      <c r="BI2" s="2" t="s">
        <v>1638</v>
      </c>
      <c r="BS2" s="2" t="s">
        <v>64</v>
      </c>
      <c r="CC2" s="2" t="s">
        <v>44</v>
      </c>
      <c r="CM2" s="2" t="s">
        <v>1639</v>
      </c>
      <c r="CW2" s="2" t="s">
        <v>1264</v>
      </c>
      <c r="DG2" s="2" t="s">
        <v>378</v>
      </c>
      <c r="DQ2" s="2" t="s">
        <v>1640</v>
      </c>
      <c r="EA2" s="2" t="s">
        <v>1641</v>
      </c>
      <c r="EK2" s="2" t="s">
        <v>389</v>
      </c>
      <c r="EU2" s="2" t="s">
        <v>1068</v>
      </c>
      <c r="FE2" s="2" t="s">
        <v>1642</v>
      </c>
      <c r="FO2" s="2" t="s">
        <v>1643</v>
      </c>
      <c r="FY2" s="2" t="s">
        <v>1644</v>
      </c>
      <c r="GI2" s="2" t="s">
        <v>1645</v>
      </c>
      <c r="GS2" s="2" t="s">
        <v>1164</v>
      </c>
      <c r="HC2" s="2" t="s">
        <v>586</v>
      </c>
      <c r="HM2" s="2" t="s">
        <v>1646</v>
      </c>
      <c r="HW2" s="2" t="s">
        <v>1647</v>
      </c>
      <c r="IG2" s="2" t="s">
        <v>1648</v>
      </c>
      <c r="IQ2" s="2" t="s">
        <v>1161</v>
      </c>
      <c r="JA2" s="2" t="s">
        <v>1649</v>
      </c>
      <c r="JK2" s="2" t="s">
        <v>66</v>
      </c>
      <c r="JU2" s="2" t="s">
        <v>1650</v>
      </c>
      <c r="KE2" s="2" t="s">
        <v>472</v>
      </c>
      <c r="KO2" s="2" t="s">
        <v>1651</v>
      </c>
      <c r="KY2" s="2" t="s">
        <v>1652</v>
      </c>
      <c r="LI2" s="2" t="s">
        <v>1653</v>
      </c>
      <c r="LS2" s="2" t="s">
        <v>161</v>
      </c>
      <c r="MC2" s="2" t="s">
        <v>1457</v>
      </c>
      <c r="MM2" s="2" t="s">
        <v>70</v>
      </c>
      <c r="MW2" s="2" t="s">
        <v>1654</v>
      </c>
      <c r="NG2" s="2" t="s">
        <v>1655</v>
      </c>
      <c r="NQ2" s="2" t="s">
        <v>1656</v>
      </c>
      <c r="OA2" s="2" t="s">
        <v>1657</v>
      </c>
    </row>
    <row r="3" spans="1:396" x14ac:dyDescent="0.25">
      <c r="A3" t="s">
        <v>1658</v>
      </c>
      <c r="K3" t="s">
        <v>1659</v>
      </c>
      <c r="U3" t="s">
        <v>1660</v>
      </c>
      <c r="AE3" t="s">
        <v>1661</v>
      </c>
      <c r="AO3" t="s">
        <v>1662</v>
      </c>
      <c r="AY3" t="s">
        <v>1663</v>
      </c>
      <c r="BI3" t="s">
        <v>1664</v>
      </c>
      <c r="BS3" t="s">
        <v>1665</v>
      </c>
      <c r="CC3" t="s">
        <v>1666</v>
      </c>
      <c r="CM3" t="s">
        <v>1667</v>
      </c>
      <c r="CW3" t="s">
        <v>1668</v>
      </c>
      <c r="DG3" t="s">
        <v>707</v>
      </c>
      <c r="DQ3" t="s">
        <v>1384</v>
      </c>
      <c r="EA3" t="s">
        <v>105</v>
      </c>
      <c r="EK3" t="s">
        <v>612</v>
      </c>
      <c r="EU3" t="s">
        <v>1669</v>
      </c>
      <c r="FE3" t="s">
        <v>1670</v>
      </c>
      <c r="FO3" t="s">
        <v>1671</v>
      </c>
      <c r="FY3" t="s">
        <v>1672</v>
      </c>
      <c r="GI3" t="s">
        <v>1673</v>
      </c>
      <c r="GS3" t="s">
        <v>1674</v>
      </c>
      <c r="HC3" t="s">
        <v>89</v>
      </c>
      <c r="HM3" t="s">
        <v>1675</v>
      </c>
      <c r="HW3" t="s">
        <v>1676</v>
      </c>
      <c r="IG3" t="s">
        <v>1677</v>
      </c>
      <c r="IQ3" t="s">
        <v>1678</v>
      </c>
      <c r="JA3" t="s">
        <v>1679</v>
      </c>
      <c r="JK3" t="s">
        <v>1680</v>
      </c>
      <c r="JU3" t="s">
        <v>1681</v>
      </c>
      <c r="KE3" t="s">
        <v>1682</v>
      </c>
      <c r="KO3" t="s">
        <v>1683</v>
      </c>
      <c r="KY3" t="s">
        <v>1684</v>
      </c>
      <c r="LI3" t="s">
        <v>1685</v>
      </c>
      <c r="LS3" t="s">
        <v>1686</v>
      </c>
      <c r="MC3" t="s">
        <v>428</v>
      </c>
      <c r="MM3" t="s">
        <v>1687</v>
      </c>
      <c r="MW3" t="s">
        <v>1688</v>
      </c>
      <c r="NG3" t="s">
        <v>1689</v>
      </c>
      <c r="NQ3" t="s">
        <v>1690</v>
      </c>
      <c r="OA3" t="s">
        <v>1691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_xll.BDS("1837572D US Equity","SUPPLY_CHAIN_SUPPLIERS","RELATIONSHIP_AS_OF_DATE","19990810")</f>
        <v>#N/A N/A</v>
      </c>
      <c r="F5" t="str">
        <f>_xll.BDS("1837572D US Equity","SUPPLY_CHAIN_CUSTOMERS","RELATIONSHIP_AS_OF_DATE","19990810")</f>
        <v>#N/A N/A</v>
      </c>
      <c r="K5" t="str">
        <f>_xll.BDS("THC US Equity","SUPPLY_CHAIN_SUPPLIERS","RELATIONSHIP_AS_OF_DATE","19941011","cols=1;rows=5")</f>
        <v>ORCL US Equity</v>
      </c>
      <c r="P5" t="str">
        <f>_xll.BDS("THC US Equity","SUPPLY_CHAIN_CUSTOMERS","RELATIONSHIP_AS_OF_DATE","19941011","cols=1;rows=3")</f>
        <v>0019676D US Equity</v>
      </c>
      <c r="U5" t="str">
        <f>_xll.BDS("ARI US Equity","SUPPLY_CHAIN_SUPPLIERS","RELATIONSHIP_AS_OF_DATE","20160226")</f>
        <v>#N/A N/A</v>
      </c>
      <c r="Z5" t="str">
        <f>_xll.BDS("ARI US Equity","SUPPLY_CHAIN_CUSTOMERS","RELATIONSHIP_AS_OF_DATE","20160226")</f>
        <v>#N/A N/A</v>
      </c>
      <c r="AE5" t="str">
        <f>_xll.BDS("1704453D US Equity","SUPPLY_CHAIN_SUPPLIERS","RELATIONSHIP_AS_OF_DATE","19990820")</f>
        <v>#N/A N/A</v>
      </c>
      <c r="AJ5" t="str">
        <f>_xll.BDS("1704453D US Equity","SUPPLY_CHAIN_CUSTOMERS","RELATIONSHIP_AS_OF_DATE","19990820")</f>
        <v>#N/A N/A</v>
      </c>
      <c r="AO5" t="str">
        <f>_xll.BDS("nan Equity","SUPPLY_CHAIN_SUPPLIERS","RELATIONSHIP_AS_OF_DATE","20070313")</f>
        <v>#N/A N/A</v>
      </c>
      <c r="AT5" t="str">
        <f>_xll.BDS("nan Equity","SUPPLY_CHAIN_CUSTOMERS","RELATIONSHIP_AS_OF_DATE","20070313")</f>
        <v>#N/A N/A</v>
      </c>
      <c r="AY5" t="str">
        <f>_xll.BDS("TRV US Equity","SUPPLY_CHAIN_SUPPLIERS","RELATIONSHIP_AS_OF_DATE","19980119","cols=1;rows=5")</f>
        <v>1892140D US Equity</v>
      </c>
      <c r="BD5" t="str">
        <f>_xll.BDS("TRV US Equity","SUPPLY_CHAIN_CUSTOMERS","RELATIONSHIP_AS_OF_DATE","19980119")</f>
        <v>#N/A N/A</v>
      </c>
      <c r="BI5" t="str">
        <f>_xll.BDS("NS US Equity","SUPPLY_CHAIN_SUPPLIERS","RELATIONSHIP_AS_OF_DATE","20041101","cols=1;rows=5")</f>
        <v>1623420D US Equity</v>
      </c>
      <c r="BN5" t="str">
        <f>_xll.BDS("NS US Equity","SUPPLY_CHAIN_CUSTOMERS","RELATIONSHIP_AS_OF_DATE","20041101","cols=1;rows=5")</f>
        <v>010060 KS Equity</v>
      </c>
      <c r="BS5" t="str">
        <f>_xll.BDS("nan Equity","SUPPLY_CHAIN_SUPPLIERS","RELATIONSHIP_AS_OF_DATE","20050307")</f>
        <v>#N/A N/A</v>
      </c>
      <c r="BX5" t="str">
        <f>_xll.BDS("nan Equity","SUPPLY_CHAIN_CUSTOMERS","RELATIONSHIP_AS_OF_DATE","20050307")</f>
        <v>#N/A N/A</v>
      </c>
      <c r="CC5" t="str">
        <f>_xll.BDS("PFE US Equity","SUPPLY_CHAIN_SUPPLIERS","RELATIONSHIP_AS_OF_DATE","20101012","cols=1;rows=5")</f>
        <v>BNTX US Equity</v>
      </c>
      <c r="CH5" t="str">
        <f>_xll.BDS("PFE US Equity","SUPPLY_CHAIN_CUSTOMERS","RELATIONSHIP_AS_OF_DATE","20101012","cols=1;rows=5")</f>
        <v>MCK US Equity</v>
      </c>
      <c r="CM5" t="str">
        <f>_xll.BDS("AMCC US Equity","SUPPLY_CHAIN_SUPPLIERS","RELATIONSHIP_AS_OF_DATE","20000828")</f>
        <v>#N/A N/A</v>
      </c>
      <c r="CR5" t="str">
        <f>_xll.BDS("AMCC US Equity","SUPPLY_CHAIN_CUSTOMERS","RELATIONSHIP_AS_OF_DATE","20000828")</f>
        <v>#N/A N/A</v>
      </c>
      <c r="CW5" t="str">
        <f>_xll.BDS("ATBA AV Equity","SUPPLY_CHAIN_SUPPLIERS","RELATIONSHIP_AS_OF_DATE","19990128","cols=1;rows=5")</f>
        <v>000676 CH Equity</v>
      </c>
      <c r="DB5" t="str">
        <f>_xll.BDS("ATBA AV Equity","SUPPLY_CHAIN_CUSTOMERS","RELATIONSHIP_AS_OF_DATE","19990128","cols=1;rows=5")</f>
        <v>066570 KS Equity</v>
      </c>
      <c r="DG5" t="str">
        <f>_xll.BDS("PEP US Equity","SUPPLY_CHAIN_SUPPLIERS","RELATIONSHIP_AS_OF_DATE","19980720","cols=1;rows=5")</f>
        <v>AMCR US Equity</v>
      </c>
      <c r="DL5" t="str">
        <f>_xll.BDS("PEP US Equity","SUPPLY_CHAIN_CUSTOMERS","RELATIONSHIP_AS_OF_DATE","19980720","cols=1;rows=5")</f>
        <v>WMT US Equity</v>
      </c>
      <c r="DQ5" t="str">
        <f>_xll.BDS("300583Q US Equity","SUPPLY_CHAIN_SUPPLIERS","RELATIONSHIP_AS_OF_DATE","19980504")</f>
        <v>#N/A N/A</v>
      </c>
      <c r="DV5" t="str">
        <f>_xll.BDS("300583Q US Equity","SUPPLY_CHAIN_CUSTOMERS","RELATIONSHIP_AS_OF_DATE","19980504")</f>
        <v>#N/A N/A</v>
      </c>
      <c r="EA5" t="str">
        <f>_xll.BDS("DYNIQ US Equity","SUPPLY_CHAIN_SUPPLIERS","RELATIONSHIP_AS_OF_DATE","19990614")</f>
        <v>#N/A N/A</v>
      </c>
      <c r="EF5" t="str">
        <f>_xll.BDS("DYNIQ US Equity","SUPPLY_CHAIN_CUSTOMERS","RELATIONSHIP_AS_OF_DATE","19990614")</f>
        <v>#N/A N/A</v>
      </c>
      <c r="EK5" t="str">
        <f>_xll.BDS("MPLX US Equity","SUPPLY_CHAIN_SUPPLIERS","RELATIONSHIP_AS_OF_DATE","20190508","cols=1;rows=5")</f>
        <v>DNOW US Equity</v>
      </c>
      <c r="EP5" t="str">
        <f>_xll.BDS("MPLX US Equity","SUPPLY_CHAIN_CUSTOMERS","RELATIONSHIP_AS_OF_DATE","20190508","cols=1;rows=3")</f>
        <v>MPC US Equity</v>
      </c>
      <c r="EU5" t="str">
        <f>_xll.BDS("HBAN US Equity","SUPPLY_CHAIN_SUPPLIERS","RELATIONSHIP_AS_OF_DATE","20061220","cols=1;rows=4")</f>
        <v>004800 KS Equity</v>
      </c>
      <c r="EZ5" t="str">
        <f>_xll.BDS("HBAN US Equity","SUPPLY_CHAIN_CUSTOMERS","RELATIONSHIP_AS_OF_DATE","20061220")</f>
        <v>#N/A N/A</v>
      </c>
      <c r="FE5" t="str">
        <f>_xll.BDS("SSB US Equity","SUPPLY_CHAIN_SUPPLIERS","RELATIONSHIP_AS_OF_DATE","20200127","cols=1;rows=4")</f>
        <v>BLND US Equity</v>
      </c>
      <c r="FJ5" t="str">
        <f>_xll.BDS("SSB US Equity","SUPPLY_CHAIN_CUSTOMERS","RELATIONSHIP_AS_OF_DATE","20200127")</f>
        <v>#N/A N/A</v>
      </c>
      <c r="FO5" t="str">
        <f>_xll.BDS("IT US Equity","SUPPLY_CHAIN_SUPPLIERS","RELATIONSHIP_AS_OF_DATE","20170105","cols=1;rows=5")</f>
        <v>000977 CH Equity</v>
      </c>
      <c r="FT5" t="str">
        <f>_xll.BDS("IT US Equity","SUPPLY_CHAIN_CUSTOMERS","RELATIONSHIP_AS_OF_DATE","20170105","cols=1;rows=5")</f>
        <v>294090 KS Equity</v>
      </c>
      <c r="FY5" t="str">
        <f>_xll.BDS("LQI US Equity","SUPPLY_CHAIN_SUPPLIERS","RELATIONSHIP_AS_OF_DATE","19980104")</f>
        <v>#N/A N/A</v>
      </c>
      <c r="GD5" t="str">
        <f>_xll.BDS("LQI US Equity","SUPPLY_CHAIN_CUSTOMERS","RELATIONSHIP_AS_OF_DATE","19980104")</f>
        <v>#N/A N/A</v>
      </c>
      <c r="GI5" t="str">
        <f>_xll.BDS("CHRD US Equity","SUPPLY_CHAIN_SUPPLIERS","RELATIONSHIP_AS_OF_DATE","20220307","cols=1;rows=5")</f>
        <v>DNOW US Equity</v>
      </c>
      <c r="GN5" t="str">
        <f>_xll.BDS("CHRD US Equity","SUPPLY_CHAIN_CUSTOMERS","RELATIONSHIP_AS_OF_DATE","20220307","cols=1;rows=4")</f>
        <v>PSX US Equity</v>
      </c>
      <c r="GS5" t="str">
        <f>_xll.BDS("GE US Equity","SUPPLY_CHAIN_SUPPLIERS","RELATIONSHIP_AS_OF_DATE","20130408","cols=1;rows=5")</f>
        <v>SAF FP Equity</v>
      </c>
      <c r="GX5" t="str">
        <f>_xll.BDS("GE US Equity","SUPPLY_CHAIN_CUSTOMERS","RELATIONSHIP_AS_OF_DATE","20130408","cols=1;rows=5")</f>
        <v>3352Z US Equity</v>
      </c>
      <c r="HC5" t="str">
        <f>_xll.BDS("MCHP US Equity","SUPPLY_CHAIN_SUPPLIERS","RELATIONSHIP_AS_OF_DATE","20151211","cols=1;rows=5")</f>
        <v>GFS US Equity</v>
      </c>
      <c r="HH5" t="str">
        <f>_xll.BDS("MCHP US Equity","SUPPLY_CHAIN_CUSTOMERS","RELATIONSHIP_AS_OF_DATE","20151211","cols=1;rows=5")</f>
        <v>ARW US Equity</v>
      </c>
      <c r="HM5" t="str">
        <f>_xll.BDS("XRX US Equity","SUPPLY_CHAIN_SUPPLIERS","RELATIONSHIP_AS_OF_DATE","20090928","cols=1;rows=5")</f>
        <v>4901 JP Equity</v>
      </c>
      <c r="HR5" t="str">
        <f>_xll.BDS("XRX US Equity","SUPPLY_CHAIN_CUSTOMERS","RELATIONSHIP_AS_OF_DATE","20090928","cols=1;rows=5")</f>
        <v>SNX US Equity</v>
      </c>
      <c r="HW5" t="str">
        <f>_xll.BDS("HFC US Equity","SUPPLY_CHAIN_SUPPLIERS","RELATIONSHIP_AS_OF_DATE","20171019")</f>
        <v>#N/A N/A</v>
      </c>
      <c r="IB5" t="str">
        <f>_xll.BDS("HFC US Equity","SUPPLY_CHAIN_CUSTOMERS","RELATIONSHIP_AS_OF_DATE","20171019")</f>
        <v>#N/A N/A</v>
      </c>
      <c r="IG5" t="str">
        <f>_xll.BDS("DCH US Equity","SUPPLY_CHAIN_SUPPLIERS","RELATIONSHIP_AS_OF_DATE","20161103","cols=1;rows=5")</f>
        <v>SKFB SS Equity</v>
      </c>
      <c r="IL5" t="str">
        <f>_xll.BDS("DCH US Equity","SUPPLY_CHAIN_CUSTOMERS","RELATIONSHIP_AS_OF_DATE","20161103","cols=1;rows=5")</f>
        <v>GM US Equity</v>
      </c>
      <c r="IQ5" t="str">
        <f>_xll.BDS("CEQP US Equity","SUPPLY_CHAIN_SUPPLIERS","RELATIONSHIP_AS_OF_DATE","20100809")</f>
        <v>#N/A N/A</v>
      </c>
      <c r="IV5" t="str">
        <f>_xll.BDS("CEQP US Equity","SUPPLY_CHAIN_CUSTOMERS","RELATIONSHIP_AS_OF_DATE","20100809")</f>
        <v>SPH US Equity</v>
      </c>
      <c r="JA5" t="str">
        <f>_xll.BDS("STJ US Equity","SUPPLY_CHAIN_SUPPLIERS","RELATIONSHIP_AS_OF_DATE","20150722")</f>
        <v>#N/A N/A</v>
      </c>
      <c r="JF5" t="str">
        <f>_xll.BDS("STJ US Equity","SUPPLY_CHAIN_CUSTOMERS","RELATIONSHIP_AS_OF_DATE","20150722")</f>
        <v>#N/A N/A</v>
      </c>
      <c r="JK5" t="str">
        <f>_xll.BDS("MDT US Equity","SUPPLY_CHAIN_SUPPLIERS","RELATIONSHIP_AS_OF_DATE","19981130","cols=1;rows=5")</f>
        <v>FLEX US Equity</v>
      </c>
      <c r="JP5" t="str">
        <f>_xll.BDS("MDT US Equity","SUPPLY_CHAIN_CUSTOMERS","RELATIONSHIP_AS_OF_DATE","19981130","cols=1;rows=5")</f>
        <v>4104 TT Equity</v>
      </c>
      <c r="JU5" t="str">
        <f>_xll.BDS("1810430D US Equity","SUPPLY_CHAIN_SUPPLIERS","RELATIONSHIP_AS_OF_DATE","20080603")</f>
        <v>#N/A N/A</v>
      </c>
      <c r="JZ5" t="str">
        <f>_xll.BDS("1810430D US Equity","SUPPLY_CHAIN_CUSTOMERS","RELATIONSHIP_AS_OF_DATE","20080603")</f>
        <v>#N/A N/A</v>
      </c>
      <c r="KE5" t="str">
        <f>_xll.BDS("UNH US Equity","SUPPLY_CHAIN_SUPPLIERS","RELATIONSHIP_AS_OF_DATE","20170109","cols=1;rows=5")</f>
        <v>VRTX US Equity</v>
      </c>
      <c r="KJ5" t="str">
        <f>_xll.BDS("UNH US Equity","SUPPLY_CHAIN_CUSTOMERS","RELATIONSHIP_AS_OF_DATE","20170109","cols=1;rows=5")</f>
        <v>9877893Z US Equity</v>
      </c>
      <c r="KO5" t="str">
        <f>_xll.BDS("9876555D US Equity","SUPPLY_CHAIN_SUPPLIERS","RELATIONSHIP_AS_OF_DATE","20071105")</f>
        <v>#N/A N/A</v>
      </c>
      <c r="KT5" t="str">
        <f>_xll.BDS("9876555D US Equity","SUPPLY_CHAIN_CUSTOMERS","RELATIONSHIP_AS_OF_DATE","20071105")</f>
        <v>#N/A N/A</v>
      </c>
      <c r="KY5" t="str">
        <f>_xll.BDS("UAL US Equity","SUPPLY_CHAIN_SUPPLIERS","RELATIONSHIP_AS_OF_DATE","20100503","cols=1;rows=5")</f>
        <v>BA US Equity</v>
      </c>
      <c r="LD5" t="str">
        <f>_xll.BDS("UAL US Equity","SUPPLY_CHAIN_CUSTOMERS","RELATIONSHIP_AS_OF_DATE","20100503","cols=1;rows=5")</f>
        <v>0219682Z US Equity</v>
      </c>
      <c r="LI5" t="str">
        <f>_xll.BDS("CBI US Equity","SUPPLY_CHAIN_SUPPLIERS","RELATIONSHIP_AS_OF_DATE","20120730","cols=1;rows=5")</f>
        <v>AEP US Equity</v>
      </c>
      <c r="LN5" t="str">
        <f>_xll.BDS("CBI US Equity","SUPPLY_CHAIN_CUSTOMERS","RELATIONSHIP_AS_OF_DATE","20120730","cols=1;rows=3")</f>
        <v>010950 KS Equity</v>
      </c>
      <c r="LS5" t="str">
        <f>_xll.BDS("BX US Equity","SUPPLY_CHAIN_SUPPLIERS","RELATIONSHIP_AS_OF_DATE","20050614","cols=1;rows=5")</f>
        <v>ORCL US Equity</v>
      </c>
      <c r="LX5" t="str">
        <f>_xll.BDS("BX US Equity","SUPPLY_CHAIN_CUSTOMERS","RELATIONSHIP_AS_OF_DATE","20050614","cols=1;rows=5")</f>
        <v>002284 CH Equity</v>
      </c>
      <c r="MC5" t="str">
        <f>_xll.BDS("NBL US Equity","SUPPLY_CHAIN_SUPPLIERS","RELATIONSHIP_AS_OF_DATE","20041216")</f>
        <v>#N/A N/A</v>
      </c>
      <c r="MH5" t="str">
        <f>_xll.BDS("NBL US Equity","SUPPLY_CHAIN_CUSTOMERS","RELATIONSHIP_AS_OF_DATE","20041216")</f>
        <v>#N/A N/A</v>
      </c>
      <c r="MM5" t="str">
        <f>_xll.BDS("0848680D US Equity","SUPPLY_CHAIN_SUPPLIERS","RELATIONSHIP_AS_OF_DATE","20121018")</f>
        <v>#N/A N/A</v>
      </c>
      <c r="MR5" t="str">
        <f>_xll.BDS("0848680D US Equity","SUPPLY_CHAIN_CUSTOMERS","RELATIONSHIP_AS_OF_DATE","20121018")</f>
        <v>#N/A N/A</v>
      </c>
      <c r="MW5" t="str">
        <f>_xll.BDS("ADBE US Equity","SUPPLY_CHAIN_SUPPLIERS","RELATIONSHIP_AS_OF_DATE","20050418","cols=1;rows=5")</f>
        <v>NVDA US Equity</v>
      </c>
      <c r="NB5" t="str">
        <f>_xll.BDS("ADBE US Equity","SUPPLY_CHAIN_CUSTOMERS","RELATIONSHIP_AS_OF_DATE","20050418","cols=1;rows=5")</f>
        <v>TSCO LN Equity</v>
      </c>
      <c r="NG5" t="str">
        <f>_xll.BDS("ARCH US Equity","SUPPLY_CHAIN_SUPPLIERS","RELATIONSHIP_AS_OF_DATE","20110502","cols=1;rows=5")</f>
        <v>AEE US Equity</v>
      </c>
      <c r="NL5" t="str">
        <f>_xll.BDS("ARCH US Equity","SUPPLY_CHAIN_CUSTOMERS","RELATIONSHIP_AS_OF_DATE","20110502","cols=1;rows=5")</f>
        <v>004020 KS Equity</v>
      </c>
      <c r="NQ5" t="str">
        <f>_xll.BDS("CAR US Equity","SUPPLY_CHAIN_SUPPLIERS","RELATIONSHIP_AS_OF_DATE","20010618","cols=1;rows=5")</f>
        <v>VRRM US Equity</v>
      </c>
      <c r="NV5" t="str">
        <f>_xll.BDS("CAR US Equity","SUPPLY_CHAIN_CUSTOMERS","RELATIONSHIP_AS_OF_DATE","20010618","cols=1;rows=5")</f>
        <v>EIH IN Equity</v>
      </c>
      <c r="OA5" t="str">
        <f>_xll.BDS("MAXR US Equity","SUPPLY_CHAIN_SUPPLIERS","RELATIONSHIP_AS_OF_DATE","20170224","cols=1;rows=5")</f>
        <v>ASTR US Equity</v>
      </c>
      <c r="OF5" t="str">
        <f>_xll.BDS("MAXR US Equity","SUPPLY_CHAIN_CUSTOMERS","RELATIONSHIP_AS_OF_DATE","20170224","cols=1;rows=5")</f>
        <v>0219682Z US Equity</v>
      </c>
    </row>
    <row r="6" spans="1:396" x14ac:dyDescent="0.25">
      <c r="K6" t="s">
        <v>882</v>
      </c>
      <c r="P6" t="s">
        <v>12634</v>
      </c>
      <c r="AY6" t="s">
        <v>11787</v>
      </c>
      <c r="BI6" t="s">
        <v>12551</v>
      </c>
      <c r="BN6" t="s">
        <v>12551</v>
      </c>
      <c r="CC6" t="s">
        <v>171</v>
      </c>
      <c r="CH6" t="s">
        <v>1468</v>
      </c>
      <c r="CW6" t="s">
        <v>11224</v>
      </c>
      <c r="DB6" t="s">
        <v>11195</v>
      </c>
      <c r="DG6" t="s">
        <v>11892</v>
      </c>
      <c r="DL6" t="s">
        <v>477</v>
      </c>
      <c r="EK6" t="s">
        <v>11449</v>
      </c>
      <c r="EP6" t="s">
        <v>12894</v>
      </c>
      <c r="EU6" t="s">
        <v>10713</v>
      </c>
      <c r="FE6" t="s">
        <v>10829</v>
      </c>
      <c r="FO6" t="s">
        <v>11073</v>
      </c>
      <c r="FT6" t="s">
        <v>11637</v>
      </c>
      <c r="GI6" t="s">
        <v>375</v>
      </c>
      <c r="GN6" t="s">
        <v>12682</v>
      </c>
      <c r="GS6" t="s">
        <v>11008</v>
      </c>
      <c r="GX6" t="s">
        <v>1363</v>
      </c>
      <c r="HC6" t="s">
        <v>11203</v>
      </c>
      <c r="HH6" t="s">
        <v>10659</v>
      </c>
      <c r="HM6" t="s">
        <v>10734</v>
      </c>
      <c r="HR6" t="s">
        <v>10955</v>
      </c>
      <c r="IG6" t="s">
        <v>13048</v>
      </c>
      <c r="IL6" t="s">
        <v>3875</v>
      </c>
      <c r="JK6" t="s">
        <v>11060</v>
      </c>
      <c r="JP6" t="s">
        <v>11016</v>
      </c>
      <c r="KE6" t="s">
        <v>10846</v>
      </c>
      <c r="KJ6" t="s">
        <v>10657</v>
      </c>
      <c r="KY6" t="s">
        <v>1164</v>
      </c>
      <c r="LD6" t="s">
        <v>13026</v>
      </c>
      <c r="LI6" t="s">
        <v>13172</v>
      </c>
      <c r="LN6" t="s">
        <v>11665</v>
      </c>
      <c r="LS6" t="s">
        <v>7544</v>
      </c>
      <c r="LX6" t="s">
        <v>11020</v>
      </c>
      <c r="MW6" t="s">
        <v>11065</v>
      </c>
      <c r="NB6" t="s">
        <v>2881</v>
      </c>
      <c r="NG6" t="s">
        <v>10696</v>
      </c>
      <c r="NL6" t="s">
        <v>12149</v>
      </c>
      <c r="NQ6" t="s">
        <v>12031</v>
      </c>
      <c r="NV6" t="s">
        <v>11677</v>
      </c>
      <c r="OA6" t="s">
        <v>13141</v>
      </c>
      <c r="OF6" t="s">
        <v>10778</v>
      </c>
    </row>
    <row r="7" spans="1:396" x14ac:dyDescent="0.25">
      <c r="K7" t="s">
        <v>3427</v>
      </c>
      <c r="P7" t="s">
        <v>10868</v>
      </c>
      <c r="AY7" t="s">
        <v>12188</v>
      </c>
      <c r="BI7" t="s">
        <v>12552</v>
      </c>
      <c r="BN7" t="s">
        <v>12552</v>
      </c>
      <c r="CC7" t="s">
        <v>10816</v>
      </c>
      <c r="CH7" t="s">
        <v>970</v>
      </c>
      <c r="CW7" t="s">
        <v>11225</v>
      </c>
      <c r="DB7" t="s">
        <v>11196</v>
      </c>
      <c r="DG7" t="s">
        <v>12861</v>
      </c>
      <c r="DL7" t="s">
        <v>469</v>
      </c>
      <c r="EK7" t="s">
        <v>578</v>
      </c>
      <c r="EP7" t="s">
        <v>13086</v>
      </c>
      <c r="EU7" t="s">
        <v>154</v>
      </c>
      <c r="FE7" t="s">
        <v>11242</v>
      </c>
      <c r="FO7" t="s">
        <v>11876</v>
      </c>
      <c r="FT7" t="s">
        <v>10657</v>
      </c>
      <c r="GI7" t="s">
        <v>12886</v>
      </c>
      <c r="GN7" t="s">
        <v>11312</v>
      </c>
      <c r="GS7" t="s">
        <v>11009</v>
      </c>
      <c r="GX7" t="s">
        <v>10939</v>
      </c>
      <c r="HC7" t="s">
        <v>3611</v>
      </c>
      <c r="HH7" t="s">
        <v>3519</v>
      </c>
      <c r="HM7" t="s">
        <v>2968</v>
      </c>
      <c r="HR7" t="s">
        <v>10918</v>
      </c>
      <c r="IG7" t="s">
        <v>13049</v>
      </c>
      <c r="IL7" t="s">
        <v>12050</v>
      </c>
      <c r="JK7" t="s">
        <v>10735</v>
      </c>
      <c r="JP7" t="s">
        <v>8926</v>
      </c>
      <c r="KE7" t="s">
        <v>10834</v>
      </c>
      <c r="KJ7" t="s">
        <v>165</v>
      </c>
      <c r="KY7" t="s">
        <v>42</v>
      </c>
      <c r="LD7" t="s">
        <v>10657</v>
      </c>
      <c r="LI7" t="s">
        <v>158</v>
      </c>
      <c r="LN7" t="s">
        <v>13051</v>
      </c>
      <c r="LS7" t="s">
        <v>11054</v>
      </c>
      <c r="LX7" t="s">
        <v>11021</v>
      </c>
      <c r="MW7" t="s">
        <v>165</v>
      </c>
      <c r="NB7" t="s">
        <v>469</v>
      </c>
      <c r="NG7" t="s">
        <v>158</v>
      </c>
      <c r="NL7" t="s">
        <v>11446</v>
      </c>
      <c r="NQ7" t="s">
        <v>10807</v>
      </c>
      <c r="NV7" t="s">
        <v>11678</v>
      </c>
      <c r="OA7" t="s">
        <v>10878</v>
      </c>
      <c r="OF7" t="s">
        <v>13109</v>
      </c>
    </row>
    <row r="8" spans="1:396" x14ac:dyDescent="0.25">
      <c r="K8" t="s">
        <v>12488</v>
      </c>
      <c r="AY8" t="s">
        <v>11953</v>
      </c>
      <c r="BI8" t="s">
        <v>12598</v>
      </c>
      <c r="BN8" t="s">
        <v>4644</v>
      </c>
      <c r="CC8" t="s">
        <v>43</v>
      </c>
      <c r="CH8" t="s">
        <v>43</v>
      </c>
      <c r="CW8" t="s">
        <v>11226</v>
      </c>
      <c r="DB8" t="s">
        <v>11197</v>
      </c>
      <c r="DG8" t="s">
        <v>12862</v>
      </c>
      <c r="DL8" t="s">
        <v>10805</v>
      </c>
      <c r="EK8" t="s">
        <v>888</v>
      </c>
      <c r="EU8" t="s">
        <v>11543</v>
      </c>
      <c r="FE8" t="s">
        <v>3162</v>
      </c>
      <c r="FO8" t="s">
        <v>11877</v>
      </c>
      <c r="FT8" t="s">
        <v>11638</v>
      </c>
      <c r="GI8" t="s">
        <v>12887</v>
      </c>
      <c r="GN8" t="s">
        <v>11540</v>
      </c>
      <c r="GS8" t="s">
        <v>11010</v>
      </c>
      <c r="GX8" t="s">
        <v>1652</v>
      </c>
      <c r="HC8" t="s">
        <v>11094</v>
      </c>
      <c r="HH8" t="s">
        <v>11194</v>
      </c>
      <c r="HM8" t="s">
        <v>11049</v>
      </c>
      <c r="HR8" t="s">
        <v>10660</v>
      </c>
      <c r="IG8" t="s">
        <v>11155</v>
      </c>
      <c r="IL8" t="s">
        <v>11740</v>
      </c>
      <c r="JK8" t="s">
        <v>3439</v>
      </c>
      <c r="JP8" t="s">
        <v>10140</v>
      </c>
      <c r="KE8" t="s">
        <v>11029</v>
      </c>
      <c r="KJ8" t="s">
        <v>10676</v>
      </c>
      <c r="KY8" t="s">
        <v>10939</v>
      </c>
      <c r="LD8" t="s">
        <v>13074</v>
      </c>
      <c r="LI8" t="s">
        <v>693</v>
      </c>
      <c r="LS8" t="s">
        <v>11055</v>
      </c>
      <c r="LX8" t="s">
        <v>11022</v>
      </c>
      <c r="MW8" t="s">
        <v>266</v>
      </c>
      <c r="NB8" t="s">
        <v>61</v>
      </c>
      <c r="NG8" t="s">
        <v>382</v>
      </c>
      <c r="NL8" t="s">
        <v>482</v>
      </c>
      <c r="NQ8" t="s">
        <v>171</v>
      </c>
      <c r="NV8" t="s">
        <v>11679</v>
      </c>
      <c r="OA8" t="s">
        <v>274</v>
      </c>
      <c r="OF8" t="s">
        <v>13110</v>
      </c>
    </row>
    <row r="9" spans="1:396" x14ac:dyDescent="0.25">
      <c r="K9" t="s">
        <v>12354</v>
      </c>
      <c r="AY9" t="s">
        <v>12189</v>
      </c>
      <c r="BI9" t="s">
        <v>2034</v>
      </c>
      <c r="BN9" t="s">
        <v>12553</v>
      </c>
      <c r="CC9" t="s">
        <v>10817</v>
      </c>
      <c r="CH9" t="s">
        <v>10657</v>
      </c>
      <c r="CW9" t="s">
        <v>11227</v>
      </c>
      <c r="DB9" t="s">
        <v>11198</v>
      </c>
      <c r="DG9" t="s">
        <v>11854</v>
      </c>
      <c r="DL9" t="s">
        <v>11114</v>
      </c>
      <c r="EK9" t="s">
        <v>56</v>
      </c>
      <c r="FO9" t="s">
        <v>11878</v>
      </c>
      <c r="FT9" t="s">
        <v>11639</v>
      </c>
      <c r="GI9" t="s">
        <v>12854</v>
      </c>
      <c r="GS9" t="s">
        <v>3625</v>
      </c>
      <c r="GX9" t="s">
        <v>1740</v>
      </c>
      <c r="HC9" t="s">
        <v>4898</v>
      </c>
      <c r="HH9" t="s">
        <v>10688</v>
      </c>
      <c r="HM9" t="s">
        <v>10735</v>
      </c>
      <c r="HR9" t="s">
        <v>4219</v>
      </c>
      <c r="IG9" t="s">
        <v>13050</v>
      </c>
      <c r="IL9" t="s">
        <v>11185</v>
      </c>
      <c r="JK9" t="s">
        <v>10806</v>
      </c>
      <c r="JP9" t="s">
        <v>10746</v>
      </c>
      <c r="KE9" t="s">
        <v>43</v>
      </c>
      <c r="KJ9" t="s">
        <v>11267</v>
      </c>
      <c r="KY9" t="s">
        <v>371</v>
      </c>
      <c r="LD9" t="s">
        <v>684</v>
      </c>
      <c r="LI9" t="s">
        <v>260</v>
      </c>
      <c r="LS9" t="s">
        <v>11056</v>
      </c>
      <c r="LX9" t="s">
        <v>11023</v>
      </c>
      <c r="MW9" t="s">
        <v>10672</v>
      </c>
      <c r="NB9" t="s">
        <v>261</v>
      </c>
      <c r="NG9" t="s">
        <v>572</v>
      </c>
      <c r="NL9" t="s">
        <v>12150</v>
      </c>
      <c r="NQ9" t="s">
        <v>12032</v>
      </c>
      <c r="NV9" t="s">
        <v>11680</v>
      </c>
      <c r="OA9" t="s">
        <v>10785</v>
      </c>
      <c r="OF9" t="s">
        <v>13111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1692</v>
      </c>
      <c r="K1" s="1" t="s">
        <v>1693</v>
      </c>
      <c r="U1" s="1" t="s">
        <v>1694</v>
      </c>
      <c r="AE1" s="1" t="s">
        <v>1695</v>
      </c>
      <c r="AO1" s="1" t="s">
        <v>1696</v>
      </c>
      <c r="AY1" s="1" t="s">
        <v>1697</v>
      </c>
      <c r="BI1" s="1" t="s">
        <v>1698</v>
      </c>
      <c r="BS1" s="1" t="s">
        <v>1699</v>
      </c>
      <c r="CC1" s="1" t="s">
        <v>1700</v>
      </c>
      <c r="CM1" s="1" t="s">
        <v>1701</v>
      </c>
      <c r="CW1" s="1" t="s">
        <v>1702</v>
      </c>
      <c r="DG1" s="1" t="s">
        <v>1703</v>
      </c>
      <c r="DQ1" s="1" t="s">
        <v>1704</v>
      </c>
      <c r="EA1" s="1" t="s">
        <v>1705</v>
      </c>
      <c r="EK1" s="1" t="s">
        <v>1706</v>
      </c>
      <c r="EU1" s="1" t="s">
        <v>1707</v>
      </c>
      <c r="FE1" s="1" t="s">
        <v>1708</v>
      </c>
      <c r="FO1" s="1" t="s">
        <v>1709</v>
      </c>
      <c r="FY1" s="1" t="s">
        <v>1710</v>
      </c>
      <c r="GI1" s="1" t="s">
        <v>1711</v>
      </c>
      <c r="GS1" s="1" t="s">
        <v>1712</v>
      </c>
      <c r="HC1" s="1" t="s">
        <v>1713</v>
      </c>
      <c r="HM1" s="1" t="s">
        <v>1714</v>
      </c>
      <c r="HW1" s="1" t="s">
        <v>1715</v>
      </c>
      <c r="IG1" s="1" t="s">
        <v>1716</v>
      </c>
      <c r="IQ1" s="1" t="s">
        <v>1717</v>
      </c>
      <c r="JA1" s="1" t="s">
        <v>1718</v>
      </c>
      <c r="JK1" s="1" t="s">
        <v>1719</v>
      </c>
      <c r="JU1" s="1" t="s">
        <v>1720</v>
      </c>
      <c r="KE1" s="1" t="s">
        <v>1721</v>
      </c>
      <c r="KO1" s="1" t="s">
        <v>1722</v>
      </c>
      <c r="KY1" s="1" t="s">
        <v>1723</v>
      </c>
      <c r="LI1" s="1" t="s">
        <v>1724</v>
      </c>
      <c r="LS1" s="1" t="s">
        <v>1725</v>
      </c>
      <c r="MC1" s="1" t="s">
        <v>1726</v>
      </c>
      <c r="MM1" s="1" t="s">
        <v>1727</v>
      </c>
      <c r="MW1" s="1" t="s">
        <v>1728</v>
      </c>
      <c r="NG1" s="1" t="s">
        <v>1729</v>
      </c>
      <c r="NQ1" s="1" t="s">
        <v>1730</v>
      </c>
      <c r="OA1" s="1" t="s">
        <v>1731</v>
      </c>
    </row>
    <row r="2" spans="1:396" x14ac:dyDescent="0.25">
      <c r="A2" s="2" t="s">
        <v>1732</v>
      </c>
      <c r="K2" s="2" t="s">
        <v>1733</v>
      </c>
      <c r="U2" s="2" t="s">
        <v>1734</v>
      </c>
      <c r="AE2" s="2" t="s">
        <v>472</v>
      </c>
      <c r="AO2" s="2" t="s">
        <v>1265</v>
      </c>
      <c r="AY2" s="2" t="s">
        <v>1735</v>
      </c>
      <c r="BI2" s="2" t="s">
        <v>1736</v>
      </c>
      <c r="BS2" s="2" t="s">
        <v>1457</v>
      </c>
      <c r="CC2" s="2" t="s">
        <v>64</v>
      </c>
      <c r="CM2" s="2" t="s">
        <v>1737</v>
      </c>
      <c r="CW2" s="2" t="s">
        <v>880</v>
      </c>
      <c r="DG2" s="2" t="s">
        <v>1738</v>
      </c>
      <c r="DQ2" s="2" t="s">
        <v>1739</v>
      </c>
      <c r="EA2" s="2" t="s">
        <v>1740</v>
      </c>
      <c r="EK2" s="2" t="s">
        <v>1734</v>
      </c>
      <c r="EU2" s="2" t="s">
        <v>261</v>
      </c>
      <c r="FE2" s="2" t="s">
        <v>1741</v>
      </c>
      <c r="FO2" s="2" t="s">
        <v>66</v>
      </c>
      <c r="FY2" s="2" t="s">
        <v>1742</v>
      </c>
      <c r="GI2" s="2" t="s">
        <v>1743</v>
      </c>
      <c r="GS2" s="2" t="s">
        <v>1744</v>
      </c>
      <c r="HC2" s="2" t="s">
        <v>1745</v>
      </c>
      <c r="HM2" s="2" t="s">
        <v>1746</v>
      </c>
      <c r="HW2" s="2" t="s">
        <v>161</v>
      </c>
      <c r="IG2" s="2" t="s">
        <v>1747</v>
      </c>
      <c r="IQ2" s="2" t="s">
        <v>1748</v>
      </c>
      <c r="JA2" s="2" t="s">
        <v>1749</v>
      </c>
      <c r="JK2" s="2" t="s">
        <v>1750</v>
      </c>
      <c r="JU2" s="2" t="s">
        <v>164</v>
      </c>
      <c r="KE2" s="2" t="s">
        <v>1559</v>
      </c>
      <c r="KO2" s="2" t="s">
        <v>1751</v>
      </c>
      <c r="KY2" s="2" t="s">
        <v>1752</v>
      </c>
      <c r="LI2" s="2" t="s">
        <v>1753</v>
      </c>
      <c r="LS2" s="2" t="s">
        <v>1754</v>
      </c>
      <c r="MC2" s="2" t="s">
        <v>1755</v>
      </c>
      <c r="MM2" s="2" t="s">
        <v>1756</v>
      </c>
      <c r="MW2" s="2" t="s">
        <v>167</v>
      </c>
      <c r="NG2" s="2" t="s">
        <v>64</v>
      </c>
      <c r="NQ2" s="2" t="s">
        <v>1757</v>
      </c>
      <c r="OA2" s="2" t="s">
        <v>1758</v>
      </c>
    </row>
    <row r="3" spans="1:396" x14ac:dyDescent="0.25">
      <c r="A3" t="s">
        <v>1759</v>
      </c>
      <c r="K3" t="s">
        <v>1760</v>
      </c>
      <c r="U3" t="s">
        <v>1761</v>
      </c>
      <c r="AE3" t="s">
        <v>102</v>
      </c>
      <c r="AO3" t="s">
        <v>590</v>
      </c>
      <c r="AY3" t="s">
        <v>1762</v>
      </c>
      <c r="BI3" t="s">
        <v>1763</v>
      </c>
      <c r="BS3" t="s">
        <v>1764</v>
      </c>
      <c r="CC3" t="s">
        <v>1765</v>
      </c>
      <c r="CM3" t="s">
        <v>1766</v>
      </c>
      <c r="CW3" t="s">
        <v>907</v>
      </c>
      <c r="DG3" t="s">
        <v>1767</v>
      </c>
      <c r="DQ3" t="s">
        <v>1768</v>
      </c>
      <c r="EA3" t="s">
        <v>210</v>
      </c>
      <c r="EK3" t="s">
        <v>1769</v>
      </c>
      <c r="EU3" t="s">
        <v>1770</v>
      </c>
      <c r="FE3" t="s">
        <v>1771</v>
      </c>
      <c r="FO3" t="s">
        <v>1772</v>
      </c>
      <c r="FY3" t="s">
        <v>1773</v>
      </c>
      <c r="GI3" t="s">
        <v>1774</v>
      </c>
      <c r="GS3" t="s">
        <v>1775</v>
      </c>
      <c r="HC3" t="s">
        <v>1776</v>
      </c>
      <c r="HM3" t="s">
        <v>1777</v>
      </c>
      <c r="HW3" t="s">
        <v>1778</v>
      </c>
      <c r="IG3" t="s">
        <v>1779</v>
      </c>
      <c r="IQ3" t="s">
        <v>1385</v>
      </c>
      <c r="JA3" t="s">
        <v>1780</v>
      </c>
      <c r="JK3" t="s">
        <v>1781</v>
      </c>
      <c r="JU3" t="s">
        <v>1782</v>
      </c>
      <c r="KE3" t="s">
        <v>1783</v>
      </c>
      <c r="KO3" t="s">
        <v>1784</v>
      </c>
      <c r="KY3" t="s">
        <v>1785</v>
      </c>
      <c r="LI3" t="s">
        <v>1786</v>
      </c>
      <c r="LS3" t="s">
        <v>1787</v>
      </c>
      <c r="MC3" t="s">
        <v>1788</v>
      </c>
      <c r="MM3" t="s">
        <v>1789</v>
      </c>
      <c r="MW3" t="s">
        <v>1790</v>
      </c>
      <c r="NG3" t="s">
        <v>1791</v>
      </c>
      <c r="NQ3" t="s">
        <v>1792</v>
      </c>
      <c r="OA3" t="s">
        <v>1793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_xll.BDS("GAS US Equity","SUPPLY_CHAIN_SUPPLIERS","RELATIONSHIP_AS_OF_DATE","20101207")</f>
        <v>#N/A N/A</v>
      </c>
      <c r="F5" t="str">
        <f>_xll.BDS("GAS US Equity","SUPPLY_CHAIN_CUSTOMERS","RELATIONSHIP_AS_OF_DATE","20101207")</f>
        <v>#N/A N/A</v>
      </c>
      <c r="K5" t="str">
        <f>_xll.BDS("QCOM US Equity","SUPPLY_CHAIN_SUPPLIERS","RELATIONSHIP_AS_OF_DATE","20110105","cols=1;rows=5")</f>
        <v>2330 TT Equity</v>
      </c>
      <c r="P5" t="str">
        <f>_xll.BDS("QCOM US Equity","SUPPLY_CHAIN_CUSTOMERS","RELATIONSHIP_AS_OF_DATE","20110105","cols=1;rows=5")</f>
        <v>AAPL US Equity</v>
      </c>
      <c r="U5" t="str">
        <f>_xll.BDS("2326248D US Equity","SUPPLY_CHAIN_SUPPLIERS","RELATIONSHIP_AS_OF_DATE","20000214")</f>
        <v>#N/A N/A</v>
      </c>
      <c r="Z5" t="str">
        <f>_xll.BDS("2326248D US Equity","SUPPLY_CHAIN_CUSTOMERS","RELATIONSHIP_AS_OF_DATE","20000214")</f>
        <v>#N/A N/A</v>
      </c>
      <c r="AE5" t="str">
        <f>_xll.BDS("UNH US Equity","SUPPLY_CHAIN_SUPPLIERS","RELATIONSHIP_AS_OF_DATE","20031027","cols=1;rows=5")</f>
        <v>VRTX US Equity</v>
      </c>
      <c r="AJ5" t="str">
        <f>_xll.BDS("UNH US Equity","SUPPLY_CHAIN_CUSTOMERS","RELATIONSHIP_AS_OF_DATE","20031027","cols=1;rows=5")</f>
        <v>9877893Z US Equity</v>
      </c>
      <c r="AO5" t="str">
        <f>_xll.BDS("AES US Equity","SUPPLY_CHAIN_SUPPLIERS","RELATIONSHIP_AS_OF_DATE","20000717","cols=1;rows=5")</f>
        <v>FLNC US Equity</v>
      </c>
      <c r="AT5" t="str">
        <f>_xll.BDS("AES US Equity","SUPPLY_CHAIN_CUSTOMERS","RELATIONSHIP_AS_OF_DATE","20000717","cols=1;rows=5")</f>
        <v>PE&amp;OLES* MM Equity</v>
      </c>
      <c r="AY5" t="str">
        <f>_xll.BDS("EXAS US Equity","SUPPLY_CHAIN_SUPPLIERS","RELATIONSHIP_AS_OF_DATE","20190729","cols=1;rows=5")</f>
        <v>1724622D US Equity</v>
      </c>
      <c r="BD5" t="str">
        <f>_xll.BDS("EXAS US Equity","SUPPLY_CHAIN_CUSTOMERS","RELATIONSHIP_AS_OF_DATE","20190729","cols=1;rows=5")</f>
        <v>9877893Z US Equity</v>
      </c>
      <c r="BI5" t="str">
        <f>_xll.BDS("UNFI US Equity","SUPPLY_CHAIN_SUPPLIERS","RELATIONSHIP_AS_OF_DATE","20180726","cols=1;rows=5")</f>
        <v>UPS US Equity</v>
      </c>
      <c r="BN5" t="str">
        <f>_xll.BDS("UNFI US Equity","SUPPLY_CHAIN_CUSTOMERS","RELATIONSHIP_AS_OF_DATE","20180726","cols=1;rows=5")</f>
        <v>AD NA Equity</v>
      </c>
      <c r="BS5" t="str">
        <f>_xll.BDS("NBL US Equity","SUPPLY_CHAIN_SUPPLIERS","RELATIONSHIP_AS_OF_DATE","20170116")</f>
        <v>#N/A N/A</v>
      </c>
      <c r="BX5" t="str">
        <f>_xll.BDS("NBL US Equity","SUPPLY_CHAIN_CUSTOMERS","RELATIONSHIP_AS_OF_DATE","20170116")</f>
        <v>#N/A N/A</v>
      </c>
      <c r="CC5" t="str">
        <f>_xll.BDS("nan Equity","SUPPLY_CHAIN_SUPPLIERS","RELATIONSHIP_AS_OF_DATE","20040305")</f>
        <v>#N/A N/A</v>
      </c>
      <c r="CH5" t="str">
        <f>_xll.BDS("nan Equity","SUPPLY_CHAIN_CUSTOMERS","RELATIONSHIP_AS_OF_DATE","20040305")</f>
        <v>#N/A N/A</v>
      </c>
      <c r="CM5" t="str">
        <f>_xll.BDS("SWKH US Equity","SUPPLY_CHAIN_SUPPLIERS","RELATIONSHIP_AS_OF_DATE","20000207")</f>
        <v>#N/A N/A</v>
      </c>
      <c r="CR5" t="str">
        <f>_xll.BDS("SWKH US Equity","SUPPLY_CHAIN_CUSTOMERS","RELATIONSHIP_AS_OF_DATE","20000207")</f>
        <v>TVRD US Equity</v>
      </c>
      <c r="CW5" t="str">
        <f>_xll.BDS("2860436Q US Equity","SUPPLY_CHAIN_SUPPLIERS","RELATIONSHIP_AS_OF_DATE","19990601")</f>
        <v>#N/A N/A</v>
      </c>
      <c r="DB5" t="str">
        <f>_xll.BDS("2860436Q US Equity","SUPPLY_CHAIN_CUSTOMERS","RELATIONSHIP_AS_OF_DATE","19990601")</f>
        <v>#N/A N/A</v>
      </c>
      <c r="DG5" t="str">
        <f>_xll.BDS("PHM US Equity","SUPPLY_CHAIN_SUPPLIERS","RELATIONSHIP_AS_OF_DATE","20090408","cols=1;rows=5")</f>
        <v>STRL US Equity</v>
      </c>
      <c r="DL5" t="str">
        <f>_xll.BDS("PHM US Equity","SUPPLY_CHAIN_CUSTOMERS","RELATIONSHIP_AS_OF_DATE","20090408")</f>
        <v>#N/A N/A</v>
      </c>
      <c r="DQ5" t="str">
        <f>_xll.BDS("1436513D US Equity","SUPPLY_CHAIN_SUPPLIERS","RELATIONSHIP_AS_OF_DATE","20050824")</f>
        <v>FE US Equity</v>
      </c>
      <c r="DV5" t="str">
        <f>_xll.BDS("1436513D US Equity","SUPPLY_CHAIN_CUSTOMERS","RELATIONSHIP_AS_OF_DATE","20050824")</f>
        <v>#N/A N/A</v>
      </c>
      <c r="EA5" t="str">
        <f>_xll.BDS("AAL US Equity","SUPPLY_CHAIN_SUPPLIERS","RELATIONSHIP_AS_OF_DATE","20130214","cols=1;rows=5")</f>
        <v>BA US Equity</v>
      </c>
      <c r="EF5" t="str">
        <f>_xll.BDS("AAL US Equity","SUPPLY_CHAIN_CUSTOMERS","RELATIONSHIP_AS_OF_DATE","20130214","cols=1;rows=5")</f>
        <v>293 HK Equity</v>
      </c>
      <c r="EK5" t="str">
        <f>_xll.BDS("2326248D US Equity","SUPPLY_CHAIN_SUPPLIERS","RELATIONSHIP_AS_OF_DATE","19990329")</f>
        <v>#N/A N/A</v>
      </c>
      <c r="EP5" t="str">
        <f>_xll.BDS("2326248D US Equity","SUPPLY_CHAIN_CUSTOMERS","RELATIONSHIP_AS_OF_DATE","19990329")</f>
        <v>#N/A N/A</v>
      </c>
      <c r="EU5" t="str">
        <f>_xll.BDS("HPQ US Equity","SUPPLY_CHAIN_SUPPLIERS","RELATIONSHIP_AS_OF_DATE","20220328","cols=1;rows=5")</f>
        <v>2356 TT Equity</v>
      </c>
      <c r="EZ5" t="str">
        <f>_xll.BDS("HPQ US Equity","SUPPLY_CHAIN_CUSTOMERS","RELATIONSHIP_AS_OF_DATE","20220328","cols=1;rows=5")</f>
        <v>SNX US Equity</v>
      </c>
      <c r="FE5" t="str">
        <f>_xll.BDS("DDS US Equity","SUPPLY_CHAIN_SUPPLIERS","RELATIONSHIP_AS_OF_DATE","19980518","cols=1;rows=5")</f>
        <v>PVH US Equity</v>
      </c>
      <c r="FJ5" t="str">
        <f>_xll.BDS("DDS US Equity","SUPPLY_CHAIN_CUSTOMERS","RELATIONSHIP_AS_OF_DATE","19980518")</f>
        <v>#N/A N/A</v>
      </c>
      <c r="FO5" t="str">
        <f>_xll.BDS("MDT US Equity","SUPPLY_CHAIN_SUPPLIERS","RELATIONSHIP_AS_OF_DATE","20010530","cols=1;rows=5")</f>
        <v>FLEX US Equity</v>
      </c>
      <c r="FT5" t="str">
        <f>_xll.BDS("MDT US Equity","SUPPLY_CHAIN_CUSTOMERS","RELATIONSHIP_AS_OF_DATE","20010530","cols=1;rows=5")</f>
        <v>4104 TT Equity</v>
      </c>
      <c r="FY5" t="str">
        <f>_xll.BDS("AVTA US Equity","SUPPLY_CHAIN_SUPPLIERS","RELATIONSHIP_AS_OF_DATE","20000726","cols=1;rows=2")</f>
        <v>LMRT SP Equity</v>
      </c>
      <c r="GD5" t="str">
        <f>_xll.BDS("AVTA US Equity","SUPPLY_CHAIN_CUSTOMERS","RELATIONSHIP_AS_OF_DATE","20000726")</f>
        <v>#N/A N/A</v>
      </c>
      <c r="GI5" t="str">
        <f>_xll.BDS("CAA US Equity","SUPPLY_CHAIN_SUPPLIERS","RELATIONSHIP_AS_OF_DATE","20150614")</f>
        <v>#N/A N/A</v>
      </c>
      <c r="GN5" t="str">
        <f>_xll.BDS("CAA US Equity","SUPPLY_CHAIN_CUSTOMERS","RELATIONSHIP_AS_OF_DATE","20150614")</f>
        <v>#N/A N/A</v>
      </c>
      <c r="GS5" t="str">
        <f>_xll.BDS("AM US Equity","SUPPLY_CHAIN_SUPPLIERS","RELATIONSHIP_AS_OF_DATE","20181009")</f>
        <v>AR US Equity</v>
      </c>
      <c r="GX5" t="str">
        <f>_xll.BDS("AM US Equity","SUPPLY_CHAIN_CUSTOMERS","RELATIONSHIP_AS_OF_DATE","20181009")</f>
        <v>AR US Equity</v>
      </c>
      <c r="HC5" t="str">
        <f>_xll.BDS("KG US Equity","SUPPLY_CHAIN_SUPPLIERS","RELATIONSHIP_AS_OF_DATE","20000713")</f>
        <v>#N/A N/A</v>
      </c>
      <c r="HH5" t="str">
        <f>_xll.BDS("KG US Equity","SUPPLY_CHAIN_CUSTOMERS","RELATIONSHIP_AS_OF_DATE","20000713")</f>
        <v>#N/A N/A</v>
      </c>
      <c r="HM5" t="str">
        <f>_xll.BDS("XPO US Equity","SUPPLY_CHAIN_SUPPLIERS","RELATIONSHIP_AS_OF_DATE","20150909","cols=1;rows=5")</f>
        <v>EXTR US Equity</v>
      </c>
      <c r="HR5" t="str">
        <f>_xll.BDS("XPO US Equity","SUPPLY_CHAIN_CUSTOMERS","RELATIONSHIP_AS_OF_DATE","20150909","cols=1;rows=5")</f>
        <v>BP/ LN Equity</v>
      </c>
      <c r="HW5" t="str">
        <f>_xll.BDS("BX US Equity","SUPPLY_CHAIN_SUPPLIERS","RELATIONSHIP_AS_OF_DATE","20110804","cols=1;rows=5")</f>
        <v>ORCL US Equity</v>
      </c>
      <c r="IB5" t="str">
        <f>_xll.BDS("BX US Equity","SUPPLY_CHAIN_CUSTOMERS","RELATIONSHIP_AS_OF_DATE","20110804","cols=1;rows=5")</f>
        <v>002284 CH Equity</v>
      </c>
      <c r="IG5" t="str">
        <f>_xll.BDS("SKS US Equity","SUPPLY_CHAIN_SUPPLIERS","RELATIONSHIP_AS_OF_DATE","19980705")</f>
        <v>UE US Equity</v>
      </c>
      <c r="IL5" t="str">
        <f>_xll.BDS("SKS US Equity","SUPPLY_CHAIN_CUSTOMERS","RELATIONSHIP_AS_OF_DATE","19980705")</f>
        <v>GCARSOA1 MM Equity</v>
      </c>
      <c r="IQ5" t="str">
        <f>_xll.BDS("WSC US Equity","SUPPLY_CHAIN_SUPPLIERS","RELATIONSHIP_AS_OF_DATE","20200302")</f>
        <v>#N/A N/A</v>
      </c>
      <c r="IV5" t="str">
        <f>_xll.BDS("WSC US Equity","SUPPLY_CHAIN_CUSTOMERS","RELATIONSHIP_AS_OF_DATE","20200302")</f>
        <v>#N/A N/A</v>
      </c>
      <c r="JA5" t="str">
        <f>_xll.BDS("TWC US Equity","SUPPLY_CHAIN_SUPPLIERS","RELATIONSHIP_AS_OF_DATE","20110815")</f>
        <v>#N/A N/A</v>
      </c>
      <c r="JF5" t="str">
        <f>_xll.BDS("TWC US Equity","SUPPLY_CHAIN_CUSTOMERS","RELATIONSHIP_AS_OF_DATE","20110815")</f>
        <v>#N/A N/A</v>
      </c>
      <c r="JK5" t="str">
        <f>_xll.BDS("ILPT US Equity","SUPPLY_CHAIN_SUPPLIERS","RELATIONSHIP_AS_OF_DATE","20211105")</f>
        <v>#N/A N/A</v>
      </c>
      <c r="JP5" t="str">
        <f>_xll.BDS("ILPT US Equity","SUPPLY_CHAIN_CUSTOMERS","RELATIONSHIP_AS_OF_DATE","20211105","cols=1;rows=5")</f>
        <v>FDX US Equity</v>
      </c>
      <c r="JU5" t="str">
        <f>_xll.BDS("LUMN US Equity","SUPPLY_CHAIN_SUPPLIERS","RELATIONSHIP_AS_OF_DATE","20110427","cols=1;rows=5")</f>
        <v>DY US Equity</v>
      </c>
      <c r="JZ5" t="str">
        <f>_xll.BDS("LUMN US Equity","SUPPLY_CHAIN_CUSTOMERS","RELATIONSHIP_AS_OF_DATE","20110427","cols=1;rows=5")</f>
        <v>728 HK Equity</v>
      </c>
      <c r="KE5" t="str">
        <f>_xll.BDS("0544749D US Equity","SUPPLY_CHAIN_SUPPLIERS","RELATIONSHIP_AS_OF_DATE","19981015")</f>
        <v>#N/A N/A</v>
      </c>
      <c r="KJ5" t="str">
        <f>_xll.BDS("0544749D US Equity","SUPPLY_CHAIN_CUSTOMERS","RELATIONSHIP_AS_OF_DATE","19981015")</f>
        <v>#N/A N/A</v>
      </c>
      <c r="KO5" t="str">
        <f>_xll.BDS("HZNP US Equity","SUPPLY_CHAIN_SUPPLIERS","RELATIONSHIP_AS_OF_DATE","20210201","cols=1;rows=5")</f>
        <v>0217032D US Equity</v>
      </c>
      <c r="KT5" t="str">
        <f>_xll.BDS("HZNP US Equity","SUPPLY_CHAIN_CUSTOMERS","RELATIONSHIP_AS_OF_DATE","20210201","cols=1;rows=5")</f>
        <v>1789 TT Equity</v>
      </c>
      <c r="KY5" t="str">
        <f>_xll.BDS("1719868D US Equity","SUPPLY_CHAIN_SUPPLIERS","RELATIONSHIP_AS_OF_DATE","19980610")</f>
        <v>#N/A N/A</v>
      </c>
      <c r="LD5" t="str">
        <f>_xll.BDS("1719868D US Equity","SUPPLY_CHAIN_CUSTOMERS","RELATIONSHIP_AS_OF_DATE","19980610")</f>
        <v>#N/A N/A</v>
      </c>
      <c r="LI5" t="str">
        <f>_xll.BDS("IEP US Equity","SUPPLY_CHAIN_SUPPLIERS","RELATIONSHIP_AS_OF_DATE","20080703","cols=1;rows=5")</f>
        <v>SMP US Equity</v>
      </c>
      <c r="LN5" t="str">
        <f>_xll.BDS("IEP US Equity","SUPPLY_CHAIN_CUSTOMERS","RELATIONSHIP_AS_OF_DATE","20080703","cols=1;rows=2")</f>
        <v>FMGI IN Equity</v>
      </c>
      <c r="LS5" t="str">
        <f>_xll.BDS("OSK US Equity","SUPPLY_CHAIN_SUPPLIERS","RELATIONSHIP_AS_OF_DATE","20061016","cols=1;rows=5")</f>
        <v>SANM US Equity</v>
      </c>
      <c r="LX5" t="str">
        <f>_xll.BDS("OSK US Equity","SUPPLY_CHAIN_CUSTOMERS","RELATIONSHIP_AS_OF_DATE","20061016","cols=1;rows=5")</f>
        <v>3352Z US Equity</v>
      </c>
      <c r="MC5" t="str">
        <f>_xll.BDS("1284849D US Equity","SUPPLY_CHAIN_SUPPLIERS","RELATIONSHIP_AS_OF_DATE","20051115","cols=1;rows=5")</f>
        <v>AEE US Equity</v>
      </c>
      <c r="MH5" t="str">
        <f>_xll.BDS("1284849D US Equity","SUPPLY_CHAIN_CUSTOMERS","RELATIONSHIP_AS_OF_DATE","20051115")</f>
        <v>4569 JP Equity</v>
      </c>
      <c r="MM5" t="str">
        <f>_xll.BDS("1920486D US Equity","SUPPLY_CHAIN_SUPPLIERS","RELATIONSHIP_AS_OF_DATE","20050602")</f>
        <v>#N/A N/A</v>
      </c>
      <c r="MR5" t="str">
        <f>_xll.BDS("1920486D US Equity","SUPPLY_CHAIN_CUSTOMERS","RELATIONSHIP_AS_OF_DATE","20050602")</f>
        <v>#N/A N/A</v>
      </c>
      <c r="MW5" t="str">
        <f>_xll.BDS("ABT US Equity","SUPPLY_CHAIN_SUPPLIERS","RELATIONSHIP_AS_OF_DATE","20090112","cols=1;rows=5")</f>
        <v>MSFT US Equity</v>
      </c>
      <c r="NB5" t="str">
        <f>_xll.BDS("ABT US Equity","SUPPLY_CHAIN_CUSTOMERS","RELATIONSHIP_AS_OF_DATE","20090112","cols=1;rows=5")</f>
        <v>SNX US Equity</v>
      </c>
      <c r="NG5" t="str">
        <f>_xll.BDS("nan Equity","SUPPLY_CHAIN_SUPPLIERS","RELATIONSHIP_AS_OF_DATE","20051109")</f>
        <v>#N/A N/A</v>
      </c>
      <c r="NL5" t="str">
        <f>_xll.BDS("nan Equity","SUPPLY_CHAIN_CUSTOMERS","RELATIONSHIP_AS_OF_DATE","20051109")</f>
        <v>#N/A N/A</v>
      </c>
      <c r="NQ5" t="str">
        <f>_xll.BDS("LEHMQ US Equity","SUPPLY_CHAIN_SUPPLIERS","RELATIONSHIP_AS_OF_DATE","20030722")</f>
        <v>#N/A N/A</v>
      </c>
      <c r="NV5" t="str">
        <f>_xll.BDS("LEHMQ US Equity","SUPPLY_CHAIN_CUSTOMERS","RELATIONSHIP_AS_OF_DATE","20030722")</f>
        <v>#N/A N/A</v>
      </c>
      <c r="OA5" t="str">
        <f>_xll.BDS("KRG US Equity","SUPPLY_CHAIN_SUPPLIERS","RELATIONSHIP_AS_OF_DATE","20210719")</f>
        <v>#N/A N/A</v>
      </c>
      <c r="OF5" t="str">
        <f>_xll.BDS("KRG US Equity","SUPPLY_CHAIN_CUSTOMERS","RELATIONSHIP_AS_OF_DATE","20210719","cols=1;rows=5")</f>
        <v>TJX US Equity</v>
      </c>
    </row>
    <row r="6" spans="1:396" x14ac:dyDescent="0.25">
      <c r="K6" t="s">
        <v>10892</v>
      </c>
      <c r="P6" t="s">
        <v>10892</v>
      </c>
      <c r="AE6" t="s">
        <v>10846</v>
      </c>
      <c r="AJ6" t="s">
        <v>10657</v>
      </c>
      <c r="AO6" t="s">
        <v>3066</v>
      </c>
      <c r="AT6" t="s">
        <v>11114</v>
      </c>
      <c r="AY6" t="s">
        <v>4482</v>
      </c>
      <c r="BD6" t="s">
        <v>472</v>
      </c>
      <c r="BI6" t="s">
        <v>777</v>
      </c>
      <c r="BN6" t="s">
        <v>10924</v>
      </c>
      <c r="DG6" t="s">
        <v>11357</v>
      </c>
      <c r="EA6" t="s">
        <v>1164</v>
      </c>
      <c r="EF6" t="s">
        <v>11085</v>
      </c>
      <c r="EU6" t="s">
        <v>383</v>
      </c>
      <c r="EZ6" t="s">
        <v>4139</v>
      </c>
      <c r="FE6" t="s">
        <v>11769</v>
      </c>
      <c r="FO6" t="s">
        <v>11060</v>
      </c>
      <c r="FT6" t="s">
        <v>11016</v>
      </c>
      <c r="FY6" t="s">
        <v>11707</v>
      </c>
      <c r="HM6" t="s">
        <v>1265</v>
      </c>
      <c r="HR6" t="s">
        <v>3239</v>
      </c>
      <c r="HW6" t="s">
        <v>7544</v>
      </c>
      <c r="IB6" t="s">
        <v>11020</v>
      </c>
      <c r="JP6" t="s">
        <v>469</v>
      </c>
      <c r="JU6" t="s">
        <v>2606</v>
      </c>
      <c r="JZ6" t="s">
        <v>10660</v>
      </c>
      <c r="KO6" t="s">
        <v>10691</v>
      </c>
      <c r="KT6" t="s">
        <v>12840</v>
      </c>
      <c r="LI6" t="s">
        <v>10873</v>
      </c>
      <c r="LN6" t="s">
        <v>10812</v>
      </c>
      <c r="LS6" t="s">
        <v>11230</v>
      </c>
      <c r="LX6" t="s">
        <v>2398</v>
      </c>
      <c r="MC6" t="s">
        <v>10696</v>
      </c>
      <c r="MW6" t="s">
        <v>10838</v>
      </c>
      <c r="NB6" t="s">
        <v>6626</v>
      </c>
      <c r="OF6" t="s">
        <v>4139</v>
      </c>
    </row>
    <row r="7" spans="1:396" x14ac:dyDescent="0.25">
      <c r="K7" t="s">
        <v>10859</v>
      </c>
      <c r="P7" t="s">
        <v>11207</v>
      </c>
      <c r="AE7" t="s">
        <v>10834</v>
      </c>
      <c r="AJ7" t="s">
        <v>165</v>
      </c>
      <c r="AO7" t="s">
        <v>11162</v>
      </c>
      <c r="AT7" t="s">
        <v>12220</v>
      </c>
      <c r="AY7" t="s">
        <v>44</v>
      </c>
      <c r="BD7" t="s">
        <v>12863</v>
      </c>
      <c r="BI7" t="s">
        <v>3157</v>
      </c>
      <c r="BN7" t="s">
        <v>13259</v>
      </c>
      <c r="DG7" t="s">
        <v>12381</v>
      </c>
      <c r="EA7" t="s">
        <v>42</v>
      </c>
      <c r="EF7" t="s">
        <v>11641</v>
      </c>
      <c r="EU7" t="s">
        <v>11038</v>
      </c>
      <c r="EZ7" t="s">
        <v>11749</v>
      </c>
      <c r="FE7" t="s">
        <v>11770</v>
      </c>
      <c r="FO7" t="s">
        <v>10735</v>
      </c>
      <c r="FT7" t="s">
        <v>8926</v>
      </c>
      <c r="HM7" t="s">
        <v>12310</v>
      </c>
      <c r="HR7" t="s">
        <v>12524</v>
      </c>
      <c r="HW7" t="s">
        <v>11054</v>
      </c>
      <c r="IB7" t="s">
        <v>11021</v>
      </c>
      <c r="JP7" t="s">
        <v>570</v>
      </c>
      <c r="JU7" t="s">
        <v>3066</v>
      </c>
      <c r="JZ7" t="s">
        <v>10680</v>
      </c>
      <c r="KO7" t="s">
        <v>12847</v>
      </c>
      <c r="KT7" t="s">
        <v>11781</v>
      </c>
      <c r="LI7" t="s">
        <v>10874</v>
      </c>
      <c r="LS7" t="s">
        <v>11237</v>
      </c>
      <c r="LX7" t="s">
        <v>13274</v>
      </c>
      <c r="MC7" t="s">
        <v>1265</v>
      </c>
      <c r="MW7" t="s">
        <v>10814</v>
      </c>
      <c r="NB7" t="s">
        <v>12013</v>
      </c>
      <c r="OF7" t="s">
        <v>11525</v>
      </c>
    </row>
    <row r="8" spans="1:396" x14ac:dyDescent="0.25">
      <c r="K8" t="s">
        <v>11203</v>
      </c>
      <c r="P8" t="s">
        <v>11084</v>
      </c>
      <c r="AE8" t="s">
        <v>11029</v>
      </c>
      <c r="AJ8" t="s">
        <v>10676</v>
      </c>
      <c r="AO8" t="s">
        <v>12737</v>
      </c>
      <c r="AT8" t="s">
        <v>11500</v>
      </c>
      <c r="AY8" t="s">
        <v>12883</v>
      </c>
      <c r="BD8" t="s">
        <v>12864</v>
      </c>
      <c r="BI8" t="s">
        <v>13282</v>
      </c>
      <c r="BN8" t="s">
        <v>13260</v>
      </c>
      <c r="DG8" t="s">
        <v>1850</v>
      </c>
      <c r="EA8" t="s">
        <v>7373</v>
      </c>
      <c r="EF8" t="s">
        <v>11642</v>
      </c>
      <c r="EU8" t="s">
        <v>11176</v>
      </c>
      <c r="EZ8" t="s">
        <v>10660</v>
      </c>
      <c r="FE8" t="s">
        <v>5248</v>
      </c>
      <c r="FO8" t="s">
        <v>3439</v>
      </c>
      <c r="FT8" t="s">
        <v>10140</v>
      </c>
      <c r="HM8" t="s">
        <v>11205</v>
      </c>
      <c r="HR8" t="s">
        <v>11946</v>
      </c>
      <c r="HW8" t="s">
        <v>11055</v>
      </c>
      <c r="IB8" t="s">
        <v>11022</v>
      </c>
      <c r="JP8" t="s">
        <v>13081</v>
      </c>
      <c r="JU8" t="s">
        <v>11546</v>
      </c>
      <c r="JZ8" t="s">
        <v>3522</v>
      </c>
      <c r="KO8" t="s">
        <v>12848</v>
      </c>
      <c r="KT8" t="s">
        <v>12841</v>
      </c>
      <c r="LI8" t="s">
        <v>10875</v>
      </c>
      <c r="LS8" t="s">
        <v>11563</v>
      </c>
      <c r="LX8" t="s">
        <v>13275</v>
      </c>
      <c r="MC8" t="s">
        <v>158</v>
      </c>
      <c r="MW8" t="s">
        <v>11414</v>
      </c>
      <c r="NB8" t="s">
        <v>12014</v>
      </c>
      <c r="OF8" t="s">
        <v>11556</v>
      </c>
    </row>
    <row r="9" spans="1:396" x14ac:dyDescent="0.25">
      <c r="K9" t="s">
        <v>11204</v>
      </c>
      <c r="P9" t="s">
        <v>10659</v>
      </c>
      <c r="AE9" t="s">
        <v>43</v>
      </c>
      <c r="AJ9" t="s">
        <v>11267</v>
      </c>
      <c r="AO9" t="s">
        <v>12738</v>
      </c>
      <c r="AT9" t="s">
        <v>12499</v>
      </c>
      <c r="AY9" t="s">
        <v>12884</v>
      </c>
      <c r="BD9" t="s">
        <v>12865</v>
      </c>
      <c r="BI9" t="s">
        <v>10743</v>
      </c>
      <c r="BN9" t="s">
        <v>12662</v>
      </c>
      <c r="DG9" t="s">
        <v>13056</v>
      </c>
      <c r="EA9" t="s">
        <v>12001</v>
      </c>
      <c r="EF9" t="s">
        <v>11643</v>
      </c>
      <c r="EU9" t="s">
        <v>10852</v>
      </c>
      <c r="EZ9" t="s">
        <v>10918</v>
      </c>
      <c r="FE9" t="s">
        <v>11985</v>
      </c>
      <c r="FO9" t="s">
        <v>10806</v>
      </c>
      <c r="FT9" t="s">
        <v>10746</v>
      </c>
      <c r="HM9" t="s">
        <v>10715</v>
      </c>
      <c r="HR9" t="s">
        <v>12525</v>
      </c>
      <c r="HW9" t="s">
        <v>11056</v>
      </c>
      <c r="IB9" t="s">
        <v>11023</v>
      </c>
      <c r="JP9" t="s">
        <v>13082</v>
      </c>
      <c r="JU9" t="s">
        <v>3712</v>
      </c>
      <c r="JZ9" t="s">
        <v>12479</v>
      </c>
      <c r="KO9" t="s">
        <v>12849</v>
      </c>
      <c r="KT9" t="s">
        <v>12842</v>
      </c>
      <c r="LI9" t="s">
        <v>10876</v>
      </c>
      <c r="LS9" t="s">
        <v>1549</v>
      </c>
      <c r="LX9" t="s">
        <v>13276</v>
      </c>
      <c r="MC9" t="s">
        <v>260</v>
      </c>
      <c r="MW9" t="s">
        <v>2509</v>
      </c>
      <c r="NB9" t="s">
        <v>12015</v>
      </c>
      <c r="OF9" t="s">
        <v>790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1794</v>
      </c>
      <c r="K1" s="1" t="s">
        <v>1795</v>
      </c>
      <c r="U1" s="1" t="s">
        <v>1796</v>
      </c>
      <c r="AE1" s="1" t="s">
        <v>1797</v>
      </c>
      <c r="AO1" s="1" t="s">
        <v>1798</v>
      </c>
      <c r="AY1" s="1" t="s">
        <v>1799</v>
      </c>
      <c r="BI1" s="1" t="s">
        <v>1800</v>
      </c>
      <c r="BS1" s="1" t="s">
        <v>1801</v>
      </c>
      <c r="CC1" s="1" t="s">
        <v>1802</v>
      </c>
      <c r="CM1" s="1" t="s">
        <v>1803</v>
      </c>
      <c r="CW1" s="1" t="s">
        <v>1804</v>
      </c>
      <c r="DG1" s="1" t="s">
        <v>1805</v>
      </c>
      <c r="DQ1" s="1" t="s">
        <v>1806</v>
      </c>
      <c r="EA1" s="1" t="s">
        <v>1807</v>
      </c>
      <c r="EK1" s="1" t="s">
        <v>1808</v>
      </c>
      <c r="EU1" s="1" t="s">
        <v>1809</v>
      </c>
      <c r="FE1" s="1" t="s">
        <v>1810</v>
      </c>
      <c r="FO1" s="1" t="s">
        <v>1811</v>
      </c>
      <c r="FY1" s="1" t="s">
        <v>1812</v>
      </c>
      <c r="GI1" s="1" t="s">
        <v>1813</v>
      </c>
      <c r="GS1" s="1" t="s">
        <v>1814</v>
      </c>
      <c r="HC1" s="1" t="s">
        <v>1815</v>
      </c>
      <c r="HM1" s="1" t="s">
        <v>1816</v>
      </c>
      <c r="HW1" s="1" t="s">
        <v>1817</v>
      </c>
      <c r="IG1" s="1" t="s">
        <v>1818</v>
      </c>
      <c r="IQ1" s="1" t="s">
        <v>1819</v>
      </c>
      <c r="JA1" s="1" t="s">
        <v>1820</v>
      </c>
      <c r="JK1" s="1" t="s">
        <v>1821</v>
      </c>
      <c r="JU1" s="1" t="s">
        <v>1822</v>
      </c>
      <c r="KE1" s="1" t="s">
        <v>1823</v>
      </c>
      <c r="KO1" s="1" t="s">
        <v>1824</v>
      </c>
      <c r="KY1" s="1" t="s">
        <v>1825</v>
      </c>
      <c r="LI1" s="1" t="s">
        <v>1826</v>
      </c>
      <c r="LS1" s="1" t="s">
        <v>1827</v>
      </c>
      <c r="MC1" s="1" t="s">
        <v>1828</v>
      </c>
      <c r="MM1" s="1" t="s">
        <v>1829</v>
      </c>
      <c r="MW1" s="1" t="s">
        <v>1830</v>
      </c>
      <c r="NG1" s="1" t="s">
        <v>1831</v>
      </c>
      <c r="NQ1" s="1" t="s">
        <v>1832</v>
      </c>
      <c r="OA1" s="1" t="s">
        <v>1833</v>
      </c>
    </row>
    <row r="2" spans="1:396" x14ac:dyDescent="0.25">
      <c r="A2" s="2" t="s">
        <v>573</v>
      </c>
      <c r="K2" s="2" t="s">
        <v>64</v>
      </c>
      <c r="U2" s="2" t="s">
        <v>1834</v>
      </c>
      <c r="AE2" s="2" t="s">
        <v>1835</v>
      </c>
      <c r="AO2" s="2" t="s">
        <v>1836</v>
      </c>
      <c r="AY2" s="2" t="s">
        <v>1164</v>
      </c>
      <c r="BI2" s="2" t="s">
        <v>1837</v>
      </c>
      <c r="BS2" s="2" t="s">
        <v>43</v>
      </c>
      <c r="CC2" s="2" t="s">
        <v>1838</v>
      </c>
      <c r="CM2" s="2" t="s">
        <v>582</v>
      </c>
      <c r="CW2" s="2" t="s">
        <v>1839</v>
      </c>
      <c r="DG2" s="2" t="s">
        <v>1840</v>
      </c>
      <c r="DQ2" s="2" t="s">
        <v>66</v>
      </c>
      <c r="EA2" s="2" t="s">
        <v>52</v>
      </c>
      <c r="EK2" s="2" t="s">
        <v>1841</v>
      </c>
      <c r="EU2" s="2" t="s">
        <v>1842</v>
      </c>
      <c r="FE2" s="2" t="s">
        <v>776</v>
      </c>
      <c r="FO2" s="2" t="s">
        <v>1843</v>
      </c>
      <c r="FY2" s="2" t="s">
        <v>1844</v>
      </c>
      <c r="GI2" s="2" t="s">
        <v>41</v>
      </c>
      <c r="GS2" s="2" t="s">
        <v>158</v>
      </c>
      <c r="HC2" s="2" t="s">
        <v>387</v>
      </c>
      <c r="HM2" s="2" t="s">
        <v>366</v>
      </c>
      <c r="HW2" s="2" t="s">
        <v>983</v>
      </c>
      <c r="IG2" s="2" t="s">
        <v>1470</v>
      </c>
      <c r="IQ2" s="2" t="s">
        <v>1744</v>
      </c>
      <c r="JA2" s="2" t="s">
        <v>1845</v>
      </c>
      <c r="JK2" s="2" t="s">
        <v>166</v>
      </c>
      <c r="JU2" s="2" t="s">
        <v>259</v>
      </c>
      <c r="KE2" s="2" t="s">
        <v>68</v>
      </c>
      <c r="KO2" s="2" t="s">
        <v>1846</v>
      </c>
      <c r="KY2" s="2" t="s">
        <v>1847</v>
      </c>
      <c r="LI2" s="2" t="s">
        <v>1848</v>
      </c>
      <c r="LS2" s="2" t="s">
        <v>1270</v>
      </c>
      <c r="MC2" s="2" t="s">
        <v>1075</v>
      </c>
      <c r="MM2" s="2" t="s">
        <v>776</v>
      </c>
      <c r="MW2" s="2" t="s">
        <v>1849</v>
      </c>
      <c r="NG2" s="2" t="s">
        <v>171</v>
      </c>
      <c r="NQ2" s="2" t="s">
        <v>1468</v>
      </c>
      <c r="OA2" s="2" t="s">
        <v>1850</v>
      </c>
    </row>
    <row r="3" spans="1:396" x14ac:dyDescent="0.25">
      <c r="A3" t="s">
        <v>1851</v>
      </c>
      <c r="K3" t="s">
        <v>1852</v>
      </c>
      <c r="U3" t="s">
        <v>1853</v>
      </c>
      <c r="AE3" t="s">
        <v>323</v>
      </c>
      <c r="AO3" t="s">
        <v>1854</v>
      </c>
      <c r="AY3" t="s">
        <v>1855</v>
      </c>
      <c r="BI3" t="s">
        <v>1565</v>
      </c>
      <c r="BS3" t="s">
        <v>1856</v>
      </c>
      <c r="CC3" t="s">
        <v>1857</v>
      </c>
      <c r="CM3" t="s">
        <v>1087</v>
      </c>
      <c r="CW3" t="s">
        <v>1858</v>
      </c>
      <c r="DG3" t="s">
        <v>1859</v>
      </c>
      <c r="DQ3" t="s">
        <v>1860</v>
      </c>
      <c r="EA3" t="s">
        <v>1861</v>
      </c>
      <c r="EK3" t="s">
        <v>1862</v>
      </c>
      <c r="EU3" t="s">
        <v>1863</v>
      </c>
      <c r="FE3" t="s">
        <v>1864</v>
      </c>
      <c r="FO3" t="s">
        <v>1865</v>
      </c>
      <c r="FY3" t="s">
        <v>1866</v>
      </c>
      <c r="GI3" t="s">
        <v>1867</v>
      </c>
      <c r="GS3" t="s">
        <v>199</v>
      </c>
      <c r="HC3" t="s">
        <v>1868</v>
      </c>
      <c r="HM3" t="s">
        <v>1869</v>
      </c>
      <c r="HW3" t="s">
        <v>1870</v>
      </c>
      <c r="IG3" t="s">
        <v>1871</v>
      </c>
      <c r="IQ3" t="s">
        <v>1775</v>
      </c>
      <c r="JA3" t="s">
        <v>1872</v>
      </c>
      <c r="JK3" t="s">
        <v>1873</v>
      </c>
      <c r="JU3" t="s">
        <v>1874</v>
      </c>
      <c r="KE3" t="s">
        <v>913</v>
      </c>
      <c r="KO3" t="s">
        <v>1875</v>
      </c>
      <c r="KY3" t="s">
        <v>1876</v>
      </c>
      <c r="LI3" t="s">
        <v>1877</v>
      </c>
      <c r="LS3" t="s">
        <v>1878</v>
      </c>
      <c r="MC3" t="s">
        <v>1879</v>
      </c>
      <c r="MM3" t="s">
        <v>1880</v>
      </c>
      <c r="MW3" t="s">
        <v>1881</v>
      </c>
      <c r="NG3" t="s">
        <v>1882</v>
      </c>
      <c r="NQ3" t="s">
        <v>1883</v>
      </c>
      <c r="OA3" t="s">
        <v>1884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_xll.BDS("CAG US Equity","SUPPLY_CHAIN_SUPPLIERS","RELATIONSHIP_AS_OF_DATE","20000623","cols=1;rows=5")</f>
        <v>AMCR US Equity</v>
      </c>
      <c r="F5" t="str">
        <f>_xll.BDS("CAG US Equity","SUPPLY_CHAIN_CUSTOMERS","RELATIONSHIP_AS_OF_DATE","20000623","cols=1;rows=5")</f>
        <v>WMT US Equity</v>
      </c>
      <c r="K5" t="str">
        <f>_xll.BDS("nan Equity","SUPPLY_CHAIN_SUPPLIERS","RELATIONSHIP_AS_OF_DATE","20040721")</f>
        <v>#N/A N/A</v>
      </c>
      <c r="P5" t="str">
        <f>_xll.BDS("nan Equity","SUPPLY_CHAIN_CUSTOMERS","RELATIONSHIP_AS_OF_DATE","20040721")</f>
        <v>#N/A N/A</v>
      </c>
      <c r="U5" t="str">
        <f>_xll.BDS("HPC US Equity","SUPPLY_CHAIN_SUPPLIERS","RELATIONSHIP_AS_OF_DATE","19980730")</f>
        <v>#N/A N/A</v>
      </c>
      <c r="Z5" t="str">
        <f>_xll.BDS("HPC US Equity","SUPPLY_CHAIN_CUSTOMERS","RELATIONSHIP_AS_OF_DATE","19980730")</f>
        <v>#N/A N/A</v>
      </c>
      <c r="AE5" t="str">
        <f>_xll.BDS("CADE US Equity","SUPPLY_CHAIN_SUPPLIERS","RELATIONSHIP_AS_OF_DATE","20210412","cols=1;rows=3")</f>
        <v>15647Z US Equity</v>
      </c>
      <c r="AJ5" t="str">
        <f>_xll.BDS("CADE US Equity","SUPPLY_CHAIN_CUSTOMERS","RELATIONSHIP_AS_OF_DATE","20210412")</f>
        <v>#N/A N/A</v>
      </c>
      <c r="AO5" t="str">
        <f>_xll.BDS("PCP US Equity","SUPPLY_CHAIN_SUPPLIERS","RELATIONSHIP_AS_OF_DATE","20121109")</f>
        <v>FE US Equity</v>
      </c>
      <c r="AT5" t="str">
        <f>_xll.BDS("PCP US Equity","SUPPLY_CHAIN_CUSTOMERS","RELATIONSHIP_AS_OF_DATE","20121109")</f>
        <v>#N/A N/A</v>
      </c>
      <c r="AY5" t="str">
        <f>_xll.BDS("GE US Equity","SUPPLY_CHAIN_SUPPLIERS","RELATIONSHIP_AS_OF_DATE","20061030","cols=1;rows=5")</f>
        <v>SAF FP Equity</v>
      </c>
      <c r="BD5" t="str">
        <f>_xll.BDS("GE US Equity","SUPPLY_CHAIN_CUSTOMERS","RELATIONSHIP_AS_OF_DATE","20061030","cols=1;rows=5")</f>
        <v>3352Z US Equity</v>
      </c>
      <c r="BI5" t="str">
        <f>_xll.BDS("RUN US Equity","SUPPLY_CHAIN_SUPPLIERS","RELATIONSHIP_AS_OF_DATE","20200707","cols=1;rows=5")</f>
        <v>002459 CH Equity</v>
      </c>
      <c r="BN5" t="str">
        <f>_xll.BDS("RUN US Equity","SUPPLY_CHAIN_CUSTOMERS","RELATIONSHIP_AS_OF_DATE","20200707","cols=1;rows=5")</f>
        <v>1469434D US Equity</v>
      </c>
      <c r="BS5" t="str">
        <f>_xll.BDS("BMY US Equity","SUPPLY_CHAIN_SUPPLIERS","RELATIONSHIP_AS_OF_DATE","20220603","cols=1;rows=5")</f>
        <v>PFE US Equity</v>
      </c>
      <c r="BX5" t="str">
        <f>_xll.BDS("BMY US Equity","SUPPLY_CHAIN_CUSTOMERS","RELATIONSHIP_AS_OF_DATE","20220603","cols=1;rows=5")</f>
        <v>MCK US Equity</v>
      </c>
      <c r="CC5" t="str">
        <f>_xll.BDS("WEN US Equity","SUPPLY_CHAIN_SUPPLIERS","RELATIONSHIP_AS_OF_DATE","20080424","cols=1;rows=5")</f>
        <v>KO US Equity</v>
      </c>
      <c r="CH5" t="str">
        <f>_xll.BDS("WEN US Equity","SUPPLY_CHAIN_CUSTOMERS","RELATIONSHIP_AS_OF_DATE","20080424","cols=1;rows=5")</f>
        <v>MKS LN Equity</v>
      </c>
      <c r="CM5" t="str">
        <f>_xll.BDS("WMB US Equity","SUPPLY_CHAIN_SUPPLIERS","RELATIONSHIP_AS_OF_DATE","20010507","cols=1;rows=5")</f>
        <v>PWR US Equity</v>
      </c>
      <c r="CR5" t="str">
        <f>_xll.BDS("WMB US Equity","SUPPLY_CHAIN_CUSTOMERS","RELATIONSHIP_AS_OF_DATE","20010507","cols=1;rows=5")</f>
        <v>3352Z US Equity</v>
      </c>
      <c r="CW5" t="str">
        <f>_xll.BDS("VALPQ US Equity","SUPPLY_CHAIN_SUPPLIERS","RELATIONSHIP_AS_OF_DATE","20181008")</f>
        <v>042660 KS Equity</v>
      </c>
      <c r="DB5" t="str">
        <f>_xll.BDS("VALPQ US Equity","SUPPLY_CHAIN_CUSTOMERS","RELATIONSHIP_AS_OF_DATE","20181008")</f>
        <v>#N/A N/A</v>
      </c>
      <c r="DG5" t="str">
        <f>_xll.BDS("9990822D US Equity","SUPPLY_CHAIN_SUPPLIERS","RELATIONSHIP_AS_OF_DATE","20070320")</f>
        <v>AMZN US Equity</v>
      </c>
      <c r="DL5" t="str">
        <f>_xll.BDS("9990822D US Equity","SUPPLY_CHAIN_CUSTOMERS","RELATIONSHIP_AS_OF_DATE","20070320","cols=1;rows=3")</f>
        <v>0759608D US Equity</v>
      </c>
      <c r="DQ5" t="str">
        <f>_xll.BDS("MDT US Equity","SUPPLY_CHAIN_SUPPLIERS","RELATIONSHIP_AS_OF_DATE","19981102","cols=1;rows=5")</f>
        <v>FLEX US Equity</v>
      </c>
      <c r="DV5" t="str">
        <f>_xll.BDS("MDT US Equity","SUPPLY_CHAIN_CUSTOMERS","RELATIONSHIP_AS_OF_DATE","19981102","cols=1;rows=5")</f>
        <v>4104 TT Equity</v>
      </c>
      <c r="EA5" t="str">
        <f>_xll.BDS("CVS US Equity","SUPPLY_CHAIN_SUPPLIERS","RELATIONSHIP_AS_OF_DATE","20080812","cols=1;rows=5")</f>
        <v>MCK US Equity</v>
      </c>
      <c r="EF5" t="str">
        <f>_xll.BDS("CVS US Equity","SUPPLY_CHAIN_CUSTOMERS","RELATIONSHIP_AS_OF_DATE","20080812","cols=1;rows=5")</f>
        <v>3352Z US Equity</v>
      </c>
      <c r="EK5" t="str">
        <f>_xll.BDS("LRCX US Equity","SUPPLY_CHAIN_SUPPLIERS","RELATIONSHIP_AS_OF_DATE","20111214","cols=1;rows=5")</f>
        <v>UCTT US Equity</v>
      </c>
      <c r="EP5" t="str">
        <f>_xll.BDS("LRCX US Equity","SUPPLY_CHAIN_CUSTOMERS","RELATIONSHIP_AS_OF_DATE","20111214","cols=1;rows=5")</f>
        <v>2330 TT Equity</v>
      </c>
      <c r="EU5" t="str">
        <f>_xll.BDS("GXP US Equity","SUPPLY_CHAIN_SUPPLIERS","RELATIONSHIP_AS_OF_DATE","20070207")</f>
        <v>#N/A N/A</v>
      </c>
      <c r="EZ5" t="str">
        <f>_xll.BDS("GXP US Equity","SUPPLY_CHAIN_CUSTOMERS","RELATIONSHIP_AS_OF_DATE","20070207")</f>
        <v>#N/A N/A</v>
      </c>
      <c r="FE5" t="str">
        <f>_xll.BDS("CELG US Equity","SUPPLY_CHAIN_SUPPLIERS","RELATIONSHIP_AS_OF_DATE","20071119")</f>
        <v>FE US Equity</v>
      </c>
      <c r="FJ5" t="str">
        <f>_xll.BDS("CELG US Equity","SUPPLY_CHAIN_CUSTOMERS","RELATIONSHIP_AS_OF_DATE","20071119")</f>
        <v>#N/A N/A</v>
      </c>
      <c r="FO5" t="str">
        <f>_xll.BDS("PVH US Equity","SUPPLY_CHAIN_SUPPLIERS","RELATIONSHIP_AS_OF_DATE","20121031","cols=1;rows=5")</f>
        <v>BABA US Equity</v>
      </c>
      <c r="FT5" t="str">
        <f>_xll.BDS("PVH US Equity","SUPPLY_CHAIN_CUSTOMERS","RELATIONSHIP_AS_OF_DATE","20121031","cols=1;rows=5")</f>
        <v>M US Equity</v>
      </c>
      <c r="FY5" t="str">
        <f>_xll.BDS("ASH US Equity","SUPPLY_CHAIN_SUPPLIERS","RELATIONSHIP_AS_OF_DATE","20080711","cols=1;rows=5")</f>
        <v>HUN US Equity</v>
      </c>
      <c r="GD5" t="str">
        <f>_xll.BDS("ASH US Equity","SUPPLY_CHAIN_CUSTOMERS","RELATIONSHIP_AS_OF_DATE","20080711","cols=1;rows=5")</f>
        <v>BNR GR Equity</v>
      </c>
      <c r="GI5" t="str">
        <f>_xll.BDS("T US Equity","SUPPLY_CHAIN_SUPPLIERS","RELATIONSHIP_AS_OF_DATE","20081107","cols=1;rows=5")</f>
        <v>AAPL US Equity</v>
      </c>
      <c r="GN5" t="str">
        <f>_xll.BDS("T US Equity","SUPPLY_CHAIN_CUSTOMERS","RELATIONSHIP_AS_OF_DATE","20081107","cols=1;rows=5")</f>
        <v>IBM US Equity</v>
      </c>
      <c r="GS5" t="str">
        <f>_xll.BDS("BRK/A US Equity","SUPPLY_CHAIN_SUPPLIERS","RELATIONSHIP_AS_OF_DATE","20000906","cols=1;rows=5")</f>
        <v>HSY US Equity</v>
      </c>
      <c r="GX5" t="str">
        <f>_xll.BDS("BRK/A US Equity","SUPPLY_CHAIN_CUSTOMERS","RELATIONSHIP_AS_OF_DATE","20000906","cols=1;rows=5")</f>
        <v>WMT US Equity</v>
      </c>
      <c r="HC5" t="str">
        <f>_xll.BDS("DHR US Equity","SUPPLY_CHAIN_SUPPLIERS","RELATIONSHIP_AS_OF_DATE","20071015","cols=1;rows=5")</f>
        <v>FLEX US Equity</v>
      </c>
      <c r="HH5" t="str">
        <f>_xll.BDS("DHR US Equity","SUPPLY_CHAIN_CUSTOMERS","RELATIONSHIP_AS_OF_DATE","20071015","cols=1;rows=5")</f>
        <v>CDW US Equity</v>
      </c>
      <c r="HM5" t="str">
        <f>_xll.BDS("O US Equity","SUPPLY_CHAIN_SUPPLIERS","RELATIONSHIP_AS_OF_DATE","20120906")</f>
        <v>#N/A N/A</v>
      </c>
      <c r="HR5" t="str">
        <f>_xll.BDS("O US Equity","SUPPLY_CHAIN_CUSTOMERS","RELATIONSHIP_AS_OF_DATE","20120906","cols=1;rows=5")</f>
        <v>3382 JP Equity</v>
      </c>
      <c r="HW5" t="str">
        <f>_xll.BDS("DVN US Equity","SUPPLY_CHAIN_SUPPLIERS","RELATIONSHIP_AS_OF_DATE","20000526","cols=1;rows=5")</f>
        <v>AROC US Equity</v>
      </c>
      <c r="IB5" t="str">
        <f>_xll.BDS("DVN US Equity","SUPPLY_CHAIN_CUSTOMERS","RELATIONSHIP_AS_OF_DATE","20000526")</f>
        <v>CNA LN Equity</v>
      </c>
      <c r="IG5" t="str">
        <f>_xll.BDS("FHN US Equity","SUPPLY_CHAIN_SUPPLIERS","RELATIONSHIP_AS_OF_DATE","20170504","cols=1;rows=3")</f>
        <v>GBG LN Equity</v>
      </c>
      <c r="IL5" t="str">
        <f>_xll.BDS("FHN US Equity","SUPPLY_CHAIN_CUSTOMERS","RELATIONSHIP_AS_OF_DATE","20170504")</f>
        <v>#N/A N/A</v>
      </c>
      <c r="IQ5" t="str">
        <f>_xll.BDS("AM US Equity","SUPPLY_CHAIN_SUPPLIERS","RELATIONSHIP_AS_OF_DATE","20181009")</f>
        <v>AR US Equity</v>
      </c>
      <c r="IV5" t="str">
        <f>_xll.BDS("AM US Equity","SUPPLY_CHAIN_CUSTOMERS","RELATIONSHIP_AS_OF_DATE","20181009")</f>
        <v>AR US Equity</v>
      </c>
      <c r="JA5" t="str">
        <f>_xll.BDS("TGNA US Equity","SUPPLY_CHAIN_SUPPLIERS","RELATIONSHIP_AS_OF_DATE","20000628","cols=1;rows=5")</f>
        <v>0159586D US Equity</v>
      </c>
      <c r="JF5" t="str">
        <f>_xll.BDS("TGNA US Equity","SUPPLY_CHAIN_CUSTOMERS","RELATIONSHIP_AS_OF_DATE","20000628","cols=1;rows=5")</f>
        <v>210062Z SJ Equity</v>
      </c>
      <c r="JK5" t="str">
        <f>_xll.BDS("WFC US Equity","SUPPLY_CHAIN_SUPPLIERS","RELATIONSHIP_AS_OF_DATE","20000410","cols=1;rows=5")</f>
        <v>ADBE US Equity</v>
      </c>
      <c r="JP5" t="str">
        <f>_xll.BDS("WFC US Equity","SUPPLY_CHAIN_CUSTOMERS","RELATIONSHIP_AS_OF_DATE","20000410","cols=1;rows=5")</f>
        <v>CDW US Equity</v>
      </c>
      <c r="JU5" t="str">
        <f>_xll.BDS("CRM US Equity","SUPPLY_CHAIN_SUPPLIERS","RELATIONSHIP_AS_OF_DATE","20160601","cols=1;rows=5")</f>
        <v>BXP US Equity</v>
      </c>
      <c r="JZ5" t="str">
        <f>_xll.BDS("CRM US Equity","SUPPLY_CHAIN_CUSTOMERS","RELATIONSHIP_AS_OF_DATE","20160601","cols=1;rows=5")</f>
        <v>SNX US Equity</v>
      </c>
      <c r="KE5" t="str">
        <f>_xll.BDS("CVX US Equity","SUPPLY_CHAIN_SUPPLIERS","RELATIONSHIP_AS_OF_DATE","20220228","cols=1;rows=5")</f>
        <v>RIG US Equity</v>
      </c>
      <c r="KJ5" t="str">
        <f>_xll.BDS("CVX US Equity","SUPPLY_CHAIN_CUSTOMERS","RELATIONSHIP_AS_OF_DATE","20220228","cols=1;rows=5")</f>
        <v>UGPA3 BZ Equity</v>
      </c>
      <c r="KO5" t="str">
        <f>_xll.BDS("HSH US Equity","SUPPLY_CHAIN_SUPPLIERS","RELATIONSHIP_AS_OF_DATE","20010702")</f>
        <v>#N/A N/A</v>
      </c>
      <c r="KT5" t="str">
        <f>_xll.BDS("HSH US Equity","SUPPLY_CHAIN_CUSTOMERS","RELATIONSHIP_AS_OF_DATE","20010702")</f>
        <v>#N/A N/A</v>
      </c>
      <c r="KY5" t="str">
        <f>_xll.BDS("DAL US Equity","SUPPLY_CHAIN_SUPPLIERS","RELATIONSHIP_AS_OF_DATE","20080414","cols=1;rows=5")</f>
        <v>AIR FP Equity</v>
      </c>
      <c r="LD5" t="str">
        <f>_xll.BDS("DAL US Equity","SUPPLY_CHAIN_CUSTOMERS","RELATIONSHIP_AS_OF_DATE","20080414","cols=1;rows=5")</f>
        <v>LTM CI Equity</v>
      </c>
      <c r="LI5" t="str">
        <f>_xll.BDS("PROXQ US Equity","SUPPLY_CHAIN_SUPPLIERS","RELATIONSHIP_AS_OF_DATE","20020116")</f>
        <v>#N/A N/A</v>
      </c>
      <c r="LN5" t="str">
        <f>_xll.BDS("PROXQ US Equity","SUPPLY_CHAIN_CUSTOMERS","RELATIONSHIP_AS_OF_DATE","20020116")</f>
        <v>CNXN US Equity</v>
      </c>
      <c r="LS5" t="str">
        <f>_xll.BDS("EMN US Equity","SUPPLY_CHAIN_SUPPLIERS","RELATIONSHIP_AS_OF_DATE","20140911","cols=1;rows=5")</f>
        <v>AI FP Equity</v>
      </c>
      <c r="LX5" t="str">
        <f>_xll.BDS("EMN US Equity","SUPPLY_CHAIN_CUSTOMERS","RELATIONSHIP_AS_OF_DATE","20140911","cols=1;rows=5")</f>
        <v>JNJ US Equity</v>
      </c>
      <c r="MC5" t="str">
        <f>_xll.BDS("AA US Equity","SUPPLY_CHAIN_SUPPLIERS","RELATIONSHIP_AS_OF_DATE","20000314","cols=1;rows=5")</f>
        <v>MAADEN AB Equity</v>
      </c>
      <c r="MH5" t="str">
        <f>_xll.BDS("AA US Equity","SUPPLY_CHAIN_CUSTOMERS","RELATIONSHIP_AS_OF_DATE","20000314","cols=1;rows=5")</f>
        <v>MAADEN AB Equity</v>
      </c>
      <c r="MM5" t="str">
        <f>_xll.BDS("CELG US Equity","SUPPLY_CHAIN_SUPPLIERS","RELATIONSHIP_AS_OF_DATE","20100630")</f>
        <v>FE US Equity</v>
      </c>
      <c r="MR5" t="str">
        <f>_xll.BDS("CELG US Equity","SUPPLY_CHAIN_CUSTOMERS","RELATIONSHIP_AS_OF_DATE","20100630")</f>
        <v>#N/A N/A</v>
      </c>
      <c r="MW5" t="str">
        <f>_xll.BDS("PFGC US Equity","SUPPLY_CHAIN_SUPPLIERS","RELATIONSHIP_AS_OF_DATE","20210518","cols=1;rows=5")</f>
        <v>TSN US Equity</v>
      </c>
      <c r="NB5" t="str">
        <f>_xll.BDS("PFGC US Equity","SUPPLY_CHAIN_CUSTOMERS","RELATIONSHIP_AS_OF_DATE","20210518","cols=1;rows=5")</f>
        <v>ARMK US Equity</v>
      </c>
      <c r="NG5" t="str">
        <f>_xll.BDS("ORCL US Equity","SUPPLY_CHAIN_SUPPLIERS","RELATIONSHIP_AS_OF_DATE","20070301","cols=1;rows=5")</f>
        <v>NVDA US Equity</v>
      </c>
      <c r="NL5" t="str">
        <f>_xll.BDS("ORCL US Equity","SUPPLY_CHAIN_CUSTOMERS","RELATIONSHIP_AS_OF_DATE","20070301","cols=1;rows=5")</f>
        <v>ACN US Equity</v>
      </c>
      <c r="NQ5" t="str">
        <f>_xll.BDS("COR US Equity","SUPPLY_CHAIN_SUPPLIERS","RELATIONSHIP_AS_OF_DATE","20151006","cols=1;rows=5")</f>
        <v>LLY US Equity</v>
      </c>
      <c r="NV5" t="str">
        <f>_xll.BDS("COR US Equity","SUPPLY_CHAIN_CUSTOMERS","RELATIONSHIP_AS_OF_DATE","20151006","cols=1;rows=5")</f>
        <v>WBA US Equity</v>
      </c>
      <c r="OA5" t="str">
        <f>_xll.BDS("BLDR US Equity","SUPPLY_CHAIN_SUPPLIERS","RELATIONSHIP_AS_OF_DATE","20200827","cols=1;rows=5")</f>
        <v>LPX US Equity</v>
      </c>
      <c r="OF5" t="str">
        <f>_xll.BDS("BLDR US Equity","SUPPLY_CHAIN_CUSTOMERS","RELATIONSHIP_AS_OF_DATE","20200827","cols=1;rows=5")</f>
        <v>616150Z US Equity</v>
      </c>
    </row>
    <row r="6" spans="1:396" x14ac:dyDescent="0.25">
      <c r="A6" t="s">
        <v>11254</v>
      </c>
      <c r="F6" t="s">
        <v>477</v>
      </c>
      <c r="AE6" t="s">
        <v>11053</v>
      </c>
      <c r="AY6" t="s">
        <v>11008</v>
      </c>
      <c r="BD6" t="s">
        <v>1363</v>
      </c>
      <c r="BI6" t="s">
        <v>13075</v>
      </c>
      <c r="BN6" t="s">
        <v>13063</v>
      </c>
      <c r="BS6" t="s">
        <v>12214</v>
      </c>
      <c r="BX6" t="s">
        <v>1468</v>
      </c>
      <c r="CC6" t="s">
        <v>11585</v>
      </c>
      <c r="CH6" t="s">
        <v>13237</v>
      </c>
      <c r="CM6" t="s">
        <v>4211</v>
      </c>
      <c r="CR6" t="s">
        <v>11636</v>
      </c>
      <c r="DL6" t="s">
        <v>2705</v>
      </c>
      <c r="DQ6" t="s">
        <v>11060</v>
      </c>
      <c r="DV6" t="s">
        <v>11016</v>
      </c>
      <c r="EA6" t="s">
        <v>970</v>
      </c>
      <c r="EF6" t="s">
        <v>12452</v>
      </c>
      <c r="EK6" t="s">
        <v>11486</v>
      </c>
      <c r="EP6" t="s">
        <v>10892</v>
      </c>
      <c r="FO6" t="s">
        <v>3343</v>
      </c>
      <c r="FT6" t="s">
        <v>13212</v>
      </c>
      <c r="FY6" t="s">
        <v>11678</v>
      </c>
      <c r="GD6" t="s">
        <v>12573</v>
      </c>
      <c r="GI6" t="s">
        <v>10892</v>
      </c>
      <c r="GN6" t="s">
        <v>2881</v>
      </c>
      <c r="GS6" t="s">
        <v>2792</v>
      </c>
      <c r="GX6" t="s">
        <v>10677</v>
      </c>
      <c r="HC6" t="s">
        <v>10735</v>
      </c>
      <c r="HH6" t="s">
        <v>2881</v>
      </c>
      <c r="HR6" t="s">
        <v>3715</v>
      </c>
      <c r="HW6" t="s">
        <v>11464</v>
      </c>
      <c r="IG6" t="s">
        <v>11371</v>
      </c>
      <c r="JA6" t="s">
        <v>12816</v>
      </c>
      <c r="JF6" t="s">
        <v>12568</v>
      </c>
      <c r="JK6" t="s">
        <v>10986</v>
      </c>
      <c r="JP6" t="s">
        <v>11473</v>
      </c>
      <c r="JU6" t="s">
        <v>6477</v>
      </c>
      <c r="JZ6" t="s">
        <v>165</v>
      </c>
      <c r="KE6" t="s">
        <v>11155</v>
      </c>
      <c r="KJ6" t="s">
        <v>11640</v>
      </c>
      <c r="KY6" t="s">
        <v>1164</v>
      </c>
      <c r="LD6" t="s">
        <v>12106</v>
      </c>
      <c r="LS6" t="s">
        <v>11509</v>
      </c>
      <c r="LX6" t="s">
        <v>11946</v>
      </c>
      <c r="MC6" t="s">
        <v>12250</v>
      </c>
      <c r="MH6" t="s">
        <v>12161</v>
      </c>
      <c r="MW6" t="s">
        <v>11220</v>
      </c>
      <c r="NB6" t="s">
        <v>469</v>
      </c>
      <c r="NG6" t="s">
        <v>162</v>
      </c>
      <c r="NL6" t="s">
        <v>469</v>
      </c>
      <c r="NQ6" t="s">
        <v>368</v>
      </c>
      <c r="NV6" t="s">
        <v>51</v>
      </c>
      <c r="OA6" t="s">
        <v>13296</v>
      </c>
      <c r="OF6" t="s">
        <v>13290</v>
      </c>
    </row>
    <row r="7" spans="1:396" x14ac:dyDescent="0.25">
      <c r="A7" t="s">
        <v>10978</v>
      </c>
      <c r="F7" t="s">
        <v>11811</v>
      </c>
      <c r="AE7" t="s">
        <v>3162</v>
      </c>
      <c r="AY7" t="s">
        <v>11009</v>
      </c>
      <c r="BD7" t="s">
        <v>10939</v>
      </c>
      <c r="BI7" t="s">
        <v>13076</v>
      </c>
      <c r="BN7" t="s">
        <v>11564</v>
      </c>
      <c r="BS7" t="s">
        <v>12215</v>
      </c>
      <c r="BX7" t="s">
        <v>970</v>
      </c>
      <c r="CC7" t="s">
        <v>10855</v>
      </c>
      <c r="CH7" t="s">
        <v>13238</v>
      </c>
      <c r="CM7" t="s">
        <v>7384</v>
      </c>
      <c r="CR7" t="s">
        <v>11403</v>
      </c>
      <c r="DL7" t="s">
        <v>270</v>
      </c>
      <c r="DQ7" t="s">
        <v>10735</v>
      </c>
      <c r="DV7" t="s">
        <v>8926</v>
      </c>
      <c r="EA7" t="s">
        <v>58</v>
      </c>
      <c r="EF7" t="s">
        <v>12453</v>
      </c>
      <c r="EK7" t="s">
        <v>2973</v>
      </c>
      <c r="EP7" t="s">
        <v>3611</v>
      </c>
      <c r="FO7" t="s">
        <v>12097</v>
      </c>
      <c r="FT7" t="s">
        <v>12348</v>
      </c>
      <c r="FY7" t="s">
        <v>12972</v>
      </c>
      <c r="GD7" t="s">
        <v>12574</v>
      </c>
      <c r="GI7" t="s">
        <v>10738</v>
      </c>
      <c r="GN7" t="s">
        <v>10680</v>
      </c>
      <c r="GS7" t="s">
        <v>10737</v>
      </c>
      <c r="GX7" t="s">
        <v>4642</v>
      </c>
      <c r="HC7" t="s">
        <v>273</v>
      </c>
      <c r="HH7" t="s">
        <v>10661</v>
      </c>
      <c r="HR7" t="s">
        <v>12795</v>
      </c>
      <c r="HW7" t="s">
        <v>11312</v>
      </c>
      <c r="IG7" t="s">
        <v>11234</v>
      </c>
      <c r="JA7" t="s">
        <v>12817</v>
      </c>
      <c r="JF7" t="s">
        <v>12569</v>
      </c>
      <c r="JK7" t="s">
        <v>988</v>
      </c>
      <c r="JP7" t="s">
        <v>10787</v>
      </c>
      <c r="JU7" t="s">
        <v>165</v>
      </c>
      <c r="JZ7" t="s">
        <v>10838</v>
      </c>
      <c r="KE7" t="s">
        <v>12104</v>
      </c>
      <c r="KJ7" t="s">
        <v>12417</v>
      </c>
      <c r="KY7" t="s">
        <v>42</v>
      </c>
      <c r="LD7" t="s">
        <v>12801</v>
      </c>
      <c r="LS7" t="s">
        <v>11510</v>
      </c>
      <c r="LX7" t="s">
        <v>10939</v>
      </c>
      <c r="MC7" t="s">
        <v>12204</v>
      </c>
      <c r="MH7" t="s">
        <v>12162</v>
      </c>
      <c r="MW7" t="s">
        <v>10138</v>
      </c>
      <c r="NB7" t="s">
        <v>12495</v>
      </c>
      <c r="NG7" t="s">
        <v>279</v>
      </c>
      <c r="NL7" t="s">
        <v>2881</v>
      </c>
      <c r="NQ7" t="s">
        <v>45</v>
      </c>
      <c r="NV7" t="s">
        <v>11883</v>
      </c>
      <c r="OA7" t="s">
        <v>13297</v>
      </c>
      <c r="OF7" t="s">
        <v>3069</v>
      </c>
    </row>
    <row r="8" spans="1:396" x14ac:dyDescent="0.25">
      <c r="A8" t="s">
        <v>11585</v>
      </c>
      <c r="F8" t="s">
        <v>10992</v>
      </c>
      <c r="AY8" t="s">
        <v>11010</v>
      </c>
      <c r="BD8" t="s">
        <v>1652</v>
      </c>
      <c r="BI8" t="s">
        <v>3875</v>
      </c>
      <c r="BN8" t="s">
        <v>3150</v>
      </c>
      <c r="BS8" t="s">
        <v>65</v>
      </c>
      <c r="BX8" t="s">
        <v>51</v>
      </c>
      <c r="CC8" t="s">
        <v>13019</v>
      </c>
      <c r="CH8" t="s">
        <v>573</v>
      </c>
      <c r="CM8" t="s">
        <v>12741</v>
      </c>
      <c r="CR8" t="s">
        <v>12933</v>
      </c>
      <c r="DQ8" t="s">
        <v>3439</v>
      </c>
      <c r="DV8" t="s">
        <v>10140</v>
      </c>
      <c r="EA8" t="s">
        <v>368</v>
      </c>
      <c r="EF8" t="s">
        <v>12454</v>
      </c>
      <c r="EK8" t="s">
        <v>11060</v>
      </c>
      <c r="EP8" t="s">
        <v>10729</v>
      </c>
      <c r="FO8" t="s">
        <v>11963</v>
      </c>
      <c r="FT8" t="s">
        <v>13221</v>
      </c>
      <c r="FY8" t="s">
        <v>11891</v>
      </c>
      <c r="GD8" t="s">
        <v>790</v>
      </c>
      <c r="GI8" t="s">
        <v>670</v>
      </c>
      <c r="GN8" t="s">
        <v>3519</v>
      </c>
      <c r="GS8" t="s">
        <v>4475</v>
      </c>
      <c r="GX8" t="s">
        <v>1363</v>
      </c>
      <c r="HC8" t="s">
        <v>6320</v>
      </c>
      <c r="HH8" t="s">
        <v>10662</v>
      </c>
      <c r="HR8" t="s">
        <v>677</v>
      </c>
      <c r="HW8" t="s">
        <v>13129</v>
      </c>
      <c r="JA8" t="s">
        <v>12818</v>
      </c>
      <c r="JF8" t="s">
        <v>11502</v>
      </c>
      <c r="JK8" t="s">
        <v>1548</v>
      </c>
      <c r="JP8" t="s">
        <v>3340</v>
      </c>
      <c r="JU8" t="s">
        <v>11049</v>
      </c>
      <c r="JZ8" t="s">
        <v>10660</v>
      </c>
      <c r="KE8" t="s">
        <v>375</v>
      </c>
      <c r="KJ8" t="s">
        <v>12418</v>
      </c>
      <c r="KY8" t="s">
        <v>11756</v>
      </c>
      <c r="LD8" t="s">
        <v>12802</v>
      </c>
      <c r="LS8" t="s">
        <v>11511</v>
      </c>
      <c r="LX8" t="s">
        <v>58</v>
      </c>
      <c r="MC8" t="s">
        <v>772</v>
      </c>
      <c r="MH8" t="s">
        <v>12163</v>
      </c>
      <c r="MW8" t="s">
        <v>2704</v>
      </c>
      <c r="NB8" t="s">
        <v>11278</v>
      </c>
      <c r="NG8" t="s">
        <v>10818</v>
      </c>
      <c r="NL8" t="s">
        <v>52</v>
      </c>
      <c r="NQ8" t="s">
        <v>43</v>
      </c>
      <c r="NV8" t="s">
        <v>10797</v>
      </c>
      <c r="OA8" t="s">
        <v>2111</v>
      </c>
      <c r="OF8" t="s">
        <v>10369</v>
      </c>
    </row>
    <row r="9" spans="1:396" x14ac:dyDescent="0.25">
      <c r="A9" t="s">
        <v>10748</v>
      </c>
      <c r="F9" t="s">
        <v>10805</v>
      </c>
      <c r="AY9" t="s">
        <v>3625</v>
      </c>
      <c r="BD9" t="s">
        <v>1740</v>
      </c>
      <c r="BI9" t="s">
        <v>11964</v>
      </c>
      <c r="BN9" t="s">
        <v>480</v>
      </c>
      <c r="BS9" t="s">
        <v>368</v>
      </c>
      <c r="BX9" t="s">
        <v>472</v>
      </c>
      <c r="CC9" t="s">
        <v>772</v>
      </c>
      <c r="CH9" t="s">
        <v>12555</v>
      </c>
      <c r="CM9" t="s">
        <v>10855</v>
      </c>
      <c r="CR9" t="s">
        <v>6969</v>
      </c>
      <c r="DQ9" t="s">
        <v>10806</v>
      </c>
      <c r="DV9" t="s">
        <v>10746</v>
      </c>
      <c r="EA9" t="s">
        <v>11117</v>
      </c>
      <c r="EF9" t="s">
        <v>10868</v>
      </c>
      <c r="EK9" t="s">
        <v>11297</v>
      </c>
      <c r="EP9" t="s">
        <v>383</v>
      </c>
      <c r="FO9" t="s">
        <v>12391</v>
      </c>
      <c r="FT9" t="s">
        <v>469</v>
      </c>
      <c r="FY9" t="s">
        <v>2111</v>
      </c>
      <c r="GD9" t="s">
        <v>12575</v>
      </c>
      <c r="GI9" t="s">
        <v>6724</v>
      </c>
      <c r="GN9" t="s">
        <v>11366</v>
      </c>
      <c r="GS9" t="s">
        <v>10738</v>
      </c>
      <c r="GX9" t="s">
        <v>42</v>
      </c>
      <c r="HC9" t="s">
        <v>1654</v>
      </c>
      <c r="HH9" t="s">
        <v>10663</v>
      </c>
      <c r="HR9" t="s">
        <v>12796</v>
      </c>
      <c r="HW9" t="s">
        <v>11842</v>
      </c>
      <c r="JA9" t="s">
        <v>12819</v>
      </c>
      <c r="JF9" t="s">
        <v>1175</v>
      </c>
      <c r="JK9" t="s">
        <v>10877</v>
      </c>
      <c r="JP9" t="s">
        <v>11174</v>
      </c>
      <c r="JU9" t="s">
        <v>10748</v>
      </c>
      <c r="JZ9" t="s">
        <v>4219</v>
      </c>
      <c r="KE9" t="s">
        <v>12105</v>
      </c>
      <c r="KJ9" t="s">
        <v>12419</v>
      </c>
      <c r="KY9" t="s">
        <v>1376</v>
      </c>
      <c r="LD9" t="s">
        <v>12803</v>
      </c>
      <c r="LS9" t="s">
        <v>11449</v>
      </c>
      <c r="LX9" t="s">
        <v>261</v>
      </c>
      <c r="MC9" t="s">
        <v>10940</v>
      </c>
      <c r="MH9" t="s">
        <v>12164</v>
      </c>
      <c r="MW9" t="s">
        <v>3701</v>
      </c>
      <c r="NB9" t="s">
        <v>2879</v>
      </c>
      <c r="NG9" t="s">
        <v>384</v>
      </c>
      <c r="NL9" t="s">
        <v>472</v>
      </c>
      <c r="NQ9" t="s">
        <v>11029</v>
      </c>
      <c r="NV9" t="s">
        <v>11884</v>
      </c>
      <c r="OA9" t="s">
        <v>10696</v>
      </c>
      <c r="OF9" t="s">
        <v>673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1885</v>
      </c>
      <c r="K1" s="1" t="s">
        <v>1886</v>
      </c>
      <c r="U1" s="1" t="s">
        <v>1887</v>
      </c>
      <c r="AE1" s="1" t="s">
        <v>1888</v>
      </c>
      <c r="AO1" s="1" t="s">
        <v>1889</v>
      </c>
      <c r="AY1" s="1" t="s">
        <v>1890</v>
      </c>
      <c r="BI1" s="1" t="s">
        <v>1891</v>
      </c>
      <c r="BS1" s="1" t="s">
        <v>1892</v>
      </c>
      <c r="CC1" s="1" t="s">
        <v>1893</v>
      </c>
      <c r="CM1" s="1" t="s">
        <v>1894</v>
      </c>
      <c r="CW1" s="1" t="s">
        <v>1895</v>
      </c>
      <c r="DG1" s="1" t="s">
        <v>1896</v>
      </c>
      <c r="DQ1" s="1" t="s">
        <v>1897</v>
      </c>
      <c r="EA1" s="1" t="s">
        <v>1898</v>
      </c>
      <c r="EK1" s="1" t="s">
        <v>1899</v>
      </c>
      <c r="EU1" s="1" t="s">
        <v>1900</v>
      </c>
      <c r="FE1" s="1" t="s">
        <v>1901</v>
      </c>
      <c r="FO1" s="1" t="s">
        <v>1902</v>
      </c>
      <c r="FY1" s="1" t="s">
        <v>1903</v>
      </c>
      <c r="GI1" s="1" t="s">
        <v>1904</v>
      </c>
      <c r="GS1" s="1" t="s">
        <v>1905</v>
      </c>
      <c r="HC1" s="1" t="s">
        <v>1906</v>
      </c>
      <c r="HM1" s="1" t="s">
        <v>1907</v>
      </c>
      <c r="HW1" s="1" t="s">
        <v>1908</v>
      </c>
      <c r="IG1" s="1" t="s">
        <v>1909</v>
      </c>
      <c r="IQ1" s="1" t="s">
        <v>1910</v>
      </c>
      <c r="JA1" s="1" t="s">
        <v>1911</v>
      </c>
      <c r="JK1" s="1" t="s">
        <v>1912</v>
      </c>
      <c r="JU1" s="1" t="s">
        <v>1913</v>
      </c>
      <c r="KE1" s="1" t="s">
        <v>1914</v>
      </c>
      <c r="KO1" s="1" t="s">
        <v>1915</v>
      </c>
      <c r="KY1" s="1" t="s">
        <v>1916</v>
      </c>
      <c r="LI1" s="1" t="s">
        <v>1917</v>
      </c>
      <c r="LS1" s="1" t="s">
        <v>1918</v>
      </c>
      <c r="MC1" s="1" t="s">
        <v>1919</v>
      </c>
      <c r="MM1" s="1" t="s">
        <v>1920</v>
      </c>
      <c r="MW1" s="1" t="s">
        <v>1921</v>
      </c>
      <c r="NG1" s="1" t="s">
        <v>1922</v>
      </c>
      <c r="NQ1" s="1" t="s">
        <v>1923</v>
      </c>
      <c r="OA1" s="1" t="s">
        <v>1924</v>
      </c>
    </row>
    <row r="2" spans="1:396" x14ac:dyDescent="0.25">
      <c r="A2" s="2" t="s">
        <v>1925</v>
      </c>
      <c r="K2" s="2" t="s">
        <v>1926</v>
      </c>
      <c r="U2" s="2" t="s">
        <v>261</v>
      </c>
      <c r="AE2" s="2" t="s">
        <v>1927</v>
      </c>
      <c r="AO2" s="2" t="s">
        <v>986</v>
      </c>
      <c r="AY2" s="2" t="s">
        <v>64</v>
      </c>
      <c r="BI2" s="2" t="s">
        <v>64</v>
      </c>
      <c r="BS2" s="2" t="s">
        <v>1928</v>
      </c>
      <c r="CC2" s="2" t="s">
        <v>1929</v>
      </c>
      <c r="CM2" s="2" t="s">
        <v>871</v>
      </c>
      <c r="CW2" s="2" t="s">
        <v>792</v>
      </c>
      <c r="DG2" s="2" t="s">
        <v>969</v>
      </c>
      <c r="DQ2" s="2" t="s">
        <v>1930</v>
      </c>
      <c r="EA2" s="2" t="s">
        <v>1931</v>
      </c>
      <c r="EK2" s="2" t="s">
        <v>1932</v>
      </c>
      <c r="EU2" s="2" t="s">
        <v>1933</v>
      </c>
      <c r="FE2" s="2" t="s">
        <v>1934</v>
      </c>
      <c r="FO2" s="2" t="s">
        <v>1647</v>
      </c>
      <c r="FY2" s="2" t="s">
        <v>1840</v>
      </c>
      <c r="GI2" s="2" t="s">
        <v>1935</v>
      </c>
      <c r="GS2" s="2" t="s">
        <v>64</v>
      </c>
      <c r="HC2" s="2" t="s">
        <v>472</v>
      </c>
      <c r="HM2" s="2" t="s">
        <v>1078</v>
      </c>
      <c r="HW2" s="2" t="s">
        <v>388</v>
      </c>
      <c r="IG2" s="2" t="s">
        <v>577</v>
      </c>
      <c r="IQ2" s="2" t="s">
        <v>269</v>
      </c>
      <c r="JA2" s="2" t="s">
        <v>64</v>
      </c>
      <c r="JK2" s="2" t="s">
        <v>1936</v>
      </c>
      <c r="JU2" s="2" t="s">
        <v>1937</v>
      </c>
      <c r="KE2" s="2" t="s">
        <v>1938</v>
      </c>
      <c r="KO2" s="2" t="s">
        <v>1939</v>
      </c>
      <c r="KY2" s="2" t="s">
        <v>1940</v>
      </c>
      <c r="LI2" s="2" t="s">
        <v>1941</v>
      </c>
      <c r="LS2" s="2" t="s">
        <v>1073</v>
      </c>
      <c r="MC2" s="2" t="s">
        <v>1942</v>
      </c>
      <c r="MM2" s="2" t="s">
        <v>1468</v>
      </c>
      <c r="MW2" s="2" t="s">
        <v>1943</v>
      </c>
      <c r="NG2" s="2" t="s">
        <v>261</v>
      </c>
      <c r="NQ2" s="2" t="s">
        <v>1944</v>
      </c>
      <c r="OA2" s="2" t="s">
        <v>1945</v>
      </c>
    </row>
    <row r="3" spans="1:396" x14ac:dyDescent="0.25">
      <c r="A3" t="s">
        <v>1946</v>
      </c>
      <c r="K3" t="s">
        <v>1947</v>
      </c>
      <c r="U3" t="s">
        <v>1948</v>
      </c>
      <c r="AE3" t="s">
        <v>1949</v>
      </c>
      <c r="AO3" t="s">
        <v>1950</v>
      </c>
      <c r="AY3" t="s">
        <v>1951</v>
      </c>
      <c r="BI3" t="s">
        <v>1952</v>
      </c>
      <c r="BS3" t="s">
        <v>1953</v>
      </c>
      <c r="CC3" t="s">
        <v>1954</v>
      </c>
      <c r="CM3" t="s">
        <v>1955</v>
      </c>
      <c r="CW3" t="s">
        <v>1956</v>
      </c>
      <c r="DG3" t="s">
        <v>1957</v>
      </c>
      <c r="DQ3" t="s">
        <v>1958</v>
      </c>
      <c r="EA3" t="s">
        <v>1959</v>
      </c>
      <c r="EK3" t="s">
        <v>1960</v>
      </c>
      <c r="EU3" t="s">
        <v>1961</v>
      </c>
      <c r="FE3" t="s">
        <v>1962</v>
      </c>
      <c r="FO3" t="s">
        <v>1963</v>
      </c>
      <c r="FY3" t="s">
        <v>419</v>
      </c>
      <c r="GI3" t="s">
        <v>1189</v>
      </c>
      <c r="GS3" t="s">
        <v>1964</v>
      </c>
      <c r="HC3" t="s">
        <v>1965</v>
      </c>
      <c r="HM3" t="s">
        <v>1966</v>
      </c>
      <c r="HW3" t="s">
        <v>1967</v>
      </c>
      <c r="IG3" t="s">
        <v>1968</v>
      </c>
      <c r="IQ3" t="s">
        <v>613</v>
      </c>
      <c r="JA3" t="s">
        <v>1969</v>
      </c>
      <c r="JK3" t="s">
        <v>1970</v>
      </c>
      <c r="JU3" t="s">
        <v>1971</v>
      </c>
      <c r="KE3" t="s">
        <v>1018</v>
      </c>
      <c r="KO3" t="s">
        <v>1972</v>
      </c>
      <c r="KY3" t="s">
        <v>1973</v>
      </c>
      <c r="LI3" t="s">
        <v>1482</v>
      </c>
      <c r="LS3" t="s">
        <v>1974</v>
      </c>
      <c r="MC3" t="s">
        <v>1304</v>
      </c>
      <c r="MM3" t="s">
        <v>1975</v>
      </c>
      <c r="MW3" t="s">
        <v>1976</v>
      </c>
      <c r="NG3" t="s">
        <v>1977</v>
      </c>
      <c r="NQ3" t="s">
        <v>1771</v>
      </c>
      <c r="OA3" t="s">
        <v>1283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_xll.BDS("SNV US Equity","SUPPLY_CHAIN_SUPPLIERS","RELATIONSHIP_AS_OF_DATE","20180724")</f>
        <v>VYX US Equity</v>
      </c>
      <c r="F5" t="str">
        <f>_xll.BDS("SNV US Equity","SUPPLY_CHAIN_CUSTOMERS","RELATIONSHIP_AS_OF_DATE","20180724")</f>
        <v>#N/A N/A</v>
      </c>
      <c r="K5" t="str">
        <f>_xll.BDS("9876567D US Equity","SUPPLY_CHAIN_SUPPLIERS","RELATIONSHIP_AS_OF_DATE","20121221")</f>
        <v>#N/A N/A</v>
      </c>
      <c r="P5" t="str">
        <f>_xll.BDS("9876567D US Equity","SUPPLY_CHAIN_CUSTOMERS","RELATIONSHIP_AS_OF_DATE","20121221")</f>
        <v>#N/A N/A</v>
      </c>
      <c r="U5" t="str">
        <f>_xll.BDS("HPQ US Equity","SUPPLY_CHAIN_SUPPLIERS","RELATIONSHIP_AS_OF_DATE","20091111","cols=1;rows=5")</f>
        <v>2356 TT Equity</v>
      </c>
      <c r="Z5" t="str">
        <f>_xll.BDS("HPQ US Equity","SUPPLY_CHAIN_CUSTOMERS","RELATIONSHIP_AS_OF_DATE","20091111","cols=1;rows=5")</f>
        <v>SNX US Equity</v>
      </c>
      <c r="AE5" t="str">
        <f>_xll.BDS("ENDPQ US Equity","SUPPLY_CHAIN_SUPPLIERS","RELATIONSHIP_AS_OF_DATE","20110411","cols=1;rows=5")</f>
        <v>0177858D US Equity</v>
      </c>
      <c r="AJ5" t="str">
        <f>_xll.BDS("ENDPQ US Equity","SUPPLY_CHAIN_CUSTOMERS","RELATIONSHIP_AS_OF_DATE","20110411","cols=1;rows=5")</f>
        <v>0219682Z US Equity</v>
      </c>
      <c r="AO5" t="str">
        <f>_xll.BDS("CG US Equity","SUPPLY_CHAIN_SUPPLIERS","RELATIONSHIP_AS_OF_DATE","20070709","cols=1;rows=5")</f>
        <v>SLG US Equity</v>
      </c>
      <c r="AT5" t="str">
        <f>_xll.BDS("CG US Equity","SUPPLY_CHAIN_CUSTOMERS","RELATIONSHIP_AS_OF_DATE","20070709","cols=1;rows=5")</f>
        <v>POOL US Equity</v>
      </c>
      <c r="AY5" t="str">
        <f>_xll.BDS("nan Equity","SUPPLY_CHAIN_SUPPLIERS","RELATIONSHIP_AS_OF_DATE","20050815")</f>
        <v>#N/A N/A</v>
      </c>
      <c r="BD5" t="str">
        <f>_xll.BDS("nan Equity","SUPPLY_CHAIN_CUSTOMERS","RELATIONSHIP_AS_OF_DATE","20050815")</f>
        <v>#N/A N/A</v>
      </c>
      <c r="BI5" t="str">
        <f>_xll.BDS("nan Equity","SUPPLY_CHAIN_SUPPLIERS","RELATIONSHIP_AS_OF_DATE","19980702")</f>
        <v>#N/A N/A</v>
      </c>
      <c r="BN5" t="str">
        <f>_xll.BDS("nan Equity","SUPPLY_CHAIN_CUSTOMERS","RELATIONSHIP_AS_OF_DATE","19980702")</f>
        <v>#N/A N/A</v>
      </c>
      <c r="BS5" t="str">
        <f>_xll.BDS("3867693Z US Equity","SUPPLY_CHAIN_SUPPLIERS","RELATIONSHIP_AS_OF_DATE","20070508")</f>
        <v>#N/A N/A</v>
      </c>
      <c r="BX5" t="str">
        <f>_xll.BDS("3867693Z US Equity","SUPPLY_CHAIN_CUSTOMERS","RELATIONSHIP_AS_OF_DATE","20070508")</f>
        <v>#N/A N/A</v>
      </c>
      <c r="CC5" t="str">
        <f>_xll.BDS("JEF US Equity","SUPPLY_CHAIN_SUPPLIERS","RELATIONSHIP_AS_OF_DATE","20121112","cols=1;rows=5")</f>
        <v>000063 CH Equity</v>
      </c>
      <c r="CH5" t="str">
        <f>_xll.BDS("JEF US Equity","SUPPLY_CHAIN_CUSTOMERS","RELATIONSHIP_AS_OF_DATE","20121112")</f>
        <v>#N/A N/A</v>
      </c>
      <c r="CM5" t="str">
        <f>_xll.BDS("OVV US Equity","SUPPLY_CHAIN_SUPPLIERS","RELATIONSHIP_AS_OF_DATE","20040415","cols=1;rows=5")</f>
        <v>VK FP Equity</v>
      </c>
      <c r="CR5" t="str">
        <f>_xll.BDS("OVV US Equity","SUPPLY_CHAIN_CUSTOMERS","RELATIONSHIP_AS_OF_DATE","20040415")</f>
        <v>9888092Z US Equity</v>
      </c>
      <c r="CW5" t="str">
        <f>_xll.BDS("COHR US Equity","SUPPLY_CHAIN_SUPPLIERS","RELATIONSHIP_AS_OF_DATE","20181109","cols=1;rows=5")</f>
        <v>AVGO US Equity</v>
      </c>
      <c r="DB5" t="str">
        <f>_xll.BDS("COHR US Equity","SUPPLY_CHAIN_CUSTOMERS","RELATIONSHIP_AS_OF_DATE","20181109","cols=1;rows=5")</f>
        <v>HPE US Equity</v>
      </c>
      <c r="DG5" t="str">
        <f>_xll.BDS("CSCO US Equity","SUPPLY_CHAIN_SUPPLIERS","RELATIONSHIP_AS_OF_DATE","20070315","cols=1;rows=5")</f>
        <v>NVDA US Equity</v>
      </c>
      <c r="DL5" t="str">
        <f>_xll.BDS("CSCO US Equity","SUPPLY_CHAIN_CUSTOMERS","RELATIONSHIP_AS_OF_DATE","20070315","cols=1;rows=5")</f>
        <v>SNX US Equity</v>
      </c>
      <c r="DQ5" t="str">
        <f>_xll.BDS("EXDSQ US Equity","SUPPLY_CHAIN_SUPPLIERS","RELATIONSHIP_AS_OF_DATE","20000928")</f>
        <v>#N/A N/A</v>
      </c>
      <c r="DV5" t="str">
        <f>_xll.BDS("EXDSQ US Equity","SUPPLY_CHAIN_CUSTOMERS","RELATIONSHIP_AS_OF_DATE","20000928")</f>
        <v>#N/A N/A</v>
      </c>
      <c r="EA5" t="str">
        <f>_xll.BDS("FLG US Equity","SUPPLY_CHAIN_SUPPLIERS","RELATIONSHIP_AS_OF_DATE","20210426","cols=1;rows=5")</f>
        <v>CXM US Equity</v>
      </c>
      <c r="EF5" t="str">
        <f>_xll.BDS("FLG US Equity","SUPPLY_CHAIN_CUSTOMERS","RELATIONSHIP_AS_OF_DATE","20210426")</f>
        <v>#N/A N/A</v>
      </c>
      <c r="EK5" t="str">
        <f>_xll.BDS("MLM US Equity","SUPPLY_CHAIN_SUPPLIERS","RELATIONSHIP_AS_OF_DATE","20140128","cols=1;rows=5")</f>
        <v>RAIL US Equity</v>
      </c>
      <c r="EP5" t="str">
        <f>_xll.BDS("MLM US Equity","SUPPLY_CHAIN_CUSTOMERS","RELATIONSHIP_AS_OF_DATE","20140128","cols=1;rows=3")</f>
        <v>FTEK US Equity</v>
      </c>
      <c r="EU5" t="str">
        <f>_xll.BDS("1074528D US Equity","SUPPLY_CHAIN_SUPPLIERS","RELATIONSHIP_AS_OF_DATE","20070627")</f>
        <v>#N/A N/A</v>
      </c>
      <c r="EZ5" t="str">
        <f>_xll.BDS("1074528D US Equity","SUPPLY_CHAIN_CUSTOMERS","RELATIONSHIP_AS_OF_DATE","20070627")</f>
        <v>#N/A N/A</v>
      </c>
      <c r="FE5" t="str">
        <f>_xll.BDS("1927294D US Equity","SUPPLY_CHAIN_SUPPLIERS","RELATIONSHIP_AS_OF_DATE","20050603")</f>
        <v>FE US Equity</v>
      </c>
      <c r="FJ5" t="str">
        <f>_xll.BDS("1927294D US Equity","SUPPLY_CHAIN_CUSTOMERS","RELATIONSHIP_AS_OF_DATE","20050603")</f>
        <v>#N/A N/A</v>
      </c>
      <c r="FO5" t="str">
        <f>_xll.BDS("HFC US Equity","SUPPLY_CHAIN_SUPPLIERS","RELATIONSHIP_AS_OF_DATE","20110222")</f>
        <v>#N/A N/A</v>
      </c>
      <c r="FT5" t="str">
        <f>_xll.BDS("HFC US Equity","SUPPLY_CHAIN_CUSTOMERS","RELATIONSHIP_AS_OF_DATE","20110222")</f>
        <v>#N/A N/A</v>
      </c>
      <c r="FY5" t="str">
        <f>_xll.BDS("9990822D US Equity","SUPPLY_CHAIN_SUPPLIERS","RELATIONSHIP_AS_OF_DATE","20190610")</f>
        <v>AMZN US Equity</v>
      </c>
      <c r="GD5" t="str">
        <f>_xll.BDS("9990822D US Equity","SUPPLY_CHAIN_CUSTOMERS","RELATIONSHIP_AS_OF_DATE","20190610","cols=1;rows=3")</f>
        <v>0759608D US Equity</v>
      </c>
      <c r="GI5" t="str">
        <f>_xll.BDS("GT US Equity","SUPPLY_CHAIN_SUPPLIERS","RELATIONSHIP_AS_OF_DATE","20210222","cols=1;rows=5")</f>
        <v>OEC US Equity</v>
      </c>
      <c r="GN5" t="str">
        <f>_xll.BDS("GT US Equity","SUPPLY_CHAIN_CUSTOMERS","RELATIONSHIP_AS_OF_DATE","20210222","cols=1;rows=5")</f>
        <v>F US Equity</v>
      </c>
      <c r="GS5" t="str">
        <f>_xll.BDS("nan Equity","SUPPLY_CHAIN_SUPPLIERS","RELATIONSHIP_AS_OF_DATE","20060705")</f>
        <v>#N/A N/A</v>
      </c>
      <c r="GX5" t="str">
        <f>_xll.BDS("nan Equity","SUPPLY_CHAIN_CUSTOMERS","RELATIONSHIP_AS_OF_DATE","20060705")</f>
        <v>#N/A N/A</v>
      </c>
      <c r="HC5" t="str">
        <f>_xll.BDS("UNH US Equity","SUPPLY_CHAIN_SUPPLIERS","RELATIONSHIP_AS_OF_DATE","20170829","cols=1;rows=5")</f>
        <v>VRTX US Equity</v>
      </c>
      <c r="HH5" t="str">
        <f>_xll.BDS("UNH US Equity","SUPPLY_CHAIN_CUSTOMERS","RELATIONSHIP_AS_OF_DATE","20170829","cols=1;rows=5")</f>
        <v>9877893Z US Equity</v>
      </c>
      <c r="HM5" t="str">
        <f>_xll.BDS("SSNC US Equity","SUPPLY_CHAIN_SUPPLIERS","RELATIONSHIP_AS_OF_DATE","20150202","cols=1;rows=5")</f>
        <v>D-U CN Equity</v>
      </c>
      <c r="HR5" t="str">
        <f>_xll.BDS("SSNC US Equity","SUPPLY_CHAIN_CUSTOMERS","RELATIONSHIP_AS_OF_DATE","20150202","cols=1;rows=5")</f>
        <v>AYX US Equity</v>
      </c>
      <c r="HW5" t="str">
        <f>_xll.BDS("NOC US Equity","SUPPLY_CHAIN_SUPPLIERS","RELATIONSHIP_AS_OF_DATE","20011108","cols=1;rows=5")</f>
        <v>RTX US Equity</v>
      </c>
      <c r="IB5" t="str">
        <f>_xll.BDS("NOC US Equity","SUPPLY_CHAIN_CUSTOMERS","RELATIONSHIP_AS_OF_DATE","20011108","cols=1;rows=5")</f>
        <v>3352Z US Equity</v>
      </c>
      <c r="IG5" t="str">
        <f>_xll.BDS("355488Q US Equity","SUPPLY_CHAIN_SUPPLIERS","RELATIONSHIP_AS_OF_DATE","19980209")</f>
        <v>#N/A N/A</v>
      </c>
      <c r="IL5" t="str">
        <f>_xll.BDS("355488Q US Equity","SUPPLY_CHAIN_CUSTOMERS","RELATIONSHIP_AS_OF_DATE","19980209")</f>
        <v>#N/A N/A</v>
      </c>
      <c r="IQ5" t="str">
        <f>_xll.BDS("FCX US Equity","SUPPLY_CHAIN_SUPPLIERS","RELATIONSHIP_AS_OF_DATE","20121205","cols=1;rows=5")</f>
        <v>5711 JP Equity</v>
      </c>
      <c r="IV5" t="str">
        <f>_xll.BDS("FCX US Equity","SUPPLY_CHAIN_CUSTOMERS","RELATIONSHIP_AS_OF_DATE","20121205","cols=1;rows=5")</f>
        <v>5711 JP Equity</v>
      </c>
      <c r="JA5" t="str">
        <f>_xll.BDS("nan Equity","SUPPLY_CHAIN_SUPPLIERS","RELATIONSHIP_AS_OF_DATE","20101028")</f>
        <v>#N/A N/A</v>
      </c>
      <c r="JF5" t="str">
        <f>_xll.BDS("nan Equity","SUPPLY_CHAIN_CUSTOMERS","RELATIONSHIP_AS_OF_DATE","20101028")</f>
        <v>#N/A N/A</v>
      </c>
      <c r="JK5" t="str">
        <f>_xll.BDS("URS US Equity","SUPPLY_CHAIN_SUPPLIERS","RELATIONSHIP_AS_OF_DATE","20070528")</f>
        <v>#N/A N/A</v>
      </c>
      <c r="JP5" t="str">
        <f>_xll.BDS("URS US Equity","SUPPLY_CHAIN_CUSTOMERS","RELATIONSHIP_AS_OF_DATE","20070528")</f>
        <v>#N/A N/A</v>
      </c>
      <c r="JU5" t="str">
        <f>_xll.BDS("OEI US Equity","SUPPLY_CHAIN_SUPPLIERS","RELATIONSHIP_AS_OF_DATE","19981125")</f>
        <v>#N/A N/A</v>
      </c>
      <c r="JZ5" t="str">
        <f>_xll.BDS("OEI US Equity","SUPPLY_CHAIN_CUSTOMERS","RELATIONSHIP_AS_OF_DATE","19981125")</f>
        <v>#N/A N/A</v>
      </c>
      <c r="KE5" t="str">
        <f>_xll.BDS("NCC US Equity","SUPPLY_CHAIN_SUPPLIERS","RELATIONSHIP_AS_OF_DATE","20070501")</f>
        <v>#N/A N/A</v>
      </c>
      <c r="KJ5" t="str">
        <f>_xll.BDS("NCC US Equity","SUPPLY_CHAIN_CUSTOMERS","RELATIONSHIP_AS_OF_DATE","20070501")</f>
        <v>#N/A N/A</v>
      </c>
      <c r="KO5" t="str">
        <f>_xll.BDS("PK US Equity","SUPPLY_CHAIN_SUPPLIERS","RELATIONSHIP_AS_OF_DATE","20190506","cols=1;rows=5")</f>
        <v>AMS SM Equity</v>
      </c>
      <c r="KT5" t="str">
        <f>_xll.BDS("PK US Equity","SUPPLY_CHAIN_CUSTOMERS","RELATIONSHIP_AS_OF_DATE","20190506")</f>
        <v>#N/A N/A</v>
      </c>
      <c r="KY5" t="str">
        <f>_xll.BDS("ANDX US Equity","SUPPLY_CHAIN_SUPPLIERS","RELATIONSHIP_AS_OF_DATE","20170721")</f>
        <v>#N/A N/A</v>
      </c>
      <c r="LD5" t="str">
        <f>_xll.BDS("ANDX US Equity","SUPPLY_CHAIN_CUSTOMERS","RELATIONSHIP_AS_OF_DATE","20170721")</f>
        <v>#N/A N/A</v>
      </c>
      <c r="LI5" t="str">
        <f>_xll.BDS("TEG US Equity","SUPPLY_CHAIN_SUPPLIERS","RELATIONSHIP_AS_OF_DATE","20060710")</f>
        <v>#N/A N/A</v>
      </c>
      <c r="LN5" t="str">
        <f>_xll.BDS("TEG US Equity","SUPPLY_CHAIN_CUSTOMERS","RELATIONSHIP_AS_OF_DATE","20060710")</f>
        <v>#N/A N/A</v>
      </c>
      <c r="LS5" t="str">
        <f>_xll.BDS("9210611D US Equity","SUPPLY_CHAIN_SUPPLIERS","RELATIONSHIP_AS_OF_DATE","20180924","cols=1;rows=5")</f>
        <v>0006325D US Equity</v>
      </c>
      <c r="LX5" t="str">
        <f>_xll.BDS("9210611D US Equity","SUPPLY_CHAIN_CUSTOMERS","RELATIONSHIP_AS_OF_DATE","20180924","cols=1;rows=5")</f>
        <v>0115249D GR Equity</v>
      </c>
      <c r="MC5" t="str">
        <f>_xll.BDS("HC US Equity","SUPPLY_CHAIN_SUPPLIERS","RELATIONSHIP_AS_OF_DATE","20070205")</f>
        <v>#N/A N/A</v>
      </c>
      <c r="MH5" t="str">
        <f>_xll.BDS("HC US Equity","SUPPLY_CHAIN_CUSTOMERS","RELATIONSHIP_AS_OF_DATE","20070205")</f>
        <v>#N/A N/A</v>
      </c>
      <c r="MM5" t="str">
        <f>_xll.BDS("COR US Equity","SUPPLY_CHAIN_SUPPLIERS","RELATIONSHIP_AS_OF_DATE","20150112","cols=1;rows=5")</f>
        <v>LLY US Equity</v>
      </c>
      <c r="MR5" t="str">
        <f>_xll.BDS("COR US Equity","SUPPLY_CHAIN_CUSTOMERS","RELATIONSHIP_AS_OF_DATE","20150112","cols=1;rows=5")</f>
        <v>WBA US Equity</v>
      </c>
      <c r="MW5" t="str">
        <f>_xll.BDS("MDP US Equity","SUPPLY_CHAIN_SUPPLIERS","RELATIONSHIP_AS_OF_DATE","20171127")</f>
        <v>#N/A N/A</v>
      </c>
      <c r="NB5" t="str">
        <f>_xll.BDS("MDP US Equity","SUPPLY_CHAIN_CUSTOMERS","RELATIONSHIP_AS_OF_DATE","20171127")</f>
        <v>#N/A N/A</v>
      </c>
      <c r="NG5" t="str">
        <f>_xll.BDS("HPQ US Equity","SUPPLY_CHAIN_SUPPLIERS","RELATIONSHIP_AS_OF_DATE","20150302","cols=1;rows=5")</f>
        <v>2356 TT Equity</v>
      </c>
      <c r="NL5" t="str">
        <f>_xll.BDS("HPQ US Equity","SUPPLY_CHAIN_CUSTOMERS","RELATIONSHIP_AS_OF_DATE","20150302","cols=1;rows=5")</f>
        <v>SNX US Equity</v>
      </c>
      <c r="NQ5" t="str">
        <f>_xll.BDS("9995522D US Equity","SUPPLY_CHAIN_SUPPLIERS","RELATIONSHIP_AS_OF_DATE","19980518","cols=1;rows=5")</f>
        <v>300464 CH Equity</v>
      </c>
      <c r="NV5" t="str">
        <f>_xll.BDS("9995522D US Equity","SUPPLY_CHAIN_CUSTOMERS","RELATIONSHIP_AS_OF_DATE","19980518")</f>
        <v>0883189D US Equity</v>
      </c>
      <c r="OA5" t="str">
        <f>_xll.BDS("ONB US Equity","SUPPLY_CHAIN_SUPPLIERS","RELATIONSHIP_AS_OF_DATE","20210601","cols=1;rows=3")</f>
        <v>FCPT US Equity</v>
      </c>
      <c r="OF5" t="str">
        <f>_xll.BDS("ONB US Equity","SUPPLY_CHAIN_CUSTOMERS","RELATIONSHIP_AS_OF_DATE","20210601")</f>
        <v>#N/A N/A</v>
      </c>
    </row>
    <row r="6" spans="1:396" x14ac:dyDescent="0.25">
      <c r="U6" t="s">
        <v>383</v>
      </c>
      <c r="Z6" t="s">
        <v>4139</v>
      </c>
      <c r="AE6" t="s">
        <v>11678</v>
      </c>
      <c r="AJ6" t="s">
        <v>11870</v>
      </c>
      <c r="AO6" t="s">
        <v>10877</v>
      </c>
      <c r="AT6" t="s">
        <v>11686</v>
      </c>
      <c r="CC6" t="s">
        <v>10975</v>
      </c>
      <c r="CM6" t="s">
        <v>12079</v>
      </c>
      <c r="CW6" t="s">
        <v>11042</v>
      </c>
      <c r="DB6" t="s">
        <v>969</v>
      </c>
      <c r="DG6" t="s">
        <v>11089</v>
      </c>
      <c r="DL6" t="s">
        <v>266</v>
      </c>
      <c r="EA6" t="s">
        <v>11962</v>
      </c>
      <c r="EK6" t="s">
        <v>11188</v>
      </c>
      <c r="EP6" t="s">
        <v>13129</v>
      </c>
      <c r="GD6" t="s">
        <v>2705</v>
      </c>
      <c r="GI6" t="s">
        <v>12804</v>
      </c>
      <c r="GN6" t="s">
        <v>12050</v>
      </c>
      <c r="HC6" t="s">
        <v>10846</v>
      </c>
      <c r="HH6" t="s">
        <v>10657</v>
      </c>
      <c r="HM6" t="s">
        <v>10707</v>
      </c>
      <c r="HR6" t="s">
        <v>10649</v>
      </c>
      <c r="HW6" t="s">
        <v>12047</v>
      </c>
      <c r="IB6" t="s">
        <v>10785</v>
      </c>
      <c r="IQ6" t="s">
        <v>12054</v>
      </c>
      <c r="IV6" t="s">
        <v>12856</v>
      </c>
      <c r="KO6" t="s">
        <v>13079</v>
      </c>
      <c r="LS6" t="s">
        <v>12966</v>
      </c>
      <c r="LX6" t="s">
        <v>12922</v>
      </c>
      <c r="MM6" t="s">
        <v>368</v>
      </c>
      <c r="MR6" t="s">
        <v>51</v>
      </c>
      <c r="NG6" t="s">
        <v>383</v>
      </c>
      <c r="NL6" t="s">
        <v>4139</v>
      </c>
      <c r="NQ6" t="s">
        <v>10888</v>
      </c>
      <c r="OA6" t="s">
        <v>8932</v>
      </c>
    </row>
    <row r="7" spans="1:396" x14ac:dyDescent="0.25">
      <c r="U7" t="s">
        <v>11038</v>
      </c>
      <c r="Z7" t="s">
        <v>11749</v>
      </c>
      <c r="AE7" t="s">
        <v>11894</v>
      </c>
      <c r="AJ7" t="s">
        <v>10657</v>
      </c>
      <c r="AO7" t="s">
        <v>11282</v>
      </c>
      <c r="AT7" t="s">
        <v>11114</v>
      </c>
      <c r="CC7" t="s">
        <v>10828</v>
      </c>
      <c r="CM7" t="s">
        <v>11312</v>
      </c>
      <c r="CW7" t="s">
        <v>10726</v>
      </c>
      <c r="DB7" t="s">
        <v>10732</v>
      </c>
      <c r="DG7" t="s">
        <v>11090</v>
      </c>
      <c r="DL7" t="s">
        <v>10892</v>
      </c>
      <c r="EA7" t="s">
        <v>11963</v>
      </c>
      <c r="EK7" t="s">
        <v>2111</v>
      </c>
      <c r="EP7" t="s">
        <v>12962</v>
      </c>
      <c r="GD7" t="s">
        <v>270</v>
      </c>
      <c r="GI7" t="s">
        <v>12805</v>
      </c>
      <c r="GN7" t="s">
        <v>10953</v>
      </c>
      <c r="HC7" t="s">
        <v>10834</v>
      </c>
      <c r="HH7" t="s">
        <v>165</v>
      </c>
      <c r="HM7" t="s">
        <v>10708</v>
      </c>
      <c r="HR7" t="s">
        <v>10650</v>
      </c>
      <c r="HW7" t="s">
        <v>3439</v>
      </c>
      <c r="IB7" t="s">
        <v>469</v>
      </c>
      <c r="IQ7" t="s">
        <v>11292</v>
      </c>
      <c r="IV7" t="s">
        <v>12096</v>
      </c>
      <c r="KO7" t="s">
        <v>13080</v>
      </c>
      <c r="LS7" t="s">
        <v>12967</v>
      </c>
      <c r="LX7" t="s">
        <v>12923</v>
      </c>
      <c r="MM7" t="s">
        <v>45</v>
      </c>
      <c r="MR7" t="s">
        <v>11883</v>
      </c>
      <c r="NG7" t="s">
        <v>11038</v>
      </c>
      <c r="NL7" t="s">
        <v>11749</v>
      </c>
      <c r="NQ7" t="s">
        <v>572</v>
      </c>
      <c r="OA7" t="s">
        <v>3162</v>
      </c>
    </row>
    <row r="8" spans="1:396" x14ac:dyDescent="0.25">
      <c r="U8" t="s">
        <v>11176</v>
      </c>
      <c r="Z8" t="s">
        <v>10660</v>
      </c>
      <c r="AE8" t="s">
        <v>11895</v>
      </c>
      <c r="AJ8" t="s">
        <v>11871</v>
      </c>
      <c r="AO8" t="s">
        <v>11283</v>
      </c>
      <c r="AT8" t="s">
        <v>11010</v>
      </c>
      <c r="CC8" t="s">
        <v>10976</v>
      </c>
      <c r="CM8" t="s">
        <v>1548</v>
      </c>
      <c r="CW8" t="s">
        <v>4898</v>
      </c>
      <c r="DB8" t="s">
        <v>11376</v>
      </c>
      <c r="DG8" t="s">
        <v>10734</v>
      </c>
      <c r="DL8" t="s">
        <v>469</v>
      </c>
      <c r="EA8" t="s">
        <v>154</v>
      </c>
      <c r="EK8" t="s">
        <v>10696</v>
      </c>
      <c r="GI8" t="s">
        <v>11759</v>
      </c>
      <c r="GN8" t="s">
        <v>11184</v>
      </c>
      <c r="HC8" t="s">
        <v>11029</v>
      </c>
      <c r="HH8" t="s">
        <v>10676</v>
      </c>
      <c r="HM8" t="s">
        <v>682</v>
      </c>
      <c r="HR8" t="s">
        <v>10651</v>
      </c>
      <c r="HW8" t="s">
        <v>12048</v>
      </c>
      <c r="IB8" t="s">
        <v>1363</v>
      </c>
      <c r="IQ8" t="s">
        <v>12885</v>
      </c>
      <c r="IV8" t="s">
        <v>12857</v>
      </c>
      <c r="KO8" t="s">
        <v>12076</v>
      </c>
      <c r="LS8" t="s">
        <v>12968</v>
      </c>
      <c r="LX8" t="s">
        <v>5236</v>
      </c>
      <c r="MM8" t="s">
        <v>43</v>
      </c>
      <c r="MR8" t="s">
        <v>10797</v>
      </c>
      <c r="NG8" t="s">
        <v>11176</v>
      </c>
      <c r="NL8" t="s">
        <v>10660</v>
      </c>
      <c r="NQ8" t="s">
        <v>13027</v>
      </c>
    </row>
    <row r="9" spans="1:396" x14ac:dyDescent="0.25">
      <c r="U9" t="s">
        <v>10852</v>
      </c>
      <c r="Z9" t="s">
        <v>10918</v>
      </c>
      <c r="AE9" t="s">
        <v>11896</v>
      </c>
      <c r="AJ9" t="s">
        <v>970</v>
      </c>
      <c r="AO9" t="s">
        <v>11139</v>
      </c>
      <c r="AT9" t="s">
        <v>10660</v>
      </c>
      <c r="CC9" t="s">
        <v>10829</v>
      </c>
      <c r="CM9" t="s">
        <v>12820</v>
      </c>
      <c r="CW9" t="s">
        <v>11043</v>
      </c>
      <c r="DB9" t="s">
        <v>10893</v>
      </c>
      <c r="DG9" t="s">
        <v>11170</v>
      </c>
      <c r="DL9" t="s">
        <v>41</v>
      </c>
      <c r="EA9" t="s">
        <v>11964</v>
      </c>
      <c r="EK9" t="s">
        <v>1265</v>
      </c>
      <c r="GI9" t="s">
        <v>12806</v>
      </c>
      <c r="GN9" t="s">
        <v>11185</v>
      </c>
      <c r="HC9" t="s">
        <v>43</v>
      </c>
      <c r="HH9" t="s">
        <v>11267</v>
      </c>
      <c r="HM9" t="s">
        <v>10709</v>
      </c>
      <c r="HR9" t="s">
        <v>10652</v>
      </c>
      <c r="HW9" t="s">
        <v>10786</v>
      </c>
      <c r="IB9" t="s">
        <v>11193</v>
      </c>
      <c r="IQ9" t="s">
        <v>12857</v>
      </c>
      <c r="IV9" t="s">
        <v>12858</v>
      </c>
      <c r="KO9" t="s">
        <v>13004</v>
      </c>
      <c r="LS9" t="s">
        <v>12969</v>
      </c>
      <c r="LX9" t="s">
        <v>469</v>
      </c>
      <c r="MM9" t="s">
        <v>11029</v>
      </c>
      <c r="MR9" t="s">
        <v>11884</v>
      </c>
      <c r="NG9" t="s">
        <v>10852</v>
      </c>
      <c r="NL9" t="s">
        <v>10918</v>
      </c>
      <c r="NQ9" t="s">
        <v>280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1978</v>
      </c>
      <c r="K1" s="1" t="s">
        <v>1979</v>
      </c>
      <c r="U1" s="1" t="s">
        <v>1980</v>
      </c>
      <c r="AE1" s="1" t="s">
        <v>1981</v>
      </c>
      <c r="AO1" s="1" t="s">
        <v>1982</v>
      </c>
      <c r="AY1" s="1" t="s">
        <v>1983</v>
      </c>
      <c r="BI1" s="1" t="s">
        <v>1984</v>
      </c>
      <c r="BS1" s="1" t="s">
        <v>1985</v>
      </c>
      <c r="CC1" s="1" t="s">
        <v>1986</v>
      </c>
      <c r="CM1" s="1" t="s">
        <v>1987</v>
      </c>
      <c r="CW1" s="1" t="s">
        <v>1988</v>
      </c>
      <c r="DG1" s="1" t="s">
        <v>1989</v>
      </c>
      <c r="DQ1" s="1" t="s">
        <v>1990</v>
      </c>
      <c r="EA1" s="1" t="s">
        <v>1991</v>
      </c>
      <c r="EK1" s="1" t="s">
        <v>1992</v>
      </c>
      <c r="EU1" s="1" t="s">
        <v>1993</v>
      </c>
      <c r="FE1" s="1" t="s">
        <v>1994</v>
      </c>
      <c r="FO1" s="1" t="s">
        <v>1995</v>
      </c>
      <c r="FY1" s="1" t="s">
        <v>1996</v>
      </c>
      <c r="GI1" s="1" t="s">
        <v>1997</v>
      </c>
      <c r="GS1" s="1" t="s">
        <v>1998</v>
      </c>
      <c r="HC1" s="1" t="s">
        <v>1999</v>
      </c>
      <c r="HM1" s="1" t="s">
        <v>2000</v>
      </c>
      <c r="HW1" s="1" t="s">
        <v>2001</v>
      </c>
      <c r="IG1" s="1" t="s">
        <v>2002</v>
      </c>
      <c r="IQ1" s="1" t="s">
        <v>2003</v>
      </c>
      <c r="JA1" s="1" t="s">
        <v>2004</v>
      </c>
      <c r="JK1" s="1" t="s">
        <v>2005</v>
      </c>
      <c r="JU1" s="1" t="s">
        <v>2006</v>
      </c>
      <c r="KE1" s="1" t="s">
        <v>2007</v>
      </c>
      <c r="KO1" s="1" t="s">
        <v>2008</v>
      </c>
      <c r="KY1" s="1" t="s">
        <v>2009</v>
      </c>
      <c r="LI1" s="1" t="s">
        <v>2010</v>
      </c>
      <c r="LS1" s="1" t="s">
        <v>2011</v>
      </c>
      <c r="MC1" s="1" t="s">
        <v>2012</v>
      </c>
      <c r="MM1" s="1" t="s">
        <v>2013</v>
      </c>
      <c r="MW1" s="1" t="s">
        <v>2014</v>
      </c>
      <c r="NG1" s="1" t="s">
        <v>2015</v>
      </c>
      <c r="NQ1" s="1" t="s">
        <v>2016</v>
      </c>
      <c r="OA1" s="1" t="s">
        <v>2017</v>
      </c>
    </row>
    <row r="2" spans="1:396" x14ac:dyDescent="0.25">
      <c r="A2" s="2" t="s">
        <v>161</v>
      </c>
      <c r="K2" s="2" t="s">
        <v>2018</v>
      </c>
      <c r="U2" s="2" t="s">
        <v>2019</v>
      </c>
      <c r="AE2" s="2" t="s">
        <v>2020</v>
      </c>
      <c r="AO2" s="2" t="s">
        <v>64</v>
      </c>
      <c r="AY2" s="2" t="s">
        <v>477</v>
      </c>
      <c r="BI2" s="2" t="s">
        <v>2021</v>
      </c>
      <c r="BS2" s="2" t="s">
        <v>2022</v>
      </c>
      <c r="CC2" s="2" t="s">
        <v>791</v>
      </c>
      <c r="CM2" s="2" t="s">
        <v>472</v>
      </c>
      <c r="CW2" s="2" t="s">
        <v>2023</v>
      </c>
      <c r="DG2" s="2" t="s">
        <v>259</v>
      </c>
      <c r="DQ2" s="2" t="s">
        <v>2024</v>
      </c>
      <c r="EA2" s="2" t="s">
        <v>870</v>
      </c>
      <c r="EK2" s="2" t="s">
        <v>470</v>
      </c>
      <c r="EU2" s="2" t="s">
        <v>175</v>
      </c>
      <c r="FE2" s="2" t="s">
        <v>2025</v>
      </c>
      <c r="FO2" s="2" t="s">
        <v>168</v>
      </c>
      <c r="FY2" s="2" t="s">
        <v>2026</v>
      </c>
      <c r="GI2" s="2" t="s">
        <v>793</v>
      </c>
      <c r="GS2" s="2" t="s">
        <v>50</v>
      </c>
      <c r="HC2" s="2" t="s">
        <v>884</v>
      </c>
      <c r="HM2" s="2" t="s">
        <v>2027</v>
      </c>
      <c r="HW2" s="2" t="s">
        <v>54</v>
      </c>
      <c r="IG2" s="2" t="s">
        <v>65</v>
      </c>
      <c r="IQ2" s="2" t="s">
        <v>2028</v>
      </c>
      <c r="JA2" s="2" t="s">
        <v>2029</v>
      </c>
      <c r="JK2" s="2" t="s">
        <v>158</v>
      </c>
      <c r="JU2" s="2" t="s">
        <v>382</v>
      </c>
      <c r="KE2" s="2" t="s">
        <v>2030</v>
      </c>
      <c r="KO2" s="2" t="s">
        <v>2031</v>
      </c>
      <c r="KY2" s="2" t="s">
        <v>2032</v>
      </c>
      <c r="LI2" s="2" t="s">
        <v>2033</v>
      </c>
      <c r="LS2" s="2" t="s">
        <v>64</v>
      </c>
      <c r="MC2" s="2" t="s">
        <v>2034</v>
      </c>
      <c r="MM2" s="2" t="s">
        <v>263</v>
      </c>
      <c r="MW2" s="2" t="s">
        <v>2035</v>
      </c>
      <c r="NG2" s="2" t="s">
        <v>2036</v>
      </c>
      <c r="NQ2" s="2" t="s">
        <v>2037</v>
      </c>
      <c r="OA2" s="2" t="s">
        <v>2038</v>
      </c>
    </row>
    <row r="3" spans="1:396" x14ac:dyDescent="0.25">
      <c r="A3" t="s">
        <v>2039</v>
      </c>
      <c r="K3" t="s">
        <v>2040</v>
      </c>
      <c r="U3" t="s">
        <v>2041</v>
      </c>
      <c r="AE3" t="s">
        <v>2042</v>
      </c>
      <c r="AO3" t="s">
        <v>2043</v>
      </c>
      <c r="AY3" t="s">
        <v>2044</v>
      </c>
      <c r="BI3" t="s">
        <v>2045</v>
      </c>
      <c r="BS3" t="s">
        <v>2046</v>
      </c>
      <c r="CC3" t="s">
        <v>1949</v>
      </c>
      <c r="CM3" t="s">
        <v>819</v>
      </c>
      <c r="CW3" t="s">
        <v>2047</v>
      </c>
      <c r="DG3" t="s">
        <v>2048</v>
      </c>
      <c r="DQ3" t="s">
        <v>2049</v>
      </c>
      <c r="EA3" t="s">
        <v>695</v>
      </c>
      <c r="EK3" t="s">
        <v>1392</v>
      </c>
      <c r="EU3" t="s">
        <v>2050</v>
      </c>
      <c r="FE3" t="s">
        <v>2051</v>
      </c>
      <c r="FO3" t="s">
        <v>2052</v>
      </c>
      <c r="FY3" t="s">
        <v>2053</v>
      </c>
      <c r="GI3" t="s">
        <v>2054</v>
      </c>
      <c r="GS3" t="s">
        <v>2055</v>
      </c>
      <c r="HC3" t="s">
        <v>2056</v>
      </c>
      <c r="HM3" t="s">
        <v>2057</v>
      </c>
      <c r="HW3" t="s">
        <v>2058</v>
      </c>
      <c r="IG3" t="s">
        <v>2059</v>
      </c>
      <c r="IQ3" t="s">
        <v>2060</v>
      </c>
      <c r="JA3" t="s">
        <v>2061</v>
      </c>
      <c r="JK3" t="s">
        <v>2062</v>
      </c>
      <c r="JU3" t="s">
        <v>2063</v>
      </c>
      <c r="KE3" t="s">
        <v>2064</v>
      </c>
      <c r="KO3" t="s">
        <v>2065</v>
      </c>
      <c r="KY3" t="s">
        <v>2066</v>
      </c>
      <c r="LI3" t="s">
        <v>1407</v>
      </c>
      <c r="LS3" t="s">
        <v>2067</v>
      </c>
      <c r="MC3" t="s">
        <v>2068</v>
      </c>
      <c r="MM3" t="s">
        <v>87</v>
      </c>
      <c r="MW3" t="s">
        <v>1285</v>
      </c>
      <c r="NG3" t="s">
        <v>2069</v>
      </c>
      <c r="NQ3" t="s">
        <v>707</v>
      </c>
      <c r="OA3" t="s">
        <v>2070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_xll.BDS("BX US Equity","SUPPLY_CHAIN_SUPPLIERS","RELATIONSHIP_AS_OF_DATE","20060221","cols=1;rows=5")</f>
        <v>ORCL US Equity</v>
      </c>
      <c r="F5" t="str">
        <f>_xll.BDS("BX US Equity","SUPPLY_CHAIN_CUSTOMERS","RELATIONSHIP_AS_OF_DATE","20060221","cols=1;rows=5")</f>
        <v>002284 CH Equity</v>
      </c>
      <c r="K5" t="str">
        <f>_xll.BDS("COV US Equity","SUPPLY_CHAIN_SUPPLIERS","RELATIONSHIP_AS_OF_DATE","20100601")</f>
        <v>#N/A N/A</v>
      </c>
      <c r="P5" t="str">
        <f>_xll.BDS("COV US Equity","SUPPLY_CHAIN_CUSTOMERS","RELATIONSHIP_AS_OF_DATE","20100601")</f>
        <v>#N/A N/A</v>
      </c>
      <c r="U5" t="str">
        <f>_xll.BDS("PZL US Equity","SUPPLY_CHAIN_SUPPLIERS","RELATIONSHIP_AS_OF_DATE","19980415")</f>
        <v>#N/A N/A</v>
      </c>
      <c r="Z5" t="str">
        <f>_xll.BDS("PZL US Equity","SUPPLY_CHAIN_CUSTOMERS","RELATIONSHIP_AS_OF_DATE","19980415")</f>
        <v>#N/A N/A</v>
      </c>
      <c r="AE5" t="str">
        <f>_xll.BDS("KKR US Equity","SUPPLY_CHAIN_SUPPLIERS","RELATIONSHIP_AS_OF_DATE","20131216","cols=1;rows=5")</f>
        <v>INFO IN Equity</v>
      </c>
      <c r="AJ5" t="str">
        <f>_xll.BDS("KKR US Equity","SUPPLY_CHAIN_CUSTOMERS","RELATIONSHIP_AS_OF_DATE","20131216","cols=1;rows=5")</f>
        <v>TSCO LN Equity</v>
      </c>
      <c r="AO5" t="str">
        <f>_xll.BDS("nan Equity","SUPPLY_CHAIN_SUPPLIERS","RELATIONSHIP_AS_OF_DATE","20070730")</f>
        <v>#N/A N/A</v>
      </c>
      <c r="AT5" t="str">
        <f>_xll.BDS("nan Equity","SUPPLY_CHAIN_CUSTOMERS","RELATIONSHIP_AS_OF_DATE","20070730")</f>
        <v>#N/A N/A</v>
      </c>
      <c r="AY5" t="str">
        <f>_xll.BDS("KR US Equity","SUPPLY_CHAIN_SUPPLIERS","RELATIONSHIP_AS_OF_DATE","20130709","cols=1;rows=5")</f>
        <v>CAH US Equity</v>
      </c>
      <c r="BD5" t="str">
        <f>_xll.BDS("KR US Equity","SUPPLY_CHAIN_CUSTOMERS","RELATIONSHIP_AS_OF_DATE","20130709")</f>
        <v>TTD US Equity</v>
      </c>
      <c r="BI5" t="str">
        <f>_xll.BDS("MHS US Equity","SUPPLY_CHAIN_SUPPLIERS","RELATIONSHIP_AS_OF_DATE","20050223")</f>
        <v>#N/A N/A</v>
      </c>
      <c r="BN5" t="str">
        <f>_xll.BDS("MHS US Equity","SUPPLY_CHAIN_CUSTOMERS","RELATIONSHIP_AS_OF_DATE","20050223")</f>
        <v>#N/A N/A</v>
      </c>
      <c r="BS5" t="str">
        <f>_xll.BDS("RLJ US Equity","SUPPLY_CHAIN_SUPPLIERS","RELATIONSHIP_AS_OF_DATE","20170424")</f>
        <v>HLT US Equity</v>
      </c>
      <c r="BX5" t="str">
        <f>_xll.BDS("RLJ US Equity","SUPPLY_CHAIN_CUSTOMERS","RELATIONSHIP_AS_OF_DATE","20170424")</f>
        <v>#N/A N/A</v>
      </c>
      <c r="CC5" t="str">
        <f>_xll.BDS("LVLT US Equity","SUPPLY_CHAIN_SUPPLIERS","RELATIONSHIP_AS_OF_DATE","20110411")</f>
        <v>#N/A N/A</v>
      </c>
      <c r="CH5" t="str">
        <f>_xll.BDS("LVLT US Equity","SUPPLY_CHAIN_CUSTOMERS","RELATIONSHIP_AS_OF_DATE","20110411")</f>
        <v>#N/A N/A</v>
      </c>
      <c r="CM5" t="str">
        <f>_xll.BDS("UNH US Equity","SUPPLY_CHAIN_SUPPLIERS","RELATIONSHIP_AS_OF_DATE","20070312","cols=1;rows=5")</f>
        <v>VRTX US Equity</v>
      </c>
      <c r="CR5" t="str">
        <f>_xll.BDS("UNH US Equity","SUPPLY_CHAIN_CUSTOMERS","RELATIONSHIP_AS_OF_DATE","20070312","cols=1;rows=5")</f>
        <v>9877893Z US Equity</v>
      </c>
      <c r="CW5" t="str">
        <f>_xll.BDS("1811934D US Equity","SUPPLY_CHAIN_SUPPLIERS","RELATIONSHIP_AS_OF_DATE","20140321")</f>
        <v>#N/A N/A</v>
      </c>
      <c r="DB5" t="str">
        <f>_xll.BDS("1811934D US Equity","SUPPLY_CHAIN_CUSTOMERS","RELATIONSHIP_AS_OF_DATE","20140321")</f>
        <v>#N/A N/A</v>
      </c>
      <c r="DG5" t="str">
        <f>_xll.BDS("CRM US Equity","SUPPLY_CHAIN_SUPPLIERS","RELATIONSHIP_AS_OF_DATE","20130604","cols=1;rows=5")</f>
        <v>BXP US Equity</v>
      </c>
      <c r="DL5" t="str">
        <f>_xll.BDS("CRM US Equity","SUPPLY_CHAIN_CUSTOMERS","RELATIONSHIP_AS_OF_DATE","20130604","cols=1;rows=5")</f>
        <v>SNX US Equity</v>
      </c>
      <c r="DQ5" t="str">
        <f>_xll.BDS("WHR US Equity","SUPPLY_CHAIN_SUPPLIERS","RELATIONSHIP_AS_OF_DATE","20050717","cols=1;rows=5")</f>
        <v>600983 CH Equity</v>
      </c>
      <c r="DV5" t="str">
        <f>_xll.BDS("WHR US Equity","SUPPLY_CHAIN_CUSTOMERS","RELATIONSHIP_AS_OF_DATE","20050717","cols=1;rows=5")</f>
        <v>LOW US Equity</v>
      </c>
      <c r="EA5" t="str">
        <f>_xll.BDS("LLY US Equity","SUPPLY_CHAIN_SUPPLIERS","RELATIONSHIP_AS_OF_DATE","20061017","cols=1;rows=5")</f>
        <v>RIGL US Equity</v>
      </c>
      <c r="EF5" t="str">
        <f>_xll.BDS("LLY US Equity","SUPPLY_CHAIN_CUSTOMERS","RELATIONSHIP_AS_OF_DATE","20061017","cols=1;rows=5")</f>
        <v>MCK US Equity</v>
      </c>
      <c r="EK5" t="str">
        <f>_xll.BDS("CNC US Equity","SUPPLY_CHAIN_SUPPLIERS","RELATIONSHIP_AS_OF_DATE","20210104","cols=1;rows=5")</f>
        <v>CI US Equity</v>
      </c>
      <c r="EP5" t="str">
        <f>_xll.BDS("CNC US Equity","SUPPLY_CHAIN_CUSTOMERS","RELATIONSHIP_AS_OF_DATE","20210104","cols=1;rows=5")</f>
        <v>STONY1 US Equity</v>
      </c>
      <c r="EU5" t="str">
        <f>_xll.BDS("TFC US Equity","SUPPLY_CHAIN_SUPPLIERS","RELATIONSHIP_AS_OF_DATE","20141112","cols=1;rows=5")</f>
        <v>ADBE US Equity</v>
      </c>
      <c r="EZ5" t="str">
        <f>_xll.BDS("TFC US Equity","SUPPLY_CHAIN_CUSTOMERS","RELATIONSHIP_AS_OF_DATE","20141112")</f>
        <v>RENG IN Equity</v>
      </c>
      <c r="FE5" t="str">
        <f>_xll.BDS("CPE US Equity","SUPPLY_CHAIN_SUPPLIERS","RELATIONSHIP_AS_OF_DATE","20190715","cols=1;rows=5")</f>
        <v>600777 CH Equity</v>
      </c>
      <c r="FJ5" t="str">
        <f>_xll.BDS("CPE US Equity","SUPPLY_CHAIN_CUSTOMERS","RELATIONSHIP_AS_OF_DATE","20190715","cols=1;rows=5")</f>
        <v>0707471D US Equity</v>
      </c>
      <c r="FO5" t="str">
        <f>_xll.BDS("SCHW US Equity","SUPPLY_CHAIN_SUPPLIERS","RELATIONSHIP_AS_OF_DATE","20000113","cols=1;rows=5")</f>
        <v>ADBE US Equity</v>
      </c>
      <c r="FT5" t="str">
        <f>_xll.BDS("SCHW US Equity","SUPPLY_CHAIN_CUSTOMERS","RELATIONSHIP_AS_OF_DATE","20000113")</f>
        <v>CNDT US Equity</v>
      </c>
      <c r="FY5" t="str">
        <f>_xll.BDS("PAA US Equity","SUPPLY_CHAIN_SUPPLIERS","RELATIONSHIP_AS_OF_DATE","20060612","cols=1;rows=5")</f>
        <v>CSX US Equity</v>
      </c>
      <c r="GD5" t="str">
        <f>_xll.BDS("PAA US Equity","SUPPLY_CHAIN_CUSTOMERS","RELATIONSHIP_AS_OF_DATE","20060612","cols=1;rows=4")</f>
        <v>XOM US Equity</v>
      </c>
      <c r="GI5" t="str">
        <f>_xll.BDS("NOV US Equity","SUPPLY_CHAIN_SUPPLIERS","RELATIONSHIP_AS_OF_DATE","20120809","cols=1;rows=5")</f>
        <v>OERL SW Equity</v>
      </c>
      <c r="GN5" t="str">
        <f>_xll.BDS("NOV US Equity","SUPPLY_CHAIN_CUSTOMERS","RELATIONSHIP_AS_OF_DATE","20120809","cols=1;rows=5")</f>
        <v>329180 KS Equity</v>
      </c>
      <c r="GS5" t="str">
        <f>_xll.BDS("C US Equity","SUPPLY_CHAIN_SUPPLIERS","RELATIONSHIP_AS_OF_DATE","20000321","cols=1;rows=5")</f>
        <v>ORCL US Equity</v>
      </c>
      <c r="GX5" t="str">
        <f>_xll.BDS("C US Equity","SUPPLY_CHAIN_CUSTOMERS","RELATIONSHIP_AS_OF_DATE","20000321","cols=1;rows=5")</f>
        <v>ANTO LN Equity</v>
      </c>
      <c r="HC5" t="str">
        <f>_xll.BDS("EOP US Equity","SUPPLY_CHAIN_SUPPLIERS","RELATIONSHIP_AS_OF_DATE","20000211")</f>
        <v>#N/A N/A</v>
      </c>
      <c r="HH5" t="str">
        <f>_xll.BDS("EOP US Equity","SUPPLY_CHAIN_CUSTOMERS","RELATIONSHIP_AS_OF_DATE","20000211")</f>
        <v>#N/A N/A</v>
      </c>
      <c r="HM5" t="str">
        <f>_xll.BDS("MSCC US Equity","SUPPLY_CHAIN_SUPPLIERS","RELATIONSHIP_AS_OF_DATE","20151020")</f>
        <v>FE US Equity</v>
      </c>
      <c r="HR5" t="str">
        <f>_xll.BDS("MSCC US Equity","SUPPLY_CHAIN_CUSTOMERS","RELATIONSHIP_AS_OF_DATE","20151020")</f>
        <v>#N/A N/A</v>
      </c>
      <c r="HW5" t="str">
        <f>_xll.BDS("DD US Equity","SUPPLY_CHAIN_SUPPLIERS","RELATIONSHIP_AS_OF_DATE","19990804","cols=1;rows=5")</f>
        <v>900909 CH Equity</v>
      </c>
      <c r="IB5" t="str">
        <f>_xll.BDS("DD US Equity","SUPPLY_CHAIN_CUSTOMERS","RELATIONSHIP_AS_OF_DATE","19990804","cols=1;rows=5")</f>
        <v>AIR FP Equity</v>
      </c>
      <c r="IG5" t="str">
        <f>_xll.BDS("MRK US Equity","SUPPLY_CHAIN_SUPPLIERS","RELATIONSHIP_AS_OF_DATE","20191209","cols=1;rows=5")</f>
        <v>AZN LN Equity</v>
      </c>
      <c r="IL5" t="str">
        <f>_xll.BDS("MRK US Equity","SUPPLY_CHAIN_CUSTOMERS","RELATIONSHIP_AS_OF_DATE","20191209","cols=1;rows=5")</f>
        <v>COR US Equity</v>
      </c>
      <c r="IQ5" t="str">
        <f>_xll.BDS("BKNG US Equity","SUPPLY_CHAIN_SUPPLIERS","RELATIONSHIP_AS_OF_DATE","20140613","cols=1;rows=5")</f>
        <v>TRIP US Equity</v>
      </c>
      <c r="IV5" t="str">
        <f>_xll.BDS("BKNG US Equity","SUPPLY_CHAIN_CUSTOMERS","RELATIONSHIP_AS_OF_DATE","20140613","cols=1;rows=5")</f>
        <v>259206Z SL Equity</v>
      </c>
      <c r="JA5" t="str">
        <f>_xll.BDS("SAIC US Equity","SUPPLY_CHAIN_SUPPLIERS","RELATIONSHIP_AS_OF_DATE","20180910","cols=1;rows=5")</f>
        <v>ST US Equity</v>
      </c>
      <c r="JF5" t="str">
        <f>_xll.BDS("SAIC US Equity","SUPPLY_CHAIN_CUSTOMERS","RELATIONSHIP_AS_OF_DATE","20180910","cols=1;rows=5")</f>
        <v>3352Z US Equity</v>
      </c>
      <c r="JK5" t="str">
        <f>_xll.BDS("BRK/A US Equity","SUPPLY_CHAIN_SUPPLIERS","RELATIONSHIP_AS_OF_DATE","20001220","cols=1;rows=5")</f>
        <v>HSY US Equity</v>
      </c>
      <c r="JP5" t="str">
        <f>_xll.BDS("BRK/A US Equity","SUPPLY_CHAIN_CUSTOMERS","RELATIONSHIP_AS_OF_DATE","20001220","cols=1;rows=5")</f>
        <v>WMT US Equity</v>
      </c>
      <c r="JU5" t="str">
        <f>_xll.BDS("D US Equity","SUPPLY_CHAIN_SUPPLIERS","RELATIONSHIP_AS_OF_DATE","20010910","cols=1;rows=5")</f>
        <v>PWR US Equity</v>
      </c>
      <c r="JZ5" t="str">
        <f>_xll.BDS("D US Equity","SUPPLY_CHAIN_CUSTOMERS","RELATIONSHIP_AS_OF_DATE","20010910","cols=1;rows=5")</f>
        <v>000039 CH Equity</v>
      </c>
      <c r="KE5" t="str">
        <f>_xll.BDS("0574018D US Equity","SUPPLY_CHAIN_SUPPLIERS","RELATIONSHIP_AS_OF_DATE","20010504")</f>
        <v>#N/A N/A</v>
      </c>
      <c r="KJ5" t="str">
        <f>_xll.BDS("0574018D US Equity","SUPPLY_CHAIN_CUSTOMERS","RELATIONSHIP_AS_OF_DATE","20010504")</f>
        <v>#N/A N/A</v>
      </c>
      <c r="KO5" t="str">
        <f>_xll.BDS("SAFE US Equity","SUPPLY_CHAIN_SUPPLIERS","RELATIONSHIP_AS_OF_DATE","19990616")</f>
        <v>#N/A N/A</v>
      </c>
      <c r="KT5" t="str">
        <f>_xll.BDS("SAFE US Equity","SUPPLY_CHAIN_CUSTOMERS","RELATIONSHIP_AS_OF_DATE","19990616")</f>
        <v>#N/A N/A</v>
      </c>
      <c r="KY5" t="str">
        <f>_xll.BDS("MMP US Equity","SUPPLY_CHAIN_SUPPLIERS","RELATIONSHIP_AS_OF_DATE","20090303")</f>
        <v>#N/A N/A</v>
      </c>
      <c r="LD5" t="str">
        <f>_xll.BDS("MMP US Equity","SUPPLY_CHAIN_CUSTOMERS","RELATIONSHIP_AS_OF_DATE","20090303")</f>
        <v>DINO US Equity</v>
      </c>
      <c r="LI5" t="str">
        <f>_xll.BDS("TPR US Equity","SUPPLY_CHAIN_SUPPLIERS","RELATIONSHIP_AS_OF_DATE","20170508","cols=1;rows=5")</f>
        <v>TCS IN Equity</v>
      </c>
      <c r="LN5" t="str">
        <f>_xll.BDS("TPR US Equity","SUPPLY_CHAIN_CUSTOMERS","RELATIONSHIP_AS_OF_DATE","20170508","cols=1;rows=5")</f>
        <v>M US Equity</v>
      </c>
      <c r="LS5" t="str">
        <f>_xll.BDS("nan Equity","SUPPLY_CHAIN_SUPPLIERS","RELATIONSHIP_AS_OF_DATE","20061116")</f>
        <v>#N/A N/A</v>
      </c>
      <c r="LX5" t="str">
        <f>_xll.BDS("nan Equity","SUPPLY_CHAIN_CUSTOMERS","RELATIONSHIP_AS_OF_DATE","20061116")</f>
        <v>#N/A N/A</v>
      </c>
      <c r="MC5" t="str">
        <f>_xll.BDS("PSX US Equity","SUPPLY_CHAIN_SUPPLIERS","RELATIONSHIP_AS_OF_DATE","20211027","cols=1;rows=5")</f>
        <v>CHRD US Equity</v>
      </c>
      <c r="MH5" t="str">
        <f>_xll.BDS("PSX US Equity","SUPPLY_CHAIN_CUSTOMERS","RELATIONSHIP_AS_OF_DATE","20211027","cols=1;rows=5")</f>
        <v>006120 KS Equity</v>
      </c>
      <c r="MM5" t="str">
        <f>_xll.BDS("748957Q US Equity","SUPPLY_CHAIN_SUPPLIERS","RELATIONSHIP_AS_OF_DATE","19980511")</f>
        <v>#N/A N/A</v>
      </c>
      <c r="MR5" t="str">
        <f>_xll.BDS("748957Q US Equity","SUPPLY_CHAIN_CUSTOMERS","RELATIONSHIP_AS_OF_DATE","19980511")</f>
        <v>#N/A N/A</v>
      </c>
      <c r="MW5" t="str">
        <f>_xll.BDS("667517Q US Equity","SUPPLY_CHAIN_SUPPLIERS","RELATIONSHIP_AS_OF_DATE","19990401")</f>
        <v>#N/A N/A</v>
      </c>
      <c r="NB5" t="str">
        <f>_xll.BDS("667517Q US Equity","SUPPLY_CHAIN_CUSTOMERS","RELATIONSHIP_AS_OF_DATE","19990401")</f>
        <v>#N/A N/A</v>
      </c>
      <c r="NG5" t="str">
        <f>_xll.BDS("PE US Equity","SUPPLY_CHAIN_SUPPLIERS","RELATIONSHIP_AS_OF_DATE","20191014")</f>
        <v>#N/A N/A</v>
      </c>
      <c r="NL5" t="str">
        <f>_xll.BDS("PE US Equity","SUPPLY_CHAIN_CUSTOMERS","RELATIONSHIP_AS_OF_DATE","20191014")</f>
        <v>#N/A N/A</v>
      </c>
      <c r="NQ5" t="str">
        <f>_xll.BDS("SPXC US Equity","SUPPLY_CHAIN_SUPPLIERS","RELATIONSHIP_AS_OF_DATE","19980720","cols=1;rows=5")</f>
        <v>CRS US Equity</v>
      </c>
      <c r="NV5" t="str">
        <f>_xll.BDS("SPXC US Equity","SUPPLY_CHAIN_CUSTOMERS","RELATIONSHIP_AS_OF_DATE","19980720","cols=1;rows=5")</f>
        <v>002564 CH Equity</v>
      </c>
      <c r="OA5" t="str">
        <f>_xll.BDS("CBRE US Equity","SUPPLY_CHAIN_SUPPLIERS","RELATIONSHIP_AS_OF_DATE","20061031","cols=1;rows=5")</f>
        <v>ECL US Equity</v>
      </c>
      <c r="OF5" t="str">
        <f>_xll.BDS("CBRE US Equity","SUPPLY_CHAIN_CUSTOMERS","RELATIONSHIP_AS_OF_DATE","20061031","cols=1;rows=5")</f>
        <v>8206440Z LN Equity</v>
      </c>
    </row>
    <row r="6" spans="1:396" x14ac:dyDescent="0.25">
      <c r="A6" t="s">
        <v>7544</v>
      </c>
      <c r="F6" t="s">
        <v>11020</v>
      </c>
      <c r="AE6" t="s">
        <v>11854</v>
      </c>
      <c r="AJ6" t="s">
        <v>10660</v>
      </c>
      <c r="AY6" t="s">
        <v>378</v>
      </c>
      <c r="CM6" t="s">
        <v>10846</v>
      </c>
      <c r="CR6" t="s">
        <v>10657</v>
      </c>
      <c r="DG6" t="s">
        <v>6477</v>
      </c>
      <c r="DL6" t="s">
        <v>165</v>
      </c>
      <c r="DQ6" t="s">
        <v>10735</v>
      </c>
      <c r="DV6" t="s">
        <v>570</v>
      </c>
      <c r="EA6" t="s">
        <v>10846</v>
      </c>
      <c r="EF6" t="s">
        <v>1468</v>
      </c>
      <c r="EK6" t="s">
        <v>6897</v>
      </c>
      <c r="EP6" t="s">
        <v>13209</v>
      </c>
      <c r="EU6" t="s">
        <v>11371</v>
      </c>
      <c r="FE6" t="s">
        <v>11313</v>
      </c>
      <c r="FJ6" t="s">
        <v>13107</v>
      </c>
      <c r="FO6" t="s">
        <v>11787</v>
      </c>
      <c r="FY6" t="s">
        <v>11312</v>
      </c>
      <c r="GD6" t="s">
        <v>11809</v>
      </c>
      <c r="GI6" t="s">
        <v>11312</v>
      </c>
      <c r="GN6" t="s">
        <v>11001</v>
      </c>
      <c r="GS6" t="s">
        <v>1654</v>
      </c>
      <c r="GX6" t="s">
        <v>12472</v>
      </c>
      <c r="HW6" t="s">
        <v>12949</v>
      </c>
      <c r="IB6" t="s">
        <v>266</v>
      </c>
      <c r="IG6" t="s">
        <v>368</v>
      </c>
      <c r="IL6" t="s">
        <v>385</v>
      </c>
      <c r="IQ6" t="s">
        <v>11294</v>
      </c>
      <c r="IV6" t="s">
        <v>12463</v>
      </c>
      <c r="JA6" t="s">
        <v>1473</v>
      </c>
      <c r="JF6" t="s">
        <v>10803</v>
      </c>
      <c r="JK6" t="s">
        <v>2792</v>
      </c>
      <c r="JP6" t="s">
        <v>10677</v>
      </c>
      <c r="JU6" t="s">
        <v>3251</v>
      </c>
      <c r="JZ6" t="s">
        <v>11751</v>
      </c>
      <c r="LI6" t="s">
        <v>885</v>
      </c>
      <c r="LN6" t="s">
        <v>13212</v>
      </c>
      <c r="MC6" t="s">
        <v>12104</v>
      </c>
      <c r="MH6" t="s">
        <v>12565</v>
      </c>
      <c r="NQ6" t="s">
        <v>10986</v>
      </c>
      <c r="NV6" t="s">
        <v>10960</v>
      </c>
      <c r="OA6" t="s">
        <v>11099</v>
      </c>
      <c r="OF6" t="s">
        <v>165</v>
      </c>
    </row>
    <row r="7" spans="1:396" x14ac:dyDescent="0.25">
      <c r="A7" t="s">
        <v>11054</v>
      </c>
      <c r="F7" t="s">
        <v>11021</v>
      </c>
      <c r="AE7" t="s">
        <v>12930</v>
      </c>
      <c r="AJ7" t="s">
        <v>12888</v>
      </c>
      <c r="AY7" t="s">
        <v>11946</v>
      </c>
      <c r="CM7" t="s">
        <v>10834</v>
      </c>
      <c r="CR7" t="s">
        <v>165</v>
      </c>
      <c r="DG7" t="s">
        <v>165</v>
      </c>
      <c r="DL7" t="s">
        <v>10838</v>
      </c>
      <c r="DQ7" t="s">
        <v>11243</v>
      </c>
      <c r="DV7" t="s">
        <v>4139</v>
      </c>
      <c r="EA7" t="s">
        <v>10847</v>
      </c>
      <c r="EF7" t="s">
        <v>970</v>
      </c>
      <c r="EK7" t="s">
        <v>13262</v>
      </c>
      <c r="EP7" t="s">
        <v>12421</v>
      </c>
      <c r="EU7" t="s">
        <v>10986</v>
      </c>
      <c r="FE7" t="s">
        <v>13131</v>
      </c>
      <c r="FJ7" t="s">
        <v>11369</v>
      </c>
      <c r="FO7" t="s">
        <v>12190</v>
      </c>
      <c r="FY7" t="s">
        <v>3066</v>
      </c>
      <c r="GD7" t="s">
        <v>12599</v>
      </c>
      <c r="GI7" t="s">
        <v>11859</v>
      </c>
      <c r="GN7" t="s">
        <v>12069</v>
      </c>
      <c r="GS7" t="s">
        <v>11492</v>
      </c>
      <c r="GX7" t="s">
        <v>10913</v>
      </c>
      <c r="HW7" t="s">
        <v>12950</v>
      </c>
      <c r="IB7" t="s">
        <v>487</v>
      </c>
      <c r="IG7" t="s">
        <v>11467</v>
      </c>
      <c r="IL7" t="s">
        <v>970</v>
      </c>
      <c r="IQ7" t="s">
        <v>2204</v>
      </c>
      <c r="IV7" t="s">
        <v>12653</v>
      </c>
      <c r="JA7" t="s">
        <v>10885</v>
      </c>
      <c r="JF7" t="s">
        <v>12562</v>
      </c>
      <c r="JK7" t="s">
        <v>10737</v>
      </c>
      <c r="JP7" t="s">
        <v>4642</v>
      </c>
      <c r="JU7" t="s">
        <v>12791</v>
      </c>
      <c r="JZ7" t="s">
        <v>12455</v>
      </c>
      <c r="LI7" t="s">
        <v>10840</v>
      </c>
      <c r="LN7" t="s">
        <v>13213</v>
      </c>
      <c r="MC7" t="s">
        <v>13124</v>
      </c>
      <c r="MH7" t="s">
        <v>12566</v>
      </c>
      <c r="NQ7" t="s">
        <v>10959</v>
      </c>
      <c r="NV7" t="s">
        <v>10961</v>
      </c>
      <c r="OA7" t="s">
        <v>11286</v>
      </c>
      <c r="OF7" t="s">
        <v>12927</v>
      </c>
    </row>
    <row r="8" spans="1:396" x14ac:dyDescent="0.25">
      <c r="A8" t="s">
        <v>11055</v>
      </c>
      <c r="F8" t="s">
        <v>11022</v>
      </c>
      <c r="AE8" t="s">
        <v>11376</v>
      </c>
      <c r="AJ8" t="s">
        <v>12889</v>
      </c>
      <c r="AY8" t="s">
        <v>58</v>
      </c>
      <c r="CM8" t="s">
        <v>11029</v>
      </c>
      <c r="CR8" t="s">
        <v>10676</v>
      </c>
      <c r="DG8" t="s">
        <v>11049</v>
      </c>
      <c r="DL8" t="s">
        <v>10660</v>
      </c>
      <c r="DQ8" t="s">
        <v>10734</v>
      </c>
      <c r="DV8" t="s">
        <v>10676</v>
      </c>
      <c r="EA8" t="s">
        <v>2785</v>
      </c>
      <c r="EF8" t="s">
        <v>10799</v>
      </c>
      <c r="EK8" t="s">
        <v>972</v>
      </c>
      <c r="EP8" t="s">
        <v>13210</v>
      </c>
      <c r="EU8" t="s">
        <v>11372</v>
      </c>
      <c r="FE8" t="s">
        <v>12852</v>
      </c>
      <c r="FJ8" t="s">
        <v>11809</v>
      </c>
      <c r="FO8" t="s">
        <v>11964</v>
      </c>
      <c r="FY8" t="s">
        <v>12741</v>
      </c>
      <c r="GD8" t="s">
        <v>679</v>
      </c>
      <c r="GI8" t="s">
        <v>12131</v>
      </c>
      <c r="GN8" t="s">
        <v>12070</v>
      </c>
      <c r="GS8" t="s">
        <v>11349</v>
      </c>
      <c r="GX8" t="s">
        <v>1741</v>
      </c>
      <c r="HW8" t="s">
        <v>10940</v>
      </c>
      <c r="IB8" t="s">
        <v>3239</v>
      </c>
      <c r="IG8" t="s">
        <v>11468</v>
      </c>
      <c r="IL8" t="s">
        <v>43</v>
      </c>
      <c r="IQ8" t="s">
        <v>11662</v>
      </c>
      <c r="IV8" t="s">
        <v>11662</v>
      </c>
      <c r="JA8" t="s">
        <v>13073</v>
      </c>
      <c r="JF8" t="s">
        <v>12331</v>
      </c>
      <c r="JK8" t="s">
        <v>4475</v>
      </c>
      <c r="JP8" t="s">
        <v>1363</v>
      </c>
      <c r="JU8" t="s">
        <v>6724</v>
      </c>
      <c r="JZ8" t="s">
        <v>10987</v>
      </c>
      <c r="LI8" t="s">
        <v>3343</v>
      </c>
      <c r="LN8" t="s">
        <v>13214</v>
      </c>
      <c r="MC8" t="s">
        <v>13125</v>
      </c>
      <c r="MH8" t="s">
        <v>12567</v>
      </c>
      <c r="NQ8" t="s">
        <v>10987</v>
      </c>
      <c r="NV8" t="s">
        <v>10933</v>
      </c>
      <c r="OA8" t="s">
        <v>12963</v>
      </c>
      <c r="OF8" t="s">
        <v>12928</v>
      </c>
    </row>
    <row r="9" spans="1:396" x14ac:dyDescent="0.25">
      <c r="A9" t="s">
        <v>11056</v>
      </c>
      <c r="F9" t="s">
        <v>11023</v>
      </c>
      <c r="AE9" t="s">
        <v>12931</v>
      </c>
      <c r="AJ9" t="s">
        <v>10918</v>
      </c>
      <c r="AY9" t="s">
        <v>687</v>
      </c>
      <c r="CM9" t="s">
        <v>43</v>
      </c>
      <c r="CR9" t="s">
        <v>11267</v>
      </c>
      <c r="DG9" t="s">
        <v>10748</v>
      </c>
      <c r="DL9" t="s">
        <v>4219</v>
      </c>
      <c r="DQ9" t="s">
        <v>12932</v>
      </c>
      <c r="DV9" t="s">
        <v>10805</v>
      </c>
      <c r="EA9" t="s">
        <v>10821</v>
      </c>
      <c r="EF9" t="s">
        <v>10800</v>
      </c>
      <c r="EK9" t="s">
        <v>6640</v>
      </c>
      <c r="EP9" t="s">
        <v>13211</v>
      </c>
      <c r="EU9" t="s">
        <v>10987</v>
      </c>
      <c r="FE9" t="s">
        <v>13132</v>
      </c>
      <c r="FJ9" t="s">
        <v>60</v>
      </c>
      <c r="FO9" t="s">
        <v>12353</v>
      </c>
      <c r="FY9" t="s">
        <v>12742</v>
      </c>
      <c r="GI9" t="s">
        <v>11849</v>
      </c>
      <c r="GN9" t="s">
        <v>11312</v>
      </c>
      <c r="GS9" t="s">
        <v>12812</v>
      </c>
      <c r="GX9" t="s">
        <v>12473</v>
      </c>
      <c r="HW9" t="s">
        <v>12142</v>
      </c>
      <c r="IB9" t="s">
        <v>10876</v>
      </c>
      <c r="IG9" t="s">
        <v>11159</v>
      </c>
      <c r="IL9" t="s">
        <v>11467</v>
      </c>
      <c r="IQ9" t="s">
        <v>13133</v>
      </c>
      <c r="IV9" t="s">
        <v>12654</v>
      </c>
      <c r="JA9" t="s">
        <v>10602</v>
      </c>
      <c r="JF9" t="s">
        <v>12563</v>
      </c>
      <c r="JK9" t="s">
        <v>10738</v>
      </c>
      <c r="JP9" t="s">
        <v>42</v>
      </c>
      <c r="JU9" t="s">
        <v>7384</v>
      </c>
      <c r="JZ9" t="s">
        <v>10892</v>
      </c>
      <c r="LI9" t="s">
        <v>12391</v>
      </c>
      <c r="LN9" t="s">
        <v>1741</v>
      </c>
      <c r="MC9" t="s">
        <v>10940</v>
      </c>
      <c r="MH9" t="s">
        <v>10917</v>
      </c>
      <c r="NQ9" t="s">
        <v>10696</v>
      </c>
      <c r="NV9" t="s">
        <v>10962</v>
      </c>
      <c r="OA9" t="s">
        <v>12964</v>
      </c>
      <c r="OF9" t="s">
        <v>12929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2071</v>
      </c>
      <c r="K1" s="1" t="s">
        <v>2072</v>
      </c>
      <c r="U1" s="1" t="s">
        <v>2073</v>
      </c>
      <c r="AE1" s="1" t="s">
        <v>2074</v>
      </c>
      <c r="AO1" s="1" t="s">
        <v>2075</v>
      </c>
      <c r="AY1" s="1" t="s">
        <v>2076</v>
      </c>
      <c r="BI1" s="1" t="s">
        <v>2077</v>
      </c>
      <c r="BS1" s="1" t="s">
        <v>2078</v>
      </c>
      <c r="CC1" s="1" t="s">
        <v>2079</v>
      </c>
      <c r="CM1" s="1" t="s">
        <v>2080</v>
      </c>
      <c r="CW1" s="1" t="s">
        <v>2081</v>
      </c>
      <c r="DG1" s="1" t="s">
        <v>2082</v>
      </c>
      <c r="DQ1" s="1" t="s">
        <v>2083</v>
      </c>
      <c r="EA1" s="1" t="s">
        <v>2084</v>
      </c>
      <c r="EK1" s="1" t="s">
        <v>2085</v>
      </c>
      <c r="EU1" s="1" t="s">
        <v>2086</v>
      </c>
      <c r="FE1" s="1" t="s">
        <v>2087</v>
      </c>
      <c r="FO1" s="1" t="s">
        <v>2088</v>
      </c>
      <c r="FY1" s="1" t="s">
        <v>2089</v>
      </c>
      <c r="GI1" s="1" t="s">
        <v>2090</v>
      </c>
      <c r="GS1" s="1" t="s">
        <v>2091</v>
      </c>
      <c r="HC1" s="1" t="s">
        <v>2092</v>
      </c>
      <c r="HM1" s="1" t="s">
        <v>2093</v>
      </c>
      <c r="HW1" s="1" t="s">
        <v>2094</v>
      </c>
      <c r="IG1" s="1" t="s">
        <v>2095</v>
      </c>
      <c r="IQ1" s="1" t="s">
        <v>2096</v>
      </c>
      <c r="JA1" s="1" t="s">
        <v>2097</v>
      </c>
      <c r="JK1" s="1" t="s">
        <v>2098</v>
      </c>
      <c r="JU1" s="1" t="s">
        <v>2099</v>
      </c>
      <c r="KE1" s="1" t="s">
        <v>2100</v>
      </c>
      <c r="KO1" s="1" t="s">
        <v>2101</v>
      </c>
      <c r="KY1" s="1" t="s">
        <v>2102</v>
      </c>
      <c r="LI1" s="1" t="s">
        <v>2103</v>
      </c>
      <c r="LS1" s="1" t="s">
        <v>2104</v>
      </c>
      <c r="MC1" s="1" t="s">
        <v>2105</v>
      </c>
      <c r="MM1" s="1" t="s">
        <v>2106</v>
      </c>
      <c r="MW1" s="1" t="s">
        <v>2107</v>
      </c>
      <c r="NG1" s="1" t="s">
        <v>2108</v>
      </c>
      <c r="NQ1" s="1" t="s">
        <v>2109</v>
      </c>
      <c r="OA1" s="1" t="s">
        <v>2110</v>
      </c>
    </row>
    <row r="2" spans="1:396" x14ac:dyDescent="0.25">
      <c r="A2" s="2" t="s">
        <v>55</v>
      </c>
      <c r="K2" s="2" t="s">
        <v>874</v>
      </c>
      <c r="U2" s="2" t="s">
        <v>368</v>
      </c>
      <c r="AE2" s="2" t="s">
        <v>2111</v>
      </c>
      <c r="AO2" s="2" t="s">
        <v>2112</v>
      </c>
      <c r="AY2" s="2" t="s">
        <v>2113</v>
      </c>
      <c r="BI2" s="2" t="s">
        <v>2114</v>
      </c>
      <c r="BS2" s="2" t="s">
        <v>2115</v>
      </c>
      <c r="CC2" s="2" t="s">
        <v>2116</v>
      </c>
      <c r="CM2" s="2" t="s">
        <v>2117</v>
      </c>
      <c r="CW2" s="2" t="s">
        <v>2118</v>
      </c>
      <c r="DG2" s="2" t="s">
        <v>1634</v>
      </c>
      <c r="DQ2" s="2" t="s">
        <v>383</v>
      </c>
      <c r="EA2" s="2" t="s">
        <v>2119</v>
      </c>
      <c r="EK2" s="2" t="s">
        <v>1179</v>
      </c>
      <c r="EU2" s="2" t="s">
        <v>2120</v>
      </c>
      <c r="FE2" s="2" t="s">
        <v>2121</v>
      </c>
      <c r="FO2" s="2" t="s">
        <v>475</v>
      </c>
      <c r="FY2" s="2" t="s">
        <v>969</v>
      </c>
      <c r="GI2" s="2" t="s">
        <v>969</v>
      </c>
      <c r="GS2" s="2" t="s">
        <v>883</v>
      </c>
      <c r="HC2" s="2" t="s">
        <v>2122</v>
      </c>
      <c r="HM2" s="2" t="s">
        <v>64</v>
      </c>
      <c r="HW2" s="2" t="s">
        <v>1547</v>
      </c>
      <c r="IG2" s="2" t="s">
        <v>1548</v>
      </c>
      <c r="IQ2" s="2" t="s">
        <v>2123</v>
      </c>
      <c r="JA2" s="2" t="s">
        <v>2124</v>
      </c>
      <c r="JK2" s="2" t="s">
        <v>2125</v>
      </c>
      <c r="JU2" s="2" t="s">
        <v>2126</v>
      </c>
      <c r="KE2" s="2" t="s">
        <v>2127</v>
      </c>
      <c r="KO2" s="2" t="s">
        <v>2128</v>
      </c>
      <c r="KY2" s="2" t="s">
        <v>1927</v>
      </c>
      <c r="LI2" s="2" t="s">
        <v>874</v>
      </c>
      <c r="LS2" s="2" t="s">
        <v>2129</v>
      </c>
      <c r="MC2" s="2" t="s">
        <v>2130</v>
      </c>
      <c r="MM2" s="2" t="s">
        <v>685</v>
      </c>
      <c r="MW2" s="2" t="s">
        <v>265</v>
      </c>
      <c r="NG2" s="2" t="s">
        <v>2131</v>
      </c>
      <c r="NQ2" s="2" t="s">
        <v>2132</v>
      </c>
      <c r="OA2" s="2" t="s">
        <v>667</v>
      </c>
    </row>
    <row r="3" spans="1:396" x14ac:dyDescent="0.25">
      <c r="A3" t="s">
        <v>2133</v>
      </c>
      <c r="K3" t="s">
        <v>2134</v>
      </c>
      <c r="U3" t="s">
        <v>2135</v>
      </c>
      <c r="AE3" t="s">
        <v>2136</v>
      </c>
      <c r="AO3" t="s">
        <v>2137</v>
      </c>
      <c r="AY3" t="s">
        <v>2138</v>
      </c>
      <c r="BI3" t="s">
        <v>527</v>
      </c>
      <c r="BS3" t="s">
        <v>206</v>
      </c>
      <c r="CC3" t="s">
        <v>801</v>
      </c>
      <c r="CM3" t="s">
        <v>708</v>
      </c>
      <c r="CW3" t="s">
        <v>2139</v>
      </c>
      <c r="DG3" t="s">
        <v>1766</v>
      </c>
      <c r="DQ3" t="s">
        <v>2140</v>
      </c>
      <c r="EA3" t="s">
        <v>2141</v>
      </c>
      <c r="EK3" t="s">
        <v>2142</v>
      </c>
      <c r="EU3" t="s">
        <v>994</v>
      </c>
      <c r="FE3" t="s">
        <v>2143</v>
      </c>
      <c r="FO3" t="s">
        <v>2144</v>
      </c>
      <c r="FY3" t="s">
        <v>2145</v>
      </c>
      <c r="GI3" t="s">
        <v>2146</v>
      </c>
      <c r="GS3" t="s">
        <v>2147</v>
      </c>
      <c r="HC3" t="s">
        <v>1878</v>
      </c>
      <c r="HM3" t="s">
        <v>2148</v>
      </c>
      <c r="HW3" t="s">
        <v>2149</v>
      </c>
      <c r="IG3" t="s">
        <v>2150</v>
      </c>
      <c r="IQ3" t="s">
        <v>2151</v>
      </c>
      <c r="JA3" t="s">
        <v>2152</v>
      </c>
      <c r="JK3" t="s">
        <v>2153</v>
      </c>
      <c r="JU3" t="s">
        <v>2154</v>
      </c>
      <c r="KE3" t="s">
        <v>2155</v>
      </c>
      <c r="KO3" t="s">
        <v>2156</v>
      </c>
      <c r="KY3" t="s">
        <v>2157</v>
      </c>
      <c r="LI3" t="s">
        <v>2158</v>
      </c>
      <c r="LS3" t="s">
        <v>1495</v>
      </c>
      <c r="MC3" t="s">
        <v>2159</v>
      </c>
      <c r="MM3" t="s">
        <v>2160</v>
      </c>
      <c r="MW3" t="s">
        <v>2161</v>
      </c>
      <c r="NG3" t="s">
        <v>2162</v>
      </c>
      <c r="NQ3" t="s">
        <v>2163</v>
      </c>
      <c r="OA3" t="s">
        <v>2160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_xll.BDS("AGN US Equity","SUPPLY_CHAIN_SUPPLIERS","RELATIONSHIP_AS_OF_DATE","20170213","cols=1;rows=5")</f>
        <v>AEE US Equity</v>
      </c>
      <c r="F5" t="str">
        <f>_xll.BDS("AGN US Equity","SUPPLY_CHAIN_CUSTOMERS","RELATIONSHIP_AS_OF_DATE","20170213")</f>
        <v>4569 JP Equity</v>
      </c>
      <c r="K5" t="str">
        <f>_xll.BDS("VTR US Equity","SUPPLY_CHAIN_SUPPLIERS","RELATIONSHIP_AS_OF_DATE","20140602")</f>
        <v>#N/A N/A</v>
      </c>
      <c r="P5" t="str">
        <f>_xll.BDS("VTR US Equity","SUPPLY_CHAIN_CUSTOMERS","RELATIONSHIP_AS_OF_DATE","20140602","cols=1;rows=3")</f>
        <v>BKD US Equity</v>
      </c>
      <c r="U5" t="str">
        <f>_xll.BDS("JNJ US Equity","SUPPLY_CHAIN_SUPPLIERS","RELATIONSHIP_AS_OF_DATE","20030210","cols=1;rows=5")</f>
        <v>GMAB DC Equity</v>
      </c>
      <c r="Z5" t="str">
        <f>_xll.BDS("JNJ US Equity","SUPPLY_CHAIN_CUSTOMERS","RELATIONSHIP_AS_OF_DATE","20030210","cols=1;rows=5")</f>
        <v>MCK US Equity</v>
      </c>
      <c r="AE5" t="str">
        <f>_xll.BDS("AEE US Equity","SUPPLY_CHAIN_SUPPLIERS","RELATIONSHIP_AS_OF_DATE","20040203","cols=1;rows=5")</f>
        <v>PWR US Equity</v>
      </c>
      <c r="AJ5" t="str">
        <f>_xll.BDS("AEE US Equity","SUPPLY_CHAIN_CUSTOMERS","RELATIONSHIP_AS_OF_DATE","20040203","cols=1;rows=5")</f>
        <v>0196596D US Equity</v>
      </c>
      <c r="AO5" t="str">
        <f>_xll.BDS("LEARQ US Equity","SUPPLY_CHAIN_SUPPLIERS","RELATIONSHIP_AS_OF_DATE","19990317")</f>
        <v>#N/A N/A</v>
      </c>
      <c r="AT5" t="str">
        <f>_xll.BDS("LEARQ US Equity","SUPPLY_CHAIN_CUSTOMERS","RELATIONSHIP_AS_OF_DATE","19990317")</f>
        <v>#N/A N/A</v>
      </c>
      <c r="AY5" t="str">
        <f>_xll.BDS("MXIM US Equity","SUPPLY_CHAIN_SUPPLIERS","RELATIONSHIP_AS_OF_DATE","20010129")</f>
        <v>#N/A N/A</v>
      </c>
      <c r="BD5" t="str">
        <f>_xll.BDS("MXIM US Equity","SUPPLY_CHAIN_CUSTOMERS","RELATIONSHIP_AS_OF_DATE","20010129")</f>
        <v>#N/A N/A</v>
      </c>
      <c r="BI5" t="str">
        <f>_xll.BDS("EQM US Equity","SUPPLY_CHAIN_SUPPLIERS","RELATIONSHIP_AS_OF_DATE","20180426")</f>
        <v>#N/A N/A</v>
      </c>
      <c r="BN5" t="str">
        <f>_xll.BDS("EQM US Equity","SUPPLY_CHAIN_CUSTOMERS","RELATIONSHIP_AS_OF_DATE","20180426")</f>
        <v>#N/A N/A</v>
      </c>
      <c r="BS5" t="str">
        <f>_xll.BDS("GPT US Equity","SUPPLY_CHAIN_SUPPLIERS","RELATIONSHIP_AS_OF_DATE","20150701")</f>
        <v>#N/A N/A</v>
      </c>
      <c r="BX5" t="str">
        <f>_xll.BDS("GPT US Equity","SUPPLY_CHAIN_CUSTOMERS","RELATIONSHIP_AS_OF_DATE","20150701")</f>
        <v>#N/A N/A</v>
      </c>
      <c r="CC5" t="str">
        <f>_xll.BDS("2649Q US Equity","SUPPLY_CHAIN_SUPPLIERS","RELATIONSHIP_AS_OF_DATE","19990520")</f>
        <v>#N/A N/A</v>
      </c>
      <c r="CH5" t="str">
        <f>_xll.BDS("2649Q US Equity","SUPPLY_CHAIN_CUSTOMERS","RELATIONSHIP_AS_OF_DATE","19990520")</f>
        <v>#N/A N/A</v>
      </c>
      <c r="CM5" t="str">
        <f>_xll.BDS("ZG US Equity","SUPPLY_CHAIN_SUPPLIERS","RELATIONSHIP_AS_OF_DATE","20140728","cols=1;rows=4")</f>
        <v>214320 KS Equity</v>
      </c>
      <c r="CR5" t="str">
        <f>_xll.BDS("ZG US Equity","SUPPLY_CHAIN_CUSTOMERS","RELATIONSHIP_AS_OF_DATE","20140728","cols=1;rows=2")</f>
        <v>BRK/A US Equity</v>
      </c>
      <c r="CW5" t="str">
        <f>_xll.BDS("ROVI US Equity","SUPPLY_CHAIN_SUPPLIERS","RELATIONSHIP_AS_OF_DATE","20071207")</f>
        <v>#N/A N/A</v>
      </c>
      <c r="DB5" t="str">
        <f>_xll.BDS("ROVI US Equity","SUPPLY_CHAIN_CUSTOMERS","RELATIONSHIP_AS_OF_DATE","20071207")</f>
        <v>#N/A N/A</v>
      </c>
      <c r="DG5" t="str">
        <f>_xll.BDS("1837572D US Equity","SUPPLY_CHAIN_SUPPLIERS","RELATIONSHIP_AS_OF_DATE","20000207")</f>
        <v>#N/A N/A</v>
      </c>
      <c r="DL5" t="str">
        <f>_xll.BDS("1837572D US Equity","SUPPLY_CHAIN_CUSTOMERS","RELATIONSHIP_AS_OF_DATE","20000207")</f>
        <v>#N/A N/A</v>
      </c>
      <c r="DQ5" t="str">
        <f>_xll.BDS("INTC US Equity","SUPPLY_CHAIN_SUPPLIERS","RELATIONSHIP_AS_OF_DATE","19990304","cols=1;rows=5")</f>
        <v>ASML NA Equity</v>
      </c>
      <c r="DV5" t="str">
        <f>_xll.BDS("INTC US Equity","SUPPLY_CHAIN_CUSTOMERS","RELATIONSHIP_AS_OF_DATE","19990304","cols=1;rows=5")</f>
        <v>DELL US Equity</v>
      </c>
      <c r="EA5" t="str">
        <f>_xll.BDS("QVCGA US Equity","SUPPLY_CHAIN_SUPPLIERS","RELATIONSHIP_AS_OF_DATE","20170404","cols=1;rows=5")</f>
        <v>GRMN US Equity</v>
      </c>
      <c r="EF5" t="str">
        <f>_xll.BDS("QVCGA US Equity","SUPPLY_CHAIN_CUSTOMERS","RELATIONSHIP_AS_OF_DATE","20170404","cols=1;rows=5")</f>
        <v>066570 KS Equity</v>
      </c>
      <c r="EK5" t="str">
        <f>_xll.BDS("1235274D US Equity","SUPPLY_CHAIN_SUPPLIERS","RELATIONSHIP_AS_OF_DATE","20100411")</f>
        <v>#N/A N/A</v>
      </c>
      <c r="EP5" t="str">
        <f>_xll.BDS("1235274D US Equity","SUPPLY_CHAIN_CUSTOMERS","RELATIONSHIP_AS_OF_DATE","20100411")</f>
        <v>#N/A N/A</v>
      </c>
      <c r="EU5" t="str">
        <f>_xll.BDS("HEROQ US Equity","SUPPLY_CHAIN_SUPPLIERS","RELATIONSHIP_AS_OF_DATE","20070319","cols=1;rows=4")</f>
        <v>CNP US Equity</v>
      </c>
      <c r="EZ5" t="str">
        <f>_xll.BDS("HEROQ US Equity","SUPPLY_CHAIN_CUSTOMERS","RELATIONSHIP_AS_OF_DATE","20070319")</f>
        <v>#N/A N/A</v>
      </c>
      <c r="FE5" t="str">
        <f>_xll.BDS("1465949D US Equity","SUPPLY_CHAIN_SUPPLIERS","RELATIONSHIP_AS_OF_DATE","20000327")</f>
        <v>#N/A N/A</v>
      </c>
      <c r="FJ5" t="str">
        <f>_xll.BDS("1465949D US Equity","SUPPLY_CHAIN_CUSTOMERS","RELATIONSHIP_AS_OF_DATE","20000327")</f>
        <v>#N/A N/A</v>
      </c>
      <c r="FO5" t="str">
        <f>_xll.BDS("RSG US Equity","SUPPLY_CHAIN_SUPPLIERS","RELATIONSHIP_AS_OF_DATE","20220209","cols=1;rows=5")</f>
        <v>ORCL US Equity</v>
      </c>
      <c r="FT5" t="str">
        <f>_xll.BDS("RSG US Equity","SUPPLY_CHAIN_CUSTOMERS","RELATIONSHIP_AS_OF_DATE","20220209","cols=1;rows=2")</f>
        <v>0992020D US Equity</v>
      </c>
      <c r="FY5" t="str">
        <f>_xll.BDS("CSCO US Equity","SUPPLY_CHAIN_SUPPLIERS","RELATIONSHIP_AS_OF_DATE","20091013","cols=1;rows=5")</f>
        <v>NVDA US Equity</v>
      </c>
      <c r="GD5" t="str">
        <f>_xll.BDS("CSCO US Equity","SUPPLY_CHAIN_CUSTOMERS","RELATIONSHIP_AS_OF_DATE","20091013","cols=1;rows=5")</f>
        <v>SNX US Equity</v>
      </c>
      <c r="GI5" t="str">
        <f>_xll.BDS("CSCO US Equity","SUPPLY_CHAIN_SUPPLIERS","RELATIONSHIP_AS_OF_DATE","20130723","cols=1;rows=5")</f>
        <v>NVDA US Equity</v>
      </c>
      <c r="GN5" t="str">
        <f>_xll.BDS("CSCO US Equity","SUPPLY_CHAIN_CUSTOMERS","RELATIONSHIP_AS_OF_DATE","20130723","cols=1;rows=5")</f>
        <v>SNX US Equity</v>
      </c>
      <c r="GS5" t="str">
        <f>_xll.BDS("LYO US Equity","SUPPLY_CHAIN_SUPPLIERS","RELATIONSHIP_AS_OF_DATE","20040329")</f>
        <v>#N/A N/A</v>
      </c>
      <c r="GX5" t="str">
        <f>_xll.BDS("LYO US Equity","SUPPLY_CHAIN_CUSTOMERS","RELATIONSHIP_AS_OF_DATE","20040329")</f>
        <v>#N/A N/A</v>
      </c>
      <c r="HC5" t="str">
        <f>_xll.BDS("BFH US Equity","SUPPLY_CHAIN_SUPPLIERS","RELATIONSHIP_AS_OF_DATE","20140911","cols=1;rows=2")</f>
        <v>FSP US Equity</v>
      </c>
      <c r="HH5" t="str">
        <f>_xll.BDS("BFH US Equity","SUPPLY_CHAIN_CUSTOMERS","RELATIONSHIP_AS_OF_DATE","20140911","cols=1;rows=5")</f>
        <v>HRCEY US Equity</v>
      </c>
      <c r="HM5" t="str">
        <f>_xll.BDS("nan Equity","SUPPLY_CHAIN_SUPPLIERS","RELATIONSHIP_AS_OF_DATE","20060628")</f>
        <v>#N/A N/A</v>
      </c>
      <c r="HR5" t="str">
        <f>_xll.BDS("nan Equity","SUPPLY_CHAIN_CUSTOMERS","RELATIONSHIP_AS_OF_DATE","20060628")</f>
        <v>#N/A N/A</v>
      </c>
      <c r="HW5" t="str">
        <f>_xll.BDS("1683997D US Equity","SUPPLY_CHAIN_SUPPLIERS","RELATIONSHIP_AS_OF_DATE","20120614")</f>
        <v>#N/A N/A</v>
      </c>
      <c r="IB5" t="str">
        <f>_xll.BDS("1683997D US Equity","SUPPLY_CHAIN_CUSTOMERS","RELATIONSHIP_AS_OF_DATE","20120614")</f>
        <v>#N/A N/A</v>
      </c>
      <c r="IG5" t="str">
        <f>_xll.BDS("CUZ US Equity","SUPPLY_CHAIN_SUPPLIERS","RELATIONSHIP_AS_OF_DATE","20190325")</f>
        <v>PCOR US Equity</v>
      </c>
      <c r="IL5" t="str">
        <f>_xll.BDS("CUZ US Equity","SUPPLY_CHAIN_CUSTOMERS","RELATIONSHIP_AS_OF_DATE","20190325","cols=1;rows=5")</f>
        <v>AMZN US Equity</v>
      </c>
      <c r="IQ5" t="str">
        <f>_xll.BDS("BBEPQ US Equity","SUPPLY_CHAIN_SUPPLIERS","RELATIONSHIP_AS_OF_DATE","20140724")</f>
        <v>#N/A N/A</v>
      </c>
      <c r="IV5" t="str">
        <f>_xll.BDS("BBEPQ US Equity","SUPPLY_CHAIN_CUSTOMERS","RELATIONSHIP_AS_OF_DATE","20140724")</f>
        <v>#N/A N/A</v>
      </c>
      <c r="JA5" t="str">
        <f>_xll.BDS("PACW US Equity","SUPPLY_CHAIN_SUPPLIERS","RELATIONSHIP_AS_OF_DATE","20130722")</f>
        <v>#N/A N/A</v>
      </c>
      <c r="JF5" t="str">
        <f>_xll.BDS("PACW US Equity","SUPPLY_CHAIN_CUSTOMERS","RELATIONSHIP_AS_OF_DATE","20130722")</f>
        <v>SNX US Equity</v>
      </c>
      <c r="JK5" t="str">
        <f>_xll.BDS("KNX US Equity","SUPPLY_CHAIN_SUPPLIERS","RELATIONSHIP_AS_OF_DATE","20170410","cols=1;rows=5")</f>
        <v>ORCL US Equity</v>
      </c>
      <c r="JP5" t="str">
        <f>_xll.BDS("KNX US Equity","SUPPLY_CHAIN_CUSTOMERS","RELATIONSHIP_AS_OF_DATE","20170410","cols=1;rows=3")</f>
        <v>UPS US Equity</v>
      </c>
      <c r="JU5" t="str">
        <f>_xll.BDS("ON US Equity","SUPPLY_CHAIN_SUPPLIERS","RELATIONSHIP_AS_OF_DATE","20151118","cols=1;rows=5")</f>
        <v>981 HK Equity</v>
      </c>
      <c r="JZ5" t="str">
        <f>_xll.BDS("ON US Equity","SUPPLY_CHAIN_CUSTOMERS","RELATIONSHIP_AS_OF_DATE","20151118","cols=1;rows=5")</f>
        <v>3036 TT Equity</v>
      </c>
      <c r="KE5" t="str">
        <f>_xll.BDS("DFODQ US Equity","SUPPLY_CHAIN_SUPPLIERS","RELATIONSHIP_AS_OF_DATE","20010405","cols=1;rows=5")</f>
        <v>AEE US Equity</v>
      </c>
      <c r="KJ5" t="str">
        <f>_xll.BDS("DFODQ US Equity","SUPPLY_CHAIN_CUSTOMERS","RELATIONSHIP_AS_OF_DATE","20010405")</f>
        <v>#N/A N/A</v>
      </c>
      <c r="KO5" t="str">
        <f>_xll.BDS("AGR US Equity","SUPPLY_CHAIN_SUPPLIERS","RELATIONSHIP_AS_OF_DATE","20010220","cols=1;rows=5")</f>
        <v>3365854Z US Equity</v>
      </c>
      <c r="KT5" t="str">
        <f>_xll.BDS("AGR US Equity","SUPPLY_CHAIN_CUSTOMERS","RELATIONSHIP_AS_OF_DATE","20010220","cols=1;rows=5")</f>
        <v>1256Z NO Equity</v>
      </c>
      <c r="KY5" t="str">
        <f>_xll.BDS("ENDPQ US Equity","SUPPLY_CHAIN_SUPPLIERS","RELATIONSHIP_AS_OF_DATE","20140917","cols=1;rows=5")</f>
        <v>0177858D US Equity</v>
      </c>
      <c r="LD5" t="str">
        <f>_xll.BDS("ENDPQ US Equity","SUPPLY_CHAIN_CUSTOMERS","RELATIONSHIP_AS_OF_DATE","20140917","cols=1;rows=5")</f>
        <v>0219682Z US Equity</v>
      </c>
      <c r="LI5" t="str">
        <f>_xll.BDS("VTR US Equity","SUPPLY_CHAIN_SUPPLIERS","RELATIONSHIP_AS_OF_DATE","20210628")</f>
        <v>#N/A N/A</v>
      </c>
      <c r="LN5" t="str">
        <f>_xll.BDS("VTR US Equity","SUPPLY_CHAIN_CUSTOMERS","RELATIONSHIP_AS_OF_DATE","20210628","cols=1;rows=3")</f>
        <v>BKD US Equity</v>
      </c>
      <c r="LS5" t="str">
        <f>_xll.BDS("IPG US Equity","SUPPLY_CHAIN_SUPPLIERS","RELATIONSHIP_AS_OF_DATE","20010319","cols=1;rows=5")</f>
        <v>VNO US Equity</v>
      </c>
      <c r="LX5" t="str">
        <f>_xll.BDS("IPG US Equity","SUPPLY_CHAIN_CUSTOMERS","RELATIONSHIP_AS_OF_DATE","20010319","cols=1;rows=5")</f>
        <v>TVSL IN Equity</v>
      </c>
      <c r="MC5" t="str">
        <f>_xll.BDS("CLF US Equity","SUPPLY_CHAIN_SUPPLIERS","RELATIONSHIP_AS_OF_DATE","20191203","cols=1;rows=5")</f>
        <v>SXC US Equity</v>
      </c>
      <c r="MH5" t="str">
        <f>_xll.BDS("CLF US Equity","SUPPLY_CHAIN_CUSTOMERS","RELATIONSHIP_AS_OF_DATE","20191203","cols=1;rows=5")</f>
        <v>GM US Equity</v>
      </c>
      <c r="MM5" t="str">
        <f>_xll.BDS("AMGN US Equity","SUPPLY_CHAIN_SUPPLIERS","RELATIONSHIP_AS_OF_DATE","20051214","cols=1;rows=5")</f>
        <v>AZN LN Equity</v>
      </c>
      <c r="MR5" t="str">
        <f>_xll.BDS("AMGN US Equity","SUPPLY_CHAIN_CUSTOMERS","RELATIONSHIP_AS_OF_DATE","20051214","cols=1;rows=5")</f>
        <v>MCK US Equity</v>
      </c>
      <c r="MW5" t="str">
        <f>_xll.BDS("1255173D US Equity","SUPPLY_CHAIN_SUPPLIERS","RELATIONSHIP_AS_OF_DATE","19980304")</f>
        <v>#N/A N/A</v>
      </c>
      <c r="NB5" t="str">
        <f>_xll.BDS("1255173D US Equity","SUPPLY_CHAIN_CUSTOMERS","RELATIONSHIP_AS_OF_DATE","19980304")</f>
        <v>#N/A N/A</v>
      </c>
      <c r="NG5" t="str">
        <f>_xll.BDS("OHI US Equity","SUPPLY_CHAIN_SUPPLIERS","RELATIONSHIP_AS_OF_DATE","20141031")</f>
        <v>CLINT SP Equity</v>
      </c>
      <c r="NL5" t="str">
        <f>_xll.BDS("OHI US Equity","SUPPLY_CHAIN_CUSTOMERS","RELATIONSHIP_AS_OF_DATE","20141031","cols=1;rows=5")</f>
        <v>4921824Z US Equity</v>
      </c>
      <c r="NQ5" t="str">
        <f>_xll.BDS("WINMQ US Equity","SUPPLY_CHAIN_SUPPLIERS","RELATIONSHIP_AS_OF_DATE","20110801","cols=1;rows=5")</f>
        <v>DY US Equity</v>
      </c>
      <c r="NV5" t="str">
        <f>_xll.BDS("WINMQ US Equity","SUPPLY_CHAIN_CUSTOMERS","RELATIONSHIP_AS_OF_DATE","20110801","cols=1;rows=2")</f>
        <v>SCSC US Equity</v>
      </c>
      <c r="OA5" t="str">
        <f>_xll.BDS("GD US Equity","SUPPLY_CHAIN_SUPPLIERS","RELATIONSHIP_AS_OF_DATE","20051214","cols=1;rows=5")</f>
        <v>RTX US Equity</v>
      </c>
      <c r="OF5" t="str">
        <f>_xll.BDS("GD US Equity","SUPPLY_CHAIN_CUSTOMERS","RELATIONSHIP_AS_OF_DATE","20051214","cols=1;rows=5")</f>
        <v>3352Z US Equity</v>
      </c>
    </row>
    <row r="6" spans="1:396" x14ac:dyDescent="0.25">
      <c r="A6" t="s">
        <v>10696</v>
      </c>
      <c r="P6" t="s">
        <v>790</v>
      </c>
      <c r="U6" t="s">
        <v>10735</v>
      </c>
      <c r="Z6" t="s">
        <v>1468</v>
      </c>
      <c r="AE6" t="s">
        <v>10738</v>
      </c>
      <c r="AJ6" t="s">
        <v>11229</v>
      </c>
      <c r="CM6" t="s">
        <v>10820</v>
      </c>
      <c r="CR6" t="s">
        <v>12855</v>
      </c>
      <c r="DQ6" t="s">
        <v>11090</v>
      </c>
      <c r="DV6" t="s">
        <v>261</v>
      </c>
      <c r="EA6" t="s">
        <v>13105</v>
      </c>
      <c r="EF6" t="s">
        <v>12570</v>
      </c>
      <c r="EU6" t="s">
        <v>10740</v>
      </c>
      <c r="FO6" t="s">
        <v>4570</v>
      </c>
      <c r="FT6" t="s">
        <v>12926</v>
      </c>
      <c r="FY6" t="s">
        <v>11089</v>
      </c>
      <c r="GD6" t="s">
        <v>266</v>
      </c>
      <c r="GI6" t="s">
        <v>11089</v>
      </c>
      <c r="GN6" t="s">
        <v>266</v>
      </c>
      <c r="HC6" t="s">
        <v>154</v>
      </c>
      <c r="HH6" t="s">
        <v>12797</v>
      </c>
      <c r="IL6" t="s">
        <v>2705</v>
      </c>
      <c r="JK6" t="s">
        <v>12918</v>
      </c>
      <c r="JP6" t="s">
        <v>1549</v>
      </c>
      <c r="JU6" t="s">
        <v>11203</v>
      </c>
      <c r="JZ6" t="s">
        <v>6473</v>
      </c>
      <c r="KE6" t="s">
        <v>10696</v>
      </c>
      <c r="KO6" t="s">
        <v>12609</v>
      </c>
      <c r="KT6" t="s">
        <v>11634</v>
      </c>
      <c r="KY6" t="s">
        <v>11678</v>
      </c>
      <c r="LD6" t="s">
        <v>11870</v>
      </c>
      <c r="LN6" t="s">
        <v>790</v>
      </c>
      <c r="LS6" t="s">
        <v>11364</v>
      </c>
      <c r="LX6" t="s">
        <v>12632</v>
      </c>
      <c r="MC6" t="s">
        <v>11300</v>
      </c>
      <c r="MH6" t="s">
        <v>10916</v>
      </c>
      <c r="MM6" t="s">
        <v>10817</v>
      </c>
      <c r="MR6" t="s">
        <v>1468</v>
      </c>
      <c r="NL6" t="s">
        <v>12822</v>
      </c>
      <c r="NQ6" t="s">
        <v>11573</v>
      </c>
      <c r="NV6" t="s">
        <v>11546</v>
      </c>
      <c r="OA6" t="s">
        <v>11007</v>
      </c>
      <c r="OF6" t="s">
        <v>11193</v>
      </c>
    </row>
    <row r="7" spans="1:396" x14ac:dyDescent="0.25">
      <c r="A7" t="s">
        <v>1265</v>
      </c>
      <c r="P7" t="s">
        <v>12154</v>
      </c>
      <c r="U7" t="s">
        <v>45</v>
      </c>
      <c r="Z7" t="s">
        <v>970</v>
      </c>
      <c r="AE7" t="s">
        <v>12791</v>
      </c>
      <c r="AJ7" t="s">
        <v>13126</v>
      </c>
      <c r="CM7" t="s">
        <v>12882</v>
      </c>
      <c r="DQ7" t="s">
        <v>10729</v>
      </c>
      <c r="DV7" t="s">
        <v>10853</v>
      </c>
      <c r="EA7" t="s">
        <v>11117</v>
      </c>
      <c r="EF7" t="s">
        <v>12571</v>
      </c>
      <c r="EU7" t="s">
        <v>11842</v>
      </c>
      <c r="FO7" t="s">
        <v>11099</v>
      </c>
      <c r="FY7" t="s">
        <v>11090</v>
      </c>
      <c r="GD7" t="s">
        <v>10892</v>
      </c>
      <c r="GI7" t="s">
        <v>11090</v>
      </c>
      <c r="GN7" t="s">
        <v>10892</v>
      </c>
      <c r="HH7" t="s">
        <v>790</v>
      </c>
      <c r="IL7" t="s">
        <v>3162</v>
      </c>
      <c r="JK7" t="s">
        <v>12919</v>
      </c>
      <c r="JP7" t="s">
        <v>12898</v>
      </c>
      <c r="JU7" t="s">
        <v>11410</v>
      </c>
      <c r="JZ7" t="s">
        <v>3519</v>
      </c>
      <c r="KE7" t="s">
        <v>158</v>
      </c>
      <c r="KO7" t="s">
        <v>12610</v>
      </c>
      <c r="KT7" t="s">
        <v>11635</v>
      </c>
      <c r="KY7" t="s">
        <v>11894</v>
      </c>
      <c r="LD7" t="s">
        <v>10657</v>
      </c>
      <c r="LN7" t="s">
        <v>12154</v>
      </c>
      <c r="LS7" t="s">
        <v>11287</v>
      </c>
      <c r="LX7" t="s">
        <v>12633</v>
      </c>
      <c r="MC7" t="s">
        <v>11448</v>
      </c>
      <c r="MH7" t="s">
        <v>10917</v>
      </c>
      <c r="MM7" t="s">
        <v>10816</v>
      </c>
      <c r="MR7" t="s">
        <v>970</v>
      </c>
      <c r="NL7" t="s">
        <v>12823</v>
      </c>
      <c r="NQ7" t="s">
        <v>11574</v>
      </c>
      <c r="OA7" t="s">
        <v>11756</v>
      </c>
      <c r="OF7" t="s">
        <v>11955</v>
      </c>
    </row>
    <row r="8" spans="1:396" x14ac:dyDescent="0.25">
      <c r="A8" t="s">
        <v>158</v>
      </c>
      <c r="U8" t="s">
        <v>3437</v>
      </c>
      <c r="Z8" t="s">
        <v>51</v>
      </c>
      <c r="AE8" t="s">
        <v>12792</v>
      </c>
      <c r="AJ8" t="s">
        <v>13127</v>
      </c>
      <c r="CM8" t="s">
        <v>12506</v>
      </c>
      <c r="DQ8" t="s">
        <v>10892</v>
      </c>
      <c r="DV8" t="s">
        <v>11566</v>
      </c>
      <c r="EA8" t="s">
        <v>13106</v>
      </c>
      <c r="EF8" t="s">
        <v>12568</v>
      </c>
      <c r="EU8" t="s">
        <v>11844</v>
      </c>
      <c r="FO8" t="s">
        <v>11339</v>
      </c>
      <c r="FY8" t="s">
        <v>10734</v>
      </c>
      <c r="GD8" t="s">
        <v>469</v>
      </c>
      <c r="GI8" t="s">
        <v>10734</v>
      </c>
      <c r="GN8" t="s">
        <v>469</v>
      </c>
      <c r="HH8" t="s">
        <v>12798</v>
      </c>
      <c r="IL8" t="s">
        <v>47</v>
      </c>
      <c r="JK8" t="s">
        <v>1549</v>
      </c>
      <c r="JU8" t="s">
        <v>11411</v>
      </c>
      <c r="JZ8" t="s">
        <v>10658</v>
      </c>
      <c r="KE8" t="s">
        <v>6710</v>
      </c>
      <c r="KO8" t="s">
        <v>12611</v>
      </c>
      <c r="KT8" t="s">
        <v>10657</v>
      </c>
      <c r="KY8" t="s">
        <v>11895</v>
      </c>
      <c r="LD8" t="s">
        <v>11871</v>
      </c>
      <c r="LS8" t="s">
        <v>1654</v>
      </c>
      <c r="LX8" t="s">
        <v>10651</v>
      </c>
      <c r="MC8" t="s">
        <v>12250</v>
      </c>
      <c r="MH8" t="s">
        <v>11740</v>
      </c>
      <c r="MM8" t="s">
        <v>2785</v>
      </c>
      <c r="MR8" t="s">
        <v>51</v>
      </c>
      <c r="NL8" t="s">
        <v>11381</v>
      </c>
      <c r="NQ8" t="s">
        <v>969</v>
      </c>
      <c r="OA8" t="s">
        <v>1353</v>
      </c>
      <c r="OF8" t="s">
        <v>10660</v>
      </c>
    </row>
    <row r="9" spans="1:396" x14ac:dyDescent="0.25">
      <c r="A9" t="s">
        <v>260</v>
      </c>
      <c r="U9" t="s">
        <v>11012</v>
      </c>
      <c r="Z9" t="s">
        <v>10944</v>
      </c>
      <c r="AE9" t="s">
        <v>12793</v>
      </c>
      <c r="AJ9" t="s">
        <v>13128</v>
      </c>
      <c r="DQ9" t="s">
        <v>1267</v>
      </c>
      <c r="DV9" t="s">
        <v>11875</v>
      </c>
      <c r="EA9" t="s">
        <v>10732</v>
      </c>
      <c r="EF9" t="s">
        <v>1471</v>
      </c>
      <c r="FO9" t="s">
        <v>12965</v>
      </c>
      <c r="FY9" t="s">
        <v>11170</v>
      </c>
      <c r="GD9" t="s">
        <v>41</v>
      </c>
      <c r="GI9" t="s">
        <v>11170</v>
      </c>
      <c r="GN9" t="s">
        <v>41</v>
      </c>
      <c r="HH9" t="s">
        <v>12799</v>
      </c>
      <c r="IL9" t="s">
        <v>165</v>
      </c>
      <c r="JK9" t="s">
        <v>11964</v>
      </c>
      <c r="JU9" t="s">
        <v>4898</v>
      </c>
      <c r="JZ9" t="s">
        <v>11566</v>
      </c>
      <c r="KE9" t="s">
        <v>693</v>
      </c>
      <c r="KO9" t="s">
        <v>11991</v>
      </c>
      <c r="KT9" t="s">
        <v>11636</v>
      </c>
      <c r="KY9" t="s">
        <v>11896</v>
      </c>
      <c r="LD9" t="s">
        <v>970</v>
      </c>
      <c r="LS9" t="s">
        <v>11365</v>
      </c>
      <c r="LX9" t="s">
        <v>259</v>
      </c>
      <c r="MC9" t="s">
        <v>12196</v>
      </c>
      <c r="MH9" t="s">
        <v>12580</v>
      </c>
      <c r="MM9" t="s">
        <v>772</v>
      </c>
      <c r="MR9" t="s">
        <v>12323</v>
      </c>
      <c r="NL9" t="s">
        <v>1556</v>
      </c>
      <c r="NQ9" t="s">
        <v>11575</v>
      </c>
      <c r="OA9" t="s">
        <v>1172</v>
      </c>
      <c r="OF9" t="s">
        <v>11956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2164</v>
      </c>
      <c r="K1" s="1" t="s">
        <v>2165</v>
      </c>
      <c r="U1" s="1" t="s">
        <v>2166</v>
      </c>
      <c r="AE1" s="1" t="s">
        <v>2167</v>
      </c>
      <c r="AO1" s="1" t="s">
        <v>2168</v>
      </c>
      <c r="AY1" s="1" t="s">
        <v>2169</v>
      </c>
      <c r="BI1" s="1" t="s">
        <v>2170</v>
      </c>
      <c r="BS1" s="1" t="s">
        <v>2171</v>
      </c>
      <c r="CC1" s="1" t="s">
        <v>2172</v>
      </c>
      <c r="CM1" s="1" t="s">
        <v>2173</v>
      </c>
      <c r="CW1" s="1" t="s">
        <v>2174</v>
      </c>
      <c r="DG1" s="1" t="s">
        <v>2175</v>
      </c>
      <c r="DQ1" s="1" t="s">
        <v>2176</v>
      </c>
      <c r="EA1" s="1" t="s">
        <v>2177</v>
      </c>
      <c r="EK1" s="1" t="s">
        <v>2178</v>
      </c>
      <c r="EU1" s="1" t="s">
        <v>2179</v>
      </c>
      <c r="FE1" s="1" t="s">
        <v>2180</v>
      </c>
      <c r="FO1" s="1" t="s">
        <v>2181</v>
      </c>
      <c r="FY1" s="1" t="s">
        <v>2182</v>
      </c>
      <c r="GI1" s="1" t="s">
        <v>2183</v>
      </c>
      <c r="GS1" s="1" t="s">
        <v>2184</v>
      </c>
      <c r="HC1" s="1" t="s">
        <v>2185</v>
      </c>
      <c r="HM1" s="1" t="s">
        <v>2186</v>
      </c>
      <c r="HW1" s="1" t="s">
        <v>2187</v>
      </c>
      <c r="IG1" s="1" t="s">
        <v>2188</v>
      </c>
      <c r="IQ1" s="1" t="s">
        <v>2189</v>
      </c>
      <c r="JA1" s="1" t="s">
        <v>2190</v>
      </c>
      <c r="JK1" s="1" t="s">
        <v>2191</v>
      </c>
      <c r="JU1" s="1" t="s">
        <v>2192</v>
      </c>
      <c r="KE1" s="1" t="s">
        <v>2193</v>
      </c>
      <c r="KO1" s="1" t="s">
        <v>2194</v>
      </c>
      <c r="KY1" s="1" t="s">
        <v>2195</v>
      </c>
      <c r="LI1" s="1" t="s">
        <v>2196</v>
      </c>
      <c r="LS1" s="1" t="s">
        <v>2197</v>
      </c>
      <c r="MC1" s="1" t="s">
        <v>2198</v>
      </c>
      <c r="MM1" s="1" t="s">
        <v>2199</v>
      </c>
      <c r="MW1" s="1" t="s">
        <v>2200</v>
      </c>
      <c r="NG1" s="1" t="s">
        <v>2201</v>
      </c>
      <c r="NQ1" s="1" t="s">
        <v>2202</v>
      </c>
      <c r="OA1" s="1" t="s">
        <v>2203</v>
      </c>
    </row>
    <row r="2" spans="1:396" x14ac:dyDescent="0.25">
      <c r="A2" s="2" t="s">
        <v>2204</v>
      </c>
      <c r="K2" s="2" t="s">
        <v>49</v>
      </c>
      <c r="U2" s="2" t="s">
        <v>390</v>
      </c>
      <c r="AE2" s="2" t="s">
        <v>675</v>
      </c>
      <c r="AO2" s="2" t="s">
        <v>2205</v>
      </c>
      <c r="AY2" s="2" t="s">
        <v>2206</v>
      </c>
      <c r="BI2" s="2" t="s">
        <v>1753</v>
      </c>
      <c r="BS2" s="2" t="s">
        <v>2207</v>
      </c>
      <c r="CC2" s="2" t="s">
        <v>2208</v>
      </c>
      <c r="CM2" s="2" t="s">
        <v>2209</v>
      </c>
      <c r="CW2" s="2" t="s">
        <v>2210</v>
      </c>
      <c r="DG2" s="2" t="s">
        <v>275</v>
      </c>
      <c r="DQ2" s="2" t="s">
        <v>2211</v>
      </c>
      <c r="EA2" s="2" t="s">
        <v>49</v>
      </c>
      <c r="EK2" s="2" t="s">
        <v>371</v>
      </c>
      <c r="EU2" s="2" t="s">
        <v>2212</v>
      </c>
      <c r="FE2" s="2" t="s">
        <v>2213</v>
      </c>
      <c r="FO2" s="2" t="s">
        <v>2214</v>
      </c>
      <c r="FY2" s="2" t="s">
        <v>2215</v>
      </c>
      <c r="GI2" s="2" t="s">
        <v>1065</v>
      </c>
      <c r="GS2" s="2" t="s">
        <v>970</v>
      </c>
      <c r="HC2" s="2" t="s">
        <v>1272</v>
      </c>
      <c r="HM2" s="2" t="s">
        <v>1164</v>
      </c>
      <c r="HW2" s="2" t="s">
        <v>64</v>
      </c>
      <c r="IG2" s="2" t="s">
        <v>2216</v>
      </c>
      <c r="IQ2" s="2" t="s">
        <v>43</v>
      </c>
      <c r="JA2" s="2" t="s">
        <v>261</v>
      </c>
      <c r="JK2" s="2" t="s">
        <v>282</v>
      </c>
      <c r="JU2" s="2" t="s">
        <v>2217</v>
      </c>
      <c r="KE2" s="2" t="s">
        <v>2218</v>
      </c>
      <c r="KO2" s="2" t="s">
        <v>2219</v>
      </c>
      <c r="KY2" s="2" t="s">
        <v>2220</v>
      </c>
      <c r="LI2" s="2" t="s">
        <v>270</v>
      </c>
      <c r="LS2" s="2" t="s">
        <v>272</v>
      </c>
      <c r="MC2" s="2" t="s">
        <v>2221</v>
      </c>
      <c r="MM2" s="2" t="s">
        <v>2119</v>
      </c>
      <c r="MW2" s="2" t="s">
        <v>43</v>
      </c>
      <c r="NG2" s="2" t="s">
        <v>2222</v>
      </c>
      <c r="NQ2" s="2" t="s">
        <v>970</v>
      </c>
      <c r="OA2" s="2" t="s">
        <v>2223</v>
      </c>
    </row>
    <row r="3" spans="1:396" x14ac:dyDescent="0.25">
      <c r="A3" t="s">
        <v>1766</v>
      </c>
      <c r="K3" t="s">
        <v>1185</v>
      </c>
      <c r="U3" t="s">
        <v>99</v>
      </c>
      <c r="AE3" t="s">
        <v>2224</v>
      </c>
      <c r="AO3" t="s">
        <v>72</v>
      </c>
      <c r="AY3" t="s">
        <v>2225</v>
      </c>
      <c r="BI3" t="s">
        <v>2226</v>
      </c>
      <c r="BS3" t="s">
        <v>1296</v>
      </c>
      <c r="CC3" t="s">
        <v>2227</v>
      </c>
      <c r="CM3" t="s">
        <v>2228</v>
      </c>
      <c r="CW3" t="s">
        <v>2229</v>
      </c>
      <c r="DG3" t="s">
        <v>213</v>
      </c>
      <c r="DQ3" t="s">
        <v>2230</v>
      </c>
      <c r="EA3" t="s">
        <v>2231</v>
      </c>
      <c r="EK3" t="s">
        <v>2232</v>
      </c>
      <c r="EU3" t="s">
        <v>2233</v>
      </c>
      <c r="FE3" t="s">
        <v>2234</v>
      </c>
      <c r="FO3" t="s">
        <v>2235</v>
      </c>
      <c r="FY3" t="s">
        <v>2236</v>
      </c>
      <c r="GI3" t="s">
        <v>2237</v>
      </c>
      <c r="GS3" t="s">
        <v>1771</v>
      </c>
      <c r="HC3" t="s">
        <v>2065</v>
      </c>
      <c r="HM3" t="s">
        <v>2238</v>
      </c>
      <c r="HW3" t="s">
        <v>2239</v>
      </c>
      <c r="IG3" t="s">
        <v>2240</v>
      </c>
      <c r="IQ3" t="s">
        <v>2241</v>
      </c>
      <c r="JA3" t="s">
        <v>2242</v>
      </c>
      <c r="JK3" t="s">
        <v>2243</v>
      </c>
      <c r="JU3" t="s">
        <v>2244</v>
      </c>
      <c r="KE3" t="s">
        <v>2245</v>
      </c>
      <c r="KO3" t="s">
        <v>2246</v>
      </c>
      <c r="KY3" t="s">
        <v>2247</v>
      </c>
      <c r="LI3" t="s">
        <v>1087</v>
      </c>
      <c r="LS3" t="s">
        <v>2248</v>
      </c>
      <c r="MC3" t="s">
        <v>2249</v>
      </c>
      <c r="MM3" t="s">
        <v>2250</v>
      </c>
      <c r="MW3" t="s">
        <v>2251</v>
      </c>
      <c r="NG3" t="s">
        <v>2252</v>
      </c>
      <c r="NQ3" t="s">
        <v>410</v>
      </c>
      <c r="OA3" t="s">
        <v>2253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_xll.BDS("AKAM US Equity","SUPPLY_CHAIN_SUPPLIERS","RELATIONSHIP_AS_OF_DATE","20000207","cols=1;rows=5")</f>
        <v>BXP US Equity</v>
      </c>
      <c r="F5" t="str">
        <f>_xll.BDS("AKAM US Equity","SUPPLY_CHAIN_CUSTOMERS","RELATIONSHIP_AS_OF_DATE","20000207","cols=1;rows=5")</f>
        <v>AMZN US Equity</v>
      </c>
      <c r="K5" t="str">
        <f>_xll.BDS("VZ US Equity","SUPPLY_CHAIN_SUPPLIERS","RELATIONSHIP_AS_OF_DATE","20160801","cols=1;rows=5")</f>
        <v>AAPL US Equity</v>
      </c>
      <c r="P5" t="str">
        <f>_xll.BDS("VZ US Equity","SUPPLY_CHAIN_CUSTOMERS","RELATIONSHIP_AS_OF_DATE","20160801","cols=1;rows=5")</f>
        <v>SNX US Equity</v>
      </c>
      <c r="U5" t="str">
        <f>_xll.BDS("GEN US Equity","SUPPLY_CHAIN_SUPPLIERS","RELATIONSHIP_AS_OF_DATE","20161121","cols=1;rows=5")</f>
        <v>354 HK Equity</v>
      </c>
      <c r="Z5" t="str">
        <f>_xll.BDS("GEN US Equity","SUPPLY_CHAIN_CUSTOMERS","RELATIONSHIP_AS_OF_DATE","20161121","cols=1;rows=5")</f>
        <v>BABA US Equity</v>
      </c>
      <c r="AE5" t="str">
        <f>_xll.BDS("FANG US Equity","SUPPLY_CHAIN_SUPPLIERS","RELATIONSHIP_AS_OF_DATE","20201221","cols=1;rows=5")</f>
        <v>TEN IM Equity</v>
      </c>
      <c r="AJ5" t="str">
        <f>_xll.BDS("FANG US Equity","SUPPLY_CHAIN_CUSTOMERS","RELATIONSHIP_AS_OF_DATE","20201221","cols=1;rows=4")</f>
        <v>9888092Z US Equity</v>
      </c>
      <c r="AO5" t="str">
        <f>_xll.BDS("XOXOQ US Equity","SUPPLY_CHAIN_SUPPLIERS","RELATIONSHIP_AS_OF_DATE","20000110")</f>
        <v>#N/A N/A</v>
      </c>
      <c r="AT5" t="str">
        <f>_xll.BDS("XOXOQ US Equity","SUPPLY_CHAIN_CUSTOMERS","RELATIONSHIP_AS_OF_DATE","20000110")</f>
        <v>#N/A N/A</v>
      </c>
      <c r="AY5" t="str">
        <f>_xll.BDS("EXXIQ US Equity","SUPPLY_CHAIN_SUPPLIERS","RELATIONSHIP_AS_OF_DATE","20140312")</f>
        <v>#N/A N/A</v>
      </c>
      <c r="BD5" t="str">
        <f>_xll.BDS("EXXIQ US Equity","SUPPLY_CHAIN_CUSTOMERS","RELATIONSHIP_AS_OF_DATE","20140312")</f>
        <v>#N/A N/A</v>
      </c>
      <c r="BI5" t="str">
        <f>_xll.BDS("IEP US Equity","SUPPLY_CHAIN_SUPPLIERS","RELATIONSHIP_AS_OF_DATE","20120216","cols=1;rows=5")</f>
        <v>SMP US Equity</v>
      </c>
      <c r="BN5" t="str">
        <f>_xll.BDS("IEP US Equity","SUPPLY_CHAIN_CUSTOMERS","RELATIONSHIP_AS_OF_DATE","20120216","cols=1;rows=2")</f>
        <v>FMGI IN Equity</v>
      </c>
      <c r="BS5" t="str">
        <f>_xll.BDS("GR US Equity","SUPPLY_CHAIN_SUPPLIERS","RELATIONSHIP_AS_OF_DATE","19981123")</f>
        <v>#N/A N/A</v>
      </c>
      <c r="BX5" t="str">
        <f>_xll.BDS("GR US Equity","SUPPLY_CHAIN_CUSTOMERS","RELATIONSHIP_AS_OF_DATE","19981123")</f>
        <v>#N/A N/A</v>
      </c>
      <c r="CC5" t="str">
        <f>_xll.BDS("ALK US Equity","SUPPLY_CHAIN_SUPPLIERS","RELATIONSHIP_AS_OF_DATE","20160404","cols=1;rows=5")</f>
        <v>BA US Equity</v>
      </c>
      <c r="CH5" t="str">
        <f>_xll.BDS("ALK US Equity","SUPPLY_CHAIN_CUSTOMERS","RELATIONSHIP_AS_OF_DATE","20160404","cols=1;rows=5")</f>
        <v>1484271D CN Equity</v>
      </c>
      <c r="CM5" t="str">
        <f>_xll.BDS("STL US Equity","SUPPLY_CHAIN_SUPPLIERS","RELATIONSHIP_AS_OF_DATE","20170307")</f>
        <v>#N/A N/A</v>
      </c>
      <c r="CR5" t="str">
        <f>_xll.BDS("STL US Equity","SUPPLY_CHAIN_CUSTOMERS","RELATIONSHIP_AS_OF_DATE","20170307")</f>
        <v>#N/A N/A</v>
      </c>
      <c r="CW5" t="str">
        <f>_xll.BDS("HES US Equity","SUPPLY_CHAIN_SUPPLIERS","RELATIONSHIP_AS_OF_DATE","20010710","cols=1;rows=5")</f>
        <v>HESM US Equity</v>
      </c>
      <c r="DB5" t="str">
        <f>_xll.BDS("HES US Equity","SUPPLY_CHAIN_CUSTOMERS","RELATIONSHIP_AS_OF_DATE","20010710")</f>
        <v>#N/A N/A</v>
      </c>
      <c r="DG5" t="str">
        <f>_xll.BDS("GILD US Equity","SUPPLY_CHAIN_SUPPLIERS","RELATIONSHIP_AS_OF_DATE","20061002","cols=1;rows=5")</f>
        <v>JNJ US Equity</v>
      </c>
      <c r="DL5" t="str">
        <f>_xll.BDS("GILD US Equity","SUPPLY_CHAIN_CUSTOMERS","RELATIONSHIP_AS_OF_DATE","20061002","cols=1;rows=5")</f>
        <v>CAH US Equity</v>
      </c>
      <c r="DQ5" t="str">
        <f>_xll.BDS("TMHC US Equity","SUPPLY_CHAIN_SUPPLIERS","RELATIONSHIP_AS_OF_DATE","20191106","cols=1;rows=4")</f>
        <v>WMS US Equity</v>
      </c>
      <c r="DV5" t="str">
        <f>_xll.BDS("TMHC US Equity","SUPPLY_CHAIN_CUSTOMERS","RELATIONSHIP_AS_OF_DATE","20191106")</f>
        <v>#N/A N/A</v>
      </c>
      <c r="EA5" t="str">
        <f>_xll.BDS("VZ US Equity","SUPPLY_CHAIN_SUPPLIERS","RELATIONSHIP_AS_OF_DATE","20170511","cols=1;rows=5")</f>
        <v>AAPL US Equity</v>
      </c>
      <c r="EF5" t="str">
        <f>_xll.BDS("VZ US Equity","SUPPLY_CHAIN_CUSTOMERS","RELATIONSHIP_AS_OF_DATE","20170511","cols=1;rows=5")</f>
        <v>SNX US Equity</v>
      </c>
      <c r="EK5" t="str">
        <f>_xll.BDS("HON US Equity","SUPPLY_CHAIN_SUPPLIERS","RELATIONSHIP_AS_OF_DATE","19991220","cols=1;rows=5")</f>
        <v>CLS CN Equity</v>
      </c>
      <c r="EP5" t="str">
        <f>_xll.BDS("HON US Equity","SUPPLY_CHAIN_CUSTOMERS","RELATIONSHIP_AS_OF_DATE","19991220","cols=1;rows=5")</f>
        <v>3352Z US Equity</v>
      </c>
      <c r="EU5" t="str">
        <f>_xll.BDS("ZAYO US Equity","SUPPLY_CHAIN_SUPPLIERS","RELATIONSHIP_AS_OF_DATE","20120319","cols=1;rows=5")</f>
        <v>DCREIT SP Equity</v>
      </c>
      <c r="EZ5" t="str">
        <f>_xll.BDS("ZAYO US Equity","SUPPLY_CHAIN_CUSTOMERS","RELATIONSHIP_AS_OF_DATE","20120319","cols=1;rows=4")</f>
        <v>CLCO LN Equity</v>
      </c>
      <c r="FE5" t="str">
        <f>_xll.BDS("9990531D US Equity","SUPPLY_CHAIN_SUPPLIERS","RELATIONSHIP_AS_OF_DATE","20040304","cols=1;rows=5")</f>
        <v>BAS1V FH Equity</v>
      </c>
      <c r="FJ5" t="str">
        <f>_xll.BDS("9990531D US Equity","SUPPLY_CHAIN_CUSTOMERS","RELATIONSHIP_AS_OF_DATE","20040304","cols=1;rows=5")</f>
        <v>6214 TT Equity</v>
      </c>
      <c r="FO5" t="str">
        <f>_xll.BDS("RC US Equity","SUPPLY_CHAIN_SUPPLIERS","RELATIONSHIP_AS_OF_DATE","20201207")</f>
        <v>#N/A N/A</v>
      </c>
      <c r="FT5" t="str">
        <f>_xll.BDS("RC US Equity","SUPPLY_CHAIN_CUSTOMERS","RELATIONSHIP_AS_OF_DATE","20201207")</f>
        <v>#N/A N/A</v>
      </c>
      <c r="FY5" t="str">
        <f>_xll.BDS("CTAS US Equity","SUPPLY_CHAIN_SUPPLIERS","RELATIONSHIP_AS_OF_DATE","20160816","cols=1;rows=5")</f>
        <v>UFI US Equity</v>
      </c>
      <c r="GD5" t="str">
        <f>_xll.BDS("CTAS US Equity","SUPPLY_CHAIN_CUSTOMERS","RELATIONSHIP_AS_OF_DATE","20160816","cols=1;rows=3")</f>
        <v>1229327D US Equity</v>
      </c>
      <c r="GI5" t="str">
        <f>_xll.BDS("PENN US Equity","SUPPLY_CHAIN_SUPPLIERS","RELATIONSHIP_AS_OF_DATE","20041103","cols=1;rows=5")</f>
        <v>GLPI US Equity</v>
      </c>
      <c r="GN5" t="str">
        <f>_xll.BDS("PENN US Equity","SUPPLY_CHAIN_CUSTOMERS","RELATIONSHIP_AS_OF_DATE","20041103","cols=1;rows=4")</f>
        <v>0127957D US Equity</v>
      </c>
      <c r="GS5" t="str">
        <f>_xll.BDS("CAH US Equity","SUPPLY_CHAIN_SUPPLIERS","RELATIONSHIP_AS_OF_DATE","19980518","cols=1;rows=5")</f>
        <v>LLY US Equity</v>
      </c>
      <c r="GX5" t="str">
        <f>_xll.BDS("CAH US Equity","SUPPLY_CHAIN_CUSTOMERS","RELATIONSHIP_AS_OF_DATE","19980518","cols=1;rows=5")</f>
        <v>CVS US Equity</v>
      </c>
      <c r="HC5" t="str">
        <f>_xll.BDS("FITB US Equity","SUPPLY_CHAIN_SUPPLIERS","RELATIONSHIP_AS_OF_DATE","19990616","cols=1;rows=5")</f>
        <v>004800 KS Equity</v>
      </c>
      <c r="HH5" t="str">
        <f>_xll.BDS("FITB US Equity","SUPPLY_CHAIN_CUSTOMERS","RELATIONSHIP_AS_OF_DATE","19990616")</f>
        <v>USIO US Equity</v>
      </c>
      <c r="HM5" t="str">
        <f>_xll.BDS("GE US Equity","SUPPLY_CHAIN_SUPPLIERS","RELATIONSHIP_AS_OF_DATE","20010330","cols=1;rows=5")</f>
        <v>SAF FP Equity</v>
      </c>
      <c r="HR5" t="str">
        <f>_xll.BDS("GE US Equity","SUPPLY_CHAIN_CUSTOMERS","RELATIONSHIP_AS_OF_DATE","20010330","cols=1;rows=5")</f>
        <v>3352Z US Equity</v>
      </c>
      <c r="HW5" t="str">
        <f>_xll.BDS("nan Equity","SUPPLY_CHAIN_SUPPLIERS","RELATIONSHIP_AS_OF_DATE","20041018")</f>
        <v>#N/A N/A</v>
      </c>
      <c r="IB5" t="str">
        <f>_xll.BDS("nan Equity","SUPPLY_CHAIN_CUSTOMERS","RELATIONSHIP_AS_OF_DATE","20041018")</f>
        <v>#N/A N/A</v>
      </c>
      <c r="IG5" t="str">
        <f>_xll.BDS("NXL US Equity","SUPPLY_CHAIN_SUPPLIERS","RELATIONSHIP_AS_OF_DATE","19980514")</f>
        <v>#N/A N/A</v>
      </c>
      <c r="IL5" t="str">
        <f>_xll.BDS("NXL US Equity","SUPPLY_CHAIN_CUSTOMERS","RELATIONSHIP_AS_OF_DATE","19980514")</f>
        <v>#N/A N/A</v>
      </c>
      <c r="IQ5" t="str">
        <f>_xll.BDS("BMY US Equity","SUPPLY_CHAIN_SUPPLIERS","RELATIONSHIP_AS_OF_DATE","20090722","cols=1;rows=5")</f>
        <v>PFE US Equity</v>
      </c>
      <c r="IV5" t="str">
        <f>_xll.BDS("BMY US Equity","SUPPLY_CHAIN_CUSTOMERS","RELATIONSHIP_AS_OF_DATE","20090722","cols=1;rows=5")</f>
        <v>MCK US Equity</v>
      </c>
      <c r="JA5" t="str">
        <f>_xll.BDS("HPQ US Equity","SUPPLY_CHAIN_SUPPLIERS","RELATIONSHIP_AS_OF_DATE","20100823","cols=1;rows=5")</f>
        <v>2356 TT Equity</v>
      </c>
      <c r="JF5" t="str">
        <f>_xll.BDS("HPQ US Equity","SUPPLY_CHAIN_CUSTOMERS","RELATIONSHIP_AS_OF_DATE","20100823","cols=1;rows=5")</f>
        <v>SNX US Equity</v>
      </c>
      <c r="JK5" t="str">
        <f>_xll.BDS("9876456D US Equity","SUPPLY_CHAIN_SUPPLIERS","RELATIONSHIP_AS_OF_DATE","20140428")</f>
        <v>#N/A N/A</v>
      </c>
      <c r="JP5" t="str">
        <f>_xll.BDS("9876456D US Equity","SUPPLY_CHAIN_CUSTOMERS","RELATIONSHIP_AS_OF_DATE","20140428")</f>
        <v>#N/A N/A</v>
      </c>
      <c r="JU5" t="str">
        <f>_xll.BDS("AVB US Equity","SUPPLY_CHAIN_SUPPLIERS","RELATIONSHIP_AS_OF_DATE","19980308")</f>
        <v>#N/A N/A</v>
      </c>
      <c r="JZ5" t="str">
        <f>_xll.BDS("AVB US Equity","SUPPLY_CHAIN_CUSTOMERS","RELATIONSHIP_AS_OF_DATE","19980308","cols=1;rows=2")</f>
        <v>688125 CH Equity</v>
      </c>
      <c r="KE5" t="str">
        <f>_xll.BDS("HIG US Equity","SUPPLY_CHAIN_SUPPLIERS","RELATIONSHIP_AS_OF_DATE","20180822","cols=1;rows=5")</f>
        <v>OPITQ US Equity</v>
      </c>
      <c r="KJ5" t="str">
        <f>_xll.BDS("HIG US Equity","SUPPLY_CHAIN_CUSTOMERS","RELATIONSHIP_AS_OF_DATE","20180822")</f>
        <v>#N/A N/A</v>
      </c>
      <c r="KO5" t="str">
        <f>_xll.BDS("LYB US Equity","SUPPLY_CHAIN_SUPPLIERS","RELATIONSHIP_AS_OF_DATE","20180215","cols=1;rows=5")</f>
        <v>SIPCHEM AB Equity</v>
      </c>
      <c r="KT5" t="str">
        <f>_xll.BDS("LYB US Equity","SUPPLY_CHAIN_CUSTOMERS","RELATIONSHIP_AS_OF_DATE","20180215","cols=1;rows=5")</f>
        <v>BNR GR Equity</v>
      </c>
      <c r="KY5" t="str">
        <f>_xll.BDS("PRGNQ US Equity","SUPPLY_CHAIN_SUPPLIERS","RELATIONSHIP_AS_OF_DATE","20000405")</f>
        <v>#N/A N/A</v>
      </c>
      <c r="LD5" t="str">
        <f>_xll.BDS("PRGNQ US Equity","SUPPLY_CHAIN_CUSTOMERS","RELATIONSHIP_AS_OF_DATE","20000405")</f>
        <v>#N/A N/A</v>
      </c>
      <c r="LI5" t="str">
        <f>_xll.BDS("USB US Equity","SUPPLY_CHAIN_SUPPLIERS","RELATIONSHIP_AS_OF_DATE","20010507","cols=1;rows=5")</f>
        <v>INFO IN Equity</v>
      </c>
      <c r="LN5" t="str">
        <f>_xll.BDS("USB US Equity","SUPPLY_CHAIN_CUSTOMERS","RELATIONSHIP_AS_OF_DATE","20010507","cols=1;rows=2")</f>
        <v>FISV US Equity</v>
      </c>
      <c r="LS5" t="str">
        <f>_xll.BDS("TMO US Equity","SUPPLY_CHAIN_SUPPLIERS","RELATIONSHIP_AS_OF_DATE","20101213","cols=1;rows=5")</f>
        <v>EMR US Equity</v>
      </c>
      <c r="LX5" t="str">
        <f>_xll.BDS("TMO US Equity","SUPPLY_CHAIN_CUSTOMERS","RELATIONSHIP_AS_OF_DATE","20101213","cols=1;rows=5")</f>
        <v>4195 TT Equity</v>
      </c>
      <c r="MC5" t="str">
        <f>_xll.BDS("DIN US Equity","SUPPLY_CHAIN_SUPPLIERS","RELATIONSHIP_AS_OF_DATE","20070716","cols=1;rows=5")</f>
        <v>PEP US Equity</v>
      </c>
      <c r="MH5" t="str">
        <f>_xll.BDS("DIN US Equity","SUPPLY_CHAIN_CUSTOMERS","RELATIONSHIP_AS_OF_DATE","20070716")</f>
        <v>TA US Equity</v>
      </c>
      <c r="MM5" t="str">
        <f>_xll.BDS("QVCGA US Equity","SUPPLY_CHAIN_SUPPLIERS","RELATIONSHIP_AS_OF_DATE","20150817","cols=1;rows=5")</f>
        <v>GRMN US Equity</v>
      </c>
      <c r="MR5" t="str">
        <f>_xll.BDS("QVCGA US Equity","SUPPLY_CHAIN_CUSTOMERS","RELATIONSHIP_AS_OF_DATE","20150817","cols=1;rows=5")</f>
        <v>066570 KS Equity</v>
      </c>
      <c r="MW5" t="str">
        <f>_xll.BDS("BMY US Equity","SUPPLY_CHAIN_SUPPLIERS","RELATIONSHIP_AS_OF_DATE","20120107","cols=1;rows=5")</f>
        <v>PFE US Equity</v>
      </c>
      <c r="NB5" t="str">
        <f>_xll.BDS("BMY US Equity","SUPPLY_CHAIN_CUSTOMERS","RELATIONSHIP_AS_OF_DATE","20120107","cols=1;rows=5")</f>
        <v>MCK US Equity</v>
      </c>
      <c r="NG5" t="str">
        <f>_xll.BDS("2758954Q US Equity","SUPPLY_CHAIN_SUPPLIERS","RELATIONSHIP_AS_OF_DATE","20001019")</f>
        <v>#N/A N/A</v>
      </c>
      <c r="NL5" t="str">
        <f>_xll.BDS("2758954Q US Equity","SUPPLY_CHAIN_CUSTOMERS","RELATIONSHIP_AS_OF_DATE","20001019")</f>
        <v>#N/A N/A</v>
      </c>
      <c r="NQ5" t="str">
        <f>_xll.BDS("CAH US Equity","SUPPLY_CHAIN_SUPPLIERS","RELATIONSHIP_AS_OF_DATE","20001204","cols=1;rows=5")</f>
        <v>LLY US Equity</v>
      </c>
      <c r="NV5" t="str">
        <f>_xll.BDS("CAH US Equity","SUPPLY_CHAIN_CUSTOMERS","RELATIONSHIP_AS_OF_DATE","20001204","cols=1;rows=5")</f>
        <v>CVS US Equity</v>
      </c>
      <c r="OA5" t="str">
        <f>_xll.BDS("TYL US Equity","SUPPLY_CHAIN_SUPPLIERS","RELATIONSHIP_AS_OF_DATE","20210210")</f>
        <v>AMZN US Equity</v>
      </c>
      <c r="OF5" t="str">
        <f>_xll.BDS("TYL US Equity","SUPPLY_CHAIN_CUSTOMERS","RELATIONSHIP_AS_OF_DATE","20210210","cols=1;rows=5")</f>
        <v>0191294Z US Equity</v>
      </c>
    </row>
    <row r="6" spans="1:396" x14ac:dyDescent="0.25">
      <c r="A6" t="s">
        <v>10735</v>
      </c>
      <c r="F6" t="s">
        <v>12549</v>
      </c>
      <c r="K6" t="s">
        <v>10892</v>
      </c>
      <c r="P6" t="s">
        <v>6473</v>
      </c>
      <c r="U6" t="s">
        <v>5409</v>
      </c>
      <c r="Z6" t="s">
        <v>2881</v>
      </c>
      <c r="AE6" t="s">
        <v>4211</v>
      </c>
      <c r="AJ6" t="s">
        <v>12550</v>
      </c>
      <c r="BI6" t="s">
        <v>10873</v>
      </c>
      <c r="BN6" t="s">
        <v>10812</v>
      </c>
      <c r="CC6" t="s">
        <v>1164</v>
      </c>
      <c r="CH6" t="s">
        <v>12794</v>
      </c>
      <c r="CW6" t="s">
        <v>281</v>
      </c>
      <c r="DG6" t="s">
        <v>12260</v>
      </c>
      <c r="DL6" t="s">
        <v>385</v>
      </c>
      <c r="DQ6" t="s">
        <v>12381</v>
      </c>
      <c r="EA6" t="s">
        <v>10892</v>
      </c>
      <c r="EF6" t="s">
        <v>6473</v>
      </c>
      <c r="EK6" t="s">
        <v>2599</v>
      </c>
      <c r="EP6" t="s">
        <v>1363</v>
      </c>
      <c r="EU6" t="s">
        <v>3712</v>
      </c>
      <c r="EZ6" t="s">
        <v>11546</v>
      </c>
      <c r="FE6" t="s">
        <v>10828</v>
      </c>
      <c r="FJ6" t="s">
        <v>11726</v>
      </c>
      <c r="FY6" t="s">
        <v>12089</v>
      </c>
      <c r="GD6" t="s">
        <v>12564</v>
      </c>
      <c r="GI6" t="s">
        <v>12703</v>
      </c>
      <c r="GN6" t="s">
        <v>10921</v>
      </c>
      <c r="GS6" t="s">
        <v>45</v>
      </c>
      <c r="GX6" t="s">
        <v>10882</v>
      </c>
      <c r="HC6" t="s">
        <v>4388</v>
      </c>
      <c r="HM6" t="s">
        <v>11008</v>
      </c>
      <c r="HR6" t="s">
        <v>1363</v>
      </c>
      <c r="IQ6" t="s">
        <v>12214</v>
      </c>
      <c r="IV6" t="s">
        <v>1468</v>
      </c>
      <c r="JA6" t="s">
        <v>383</v>
      </c>
      <c r="JF6" t="s">
        <v>4139</v>
      </c>
      <c r="JZ6" t="s">
        <v>12471</v>
      </c>
      <c r="KE6" t="s">
        <v>12293</v>
      </c>
      <c r="KO6" t="s">
        <v>679</v>
      </c>
      <c r="KT6" t="s">
        <v>790</v>
      </c>
      <c r="LI6" t="s">
        <v>266</v>
      </c>
      <c r="LN6" t="s">
        <v>11294</v>
      </c>
      <c r="LS6" t="s">
        <v>44</v>
      </c>
      <c r="LX6" t="s">
        <v>10662</v>
      </c>
      <c r="MC6" t="s">
        <v>3701</v>
      </c>
      <c r="MM6" t="s">
        <v>13105</v>
      </c>
      <c r="MR6" t="s">
        <v>12570</v>
      </c>
      <c r="MW6" t="s">
        <v>12214</v>
      </c>
      <c r="NB6" t="s">
        <v>1468</v>
      </c>
      <c r="NQ6" t="s">
        <v>45</v>
      </c>
      <c r="NV6" t="s">
        <v>10882</v>
      </c>
      <c r="OF6" t="s">
        <v>13014</v>
      </c>
    </row>
    <row r="7" spans="1:396" x14ac:dyDescent="0.25">
      <c r="A7" t="s">
        <v>3955</v>
      </c>
      <c r="F7" t="s">
        <v>5236</v>
      </c>
      <c r="K7" t="s">
        <v>670</v>
      </c>
      <c r="P7" t="s">
        <v>10660</v>
      </c>
      <c r="U7" t="s">
        <v>10981</v>
      </c>
      <c r="Z7" t="s">
        <v>4139</v>
      </c>
      <c r="AE7" t="s">
        <v>6238</v>
      </c>
      <c r="AJ7" t="s">
        <v>11540</v>
      </c>
      <c r="BI7" t="s">
        <v>10874</v>
      </c>
      <c r="CC7" t="s">
        <v>10973</v>
      </c>
      <c r="CH7" t="s">
        <v>6237</v>
      </c>
      <c r="CW7" t="s">
        <v>11464</v>
      </c>
      <c r="DG7" t="s">
        <v>12261</v>
      </c>
      <c r="DL7" t="s">
        <v>1468</v>
      </c>
      <c r="DQ7" t="s">
        <v>1850</v>
      </c>
      <c r="EA7" t="s">
        <v>670</v>
      </c>
      <c r="EF7" t="s">
        <v>10660</v>
      </c>
      <c r="EK7" t="s">
        <v>11010</v>
      </c>
      <c r="EP7" t="s">
        <v>10939</v>
      </c>
      <c r="EU7" t="s">
        <v>967</v>
      </c>
      <c r="EZ7" t="s">
        <v>11688</v>
      </c>
      <c r="FE7" t="s">
        <v>13183</v>
      </c>
      <c r="FJ7" t="s">
        <v>13154</v>
      </c>
      <c r="FY7" t="s">
        <v>12090</v>
      </c>
      <c r="GD7" t="s">
        <v>10917</v>
      </c>
      <c r="GI7" t="s">
        <v>5236</v>
      </c>
      <c r="GN7" t="s">
        <v>46</v>
      </c>
      <c r="GS7" t="s">
        <v>368</v>
      </c>
      <c r="GX7" t="s">
        <v>10883</v>
      </c>
      <c r="HC7" t="s">
        <v>11522</v>
      </c>
      <c r="HM7" t="s">
        <v>11009</v>
      </c>
      <c r="HR7" t="s">
        <v>10939</v>
      </c>
      <c r="IQ7" t="s">
        <v>12215</v>
      </c>
      <c r="IV7" t="s">
        <v>970</v>
      </c>
      <c r="JA7" t="s">
        <v>11038</v>
      </c>
      <c r="JF7" t="s">
        <v>11749</v>
      </c>
      <c r="KE7" t="s">
        <v>12084</v>
      </c>
      <c r="KO7" t="s">
        <v>13038</v>
      </c>
      <c r="KT7" t="s">
        <v>11251</v>
      </c>
      <c r="LI7" t="s">
        <v>1654</v>
      </c>
      <c r="LS7" t="s">
        <v>10734</v>
      </c>
      <c r="LX7" t="s">
        <v>10761</v>
      </c>
      <c r="MC7" t="s">
        <v>772</v>
      </c>
      <c r="MM7" t="s">
        <v>11117</v>
      </c>
      <c r="MR7" t="s">
        <v>12571</v>
      </c>
      <c r="MW7" t="s">
        <v>12215</v>
      </c>
      <c r="NB7" t="s">
        <v>970</v>
      </c>
      <c r="NQ7" t="s">
        <v>368</v>
      </c>
      <c r="NV7" t="s">
        <v>10883</v>
      </c>
      <c r="OF7" t="s">
        <v>11561</v>
      </c>
    </row>
    <row r="8" spans="1:396" x14ac:dyDescent="0.25">
      <c r="A8" t="s">
        <v>13122</v>
      </c>
      <c r="F8" t="s">
        <v>2705</v>
      </c>
      <c r="K8" t="s">
        <v>2705</v>
      </c>
      <c r="P8" t="s">
        <v>4219</v>
      </c>
      <c r="U8" t="s">
        <v>10982</v>
      </c>
      <c r="Z8" t="s">
        <v>10954</v>
      </c>
      <c r="AE8" t="s">
        <v>11276</v>
      </c>
      <c r="AJ8" t="s">
        <v>3697</v>
      </c>
      <c r="BI8" t="s">
        <v>10875</v>
      </c>
      <c r="CC8" t="s">
        <v>11007</v>
      </c>
      <c r="CH8" t="s">
        <v>469</v>
      </c>
      <c r="CW8" t="s">
        <v>12079</v>
      </c>
      <c r="DG8" t="s">
        <v>12262</v>
      </c>
      <c r="DL8" t="s">
        <v>12230</v>
      </c>
      <c r="DQ8" t="s">
        <v>8230</v>
      </c>
      <c r="EA8" t="s">
        <v>2705</v>
      </c>
      <c r="EF8" t="s">
        <v>4219</v>
      </c>
      <c r="EK8" t="s">
        <v>11802</v>
      </c>
      <c r="EP8" t="s">
        <v>10785</v>
      </c>
      <c r="EU8" t="s">
        <v>3533</v>
      </c>
      <c r="EZ8" t="s">
        <v>10680</v>
      </c>
      <c r="FE8" t="s">
        <v>13184</v>
      </c>
      <c r="FJ8" t="s">
        <v>13155</v>
      </c>
      <c r="FY8" t="s">
        <v>12091</v>
      </c>
      <c r="GI8" t="s">
        <v>12704</v>
      </c>
      <c r="GN8" t="s">
        <v>12687</v>
      </c>
      <c r="GS8" t="s">
        <v>43</v>
      </c>
      <c r="GX8" t="s">
        <v>477</v>
      </c>
      <c r="HC8" t="s">
        <v>11523</v>
      </c>
      <c r="HM8" t="s">
        <v>11010</v>
      </c>
      <c r="HR8" t="s">
        <v>1652</v>
      </c>
      <c r="IQ8" t="s">
        <v>65</v>
      </c>
      <c r="IV8" t="s">
        <v>51</v>
      </c>
      <c r="JA8" t="s">
        <v>11176</v>
      </c>
      <c r="JF8" t="s">
        <v>10660</v>
      </c>
      <c r="KE8" t="s">
        <v>11053</v>
      </c>
      <c r="KO8" t="s">
        <v>982</v>
      </c>
      <c r="KT8" t="s">
        <v>12450</v>
      </c>
      <c r="LI8" t="s">
        <v>772</v>
      </c>
      <c r="LS8" t="s">
        <v>10735</v>
      </c>
      <c r="LX8" t="s">
        <v>10762</v>
      </c>
      <c r="MC8" t="s">
        <v>11256</v>
      </c>
      <c r="MM8" t="s">
        <v>13106</v>
      </c>
      <c r="MR8" t="s">
        <v>12568</v>
      </c>
      <c r="MW8" t="s">
        <v>65</v>
      </c>
      <c r="NB8" t="s">
        <v>51</v>
      </c>
      <c r="NQ8" t="s">
        <v>43</v>
      </c>
      <c r="NV8" t="s">
        <v>477</v>
      </c>
      <c r="OF8" t="s">
        <v>13015</v>
      </c>
    </row>
    <row r="9" spans="1:396" x14ac:dyDescent="0.25">
      <c r="A9" t="s">
        <v>13123</v>
      </c>
      <c r="F9" t="s">
        <v>10791</v>
      </c>
      <c r="K9" t="s">
        <v>10738</v>
      </c>
      <c r="P9" t="s">
        <v>10680</v>
      </c>
      <c r="U9" t="s">
        <v>279</v>
      </c>
      <c r="Z9" t="s">
        <v>10948</v>
      </c>
      <c r="AE9" t="s">
        <v>12600</v>
      </c>
      <c r="BI9" t="s">
        <v>10876</v>
      </c>
      <c r="CC9" t="s">
        <v>10939</v>
      </c>
      <c r="CH9" t="s">
        <v>266</v>
      </c>
      <c r="CW9" t="s">
        <v>12080</v>
      </c>
      <c r="DG9" t="s">
        <v>12263</v>
      </c>
      <c r="DL9" t="s">
        <v>10795</v>
      </c>
      <c r="EA9" t="s">
        <v>10738</v>
      </c>
      <c r="EF9" t="s">
        <v>10680</v>
      </c>
      <c r="EK9" t="s">
        <v>12211</v>
      </c>
      <c r="EP9" t="s">
        <v>1652</v>
      </c>
      <c r="EU9" t="s">
        <v>11044</v>
      </c>
      <c r="FE9" t="s">
        <v>13185</v>
      </c>
      <c r="FJ9" t="s">
        <v>13156</v>
      </c>
      <c r="FY9" t="s">
        <v>12092</v>
      </c>
      <c r="GI9" t="s">
        <v>12705</v>
      </c>
      <c r="GS9" t="s">
        <v>275</v>
      </c>
      <c r="GX9" t="s">
        <v>10634</v>
      </c>
      <c r="HC9" t="s">
        <v>8762</v>
      </c>
      <c r="HM9" t="s">
        <v>3625</v>
      </c>
      <c r="HR9" t="s">
        <v>1740</v>
      </c>
      <c r="IQ9" t="s">
        <v>368</v>
      </c>
      <c r="IV9" t="s">
        <v>472</v>
      </c>
      <c r="JA9" t="s">
        <v>10852</v>
      </c>
      <c r="JF9" t="s">
        <v>10918</v>
      </c>
      <c r="KE9" t="s">
        <v>12734</v>
      </c>
      <c r="KO9" t="s">
        <v>13039</v>
      </c>
      <c r="KT9" t="s">
        <v>11180</v>
      </c>
      <c r="LI9" t="s">
        <v>11073</v>
      </c>
      <c r="LS9" t="s">
        <v>3073</v>
      </c>
      <c r="LX9" t="s">
        <v>10763</v>
      </c>
      <c r="MC9" t="s">
        <v>13298</v>
      </c>
      <c r="MM9" t="s">
        <v>10732</v>
      </c>
      <c r="MR9" t="s">
        <v>1471</v>
      </c>
      <c r="MW9" t="s">
        <v>368</v>
      </c>
      <c r="NB9" t="s">
        <v>472</v>
      </c>
      <c r="NQ9" t="s">
        <v>275</v>
      </c>
      <c r="NV9" t="s">
        <v>10634</v>
      </c>
      <c r="OF9" t="s">
        <v>13016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2254</v>
      </c>
      <c r="K1" s="1" t="s">
        <v>2255</v>
      </c>
      <c r="U1" s="1" t="s">
        <v>2256</v>
      </c>
      <c r="AE1" s="1" t="s">
        <v>2257</v>
      </c>
      <c r="AO1" s="1" t="s">
        <v>2258</v>
      </c>
      <c r="AY1" s="1" t="s">
        <v>2259</v>
      </c>
      <c r="BI1" s="1" t="s">
        <v>2260</v>
      </c>
      <c r="BS1" s="1" t="s">
        <v>2261</v>
      </c>
      <c r="CC1" s="1" t="s">
        <v>2262</v>
      </c>
      <c r="CM1" s="1" t="s">
        <v>2263</v>
      </c>
      <c r="CW1" s="1" t="s">
        <v>2264</v>
      </c>
      <c r="DG1" s="1" t="s">
        <v>2265</v>
      </c>
      <c r="DQ1" s="1" t="s">
        <v>2266</v>
      </c>
      <c r="EA1" s="1" t="s">
        <v>2267</v>
      </c>
      <c r="EK1" s="1" t="s">
        <v>2268</v>
      </c>
      <c r="EU1" s="1" t="s">
        <v>2269</v>
      </c>
      <c r="FE1" s="1" t="s">
        <v>2270</v>
      </c>
      <c r="FO1" s="1" t="s">
        <v>2271</v>
      </c>
      <c r="FY1" s="1" t="s">
        <v>2272</v>
      </c>
      <c r="GI1" s="1" t="s">
        <v>2273</v>
      </c>
      <c r="GS1" s="1" t="s">
        <v>2274</v>
      </c>
      <c r="HC1" s="1" t="s">
        <v>2275</v>
      </c>
      <c r="HM1" s="1" t="s">
        <v>2276</v>
      </c>
      <c r="HW1" s="1" t="s">
        <v>2277</v>
      </c>
      <c r="IG1" s="1" t="s">
        <v>2278</v>
      </c>
      <c r="IQ1" s="1" t="s">
        <v>2279</v>
      </c>
      <c r="JA1" s="1" t="s">
        <v>2280</v>
      </c>
      <c r="JK1" s="1" t="s">
        <v>2281</v>
      </c>
      <c r="JU1" s="1" t="s">
        <v>2282</v>
      </c>
      <c r="KE1" s="1" t="s">
        <v>2283</v>
      </c>
      <c r="KO1" s="1" t="s">
        <v>2284</v>
      </c>
      <c r="KY1" s="1" t="s">
        <v>2285</v>
      </c>
      <c r="LI1" s="1" t="s">
        <v>2286</v>
      </c>
      <c r="LS1" s="1" t="s">
        <v>2287</v>
      </c>
      <c r="MC1" s="1" t="s">
        <v>2288</v>
      </c>
      <c r="MM1" s="1" t="s">
        <v>2289</v>
      </c>
      <c r="MW1" s="1" t="s">
        <v>2290</v>
      </c>
      <c r="NG1" s="1" t="s">
        <v>2291</v>
      </c>
      <c r="NQ1" s="1" t="s">
        <v>2292</v>
      </c>
      <c r="OA1" s="1" t="s">
        <v>2293</v>
      </c>
    </row>
    <row r="2" spans="1:396" x14ac:dyDescent="0.25">
      <c r="A2" s="2" t="s">
        <v>2294</v>
      </c>
      <c r="K2" s="2" t="s">
        <v>2295</v>
      </c>
      <c r="U2" s="2" t="s">
        <v>2296</v>
      </c>
      <c r="AE2" s="2" t="s">
        <v>2297</v>
      </c>
      <c r="AO2" s="2" t="s">
        <v>2298</v>
      </c>
      <c r="AY2" s="2" t="s">
        <v>1845</v>
      </c>
      <c r="BI2" s="2" t="s">
        <v>2299</v>
      </c>
      <c r="BS2" s="2" t="s">
        <v>2300</v>
      </c>
      <c r="CC2" s="2" t="s">
        <v>2301</v>
      </c>
      <c r="CM2" s="2" t="s">
        <v>2302</v>
      </c>
      <c r="CW2" s="2" t="s">
        <v>2303</v>
      </c>
      <c r="DG2" s="2" t="s">
        <v>970</v>
      </c>
      <c r="DQ2" s="2" t="s">
        <v>2304</v>
      </c>
      <c r="EA2" s="2" t="s">
        <v>2305</v>
      </c>
      <c r="EK2" s="2" t="s">
        <v>2306</v>
      </c>
      <c r="EU2" s="2" t="s">
        <v>2307</v>
      </c>
      <c r="FE2" s="2" t="s">
        <v>1363</v>
      </c>
      <c r="FO2" s="2" t="s">
        <v>2308</v>
      </c>
      <c r="FY2" s="2" t="s">
        <v>790</v>
      </c>
      <c r="GI2" s="2" t="s">
        <v>2309</v>
      </c>
      <c r="GS2" s="2" t="s">
        <v>2310</v>
      </c>
      <c r="HC2" s="2" t="s">
        <v>2311</v>
      </c>
      <c r="HM2" s="2" t="s">
        <v>2312</v>
      </c>
      <c r="HW2" s="2" t="s">
        <v>387</v>
      </c>
      <c r="IG2" s="2" t="s">
        <v>2313</v>
      </c>
      <c r="IQ2" s="2" t="s">
        <v>2314</v>
      </c>
      <c r="JA2" s="2" t="s">
        <v>2294</v>
      </c>
      <c r="JK2" s="2" t="s">
        <v>2315</v>
      </c>
      <c r="JU2" s="2" t="s">
        <v>1938</v>
      </c>
      <c r="KE2" s="2" t="s">
        <v>1271</v>
      </c>
      <c r="KO2" s="2" t="s">
        <v>788</v>
      </c>
      <c r="KY2" s="2" t="s">
        <v>2316</v>
      </c>
      <c r="LI2" s="2" t="s">
        <v>273</v>
      </c>
      <c r="LS2" s="2" t="s">
        <v>2317</v>
      </c>
      <c r="MC2" s="2" t="s">
        <v>2318</v>
      </c>
      <c r="MM2" s="2" t="s">
        <v>2319</v>
      </c>
      <c r="MW2" s="2" t="s">
        <v>155</v>
      </c>
      <c r="NG2" s="2" t="s">
        <v>2320</v>
      </c>
      <c r="NQ2" s="2" t="s">
        <v>2321</v>
      </c>
      <c r="OA2" s="2" t="s">
        <v>2322</v>
      </c>
    </row>
    <row r="3" spans="1:396" x14ac:dyDescent="0.25">
      <c r="A3" t="s">
        <v>2323</v>
      </c>
      <c r="K3" t="s">
        <v>2324</v>
      </c>
      <c r="U3" t="s">
        <v>2325</v>
      </c>
      <c r="AE3" t="s">
        <v>2326</v>
      </c>
      <c r="AO3" t="s">
        <v>2327</v>
      </c>
      <c r="AY3" t="s">
        <v>2328</v>
      </c>
      <c r="BI3" t="s">
        <v>594</v>
      </c>
      <c r="BS3" t="s">
        <v>2329</v>
      </c>
      <c r="CC3" t="s">
        <v>2330</v>
      </c>
      <c r="CM3" t="s">
        <v>2331</v>
      </c>
      <c r="CW3" t="s">
        <v>2332</v>
      </c>
      <c r="DG3" t="s">
        <v>2333</v>
      </c>
      <c r="DQ3" t="s">
        <v>2334</v>
      </c>
      <c r="EA3" t="s">
        <v>2335</v>
      </c>
      <c r="EK3" t="s">
        <v>2336</v>
      </c>
      <c r="EU3" t="s">
        <v>2337</v>
      </c>
      <c r="FE3" t="s">
        <v>2338</v>
      </c>
      <c r="FO3" t="s">
        <v>2339</v>
      </c>
      <c r="FY3" t="s">
        <v>1387</v>
      </c>
      <c r="GI3" t="s">
        <v>320</v>
      </c>
      <c r="GS3" t="s">
        <v>2340</v>
      </c>
      <c r="HC3" t="s">
        <v>2341</v>
      </c>
      <c r="HM3" t="s">
        <v>2342</v>
      </c>
      <c r="HW3" t="s">
        <v>2343</v>
      </c>
      <c r="IG3" t="s">
        <v>2344</v>
      </c>
      <c r="IQ3" t="s">
        <v>2345</v>
      </c>
      <c r="JA3" t="s">
        <v>2346</v>
      </c>
      <c r="JK3" t="s">
        <v>2347</v>
      </c>
      <c r="JU3" t="s">
        <v>2348</v>
      </c>
      <c r="KE3" t="s">
        <v>1118</v>
      </c>
      <c r="KO3" t="s">
        <v>2349</v>
      </c>
      <c r="KY3" t="s">
        <v>421</v>
      </c>
      <c r="LI3" t="s">
        <v>1570</v>
      </c>
      <c r="LS3" t="s">
        <v>2350</v>
      </c>
      <c r="MC3" t="s">
        <v>1386</v>
      </c>
      <c r="MM3" t="s">
        <v>907</v>
      </c>
      <c r="MW3" t="s">
        <v>76</v>
      </c>
      <c r="NG3" t="s">
        <v>2351</v>
      </c>
      <c r="NQ3" t="s">
        <v>2352</v>
      </c>
      <c r="OA3" t="s">
        <v>2353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_xll.BDS("2258717D US Equity","SUPPLY_CHAIN_SUPPLIERS","RELATIONSHIP_AS_OF_DATE","20060629")</f>
        <v>#N/A N/A</v>
      </c>
      <c r="F5" t="str">
        <f>_xll.BDS("2258717D US Equity","SUPPLY_CHAIN_CUSTOMERS","RELATIONSHIP_AS_OF_DATE","20060629")</f>
        <v>#N/A N/A</v>
      </c>
      <c r="K5" t="str">
        <f>_xll.BDS("PNFP US Equity","SUPPLY_CHAIN_SUPPLIERS","RELATIONSHIP_AS_OF_DATE","20170122")</f>
        <v>VYX US Equity</v>
      </c>
      <c r="P5" t="str">
        <f>_xll.BDS("PNFP US Equity","SUPPLY_CHAIN_CUSTOMERS","RELATIONSHIP_AS_OF_DATE","20170122")</f>
        <v>#N/A N/A</v>
      </c>
      <c r="U5" t="str">
        <f>_xll.BDS("FCNCA US Equity","SUPPLY_CHAIN_SUPPLIERS","RELATIONSHIP_AS_OF_DATE","20201016","cols=1;rows=5")</f>
        <v>RAIL US Equity</v>
      </c>
      <c r="Z5" t="str">
        <f>_xll.BDS("FCNCA US Equity","SUPPLY_CHAIN_CUSTOMERS","RELATIONSHIP_AS_OF_DATE","20201016")</f>
        <v>#N/A N/A</v>
      </c>
      <c r="AE5" t="str">
        <f>_xll.BDS("XEC US Equity","SUPPLY_CHAIN_SUPPLIERS","RELATIONSHIP_AS_OF_DATE","20050126")</f>
        <v>#N/A N/A</v>
      </c>
      <c r="AJ5" t="str">
        <f>_xll.BDS("XEC US Equity","SUPPLY_CHAIN_CUSTOMERS","RELATIONSHIP_AS_OF_DATE","20050126")</f>
        <v>#N/A N/A</v>
      </c>
      <c r="AO5" t="str">
        <f>_xll.BDS("ARWLQ US Equity","SUPPLY_CHAIN_SUPPLIERS","RELATIONSHIP_AS_OF_DATE","19991108")</f>
        <v>#N/A N/A</v>
      </c>
      <c r="AT5" t="str">
        <f>_xll.BDS("ARWLQ US Equity","SUPPLY_CHAIN_CUSTOMERS","RELATIONSHIP_AS_OF_DATE","19991108")</f>
        <v>#N/A N/A</v>
      </c>
      <c r="AY5" t="str">
        <f>_xll.BDS("TGNA US Equity","SUPPLY_CHAIN_SUPPLIERS","RELATIONSHIP_AS_OF_DATE","20130613","cols=1;rows=5")</f>
        <v>0159586D US Equity</v>
      </c>
      <c r="BD5" t="str">
        <f>_xll.BDS("TGNA US Equity","SUPPLY_CHAIN_CUSTOMERS","RELATIONSHIP_AS_OF_DATE","20130613","cols=1;rows=5")</f>
        <v>210062Z SJ Equity</v>
      </c>
      <c r="BI5" t="str">
        <f>_xll.BDS("PB US Equity","SUPPLY_CHAIN_SUPPLIERS","RELATIONSHIP_AS_OF_DATE","20190617")</f>
        <v>#N/A N/A</v>
      </c>
      <c r="BN5" t="str">
        <f>_xll.BDS("PB US Equity","SUPPLY_CHAIN_CUSTOMERS","RELATIONSHIP_AS_OF_DATE","20190617")</f>
        <v>#N/A N/A</v>
      </c>
      <c r="BS5" t="str">
        <f>_xll.BDS("2083Q US Equity","SUPPLY_CHAIN_SUPPLIERS","RELATIONSHIP_AS_OF_DATE","19960401")</f>
        <v>#N/A N/A</v>
      </c>
      <c r="BX5" t="str">
        <f>_xll.BDS("2083Q US Equity","SUPPLY_CHAIN_CUSTOMERS","RELATIONSHIP_AS_OF_DATE","19960401")</f>
        <v>#N/A N/A</v>
      </c>
      <c r="CC5" t="str">
        <f>_xll.BDS("STCN US Equity","SUPPLY_CHAIN_SUPPLIERS","RELATIONSHIP_AS_OF_DATE","19990629")</f>
        <v>#N/A N/A</v>
      </c>
      <c r="CH5" t="str">
        <f>_xll.BDS("STCN US Equity","SUPPLY_CHAIN_CUSTOMERS","RELATIONSHIP_AS_OF_DATE","19990629","cols=1;rows=3")</f>
        <v>992 HK Equity</v>
      </c>
      <c r="CM5" t="str">
        <f>_xll.BDS("FIBK US Equity","SUPPLY_CHAIN_SUPPLIERS","RELATIONSHIP_AS_OF_DATE","20210916")</f>
        <v>FISV US Equity</v>
      </c>
      <c r="CR5" t="str">
        <f>_xll.BDS("FIBK US Equity","SUPPLY_CHAIN_CUSTOMERS","RELATIONSHIP_AS_OF_DATE","20210916")</f>
        <v>#N/A N/A</v>
      </c>
      <c r="CW5" t="str">
        <f>_xll.BDS("SLXP US Equity","SUPPLY_CHAIN_SUPPLIERS","RELATIONSHIP_AS_OF_DATE","20131107")</f>
        <v>#N/A N/A</v>
      </c>
      <c r="DB5" t="str">
        <f>_xll.BDS("SLXP US Equity","SUPPLY_CHAIN_CUSTOMERS","RELATIONSHIP_AS_OF_DATE","20131107")</f>
        <v>#N/A N/A</v>
      </c>
      <c r="DG5" t="str">
        <f>_xll.BDS("CAH US Equity","SUPPLY_CHAIN_SUPPLIERS","RELATIONSHIP_AS_OF_DATE","20040519","cols=1;rows=5")</f>
        <v>LLY US Equity</v>
      </c>
      <c r="DL5" t="str">
        <f>_xll.BDS("CAH US Equity","SUPPLY_CHAIN_CUSTOMERS","RELATIONSHIP_AS_OF_DATE","20040519","cols=1;rows=5")</f>
        <v>CVS US Equity</v>
      </c>
      <c r="DQ5" t="str">
        <f>_xll.BDS("BKB US Equity","SUPPLY_CHAIN_SUPPLIERS","RELATIONSHIP_AS_OF_DATE","19951212")</f>
        <v>#N/A N/A</v>
      </c>
      <c r="DV5" t="str">
        <f>_xll.BDS("BKB US Equity","SUPPLY_CHAIN_CUSTOMERS","RELATIONSHIP_AS_OF_DATE","19951212")</f>
        <v>#N/A N/A</v>
      </c>
      <c r="EA5" t="str">
        <f>_xll.BDS("ASNAQ US Equity","SUPPLY_CHAIN_SUPPLIERS","RELATIONSHIP_AS_OF_DATE","20150518","cols=1;rows=4")</f>
        <v>AEP US Equity</v>
      </c>
      <c r="EF5" t="str">
        <f>_xll.BDS("ASNAQ US Equity","SUPPLY_CHAIN_CUSTOMERS","RELATIONSHIP_AS_OF_DATE","20150518")</f>
        <v>#N/A N/A</v>
      </c>
      <c r="EK5" t="str">
        <f>_xll.BDS("EQR US Equity","SUPPLY_CHAIN_SUPPLIERS","RELATIONSHIP_AS_OF_DATE","19980708","cols=1;rows=2")</f>
        <v>BLNK US Equity</v>
      </c>
      <c r="EP5" t="str">
        <f>_xll.BDS("EQR US Equity","SUPPLY_CHAIN_CUSTOMERS","RELATIONSHIP_AS_OF_DATE","19980708")</f>
        <v>#N/A N/A</v>
      </c>
      <c r="EU5" t="str">
        <f>_xll.BDS("1816375D US Equity","SUPPLY_CHAIN_SUPPLIERS","RELATIONSHIP_AS_OF_DATE","20141222")</f>
        <v>#N/A N/A</v>
      </c>
      <c r="EZ5" t="str">
        <f>_xll.BDS("1816375D US Equity","SUPPLY_CHAIN_CUSTOMERS","RELATIONSHIP_AS_OF_DATE","20141222")</f>
        <v>#N/A N/A</v>
      </c>
      <c r="FE5" t="str">
        <f>_xll.BDS("BA US Equity","SUPPLY_CHAIN_SUPPLIERS","RELATIONSHIP_AS_OF_DATE","20060501","cols=1;rows=5")</f>
        <v>RTX US Equity</v>
      </c>
      <c r="FJ5" t="str">
        <f>_xll.BDS("BA US Equity","SUPPLY_CHAIN_CUSTOMERS","RELATIONSHIP_AS_OF_DATE","20060501","cols=1;rows=5")</f>
        <v>3352Z US Equity</v>
      </c>
      <c r="FO5" t="str">
        <f>_xll.BDS("HI US Equity","SUPPLY_CHAIN_SUPPLIERS","RELATIONSHIP_AS_OF_DATE","20190712","cols=1;rows=5")</f>
        <v>1551592D US Equity</v>
      </c>
      <c r="FT5" t="str">
        <f>_xll.BDS("HI US Equity","SUPPLY_CHAIN_CUSTOMERS","RELATIONSHIP_AS_OF_DATE","20190712","cols=1;rows=5")</f>
        <v>4614Z US Equity</v>
      </c>
      <c r="FY5" t="str">
        <f>_xll.BDS("APO US Equity","SUPPLY_CHAIN_SUPPLIERS","RELATIONSHIP_AS_OF_DATE","20190416","cols=1;rows=5")</f>
        <v>PG US Equity</v>
      </c>
      <c r="GD5" t="str">
        <f>_xll.BDS("APO US Equity","SUPPLY_CHAIN_CUSTOMERS","RELATIONSHIP_AS_OF_DATE","20190416","cols=1;rows=5")</f>
        <v>RTX US Equity</v>
      </c>
      <c r="GI5" t="str">
        <f>_xll.BDS("TFX US Equity","SUPPLY_CHAIN_SUPPLIERS","RELATIONSHIP_AS_OF_DATE","20070723","cols=1;rows=5")</f>
        <v>PFE US Equity</v>
      </c>
      <c r="GN5" t="str">
        <f>_xll.BDS("TFX US Equity","SUPPLY_CHAIN_CUSTOMERS","RELATIONSHIP_AS_OF_DATE","20070723","cols=1;rows=5")</f>
        <v>1339564D US Equity</v>
      </c>
      <c r="GS5" t="str">
        <f>_xll.BDS("PKG US Equity","SUPPLY_CHAIN_SUPPLIERS","RELATIONSHIP_AS_OF_DATE","20130916","cols=1;rows=5")</f>
        <v>MTX US Equity</v>
      </c>
      <c r="GX5" t="str">
        <f>_xll.BDS("PKG US Equity","SUPPLY_CHAIN_CUSTOMERS","RELATIONSHIP_AS_OF_DATE","20130916","cols=1;rows=3")</f>
        <v>ODP US Equity</v>
      </c>
      <c r="HC5" t="str">
        <f>_xll.BDS("JLL US Equity","SUPPLY_CHAIN_SUPPLIERS","RELATIONSHIP_AS_OF_DATE","20190319","cols=1;rows=5")</f>
        <v>SECIS IN Equity</v>
      </c>
      <c r="HH5" t="str">
        <f>_xll.BDS("JLL US Equity","SUPPLY_CHAIN_CUSTOMERS","RELATIONSHIP_AS_OF_DATE","20190319","cols=1;rows=5")</f>
        <v>IBM US Equity</v>
      </c>
      <c r="HM5" t="str">
        <f>_xll.BDS("BPO CN Equity","SUPPLY_CHAIN_SUPPLIERS","RELATIONSHIP_AS_OF_DATE","20130425")</f>
        <v>#N/A N/A</v>
      </c>
      <c r="HR5" t="str">
        <f>_xll.BDS("BPO CN Equity","SUPPLY_CHAIN_CUSTOMERS","RELATIONSHIP_AS_OF_DATE","20130425")</f>
        <v>#N/A N/A</v>
      </c>
      <c r="HW5" t="str">
        <f>_xll.BDS("DHR US Equity","SUPPLY_CHAIN_SUPPLIERS","RELATIONSHIP_AS_OF_DATE","20060412","cols=1;rows=5")</f>
        <v>FLEX US Equity</v>
      </c>
      <c r="IB5" t="str">
        <f>_xll.BDS("DHR US Equity","SUPPLY_CHAIN_CUSTOMERS","RELATIONSHIP_AS_OF_DATE","20060412","cols=1;rows=5")</f>
        <v>CDW US Equity</v>
      </c>
      <c r="IG5" t="str">
        <f>_xll.BDS("1822785D US Equity","SUPPLY_CHAIN_SUPPLIERS","RELATIONSHIP_AS_OF_DATE","19980223")</f>
        <v>#N/A N/A</v>
      </c>
      <c r="IL5" t="str">
        <f>_xll.BDS("1822785D US Equity","SUPPLY_CHAIN_CUSTOMERS","RELATIONSHIP_AS_OF_DATE","19980223")</f>
        <v>#N/A N/A</v>
      </c>
      <c r="IQ5" t="str">
        <f>_xll.BDS("MCLDQ US Equity","SUPPLY_CHAIN_SUPPLIERS","RELATIONSHIP_AS_OF_DATE","20000107")</f>
        <v>#N/A N/A</v>
      </c>
      <c r="IV5" t="str">
        <f>_xll.BDS("MCLDQ US Equity","SUPPLY_CHAIN_CUSTOMERS","RELATIONSHIP_AS_OF_DATE","20000107")</f>
        <v>#N/A N/A</v>
      </c>
      <c r="JA5" t="str">
        <f>_xll.BDS("2258717D US Equity","SUPPLY_CHAIN_SUPPLIERS","RELATIONSHIP_AS_OF_DATE","20090601")</f>
        <v>#N/A N/A</v>
      </c>
      <c r="JF5" t="str">
        <f>_xll.BDS("2258717D US Equity","SUPPLY_CHAIN_CUSTOMERS","RELATIONSHIP_AS_OF_DATE","20090601")</f>
        <v>#N/A N/A</v>
      </c>
      <c r="JK5" t="str">
        <f>_xll.BDS("VFC US Equity","SUPPLY_CHAIN_SUPPLIERS","RELATIONSHIP_AS_OF_DATE","20110613","cols=1;rows=5")</f>
        <v>300979 CH Equity</v>
      </c>
      <c r="JP5" t="str">
        <f>_xll.BDS("VFC US Equity","SUPPLY_CHAIN_CUSTOMERS","RELATIONSHIP_AS_OF_DATE","20110613","cols=1;rows=5")</f>
        <v>JD/ LN Equity</v>
      </c>
      <c r="JU5" t="str">
        <f>_xll.BDS("NCC US Equity","SUPPLY_CHAIN_SUPPLIERS","RELATIONSHIP_AS_OF_DATE","20040217")</f>
        <v>#N/A N/A</v>
      </c>
      <c r="JZ5" t="str">
        <f>_xll.BDS("NCC US Equity","SUPPLY_CHAIN_CUSTOMERS","RELATIONSHIP_AS_OF_DATE","20040217")</f>
        <v>#N/A N/A</v>
      </c>
      <c r="KE5" t="str">
        <f>_xll.BDS("VMC US Equity","SUPPLY_CHAIN_SUPPLIERS","RELATIONSHIP_AS_OF_DATE","20210607","cols=1;rows=5")</f>
        <v>ATCOA SS Equity</v>
      </c>
      <c r="KJ5" t="str">
        <f>_xll.BDS("VMC US Equity","SUPPLY_CHAIN_CUSTOMERS","RELATIONSHIP_AS_OF_DATE","20210607","cols=1;rows=2")</f>
        <v>267222Z US Equity</v>
      </c>
      <c r="KO5" t="str">
        <f>_xll.BDS("PXD US Equity","SUPPLY_CHAIN_SUPPLIERS","RELATIONSHIP_AS_OF_DATE","20040504","cols=1;rows=5")</f>
        <v>CUZ US Equity</v>
      </c>
      <c r="KT5" t="str">
        <f>_xll.BDS("PXD US Equity","SUPPLY_CHAIN_CUSTOMERS","RELATIONSHIP_AS_OF_DATE","20040504","cols=1;rows=5")</f>
        <v>0834107D US Equity</v>
      </c>
      <c r="KY5" t="str">
        <f>_xll.BDS("CLX US Equity","SUPPLY_CHAIN_SUPPLIERS","RELATIONSHIP_AS_OF_DATE","19981019","cols=1;rows=5")</f>
        <v>PG US Equity</v>
      </c>
      <c r="LD5" t="str">
        <f>_xll.BDS("CLX US Equity","SUPPLY_CHAIN_CUSTOMERS","RELATIONSHIP_AS_OF_DATE","19981019","cols=1;rows=5")</f>
        <v>WMT US Equity</v>
      </c>
      <c r="LI5" t="str">
        <f>_xll.BDS("ADI US Equity","SUPPLY_CHAIN_SUPPLIERS","RELATIONSHIP_AS_OF_DATE","20140609","cols=1;rows=5")</f>
        <v>2330 TT Equity</v>
      </c>
      <c r="LN5" t="str">
        <f>_xll.BDS("ADI US Equity","SUPPLY_CHAIN_CUSTOMERS","RELATIONSHIP_AS_OF_DATE","20140609","cols=1;rows=5")</f>
        <v>ARW US Equity</v>
      </c>
      <c r="LS5" t="str">
        <f>_xll.BDS("EA US Equity","SUPPLY_CHAIN_SUPPLIERS","RELATIONSHIP_AS_OF_DATE","20210208","cols=1;rows=5")</f>
        <v>HPP US Equity</v>
      </c>
      <c r="LX5" t="str">
        <f>_xll.BDS("EA US Equity","SUPPLY_CHAIN_CUSTOMERS","RELATIONSHIP_AS_OF_DATE","20210208","cols=1;rows=5")</f>
        <v>6758 JP Equity</v>
      </c>
      <c r="MC5" t="str">
        <f>_xll.BDS("GWR US Equity","SUPPLY_CHAIN_SUPPLIERS","RELATIONSHIP_AS_OF_DATE","20120723","cols=1;rows=5")</f>
        <v>AEE US Equity</v>
      </c>
      <c r="MH5" t="str">
        <f>_xll.BDS("GWR US Equity","SUPPLY_CHAIN_CUSTOMERS","RELATIONSHIP_AS_OF_DATE","20120723")</f>
        <v>SDSYA US Equity</v>
      </c>
      <c r="MM5" t="str">
        <f>_xll.BDS("ETFC US Equity","SUPPLY_CHAIN_SUPPLIERS","RELATIONSHIP_AS_OF_DATE","19990601")</f>
        <v>#N/A N/A</v>
      </c>
      <c r="MR5" t="str">
        <f>_xll.BDS("ETFC US Equity","SUPPLY_CHAIN_CUSTOMERS","RELATIONSHIP_AS_OF_DATE","19990601")</f>
        <v>#N/A N/A</v>
      </c>
      <c r="MW5" t="str">
        <f>_xll.BDS("VIAV US Equity","SUPPLY_CHAIN_SUPPLIERS","RELATIONSHIP_AS_OF_DATE","19991104","cols=1;rows=5")</f>
        <v>TCS IN Equity</v>
      </c>
      <c r="NB5" t="str">
        <f>_xll.BDS("VIAV US Equity","SUPPLY_CHAIN_CUSTOMERS","RELATIONSHIP_AS_OF_DATE","19991104","cols=1;rows=5")</f>
        <v>582647Z SW Equity</v>
      </c>
      <c r="NG5" t="str">
        <f>_xll.BDS("MRSH US Equity","SUPPLY_CHAIN_SUPPLIERS","RELATIONSHIP_AS_OF_DATE","20040518","cols=1;rows=5")</f>
        <v>3384Q US Equity</v>
      </c>
      <c r="NL5" t="str">
        <f>_xll.BDS("MRSH US Equity","SUPPLY_CHAIN_CUSTOMERS","RELATIONSHIP_AS_OF_DATE","20040518","cols=1;rows=5")</f>
        <v>002054 CH Equity</v>
      </c>
      <c r="NQ5" t="str">
        <f>_xll.BDS("DRS US Equity","SUPPLY_CHAIN_SUPPLIERS","RELATIONSHIP_AS_OF_DATE","20050922")</f>
        <v>#N/A N/A</v>
      </c>
      <c r="NV5" t="str">
        <f>_xll.BDS("DRS US Equity","SUPPLY_CHAIN_CUSTOMERS","RELATIONSHIP_AS_OF_DATE","20050922","cols=1;rows=5")</f>
        <v>3352Z US Equity</v>
      </c>
      <c r="OA5" t="str">
        <f>_xll.BDS("X US Equity","SUPPLY_CHAIN_SUPPLIERS","RELATIONSHIP_AS_OF_DATE","20070329","cols=1;rows=5")</f>
        <v>SXC US Equity</v>
      </c>
      <c r="OF5" t="str">
        <f>_xll.BDS("X US Equity","SUPPLY_CHAIN_CUSTOMERS","RELATIONSHIP_AS_OF_DATE","20070329","cols=1;rows=5")</f>
        <v>066570 KS Equity</v>
      </c>
    </row>
    <row r="6" spans="1:396" x14ac:dyDescent="0.25">
      <c r="U6" t="s">
        <v>10972</v>
      </c>
      <c r="AY6" t="s">
        <v>12816</v>
      </c>
      <c r="BD6" t="s">
        <v>12568</v>
      </c>
      <c r="CH6" t="s">
        <v>12120</v>
      </c>
      <c r="DG6" t="s">
        <v>45</v>
      </c>
      <c r="DL6" t="s">
        <v>10882</v>
      </c>
      <c r="EA6" t="s">
        <v>260</v>
      </c>
      <c r="EK6" t="s">
        <v>12431</v>
      </c>
      <c r="FE6" t="s">
        <v>1164</v>
      </c>
      <c r="FJ6" t="s">
        <v>1652</v>
      </c>
      <c r="FO6" t="s">
        <v>12264</v>
      </c>
      <c r="FT6" t="s">
        <v>12229</v>
      </c>
      <c r="FY6" t="s">
        <v>3343</v>
      </c>
      <c r="GD6" t="s">
        <v>684</v>
      </c>
      <c r="GI6" t="s">
        <v>10750</v>
      </c>
      <c r="GN6" t="s">
        <v>11947</v>
      </c>
      <c r="GS6" t="s">
        <v>2111</v>
      </c>
      <c r="GX6" t="s">
        <v>12242</v>
      </c>
      <c r="HC6" t="s">
        <v>11287</v>
      </c>
      <c r="HH6" t="s">
        <v>11216</v>
      </c>
      <c r="HW6" t="s">
        <v>10735</v>
      </c>
      <c r="IB6" t="s">
        <v>2881</v>
      </c>
      <c r="JK6" t="s">
        <v>10838</v>
      </c>
      <c r="JP6" t="s">
        <v>10676</v>
      </c>
      <c r="KE6" t="s">
        <v>10971</v>
      </c>
      <c r="KJ6" t="s">
        <v>10657</v>
      </c>
      <c r="KO6" t="s">
        <v>6238</v>
      </c>
      <c r="KT6" t="s">
        <v>56</v>
      </c>
      <c r="KY6" t="s">
        <v>11667</v>
      </c>
      <c r="LD6" t="s">
        <v>469</v>
      </c>
      <c r="LI6" t="s">
        <v>11933</v>
      </c>
      <c r="LN6" t="s">
        <v>10659</v>
      </c>
      <c r="LS6" t="s">
        <v>2204</v>
      </c>
      <c r="LX6" t="s">
        <v>266</v>
      </c>
      <c r="MC6" t="s">
        <v>10696</v>
      </c>
      <c r="MW6" t="s">
        <v>5575</v>
      </c>
      <c r="NB6" t="s">
        <v>5236</v>
      </c>
      <c r="NG6" t="s">
        <v>12193</v>
      </c>
      <c r="NL6" t="s">
        <v>12996</v>
      </c>
      <c r="NV6" t="s">
        <v>42</v>
      </c>
      <c r="OA6" t="s">
        <v>11300</v>
      </c>
      <c r="OF6" t="s">
        <v>12866</v>
      </c>
    </row>
    <row r="7" spans="1:396" x14ac:dyDescent="0.25">
      <c r="U7" t="s">
        <v>10939</v>
      </c>
      <c r="AY7" t="s">
        <v>12817</v>
      </c>
      <c r="BD7" t="s">
        <v>12569</v>
      </c>
      <c r="CH7" t="s">
        <v>383</v>
      </c>
      <c r="DG7" t="s">
        <v>368</v>
      </c>
      <c r="DL7" t="s">
        <v>10883</v>
      </c>
      <c r="EA7" t="s">
        <v>12365</v>
      </c>
      <c r="FE7" t="s">
        <v>12294</v>
      </c>
      <c r="FJ7" t="s">
        <v>3244</v>
      </c>
      <c r="FO7" t="s">
        <v>12265</v>
      </c>
      <c r="FT7" t="s">
        <v>10916</v>
      </c>
      <c r="FY7" t="s">
        <v>2219</v>
      </c>
      <c r="GD7" t="s">
        <v>12534</v>
      </c>
      <c r="GI7" t="s">
        <v>10882</v>
      </c>
      <c r="GN7" t="s">
        <v>12781</v>
      </c>
      <c r="GS7" t="s">
        <v>10696</v>
      </c>
      <c r="GX7" t="s">
        <v>12500</v>
      </c>
      <c r="HC7" t="s">
        <v>11288</v>
      </c>
      <c r="HH7" t="s">
        <v>11217</v>
      </c>
      <c r="HW7" t="s">
        <v>273</v>
      </c>
      <c r="IB7" t="s">
        <v>10661</v>
      </c>
      <c r="JK7" t="s">
        <v>10839</v>
      </c>
      <c r="JP7" t="s">
        <v>10774</v>
      </c>
      <c r="KE7" t="s">
        <v>12875</v>
      </c>
      <c r="KO7" t="s">
        <v>11312</v>
      </c>
      <c r="KT7" t="s">
        <v>60</v>
      </c>
      <c r="KY7" t="s">
        <v>177</v>
      </c>
      <c r="LD7" t="s">
        <v>477</v>
      </c>
      <c r="LI7" t="s">
        <v>11204</v>
      </c>
      <c r="LN7" t="s">
        <v>12800</v>
      </c>
      <c r="LS7" t="s">
        <v>10672</v>
      </c>
      <c r="LX7" t="s">
        <v>5236</v>
      </c>
      <c r="MC7" t="s">
        <v>1265</v>
      </c>
      <c r="MW7" t="s">
        <v>11675</v>
      </c>
      <c r="NB7" t="s">
        <v>41</v>
      </c>
      <c r="NG7" t="s">
        <v>11921</v>
      </c>
      <c r="NL7" t="s">
        <v>12776</v>
      </c>
      <c r="NV7" t="s">
        <v>10785</v>
      </c>
      <c r="OA7" t="s">
        <v>11509</v>
      </c>
      <c r="OF7" t="s">
        <v>489</v>
      </c>
    </row>
    <row r="8" spans="1:396" x14ac:dyDescent="0.25">
      <c r="U8" t="s">
        <v>10973</v>
      </c>
      <c r="AY8" t="s">
        <v>12818</v>
      </c>
      <c r="BD8" t="s">
        <v>11502</v>
      </c>
      <c r="DG8" t="s">
        <v>43</v>
      </c>
      <c r="DL8" t="s">
        <v>477</v>
      </c>
      <c r="EA8" t="s">
        <v>10717</v>
      </c>
      <c r="FE8" t="s">
        <v>11007</v>
      </c>
      <c r="FJ8" t="s">
        <v>12717</v>
      </c>
      <c r="FO8" t="s">
        <v>10851</v>
      </c>
      <c r="FT8" t="s">
        <v>5236</v>
      </c>
      <c r="FY8" t="s">
        <v>874</v>
      </c>
      <c r="GD8" t="s">
        <v>1363</v>
      </c>
      <c r="GI8" t="s">
        <v>10932</v>
      </c>
      <c r="GN8" t="s">
        <v>12782</v>
      </c>
      <c r="GS8" t="s">
        <v>12311</v>
      </c>
      <c r="HC8" t="s">
        <v>11014</v>
      </c>
      <c r="HH8" t="s">
        <v>11218</v>
      </c>
      <c r="HW8" t="s">
        <v>6320</v>
      </c>
      <c r="IB8" t="s">
        <v>10662</v>
      </c>
      <c r="JK8" t="s">
        <v>10840</v>
      </c>
      <c r="JP8" t="s">
        <v>10775</v>
      </c>
      <c r="KE8" t="s">
        <v>2111</v>
      </c>
      <c r="KO8" t="s">
        <v>11313</v>
      </c>
      <c r="KT8" t="s">
        <v>12504</v>
      </c>
      <c r="KY8" t="s">
        <v>10813</v>
      </c>
      <c r="LD8" t="s">
        <v>10944</v>
      </c>
      <c r="LI8" t="s">
        <v>11088</v>
      </c>
      <c r="LN8" t="s">
        <v>469</v>
      </c>
      <c r="LS8" t="s">
        <v>12497</v>
      </c>
      <c r="LX8" t="s">
        <v>2705</v>
      </c>
      <c r="MC8" t="s">
        <v>10977</v>
      </c>
      <c r="MW8" t="s">
        <v>11676</v>
      </c>
      <c r="NB8" t="s">
        <v>969</v>
      </c>
      <c r="NG8" t="s">
        <v>10820</v>
      </c>
      <c r="NL8" t="s">
        <v>12997</v>
      </c>
      <c r="NV8" t="s">
        <v>388</v>
      </c>
      <c r="OA8" t="s">
        <v>12876</v>
      </c>
      <c r="OF8" t="s">
        <v>12867</v>
      </c>
    </row>
    <row r="9" spans="1:396" x14ac:dyDescent="0.25">
      <c r="U9" t="s">
        <v>10974</v>
      </c>
      <c r="AY9" t="s">
        <v>12819</v>
      </c>
      <c r="BD9" t="s">
        <v>1175</v>
      </c>
      <c r="DG9" t="s">
        <v>275</v>
      </c>
      <c r="DL9" t="s">
        <v>10634</v>
      </c>
      <c r="FE9" t="s">
        <v>11756</v>
      </c>
      <c r="FJ9" t="s">
        <v>1740</v>
      </c>
      <c r="FO9" t="s">
        <v>2111</v>
      </c>
      <c r="FT9" t="s">
        <v>10814</v>
      </c>
      <c r="FY9" t="s">
        <v>11584</v>
      </c>
      <c r="GD9" t="s">
        <v>10939</v>
      </c>
      <c r="GI9" t="s">
        <v>2111</v>
      </c>
      <c r="GN9" t="s">
        <v>10883</v>
      </c>
      <c r="GS9" t="s">
        <v>10977</v>
      </c>
      <c r="HC9" t="s">
        <v>11289</v>
      </c>
      <c r="HH9" t="s">
        <v>11219</v>
      </c>
      <c r="HW9" t="s">
        <v>1654</v>
      </c>
      <c r="IB9" t="s">
        <v>10663</v>
      </c>
      <c r="JK9" t="s">
        <v>10841</v>
      </c>
      <c r="JP9" t="s">
        <v>5070</v>
      </c>
      <c r="KE9" t="s">
        <v>10696</v>
      </c>
      <c r="KO9" t="s">
        <v>12359</v>
      </c>
      <c r="KT9" t="s">
        <v>12505</v>
      </c>
      <c r="KY9" t="s">
        <v>13228</v>
      </c>
      <c r="LD9" t="s">
        <v>10646</v>
      </c>
      <c r="LI9" t="s">
        <v>11203</v>
      </c>
      <c r="LN9" t="s">
        <v>42</v>
      </c>
      <c r="LS9" t="s">
        <v>12498</v>
      </c>
      <c r="LX9" t="s">
        <v>10676</v>
      </c>
      <c r="MC9" t="s">
        <v>8925</v>
      </c>
      <c r="MW9" t="s">
        <v>682</v>
      </c>
      <c r="NB9" t="s">
        <v>11376</v>
      </c>
      <c r="NG9" t="s">
        <v>13000</v>
      </c>
      <c r="NL9" t="s">
        <v>12998</v>
      </c>
      <c r="NV9" t="s">
        <v>10786</v>
      </c>
      <c r="OA9" t="s">
        <v>12867</v>
      </c>
      <c r="OF9" t="s">
        <v>10916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2354</v>
      </c>
      <c r="K1" s="1" t="s">
        <v>2355</v>
      </c>
      <c r="U1" s="1" t="s">
        <v>2356</v>
      </c>
      <c r="AE1" s="1" t="s">
        <v>2357</v>
      </c>
      <c r="AO1" s="1" t="s">
        <v>2358</v>
      </c>
      <c r="AY1" s="1" t="s">
        <v>2359</v>
      </c>
      <c r="BI1" s="1" t="s">
        <v>2360</v>
      </c>
      <c r="BS1" s="1" t="s">
        <v>2361</v>
      </c>
      <c r="CC1" s="1" t="s">
        <v>2362</v>
      </c>
      <c r="CM1" s="1" t="s">
        <v>2363</v>
      </c>
      <c r="CW1" s="1" t="s">
        <v>2364</v>
      </c>
      <c r="DG1" s="1" t="s">
        <v>2365</v>
      </c>
      <c r="DQ1" s="1" t="s">
        <v>2366</v>
      </c>
      <c r="EA1" s="1" t="s">
        <v>2367</v>
      </c>
      <c r="EK1" s="1" t="s">
        <v>2368</v>
      </c>
      <c r="EU1" s="1" t="s">
        <v>2369</v>
      </c>
      <c r="FE1" s="1" t="s">
        <v>2370</v>
      </c>
      <c r="FO1" s="1" t="s">
        <v>2371</v>
      </c>
      <c r="FY1" s="1" t="s">
        <v>2372</v>
      </c>
      <c r="GI1" s="1" t="s">
        <v>2373</v>
      </c>
      <c r="GS1" s="1" t="s">
        <v>2374</v>
      </c>
      <c r="HC1" s="1" t="s">
        <v>2375</v>
      </c>
      <c r="HM1" s="1" t="s">
        <v>2376</v>
      </c>
      <c r="HW1" s="1" t="s">
        <v>2377</v>
      </c>
      <c r="IG1" s="1" t="s">
        <v>2378</v>
      </c>
      <c r="IQ1" s="1" t="s">
        <v>2379</v>
      </c>
      <c r="JA1" s="1" t="s">
        <v>2380</v>
      </c>
      <c r="JK1" s="1" t="s">
        <v>2381</v>
      </c>
      <c r="JU1" s="1" t="s">
        <v>2382</v>
      </c>
      <c r="KE1" s="1" t="s">
        <v>2383</v>
      </c>
      <c r="KO1" s="1" t="s">
        <v>2384</v>
      </c>
      <c r="KY1" s="1" t="s">
        <v>2385</v>
      </c>
      <c r="LI1" s="1" t="s">
        <v>2386</v>
      </c>
      <c r="LS1" s="1" t="s">
        <v>2387</v>
      </c>
      <c r="MC1" s="1" t="s">
        <v>2388</v>
      </c>
      <c r="MM1" s="1" t="s">
        <v>2389</v>
      </c>
      <c r="MW1" s="1" t="s">
        <v>2390</v>
      </c>
      <c r="NG1" s="1" t="s">
        <v>2391</v>
      </c>
      <c r="NQ1" s="1" t="s">
        <v>2392</v>
      </c>
      <c r="OA1" s="1" t="s">
        <v>2393</v>
      </c>
    </row>
    <row r="2" spans="1:396" x14ac:dyDescent="0.25">
      <c r="A2" s="2" t="s">
        <v>2394</v>
      </c>
      <c r="K2" s="2" t="s">
        <v>2395</v>
      </c>
      <c r="U2" s="2" t="s">
        <v>2396</v>
      </c>
      <c r="AE2" s="2" t="s">
        <v>2397</v>
      </c>
      <c r="AO2" s="2" t="s">
        <v>2398</v>
      </c>
      <c r="AY2" s="2" t="s">
        <v>2399</v>
      </c>
      <c r="BI2" s="2" t="s">
        <v>2400</v>
      </c>
      <c r="BS2" s="2" t="s">
        <v>2401</v>
      </c>
      <c r="CC2" s="2" t="s">
        <v>2402</v>
      </c>
      <c r="CM2" s="2" t="s">
        <v>174</v>
      </c>
      <c r="CW2" s="2" t="s">
        <v>2403</v>
      </c>
      <c r="DG2" s="2" t="s">
        <v>2404</v>
      </c>
      <c r="DQ2" s="2" t="s">
        <v>2405</v>
      </c>
      <c r="EA2" s="2" t="s">
        <v>1161</v>
      </c>
      <c r="EK2" s="2" t="s">
        <v>889</v>
      </c>
      <c r="EU2" s="2" t="s">
        <v>585</v>
      </c>
      <c r="FE2" s="2" t="s">
        <v>2406</v>
      </c>
      <c r="FO2" s="2" t="s">
        <v>2407</v>
      </c>
      <c r="FY2" s="2" t="s">
        <v>984</v>
      </c>
      <c r="GI2" s="2" t="s">
        <v>2408</v>
      </c>
      <c r="GS2" s="2" t="s">
        <v>2409</v>
      </c>
      <c r="HC2" s="2" t="s">
        <v>2410</v>
      </c>
      <c r="HM2" s="2" t="s">
        <v>2411</v>
      </c>
      <c r="HW2" s="2" t="s">
        <v>2412</v>
      </c>
      <c r="IG2" s="2" t="s">
        <v>171</v>
      </c>
      <c r="IQ2" s="2" t="s">
        <v>2413</v>
      </c>
      <c r="JA2" s="2" t="s">
        <v>2414</v>
      </c>
      <c r="JK2" s="2" t="s">
        <v>55</v>
      </c>
      <c r="JU2" s="2" t="s">
        <v>157</v>
      </c>
      <c r="KE2" s="2" t="s">
        <v>2415</v>
      </c>
      <c r="KO2" s="2" t="s">
        <v>161</v>
      </c>
      <c r="KY2" s="2" t="s">
        <v>2416</v>
      </c>
      <c r="LI2" s="2" t="s">
        <v>2417</v>
      </c>
      <c r="LS2" s="2" t="s">
        <v>2418</v>
      </c>
      <c r="MC2" s="2" t="s">
        <v>175</v>
      </c>
      <c r="MM2" s="2" t="s">
        <v>2419</v>
      </c>
      <c r="MW2" s="2" t="s">
        <v>161</v>
      </c>
      <c r="NG2" s="2" t="s">
        <v>2420</v>
      </c>
      <c r="NQ2" s="2" t="s">
        <v>385</v>
      </c>
      <c r="OA2" s="2" t="s">
        <v>2421</v>
      </c>
    </row>
    <row r="3" spans="1:396" x14ac:dyDescent="0.25">
      <c r="A3" t="s">
        <v>2422</v>
      </c>
      <c r="K3" t="s">
        <v>2423</v>
      </c>
      <c r="U3" t="s">
        <v>2424</v>
      </c>
      <c r="AE3" t="s">
        <v>2425</v>
      </c>
      <c r="AO3" t="s">
        <v>2426</v>
      </c>
      <c r="AY3" t="s">
        <v>2427</v>
      </c>
      <c r="BI3" t="s">
        <v>1968</v>
      </c>
      <c r="BS3" t="s">
        <v>2428</v>
      </c>
      <c r="CC3" t="s">
        <v>2429</v>
      </c>
      <c r="CM3" t="s">
        <v>2430</v>
      </c>
      <c r="CW3" t="s">
        <v>2431</v>
      </c>
      <c r="DG3" t="s">
        <v>2432</v>
      </c>
      <c r="DQ3" t="s">
        <v>2433</v>
      </c>
      <c r="EA3" t="s">
        <v>2434</v>
      </c>
      <c r="EK3" t="s">
        <v>2435</v>
      </c>
      <c r="EU3" t="s">
        <v>1405</v>
      </c>
      <c r="FE3" t="s">
        <v>2436</v>
      </c>
      <c r="FO3" t="s">
        <v>2437</v>
      </c>
      <c r="FY3" t="s">
        <v>1011</v>
      </c>
      <c r="GI3" t="s">
        <v>1500</v>
      </c>
      <c r="GS3" t="s">
        <v>2438</v>
      </c>
      <c r="HC3" t="s">
        <v>1005</v>
      </c>
      <c r="HM3" t="s">
        <v>2439</v>
      </c>
      <c r="HW3" t="s">
        <v>1961</v>
      </c>
      <c r="IG3" t="s">
        <v>2440</v>
      </c>
      <c r="IQ3" t="s">
        <v>2441</v>
      </c>
      <c r="JA3" t="s">
        <v>2442</v>
      </c>
      <c r="JK3" t="s">
        <v>2443</v>
      </c>
      <c r="JU3" t="s">
        <v>2444</v>
      </c>
      <c r="KE3" t="s">
        <v>2445</v>
      </c>
      <c r="KO3" t="s">
        <v>2446</v>
      </c>
      <c r="KY3" t="s">
        <v>2447</v>
      </c>
      <c r="LI3" t="s">
        <v>2448</v>
      </c>
      <c r="LS3" t="s">
        <v>822</v>
      </c>
      <c r="MC3" t="s">
        <v>2250</v>
      </c>
      <c r="MM3" t="s">
        <v>914</v>
      </c>
      <c r="MW3" t="s">
        <v>205</v>
      </c>
      <c r="NG3" t="s">
        <v>2449</v>
      </c>
      <c r="NQ3" t="s">
        <v>2450</v>
      </c>
      <c r="OA3" t="s">
        <v>2451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_xll.BDS("WLA US Equity","SUPPLY_CHAIN_SUPPLIERS","RELATIONSHIP_AS_OF_DATE","19990126")</f>
        <v>#N/A N/A</v>
      </c>
      <c r="F5" t="str">
        <f>_xll.BDS("WLA US Equity","SUPPLY_CHAIN_CUSTOMERS","RELATIONSHIP_AS_OF_DATE","19990126")</f>
        <v>#N/A N/A</v>
      </c>
      <c r="K5" t="str">
        <f>_xll.BDS("SOCNQ US Equity","SUPPLY_CHAIN_SUPPLIERS","RELATIONSHIP_AS_OF_DATE","19980302")</f>
        <v>#N/A N/A</v>
      </c>
      <c r="P5" t="str">
        <f>_xll.BDS("SOCNQ US Equity","SUPPLY_CHAIN_CUSTOMERS","RELATIONSHIP_AS_OF_DATE","19980302")</f>
        <v>GSANBOB1 MM Equity</v>
      </c>
      <c r="U5" t="str">
        <f>_xll.BDS("CVH US Equity","SUPPLY_CHAIN_SUPPLIERS","RELATIONSHIP_AS_OF_DATE","20041014")</f>
        <v>#N/A N/A</v>
      </c>
      <c r="Z5" t="str">
        <f>_xll.BDS("CVH US Equity","SUPPLY_CHAIN_CUSTOMERS","RELATIONSHIP_AS_OF_DATE","20041014")</f>
        <v>#N/A N/A</v>
      </c>
      <c r="AE5" t="str">
        <f>_xll.BDS("1041267D US Equity","SUPPLY_CHAIN_SUPPLIERS","RELATIONSHIP_AS_OF_DATE","20050712")</f>
        <v>#N/A N/A</v>
      </c>
      <c r="AJ5" t="str">
        <f>_xll.BDS("1041267D US Equity","SUPPLY_CHAIN_CUSTOMERS","RELATIONSHIP_AS_OF_DATE","20050712")</f>
        <v>#N/A N/A</v>
      </c>
      <c r="AO5" t="str">
        <f>_xll.BDS("URI US Equity","SUPPLY_CHAIN_SUPPLIERS","RELATIONSHIP_AS_OF_DATE","20111216","cols=1;rows=5")</f>
        <v>DE US Equity</v>
      </c>
      <c r="AT5" t="str">
        <f>_xll.BDS("URI US Equity","SUPPLY_CHAIN_CUSTOMERS","RELATIONSHIP_AS_OF_DATE","20111216","cols=1;rows=5")</f>
        <v>OSK US Equity</v>
      </c>
      <c r="AY5" t="str">
        <f>_xll.BDS("NVP US Equity","SUPPLY_CHAIN_SUPPLIERS","RELATIONSHIP_AS_OF_DATE","19980430")</f>
        <v>#N/A N/A</v>
      </c>
      <c r="BD5" t="str">
        <f>_xll.BDS("NVP US Equity","SUPPLY_CHAIN_CUSTOMERS","RELATIONSHIP_AS_OF_DATE","19980430")</f>
        <v>#N/A N/A</v>
      </c>
      <c r="BI5" t="str">
        <f>_xll.BDS("2598Q US Equity","SUPPLY_CHAIN_SUPPLIERS","RELATIONSHIP_AS_OF_DATE","19980209")</f>
        <v>#N/A N/A</v>
      </c>
      <c r="BN5" t="str">
        <f>_xll.BDS("2598Q US Equity","SUPPLY_CHAIN_CUSTOMERS","RELATIONSHIP_AS_OF_DATE","19980209")</f>
        <v>#N/A N/A</v>
      </c>
      <c r="BS5" t="str">
        <f>_xll.BDS("EBAY US Equity","SUPPLY_CHAIN_SUPPLIERS","RELATIONSHIP_AS_OF_DATE","20110328","cols=1;rows=5")</f>
        <v>NVDA US Equity</v>
      </c>
      <c r="BX5" t="str">
        <f>_xll.BDS("EBAY US Equity","SUPPLY_CHAIN_CUSTOMERS","RELATIONSHIP_AS_OF_DATE","20110328","cols=1;rows=5")</f>
        <v>3048 JP Equity</v>
      </c>
      <c r="CC5" t="str">
        <f>_xll.BDS("LNCE US Equity","SUPPLY_CHAIN_SUPPLIERS","RELATIONSHIP_AS_OF_DATE","20151028")</f>
        <v>FE US Equity</v>
      </c>
      <c r="CH5" t="str">
        <f>_xll.BDS("LNCE US Equity","SUPPLY_CHAIN_CUSTOMERS","RELATIONSHIP_AS_OF_DATE","20151028")</f>
        <v>#N/A N/A</v>
      </c>
      <c r="CM5" t="str">
        <f>_xll.BDS("CZR US Equity","SUPPLY_CHAIN_SUPPLIERS","RELATIONSHIP_AS_OF_DATE","20160919","cols=1;rows=5")</f>
        <v>VICI US Equity</v>
      </c>
      <c r="CR5" t="str">
        <f>_xll.BDS("CZR US Equity","SUPPLY_CHAIN_CUSTOMERS","RELATIONSHIP_AS_OF_DATE","20160919","cols=1;rows=4")</f>
        <v>0127957D US Equity</v>
      </c>
      <c r="CW5" t="str">
        <f>_xll.BDS("SOGCQ US Equity","SUPPLY_CHAIN_SUPPLIERS","RELATIONSHIP_AS_OF_DATE","20070108")</f>
        <v>#N/A N/A</v>
      </c>
      <c r="DB5" t="str">
        <f>_xll.BDS("SOGCQ US Equity","SUPPLY_CHAIN_CUSTOMERS","RELATIONSHIP_AS_OF_DATE","20070108")</f>
        <v>#N/A N/A</v>
      </c>
      <c r="DG5" t="str">
        <f>_xll.BDS("0167866D US Equity","SUPPLY_CHAIN_SUPPLIERS","RELATIONSHIP_AS_OF_DATE","20060421")</f>
        <v>#N/A N/A</v>
      </c>
      <c r="DL5" t="str">
        <f>_xll.BDS("0167866D US Equity","SUPPLY_CHAIN_CUSTOMERS","RELATIONSHIP_AS_OF_DATE","20060421")</f>
        <v>#N/A N/A</v>
      </c>
      <c r="DQ5" t="str">
        <f>_xll.BDS("DALRQ US Equity","SUPPLY_CHAIN_SUPPLIERS","RELATIONSHIP_AS_OF_DATE","19991018")</f>
        <v>#N/A N/A</v>
      </c>
      <c r="DV5" t="str">
        <f>_xll.BDS("DALRQ US Equity","SUPPLY_CHAIN_CUSTOMERS","RELATIONSHIP_AS_OF_DATE","19991018")</f>
        <v>#N/A N/A</v>
      </c>
      <c r="EA5" t="str">
        <f>_xll.BDS("CEQP US Equity","SUPPLY_CHAIN_SUPPLIERS","RELATIONSHIP_AS_OF_DATE","20211026")</f>
        <v>#N/A N/A</v>
      </c>
      <c r="EF5" t="str">
        <f>_xll.BDS("CEQP US Equity","SUPPLY_CHAIN_CUSTOMERS","RELATIONSHIP_AS_OF_DATE","20211026")</f>
        <v>SPH US Equity</v>
      </c>
      <c r="EK5" t="str">
        <f>_xll.BDS("1255459D US Equity","SUPPLY_CHAIN_SUPPLIERS","RELATIONSHIP_AS_OF_DATE","20000709","cols=1;rows=2")</f>
        <v>CREI LN Equity</v>
      </c>
      <c r="EP5" t="str">
        <f>_xll.BDS("1255459D US Equity","SUPPLY_CHAIN_CUSTOMERS","RELATIONSHIP_AS_OF_DATE","20000709","cols=1;rows=5")</f>
        <v>028260 KS Equity</v>
      </c>
      <c r="EU5" t="str">
        <f>_xll.BDS("VER US Equity","SUPPLY_CHAIN_SUPPLIERS","RELATIONSHIP_AS_OF_DATE","20130528")</f>
        <v>#N/A N/A</v>
      </c>
      <c r="EZ5" t="str">
        <f>_xll.BDS("VER US Equity","SUPPLY_CHAIN_CUSTOMERS","RELATIONSHIP_AS_OF_DATE","20130528")</f>
        <v>#N/A N/A</v>
      </c>
      <c r="FE5" t="str">
        <f>_xll.BDS("SRE US Equity","SUPPLY_CHAIN_SUPPLIERS","RELATIONSHIP_AS_OF_DATE","20181018","cols=1;rows=5")</f>
        <v>PWR US Equity</v>
      </c>
      <c r="FJ5" t="str">
        <f>_xll.BDS("SRE US Equity","SUPPLY_CHAIN_CUSTOMERS","RELATIONSHIP_AS_OF_DATE","20181018","cols=1;rows=5")</f>
        <v>ARW US Equity</v>
      </c>
      <c r="FO5" t="str">
        <f>_xll.BDS("UMPQ US Equity","SUPPLY_CHAIN_SUPPLIERS","RELATIONSHIP_AS_OF_DATE","20130911")</f>
        <v>#N/A N/A</v>
      </c>
      <c r="FT5" t="str">
        <f>_xll.BDS("UMPQ US Equity","SUPPLY_CHAIN_CUSTOMERS","RELATIONSHIP_AS_OF_DATE","20130911")</f>
        <v>#N/A N/A</v>
      </c>
      <c r="FY5" t="str">
        <f>_xll.BDS("3692470Q US Equity","SUPPLY_CHAIN_SUPPLIERS","RELATIONSHIP_AS_OF_DATE","20050110")</f>
        <v>#N/A N/A</v>
      </c>
      <c r="GD5" t="str">
        <f>_xll.BDS("3692470Q US Equity","SUPPLY_CHAIN_CUSTOMERS","RELATIONSHIP_AS_OF_DATE","20050110")</f>
        <v>#N/A N/A</v>
      </c>
      <c r="GI5" t="str">
        <f>_xll.BDS("UNVR US Equity","SUPPLY_CHAIN_SUPPLIERS","RELATIONSHIP_AS_OF_DATE","20180917","cols=1;rows=5")</f>
        <v>000210 KS Equity</v>
      </c>
      <c r="GN5" t="str">
        <f>_xll.BDS("UNVR US Equity","SUPPLY_CHAIN_CUSTOMERS","RELATIONSHIP_AS_OF_DATE","20180917","cols=1;rows=5")</f>
        <v>0676023D IN Equity</v>
      </c>
      <c r="GS5" t="str">
        <f>_xll.BDS("ETRN US Equity","SUPPLY_CHAIN_SUPPLIERS","RELATIONSHIP_AS_OF_DATE","20200227","cols=1;rows=5")</f>
        <v>848936Z US Equity</v>
      </c>
      <c r="GX5" t="str">
        <f>_xll.BDS("ETRN US Equity","SUPPLY_CHAIN_CUSTOMERS","RELATIONSHIP_AS_OF_DATE","20200227")</f>
        <v>EQT US Equity</v>
      </c>
      <c r="HC5" t="str">
        <f>_xll.BDS("ADEA US Equity","SUPPLY_CHAIN_SUPPLIERS","RELATIONSHIP_AS_OF_DATE","20191219","cols=1;rows=5")</f>
        <v>285A JP Equity</v>
      </c>
      <c r="HH5" t="str">
        <f>_xll.BDS("ADEA US Equity","SUPPLY_CHAIN_CUSTOMERS","RELATIONSHIP_AS_OF_DATE","20191219","cols=1;rows=5")</f>
        <v>5350Z US Equity</v>
      </c>
      <c r="HM5" t="str">
        <f>_xll.BDS("1893675D US Equity","SUPPLY_CHAIN_SUPPLIERS","RELATIONSHIP_AS_OF_DATE","20040416")</f>
        <v>#N/A N/A</v>
      </c>
      <c r="HR5" t="str">
        <f>_xll.BDS("1893675D US Equity","SUPPLY_CHAIN_CUSTOMERS","RELATIONSHIP_AS_OF_DATE","20040416")</f>
        <v>#N/A N/A</v>
      </c>
      <c r="HW5" t="str">
        <f>_xll.BDS("PBCT US Equity","SUPPLY_CHAIN_SUPPLIERS","RELATIONSHIP_AS_OF_DATE","20070627")</f>
        <v>#N/A N/A</v>
      </c>
      <c r="IB5" t="str">
        <f>_xll.BDS("PBCT US Equity","SUPPLY_CHAIN_CUSTOMERS","RELATIONSHIP_AS_OF_DATE","20070627")</f>
        <v>#N/A N/A</v>
      </c>
      <c r="IG5" t="str">
        <f>_xll.BDS("ORCL US Equity","SUPPLY_CHAIN_SUPPLIERS","RELATIONSHIP_AS_OF_DATE","20120209","cols=1;rows=5")</f>
        <v>NVDA US Equity</v>
      </c>
      <c r="IL5" t="str">
        <f>_xll.BDS("ORCL US Equity","SUPPLY_CHAIN_CUSTOMERS","RELATIONSHIP_AS_OF_DATE","20120209","cols=1;rows=5")</f>
        <v>ACN US Equity</v>
      </c>
      <c r="IQ5" t="str">
        <f>_xll.BDS("9213421D CN Equity","SUPPLY_CHAIN_SUPPLIERS","RELATIONSHIP_AS_OF_DATE","20200317")</f>
        <v>#N/A N/A</v>
      </c>
      <c r="IV5" t="str">
        <f>_xll.BDS("9213421D CN Equity","SUPPLY_CHAIN_CUSTOMERS","RELATIONSHIP_AS_OF_DATE","20200317","cols=1;rows=2")</f>
        <v>AMZN US Equity</v>
      </c>
      <c r="JA5" t="str">
        <f>_xll.BDS("TWLO US Equity","SUPPLY_CHAIN_SUPPLIERS","RELATIONSHIP_AS_OF_DATE","20181015","cols=1;rows=5")</f>
        <v>1023727D US Equity</v>
      </c>
      <c r="JF5" t="str">
        <f>_xll.BDS("TWLO US Equity","SUPPLY_CHAIN_CUSTOMERS","RELATIONSHIP_AS_OF_DATE","20181015","cols=1;rows=5")</f>
        <v>0170016D US Equity</v>
      </c>
      <c r="JK5" t="str">
        <f>_xll.BDS("AGN US Equity","SUPPLY_CHAIN_SUPPLIERS","RELATIONSHIP_AS_OF_DATE","20150617","cols=1;rows=5")</f>
        <v>AEE US Equity</v>
      </c>
      <c r="JP5" t="str">
        <f>_xll.BDS("AGN US Equity","SUPPLY_CHAIN_CUSTOMERS","RELATIONSHIP_AS_OF_DATE","20150617")</f>
        <v>4569 JP Equity</v>
      </c>
      <c r="JU5" t="str">
        <f>_xll.BDS("WCOEQ US Equity","SUPPLY_CHAIN_SUPPLIERS","RELATIONSHIP_AS_OF_DATE","19990528")</f>
        <v>#N/A N/A</v>
      </c>
      <c r="JZ5" t="str">
        <f>_xll.BDS("WCOEQ US Equity","SUPPLY_CHAIN_CUSTOMERS","RELATIONSHIP_AS_OF_DATE","19990528")</f>
        <v>#N/A N/A</v>
      </c>
      <c r="KE5" t="str">
        <f>_xll.BDS("9993232D US Equity","SUPPLY_CHAIN_SUPPLIERS","RELATIONSHIP_AS_OF_DATE","20051221")</f>
        <v>#N/A N/A</v>
      </c>
      <c r="KJ5" t="str">
        <f>_xll.BDS("9993232D US Equity","SUPPLY_CHAIN_CUSTOMERS","RELATIONSHIP_AS_OF_DATE","20051221")</f>
        <v>#N/A N/A</v>
      </c>
      <c r="KO5" t="str">
        <f>_xll.BDS("BX US Equity","SUPPLY_CHAIN_SUPPLIERS","RELATIONSHIP_AS_OF_DATE","20150410","cols=1;rows=5")</f>
        <v>ORCL US Equity</v>
      </c>
      <c r="KT5" t="str">
        <f>_xll.BDS("BX US Equity","SUPPLY_CHAIN_CUSTOMERS","RELATIONSHIP_AS_OF_DATE","20150410","cols=1;rows=5")</f>
        <v>002284 CH Equity</v>
      </c>
      <c r="KY5" t="str">
        <f>_xll.BDS("CLDR US Equity","SUPPLY_CHAIN_SUPPLIERS","RELATIONSHIP_AS_OF_DATE","20181003","cols=1;rows=5")</f>
        <v>002020 KS Equity</v>
      </c>
      <c r="LD5" t="str">
        <f>_xll.BDS("CLDR US Equity","SUPPLY_CHAIN_CUSTOMERS","RELATIONSHIP_AS_OF_DATE","20181003","cols=1;rows=5")</f>
        <v>002020 KS Equity</v>
      </c>
      <c r="LI5" t="str">
        <f>_xll.BDS("SATS US Equity","SUPPLY_CHAIN_SUPPLIERS","RELATIONSHIP_AS_OF_DATE","20110214","cols=1;rows=5")</f>
        <v>MTZ US Equity</v>
      </c>
      <c r="LN5" t="str">
        <f>_xll.BDS("SATS US Equity","SUPPLY_CHAIN_CUSTOMERS","RELATIONSHIP_AS_OF_DATE","20110214","cols=1;rows=5")</f>
        <v>BA US Equity</v>
      </c>
      <c r="LS5" t="str">
        <f>_xll.BDS("KND US Equity","SUPPLY_CHAIN_SUPPLIERS","RELATIONSHIP_AS_OF_DATE","20140616")</f>
        <v>#N/A N/A</v>
      </c>
      <c r="LX5" t="str">
        <f>_xll.BDS("KND US Equity","SUPPLY_CHAIN_CUSTOMERS","RELATIONSHIP_AS_OF_DATE","20140616")</f>
        <v>#N/A N/A</v>
      </c>
      <c r="MC5" t="str">
        <f>_xll.BDS("TFC US Equity","SUPPLY_CHAIN_SUPPLIERS","RELATIONSHIP_AS_OF_DATE","20150817","cols=1;rows=5")</f>
        <v>ADBE US Equity</v>
      </c>
      <c r="MH5" t="str">
        <f>_xll.BDS("TFC US Equity","SUPPLY_CHAIN_CUSTOMERS","RELATIONSHIP_AS_OF_DATE","20150817")</f>
        <v>RENG IN Equity</v>
      </c>
      <c r="MM5" t="str">
        <f>_xll.BDS("WNR US Equity","SUPPLY_CHAIN_SUPPLIERS","RELATIONSHIP_AS_OF_DATE","20151026")</f>
        <v>#N/A N/A</v>
      </c>
      <c r="MR5" t="str">
        <f>_xll.BDS("WNR US Equity","SUPPLY_CHAIN_CUSTOMERS","RELATIONSHIP_AS_OF_DATE","20151026")</f>
        <v>#N/A N/A</v>
      </c>
      <c r="MW5" t="str">
        <f>_xll.BDS("BX US Equity","SUPPLY_CHAIN_SUPPLIERS","RELATIONSHIP_AS_OF_DATE","20211220","cols=1;rows=5")</f>
        <v>ORCL US Equity</v>
      </c>
      <c r="NB5" t="str">
        <f>_xll.BDS("BX US Equity","SUPPLY_CHAIN_CUSTOMERS","RELATIONSHIP_AS_OF_DATE","20211220","cols=1;rows=5")</f>
        <v>002284 CH Equity</v>
      </c>
      <c r="NG5" t="str">
        <f>_xll.BDS("CXW US Equity","SUPPLY_CHAIN_SUPPLIERS","RELATIONSHIP_AS_OF_DATE","19980420","cols=1;rows=2")</f>
        <v>2293258D US Equity</v>
      </c>
      <c r="NL5" t="str">
        <f>_xll.BDS("CXW US Equity","SUPPLY_CHAIN_CUSTOMERS","RELATIONSHIP_AS_OF_DATE","19980420","cols=1;rows=5")</f>
        <v>3352Z US Equity</v>
      </c>
      <c r="NQ5" t="str">
        <f>_xll.BDS("MCK US Equity","SUPPLY_CHAIN_SUPPLIERS","RELATIONSHIP_AS_OF_DATE","20121025","cols=1;rows=5")</f>
        <v>ABBV US Equity</v>
      </c>
      <c r="NV5" t="str">
        <f>_xll.BDS("MCK US Equity","SUPPLY_CHAIN_CUSTOMERS","RELATIONSHIP_AS_OF_DATE","20121025","cols=1;rows=5")</f>
        <v>CVS US Equity</v>
      </c>
      <c r="OA5" t="str">
        <f>_xll.BDS("CPT US Equity","SUPPLY_CHAIN_SUPPLIERS","RELATIONSHIP_AS_OF_DATE","20041004")</f>
        <v>BLNK US Equity</v>
      </c>
      <c r="OF5" t="str">
        <f>_xll.BDS("CPT US Equity","SUPPLY_CHAIN_CUSTOMERS","RELATIONSHIP_AS_OF_DATE","20041004")</f>
        <v>#N/A N/A</v>
      </c>
    </row>
    <row r="6" spans="1:396" x14ac:dyDescent="0.25">
      <c r="AO6" t="s">
        <v>4570</v>
      </c>
      <c r="AT6" t="s">
        <v>12443</v>
      </c>
      <c r="BS6" t="s">
        <v>12302</v>
      </c>
      <c r="BX6" t="s">
        <v>11650</v>
      </c>
      <c r="CM6" t="s">
        <v>1069</v>
      </c>
      <c r="CR6" t="s">
        <v>12245</v>
      </c>
      <c r="EK6" t="s">
        <v>2887</v>
      </c>
      <c r="EP6" t="s">
        <v>10637</v>
      </c>
      <c r="FE6" t="s">
        <v>11991</v>
      </c>
      <c r="FJ6" t="s">
        <v>11554</v>
      </c>
      <c r="GI6" t="s">
        <v>13304</v>
      </c>
      <c r="GN6" t="s">
        <v>12813</v>
      </c>
      <c r="GS6" t="s">
        <v>158</v>
      </c>
      <c r="HC6" t="s">
        <v>7300</v>
      </c>
      <c r="HH6" t="s">
        <v>10658</v>
      </c>
      <c r="IG6" t="s">
        <v>162</v>
      </c>
      <c r="IL6" t="s">
        <v>469</v>
      </c>
      <c r="IV6" t="s">
        <v>2509</v>
      </c>
      <c r="JA6" t="s">
        <v>11601</v>
      </c>
      <c r="JF6" t="s">
        <v>12576</v>
      </c>
      <c r="JK6" t="s">
        <v>10696</v>
      </c>
      <c r="KO6" t="s">
        <v>7544</v>
      </c>
      <c r="KT6" t="s">
        <v>11020</v>
      </c>
      <c r="KY6" t="s">
        <v>162</v>
      </c>
      <c r="LD6" t="s">
        <v>10797</v>
      </c>
      <c r="LI6" t="s">
        <v>2968</v>
      </c>
      <c r="LN6" t="s">
        <v>12571</v>
      </c>
      <c r="MC6" t="s">
        <v>11371</v>
      </c>
      <c r="MW6" t="s">
        <v>7544</v>
      </c>
      <c r="NB6" t="s">
        <v>11020</v>
      </c>
      <c r="NG6" t="s">
        <v>12374</v>
      </c>
      <c r="NL6" t="s">
        <v>10801</v>
      </c>
      <c r="NQ6" t="s">
        <v>368</v>
      </c>
      <c r="NV6" t="s">
        <v>10676</v>
      </c>
    </row>
    <row r="7" spans="1:396" x14ac:dyDescent="0.25">
      <c r="AO7" t="s">
        <v>12487</v>
      </c>
      <c r="AT7" t="s">
        <v>12444</v>
      </c>
      <c r="BS7" t="s">
        <v>11139</v>
      </c>
      <c r="BX7" t="s">
        <v>11651</v>
      </c>
      <c r="CM7" t="s">
        <v>171</v>
      </c>
      <c r="CR7" t="s">
        <v>10700</v>
      </c>
      <c r="EP7" t="s">
        <v>10638</v>
      </c>
      <c r="FE7" t="s">
        <v>12661</v>
      </c>
      <c r="FJ7" t="s">
        <v>12015</v>
      </c>
      <c r="GI7" t="s">
        <v>13305</v>
      </c>
      <c r="GN7" t="s">
        <v>12814</v>
      </c>
      <c r="GS7" t="s">
        <v>12240</v>
      </c>
      <c r="HC7" t="s">
        <v>12941</v>
      </c>
      <c r="HH7" t="s">
        <v>13108</v>
      </c>
      <c r="IG7" t="s">
        <v>279</v>
      </c>
      <c r="IL7" t="s">
        <v>2881</v>
      </c>
      <c r="JA7" t="s">
        <v>12877</v>
      </c>
      <c r="JF7" t="s">
        <v>12577</v>
      </c>
      <c r="JK7" t="s">
        <v>1265</v>
      </c>
      <c r="KO7" t="s">
        <v>11054</v>
      </c>
      <c r="KT7" t="s">
        <v>11021</v>
      </c>
      <c r="KY7" t="s">
        <v>469</v>
      </c>
      <c r="LD7" t="s">
        <v>13072</v>
      </c>
      <c r="LI7" t="s">
        <v>165</v>
      </c>
      <c r="LN7" t="s">
        <v>13032</v>
      </c>
      <c r="MC7" t="s">
        <v>10986</v>
      </c>
      <c r="MW7" t="s">
        <v>11054</v>
      </c>
      <c r="NB7" t="s">
        <v>11021</v>
      </c>
      <c r="NL7" t="s">
        <v>11590</v>
      </c>
      <c r="NQ7" t="s">
        <v>43</v>
      </c>
      <c r="NV7" t="s">
        <v>10882</v>
      </c>
    </row>
    <row r="8" spans="1:396" x14ac:dyDescent="0.25">
      <c r="AO8" t="s">
        <v>1754</v>
      </c>
      <c r="AT8" t="s">
        <v>12445</v>
      </c>
      <c r="BS8" t="s">
        <v>2204</v>
      </c>
      <c r="BX8" t="s">
        <v>11652</v>
      </c>
      <c r="CM8" t="s">
        <v>1654</v>
      </c>
      <c r="CR8" t="s">
        <v>12246</v>
      </c>
      <c r="EP8" t="s">
        <v>10639</v>
      </c>
      <c r="FE8" t="s">
        <v>7384</v>
      </c>
      <c r="FJ8" t="s">
        <v>12168</v>
      </c>
      <c r="GI8" t="s">
        <v>13306</v>
      </c>
      <c r="GN8" t="s">
        <v>12815</v>
      </c>
      <c r="GS8" t="s">
        <v>56</v>
      </c>
      <c r="HC8" t="s">
        <v>13130</v>
      </c>
      <c r="HH8" t="s">
        <v>12053</v>
      </c>
      <c r="IG8" t="s">
        <v>10818</v>
      </c>
      <c r="IL8" t="s">
        <v>52</v>
      </c>
      <c r="JA8" t="s">
        <v>12878</v>
      </c>
      <c r="JF8" t="s">
        <v>12578</v>
      </c>
      <c r="JK8" t="s">
        <v>158</v>
      </c>
      <c r="KO8" t="s">
        <v>11055</v>
      </c>
      <c r="KT8" t="s">
        <v>11022</v>
      </c>
      <c r="KY8" t="s">
        <v>10818</v>
      </c>
      <c r="LD8" t="s">
        <v>10769</v>
      </c>
      <c r="LI8" t="s">
        <v>171</v>
      </c>
      <c r="LN8" t="s">
        <v>13033</v>
      </c>
      <c r="MC8" t="s">
        <v>11372</v>
      </c>
      <c r="MW8" t="s">
        <v>11055</v>
      </c>
      <c r="NB8" t="s">
        <v>11022</v>
      </c>
      <c r="NL8" t="s">
        <v>12331</v>
      </c>
      <c r="NQ8" t="s">
        <v>870</v>
      </c>
      <c r="NV8" t="s">
        <v>10883</v>
      </c>
    </row>
    <row r="9" spans="1:396" x14ac:dyDescent="0.25">
      <c r="AO9" t="s">
        <v>12488</v>
      </c>
      <c r="AT9" t="s">
        <v>12446</v>
      </c>
      <c r="BS9" t="s">
        <v>12303</v>
      </c>
      <c r="BX9" t="s">
        <v>11653</v>
      </c>
      <c r="CM9" t="s">
        <v>12449</v>
      </c>
      <c r="EP9" t="s">
        <v>10640</v>
      </c>
      <c r="FE9" t="s">
        <v>10855</v>
      </c>
      <c r="FJ9" t="s">
        <v>12169</v>
      </c>
      <c r="GI9" t="s">
        <v>13307</v>
      </c>
      <c r="GN9" t="s">
        <v>12172</v>
      </c>
      <c r="GS9" t="s">
        <v>63</v>
      </c>
      <c r="HC9" t="s">
        <v>49</v>
      </c>
      <c r="HH9" t="s">
        <v>11118</v>
      </c>
      <c r="IG9" t="s">
        <v>384</v>
      </c>
      <c r="IL9" t="s">
        <v>472</v>
      </c>
      <c r="JA9" t="s">
        <v>12879</v>
      </c>
      <c r="JF9" t="s">
        <v>12579</v>
      </c>
      <c r="JK9" t="s">
        <v>260</v>
      </c>
      <c r="KO9" t="s">
        <v>11056</v>
      </c>
      <c r="KT9" t="s">
        <v>11023</v>
      </c>
      <c r="KY9" t="s">
        <v>12736</v>
      </c>
      <c r="LD9" t="s">
        <v>10657</v>
      </c>
      <c r="LI9" t="s">
        <v>10785</v>
      </c>
      <c r="LN9" t="s">
        <v>10797</v>
      </c>
      <c r="MC9" t="s">
        <v>10987</v>
      </c>
      <c r="MW9" t="s">
        <v>11056</v>
      </c>
      <c r="NB9" t="s">
        <v>11023</v>
      </c>
      <c r="NL9" t="s">
        <v>12332</v>
      </c>
      <c r="NQ9" t="s">
        <v>44</v>
      </c>
      <c r="NV9" t="s">
        <v>10925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2452</v>
      </c>
      <c r="K1" s="1" t="s">
        <v>2453</v>
      </c>
      <c r="U1" s="1" t="s">
        <v>2454</v>
      </c>
      <c r="AE1" s="1" t="s">
        <v>2455</v>
      </c>
      <c r="AO1" s="1" t="s">
        <v>2456</v>
      </c>
      <c r="AY1" s="1" t="s">
        <v>2457</v>
      </c>
      <c r="BI1" s="1" t="s">
        <v>2458</v>
      </c>
      <c r="BS1" s="1" t="s">
        <v>2459</v>
      </c>
      <c r="CC1" s="1" t="s">
        <v>2460</v>
      </c>
      <c r="CM1" s="1" t="s">
        <v>2461</v>
      </c>
      <c r="CW1" s="1" t="s">
        <v>2462</v>
      </c>
      <c r="DG1" s="1" t="s">
        <v>2463</v>
      </c>
      <c r="DQ1" s="1" t="s">
        <v>2464</v>
      </c>
      <c r="EA1" s="1" t="s">
        <v>2465</v>
      </c>
      <c r="EK1" s="1" t="s">
        <v>2466</v>
      </c>
      <c r="EU1" s="1" t="s">
        <v>2467</v>
      </c>
      <c r="FE1" s="1" t="s">
        <v>2468</v>
      </c>
      <c r="FO1" s="1" t="s">
        <v>2469</v>
      </c>
      <c r="FY1" s="1" t="s">
        <v>2470</v>
      </c>
      <c r="GI1" s="1" t="s">
        <v>2471</v>
      </c>
      <c r="GS1" s="1" t="s">
        <v>2472</v>
      </c>
      <c r="HC1" s="1" t="s">
        <v>2473</v>
      </c>
      <c r="HM1" s="1" t="s">
        <v>2474</v>
      </c>
      <c r="HW1" s="1" t="s">
        <v>2475</v>
      </c>
      <c r="IG1" s="1" t="s">
        <v>2476</v>
      </c>
      <c r="IQ1" s="1" t="s">
        <v>2477</v>
      </c>
      <c r="JA1" s="1" t="s">
        <v>2478</v>
      </c>
      <c r="JK1" s="1" t="s">
        <v>2479</v>
      </c>
      <c r="JU1" s="1" t="s">
        <v>2480</v>
      </c>
      <c r="KE1" s="1" t="s">
        <v>2481</v>
      </c>
      <c r="KO1" s="1" t="s">
        <v>2482</v>
      </c>
      <c r="KY1" s="1" t="s">
        <v>2483</v>
      </c>
      <c r="LI1" s="1" t="s">
        <v>2484</v>
      </c>
      <c r="LS1" s="1" t="s">
        <v>2485</v>
      </c>
      <c r="MC1" s="1" t="s">
        <v>2486</v>
      </c>
      <c r="MM1" s="1" t="s">
        <v>2487</v>
      </c>
      <c r="MW1" s="1" t="s">
        <v>2488</v>
      </c>
      <c r="NG1" s="1" t="s">
        <v>2489</v>
      </c>
      <c r="NQ1" s="1" t="s">
        <v>2490</v>
      </c>
      <c r="OA1" s="1" t="s">
        <v>2491</v>
      </c>
    </row>
    <row r="2" spans="1:396" x14ac:dyDescent="0.25">
      <c r="A2" s="2" t="s">
        <v>2492</v>
      </c>
      <c r="K2" s="2" t="s">
        <v>2493</v>
      </c>
      <c r="U2" s="2" t="s">
        <v>2494</v>
      </c>
      <c r="AE2" s="2" t="s">
        <v>489</v>
      </c>
      <c r="AO2" s="2" t="s">
        <v>2495</v>
      </c>
      <c r="AY2" s="2" t="s">
        <v>2496</v>
      </c>
      <c r="BI2" s="2" t="s">
        <v>2497</v>
      </c>
      <c r="BS2" s="2" t="s">
        <v>1071</v>
      </c>
      <c r="CC2" s="2" t="s">
        <v>2498</v>
      </c>
      <c r="CM2" s="2" t="s">
        <v>2499</v>
      </c>
      <c r="CW2" s="2" t="s">
        <v>2119</v>
      </c>
      <c r="DG2" s="2" t="s">
        <v>2500</v>
      </c>
      <c r="DQ2" s="2" t="s">
        <v>2501</v>
      </c>
      <c r="EA2" s="2" t="s">
        <v>44</v>
      </c>
      <c r="EK2" s="2" t="s">
        <v>171</v>
      </c>
      <c r="EU2" s="2" t="s">
        <v>64</v>
      </c>
      <c r="FE2" s="2" t="s">
        <v>2502</v>
      </c>
      <c r="FO2" s="2" t="s">
        <v>1559</v>
      </c>
      <c r="FY2" s="2" t="s">
        <v>778</v>
      </c>
      <c r="GI2" s="2" t="s">
        <v>2503</v>
      </c>
      <c r="GS2" s="2" t="s">
        <v>2504</v>
      </c>
      <c r="HC2" s="2" t="s">
        <v>49</v>
      </c>
      <c r="HM2" s="2" t="s">
        <v>2505</v>
      </c>
      <c r="HW2" s="2" t="s">
        <v>160</v>
      </c>
      <c r="IG2" s="2" t="s">
        <v>71</v>
      </c>
      <c r="IQ2" s="2" t="s">
        <v>2506</v>
      </c>
      <c r="JA2" s="2" t="s">
        <v>2507</v>
      </c>
      <c r="JK2" s="2" t="s">
        <v>2508</v>
      </c>
      <c r="JU2" s="2" t="s">
        <v>2509</v>
      </c>
      <c r="KE2" s="2" t="s">
        <v>2510</v>
      </c>
      <c r="KO2" s="2" t="s">
        <v>64</v>
      </c>
      <c r="KY2" s="2" t="s">
        <v>2511</v>
      </c>
      <c r="LI2" s="2" t="s">
        <v>1738</v>
      </c>
      <c r="LS2" s="2" t="s">
        <v>158</v>
      </c>
      <c r="MC2" s="2" t="s">
        <v>2512</v>
      </c>
      <c r="MM2" s="2" t="s">
        <v>2513</v>
      </c>
      <c r="MW2" s="2" t="s">
        <v>2514</v>
      </c>
      <c r="NG2" s="2" t="s">
        <v>2515</v>
      </c>
      <c r="NQ2" s="2" t="s">
        <v>2516</v>
      </c>
      <c r="OA2" s="2" t="s">
        <v>2517</v>
      </c>
    </row>
    <row r="3" spans="1:396" x14ac:dyDescent="0.25">
      <c r="A3" t="s">
        <v>2518</v>
      </c>
      <c r="K3" t="s">
        <v>2519</v>
      </c>
      <c r="U3" t="s">
        <v>2520</v>
      </c>
      <c r="AE3" t="s">
        <v>2521</v>
      </c>
      <c r="AO3" t="s">
        <v>2522</v>
      </c>
      <c r="AY3" t="s">
        <v>2523</v>
      </c>
      <c r="BI3" t="s">
        <v>1580</v>
      </c>
      <c r="BS3" t="s">
        <v>2524</v>
      </c>
      <c r="CC3" t="s">
        <v>2525</v>
      </c>
      <c r="CM3" t="s">
        <v>2526</v>
      </c>
      <c r="CW3" t="s">
        <v>2527</v>
      </c>
      <c r="DG3" t="s">
        <v>2528</v>
      </c>
      <c r="DQ3" t="s">
        <v>2529</v>
      </c>
      <c r="EA3" t="s">
        <v>2530</v>
      </c>
      <c r="EK3" t="s">
        <v>2531</v>
      </c>
      <c r="EU3" t="s">
        <v>2532</v>
      </c>
      <c r="FE3" t="s">
        <v>2533</v>
      </c>
      <c r="FO3" t="s">
        <v>2534</v>
      </c>
      <c r="FY3" t="s">
        <v>1761</v>
      </c>
      <c r="GI3" t="s">
        <v>2535</v>
      </c>
      <c r="GS3" t="s">
        <v>2536</v>
      </c>
      <c r="HC3" t="s">
        <v>2537</v>
      </c>
      <c r="HM3" t="s">
        <v>2538</v>
      </c>
      <c r="HW3" t="s">
        <v>2539</v>
      </c>
      <c r="IG3" t="s">
        <v>1961</v>
      </c>
      <c r="IQ3" t="s">
        <v>2540</v>
      </c>
      <c r="JA3" t="s">
        <v>2541</v>
      </c>
      <c r="JK3" t="s">
        <v>2542</v>
      </c>
      <c r="JU3" t="s">
        <v>2543</v>
      </c>
      <c r="KE3" t="s">
        <v>2544</v>
      </c>
      <c r="KO3" t="s">
        <v>2545</v>
      </c>
      <c r="KY3" t="s">
        <v>2546</v>
      </c>
      <c r="LI3" t="s">
        <v>2547</v>
      </c>
      <c r="LS3" t="s">
        <v>2548</v>
      </c>
      <c r="MC3" t="s">
        <v>2549</v>
      </c>
      <c r="MM3" t="s">
        <v>2550</v>
      </c>
      <c r="MW3" t="s">
        <v>2551</v>
      </c>
      <c r="NG3" t="s">
        <v>519</v>
      </c>
      <c r="NQ3" t="s">
        <v>1022</v>
      </c>
      <c r="OA3" t="s">
        <v>2552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_xll.BDS("OA US Equity","SUPPLY_CHAIN_SUPPLIERS","RELATIONSHIP_AS_OF_DATE","20140429")</f>
        <v>FE US Equity</v>
      </c>
      <c r="F5" t="str">
        <f>_xll.BDS("OA US Equity","SUPPLY_CHAIN_CUSTOMERS","RELATIONSHIP_AS_OF_DATE","20140429")</f>
        <v>#N/A N/A</v>
      </c>
      <c r="K5" t="str">
        <f>_xll.BDS("CMLP US Equity","SUPPLY_CHAIN_SUPPLIERS","RELATIONSHIP_AS_OF_DATE","20130506")</f>
        <v>#N/A N/A</v>
      </c>
      <c r="P5" t="str">
        <f>_xll.BDS("CMLP US Equity","SUPPLY_CHAIN_CUSTOMERS","RELATIONSHIP_AS_OF_DATE","20130506")</f>
        <v>#N/A N/A</v>
      </c>
      <c r="U5" t="str">
        <f>_xll.BDS("V US Equity","SUPPLY_CHAIN_SUPPLIERS","RELATIONSHIP_AS_OF_DATE","20100421","cols=1;rows=5")</f>
        <v>ADBE US Equity</v>
      </c>
      <c r="Z5" t="str">
        <f>_xll.BDS("V US Equity","SUPPLY_CHAIN_CUSTOMERS","RELATIONSHIP_AS_OF_DATE","20100421","cols=1;rows=5")</f>
        <v>CDW US Equity</v>
      </c>
      <c r="AE5" t="str">
        <f>_xll.BDS("TT US Equity","SUPPLY_CHAIN_SUPPLIERS","RELATIONSHIP_AS_OF_DATE","20000512","cols=1;rows=5")</f>
        <v>NUE US Equity</v>
      </c>
      <c r="AJ5" t="str">
        <f>_xll.BDS("TT US Equity","SUPPLY_CHAIN_CUSTOMERS","RELATIONSHIP_AS_OF_DATE","20000512","cols=1;rows=5")</f>
        <v>INTC US Equity</v>
      </c>
      <c r="AO5" t="str">
        <f>_xll.BDS("TDAY US Equity","SUPPLY_CHAIN_SUPPLIERS","RELATIONSHIP_AS_OF_DATE","20190805","cols=1;rows=5")</f>
        <v>0864365D US Equity</v>
      </c>
      <c r="AT5" t="str">
        <f>_xll.BDS("TDAY US Equity","SUPPLY_CHAIN_CUSTOMERS","RELATIONSHIP_AS_OF_DATE","20190805","cols=1;rows=5")</f>
        <v>0135042D US Equity</v>
      </c>
      <c r="AY5" t="str">
        <f>_xll.BDS("605555Q US Equity","SUPPLY_CHAIN_SUPPLIERS","RELATIONSHIP_AS_OF_DATE","20020513","cols=1;rows=4")</f>
        <v>FRT US Equity</v>
      </c>
      <c r="BD5" t="str">
        <f>_xll.BDS("605555Q US Equity","SUPPLY_CHAIN_CUSTOMERS","RELATIONSHIP_AS_OF_DATE","20020513")</f>
        <v>#N/A N/A</v>
      </c>
      <c r="BI5" t="str">
        <f>_xll.BDS("MER US Equity","SUPPLY_CHAIN_SUPPLIERS","RELATIONSHIP_AS_OF_DATE","20070129")</f>
        <v>#N/A N/A</v>
      </c>
      <c r="BN5" t="str">
        <f>_xll.BDS("MER US Equity","SUPPLY_CHAIN_CUSTOMERS","RELATIONSHIP_AS_OF_DATE","20070129")</f>
        <v>#N/A N/A</v>
      </c>
      <c r="BS5" t="str">
        <f>_xll.BDS("NLY US Equity","SUPPLY_CHAIN_SUPPLIERS","RELATIONSHIP_AS_OF_DATE","20160411")</f>
        <v>#N/A N/A</v>
      </c>
      <c r="BX5" t="str">
        <f>_xll.BDS("NLY US Equity","SUPPLY_CHAIN_CUSTOMERS","RELATIONSHIP_AS_OF_DATE","20160411")</f>
        <v>#N/A N/A</v>
      </c>
      <c r="CC5" t="str">
        <f>_xll.BDS("VMW US Equity","SUPPLY_CHAIN_SUPPLIERS","RELATIONSHIP_AS_OF_DATE","20190822","cols=1;rows=5")</f>
        <v>0956625D US Equity</v>
      </c>
      <c r="CH5" t="str">
        <f>_xll.BDS("VMW US Equity","SUPPLY_CHAIN_CUSTOMERS","RELATIONSHIP_AS_OF_DATE","20190822","cols=1;rows=5")</f>
        <v>002642 CH Equity</v>
      </c>
      <c r="CM5" t="str">
        <f>_xll.BDS("EPC US Equity","SUPPLY_CHAIN_SUPPLIERS","RELATIONSHIP_AS_OF_DATE","20070712","cols=1;rows=5")</f>
        <v>BABA US Equity</v>
      </c>
      <c r="CR5" t="str">
        <f>_xll.BDS("EPC US Equity","SUPPLY_CHAIN_CUSTOMERS","RELATIONSHIP_AS_OF_DATE","20070712","cols=1;rows=5")</f>
        <v>WMT US Equity</v>
      </c>
      <c r="CW5" t="str">
        <f>_xll.BDS("QVCGA US Equity","SUPPLY_CHAIN_SUPPLIERS","RELATIONSHIP_AS_OF_DATE","20170706","cols=1;rows=5")</f>
        <v>GRMN US Equity</v>
      </c>
      <c r="DB5" t="str">
        <f>_xll.BDS("QVCGA US Equity","SUPPLY_CHAIN_CUSTOMERS","RELATIONSHIP_AS_OF_DATE","20170706","cols=1;rows=5")</f>
        <v>066570 KS Equity</v>
      </c>
      <c r="DG5" t="str">
        <f>_xll.BDS("SWY US Equity","SUPPLY_CHAIN_SUPPLIERS","RELATIONSHIP_AS_OF_DATE","19981013")</f>
        <v>#N/A N/A</v>
      </c>
      <c r="DL5" t="str">
        <f>_xll.BDS("SWY US Equity","SUPPLY_CHAIN_CUSTOMERS","RELATIONSHIP_AS_OF_DATE","19981013")</f>
        <v>#N/A N/A</v>
      </c>
      <c r="DQ5" t="str">
        <f>_xll.BDS("COOP US Equity","SUPPLY_CHAIN_SUPPLIERS","RELATIONSHIP_AS_OF_DATE","20180213","cols=1;rows=3")</f>
        <v>BLND US Equity</v>
      </c>
      <c r="DV5" t="str">
        <f>_xll.BDS("COOP US Equity","SUPPLY_CHAIN_CUSTOMERS","RELATIONSHIP_AS_OF_DATE","20180213")</f>
        <v>#N/A N/A</v>
      </c>
      <c r="EA5" t="str">
        <f>_xll.BDS("PFE US Equity","SUPPLY_CHAIN_SUPPLIERS","RELATIONSHIP_AS_OF_DATE","20050616","cols=1;rows=5")</f>
        <v>BNTX US Equity</v>
      </c>
      <c r="EF5" t="str">
        <f>_xll.BDS("PFE US Equity","SUPPLY_CHAIN_CUSTOMERS","RELATIONSHIP_AS_OF_DATE","20050616","cols=1;rows=5")</f>
        <v>MCK US Equity</v>
      </c>
      <c r="EK5" t="str">
        <f>_xll.BDS("ORCL US Equity","SUPPLY_CHAIN_SUPPLIERS","RELATIONSHIP_AS_OF_DATE","20130204","cols=1;rows=5")</f>
        <v>NVDA US Equity</v>
      </c>
      <c r="EP5" t="str">
        <f>_xll.BDS("ORCL US Equity","SUPPLY_CHAIN_CUSTOMERS","RELATIONSHIP_AS_OF_DATE","20130204","cols=1;rows=5")</f>
        <v>ACN US Equity</v>
      </c>
      <c r="EU5" t="str">
        <f>_xll.BDS("nan Equity","SUPPLY_CHAIN_SUPPLIERS","RELATIONSHIP_AS_OF_DATE","20120501")</f>
        <v>#N/A N/A</v>
      </c>
      <c r="EZ5" t="str">
        <f>_xll.BDS("nan Equity","SUPPLY_CHAIN_CUSTOMERS","RELATIONSHIP_AS_OF_DATE","20120501")</f>
        <v>#N/A N/A</v>
      </c>
      <c r="FE5" t="str">
        <f>_xll.BDS("2641504Q US Equity","SUPPLY_CHAIN_SUPPLIERS","RELATIONSHIP_AS_OF_DATE","19990913")</f>
        <v>#N/A N/A</v>
      </c>
      <c r="FJ5" t="str">
        <f>_xll.BDS("2641504Q US Equity","SUPPLY_CHAIN_CUSTOMERS","RELATIONSHIP_AS_OF_DATE","19990913")</f>
        <v>#N/A N/A</v>
      </c>
      <c r="FO5" t="str">
        <f>_xll.BDS("0544749D US Equity","SUPPLY_CHAIN_SUPPLIERS","RELATIONSHIP_AS_OF_DATE","20010514")</f>
        <v>#N/A N/A</v>
      </c>
      <c r="FT5" t="str">
        <f>_xll.BDS("0544749D US Equity","SUPPLY_CHAIN_CUSTOMERS","RELATIONSHIP_AS_OF_DATE","20010514")</f>
        <v>#N/A N/A</v>
      </c>
      <c r="FY5" t="str">
        <f>_xll.BDS("1260972D US Equity","SUPPLY_CHAIN_SUPPLIERS","RELATIONSHIP_AS_OF_DATE","20000214")</f>
        <v>#N/A N/A</v>
      </c>
      <c r="GD5" t="str">
        <f>_xll.BDS("1260972D US Equity","SUPPLY_CHAIN_CUSTOMERS","RELATIONSHIP_AS_OF_DATE","20000214")</f>
        <v>#N/A N/A</v>
      </c>
      <c r="GI5" t="str">
        <f>_xll.BDS("3437127Q US Equity","SUPPLY_CHAIN_SUPPLIERS","RELATIONSHIP_AS_OF_DATE","20011206","cols=1;rows=2")</f>
        <v>141080 KS Equity</v>
      </c>
      <c r="GN5" t="str">
        <f>_xll.BDS("3437127Q US Equity","SUPPLY_CHAIN_CUSTOMERS","RELATIONSHIP_AS_OF_DATE","20011206","cols=1;rows=2")</f>
        <v>CALA US Equity</v>
      </c>
      <c r="GS5" t="str">
        <f>_xll.BDS("PDCE US Equity","SUPPLY_CHAIN_SUPPLIERS","RELATIONSHIP_AS_OF_DATE","20190826")</f>
        <v>KNTK US Equity</v>
      </c>
      <c r="GX5" t="str">
        <f>_xll.BDS("PDCE US Equity","SUPPLY_CHAIN_CUSTOMERS","RELATIONSHIP_AS_OF_DATE","20190826")</f>
        <v>#N/A N/A</v>
      </c>
      <c r="HC5" t="str">
        <f>_xll.BDS("VZ US Equity","SUPPLY_CHAIN_SUPPLIERS","RELATIONSHIP_AS_OF_DATE","20110127","cols=1;rows=5")</f>
        <v>AAPL US Equity</v>
      </c>
      <c r="HH5" t="str">
        <f>_xll.BDS("VZ US Equity","SUPPLY_CHAIN_CUSTOMERS","RELATIONSHIP_AS_OF_DATE","20110127","cols=1;rows=5")</f>
        <v>SNX US Equity</v>
      </c>
      <c r="HM5" t="str">
        <f>_xll.BDS("PSIXQ US Equity","SUPPLY_CHAIN_SUPPLIERS","RELATIONSHIP_AS_OF_DATE","20000322")</f>
        <v>#N/A N/A</v>
      </c>
      <c r="HR5" t="str">
        <f>_xll.BDS("PSIXQ US Equity","SUPPLY_CHAIN_CUSTOMERS","RELATIONSHIP_AS_OF_DATE","20000322")</f>
        <v>#N/A N/A</v>
      </c>
      <c r="HW5" t="str">
        <f>_xll.BDS("PARA US Equity","SUPPLY_CHAIN_SUPPLIERS","RELATIONSHIP_AS_OF_DATE","20080515","cols=1;rows=5")</f>
        <v>GTN US Equity</v>
      </c>
      <c r="IB5" t="str">
        <f>_xll.BDS("PARA US Equity","SUPPLY_CHAIN_CUSTOMERS","RELATIONSHIP_AS_OF_DATE","20080515","cols=1;rows=5")</f>
        <v>002293 CH Equity</v>
      </c>
      <c r="IG5" t="str">
        <f>_xll.BDS("FIS US Equity","SUPPLY_CHAIN_SUPPLIERS","RELATIONSHIP_AS_OF_DATE","20070627","cols=1;rows=5")</f>
        <v>HPE US Equity</v>
      </c>
      <c r="IL5" t="str">
        <f>_xll.BDS("FIS US Equity","SUPPLY_CHAIN_CUSTOMERS","RELATIONSHIP_AS_OF_DATE","20070627","cols=1;rows=5")</f>
        <v>IBM US Equity</v>
      </c>
      <c r="IQ5" t="str">
        <f>_xll.BDS("CEMJQ US Equity","SUPPLY_CHAIN_SUPPLIERS","RELATIONSHIP_AS_OF_DATE","20050309")</f>
        <v>#N/A N/A</v>
      </c>
      <c r="IV5" t="str">
        <f>_xll.BDS("CEMJQ US Equity","SUPPLY_CHAIN_CUSTOMERS","RELATIONSHIP_AS_OF_DATE","20050309")</f>
        <v>#N/A N/A</v>
      </c>
      <c r="JA5" t="str">
        <f>_xll.BDS("CMLS US Equity","SUPPLY_CHAIN_SUPPLIERS","RELATIONSHIP_AS_OF_DATE","20101217","cols=1;rows=5")</f>
        <v>0322986Z US Equity</v>
      </c>
      <c r="JF5" t="str">
        <f>_xll.BDS("CMLS US Equity","SUPPLY_CHAIN_CUSTOMERS","RELATIONSHIP_AS_OF_DATE","20101217")</f>
        <v>0571898D US Equity</v>
      </c>
      <c r="JK5" t="str">
        <f>_xll.BDS("NCF US Equity","SUPPLY_CHAIN_SUPPLIERS","RELATIONSHIP_AS_OF_DATE","20000320")</f>
        <v>#N/A N/A</v>
      </c>
      <c r="JP5" t="str">
        <f>_xll.BDS("NCF US Equity","SUPPLY_CHAIN_CUSTOMERS","RELATIONSHIP_AS_OF_DATE","20000320")</f>
        <v>#N/A N/A</v>
      </c>
      <c r="JU5" t="str">
        <f>_xll.BDS("ZTS US Equity","SUPPLY_CHAIN_SUPPLIERS","RELATIONSHIP_AS_OF_DATE","20180516","cols=1;rows=5")</f>
        <v>PFE US Equity</v>
      </c>
      <c r="JZ5" t="str">
        <f>_xll.BDS("ZTS US Equity","SUPPLY_CHAIN_CUSTOMERS","RELATIONSHIP_AS_OF_DATE","20180516","cols=1;rows=5")</f>
        <v>COR US Equity</v>
      </c>
      <c r="KE5" t="str">
        <f>_xll.BDS("DRE US Equity","SUPPLY_CHAIN_SUPPLIERS","RELATIONSHIP_AS_OF_DATE","19990301")</f>
        <v>#N/A N/A</v>
      </c>
      <c r="KJ5" t="str">
        <f>_xll.BDS("DRE US Equity","SUPPLY_CHAIN_CUSTOMERS","RELATIONSHIP_AS_OF_DATE","19990301")</f>
        <v>FDX US Equity</v>
      </c>
      <c r="KO5" t="str">
        <f>_xll.BDS("nan Equity","SUPPLY_CHAIN_SUPPLIERS","RELATIONSHIP_AS_OF_DATE","20050915")</f>
        <v>#N/A N/A</v>
      </c>
      <c r="KT5" t="str">
        <f>_xll.BDS("nan Equity","SUPPLY_CHAIN_CUSTOMERS","RELATIONSHIP_AS_OF_DATE","20050915")</f>
        <v>#N/A N/A</v>
      </c>
      <c r="KY5" t="str">
        <f>_xll.BDS("1910 HK Equity","SUPPLY_CHAIN_SUPPLIERS","RELATIONSHIP_AS_OF_DATE","20160303","cols=1;rows=5")</f>
        <v>LYB US Equity</v>
      </c>
      <c r="LD5" t="str">
        <f>_xll.BDS("1910 HK Equity","SUPPLY_CHAIN_CUSTOMERS","RELATIONSHIP_AS_OF_DATE","20160303","cols=1;rows=5")</f>
        <v>LIVEPOL1 MM Equity</v>
      </c>
      <c r="LI5" t="str">
        <f>_xll.BDS("PHM US Equity","SUPPLY_CHAIN_SUPPLIERS","RELATIONSHIP_AS_OF_DATE","20010501","cols=1;rows=5")</f>
        <v>STRL US Equity</v>
      </c>
      <c r="LN5" t="str">
        <f>_xll.BDS("PHM US Equity","SUPPLY_CHAIN_CUSTOMERS","RELATIONSHIP_AS_OF_DATE","20010501")</f>
        <v>#N/A N/A</v>
      </c>
      <c r="LS5" t="str">
        <f>_xll.BDS("BRK/A US Equity","SUPPLY_CHAIN_SUPPLIERS","RELATIONSHIP_AS_OF_DATE","20030401","cols=1;rows=5")</f>
        <v>HSY US Equity</v>
      </c>
      <c r="LX5" t="str">
        <f>_xll.BDS("BRK/A US Equity","SUPPLY_CHAIN_CUSTOMERS","RELATIONSHIP_AS_OF_DATE","20030401","cols=1;rows=5")</f>
        <v>WMT US Equity</v>
      </c>
      <c r="MC5" t="str">
        <f>_xll.BDS("MTX US Equity","SUPPLY_CHAIN_SUPPLIERS","RELATIONSHIP_AS_OF_DATE","20140214","cols=1;rows=5")</f>
        <v>200488 CH Equity</v>
      </c>
      <c r="MH5" t="str">
        <f>_xll.BDS("MTX US Equity","SUPPLY_CHAIN_CUSTOMERS","RELATIONSHIP_AS_OF_DATE","20140214","cols=1;rows=5")</f>
        <v>IP US Equity</v>
      </c>
      <c r="MM5" t="str">
        <f>_xll.BDS("FCH US Equity","SUPPLY_CHAIN_SUPPLIERS","RELATIONSHIP_AS_OF_DATE","19980324")</f>
        <v>#N/A N/A</v>
      </c>
      <c r="MR5" t="str">
        <f>_xll.BDS("FCH US Equity","SUPPLY_CHAIN_CUSTOMERS","RELATIONSHIP_AS_OF_DATE","19980324")</f>
        <v>#N/A N/A</v>
      </c>
      <c r="MW5" t="str">
        <f>_xll.BDS("NDAQ US Equity","SUPPLY_CHAIN_SUPPLIERS","RELATIONSHIP_AS_OF_DATE","20050422","cols=1;rows=5")</f>
        <v>ADBE US Equity</v>
      </c>
      <c r="NB5" t="str">
        <f>_xll.BDS("NDAQ US Equity","SUPPLY_CHAIN_CUSTOMERS","RELATIONSHIP_AS_OF_DATE","20050422","cols=1;rows=3")</f>
        <v>1046Z AR Equity</v>
      </c>
      <c r="NG5" t="str">
        <f>_xll.BDS("CUBE US Equity","SUPPLY_CHAIN_SUPPLIERS","RELATIONSHIP_AS_OF_DATE","20211115","cols=1;rows=2")</f>
        <v>JBI US Equity</v>
      </c>
      <c r="NL5" t="str">
        <f>_xll.BDS("CUBE US Equity","SUPPLY_CHAIN_CUSTOMERS","RELATIONSHIP_AS_OF_DATE","20211115")</f>
        <v>#N/A N/A</v>
      </c>
      <c r="NQ5" t="str">
        <f>_xll.BDS("MLKN US Equity","SUPPLY_CHAIN_SUPPLIERS","RELATIONSHIP_AS_OF_DATE","20210419","cols=1;rows=5")</f>
        <v>LEG US Equity</v>
      </c>
      <c r="NV5" t="str">
        <f>_xll.BDS("MLKN US Equity","SUPPLY_CHAIN_CUSTOMERS","RELATIONSHIP_AS_OF_DATE","20210419","cols=1;rows=2")</f>
        <v>3352Z US Equity</v>
      </c>
      <c r="OA5" t="str">
        <f>_xll.BDS("OCR US Equity","SUPPLY_CHAIN_SUPPLIERS","RELATIONSHIP_AS_OF_DATE","20040524")</f>
        <v>#N/A N/A</v>
      </c>
      <c r="OF5" t="str">
        <f>_xll.BDS("OCR US Equity","SUPPLY_CHAIN_CUSTOMERS","RELATIONSHIP_AS_OF_DATE","20040524","cols=1;rows=2")</f>
        <v>3176 TT Equity</v>
      </c>
    </row>
    <row r="6" spans="1:396" x14ac:dyDescent="0.25">
      <c r="U6" t="s">
        <v>11287</v>
      </c>
      <c r="Z6" t="s">
        <v>12560</v>
      </c>
      <c r="AE6" t="s">
        <v>13017</v>
      </c>
      <c r="AJ6" t="s">
        <v>10962</v>
      </c>
      <c r="AO6" t="s">
        <v>12986</v>
      </c>
      <c r="AT6" t="s">
        <v>12460</v>
      </c>
      <c r="AY6" t="s">
        <v>12983</v>
      </c>
      <c r="CC6" t="s">
        <v>12042</v>
      </c>
      <c r="CH6" t="s">
        <v>10892</v>
      </c>
      <c r="CM6" t="s">
        <v>2111</v>
      </c>
      <c r="CR6" t="s">
        <v>10805</v>
      </c>
      <c r="CW6" t="s">
        <v>13105</v>
      </c>
      <c r="DB6" t="s">
        <v>12570</v>
      </c>
      <c r="DQ6" t="s">
        <v>10772</v>
      </c>
      <c r="EA6" t="s">
        <v>171</v>
      </c>
      <c r="EF6" t="s">
        <v>1468</v>
      </c>
      <c r="EK6" t="s">
        <v>162</v>
      </c>
      <c r="EP6" t="s">
        <v>469</v>
      </c>
      <c r="GI6" t="s">
        <v>12267</v>
      </c>
      <c r="GN6" t="s">
        <v>368</v>
      </c>
      <c r="HC6" t="s">
        <v>10892</v>
      </c>
      <c r="HH6" t="s">
        <v>6473</v>
      </c>
      <c r="HW6" t="s">
        <v>11838</v>
      </c>
      <c r="IB6" t="s">
        <v>11076</v>
      </c>
      <c r="IG6" t="s">
        <v>11099</v>
      </c>
      <c r="IL6" t="s">
        <v>12480</v>
      </c>
      <c r="JA6" t="s">
        <v>11917</v>
      </c>
      <c r="JU6" t="s">
        <v>10751</v>
      </c>
      <c r="JZ6" t="s">
        <v>12468</v>
      </c>
      <c r="KY6" t="s">
        <v>10994</v>
      </c>
      <c r="LD6" t="s">
        <v>12348</v>
      </c>
      <c r="LI6" t="s">
        <v>11357</v>
      </c>
      <c r="LS6" t="s">
        <v>2792</v>
      </c>
      <c r="LX6" t="s">
        <v>10677</v>
      </c>
      <c r="MC6" t="s">
        <v>12999</v>
      </c>
      <c r="MH6" t="s">
        <v>12556</v>
      </c>
      <c r="MW6" t="s">
        <v>12916</v>
      </c>
      <c r="NB6" t="s">
        <v>12470</v>
      </c>
      <c r="NG6" t="s">
        <v>12881</v>
      </c>
      <c r="NQ6" t="s">
        <v>12400</v>
      </c>
      <c r="NV6" t="s">
        <v>13178</v>
      </c>
      <c r="OF6" t="s">
        <v>11784</v>
      </c>
    </row>
    <row r="7" spans="1:396" x14ac:dyDescent="0.25">
      <c r="U7" t="s">
        <v>11691</v>
      </c>
      <c r="Z7" t="s">
        <v>12561</v>
      </c>
      <c r="AE7" t="s">
        <v>2322</v>
      </c>
      <c r="AJ7" t="s">
        <v>7215</v>
      </c>
      <c r="AO7" t="s">
        <v>12987</v>
      </c>
      <c r="AT7" t="s">
        <v>12461</v>
      </c>
      <c r="AY7" t="s">
        <v>12984</v>
      </c>
      <c r="CC7" t="s">
        <v>12620</v>
      </c>
      <c r="CH7" t="s">
        <v>12247</v>
      </c>
      <c r="CM7" t="s">
        <v>10696</v>
      </c>
      <c r="CR7" t="s">
        <v>10775</v>
      </c>
      <c r="CW7" t="s">
        <v>11117</v>
      </c>
      <c r="DB7" t="s">
        <v>12571</v>
      </c>
      <c r="DQ7" t="s">
        <v>13058</v>
      </c>
      <c r="EA7" t="s">
        <v>10816</v>
      </c>
      <c r="EF7" t="s">
        <v>970</v>
      </c>
      <c r="EK7" t="s">
        <v>279</v>
      </c>
      <c r="EP7" t="s">
        <v>2881</v>
      </c>
      <c r="HC7" t="s">
        <v>670</v>
      </c>
      <c r="HH7" t="s">
        <v>10660</v>
      </c>
      <c r="HW7" t="s">
        <v>7300</v>
      </c>
      <c r="IB7" t="s">
        <v>11077</v>
      </c>
      <c r="IG7" t="s">
        <v>11286</v>
      </c>
      <c r="IL7" t="s">
        <v>11294</v>
      </c>
      <c r="JA7" t="s">
        <v>11918</v>
      </c>
      <c r="JU7" t="s">
        <v>11135</v>
      </c>
      <c r="JZ7" t="s">
        <v>12469</v>
      </c>
      <c r="KY7" t="s">
        <v>12735</v>
      </c>
      <c r="LD7" t="s">
        <v>10660</v>
      </c>
      <c r="LI7" t="s">
        <v>12381</v>
      </c>
      <c r="LS7" t="s">
        <v>10737</v>
      </c>
      <c r="LX7" t="s">
        <v>4642</v>
      </c>
      <c r="MC7" t="s">
        <v>10851</v>
      </c>
      <c r="MH7" t="s">
        <v>12557</v>
      </c>
      <c r="MW7" t="s">
        <v>162</v>
      </c>
      <c r="NB7" t="s">
        <v>5749</v>
      </c>
      <c r="NQ7" t="s">
        <v>13201</v>
      </c>
    </row>
    <row r="8" spans="1:396" x14ac:dyDescent="0.25">
      <c r="U8" t="s">
        <v>13030</v>
      </c>
      <c r="Z8" t="s">
        <v>11672</v>
      </c>
      <c r="AE8" t="s">
        <v>13018</v>
      </c>
      <c r="AJ8" t="s">
        <v>10939</v>
      </c>
      <c r="AO8" t="s">
        <v>11063</v>
      </c>
      <c r="AT8" t="s">
        <v>12462</v>
      </c>
      <c r="AY8" t="s">
        <v>12985</v>
      </c>
      <c r="CC8" t="s">
        <v>12621</v>
      </c>
      <c r="CH8" t="s">
        <v>12248</v>
      </c>
      <c r="CM8" t="s">
        <v>1265</v>
      </c>
      <c r="CR8" t="s">
        <v>10992</v>
      </c>
      <c r="CW8" t="s">
        <v>13106</v>
      </c>
      <c r="DB8" t="s">
        <v>12568</v>
      </c>
      <c r="EA8" t="s">
        <v>43</v>
      </c>
      <c r="EF8" t="s">
        <v>43</v>
      </c>
      <c r="EK8" t="s">
        <v>10818</v>
      </c>
      <c r="EP8" t="s">
        <v>52</v>
      </c>
      <c r="HC8" t="s">
        <v>2705</v>
      </c>
      <c r="HH8" t="s">
        <v>4219</v>
      </c>
      <c r="HW8" t="s">
        <v>11839</v>
      </c>
      <c r="IB8" t="s">
        <v>11078</v>
      </c>
      <c r="IG8" t="s">
        <v>12769</v>
      </c>
      <c r="IL8" t="s">
        <v>2881</v>
      </c>
      <c r="JA8" t="s">
        <v>11919</v>
      </c>
      <c r="JU8" t="s">
        <v>10696</v>
      </c>
      <c r="JZ8" t="s">
        <v>10676</v>
      </c>
      <c r="KY8" t="s">
        <v>11714</v>
      </c>
      <c r="LD8" t="s">
        <v>10787</v>
      </c>
      <c r="LI8" t="s">
        <v>1850</v>
      </c>
      <c r="LS8" t="s">
        <v>4475</v>
      </c>
      <c r="LX8" t="s">
        <v>1363</v>
      </c>
      <c r="MC8" t="s">
        <v>11290</v>
      </c>
      <c r="MH8" t="s">
        <v>12558</v>
      </c>
      <c r="MW8" t="s">
        <v>12917</v>
      </c>
      <c r="NQ8" t="s">
        <v>13202</v>
      </c>
    </row>
    <row r="9" spans="1:396" x14ac:dyDescent="0.25">
      <c r="U9" t="s">
        <v>13031</v>
      </c>
      <c r="Z9" t="s">
        <v>4388</v>
      </c>
      <c r="AE9" t="s">
        <v>11760</v>
      </c>
      <c r="AJ9" t="s">
        <v>12821</v>
      </c>
      <c r="AO9" t="s">
        <v>12988</v>
      </c>
      <c r="AT9" t="s">
        <v>5236</v>
      </c>
      <c r="CC9" t="s">
        <v>12622</v>
      </c>
      <c r="CH9" t="s">
        <v>12249</v>
      </c>
      <c r="CM9" t="s">
        <v>12788</v>
      </c>
      <c r="CR9" t="s">
        <v>469</v>
      </c>
      <c r="CW9" t="s">
        <v>10732</v>
      </c>
      <c r="DB9" t="s">
        <v>1471</v>
      </c>
      <c r="EA9" t="s">
        <v>10817</v>
      </c>
      <c r="EF9" t="s">
        <v>10657</v>
      </c>
      <c r="EK9" t="s">
        <v>384</v>
      </c>
      <c r="EP9" t="s">
        <v>472</v>
      </c>
      <c r="HC9" t="s">
        <v>10738</v>
      </c>
      <c r="HH9" t="s">
        <v>10680</v>
      </c>
      <c r="HW9" t="s">
        <v>11840</v>
      </c>
      <c r="IB9" t="s">
        <v>11079</v>
      </c>
      <c r="IG9" t="s">
        <v>12982</v>
      </c>
      <c r="IL9" t="s">
        <v>11131</v>
      </c>
      <c r="JA9" t="s">
        <v>11920</v>
      </c>
      <c r="JU9" t="s">
        <v>158</v>
      </c>
      <c r="JZ9" t="s">
        <v>10805</v>
      </c>
      <c r="KY9" t="s">
        <v>12605</v>
      </c>
      <c r="LD9" t="s">
        <v>13071</v>
      </c>
      <c r="LI9" t="s">
        <v>13056</v>
      </c>
      <c r="LS9" t="s">
        <v>10738</v>
      </c>
      <c r="LX9" t="s">
        <v>42</v>
      </c>
      <c r="MC9" t="s">
        <v>2111</v>
      </c>
      <c r="MH9" t="s">
        <v>2310</v>
      </c>
      <c r="MW9" t="s">
        <v>1558</v>
      </c>
      <c r="NQ9" t="s">
        <v>13203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2553</v>
      </c>
      <c r="K1" s="1" t="s">
        <v>2554</v>
      </c>
      <c r="U1" s="1" t="s">
        <v>2555</v>
      </c>
      <c r="AE1" s="1" t="s">
        <v>2556</v>
      </c>
      <c r="AO1" s="1" t="s">
        <v>2557</v>
      </c>
      <c r="AY1" s="1" t="s">
        <v>2558</v>
      </c>
      <c r="BI1" s="1" t="s">
        <v>2559</v>
      </c>
      <c r="BS1" s="1" t="s">
        <v>2560</v>
      </c>
      <c r="CC1" s="1" t="s">
        <v>2561</v>
      </c>
      <c r="CM1" s="1" t="s">
        <v>2562</v>
      </c>
      <c r="CW1" s="1" t="s">
        <v>2563</v>
      </c>
      <c r="DG1" s="1" t="s">
        <v>2564</v>
      </c>
      <c r="DQ1" s="1" t="s">
        <v>2565</v>
      </c>
      <c r="EA1" s="1" t="s">
        <v>2566</v>
      </c>
      <c r="EK1" s="1" t="s">
        <v>2567</v>
      </c>
      <c r="EU1" s="1" t="s">
        <v>2568</v>
      </c>
      <c r="FE1" s="1" t="s">
        <v>2569</v>
      </c>
      <c r="FO1" s="1" t="s">
        <v>2570</v>
      </c>
      <c r="FY1" s="1" t="s">
        <v>2571</v>
      </c>
      <c r="GI1" s="1" t="s">
        <v>2572</v>
      </c>
      <c r="GS1" s="1" t="s">
        <v>2573</v>
      </c>
      <c r="HC1" s="1" t="s">
        <v>2574</v>
      </c>
      <c r="HM1" s="1" t="s">
        <v>2575</v>
      </c>
      <c r="HW1" s="1" t="s">
        <v>2576</v>
      </c>
      <c r="IG1" s="1" t="s">
        <v>2577</v>
      </c>
      <c r="IQ1" s="1" t="s">
        <v>2578</v>
      </c>
      <c r="JA1" s="1" t="s">
        <v>2579</v>
      </c>
      <c r="JK1" s="1" t="s">
        <v>2580</v>
      </c>
      <c r="JU1" s="1" t="s">
        <v>2581</v>
      </c>
      <c r="KE1" s="1" t="s">
        <v>2582</v>
      </c>
      <c r="KO1" s="1" t="s">
        <v>2583</v>
      </c>
      <c r="KY1" s="1" t="s">
        <v>2584</v>
      </c>
      <c r="LI1" s="1" t="s">
        <v>2585</v>
      </c>
      <c r="LS1" s="1" t="s">
        <v>2586</v>
      </c>
      <c r="MC1" s="1" t="s">
        <v>2587</v>
      </c>
      <c r="MM1" s="1" t="s">
        <v>2588</v>
      </c>
      <c r="MW1" s="1" t="s">
        <v>2589</v>
      </c>
      <c r="NG1" s="1" t="s">
        <v>2590</v>
      </c>
      <c r="NQ1" s="1" t="s">
        <v>2591</v>
      </c>
      <c r="OA1" s="1" t="s">
        <v>2592</v>
      </c>
    </row>
    <row r="2" spans="1:396" x14ac:dyDescent="0.25">
      <c r="A2" s="2" t="s">
        <v>2593</v>
      </c>
      <c r="K2" s="2" t="s">
        <v>2594</v>
      </c>
      <c r="U2" s="2" t="s">
        <v>385</v>
      </c>
      <c r="AE2" s="2" t="s">
        <v>2595</v>
      </c>
      <c r="AO2" s="2" t="s">
        <v>1267</v>
      </c>
      <c r="AY2" s="2" t="s">
        <v>2596</v>
      </c>
      <c r="BI2" s="2" t="s">
        <v>2597</v>
      </c>
      <c r="BS2" s="2" t="s">
        <v>1646</v>
      </c>
      <c r="CC2" s="2" t="s">
        <v>165</v>
      </c>
      <c r="CM2" s="2" t="s">
        <v>2028</v>
      </c>
      <c r="CW2" s="2" t="s">
        <v>2598</v>
      </c>
      <c r="DG2" s="2" t="s">
        <v>2599</v>
      </c>
      <c r="DQ2" s="2" t="s">
        <v>1931</v>
      </c>
      <c r="EA2" s="2" t="s">
        <v>59</v>
      </c>
      <c r="EK2" s="2" t="s">
        <v>2600</v>
      </c>
      <c r="EU2" s="2" t="s">
        <v>2601</v>
      </c>
      <c r="FE2" s="2" t="s">
        <v>64</v>
      </c>
      <c r="FO2" s="2" t="s">
        <v>2602</v>
      </c>
      <c r="FY2" s="2" t="s">
        <v>2603</v>
      </c>
      <c r="GI2" s="2" t="s">
        <v>1635</v>
      </c>
      <c r="GS2" s="2" t="s">
        <v>2604</v>
      </c>
      <c r="HC2" s="2" t="s">
        <v>2605</v>
      </c>
      <c r="HM2" s="2" t="s">
        <v>2606</v>
      </c>
      <c r="HW2" s="2" t="s">
        <v>2607</v>
      </c>
      <c r="IG2" s="2" t="s">
        <v>685</v>
      </c>
      <c r="IQ2" s="2" t="s">
        <v>2608</v>
      </c>
      <c r="JA2" s="2" t="s">
        <v>878</v>
      </c>
      <c r="JK2" s="2" t="s">
        <v>2609</v>
      </c>
      <c r="JU2" s="2" t="s">
        <v>1360</v>
      </c>
      <c r="KE2" s="2" t="s">
        <v>688</v>
      </c>
      <c r="KO2" s="2" t="s">
        <v>2610</v>
      </c>
      <c r="KY2" s="2" t="s">
        <v>476</v>
      </c>
      <c r="LI2" s="2" t="s">
        <v>2030</v>
      </c>
      <c r="LS2" s="2" t="s">
        <v>1634</v>
      </c>
      <c r="MC2" s="2" t="s">
        <v>2611</v>
      </c>
      <c r="MM2" s="2" t="s">
        <v>165</v>
      </c>
      <c r="MW2" s="2" t="s">
        <v>969</v>
      </c>
      <c r="NG2" s="2" t="s">
        <v>383</v>
      </c>
      <c r="NQ2" s="2" t="s">
        <v>161</v>
      </c>
      <c r="OA2" s="2" t="s">
        <v>1258</v>
      </c>
    </row>
    <row r="3" spans="1:396" x14ac:dyDescent="0.25">
      <c r="A3" t="s">
        <v>2612</v>
      </c>
      <c r="K3" t="s">
        <v>800</v>
      </c>
      <c r="U3" t="s">
        <v>1583</v>
      </c>
      <c r="AE3" t="s">
        <v>2613</v>
      </c>
      <c r="AO3" t="s">
        <v>2052</v>
      </c>
      <c r="AY3" t="s">
        <v>827</v>
      </c>
      <c r="BI3" t="s">
        <v>2614</v>
      </c>
      <c r="BS3" t="s">
        <v>211</v>
      </c>
      <c r="CC3" t="s">
        <v>2615</v>
      </c>
      <c r="CM3" t="s">
        <v>2616</v>
      </c>
      <c r="CW3" t="s">
        <v>1669</v>
      </c>
      <c r="DG3" t="s">
        <v>2617</v>
      </c>
      <c r="DQ3" t="s">
        <v>2618</v>
      </c>
      <c r="EA3" t="s">
        <v>2619</v>
      </c>
      <c r="EK3" t="s">
        <v>2620</v>
      </c>
      <c r="EU3" t="s">
        <v>2621</v>
      </c>
      <c r="FE3" t="s">
        <v>101</v>
      </c>
      <c r="FO3" t="s">
        <v>2622</v>
      </c>
      <c r="FY3" t="s">
        <v>1771</v>
      </c>
      <c r="GI3" t="s">
        <v>2623</v>
      </c>
      <c r="GS3" t="s">
        <v>2624</v>
      </c>
      <c r="HC3" t="s">
        <v>2625</v>
      </c>
      <c r="HM3" t="s">
        <v>1761</v>
      </c>
      <c r="HW3" t="s">
        <v>2626</v>
      </c>
      <c r="IG3" t="s">
        <v>2627</v>
      </c>
      <c r="IQ3" t="s">
        <v>2628</v>
      </c>
      <c r="JA3" t="s">
        <v>2629</v>
      </c>
      <c r="JK3" t="s">
        <v>2630</v>
      </c>
      <c r="JU3" t="s">
        <v>2631</v>
      </c>
      <c r="KE3" t="s">
        <v>2632</v>
      </c>
      <c r="KO3" t="s">
        <v>2633</v>
      </c>
      <c r="KY3" t="s">
        <v>1192</v>
      </c>
      <c r="LI3" t="s">
        <v>2634</v>
      </c>
      <c r="LS3" t="s">
        <v>1492</v>
      </c>
      <c r="MC3" t="s">
        <v>2635</v>
      </c>
      <c r="MM3" t="s">
        <v>2636</v>
      </c>
      <c r="MW3" t="s">
        <v>2637</v>
      </c>
      <c r="NG3" t="s">
        <v>2638</v>
      </c>
      <c r="NQ3" t="s">
        <v>2639</v>
      </c>
      <c r="OA3" t="s">
        <v>2640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_xll.BDS("KCI US Equity","SUPPLY_CHAIN_SUPPLIERS","RELATIONSHIP_AS_OF_DATE","20080407")</f>
        <v>#N/A N/A</v>
      </c>
      <c r="F5" t="str">
        <f>_xll.BDS("KCI US Equity","SUPPLY_CHAIN_CUSTOMERS","RELATIONSHIP_AS_OF_DATE","20080407")</f>
        <v>#N/A N/A</v>
      </c>
      <c r="K5" t="str">
        <f>_xll.BDS("ARLP US Equity","SUPPLY_CHAIN_SUPPLIERS","RELATIONSHIP_AS_OF_DATE","20180223","cols=1;rows=5")</f>
        <v>CSX US Equity</v>
      </c>
      <c r="P5" t="str">
        <f>_xll.BDS("ARLP US Equity","SUPPLY_CHAIN_CUSTOMERS","RELATIONSHIP_AS_OF_DATE","20180223","cols=1;rows=5")</f>
        <v>256775Z US Equity</v>
      </c>
      <c r="U5" t="str">
        <f>_xll.BDS("MCK US Equity","SUPPLY_CHAIN_SUPPLIERS","RELATIONSHIP_AS_OF_DATE","20061106","cols=1;rows=5")</f>
        <v>ABBV US Equity</v>
      </c>
      <c r="Z5" t="str">
        <f>_xll.BDS("MCK US Equity","SUPPLY_CHAIN_CUSTOMERS","RELATIONSHIP_AS_OF_DATE","20061106","cols=1;rows=5")</f>
        <v>CVS US Equity</v>
      </c>
      <c r="AE5" t="str">
        <f>_xll.BDS("TALO US Equity","SUPPLY_CHAIN_SUPPLIERS","RELATIONSHIP_AS_OF_DATE","20080430","cols=1;rows=5")</f>
        <v>HLX US Equity</v>
      </c>
      <c r="AJ5" t="str">
        <f>_xll.BDS("TALO US Equity","SUPPLY_CHAIN_CUSTOMERS","RELATIONSHIP_AS_OF_DATE","20080430","cols=1;rows=5")</f>
        <v>SHEL LN Equity</v>
      </c>
      <c r="AO5" t="str">
        <f>_xll.BDS("AMAT US Equity","SUPPLY_CHAIN_SUPPLIERS","RELATIONSHIP_AS_OF_DATE","20000113","cols=1;rows=5")</f>
        <v>UCTT US Equity</v>
      </c>
      <c r="AT5" t="str">
        <f>_xll.BDS("AMAT US Equity","SUPPLY_CHAIN_CUSTOMERS","RELATIONSHIP_AS_OF_DATE","20000113","cols=1;rows=5")</f>
        <v>2330 TT Equity</v>
      </c>
      <c r="AY5" t="str">
        <f>_xll.BDS("ZION US Equity","SUPPLY_CHAIN_SUPPLIERS","RELATIONSHIP_AS_OF_DATE","20050706","cols=1;rows=2")</f>
        <v>MUST SP Equity</v>
      </c>
      <c r="BD5" t="str">
        <f>_xll.BDS("ZION US Equity","SUPPLY_CHAIN_CUSTOMERS","RELATIONSHIP_AS_OF_DATE","20050706")</f>
        <v>#N/A N/A</v>
      </c>
      <c r="BI5" t="str">
        <f>_xll.BDS("PDE US Equity","SUPPLY_CHAIN_SUPPLIERS","RELATIONSHIP_AS_OF_DATE","20010524")</f>
        <v>#N/A N/A</v>
      </c>
      <c r="BN5" t="str">
        <f>_xll.BDS("PDE US Equity","SUPPLY_CHAIN_CUSTOMERS","RELATIONSHIP_AS_OF_DATE","20010524")</f>
        <v>#N/A N/A</v>
      </c>
      <c r="BS5" t="str">
        <f>_xll.BDS("XRX US Equity","SUPPLY_CHAIN_SUPPLIERS","RELATIONSHIP_AS_OF_DATE","20070402","cols=1;rows=5")</f>
        <v>4901 JP Equity</v>
      </c>
      <c r="BX5" t="str">
        <f>_xll.BDS("XRX US Equity","SUPPLY_CHAIN_CUSTOMERS","RELATIONSHIP_AS_OF_DATE","20070402","cols=1;rows=5")</f>
        <v>SNX US Equity</v>
      </c>
      <c r="CC5" t="str">
        <f>_xll.BDS("IBM US Equity","SUPPLY_CHAIN_SUPPLIERS","RELATIONSHIP_AS_OF_DATE","20100920","cols=1;rows=5")</f>
        <v>005930 KS Equity</v>
      </c>
      <c r="CH5" t="str">
        <f>_xll.BDS("IBM US Equity","SUPPLY_CHAIN_CUSTOMERS","RELATIONSHIP_AS_OF_DATE","20100920","cols=1;rows=5")</f>
        <v>AMZN US Equity</v>
      </c>
      <c r="CM5" t="str">
        <f>_xll.BDS("BKNG US Equity","SUPPLY_CHAIN_SUPPLIERS","RELATIONSHIP_AS_OF_DATE","20121108","cols=1;rows=5")</f>
        <v>TRIP US Equity</v>
      </c>
      <c r="CR5" t="str">
        <f>_xll.BDS("BKNG US Equity","SUPPLY_CHAIN_CUSTOMERS","RELATIONSHIP_AS_OF_DATE","20121108","cols=1;rows=5")</f>
        <v>259206Z SL Equity</v>
      </c>
      <c r="CW5" t="str">
        <f>_xll.BDS("MFW US Equity","SUPPLY_CHAIN_SUPPLIERS","RELATIONSHIP_AS_OF_DATE","20061220")</f>
        <v>SNOW US Equity</v>
      </c>
      <c r="DB5" t="str">
        <f>_xll.BDS("MFW US Equity","SUPPLY_CHAIN_CUSTOMERS","RELATIONSHIP_AS_OF_DATE","20061220")</f>
        <v>#N/A N/A</v>
      </c>
      <c r="DG5" t="str">
        <f>_xll.BDS("APH US Equity","SUPPLY_CHAIN_SUPPLIERS","RELATIONSHIP_AS_OF_DATE","20201209","cols=1;rows=5")</f>
        <v>MRVL US Equity</v>
      </c>
      <c r="DL5" t="str">
        <f>_xll.BDS("APH US Equity","SUPPLY_CHAIN_CUSTOMERS","RELATIONSHIP_AS_OF_DATE","20201209","cols=1;rows=5")</f>
        <v>AAPL US Equity</v>
      </c>
      <c r="DQ5" t="str">
        <f>_xll.BDS("FLG US Equity","SUPPLY_CHAIN_SUPPLIERS","RELATIONSHIP_AS_OF_DATE","20030627","cols=1;rows=5")</f>
        <v>CXM US Equity</v>
      </c>
      <c r="DV5" t="str">
        <f>_xll.BDS("FLG US Equity","SUPPLY_CHAIN_CUSTOMERS","RELATIONSHIP_AS_OF_DATE","20030627")</f>
        <v>#N/A N/A</v>
      </c>
      <c r="EA5" t="str">
        <f>_xll.BDS("653707Q US Equity","SUPPLY_CHAIN_SUPPLIERS","RELATIONSHIP_AS_OF_DATE","19981005")</f>
        <v>#N/A N/A</v>
      </c>
      <c r="EF5" t="str">
        <f>_xll.BDS("653707Q US Equity","SUPPLY_CHAIN_CUSTOMERS","RELATIONSHIP_AS_OF_DATE","19981005")</f>
        <v>#N/A N/A</v>
      </c>
      <c r="EK5" t="str">
        <f>_xll.BDS("WP US Equity","SUPPLY_CHAIN_SUPPLIERS","RELATIONSHIP_AS_OF_DATE","20140512","cols=1;rows=2")</f>
        <v>AVPT US Equity</v>
      </c>
      <c r="EP5" t="str">
        <f>_xll.BDS("WP US Equity","SUPPLY_CHAIN_CUSTOMERS","RELATIONSHIP_AS_OF_DATE","20140512","cols=1;rows=2")</f>
        <v>ACIW US Equity</v>
      </c>
      <c r="EU5" t="str">
        <f>_xll.BDS("RNR US Equity","SUPPLY_CHAIN_SUPPLIERS","RELATIONSHIP_AS_OF_DATE","20141124")</f>
        <v>#N/A N/A</v>
      </c>
      <c r="EZ5" t="str">
        <f>_xll.BDS("RNR US Equity","SUPPLY_CHAIN_CUSTOMERS","RELATIONSHIP_AS_OF_DATE","20141124")</f>
        <v>#N/A N/A</v>
      </c>
      <c r="FE5" t="str">
        <f>_xll.BDS("nan Equity","SUPPLY_CHAIN_SUPPLIERS","RELATIONSHIP_AS_OF_DATE","20070226")</f>
        <v>#N/A N/A</v>
      </c>
      <c r="FJ5" t="str">
        <f>_xll.BDS("nan Equity","SUPPLY_CHAIN_CUSTOMERS","RELATIONSHIP_AS_OF_DATE","20070226")</f>
        <v>#N/A N/A</v>
      </c>
      <c r="FO5" t="str">
        <f>_xll.BDS("CY US Equity","SUPPLY_CHAIN_SUPPLIERS","RELATIONSHIP_AS_OF_DATE","20141201")</f>
        <v>#N/A N/A</v>
      </c>
      <c r="FT5" t="str">
        <f>_xll.BDS("CY US Equity","SUPPLY_CHAIN_CUSTOMERS","RELATIONSHIP_AS_OF_DATE","20141201")</f>
        <v>#N/A N/A</v>
      </c>
      <c r="FY5" t="str">
        <f>_xll.BDS("NFS US Equity","SUPPLY_CHAIN_SUPPLIERS","RELATIONSHIP_AS_OF_DATE","19980518")</f>
        <v>#N/A N/A</v>
      </c>
      <c r="GD5" t="str">
        <f>_xll.BDS("NFS US Equity","SUPPLY_CHAIN_CUSTOMERS","RELATIONSHIP_AS_OF_DATE","19980518")</f>
        <v>#N/A N/A</v>
      </c>
      <c r="GI5" t="str">
        <f>_xll.BDS("THC US Equity","SUPPLY_CHAIN_SUPPLIERS","RELATIONSHIP_AS_OF_DATE","20130624","cols=1;rows=5")</f>
        <v>ORCL US Equity</v>
      </c>
      <c r="GN5" t="str">
        <f>_xll.BDS("THC US Equity","SUPPLY_CHAIN_CUSTOMERS","RELATIONSHIP_AS_OF_DATE","20130624","cols=1;rows=3")</f>
        <v>0019676D US Equity</v>
      </c>
      <c r="GS5" t="str">
        <f>_xll.BDS("POST US Equity","SUPPLY_CHAIN_SUPPLIERS","RELATIONSHIP_AS_OF_DATE","20170919","cols=1;rows=5")</f>
        <v>MDLZ US Equity</v>
      </c>
      <c r="GX5" t="str">
        <f>_xll.BDS("POST US Equity","SUPPLY_CHAIN_CUSTOMERS","RELATIONSHIP_AS_OF_DATE","20170919","cols=1;rows=5")</f>
        <v>WMT US Equity</v>
      </c>
      <c r="HC5" t="str">
        <f>_xll.BDS("BPL US Equity","SUPPLY_CHAIN_SUPPLIERS","RELATIONSHIP_AS_OF_DATE","20100611")</f>
        <v>#N/A N/A</v>
      </c>
      <c r="HH5" t="str">
        <f>_xll.BDS("BPL US Equity","SUPPLY_CHAIN_CUSTOMERS","RELATIONSHIP_AS_OF_DATE","20100611")</f>
        <v>PBF US Equity</v>
      </c>
      <c r="HM5" t="str">
        <f>_xll.BDS("GLW US Equity","SUPPLY_CHAIN_SUPPLIERS","RELATIONSHIP_AS_OF_DATE","20000214","cols=1;rows=5")</f>
        <v>300570 CH Equity</v>
      </c>
      <c r="HR5" t="str">
        <f>_xll.BDS("GLW US Equity","SUPPLY_CHAIN_CUSTOMERS","RELATIONSHIP_AS_OF_DATE","20000214","cols=1;rows=5")</f>
        <v>005930 KS Equity</v>
      </c>
      <c r="HW5" t="str">
        <f>_xll.BDS("IDTI US Equity","SUPPLY_CHAIN_SUPPLIERS","RELATIONSHIP_AS_OF_DATE","20050615")</f>
        <v>#N/A N/A</v>
      </c>
      <c r="IB5" t="str">
        <f>_xll.BDS("IDTI US Equity","SUPPLY_CHAIN_CUSTOMERS","RELATIONSHIP_AS_OF_DATE","20050615")</f>
        <v>#N/A N/A</v>
      </c>
      <c r="IG5" t="str">
        <f>_xll.BDS("AMGN US Equity","SUPPLY_CHAIN_SUPPLIERS","RELATIONSHIP_AS_OF_DATE","20210304","cols=1;rows=5")</f>
        <v>AZN LN Equity</v>
      </c>
      <c r="IL5" t="str">
        <f>_xll.BDS("AMGN US Equity","SUPPLY_CHAIN_CUSTOMERS","RELATIONSHIP_AS_OF_DATE","20210304","cols=1;rows=5")</f>
        <v>MCK US Equity</v>
      </c>
      <c r="IQ5" t="str">
        <f>_xll.BDS("HLIT US Equity","SUPPLY_CHAIN_SUPPLIERS","RELATIONSHIP_AS_OF_DATE","19991027","cols=1;rows=5")</f>
        <v>KEYS US Equity</v>
      </c>
      <c r="IV5" t="str">
        <f>_xll.BDS("HLIT US Equity","SUPPLY_CHAIN_CUSTOMERS","RELATIONSHIP_AS_OF_DATE","19991027","cols=1;rows=5")</f>
        <v>CMCSA US Equity</v>
      </c>
      <c r="JA5" t="str">
        <f>_xll.BDS("4622869Z US Equity","SUPPLY_CHAIN_SUPPLIERS","RELATIONSHIP_AS_OF_DATE","20060821")</f>
        <v>#N/A N/A</v>
      </c>
      <c r="JF5" t="str">
        <f>_xll.BDS("4622869Z US Equity","SUPPLY_CHAIN_CUSTOMERS","RELATIONSHIP_AS_OF_DATE","20060821")</f>
        <v>#N/A N/A</v>
      </c>
      <c r="JK5" t="str">
        <f>_xll.BDS("SPHR US Equity","SUPPLY_CHAIN_SUPPLIERS","RELATIONSHIP_AS_OF_DATE","20210326","cols=1;rows=5")</f>
        <v>MSGS US Equity</v>
      </c>
      <c r="JP5" t="str">
        <f>_xll.BDS("SPHR US Equity","SUPPLY_CHAIN_CUSTOMERS","RELATIONSHIP_AS_OF_DATE","20210326","cols=1;rows=5")</f>
        <v>0743746D US Equity</v>
      </c>
      <c r="JU5" t="str">
        <f>_xll.BDS("EXPE US Equity","SUPPLY_CHAIN_SUPPLIERS","RELATIONSHIP_AS_OF_DATE","20150212","cols=1;rows=5")</f>
        <v>TRIP US Equity</v>
      </c>
      <c r="JZ5" t="str">
        <f>_xll.BDS("EXPE US Equity","SUPPLY_CHAIN_CUSTOMERS","RELATIONSHIP_AS_OF_DATE","20150212","cols=1;rows=5")</f>
        <v>2731 TT Equity</v>
      </c>
      <c r="KE5" t="str">
        <f>_xll.BDS("ANRZQ US Equity","SUPPLY_CHAIN_SUPPLIERS","RELATIONSHIP_AS_OF_DATE","20090512")</f>
        <v>#N/A N/A</v>
      </c>
      <c r="KJ5" t="str">
        <f>_xll.BDS("ANRZQ US Equity","SUPPLY_CHAIN_CUSTOMERS","RELATIONSHIP_AS_OF_DATE","20090512")</f>
        <v>#N/A N/A</v>
      </c>
      <c r="KO5" t="str">
        <f>_xll.BDS("MTOR US Equity","SUPPLY_CHAIN_SUPPLIERS","RELATIONSHIP_AS_OF_DATE","20000406","cols=1;rows=5")</f>
        <v>000425 CH Equity</v>
      </c>
      <c r="KT5" t="str">
        <f>_xll.BDS("MTOR US Equity","SUPPLY_CHAIN_CUSTOMERS","RELATIONSHIP_AS_OF_DATE","20000406","cols=1;rows=5")</f>
        <v>1912397D BB Equity</v>
      </c>
      <c r="KY5" t="str">
        <f>_xll.BDS("ETN US Equity","SUPPLY_CHAIN_SUPPLIERS","RELATIONSHIP_AS_OF_DATE","19990201","cols=1;rows=5")</f>
        <v>300750 CH Equity</v>
      </c>
      <c r="LD5" t="str">
        <f>_xll.BDS("ETN US Equity","SUPPLY_CHAIN_CUSTOMERS","RELATIONSHIP_AS_OF_DATE","19990201","cols=1;rows=5")</f>
        <v>WCC US Equity</v>
      </c>
      <c r="LI5" t="str">
        <f>_xll.BDS("0574018D US Equity","SUPPLY_CHAIN_SUPPLIERS","RELATIONSHIP_AS_OF_DATE","19980402")</f>
        <v>#N/A N/A</v>
      </c>
      <c r="LN5" t="str">
        <f>_xll.BDS("0574018D US Equity","SUPPLY_CHAIN_CUSTOMERS","RELATIONSHIP_AS_OF_DATE","19980402")</f>
        <v>#N/A N/A</v>
      </c>
      <c r="LS5" t="str">
        <f>_xll.BDS("1837572D US Equity","SUPPLY_CHAIN_SUPPLIERS","RELATIONSHIP_AS_OF_DATE","19990818")</f>
        <v>#N/A N/A</v>
      </c>
      <c r="LX5" t="str">
        <f>_xll.BDS("1837572D US Equity","SUPPLY_CHAIN_CUSTOMERS","RELATIONSHIP_AS_OF_DATE","19990818")</f>
        <v>#N/A N/A</v>
      </c>
      <c r="MC5" t="str">
        <f>_xll.BDS("MFNXQ US Equity","SUPPLY_CHAIN_SUPPLIERS","RELATIONSHIP_AS_OF_DATE","20001010")</f>
        <v>#N/A N/A</v>
      </c>
      <c r="MH5" t="str">
        <f>_xll.BDS("MFNXQ US Equity","SUPPLY_CHAIN_CUSTOMERS","RELATIONSHIP_AS_OF_DATE","20001010")</f>
        <v>#N/A N/A</v>
      </c>
      <c r="MM5" t="str">
        <f>_xll.BDS("IBM US Equity","SUPPLY_CHAIN_SUPPLIERS","RELATIONSHIP_AS_OF_DATE","20021206","cols=1;rows=5")</f>
        <v>005930 KS Equity</v>
      </c>
      <c r="MR5" t="str">
        <f>_xll.BDS("IBM US Equity","SUPPLY_CHAIN_CUSTOMERS","RELATIONSHIP_AS_OF_DATE","20021206","cols=1;rows=5")</f>
        <v>AMZN US Equity</v>
      </c>
      <c r="MW5" t="str">
        <f>_xll.BDS("CSCO US Equity","SUPPLY_CHAIN_SUPPLIERS","RELATIONSHIP_AS_OF_DATE","19990413","cols=1;rows=5")</f>
        <v>NVDA US Equity</v>
      </c>
      <c r="NB5" t="str">
        <f>_xll.BDS("CSCO US Equity","SUPPLY_CHAIN_CUSTOMERS","RELATIONSHIP_AS_OF_DATE","19990413","cols=1;rows=5")</f>
        <v>SNX US Equity</v>
      </c>
      <c r="NG5" t="str">
        <f>_xll.BDS("INTC US Equity","SUPPLY_CHAIN_SUPPLIERS","RELATIONSHIP_AS_OF_DATE","19991014","cols=1;rows=5")</f>
        <v>ASML NA Equity</v>
      </c>
      <c r="NL5" t="str">
        <f>_xll.BDS("INTC US Equity","SUPPLY_CHAIN_CUSTOMERS","RELATIONSHIP_AS_OF_DATE","19991014","cols=1;rows=5")</f>
        <v>DELL US Equity</v>
      </c>
      <c r="NQ5" t="str">
        <f>_xll.BDS("BX US Equity","SUPPLY_CHAIN_SUPPLIERS","RELATIONSHIP_AS_OF_DATE","20080619","cols=1;rows=5")</f>
        <v>ORCL US Equity</v>
      </c>
      <c r="NV5" t="str">
        <f>_xll.BDS("BX US Equity","SUPPLY_CHAIN_CUSTOMERS","RELATIONSHIP_AS_OF_DATE","20080619","cols=1;rows=5")</f>
        <v>002284 CH Equity</v>
      </c>
      <c r="OA5" t="str">
        <f>_xll.BDS("166783Q US Equity","SUPPLY_CHAIN_SUPPLIERS","RELATIONSHIP_AS_OF_DATE","19990920")</f>
        <v>#N/A N/A</v>
      </c>
      <c r="OF5" t="str">
        <f>_xll.BDS("166783Q US Equity","SUPPLY_CHAIN_CUSTOMERS","RELATIONSHIP_AS_OF_DATE","19990920")</f>
        <v>#N/A N/A</v>
      </c>
    </row>
    <row r="6" spans="1:396" x14ac:dyDescent="0.25">
      <c r="K6" t="s">
        <v>13114</v>
      </c>
      <c r="P6" t="s">
        <v>12643</v>
      </c>
      <c r="U6" t="s">
        <v>368</v>
      </c>
      <c r="Z6" t="s">
        <v>10676</v>
      </c>
      <c r="AE6" t="s">
        <v>12715</v>
      </c>
      <c r="AJ6" t="s">
        <v>47</v>
      </c>
      <c r="AO6" t="s">
        <v>11060</v>
      </c>
      <c r="AT6" t="s">
        <v>10892</v>
      </c>
      <c r="AY6" t="s">
        <v>11221</v>
      </c>
      <c r="BS6" t="s">
        <v>10734</v>
      </c>
      <c r="BX6" t="s">
        <v>10955</v>
      </c>
      <c r="CC6" t="s">
        <v>41</v>
      </c>
      <c r="CH6" t="s">
        <v>266</v>
      </c>
      <c r="CM6" t="s">
        <v>11294</v>
      </c>
      <c r="CR6" t="s">
        <v>12463</v>
      </c>
      <c r="DG6" t="s">
        <v>12789</v>
      </c>
      <c r="DL6" t="s">
        <v>10892</v>
      </c>
      <c r="DQ6" t="s">
        <v>11962</v>
      </c>
      <c r="EK6" t="s">
        <v>13028</v>
      </c>
      <c r="EP6" t="s">
        <v>13013</v>
      </c>
      <c r="GI6" t="s">
        <v>882</v>
      </c>
      <c r="GN6" t="s">
        <v>12634</v>
      </c>
      <c r="GS6" t="s">
        <v>3523</v>
      </c>
      <c r="GX6" t="s">
        <v>5983</v>
      </c>
      <c r="HM6" t="s">
        <v>792</v>
      </c>
      <c r="HR6" t="s">
        <v>11942</v>
      </c>
      <c r="IG6" t="s">
        <v>10817</v>
      </c>
      <c r="IL6" t="s">
        <v>1468</v>
      </c>
      <c r="IQ6" t="s">
        <v>2968</v>
      </c>
      <c r="IV6" t="s">
        <v>11548</v>
      </c>
      <c r="JK6" t="s">
        <v>10748</v>
      </c>
      <c r="JP6" t="s">
        <v>11647</v>
      </c>
      <c r="JU6" t="s">
        <v>6477</v>
      </c>
      <c r="JZ6" t="s">
        <v>2208</v>
      </c>
      <c r="KO6" t="s">
        <v>12100</v>
      </c>
      <c r="KT6" t="s">
        <v>12489</v>
      </c>
      <c r="KY6" t="s">
        <v>11666</v>
      </c>
      <c r="LD6" t="s">
        <v>3519</v>
      </c>
      <c r="MM6" t="s">
        <v>41</v>
      </c>
      <c r="MR6" t="s">
        <v>266</v>
      </c>
      <c r="MW6" t="s">
        <v>11089</v>
      </c>
      <c r="NB6" t="s">
        <v>266</v>
      </c>
      <c r="NG6" t="s">
        <v>11090</v>
      </c>
      <c r="NL6" t="s">
        <v>261</v>
      </c>
      <c r="NQ6" t="s">
        <v>7544</v>
      </c>
      <c r="NV6" t="s">
        <v>11020</v>
      </c>
    </row>
    <row r="7" spans="1:396" x14ac:dyDescent="0.25">
      <c r="K7" t="s">
        <v>13115</v>
      </c>
      <c r="P7" t="s">
        <v>12644</v>
      </c>
      <c r="U7" t="s">
        <v>43</v>
      </c>
      <c r="Z7" t="s">
        <v>10882</v>
      </c>
      <c r="AE7" t="s">
        <v>375</v>
      </c>
      <c r="AJ7" t="s">
        <v>11636</v>
      </c>
      <c r="AO7" t="s">
        <v>9441</v>
      </c>
      <c r="AT7" t="s">
        <v>3611</v>
      </c>
      <c r="BS7" t="s">
        <v>2968</v>
      </c>
      <c r="BX7" t="s">
        <v>10918</v>
      </c>
      <c r="CC7" t="s">
        <v>469</v>
      </c>
      <c r="CH7" t="s">
        <v>10892</v>
      </c>
      <c r="CM7" t="s">
        <v>2204</v>
      </c>
      <c r="CR7" t="s">
        <v>12653</v>
      </c>
      <c r="DG7" t="s">
        <v>8602</v>
      </c>
      <c r="DL7" t="s">
        <v>1363</v>
      </c>
      <c r="DQ7" t="s">
        <v>11963</v>
      </c>
      <c r="GI7" t="s">
        <v>3427</v>
      </c>
      <c r="GN7" t="s">
        <v>10868</v>
      </c>
      <c r="GS7" t="s">
        <v>11868</v>
      </c>
      <c r="GX7" t="s">
        <v>12474</v>
      </c>
      <c r="HM7" t="s">
        <v>12250</v>
      </c>
      <c r="HR7" t="s">
        <v>11943</v>
      </c>
      <c r="IG7" t="s">
        <v>10816</v>
      </c>
      <c r="IL7" t="s">
        <v>970</v>
      </c>
      <c r="IQ7" t="s">
        <v>7300</v>
      </c>
      <c r="IV7" t="s">
        <v>41</v>
      </c>
      <c r="JK7" t="s">
        <v>2608</v>
      </c>
      <c r="JP7" t="s">
        <v>12461</v>
      </c>
      <c r="JU7" t="s">
        <v>11283</v>
      </c>
      <c r="JZ7" t="s">
        <v>7378</v>
      </c>
      <c r="KO7" t="s">
        <v>12101</v>
      </c>
      <c r="KT7" t="s">
        <v>12490</v>
      </c>
      <c r="KY7" t="s">
        <v>12739</v>
      </c>
      <c r="LD7" t="s">
        <v>6473</v>
      </c>
      <c r="MM7" t="s">
        <v>469</v>
      </c>
      <c r="MR7" t="s">
        <v>10892</v>
      </c>
      <c r="MW7" t="s">
        <v>11090</v>
      </c>
      <c r="NB7" t="s">
        <v>10892</v>
      </c>
      <c r="NG7" t="s">
        <v>10729</v>
      </c>
      <c r="NL7" t="s">
        <v>10853</v>
      </c>
      <c r="NQ7" t="s">
        <v>11054</v>
      </c>
      <c r="NV7" t="s">
        <v>11021</v>
      </c>
    </row>
    <row r="8" spans="1:396" x14ac:dyDescent="0.25">
      <c r="K8" t="s">
        <v>11459</v>
      </c>
      <c r="P8" t="s">
        <v>12645</v>
      </c>
      <c r="U8" t="s">
        <v>870</v>
      </c>
      <c r="Z8" t="s">
        <v>10883</v>
      </c>
      <c r="AE8" t="s">
        <v>11847</v>
      </c>
      <c r="AJ8" t="s">
        <v>12690</v>
      </c>
      <c r="AO8" t="s">
        <v>5575</v>
      </c>
      <c r="AT8" t="s">
        <v>383</v>
      </c>
      <c r="BS8" t="s">
        <v>11049</v>
      </c>
      <c r="BX8" t="s">
        <v>10660</v>
      </c>
      <c r="CC8" t="s">
        <v>2881</v>
      </c>
      <c r="CH8" t="s">
        <v>6473</v>
      </c>
      <c r="CM8" t="s">
        <v>11662</v>
      </c>
      <c r="CR8" t="s">
        <v>11662</v>
      </c>
      <c r="DG8" t="s">
        <v>11074</v>
      </c>
      <c r="DL8" t="s">
        <v>10939</v>
      </c>
      <c r="DQ8" t="s">
        <v>154</v>
      </c>
      <c r="GI8" t="s">
        <v>12488</v>
      </c>
      <c r="GS8" t="s">
        <v>10810</v>
      </c>
      <c r="GX8" t="s">
        <v>477</v>
      </c>
      <c r="HM8" t="s">
        <v>11584</v>
      </c>
      <c r="HR8" t="s">
        <v>5236</v>
      </c>
      <c r="IG8" t="s">
        <v>2785</v>
      </c>
      <c r="IL8" t="s">
        <v>51</v>
      </c>
      <c r="IQ8" t="s">
        <v>13011</v>
      </c>
      <c r="IV8" t="s">
        <v>10791</v>
      </c>
      <c r="JK8" t="s">
        <v>11246</v>
      </c>
      <c r="JP8" t="s">
        <v>12775</v>
      </c>
      <c r="JU8" t="s">
        <v>1548</v>
      </c>
      <c r="JZ8" t="s">
        <v>3244</v>
      </c>
      <c r="KO8" t="s">
        <v>12102</v>
      </c>
      <c r="KT8" t="s">
        <v>12491</v>
      </c>
      <c r="KY8" t="s">
        <v>2126</v>
      </c>
      <c r="LD8" t="s">
        <v>11184</v>
      </c>
      <c r="MM8" t="s">
        <v>2881</v>
      </c>
      <c r="MR8" t="s">
        <v>6473</v>
      </c>
      <c r="MW8" t="s">
        <v>10734</v>
      </c>
      <c r="NB8" t="s">
        <v>469</v>
      </c>
      <c r="NG8" t="s">
        <v>10892</v>
      </c>
      <c r="NL8" t="s">
        <v>11566</v>
      </c>
      <c r="NQ8" t="s">
        <v>11055</v>
      </c>
      <c r="NV8" t="s">
        <v>11022</v>
      </c>
    </row>
    <row r="9" spans="1:396" x14ac:dyDescent="0.25">
      <c r="K9" t="s">
        <v>13116</v>
      </c>
      <c r="P9" t="s">
        <v>12646</v>
      </c>
      <c r="U9" t="s">
        <v>44</v>
      </c>
      <c r="Z9" t="s">
        <v>10925</v>
      </c>
      <c r="AE9" t="s">
        <v>12716</v>
      </c>
      <c r="AJ9" t="s">
        <v>2034</v>
      </c>
      <c r="AO9" t="s">
        <v>11486</v>
      </c>
      <c r="AT9" t="s">
        <v>10729</v>
      </c>
      <c r="BS9" t="s">
        <v>10735</v>
      </c>
      <c r="BX9" t="s">
        <v>4219</v>
      </c>
      <c r="CC9" t="s">
        <v>10853</v>
      </c>
      <c r="CH9" t="s">
        <v>969</v>
      </c>
      <c r="CM9" t="s">
        <v>13133</v>
      </c>
      <c r="CR9" t="s">
        <v>12654</v>
      </c>
      <c r="DG9" t="s">
        <v>12790</v>
      </c>
      <c r="DL9" t="s">
        <v>371</v>
      </c>
      <c r="DQ9" t="s">
        <v>11964</v>
      </c>
      <c r="GI9" t="s">
        <v>12354</v>
      </c>
      <c r="GS9" t="s">
        <v>1265</v>
      </c>
      <c r="GX9" t="s">
        <v>10992</v>
      </c>
      <c r="HM9" t="s">
        <v>11307</v>
      </c>
      <c r="HR9" t="s">
        <v>49</v>
      </c>
      <c r="IG9" t="s">
        <v>772</v>
      </c>
      <c r="IL9" t="s">
        <v>12323</v>
      </c>
      <c r="IQ9" t="s">
        <v>13012</v>
      </c>
      <c r="IV9" t="s">
        <v>469</v>
      </c>
      <c r="JK9" t="s">
        <v>12989</v>
      </c>
      <c r="JP9" t="s">
        <v>10916</v>
      </c>
      <c r="JU9" t="s">
        <v>1654</v>
      </c>
      <c r="JZ9" t="s">
        <v>12464</v>
      </c>
      <c r="KO9" t="s">
        <v>12103</v>
      </c>
      <c r="KT9" t="s">
        <v>11426</v>
      </c>
      <c r="KY9" t="s">
        <v>10830</v>
      </c>
      <c r="LD9" t="s">
        <v>1363</v>
      </c>
      <c r="MM9" t="s">
        <v>10853</v>
      </c>
      <c r="MR9" t="s">
        <v>969</v>
      </c>
      <c r="MW9" t="s">
        <v>11170</v>
      </c>
      <c r="NB9" t="s">
        <v>41</v>
      </c>
      <c r="NG9" t="s">
        <v>1267</v>
      </c>
      <c r="NL9" t="s">
        <v>11875</v>
      </c>
      <c r="NQ9" t="s">
        <v>11056</v>
      </c>
      <c r="NV9" t="s">
        <v>11023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2641</v>
      </c>
      <c r="K1" s="1" t="s">
        <v>2642</v>
      </c>
      <c r="U1" s="1" t="s">
        <v>2643</v>
      </c>
      <c r="AE1" s="1" t="s">
        <v>2644</v>
      </c>
      <c r="AO1" s="1" t="s">
        <v>2645</v>
      </c>
      <c r="AY1" s="1" t="s">
        <v>2646</v>
      </c>
      <c r="BI1" s="1" t="s">
        <v>2647</v>
      </c>
      <c r="BS1" s="1" t="s">
        <v>2648</v>
      </c>
      <c r="CC1" s="1" t="s">
        <v>2649</v>
      </c>
      <c r="CM1" s="1" t="s">
        <v>2650</v>
      </c>
      <c r="CW1" s="1" t="s">
        <v>2651</v>
      </c>
      <c r="DG1" s="1" t="s">
        <v>2652</v>
      </c>
      <c r="DQ1" s="1" t="s">
        <v>2653</v>
      </c>
      <c r="EA1" s="1" t="s">
        <v>2654</v>
      </c>
      <c r="EK1" s="1" t="s">
        <v>2655</v>
      </c>
      <c r="EU1" s="1" t="s">
        <v>2656</v>
      </c>
      <c r="FE1" s="1" t="s">
        <v>2657</v>
      </c>
      <c r="FO1" s="1" t="s">
        <v>2658</v>
      </c>
      <c r="FY1" s="1" t="s">
        <v>2659</v>
      </c>
      <c r="GI1" s="1" t="s">
        <v>2660</v>
      </c>
      <c r="GS1" s="1" t="s">
        <v>2661</v>
      </c>
      <c r="HC1" s="1" t="s">
        <v>2662</v>
      </c>
      <c r="HM1" s="1" t="s">
        <v>2663</v>
      </c>
      <c r="HW1" s="1" t="s">
        <v>2664</v>
      </c>
      <c r="IG1" s="1" t="s">
        <v>2665</v>
      </c>
      <c r="IQ1" s="1" t="s">
        <v>2666</v>
      </c>
      <c r="JA1" s="1" t="s">
        <v>2667</v>
      </c>
      <c r="JK1" s="1" t="s">
        <v>2668</v>
      </c>
      <c r="JU1" s="1" t="s">
        <v>2669</v>
      </c>
      <c r="KE1" s="1" t="s">
        <v>2670</v>
      </c>
      <c r="KO1" s="1" t="s">
        <v>2671</v>
      </c>
      <c r="KY1" s="1" t="s">
        <v>2672</v>
      </c>
      <c r="LI1" s="1" t="s">
        <v>2673</v>
      </c>
      <c r="LS1" s="1" t="s">
        <v>2674</v>
      </c>
      <c r="MC1" s="1" t="s">
        <v>2675</v>
      </c>
      <c r="MM1" s="1" t="s">
        <v>2676</v>
      </c>
      <c r="MW1" s="1" t="s">
        <v>2677</v>
      </c>
      <c r="NG1" s="1" t="s">
        <v>2678</v>
      </c>
      <c r="NQ1" s="1" t="s">
        <v>2679</v>
      </c>
      <c r="OA1" s="1" t="s">
        <v>2680</v>
      </c>
    </row>
    <row r="2" spans="1:396" x14ac:dyDescent="0.25">
      <c r="A2" s="2" t="s">
        <v>2681</v>
      </c>
      <c r="K2" s="2" t="s">
        <v>2682</v>
      </c>
      <c r="U2" s="2" t="s">
        <v>2683</v>
      </c>
      <c r="AE2" s="2" t="s">
        <v>2684</v>
      </c>
      <c r="AO2" s="2" t="s">
        <v>1654</v>
      </c>
      <c r="AY2" s="2" t="s">
        <v>2685</v>
      </c>
      <c r="BI2" s="2" t="s">
        <v>2686</v>
      </c>
      <c r="BS2" s="2" t="s">
        <v>2687</v>
      </c>
      <c r="CC2" s="2" t="s">
        <v>1928</v>
      </c>
      <c r="CM2" s="2" t="s">
        <v>2688</v>
      </c>
      <c r="CW2" s="2" t="s">
        <v>969</v>
      </c>
      <c r="DG2" s="2" t="s">
        <v>55</v>
      </c>
      <c r="DQ2" s="2" t="s">
        <v>2689</v>
      </c>
      <c r="EA2" s="2" t="s">
        <v>2690</v>
      </c>
      <c r="EK2" s="2" t="s">
        <v>261</v>
      </c>
      <c r="EU2" s="2" t="s">
        <v>65</v>
      </c>
      <c r="FE2" s="2" t="s">
        <v>2691</v>
      </c>
      <c r="FO2" s="2" t="s">
        <v>2692</v>
      </c>
      <c r="FY2" s="2" t="s">
        <v>2297</v>
      </c>
      <c r="GI2" s="2" t="s">
        <v>2693</v>
      </c>
      <c r="GS2" s="2" t="s">
        <v>364</v>
      </c>
      <c r="HC2" s="2" t="s">
        <v>2694</v>
      </c>
      <c r="HM2" s="2" t="s">
        <v>2695</v>
      </c>
      <c r="HW2" s="2" t="s">
        <v>2696</v>
      </c>
      <c r="IG2" s="2" t="s">
        <v>667</v>
      </c>
      <c r="IQ2" s="2" t="s">
        <v>2697</v>
      </c>
      <c r="JA2" s="2" t="s">
        <v>970</v>
      </c>
      <c r="JK2" s="2" t="s">
        <v>2698</v>
      </c>
      <c r="JU2" s="2" t="s">
        <v>569</v>
      </c>
      <c r="KE2" s="2" t="s">
        <v>1944</v>
      </c>
      <c r="KO2" s="2" t="s">
        <v>2699</v>
      </c>
      <c r="KY2" s="2" t="s">
        <v>2700</v>
      </c>
      <c r="LI2" s="2" t="s">
        <v>2701</v>
      </c>
      <c r="LS2" s="2" t="s">
        <v>2702</v>
      </c>
      <c r="MC2" s="2" t="s">
        <v>2703</v>
      </c>
      <c r="MM2" s="2" t="s">
        <v>2704</v>
      </c>
      <c r="MW2" s="2" t="s">
        <v>2705</v>
      </c>
      <c r="NG2" s="2" t="s">
        <v>1078</v>
      </c>
      <c r="NQ2" s="2" t="s">
        <v>2706</v>
      </c>
      <c r="OA2" s="2" t="s">
        <v>2611</v>
      </c>
    </row>
    <row r="3" spans="1:396" x14ac:dyDescent="0.25">
      <c r="A3" t="s">
        <v>2707</v>
      </c>
      <c r="K3" t="s">
        <v>2708</v>
      </c>
      <c r="U3" t="s">
        <v>2709</v>
      </c>
      <c r="AE3" t="s">
        <v>514</v>
      </c>
      <c r="AO3" t="s">
        <v>2710</v>
      </c>
      <c r="AY3" t="s">
        <v>2711</v>
      </c>
      <c r="BI3" t="s">
        <v>1485</v>
      </c>
      <c r="BS3" t="s">
        <v>2712</v>
      </c>
      <c r="CC3" t="s">
        <v>2713</v>
      </c>
      <c r="CM3" t="s">
        <v>2714</v>
      </c>
      <c r="CW3" t="s">
        <v>2715</v>
      </c>
      <c r="DG3" t="s">
        <v>905</v>
      </c>
      <c r="DQ3" t="s">
        <v>823</v>
      </c>
      <c r="EA3" t="s">
        <v>2716</v>
      </c>
      <c r="EK3" t="s">
        <v>320</v>
      </c>
      <c r="EU3" t="s">
        <v>2717</v>
      </c>
      <c r="FE3" t="s">
        <v>2718</v>
      </c>
      <c r="FO3" t="s">
        <v>2719</v>
      </c>
      <c r="FY3" t="s">
        <v>2720</v>
      </c>
      <c r="GI3" t="s">
        <v>2721</v>
      </c>
      <c r="GS3" t="s">
        <v>2722</v>
      </c>
      <c r="HC3" t="s">
        <v>2723</v>
      </c>
      <c r="HM3" t="s">
        <v>906</v>
      </c>
      <c r="HW3" t="s">
        <v>2724</v>
      </c>
      <c r="IG3" t="s">
        <v>2725</v>
      </c>
      <c r="IQ3" t="s">
        <v>2429</v>
      </c>
      <c r="JA3" t="s">
        <v>2726</v>
      </c>
      <c r="JK3" t="s">
        <v>2727</v>
      </c>
      <c r="JU3" t="s">
        <v>2728</v>
      </c>
      <c r="KE3" t="s">
        <v>2729</v>
      </c>
      <c r="KO3" t="s">
        <v>2730</v>
      </c>
      <c r="KY3" t="s">
        <v>2731</v>
      </c>
      <c r="LI3" t="s">
        <v>2732</v>
      </c>
      <c r="LS3" t="s">
        <v>2733</v>
      </c>
      <c r="MC3" t="s">
        <v>2734</v>
      </c>
      <c r="MM3" t="s">
        <v>1008</v>
      </c>
      <c r="MW3" t="s">
        <v>2735</v>
      </c>
      <c r="NG3" t="s">
        <v>1199</v>
      </c>
      <c r="NQ3" t="s">
        <v>894</v>
      </c>
      <c r="OA3" t="s">
        <v>1380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_xll.BDS("BRCD US Equity","SUPPLY_CHAIN_SUPPLIERS","RELATIONSHIP_AS_OF_DATE","20080721")</f>
        <v>#N/A N/A</v>
      </c>
      <c r="F5" t="str">
        <f>_xll.BDS("BRCD US Equity","SUPPLY_CHAIN_CUSTOMERS","RELATIONSHIP_AS_OF_DATE","20080721")</f>
        <v>#N/A N/A</v>
      </c>
      <c r="K5" t="str">
        <f>_xll.BDS("SD US Equity","SUPPLY_CHAIN_SUPPLIERS","RELATIONSHIP_AS_OF_DATE","20100404")</f>
        <v>#N/A N/A</v>
      </c>
      <c r="P5" t="str">
        <f>_xll.BDS("SD US Equity","SUPPLY_CHAIN_CUSTOMERS","RELATIONSHIP_AS_OF_DATE","20100404","cols=1;rows=4")</f>
        <v>PAGP US Equity</v>
      </c>
      <c r="U5" t="str">
        <f>_xll.BDS("KEYS US Equity","SUPPLY_CHAIN_SUPPLIERS","RELATIONSHIP_AS_OF_DATE","20170130","cols=1;rows=5")</f>
        <v>JBL US Equity</v>
      </c>
      <c r="Z5" t="str">
        <f>_xll.BDS("KEYS US Equity","SUPPLY_CHAIN_CUSTOMERS","RELATIONSHIP_AS_OF_DATE","20170130","cols=1;rows=5")</f>
        <v>NVDA US Equity</v>
      </c>
      <c r="AE5" t="str">
        <f>_xll.BDS("ACH US Equity","SUPPLY_CHAIN_SUPPLIERS","RELATIONSHIP_AS_OF_DATE","20220110","cols=1;rows=5")</f>
        <v>CAH US Equity</v>
      </c>
      <c r="AJ5" t="str">
        <f>_xll.BDS("ACH US Equity","SUPPLY_CHAIN_CUSTOMERS","RELATIONSHIP_AS_OF_DATE","20220110","cols=1;rows=4")</f>
        <v>1339564D US Equity</v>
      </c>
      <c r="AO5" t="str">
        <f>_xll.BDS("ADBE US Equity","SUPPLY_CHAIN_SUPPLIERS","RELATIONSHIP_AS_OF_DATE","20090915","cols=1;rows=5")</f>
        <v>NVDA US Equity</v>
      </c>
      <c r="AT5" t="str">
        <f>_xll.BDS("ADBE US Equity","SUPPLY_CHAIN_CUSTOMERS","RELATIONSHIP_AS_OF_DATE","20090915","cols=1;rows=5")</f>
        <v>TSCO LN Equity</v>
      </c>
      <c r="AY5" t="str">
        <f>_xll.BDS("9876552D US Equity","SUPPLY_CHAIN_SUPPLIERS","RELATIONSHIP_AS_OF_DATE","20070917")</f>
        <v>#N/A N/A</v>
      </c>
      <c r="BD5" t="str">
        <f>_xll.BDS("9876552D US Equity","SUPPLY_CHAIN_CUSTOMERS","RELATIONSHIP_AS_OF_DATE","20070917")</f>
        <v>#N/A N/A</v>
      </c>
      <c r="BI5" t="str">
        <f>_xll.BDS("GMH US Equity","SUPPLY_CHAIN_SUPPLIERS","RELATIONSHIP_AS_OF_DATE","19981214")</f>
        <v>#N/A N/A</v>
      </c>
      <c r="BN5" t="str">
        <f>_xll.BDS("GMH US Equity","SUPPLY_CHAIN_CUSTOMERS","RELATIONSHIP_AS_OF_DATE","19981214")</f>
        <v>#N/A N/A</v>
      </c>
      <c r="BS5" t="str">
        <f>_xll.BDS("LPNT US Equity","SUPPLY_CHAIN_SUPPLIERS","RELATIONSHIP_AS_OF_DATE","20040816")</f>
        <v>#N/A N/A</v>
      </c>
      <c r="BX5" t="str">
        <f>_xll.BDS("LPNT US Equity","SUPPLY_CHAIN_CUSTOMERS","RELATIONSHIP_AS_OF_DATE","20040816")</f>
        <v>#N/A N/A</v>
      </c>
      <c r="CC5" t="str">
        <f>_xll.BDS("3867693Z US Equity","SUPPLY_CHAIN_SUPPLIERS","RELATIONSHIP_AS_OF_DATE","20050531")</f>
        <v>#N/A N/A</v>
      </c>
      <c r="CH5" t="str">
        <f>_xll.BDS("3867693Z US Equity","SUPPLY_CHAIN_CUSTOMERS","RELATIONSHIP_AS_OF_DATE","20050531")</f>
        <v>#N/A N/A</v>
      </c>
      <c r="CM5" t="str">
        <f>_xll.BDS("BBWI US Equity","SUPPLY_CHAIN_SUPPLIERS","RELATIONSHIP_AS_OF_DATE","20020204","cols=1;rows=5")</f>
        <v>ATR US Equity</v>
      </c>
      <c r="CR5" t="str">
        <f>_xll.BDS("BBWI US Equity","SUPPLY_CHAIN_CUSTOMERS","RELATIONSHIP_AS_OF_DATE","20020204","cols=1;rows=3")</f>
        <v>1928 HK Equity</v>
      </c>
      <c r="CW5" t="str">
        <f>_xll.BDS("CSCO US Equity","SUPPLY_CHAIN_SUPPLIERS","RELATIONSHIP_AS_OF_DATE","20171023","cols=1;rows=5")</f>
        <v>NVDA US Equity</v>
      </c>
      <c r="DB5" t="str">
        <f>_xll.BDS("CSCO US Equity","SUPPLY_CHAIN_CUSTOMERS","RELATIONSHIP_AS_OF_DATE","20171023","cols=1;rows=5")</f>
        <v>SNX US Equity</v>
      </c>
      <c r="DG5" t="str">
        <f>_xll.BDS("AGN US Equity","SUPPLY_CHAIN_SUPPLIERS","RELATIONSHIP_AS_OF_DATE","20060313","cols=1;rows=5")</f>
        <v>AEE US Equity</v>
      </c>
      <c r="DL5" t="str">
        <f>_xll.BDS("AGN US Equity","SUPPLY_CHAIN_CUSTOMERS","RELATIONSHIP_AS_OF_DATE","20060313")</f>
        <v>4569 JP Equity</v>
      </c>
      <c r="DQ5" t="str">
        <f>_xll.BDS("ELNK US Equity","SUPPLY_CHAIN_SUPPLIERS","RELATIONSHIP_AS_OF_DATE","19990923")</f>
        <v>#N/A N/A</v>
      </c>
      <c r="DV5" t="str">
        <f>_xll.BDS("ELNK US Equity","SUPPLY_CHAIN_CUSTOMERS","RELATIONSHIP_AS_OF_DATE","19990923")</f>
        <v>#N/A N/A</v>
      </c>
      <c r="EA5" t="str">
        <f>_xll.BDS("2309719Q US Equity","SUPPLY_CHAIN_SUPPLIERS","RELATIONSHIP_AS_OF_DATE","20011106")</f>
        <v>#N/A N/A</v>
      </c>
      <c r="EF5" t="str">
        <f>_xll.BDS("2309719Q US Equity","SUPPLY_CHAIN_CUSTOMERS","RELATIONSHIP_AS_OF_DATE","20011106")</f>
        <v>#N/A N/A</v>
      </c>
      <c r="EK5" t="str">
        <f>_xll.BDS("HPQ US Equity","SUPPLY_CHAIN_SUPPLIERS","RELATIONSHIP_AS_OF_DATE","20070723","cols=1;rows=5")</f>
        <v>2356 TT Equity</v>
      </c>
      <c r="EP5" t="str">
        <f>_xll.BDS("HPQ US Equity","SUPPLY_CHAIN_CUSTOMERS","RELATIONSHIP_AS_OF_DATE","20070723","cols=1;rows=5")</f>
        <v>SNX US Equity</v>
      </c>
      <c r="EU5" t="str">
        <f>_xll.BDS("MRK US Equity","SUPPLY_CHAIN_SUPPLIERS","RELATIONSHIP_AS_OF_DATE","20210225","cols=1;rows=5")</f>
        <v>AZN LN Equity</v>
      </c>
      <c r="EZ5" t="str">
        <f>_xll.BDS("MRK US Equity","SUPPLY_CHAIN_CUSTOMERS","RELATIONSHIP_AS_OF_DATE","20210225","cols=1;rows=5")</f>
        <v>COR US Equity</v>
      </c>
      <c r="FE5" t="str">
        <f>_xll.BDS("CCMP US Equity","SUPPLY_CHAIN_SUPPLIERS","RELATIONSHIP_AS_OF_DATE","20180815","cols=1;rows=5")</f>
        <v>CHE-U CN Equity</v>
      </c>
      <c r="FJ5" t="str">
        <f>_xll.BDS("CCMP US Equity","SUPPLY_CHAIN_CUSTOMERS","RELATIONSHIP_AS_OF_DATE","20180815","cols=1;rows=3")</f>
        <v>8374 TT Equity</v>
      </c>
      <c r="FO5" t="str">
        <f>_xll.BDS("2556796D US Equity","SUPPLY_CHAIN_SUPPLIERS","RELATIONSHIP_AS_OF_DATE","20150804")</f>
        <v>#N/A N/A</v>
      </c>
      <c r="FT5" t="str">
        <f>_xll.BDS("2556796D US Equity","SUPPLY_CHAIN_CUSTOMERS","RELATIONSHIP_AS_OF_DATE","20150804")</f>
        <v>#N/A N/A</v>
      </c>
      <c r="FY5" t="str">
        <f>_xll.BDS("XEC US Equity","SUPPLY_CHAIN_SUPPLIERS","RELATIONSHIP_AS_OF_DATE","20181119")</f>
        <v>#N/A N/A</v>
      </c>
      <c r="GD5" t="str">
        <f>_xll.BDS("XEC US Equity","SUPPLY_CHAIN_CUSTOMERS","RELATIONSHIP_AS_OF_DATE","20181119")</f>
        <v>#N/A N/A</v>
      </c>
      <c r="GI5" t="str">
        <f>_xll.BDS("SVU US Equity","SUPPLY_CHAIN_SUPPLIERS","RELATIONSHIP_AS_OF_DATE","19990609")</f>
        <v>#N/A N/A</v>
      </c>
      <c r="GN5" t="str">
        <f>_xll.BDS("SVU US Equity","SUPPLY_CHAIN_CUSTOMERS","RELATIONSHIP_AS_OF_DATE","19990609")</f>
        <v>#N/A N/A</v>
      </c>
      <c r="GS5" t="str">
        <f>_xll.BDS("M US Equity","SUPPLY_CHAIN_SUPPLIERS","RELATIONSHIP_AS_OF_DATE","19990211","cols=1;rows=5")</f>
        <v>UPS US Equity</v>
      </c>
      <c r="GX5" t="str">
        <f>_xll.BDS("M US Equity","SUPPLY_CHAIN_CUSTOMERS","RELATIONSHIP_AS_OF_DATE","19990211","cols=1;rows=5")</f>
        <v>002790 KS Equity</v>
      </c>
      <c r="HC5" t="str">
        <f>_xll.BDS("PVR US Equity","SUPPLY_CHAIN_SUPPLIERS","RELATIONSHIP_AS_OF_DATE","20100921")</f>
        <v>#N/A N/A</v>
      </c>
      <c r="HH5" t="str">
        <f>_xll.BDS("PVR US Equity","SUPPLY_CHAIN_CUSTOMERS","RELATIONSHIP_AS_OF_DATE","20100921")</f>
        <v>#N/A N/A</v>
      </c>
      <c r="HM5" t="str">
        <f>_xll.BDS("FNFG US Equity","SUPPLY_CHAIN_SUPPLIERS","RELATIONSHIP_AS_OF_DATE","20100819")</f>
        <v>#N/A N/A</v>
      </c>
      <c r="HR5" t="str">
        <f>_xll.BDS("FNFG US Equity","SUPPLY_CHAIN_CUSTOMERS","RELATIONSHIP_AS_OF_DATE","20100819")</f>
        <v>#N/A N/A</v>
      </c>
      <c r="HW5" t="str">
        <f>_xll.BDS("AF US Equity","SUPPLY_CHAIN_SUPPLIERS","RELATIONSHIP_AS_OF_DATE","19980403")</f>
        <v>#N/A N/A</v>
      </c>
      <c r="IB5" t="str">
        <f>_xll.BDS("AF US Equity","SUPPLY_CHAIN_CUSTOMERS","RELATIONSHIP_AS_OF_DATE","19980403")</f>
        <v>#N/A N/A</v>
      </c>
      <c r="IG5" t="str">
        <f>_xll.BDS("GD US Equity","SUPPLY_CHAIN_SUPPLIERS","RELATIONSHIP_AS_OF_DATE","20030609","cols=1;rows=5")</f>
        <v>RTX US Equity</v>
      </c>
      <c r="IL5" t="str">
        <f>_xll.BDS("GD US Equity","SUPPLY_CHAIN_CUSTOMERS","RELATIONSHIP_AS_OF_DATE","20030609","cols=1;rows=5")</f>
        <v>3352Z US Equity</v>
      </c>
      <c r="IQ5" t="str">
        <f>_xll.BDS("1859004D US Equity","SUPPLY_CHAIN_SUPPLIERS","RELATIONSHIP_AS_OF_DATE","20151028")</f>
        <v>#N/A N/A</v>
      </c>
      <c r="IV5" t="str">
        <f>_xll.BDS("1859004D US Equity","SUPPLY_CHAIN_CUSTOMERS","RELATIONSHIP_AS_OF_DATE","20151028")</f>
        <v>#N/A N/A</v>
      </c>
      <c r="JA5" t="str">
        <f>_xll.BDS("CAH US Equity","SUPPLY_CHAIN_SUPPLIERS","RELATIONSHIP_AS_OF_DATE","20070514","cols=1;rows=5")</f>
        <v>LLY US Equity</v>
      </c>
      <c r="JF5" t="str">
        <f>_xll.BDS("CAH US Equity","SUPPLY_CHAIN_CUSTOMERS","RELATIONSHIP_AS_OF_DATE","20070514","cols=1;rows=5")</f>
        <v>CVS US Equity</v>
      </c>
      <c r="JK5" t="str">
        <f>_xll.BDS("LEE US Equity","SUPPLY_CHAIN_SUPPLIERS","RELATIONSHIP_AS_OF_DATE","20050130")</f>
        <v>AMZN US Equity</v>
      </c>
      <c r="JP5" t="str">
        <f>_xll.BDS("LEE US Equity","SUPPLY_CHAIN_CUSTOMERS","RELATIONSHIP_AS_OF_DATE","20050130","cols=1;rows=2")</f>
        <v>2118736D US Equity</v>
      </c>
      <c r="JU5" t="str">
        <f>_xll.BDS("1825471D US Equity","SUPPLY_CHAIN_SUPPLIERS","RELATIONSHIP_AS_OF_DATE","19990510","cols=1;rows=5")</f>
        <v>LXP US Equity</v>
      </c>
      <c r="JZ5" t="str">
        <f>_xll.BDS("1825471D US Equity","SUPPLY_CHAIN_CUSTOMERS","RELATIONSHIP_AS_OF_DATE","19990510","cols=1;rows=5")</f>
        <v>AIT US Equity</v>
      </c>
      <c r="KE5" t="str">
        <f>_xll.BDS("9995522D US Equity","SUPPLY_CHAIN_SUPPLIERS","RELATIONSHIP_AS_OF_DATE","20130220","cols=1;rows=5")</f>
        <v>300464 CH Equity</v>
      </c>
      <c r="KJ5" t="str">
        <f>_xll.BDS("9995522D US Equity","SUPPLY_CHAIN_CUSTOMERS","RELATIONSHIP_AS_OF_DATE","20130220")</f>
        <v>0883189D US Equity</v>
      </c>
      <c r="KO5" t="str">
        <f>_xll.BDS("MHK US Equity","SUPPLY_CHAIN_SUPPLIERS","RELATIONSHIP_AS_OF_DATE","20011119","cols=1;rows=5")</f>
        <v>XPO US Equity</v>
      </c>
      <c r="KT5" t="str">
        <f>_xll.BDS("MHK US Equity","SUPPLY_CHAIN_CUSTOMERS","RELATIONSHIP_AS_OF_DATE","20011119","cols=1;rows=5")</f>
        <v>HD US Equity</v>
      </c>
      <c r="KY5" t="str">
        <f>_xll.BDS("1986522D US Equity","SUPPLY_CHAIN_SUPPLIERS","RELATIONSHIP_AS_OF_DATE","20070405")</f>
        <v>FE US Equity</v>
      </c>
      <c r="LD5" t="str">
        <f>_xll.BDS("1986522D US Equity","SUPPLY_CHAIN_CUSTOMERS","RELATIONSHIP_AS_OF_DATE","20070405")</f>
        <v>#N/A N/A</v>
      </c>
      <c r="LI5" t="str">
        <f>_xll.BDS("QTRN US Equity","SUPPLY_CHAIN_SUPPLIERS","RELATIONSHIP_AS_OF_DATE","19981216")</f>
        <v>#N/A N/A</v>
      </c>
      <c r="LN5" t="str">
        <f>_xll.BDS("QTRN US Equity","SUPPLY_CHAIN_CUSTOMERS","RELATIONSHIP_AS_OF_DATE","19981216")</f>
        <v>#N/A N/A</v>
      </c>
      <c r="LS5" t="str">
        <f>_xll.BDS("ITG US Equity","SUPPLY_CHAIN_SUPPLIERS","RELATIONSHIP_AS_OF_DATE","19980318")</f>
        <v>#N/A N/A</v>
      </c>
      <c r="LX5" t="str">
        <f>_xll.BDS("ITG US Equity","SUPPLY_CHAIN_CUSTOMERS","RELATIONSHIP_AS_OF_DATE","19980318")</f>
        <v>#N/A N/A</v>
      </c>
      <c r="MC5" t="str">
        <f>_xll.BDS("L US Equity","SUPPLY_CHAIN_SUPPLIERS","RELATIONSHIP_AS_OF_DATE","20180629","cols=1;rows=5")</f>
        <v>ECL US Equity</v>
      </c>
      <c r="MH5" t="str">
        <f>_xll.BDS("L US Equity","SUPPLY_CHAIN_CUSTOMERS","RELATIONSHIP_AS_OF_DATE","20180629")</f>
        <v>ETR US Equity</v>
      </c>
      <c r="MM5" t="str">
        <f>_xll.BDS("HSY US Equity","SUPPLY_CHAIN_SUPPLIERS","RELATIONSHIP_AS_OF_DATE","20171218","cols=1;rows=5")</f>
        <v>NESN SW Equity</v>
      </c>
      <c r="MR5" t="str">
        <f>_xll.BDS("HSY US Equity","SUPPLY_CHAIN_CUSTOMERS","RELATIONSHIP_AS_OF_DATE","20171218","cols=1;rows=5")</f>
        <v>BRK/A US Equity</v>
      </c>
      <c r="MW5" t="str">
        <f>_xll.BDS("GOOGL US Equity","SUPPLY_CHAIN_SUPPLIERS","RELATIONSHIP_AS_OF_DATE","20191101","cols=1;rows=5")</f>
        <v>300459 CH Equity</v>
      </c>
      <c r="NB5" t="str">
        <f>_xll.BDS("GOOGL US Equity","SUPPLY_CHAIN_CUSTOMERS","RELATIONSHIP_AS_OF_DATE","20191101","cols=1;rows=5")</f>
        <v>VZ US Equity</v>
      </c>
      <c r="NG5" t="str">
        <f>_xll.BDS("SSNC US Equity","SUPPLY_CHAIN_SUPPLIERS","RELATIONSHIP_AS_OF_DATE","20180906","cols=1;rows=5")</f>
        <v>D-U CN Equity</v>
      </c>
      <c r="NL5" t="str">
        <f>_xll.BDS("SSNC US Equity","SUPPLY_CHAIN_CUSTOMERS","RELATIONSHIP_AS_OF_DATE","20180906","cols=1;rows=5")</f>
        <v>AYX US Equity</v>
      </c>
      <c r="NQ5" t="str">
        <f>_xll.BDS("WSFS US Equity","SUPPLY_CHAIN_SUPPLIERS","RELATIONSHIP_AS_OF_DATE","20180808")</f>
        <v>1748433D US Equity</v>
      </c>
      <c r="NV5" t="str">
        <f>_xll.BDS("WSFS US Equity","SUPPLY_CHAIN_CUSTOMERS","RELATIONSHIP_AS_OF_DATE","20180808")</f>
        <v>#N/A N/A</v>
      </c>
      <c r="OA5" t="str">
        <f>_xll.BDS("MFNXQ US Equity","SUPPLY_CHAIN_SUPPLIERS","RELATIONSHIP_AS_OF_DATE","19990623")</f>
        <v>#N/A N/A</v>
      </c>
      <c r="OF5" t="str">
        <f>_xll.BDS("MFNXQ US Equity","SUPPLY_CHAIN_CUSTOMERS","RELATIONSHIP_AS_OF_DATE","19990623")</f>
        <v>#N/A N/A</v>
      </c>
    </row>
    <row r="6" spans="1:396" x14ac:dyDescent="0.25">
      <c r="P6" t="s">
        <v>485</v>
      </c>
      <c r="U6" t="s">
        <v>2599</v>
      </c>
      <c r="Z6" t="s">
        <v>12559</v>
      </c>
      <c r="AE6" t="s">
        <v>44</v>
      </c>
      <c r="AJ6" t="s">
        <v>10883</v>
      </c>
      <c r="AO6" t="s">
        <v>11065</v>
      </c>
      <c r="AT6" t="s">
        <v>2881</v>
      </c>
      <c r="CM6" t="s">
        <v>10889</v>
      </c>
      <c r="CR6" t="s">
        <v>12650</v>
      </c>
      <c r="CW6" t="s">
        <v>11089</v>
      </c>
      <c r="DB6" t="s">
        <v>266</v>
      </c>
      <c r="DG6" t="s">
        <v>10696</v>
      </c>
      <c r="EK6" t="s">
        <v>383</v>
      </c>
      <c r="EP6" t="s">
        <v>4139</v>
      </c>
      <c r="EU6" t="s">
        <v>368</v>
      </c>
      <c r="EZ6" t="s">
        <v>385</v>
      </c>
      <c r="FE6" t="s">
        <v>10716</v>
      </c>
      <c r="FJ6" t="s">
        <v>13029</v>
      </c>
      <c r="GS6" t="s">
        <v>10880</v>
      </c>
      <c r="GX6" t="s">
        <v>12457</v>
      </c>
      <c r="IG6" t="s">
        <v>11007</v>
      </c>
      <c r="IL6" t="s">
        <v>11193</v>
      </c>
      <c r="JA6" t="s">
        <v>45</v>
      </c>
      <c r="JF6" t="s">
        <v>10882</v>
      </c>
      <c r="JP6" t="s">
        <v>13070</v>
      </c>
      <c r="JU6" t="s">
        <v>12068</v>
      </c>
      <c r="JZ6" t="s">
        <v>12238</v>
      </c>
      <c r="KE6" t="s">
        <v>10888</v>
      </c>
      <c r="KO6" t="s">
        <v>12130</v>
      </c>
      <c r="KT6" t="s">
        <v>3239</v>
      </c>
      <c r="MC6" t="s">
        <v>11312</v>
      </c>
      <c r="MM6" t="s">
        <v>11868</v>
      </c>
      <c r="MR6" t="s">
        <v>10676</v>
      </c>
      <c r="MW6" t="s">
        <v>6477</v>
      </c>
      <c r="NB6" t="s">
        <v>2881</v>
      </c>
      <c r="NG6" t="s">
        <v>10707</v>
      </c>
      <c r="NL6" t="s">
        <v>10649</v>
      </c>
    </row>
    <row r="7" spans="1:396" x14ac:dyDescent="0.25">
      <c r="P7" t="s">
        <v>12649</v>
      </c>
      <c r="U7" t="s">
        <v>3439</v>
      </c>
      <c r="Z7" t="s">
        <v>2881</v>
      </c>
      <c r="AE7" t="s">
        <v>10743</v>
      </c>
      <c r="AJ7" t="s">
        <v>10909</v>
      </c>
      <c r="AO7" t="s">
        <v>165</v>
      </c>
      <c r="AT7" t="s">
        <v>469</v>
      </c>
      <c r="CM7" t="s">
        <v>10888</v>
      </c>
      <c r="CR7" t="s">
        <v>12651</v>
      </c>
      <c r="CW7" t="s">
        <v>11090</v>
      </c>
      <c r="DB7" t="s">
        <v>10892</v>
      </c>
      <c r="DG7" t="s">
        <v>1265</v>
      </c>
      <c r="EK7" t="s">
        <v>11038</v>
      </c>
      <c r="EP7" t="s">
        <v>11749</v>
      </c>
      <c r="EU7" t="s">
        <v>11467</v>
      </c>
      <c r="EZ7" t="s">
        <v>970</v>
      </c>
      <c r="FE7" t="s">
        <v>10809</v>
      </c>
      <c r="FJ7" t="s">
        <v>11090</v>
      </c>
      <c r="GS7" t="s">
        <v>10838</v>
      </c>
      <c r="GX7" t="s">
        <v>12458</v>
      </c>
      <c r="IG7" t="s">
        <v>11756</v>
      </c>
      <c r="IL7" t="s">
        <v>11955</v>
      </c>
      <c r="JA7" t="s">
        <v>368</v>
      </c>
      <c r="JF7" t="s">
        <v>10883</v>
      </c>
      <c r="JU7" t="s">
        <v>12205</v>
      </c>
      <c r="JZ7" t="s">
        <v>12239</v>
      </c>
      <c r="KE7" t="s">
        <v>572</v>
      </c>
      <c r="KO7" t="s">
        <v>11614</v>
      </c>
      <c r="KT7" t="s">
        <v>12003</v>
      </c>
      <c r="MC7" t="s">
        <v>12607</v>
      </c>
      <c r="MM7" t="s">
        <v>13239</v>
      </c>
      <c r="MR7" t="s">
        <v>10805</v>
      </c>
      <c r="MW7" t="s">
        <v>279</v>
      </c>
      <c r="NB7" t="s">
        <v>41</v>
      </c>
      <c r="NG7" t="s">
        <v>10708</v>
      </c>
      <c r="NL7" t="s">
        <v>10650</v>
      </c>
    </row>
    <row r="8" spans="1:396" x14ac:dyDescent="0.25">
      <c r="P8" t="s">
        <v>2026</v>
      </c>
      <c r="U8" t="s">
        <v>273</v>
      </c>
      <c r="Z8" t="s">
        <v>10892</v>
      </c>
      <c r="AE8" t="s">
        <v>10851</v>
      </c>
      <c r="AJ8" t="s">
        <v>12745</v>
      </c>
      <c r="AO8" t="s">
        <v>266</v>
      </c>
      <c r="AT8" t="s">
        <v>61</v>
      </c>
      <c r="CM8" t="s">
        <v>12924</v>
      </c>
      <c r="CW8" t="s">
        <v>10734</v>
      </c>
      <c r="DB8" t="s">
        <v>469</v>
      </c>
      <c r="DG8" t="s">
        <v>158</v>
      </c>
      <c r="EK8" t="s">
        <v>11176</v>
      </c>
      <c r="EP8" t="s">
        <v>10660</v>
      </c>
      <c r="EU8" t="s">
        <v>11468</v>
      </c>
      <c r="EZ8" t="s">
        <v>43</v>
      </c>
      <c r="FE8" t="s">
        <v>11290</v>
      </c>
      <c r="GS8" t="s">
        <v>11769</v>
      </c>
      <c r="GX8" t="s">
        <v>12459</v>
      </c>
      <c r="IG8" t="s">
        <v>1353</v>
      </c>
      <c r="IL8" t="s">
        <v>10660</v>
      </c>
      <c r="JA8" t="s">
        <v>43</v>
      </c>
      <c r="JF8" t="s">
        <v>477</v>
      </c>
      <c r="JU8" t="s">
        <v>12919</v>
      </c>
      <c r="JZ8" t="s">
        <v>12456</v>
      </c>
      <c r="KE8" t="s">
        <v>13027</v>
      </c>
      <c r="KO8" t="s">
        <v>12667</v>
      </c>
      <c r="KT8" t="s">
        <v>3069</v>
      </c>
      <c r="MC8" t="s">
        <v>12608</v>
      </c>
      <c r="MM8" t="s">
        <v>772</v>
      </c>
      <c r="MR8" t="s">
        <v>477</v>
      </c>
      <c r="MW8" t="s">
        <v>11089</v>
      </c>
      <c r="NB8" t="s">
        <v>53</v>
      </c>
      <c r="NG8" t="s">
        <v>682</v>
      </c>
      <c r="NL8" t="s">
        <v>10651</v>
      </c>
    </row>
    <row r="9" spans="1:396" x14ac:dyDescent="0.25">
      <c r="U9" t="s">
        <v>11055</v>
      </c>
      <c r="Z9" t="s">
        <v>2705</v>
      </c>
      <c r="AE9" t="s">
        <v>2111</v>
      </c>
      <c r="AO9" t="s">
        <v>10672</v>
      </c>
      <c r="AT9" t="s">
        <v>261</v>
      </c>
      <c r="CM9" t="s">
        <v>12925</v>
      </c>
      <c r="CW9" t="s">
        <v>11170</v>
      </c>
      <c r="DB9" t="s">
        <v>41</v>
      </c>
      <c r="DG9" t="s">
        <v>260</v>
      </c>
      <c r="EK9" t="s">
        <v>10852</v>
      </c>
      <c r="EP9" t="s">
        <v>10918</v>
      </c>
      <c r="EU9" t="s">
        <v>11159</v>
      </c>
      <c r="EZ9" t="s">
        <v>11467</v>
      </c>
      <c r="FE9" t="s">
        <v>678</v>
      </c>
      <c r="GS9" t="s">
        <v>1843</v>
      </c>
      <c r="GX9" t="s">
        <v>6476</v>
      </c>
      <c r="IG9" t="s">
        <v>1172</v>
      </c>
      <c r="IL9" t="s">
        <v>11956</v>
      </c>
      <c r="JA9" t="s">
        <v>275</v>
      </c>
      <c r="JF9" t="s">
        <v>10634</v>
      </c>
      <c r="JU9" t="s">
        <v>4048</v>
      </c>
      <c r="JZ9" t="s">
        <v>12097</v>
      </c>
      <c r="KE9" t="s">
        <v>280</v>
      </c>
      <c r="KO9" t="s">
        <v>12668</v>
      </c>
      <c r="KT9" t="s">
        <v>469</v>
      </c>
      <c r="MC9" t="s">
        <v>10983</v>
      </c>
      <c r="MM9" t="s">
        <v>1746</v>
      </c>
      <c r="MR9" t="s">
        <v>1849</v>
      </c>
      <c r="MW9" t="s">
        <v>10729</v>
      </c>
      <c r="NB9" t="s">
        <v>4219</v>
      </c>
      <c r="NG9" t="s">
        <v>10709</v>
      </c>
      <c r="NL9" t="s">
        <v>10652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2736</v>
      </c>
      <c r="K1" s="1" t="s">
        <v>2737</v>
      </c>
      <c r="U1" s="1" t="s">
        <v>2738</v>
      </c>
      <c r="AE1" s="1" t="s">
        <v>2739</v>
      </c>
      <c r="AO1" s="1" t="s">
        <v>2740</v>
      </c>
      <c r="AY1" s="1" t="s">
        <v>2741</v>
      </c>
      <c r="BI1" s="1" t="s">
        <v>2742</v>
      </c>
      <c r="BS1" s="1" t="s">
        <v>2743</v>
      </c>
      <c r="CC1" s="1" t="s">
        <v>2744</v>
      </c>
      <c r="CM1" s="1" t="s">
        <v>2745</v>
      </c>
      <c r="CW1" s="1" t="s">
        <v>2746</v>
      </c>
      <c r="DG1" s="1" t="s">
        <v>2747</v>
      </c>
      <c r="DQ1" s="1" t="s">
        <v>2748</v>
      </c>
      <c r="EA1" s="1" t="s">
        <v>2749</v>
      </c>
      <c r="EK1" s="1" t="s">
        <v>2750</v>
      </c>
      <c r="EU1" s="1" t="s">
        <v>2751</v>
      </c>
      <c r="FE1" s="1" t="s">
        <v>2752</v>
      </c>
      <c r="FO1" s="1" t="s">
        <v>2753</v>
      </c>
      <c r="FY1" s="1" t="s">
        <v>2754</v>
      </c>
      <c r="GI1" s="1" t="s">
        <v>2755</v>
      </c>
      <c r="GS1" s="1" t="s">
        <v>2756</v>
      </c>
      <c r="HC1" s="1" t="s">
        <v>2757</v>
      </c>
      <c r="HM1" s="1" t="s">
        <v>2758</v>
      </c>
      <c r="HW1" s="1" t="s">
        <v>2759</v>
      </c>
      <c r="IG1" s="1" t="s">
        <v>2760</v>
      </c>
      <c r="IQ1" s="1" t="s">
        <v>2761</v>
      </c>
      <c r="JA1" s="1" t="s">
        <v>2762</v>
      </c>
      <c r="JK1" s="1" t="s">
        <v>2763</v>
      </c>
      <c r="JU1" s="1" t="s">
        <v>2764</v>
      </c>
      <c r="KE1" s="1" t="s">
        <v>2765</v>
      </c>
      <c r="KO1" s="1" t="s">
        <v>2766</v>
      </c>
      <c r="KY1" s="1" t="s">
        <v>2767</v>
      </c>
      <c r="LI1" s="1" t="s">
        <v>2768</v>
      </c>
      <c r="LS1" s="1" t="s">
        <v>2769</v>
      </c>
      <c r="MC1" s="1" t="s">
        <v>2770</v>
      </c>
      <c r="MM1" s="1" t="s">
        <v>2771</v>
      </c>
      <c r="MW1" s="1" t="s">
        <v>2772</v>
      </c>
      <c r="NG1" s="1" t="s">
        <v>2773</v>
      </c>
      <c r="NQ1" s="1" t="s">
        <v>2774</v>
      </c>
      <c r="OA1" s="1" t="s">
        <v>2775</v>
      </c>
    </row>
    <row r="2" spans="1:396" x14ac:dyDescent="0.25">
      <c r="A2" s="2" t="s">
        <v>64</v>
      </c>
      <c r="K2" s="2" t="s">
        <v>2021</v>
      </c>
      <c r="U2" s="2" t="s">
        <v>2776</v>
      </c>
      <c r="AE2" s="2" t="s">
        <v>261</v>
      </c>
      <c r="AO2" s="2" t="s">
        <v>2777</v>
      </c>
      <c r="AY2" s="2" t="s">
        <v>2778</v>
      </c>
      <c r="BI2" s="2" t="s">
        <v>870</v>
      </c>
      <c r="BS2" s="2" t="s">
        <v>1172</v>
      </c>
      <c r="CC2" s="2" t="s">
        <v>1075</v>
      </c>
      <c r="CM2" s="2" t="s">
        <v>2779</v>
      </c>
      <c r="CW2" s="2" t="s">
        <v>171</v>
      </c>
      <c r="DG2" s="2" t="s">
        <v>282</v>
      </c>
      <c r="DQ2" s="2" t="s">
        <v>2780</v>
      </c>
      <c r="EA2" s="2" t="s">
        <v>2781</v>
      </c>
      <c r="EK2" s="2" t="s">
        <v>2782</v>
      </c>
      <c r="EU2" s="2" t="s">
        <v>2783</v>
      </c>
      <c r="FE2" s="2" t="s">
        <v>1168</v>
      </c>
      <c r="FO2" s="2" t="s">
        <v>2784</v>
      </c>
      <c r="FY2" s="2" t="s">
        <v>386</v>
      </c>
      <c r="GI2" s="2" t="s">
        <v>2294</v>
      </c>
      <c r="GS2" s="2" t="s">
        <v>2785</v>
      </c>
      <c r="HC2" s="2" t="s">
        <v>64</v>
      </c>
      <c r="HM2" s="2" t="s">
        <v>166</v>
      </c>
      <c r="HW2" s="2" t="s">
        <v>2786</v>
      </c>
      <c r="IG2" s="2" t="s">
        <v>2787</v>
      </c>
      <c r="IQ2" s="2" t="s">
        <v>678</v>
      </c>
      <c r="JA2" s="2" t="s">
        <v>64</v>
      </c>
      <c r="JK2" s="2" t="s">
        <v>2788</v>
      </c>
      <c r="JU2" s="2" t="s">
        <v>2789</v>
      </c>
      <c r="KE2" s="2" t="s">
        <v>2790</v>
      </c>
      <c r="KO2" s="2" t="s">
        <v>1165</v>
      </c>
      <c r="KY2" s="2" t="s">
        <v>984</v>
      </c>
      <c r="LI2" s="2" t="s">
        <v>2791</v>
      </c>
      <c r="LS2" s="2" t="s">
        <v>2787</v>
      </c>
      <c r="MC2" s="2" t="s">
        <v>2792</v>
      </c>
      <c r="MM2" s="2" t="s">
        <v>2793</v>
      </c>
      <c r="MW2" s="2" t="s">
        <v>2794</v>
      </c>
      <c r="NG2" s="2" t="s">
        <v>49</v>
      </c>
      <c r="NQ2" s="2" t="s">
        <v>2795</v>
      </c>
      <c r="OA2" s="2" t="s">
        <v>64</v>
      </c>
    </row>
    <row r="3" spans="1:396" x14ac:dyDescent="0.25">
      <c r="A3" t="s">
        <v>2796</v>
      </c>
      <c r="K3" t="s">
        <v>2797</v>
      </c>
      <c r="U3" t="s">
        <v>2798</v>
      </c>
      <c r="AE3" t="s">
        <v>2799</v>
      </c>
      <c r="AO3" t="s">
        <v>2800</v>
      </c>
      <c r="AY3" t="s">
        <v>2801</v>
      </c>
      <c r="BI3" t="s">
        <v>2802</v>
      </c>
      <c r="BS3" t="s">
        <v>2803</v>
      </c>
      <c r="CC3" t="s">
        <v>1091</v>
      </c>
      <c r="CM3" t="s">
        <v>2804</v>
      </c>
      <c r="CW3" t="s">
        <v>1489</v>
      </c>
      <c r="DG3" t="s">
        <v>398</v>
      </c>
      <c r="DQ3" t="s">
        <v>2805</v>
      </c>
      <c r="EA3" t="s">
        <v>2806</v>
      </c>
      <c r="EK3" t="s">
        <v>2807</v>
      </c>
      <c r="EU3" t="s">
        <v>2808</v>
      </c>
      <c r="FE3" t="s">
        <v>2809</v>
      </c>
      <c r="FO3" t="s">
        <v>2810</v>
      </c>
      <c r="FY3" t="s">
        <v>811</v>
      </c>
      <c r="GI3" t="s">
        <v>2811</v>
      </c>
      <c r="GS3" t="s">
        <v>2812</v>
      </c>
      <c r="HC3" t="s">
        <v>2813</v>
      </c>
      <c r="HM3" t="s">
        <v>2814</v>
      </c>
      <c r="HW3" t="s">
        <v>2815</v>
      </c>
      <c r="IG3" t="s">
        <v>2816</v>
      </c>
      <c r="IQ3" t="s">
        <v>2817</v>
      </c>
      <c r="JA3" t="s">
        <v>2818</v>
      </c>
      <c r="JK3" t="s">
        <v>2819</v>
      </c>
      <c r="JU3" t="s">
        <v>2529</v>
      </c>
      <c r="KE3" t="s">
        <v>2820</v>
      </c>
      <c r="KO3" t="s">
        <v>2821</v>
      </c>
      <c r="KY3" t="s">
        <v>2822</v>
      </c>
      <c r="LI3" t="s">
        <v>2823</v>
      </c>
      <c r="LS3" t="s">
        <v>2824</v>
      </c>
      <c r="MC3" t="s">
        <v>2825</v>
      </c>
      <c r="MM3" t="s">
        <v>2826</v>
      </c>
      <c r="MW3" t="s">
        <v>2827</v>
      </c>
      <c r="NG3" t="s">
        <v>2828</v>
      </c>
      <c r="NQ3" t="s">
        <v>2829</v>
      </c>
      <c r="OA3" t="s">
        <v>2830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_xll.BDS("nan Equity","SUPPLY_CHAIN_SUPPLIERS","RELATIONSHIP_AS_OF_DATE","20200722")</f>
        <v>#N/A N/A</v>
      </c>
      <c r="F5" t="str">
        <f>_xll.BDS("nan Equity","SUPPLY_CHAIN_CUSTOMERS","RELATIONSHIP_AS_OF_DATE","20200722")</f>
        <v>#N/A N/A</v>
      </c>
      <c r="K5" t="str">
        <f>_xll.BDS("MHS US Equity","SUPPLY_CHAIN_SUPPLIERS","RELATIONSHIP_AS_OF_DATE","20070828")</f>
        <v>#N/A N/A</v>
      </c>
      <c r="P5" t="str">
        <f>_xll.BDS("MHS US Equity","SUPPLY_CHAIN_CUSTOMERS","RELATIONSHIP_AS_OF_DATE","20070828")</f>
        <v>#N/A N/A</v>
      </c>
      <c r="U5" t="str">
        <f>_xll.BDS("TLRDQ US Equity","SUPPLY_CHAIN_SUPPLIERS","RELATIONSHIP_AS_OF_DATE","20131126","cols=1;rows=5")</f>
        <v>BRX US Equity</v>
      </c>
      <c r="Z5" t="str">
        <f>_xll.BDS("TLRDQ US Equity","SUPPLY_CHAIN_CUSTOMERS","RELATIONSHIP_AS_OF_DATE","20131126")</f>
        <v>#N/A N/A</v>
      </c>
      <c r="AE5" t="str">
        <f>_xll.BDS("HPQ US Equity","SUPPLY_CHAIN_SUPPLIERS","RELATIONSHIP_AS_OF_DATE","20100913","cols=1;rows=5")</f>
        <v>2356 TT Equity</v>
      </c>
      <c r="AJ5" t="str">
        <f>_xll.BDS("HPQ US Equity","SUPPLY_CHAIN_CUSTOMERS","RELATIONSHIP_AS_OF_DATE","20100913","cols=1;rows=5")</f>
        <v>SNX US Equity</v>
      </c>
      <c r="AO5" t="str">
        <f>_xll.BDS("RFMD US Equity","SUPPLY_CHAIN_SUPPLIERS","RELATIONSHIP_AS_OF_DATE","20140224")</f>
        <v>#N/A N/A</v>
      </c>
      <c r="AT5" t="str">
        <f>_xll.BDS("RFMD US Equity","SUPPLY_CHAIN_CUSTOMERS","RELATIONSHIP_AS_OF_DATE","20140224")</f>
        <v>#N/A N/A</v>
      </c>
      <c r="AY5" t="str">
        <f>_xll.BDS("THRY US Equity","SUPPLY_CHAIN_SUPPLIERS","RELATIONSHIP_AS_OF_DATE","20120821","cols=1;rows=5")</f>
        <v>2416880D US Equity</v>
      </c>
      <c r="BD5" t="str">
        <f>_xll.BDS("THRY US Equity","SUPPLY_CHAIN_CUSTOMERS","RELATIONSHIP_AS_OF_DATE","20120821")</f>
        <v>TRKAQ US Equity</v>
      </c>
      <c r="BI5" t="str">
        <f>_xll.BDS("LLY US Equity","SUPPLY_CHAIN_SUPPLIERS","RELATIONSHIP_AS_OF_DATE","20180510","cols=1;rows=5")</f>
        <v>RIGL US Equity</v>
      </c>
      <c r="BN5" t="str">
        <f>_xll.BDS("LLY US Equity","SUPPLY_CHAIN_CUSTOMERS","RELATIONSHIP_AS_OF_DATE","20180510","cols=1;rows=5")</f>
        <v>MCK US Equity</v>
      </c>
      <c r="BS5" t="str">
        <f>_xll.BDS("SANM US Equity","SUPPLY_CHAIN_SUPPLIERS","RELATIONSHIP_AS_OF_DATE","20000417","cols=1;rows=5")</f>
        <v>MU US Equity</v>
      </c>
      <c r="BX5" t="str">
        <f>_xll.BDS("SANM US Equity","SUPPLY_CHAIN_CUSTOMERS","RELATIONSHIP_AS_OF_DATE","20000417","cols=1;rows=5")</f>
        <v>MSI US Equity</v>
      </c>
      <c r="CC5" t="str">
        <f>_xll.BDS("AA US Equity","SUPPLY_CHAIN_SUPPLIERS","RELATIONSHIP_AS_OF_DATE","20150309","cols=1;rows=5")</f>
        <v>MAADEN AB Equity</v>
      </c>
      <c r="CH5" t="str">
        <f>_xll.BDS("AA US Equity","SUPPLY_CHAIN_CUSTOMERS","RELATIONSHIP_AS_OF_DATE","20150309","cols=1;rows=5")</f>
        <v>MAADEN AB Equity</v>
      </c>
      <c r="CM5" t="str">
        <f>_xll.BDS("YELLQ US Equity","SUPPLY_CHAIN_SUPPLIERS","RELATIONSHIP_AS_OF_DATE","20050227","cols=1;rows=5")</f>
        <v>ML FP Equity</v>
      </c>
      <c r="CR5" t="str">
        <f>_xll.BDS("YELLQ US Equity","SUPPLY_CHAIN_CUSTOMERS","RELATIONSHIP_AS_OF_DATE","20050227","cols=1;rows=5")</f>
        <v>0219682Z US Equity</v>
      </c>
      <c r="CW5" t="str">
        <f>_xll.BDS("ORCL US Equity","SUPPLY_CHAIN_SUPPLIERS","RELATIONSHIP_AS_OF_DATE","20111024","cols=1;rows=5")</f>
        <v>NVDA US Equity</v>
      </c>
      <c r="DB5" t="str">
        <f>_xll.BDS("ORCL US Equity","SUPPLY_CHAIN_CUSTOMERS","RELATIONSHIP_AS_OF_DATE","20111024","cols=1;rows=5")</f>
        <v>ACN US Equity</v>
      </c>
      <c r="DG5" t="str">
        <f>_xll.BDS("9876456D US Equity","SUPPLY_CHAIN_SUPPLIERS","RELATIONSHIP_AS_OF_DATE","20060915")</f>
        <v>#N/A N/A</v>
      </c>
      <c r="DL5" t="str">
        <f>_xll.BDS("9876456D US Equity","SUPPLY_CHAIN_CUSTOMERS","RELATIONSHIP_AS_OF_DATE","20060915")</f>
        <v>#N/A N/A</v>
      </c>
      <c r="DQ5" t="str">
        <f>_xll.BDS("UCOMA US Equity","SUPPLY_CHAIN_SUPPLIERS","RELATIONSHIP_AS_OF_DATE","20031006")</f>
        <v>#N/A N/A</v>
      </c>
      <c r="DV5" t="str">
        <f>_xll.BDS("UCOMA US Equity","SUPPLY_CHAIN_CUSTOMERS","RELATIONSHIP_AS_OF_DATE","20031006")</f>
        <v>#N/A N/A</v>
      </c>
      <c r="EA5" t="str">
        <f>_xll.BDS("EXE US Equity","SUPPLY_CHAIN_SUPPLIERS","RELATIONSHIP_AS_OF_DATE","20210811","cols=1;rows=5")</f>
        <v>PRIM US Equity</v>
      </c>
      <c r="EF5" t="str">
        <f>_xll.BDS("EXE US Equity","SUPPLY_CHAIN_CUSTOMERS","RELATIONSHIP_AS_OF_DATE","20210811","cols=1;rows=3")</f>
        <v>37895Z CY Equity</v>
      </c>
      <c r="EK5" t="str">
        <f>_xll.BDS("ICBC US Equity","SUPPLY_CHAIN_SUPPLIERS","RELATIONSHIP_AS_OF_DATE","20031125")</f>
        <v>#N/A N/A</v>
      </c>
      <c r="EP5" t="str">
        <f>_xll.BDS("ICBC US Equity","SUPPLY_CHAIN_CUSTOMERS","RELATIONSHIP_AS_OF_DATE","20031125")</f>
        <v>#N/A N/A</v>
      </c>
      <c r="EU5" t="str">
        <f>_xll.BDS("WBMD US Equity","SUPPLY_CHAIN_SUPPLIERS","RELATIONSHIP_AS_OF_DATE","20090618")</f>
        <v>LSPK CN Equity</v>
      </c>
      <c r="EZ5" t="str">
        <f>_xll.BDS("WBMD US Equity","SUPPLY_CHAIN_CUSTOMERS","RELATIONSHIP_AS_OF_DATE","20090618")</f>
        <v>#N/A N/A</v>
      </c>
      <c r="FE5" t="str">
        <f>_xll.BDS("LNWO US Equity","SUPPLY_CHAIN_SUPPLIERS","RELATIONSHIP_AS_OF_DATE","20130131","cols=1;rows=5")</f>
        <v>HAS US Equity</v>
      </c>
      <c r="FJ5" t="str">
        <f>_xll.BDS("LNWO US Equity","SUPPLY_CHAIN_CUSTOMERS","RELATIONSHIP_AS_OF_DATE","20130131","cols=1;rows=5")</f>
        <v>ENT LN Equity</v>
      </c>
      <c r="FO5" t="str">
        <f>_xll.BDS("TRUL CN Equity","SUPPLY_CHAIN_SUPPLIERS","RELATIONSHIP_AS_OF_DATE","20210510","cols=1;rows=2")</f>
        <v>IIPR US Equity</v>
      </c>
      <c r="FT5" t="str">
        <f>_xll.BDS("TRUL CN Equity","SUPPLY_CHAIN_CUSTOMERS","RELATIONSHIP_AS_OF_DATE","20210510")</f>
        <v>#N/A N/A</v>
      </c>
      <c r="FY5" t="str">
        <f>_xll.BDS("WAMUQ US Equity","SUPPLY_CHAIN_SUPPLIERS","RELATIONSHIP_AS_OF_DATE","20000821")</f>
        <v>#N/A N/A</v>
      </c>
      <c r="GD5" t="str">
        <f>_xll.BDS("WAMUQ US Equity","SUPPLY_CHAIN_CUSTOMERS","RELATIONSHIP_AS_OF_DATE","20000821")</f>
        <v>#N/A N/A</v>
      </c>
      <c r="GI5" t="str">
        <f>_xll.BDS("2258717D US Equity","SUPPLY_CHAIN_SUPPLIERS","RELATIONSHIP_AS_OF_DATE","20031014")</f>
        <v>#N/A N/A</v>
      </c>
      <c r="GN5" t="str">
        <f>_xll.BDS("2258717D US Equity","SUPPLY_CHAIN_CUSTOMERS","RELATIONSHIP_AS_OF_DATE","20031014")</f>
        <v>#N/A N/A</v>
      </c>
      <c r="GS5" t="str">
        <f>_xll.BDS("CRL US Equity","SUPPLY_CHAIN_SUPPLIERS","RELATIONSHIP_AS_OF_DATE","20040701","cols=1;rows=5")</f>
        <v>ARE US Equity</v>
      </c>
      <c r="GX5" t="str">
        <f>_xll.BDS("CRL US Equity","SUPPLY_CHAIN_CUSTOMERS","RELATIONSHIP_AS_OF_DATE","20040701","cols=1;rows=5")</f>
        <v>JNJ US Equity</v>
      </c>
      <c r="HC5" t="str">
        <f>_xll.BDS("nan Equity","SUPPLY_CHAIN_SUPPLIERS","RELATIONSHIP_AS_OF_DATE","19980120")</f>
        <v>#N/A N/A</v>
      </c>
      <c r="HH5" t="str">
        <f>_xll.BDS("nan Equity","SUPPLY_CHAIN_CUSTOMERS","RELATIONSHIP_AS_OF_DATE","19980120")</f>
        <v>#N/A N/A</v>
      </c>
      <c r="HM5" t="str">
        <f>_xll.BDS("WFC US Equity","SUPPLY_CHAIN_SUPPLIERS","RELATIONSHIP_AS_OF_DATE","20070504","cols=1;rows=5")</f>
        <v>ADBE US Equity</v>
      </c>
      <c r="HR5" t="str">
        <f>_xll.BDS("WFC US Equity","SUPPLY_CHAIN_CUSTOMERS","RELATIONSHIP_AS_OF_DATE","20070504","cols=1;rows=5")</f>
        <v>CDW US Equity</v>
      </c>
      <c r="HW5" t="str">
        <f>_xll.BDS("JNY US Equity","SUPPLY_CHAIN_SUPPLIERS","RELATIONSHIP_AS_OF_DATE","19990303")</f>
        <v>#N/A N/A</v>
      </c>
      <c r="IB5" t="str">
        <f>_xll.BDS("JNY US Equity","SUPPLY_CHAIN_CUSTOMERS","RELATIONSHIP_AS_OF_DATE","19990303")</f>
        <v>MAPI IJ Equity</v>
      </c>
      <c r="IG5" t="str">
        <f>_xll.BDS("1856613D US Equity","SUPPLY_CHAIN_SUPPLIERS","RELATIONSHIP_AS_OF_DATE","20060815")</f>
        <v>#N/A N/A</v>
      </c>
      <c r="IL5" t="str">
        <f>_xll.BDS("1856613D US Equity","SUPPLY_CHAIN_CUSTOMERS","RELATIONSHIP_AS_OF_DATE","20060815")</f>
        <v>#N/A N/A</v>
      </c>
      <c r="IQ5" t="str">
        <f>_xll.BDS("WEC US Equity","SUPPLY_CHAIN_SUPPLIERS","RELATIONSHIP_AS_OF_DATE","19990628","cols=1;rows=5")</f>
        <v>LNT US Equity</v>
      </c>
      <c r="IV5" t="str">
        <f>_xll.BDS("WEC US Equity","SUPPLY_CHAIN_CUSTOMERS","RELATIONSHIP_AS_OF_DATE","19990628","cols=1;rows=5")</f>
        <v>LNT US Equity</v>
      </c>
      <c r="JA5" t="str">
        <f>_xll.BDS("nan Equity","SUPPLY_CHAIN_SUPPLIERS","RELATIONSHIP_AS_OF_DATE","20070216")</f>
        <v>#N/A N/A</v>
      </c>
      <c r="JF5" t="str">
        <f>_xll.BDS("nan Equity","SUPPLY_CHAIN_CUSTOMERS","RELATIONSHIP_AS_OF_DATE","20070216")</f>
        <v>#N/A N/A</v>
      </c>
      <c r="JK5" t="str">
        <f>_xll.BDS("CNSL US Equity","SUPPLY_CHAIN_SUPPLIERS","RELATIONSHIP_AS_OF_DATE","20161205","cols=1;rows=5")</f>
        <v>DY US Equity</v>
      </c>
      <c r="JP5" t="str">
        <f>_xll.BDS("CNSL US Equity","SUPPLY_CHAIN_CUSTOMERS","RELATIONSHIP_AS_OF_DATE","20161205","cols=1;rows=2")</f>
        <v>SCSC US Equity</v>
      </c>
      <c r="JU5" t="str">
        <f>_xll.BDS("KMPR US Equity","SUPPLY_CHAIN_SUPPLIERS","RELATIONSHIP_AS_OF_DATE","20180213")</f>
        <v>#N/A N/A</v>
      </c>
      <c r="JZ5" t="str">
        <f>_xll.BDS("KMPR US Equity","SUPPLY_CHAIN_CUSTOMERS","RELATIONSHIP_AS_OF_DATE","20180213")</f>
        <v>#N/A N/A</v>
      </c>
      <c r="KE5" t="str">
        <f>_xll.BDS("HTV US Equity","SUPPLY_CHAIN_SUPPLIERS","RELATIONSHIP_AS_OF_DATE","19980526","cols=1;rows=2")</f>
        <v>IAS US Equity</v>
      </c>
      <c r="KJ5" t="str">
        <f>_xll.BDS("HTV US Equity","SUPPLY_CHAIN_CUSTOMERS","RELATIONSHIP_AS_OF_DATE","19980526")</f>
        <v>#N/A N/A</v>
      </c>
      <c r="KO5" t="str">
        <f>_xll.BDS("BKD US Equity","SUPPLY_CHAIN_SUPPLIERS","RELATIONSHIP_AS_OF_DATE","20060512","cols=1;rows=4")</f>
        <v>VTR US Equity</v>
      </c>
      <c r="KT5" t="str">
        <f>_xll.BDS("BKD US Equity","SUPPLY_CHAIN_CUSTOMERS","RELATIONSHIP_AS_OF_DATE","20060512")</f>
        <v>9877893Z US Equity</v>
      </c>
      <c r="KY5" t="str">
        <f>_xll.BDS("3692470Q US Equity","SUPPLY_CHAIN_SUPPLIERS","RELATIONSHIP_AS_OF_DATE","19981218")</f>
        <v>#N/A N/A</v>
      </c>
      <c r="LD5" t="str">
        <f>_xll.BDS("3692470Q US Equity","SUPPLY_CHAIN_CUSTOMERS","RELATIONSHIP_AS_OF_DATE","19981218")</f>
        <v>#N/A N/A</v>
      </c>
      <c r="LI5" t="str">
        <f>_xll.BDS("EXR US Equity","SUPPLY_CHAIN_SUPPLIERS","RELATIONSHIP_AS_OF_DATE","20150615","cols=1;rows=5")</f>
        <v>WPC US Equity</v>
      </c>
      <c r="LN5" t="str">
        <f>_xll.BDS("EXR US Equity","SUPPLY_CHAIN_CUSTOMERS","RELATIONSHIP_AS_OF_DATE","20150615")</f>
        <v>#N/A N/A</v>
      </c>
      <c r="LS5" t="str">
        <f>_xll.BDS("1856613D US Equity","SUPPLY_CHAIN_SUPPLIERS","RELATIONSHIP_AS_OF_DATE","20050124")</f>
        <v>#N/A N/A</v>
      </c>
      <c r="LX5" t="str">
        <f>_xll.BDS("1856613D US Equity","SUPPLY_CHAIN_CUSTOMERS","RELATIONSHIP_AS_OF_DATE","20050124")</f>
        <v>#N/A N/A</v>
      </c>
      <c r="MC5" t="str">
        <f>_xll.BDS("TXT US Equity","SUPPLY_CHAIN_SUPPLIERS","RELATIONSHIP_AS_OF_DATE","20131226","cols=1;rows=5")</f>
        <v>RR/ LN Equity</v>
      </c>
      <c r="MH5" t="str">
        <f>_xll.BDS("TXT US Equity","SUPPLY_CHAIN_CUSTOMERS","RELATIONSHIP_AS_OF_DATE","20131226","cols=1;rows=5")</f>
        <v>3352Z US Equity</v>
      </c>
      <c r="MM5" t="str">
        <f>_xll.BDS("1919709D US Equity","SUPPLY_CHAIN_SUPPLIERS","RELATIONSHIP_AS_OF_DATE","20130609")</f>
        <v>#N/A N/A</v>
      </c>
      <c r="MR5" t="str">
        <f>_xll.BDS("1919709D US Equity","SUPPLY_CHAIN_CUSTOMERS","RELATIONSHIP_AS_OF_DATE","20130609")</f>
        <v>#N/A N/A</v>
      </c>
      <c r="MW5" t="str">
        <f>_xll.BDS("CLP US Equity","SUPPLY_CHAIN_SUPPLIERS","RELATIONSHIP_AS_OF_DATE","20041025")</f>
        <v>#N/A N/A</v>
      </c>
      <c r="NB5" t="str">
        <f>_xll.BDS("CLP US Equity","SUPPLY_CHAIN_CUSTOMERS","RELATIONSHIP_AS_OF_DATE","20041025")</f>
        <v>#N/A N/A</v>
      </c>
      <c r="NG5" t="str">
        <f>_xll.BDS("VZ US Equity","SUPPLY_CHAIN_SUPPLIERS","RELATIONSHIP_AS_OF_DATE","20120601","cols=1;rows=5")</f>
        <v>AAPL US Equity</v>
      </c>
      <c r="NL5" t="str">
        <f>_xll.BDS("VZ US Equity","SUPPLY_CHAIN_CUSTOMERS","RELATIONSHIP_AS_OF_DATE","20120601","cols=1;rows=5")</f>
        <v>SNX US Equity</v>
      </c>
      <c r="NQ5" t="str">
        <f>_xll.BDS("A US Equity","SUPPLY_CHAIN_SUPPLIERS","RELATIONSHIP_AS_OF_DATE","20090727","cols=1;rows=5")</f>
        <v>FLEX US Equity</v>
      </c>
      <c r="NV5" t="str">
        <f>_xll.BDS("A US Equity","SUPPLY_CHAIN_CUSTOMERS","RELATIONSHIP_AS_OF_DATE","20090727","cols=1;rows=5")</f>
        <v>6661 TT Equity</v>
      </c>
      <c r="OA5" t="str">
        <f>_xll.BDS("nan Equity","SUPPLY_CHAIN_SUPPLIERS","RELATIONSHIP_AS_OF_DATE","20170802")</f>
        <v>#N/A N/A</v>
      </c>
      <c r="OF5" t="str">
        <f>_xll.BDS("nan Equity","SUPPLY_CHAIN_CUSTOMERS","RELATIONSHIP_AS_OF_DATE","20170802")</f>
        <v>#N/A N/A</v>
      </c>
    </row>
    <row r="6" spans="1:396" x14ac:dyDescent="0.25">
      <c r="U6" t="s">
        <v>11959</v>
      </c>
      <c r="AE6" t="s">
        <v>383</v>
      </c>
      <c r="AJ6" t="s">
        <v>4139</v>
      </c>
      <c r="AY6" t="s">
        <v>1264</v>
      </c>
      <c r="BI6" t="s">
        <v>10846</v>
      </c>
      <c r="BN6" t="s">
        <v>1468</v>
      </c>
      <c r="BS6" t="s">
        <v>12183</v>
      </c>
      <c r="BX6" t="s">
        <v>11376</v>
      </c>
      <c r="CC6" t="s">
        <v>12250</v>
      </c>
      <c r="CH6" t="s">
        <v>12161</v>
      </c>
      <c r="CM6" t="s">
        <v>12647</v>
      </c>
      <c r="CR6" t="s">
        <v>10657</v>
      </c>
      <c r="CW6" t="s">
        <v>162</v>
      </c>
      <c r="DB6" t="s">
        <v>469</v>
      </c>
      <c r="EA6" t="s">
        <v>4211</v>
      </c>
      <c r="EF6" t="s">
        <v>11540</v>
      </c>
      <c r="FE6" t="s">
        <v>10711</v>
      </c>
      <c r="FJ6" t="s">
        <v>10698</v>
      </c>
      <c r="FO6" t="s">
        <v>13170</v>
      </c>
      <c r="GS6" t="s">
        <v>12411</v>
      </c>
      <c r="GX6" t="s">
        <v>43</v>
      </c>
      <c r="HM6" t="s">
        <v>10986</v>
      </c>
      <c r="HR6" t="s">
        <v>11473</v>
      </c>
      <c r="IQ6" t="s">
        <v>12642</v>
      </c>
      <c r="IV6" t="s">
        <v>12640</v>
      </c>
      <c r="JK6" t="s">
        <v>3955</v>
      </c>
      <c r="JP6" t="s">
        <v>11113</v>
      </c>
      <c r="KE6" t="s">
        <v>773</v>
      </c>
      <c r="KO6" t="s">
        <v>2131</v>
      </c>
      <c r="LI6" t="s">
        <v>10889</v>
      </c>
      <c r="MC6" t="s">
        <v>42</v>
      </c>
      <c r="MH6" t="s">
        <v>158</v>
      </c>
      <c r="NG6" t="s">
        <v>10892</v>
      </c>
      <c r="NL6" t="s">
        <v>6473</v>
      </c>
      <c r="NQ6" t="s">
        <v>11168</v>
      </c>
      <c r="NV6" t="s">
        <v>10980</v>
      </c>
    </row>
    <row r="7" spans="1:396" x14ac:dyDescent="0.25">
      <c r="U7" t="s">
        <v>988</v>
      </c>
      <c r="AE7" t="s">
        <v>11038</v>
      </c>
      <c r="AJ7" t="s">
        <v>11749</v>
      </c>
      <c r="AY7" t="s">
        <v>691</v>
      </c>
      <c r="BI7" t="s">
        <v>10847</v>
      </c>
      <c r="BN7" t="s">
        <v>970</v>
      </c>
      <c r="BS7" t="s">
        <v>4043</v>
      </c>
      <c r="BX7" t="s">
        <v>10785</v>
      </c>
      <c r="CC7" t="s">
        <v>12204</v>
      </c>
      <c r="CH7" t="s">
        <v>12162</v>
      </c>
      <c r="CM7" t="s">
        <v>12648</v>
      </c>
      <c r="CR7" t="s">
        <v>469</v>
      </c>
      <c r="CW7" t="s">
        <v>279</v>
      </c>
      <c r="DB7" t="s">
        <v>2881</v>
      </c>
      <c r="EA7" t="s">
        <v>11312</v>
      </c>
      <c r="EF7" t="s">
        <v>780</v>
      </c>
      <c r="FE7" t="s">
        <v>10712</v>
      </c>
      <c r="FJ7" t="s">
        <v>10699</v>
      </c>
      <c r="GS7" t="s">
        <v>12412</v>
      </c>
      <c r="GX7" t="s">
        <v>11018</v>
      </c>
      <c r="HM7" t="s">
        <v>988</v>
      </c>
      <c r="HR7" t="s">
        <v>10787</v>
      </c>
      <c r="IQ7" t="s">
        <v>12979</v>
      </c>
      <c r="IV7" t="s">
        <v>12641</v>
      </c>
      <c r="JK7" t="s">
        <v>3712</v>
      </c>
      <c r="KO7" t="s">
        <v>13234</v>
      </c>
      <c r="LI7" t="s">
        <v>13134</v>
      </c>
      <c r="MC7" t="s">
        <v>371</v>
      </c>
      <c r="MH7" t="s">
        <v>3073</v>
      </c>
      <c r="NG7" t="s">
        <v>670</v>
      </c>
      <c r="NL7" t="s">
        <v>10660</v>
      </c>
      <c r="NQ7" t="s">
        <v>273</v>
      </c>
      <c r="NV7" t="s">
        <v>11580</v>
      </c>
    </row>
    <row r="8" spans="1:396" x14ac:dyDescent="0.25">
      <c r="U8" t="s">
        <v>991</v>
      </c>
      <c r="AE8" t="s">
        <v>11176</v>
      </c>
      <c r="AJ8" t="s">
        <v>10660</v>
      </c>
      <c r="AY8" t="s">
        <v>12874</v>
      </c>
      <c r="BI8" t="s">
        <v>2785</v>
      </c>
      <c r="BN8" t="s">
        <v>10799</v>
      </c>
      <c r="BS8" t="s">
        <v>155</v>
      </c>
      <c r="BX8" t="s">
        <v>2968</v>
      </c>
      <c r="CC8" t="s">
        <v>772</v>
      </c>
      <c r="CH8" t="s">
        <v>12163</v>
      </c>
      <c r="CM8" t="s">
        <v>790</v>
      </c>
      <c r="CR8" t="s">
        <v>4045</v>
      </c>
      <c r="CW8" t="s">
        <v>10818</v>
      </c>
      <c r="DB8" t="s">
        <v>52</v>
      </c>
      <c r="EA8" t="s">
        <v>11355</v>
      </c>
      <c r="FE8" t="s">
        <v>41</v>
      </c>
      <c r="FJ8" t="s">
        <v>10700</v>
      </c>
      <c r="GS8" t="s">
        <v>12413</v>
      </c>
      <c r="GX8" t="s">
        <v>870</v>
      </c>
      <c r="HM8" t="s">
        <v>1548</v>
      </c>
      <c r="HR8" t="s">
        <v>3340</v>
      </c>
      <c r="IQ8" t="s">
        <v>12980</v>
      </c>
      <c r="IV8" t="s">
        <v>12642</v>
      </c>
      <c r="JK8" t="s">
        <v>11139</v>
      </c>
      <c r="KO8" t="s">
        <v>11157</v>
      </c>
      <c r="LI8" t="s">
        <v>12880</v>
      </c>
      <c r="MC8" t="s">
        <v>1164</v>
      </c>
      <c r="MH8" t="s">
        <v>10953</v>
      </c>
      <c r="NG8" t="s">
        <v>2705</v>
      </c>
      <c r="NL8" t="s">
        <v>4219</v>
      </c>
      <c r="NQ8" t="s">
        <v>8602</v>
      </c>
      <c r="NV8" t="s">
        <v>11803</v>
      </c>
    </row>
    <row r="9" spans="1:396" x14ac:dyDescent="0.25">
      <c r="U9" t="s">
        <v>11960</v>
      </c>
      <c r="AE9" t="s">
        <v>10852</v>
      </c>
      <c r="AJ9" t="s">
        <v>10918</v>
      </c>
      <c r="AY9" t="s">
        <v>2705</v>
      </c>
      <c r="BI9" t="s">
        <v>10821</v>
      </c>
      <c r="BN9" t="s">
        <v>10800</v>
      </c>
      <c r="BS9" t="s">
        <v>5592</v>
      </c>
      <c r="BX9" t="s">
        <v>667</v>
      </c>
      <c r="CC9" t="s">
        <v>10940</v>
      </c>
      <c r="CH9" t="s">
        <v>12164</v>
      </c>
      <c r="CM9" t="s">
        <v>158</v>
      </c>
      <c r="CR9" t="s">
        <v>12380</v>
      </c>
      <c r="CW9" t="s">
        <v>384</v>
      </c>
      <c r="DB9" t="s">
        <v>472</v>
      </c>
      <c r="EA9" t="s">
        <v>11356</v>
      </c>
      <c r="FE9" t="s">
        <v>5236</v>
      </c>
      <c r="FJ9" t="s">
        <v>10701</v>
      </c>
      <c r="GS9" t="s">
        <v>12414</v>
      </c>
      <c r="GX9" t="s">
        <v>44</v>
      </c>
      <c r="HM9" t="s">
        <v>10877</v>
      </c>
      <c r="HR9" t="s">
        <v>11174</v>
      </c>
      <c r="IQ9" t="s">
        <v>12981</v>
      </c>
      <c r="IV9" t="s">
        <v>11229</v>
      </c>
      <c r="JK9" t="s">
        <v>11140</v>
      </c>
      <c r="LI9" t="s">
        <v>988</v>
      </c>
      <c r="MC9" t="s">
        <v>1172</v>
      </c>
      <c r="MH9" t="s">
        <v>10660</v>
      </c>
      <c r="NG9" t="s">
        <v>10738</v>
      </c>
      <c r="NL9" t="s">
        <v>10680</v>
      </c>
      <c r="NQ9" t="s">
        <v>10878</v>
      </c>
      <c r="NV9" t="s">
        <v>11804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2831</v>
      </c>
      <c r="K1" s="1" t="s">
        <v>2832</v>
      </c>
      <c r="U1" s="1" t="s">
        <v>2833</v>
      </c>
      <c r="AE1" s="1" t="s">
        <v>2834</v>
      </c>
      <c r="AO1" s="1" t="s">
        <v>2835</v>
      </c>
      <c r="AY1" s="1" t="s">
        <v>2836</v>
      </c>
      <c r="BI1" s="1" t="s">
        <v>2837</v>
      </c>
      <c r="BS1" s="1" t="s">
        <v>2838</v>
      </c>
      <c r="CC1" s="1" t="s">
        <v>2839</v>
      </c>
      <c r="CM1" s="1" t="s">
        <v>2840</v>
      </c>
      <c r="CW1" s="1" t="s">
        <v>2841</v>
      </c>
      <c r="DG1" s="1" t="s">
        <v>2842</v>
      </c>
      <c r="DQ1" s="1" t="s">
        <v>2843</v>
      </c>
      <c r="EA1" s="1" t="s">
        <v>2844</v>
      </c>
      <c r="EK1" s="1" t="s">
        <v>2845</v>
      </c>
      <c r="EU1" s="1" t="s">
        <v>2846</v>
      </c>
      <c r="FE1" s="1" t="s">
        <v>2847</v>
      </c>
      <c r="FO1" s="1" t="s">
        <v>2848</v>
      </c>
      <c r="FY1" s="1" t="s">
        <v>2849</v>
      </c>
      <c r="GI1" s="1" t="s">
        <v>2850</v>
      </c>
      <c r="GS1" s="1" t="s">
        <v>2851</v>
      </c>
      <c r="HC1" s="1" t="s">
        <v>2852</v>
      </c>
      <c r="HM1" s="1" t="s">
        <v>2853</v>
      </c>
      <c r="HW1" s="1" t="s">
        <v>2854</v>
      </c>
      <c r="IG1" s="1" t="s">
        <v>2855</v>
      </c>
      <c r="IQ1" s="1" t="s">
        <v>2856</v>
      </c>
      <c r="JA1" s="1" t="s">
        <v>2857</v>
      </c>
      <c r="JK1" s="1" t="s">
        <v>2858</v>
      </c>
      <c r="JU1" s="1" t="s">
        <v>2859</v>
      </c>
      <c r="KE1" s="1" t="s">
        <v>2860</v>
      </c>
      <c r="KO1" s="1" t="s">
        <v>2861</v>
      </c>
      <c r="KY1" s="1" t="s">
        <v>2862</v>
      </c>
      <c r="LI1" s="1" t="s">
        <v>2863</v>
      </c>
      <c r="LS1" s="1" t="s">
        <v>2864</v>
      </c>
      <c r="MC1" s="1" t="s">
        <v>2865</v>
      </c>
      <c r="MM1" s="1" t="s">
        <v>2866</v>
      </c>
      <c r="MW1" s="1" t="s">
        <v>2867</v>
      </c>
      <c r="NG1" s="1" t="s">
        <v>2868</v>
      </c>
      <c r="NQ1" s="1" t="s">
        <v>2869</v>
      </c>
      <c r="OA1" s="1" t="s">
        <v>2870</v>
      </c>
    </row>
    <row r="2" spans="1:396" x14ac:dyDescent="0.25">
      <c r="A2" s="2" t="s">
        <v>2871</v>
      </c>
      <c r="K2" s="2" t="s">
        <v>2872</v>
      </c>
      <c r="U2" s="2" t="s">
        <v>2873</v>
      </c>
      <c r="AE2" s="2" t="s">
        <v>2874</v>
      </c>
      <c r="AO2" s="2" t="s">
        <v>2401</v>
      </c>
      <c r="AY2" s="2" t="s">
        <v>2875</v>
      </c>
      <c r="BI2" s="2" t="s">
        <v>1264</v>
      </c>
      <c r="BS2" s="2" t="s">
        <v>2876</v>
      </c>
      <c r="CC2" s="2" t="s">
        <v>2877</v>
      </c>
      <c r="CM2" s="2" t="s">
        <v>2878</v>
      </c>
      <c r="CW2" s="2" t="s">
        <v>2879</v>
      </c>
      <c r="DG2" s="2" t="s">
        <v>1656</v>
      </c>
      <c r="DQ2" s="2" t="s">
        <v>2880</v>
      </c>
      <c r="EA2" s="2" t="s">
        <v>1262</v>
      </c>
      <c r="EK2" s="2" t="s">
        <v>50</v>
      </c>
      <c r="EU2" s="2" t="s">
        <v>2218</v>
      </c>
      <c r="FE2" s="2" t="s">
        <v>2606</v>
      </c>
      <c r="FO2" s="2" t="s">
        <v>2881</v>
      </c>
      <c r="FY2" s="2" t="s">
        <v>1177</v>
      </c>
      <c r="GI2" s="2" t="s">
        <v>2882</v>
      </c>
      <c r="GS2" s="2" t="s">
        <v>775</v>
      </c>
      <c r="HC2" s="2" t="s">
        <v>685</v>
      </c>
      <c r="HM2" s="2" t="s">
        <v>275</v>
      </c>
      <c r="HW2" s="2" t="s">
        <v>2883</v>
      </c>
      <c r="IG2" s="2" t="s">
        <v>2884</v>
      </c>
      <c r="IQ2" s="2" t="s">
        <v>2885</v>
      </c>
      <c r="JA2" s="2" t="s">
        <v>368</v>
      </c>
      <c r="JK2" s="2" t="s">
        <v>2877</v>
      </c>
      <c r="JU2" s="2" t="s">
        <v>2886</v>
      </c>
      <c r="KE2" s="2" t="s">
        <v>2887</v>
      </c>
      <c r="KO2" s="2" t="s">
        <v>1083</v>
      </c>
      <c r="KY2" s="2" t="s">
        <v>2419</v>
      </c>
      <c r="LI2" s="2" t="s">
        <v>2888</v>
      </c>
      <c r="LS2" s="2" t="s">
        <v>70</v>
      </c>
      <c r="MC2" s="2" t="s">
        <v>2889</v>
      </c>
      <c r="MM2" s="2" t="s">
        <v>881</v>
      </c>
      <c r="MW2" s="2" t="s">
        <v>2890</v>
      </c>
      <c r="NG2" s="2" t="s">
        <v>2891</v>
      </c>
      <c r="NQ2" s="2" t="s">
        <v>70</v>
      </c>
      <c r="OA2" s="2" t="s">
        <v>2026</v>
      </c>
    </row>
    <row r="3" spans="1:396" x14ac:dyDescent="0.25">
      <c r="A3" t="s">
        <v>2810</v>
      </c>
      <c r="K3" t="s">
        <v>607</v>
      </c>
      <c r="U3" t="s">
        <v>2892</v>
      </c>
      <c r="AE3" t="s">
        <v>2893</v>
      </c>
      <c r="AO3" t="s">
        <v>2894</v>
      </c>
      <c r="AY3" t="s">
        <v>2895</v>
      </c>
      <c r="BI3" t="s">
        <v>2896</v>
      </c>
      <c r="BS3" t="s">
        <v>2897</v>
      </c>
      <c r="CC3" t="s">
        <v>2898</v>
      </c>
      <c r="CM3" t="s">
        <v>2899</v>
      </c>
      <c r="CW3" t="s">
        <v>2900</v>
      </c>
      <c r="DG3" t="s">
        <v>1302</v>
      </c>
      <c r="DQ3" t="s">
        <v>2715</v>
      </c>
      <c r="EA3" t="s">
        <v>2901</v>
      </c>
      <c r="EK3" t="s">
        <v>2902</v>
      </c>
      <c r="EU3" t="s">
        <v>2903</v>
      </c>
      <c r="FE3" t="s">
        <v>2904</v>
      </c>
      <c r="FO3" t="s">
        <v>2905</v>
      </c>
      <c r="FY3" t="s">
        <v>2906</v>
      </c>
      <c r="GI3" t="s">
        <v>2907</v>
      </c>
      <c r="GS3" t="s">
        <v>2908</v>
      </c>
      <c r="HC3" t="s">
        <v>2147</v>
      </c>
      <c r="HM3" t="s">
        <v>2909</v>
      </c>
      <c r="HW3" t="s">
        <v>2910</v>
      </c>
      <c r="IG3" t="s">
        <v>2911</v>
      </c>
      <c r="IQ3" t="s">
        <v>2912</v>
      </c>
      <c r="JA3" t="s">
        <v>2067</v>
      </c>
      <c r="JK3" t="s">
        <v>2913</v>
      </c>
      <c r="JU3" t="s">
        <v>2914</v>
      </c>
      <c r="KE3" t="s">
        <v>2915</v>
      </c>
      <c r="KO3" t="s">
        <v>2916</v>
      </c>
      <c r="KY3" t="s">
        <v>2917</v>
      </c>
      <c r="LI3" t="s">
        <v>2918</v>
      </c>
      <c r="LS3" t="s">
        <v>2919</v>
      </c>
      <c r="MC3" t="s">
        <v>2920</v>
      </c>
      <c r="MM3" t="s">
        <v>2921</v>
      </c>
      <c r="MW3" t="s">
        <v>2922</v>
      </c>
      <c r="NG3" t="s">
        <v>2923</v>
      </c>
      <c r="NQ3" t="s">
        <v>2924</v>
      </c>
      <c r="OA3" t="s">
        <v>2925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_xll.BDS("CIVI US Equity","SUPPLY_CHAIN_SUPPLIERS","RELATIONSHIP_AS_OF_DATE","20210510","cols=1;rows=5")</f>
        <v>PNRG US Equity</v>
      </c>
      <c r="F5" t="str">
        <f>_xll.BDS("CIVI US Equity","SUPPLY_CHAIN_CUSTOMERS","RELATIONSHIP_AS_OF_DATE","20210510")</f>
        <v>#N/A N/A</v>
      </c>
      <c r="K5" t="str">
        <f>_xll.BDS("SCI US Equity","SUPPLY_CHAIN_SUPPLIERS","RELATIONSHIP_AS_OF_DATE","20130529")</f>
        <v>#N/A N/A</v>
      </c>
      <c r="P5" t="str">
        <f>_xll.BDS("SCI US Equity","SUPPLY_CHAIN_CUSTOMERS","RELATIONSHIP_AS_OF_DATE","20130529")</f>
        <v>#N/A N/A</v>
      </c>
      <c r="U5" t="str">
        <f>_xll.BDS("HWC US Equity","SUPPLY_CHAIN_SUPPLIERS","RELATIONSHIP_AS_OF_DATE","20101222")</f>
        <v>NMRK US Equity</v>
      </c>
      <c r="Z5" t="str">
        <f>_xll.BDS("HWC US Equity","SUPPLY_CHAIN_CUSTOMERS","RELATIONSHIP_AS_OF_DATE","20101222")</f>
        <v>#N/A N/A</v>
      </c>
      <c r="AE5" t="str">
        <f>_xll.BDS("FNB US Equity","SUPPLY_CHAIN_SUPPLIERS","RELATIONSHIP_AS_OF_DATE","20160721")</f>
        <v>HY US Equity</v>
      </c>
      <c r="AJ5" t="str">
        <f>_xll.BDS("FNB US Equity","SUPPLY_CHAIN_CUSTOMERS","RELATIONSHIP_AS_OF_DATE","20160721")</f>
        <v>#N/A N/A</v>
      </c>
      <c r="AO5" t="str">
        <f>_xll.BDS("EBAY US Equity","SUPPLY_CHAIN_SUPPLIERS","RELATIONSHIP_AS_OF_DATE","20020708","cols=1;rows=5")</f>
        <v>NVDA US Equity</v>
      </c>
      <c r="AT5" t="str">
        <f>_xll.BDS("EBAY US Equity","SUPPLY_CHAIN_CUSTOMERS","RELATIONSHIP_AS_OF_DATE","20020708","cols=1;rows=5")</f>
        <v>3048 JP Equity</v>
      </c>
      <c r="AY5" t="str">
        <f>_xll.BDS("3029830Q US Equity","SUPPLY_CHAIN_SUPPLIERS","RELATIONSHIP_AS_OF_DATE","20030602")</f>
        <v>#N/A N/A</v>
      </c>
      <c r="BD5" t="str">
        <f>_xll.BDS("3029830Q US Equity","SUPPLY_CHAIN_CUSTOMERS","RELATIONSHIP_AS_OF_DATE","20030602")</f>
        <v>#N/A N/A</v>
      </c>
      <c r="BI5" t="str">
        <f>_xll.BDS("ATBA AV Equity","SUPPLY_CHAIN_SUPPLIERS","RELATIONSHIP_AS_OF_DATE","20030714","cols=1;rows=5")</f>
        <v>000676 CH Equity</v>
      </c>
      <c r="BN5" t="str">
        <f>_xll.BDS("ATBA AV Equity","SUPPLY_CHAIN_CUSTOMERS","RELATIONSHIP_AS_OF_DATE","20030714","cols=1;rows=5")</f>
        <v>066570 KS Equity</v>
      </c>
      <c r="BS5" t="str">
        <f>_xll.BDS("611214Q US Equity","SUPPLY_CHAIN_SUPPLIERS","RELATIONSHIP_AS_OF_DATE","19990111")</f>
        <v>#N/A N/A</v>
      </c>
      <c r="BX5" t="str">
        <f>_xll.BDS("611214Q US Equity","SUPPLY_CHAIN_CUSTOMERS","RELATIONSHIP_AS_OF_DATE","19990111")</f>
        <v>#N/A N/A</v>
      </c>
      <c r="CC5" t="str">
        <f>_xll.BDS("PTEN US Equity","SUPPLY_CHAIN_SUPPLIERS","RELATIONSHIP_AS_OF_DATE","20161213","cols=1;rows=5")</f>
        <v>DNOW US Equity</v>
      </c>
      <c r="CH5" t="str">
        <f>_xll.BDS("PTEN US Equity","SUPPLY_CHAIN_CUSTOMERS","RELATIONSHIP_AS_OF_DATE","20161213","cols=1;rows=3")</f>
        <v>ARCH NO Equity</v>
      </c>
      <c r="CM5" t="str">
        <f>_xll.BDS("AMH US Equity","SUPPLY_CHAIN_SUPPLIERS","RELATIONSHIP_AS_OF_DATE","20151203","cols=1;rows=2")</f>
        <v>VHI US Equity</v>
      </c>
      <c r="CR5" t="str">
        <f>_xll.BDS("AMH US Equity","SUPPLY_CHAIN_CUSTOMERS","RELATIONSHIP_AS_OF_DATE","20151203")</f>
        <v>#N/A N/A</v>
      </c>
      <c r="CW5" t="str">
        <f>_xll.BDS("DRI US Equity","SUPPLY_CHAIN_SUPPLIERS","RELATIONSHIP_AS_OF_DATE","20070816","cols=1;rows=5")</f>
        <v>PFGC US Equity</v>
      </c>
      <c r="DB5" t="str">
        <f>_xll.BDS("DRI US Equity","SUPPLY_CHAIN_CUSTOMERS","RELATIONSHIP_AS_OF_DATE","20070816","cols=1;rows=3")</f>
        <v>CMRB MM Equity</v>
      </c>
      <c r="DG5" t="str">
        <f>_xll.BDS("CAR US Equity","SUPPLY_CHAIN_SUPPLIERS","RELATIONSHIP_AS_OF_DATE","20000815","cols=1;rows=5")</f>
        <v>VRRM US Equity</v>
      </c>
      <c r="DL5" t="str">
        <f>_xll.BDS("CAR US Equity","SUPPLY_CHAIN_CUSTOMERS","RELATIONSHIP_AS_OF_DATE","20000815","cols=1;rows=5")</f>
        <v>EIH IN Equity</v>
      </c>
      <c r="DQ5" t="str">
        <f>_xll.BDS("PCH US Equity","SUPPLY_CHAIN_SUPPLIERS","RELATIONSHIP_AS_OF_DATE","20171023")</f>
        <v>ETR US Equity</v>
      </c>
      <c r="DV5" t="str">
        <f>_xll.BDS("PCH US Equity","SUPPLY_CHAIN_CUSTOMERS","RELATIONSHIP_AS_OF_DATE","20171023")</f>
        <v>TTI US Equity</v>
      </c>
      <c r="EA5" t="str">
        <f>_xll.BDS("8394653Q US Equity","SUPPLY_CHAIN_SUPPLIERS","RELATIONSHIP_AS_OF_DATE","19981117")</f>
        <v>#N/A N/A</v>
      </c>
      <c r="EF5" t="str">
        <f>_xll.BDS("8394653Q US Equity","SUPPLY_CHAIN_CUSTOMERS","RELATIONSHIP_AS_OF_DATE","19981117")</f>
        <v>#N/A N/A</v>
      </c>
      <c r="EK5" t="str">
        <f>_xll.BDS("C US Equity","SUPPLY_CHAIN_SUPPLIERS","RELATIONSHIP_AS_OF_DATE","20070502","cols=1;rows=5")</f>
        <v>ORCL US Equity</v>
      </c>
      <c r="EP5" t="str">
        <f>_xll.BDS("C US Equity","SUPPLY_CHAIN_CUSTOMERS","RELATIONSHIP_AS_OF_DATE","20070502","cols=1;rows=5")</f>
        <v>ANTO LN Equity</v>
      </c>
      <c r="EU5" t="str">
        <f>_xll.BDS("HIG US Equity","SUPPLY_CHAIN_SUPPLIERS","RELATIONSHIP_AS_OF_DATE","20000331","cols=1;rows=5")</f>
        <v>OPITQ US Equity</v>
      </c>
      <c r="EZ5" t="str">
        <f>_xll.BDS("HIG US Equity","SUPPLY_CHAIN_CUSTOMERS","RELATIONSHIP_AS_OF_DATE","20000331")</f>
        <v>#N/A N/A</v>
      </c>
      <c r="FE5" t="str">
        <f>_xll.BDS("GLW US Equity","SUPPLY_CHAIN_SUPPLIERS","RELATIONSHIP_AS_OF_DATE","19991114","cols=1;rows=5")</f>
        <v>300570 CH Equity</v>
      </c>
      <c r="FJ5" t="str">
        <f>_xll.BDS("GLW US Equity","SUPPLY_CHAIN_CUSTOMERS","RELATIONSHIP_AS_OF_DATE","19991114","cols=1;rows=5")</f>
        <v>005930 KS Equity</v>
      </c>
      <c r="FO5" t="str">
        <f>_xll.BDS("SNX US Equity","SUPPLY_CHAIN_SUPPLIERS","RELATIONSHIP_AS_OF_DATE","20180628","cols=1;rows=5")</f>
        <v>HPQ US Equity</v>
      </c>
      <c r="FT5" t="str">
        <f>_xll.BDS("SNX US Equity","SUPPLY_CHAIN_CUSTOMERS","RELATIONSHIP_AS_OF_DATE","20180628","cols=1;rows=5")</f>
        <v>NSIT US Equity</v>
      </c>
      <c r="FY5" t="str">
        <f>_xll.BDS("SYK US Equity","SUPPLY_CHAIN_SUPPLIERS","RELATIONSHIP_AS_OF_DATE","20130925","cols=1;rows=5")</f>
        <v>FLEX US Equity</v>
      </c>
      <c r="GD5" t="str">
        <f>_xll.BDS("SYK US Equity","SUPPLY_CHAIN_CUSTOMERS","RELATIONSHIP_AS_OF_DATE","20130925","cols=1;rows=5")</f>
        <v>CNXN US Equity</v>
      </c>
      <c r="GI5" t="str">
        <f>_xll.BDS("2207158D US Equity","SUPPLY_CHAIN_SUPPLIERS","RELATIONSHIP_AS_OF_DATE","20011203")</f>
        <v>#N/A N/A</v>
      </c>
      <c r="GN5" t="str">
        <f>_xll.BDS("2207158D US Equity","SUPPLY_CHAIN_CUSTOMERS","RELATIONSHIP_AS_OF_DATE","20011203")</f>
        <v>#N/A N/A</v>
      </c>
      <c r="GS5" t="str">
        <f>_xll.BDS("ALXN US Equity","SUPPLY_CHAIN_SUPPLIERS","RELATIONSHIP_AS_OF_DATE","20200505")</f>
        <v>#N/A N/A</v>
      </c>
      <c r="GX5" t="str">
        <f>_xll.BDS("ALXN US Equity","SUPPLY_CHAIN_CUSTOMERS","RELATIONSHIP_AS_OF_DATE","20200505")</f>
        <v>#N/A N/A</v>
      </c>
      <c r="HC5" t="str">
        <f>_xll.BDS("AMGN US Equity","SUPPLY_CHAIN_SUPPLIERS","RELATIONSHIP_AS_OF_DATE","20040329","cols=1;rows=5")</f>
        <v>AZN LN Equity</v>
      </c>
      <c r="HH5" t="str">
        <f>_xll.BDS("AMGN US Equity","SUPPLY_CHAIN_CUSTOMERS","RELATIONSHIP_AS_OF_DATE","20040329","cols=1;rows=5")</f>
        <v>MCK US Equity</v>
      </c>
      <c r="HM5" t="str">
        <f>_xll.BDS("GILD US Equity","SUPPLY_CHAIN_SUPPLIERS","RELATIONSHIP_AS_OF_DATE","20090312","cols=1;rows=5")</f>
        <v>JNJ US Equity</v>
      </c>
      <c r="HR5" t="str">
        <f>_xll.BDS("GILD US Equity","SUPPLY_CHAIN_CUSTOMERS","RELATIONSHIP_AS_OF_DATE","20090312","cols=1;rows=5")</f>
        <v>CAH US Equity</v>
      </c>
      <c r="HW5" t="str">
        <f>_xll.BDS("MMM US Equity","SUPPLY_CHAIN_SUPPLIERS","RELATIONSHIP_AS_OF_DATE","20050512","cols=1;rows=5")</f>
        <v>BAS GR Equity</v>
      </c>
      <c r="IB5" t="str">
        <f>_xll.BDS("MMM US Equity","SUPPLY_CHAIN_CUSTOMERS","RELATIONSHIP_AS_OF_DATE","20050512","cols=1;rows=5")</f>
        <v>SOLV US Equity</v>
      </c>
      <c r="IG5" t="str">
        <f>_xll.BDS("9983490D US Equity","SUPPLY_CHAIN_SUPPLIERS","RELATIONSHIP_AS_OF_DATE","20100713","cols=1;rows=5")</f>
        <v>002815 CH Equity</v>
      </c>
      <c r="IL5" t="str">
        <f>_xll.BDS("9983490D US Equity","SUPPLY_CHAIN_CUSTOMERS","RELATIONSHIP_AS_OF_DATE","20100713","cols=1;rows=5")</f>
        <v>073070 KS Equity</v>
      </c>
      <c r="IQ5" t="str">
        <f>_xll.BDS("VIRT US Equity","SUPPLY_CHAIN_SUPPLIERS","RELATIONSHIP_AS_OF_DATE","20170315")</f>
        <v>#N/A N/A</v>
      </c>
      <c r="IV5" t="str">
        <f>_xll.BDS("VIRT US Equity","SUPPLY_CHAIN_CUSTOMERS","RELATIONSHIP_AS_OF_DATE","20170315")</f>
        <v>8309 JP Equity</v>
      </c>
      <c r="JA5" t="str">
        <f>_xll.BDS("JNJ US Equity","SUPPLY_CHAIN_SUPPLIERS","RELATIONSHIP_AS_OF_DATE","20061116","cols=1;rows=5")</f>
        <v>GMAB DC Equity</v>
      </c>
      <c r="JF5" t="str">
        <f>_xll.BDS("JNJ US Equity","SUPPLY_CHAIN_CUSTOMERS","RELATIONSHIP_AS_OF_DATE","20061116","cols=1;rows=5")</f>
        <v>MCK US Equity</v>
      </c>
      <c r="JK5" t="str">
        <f>_xll.BDS("PTEN US Equity","SUPPLY_CHAIN_SUPPLIERS","RELATIONSHIP_AS_OF_DATE","20010205","cols=1;rows=5")</f>
        <v>DNOW US Equity</v>
      </c>
      <c r="JP5" t="str">
        <f>_xll.BDS("PTEN US Equity","SUPPLY_CHAIN_CUSTOMERS","RELATIONSHIP_AS_OF_DATE","20010205","cols=1;rows=3")</f>
        <v>ARCH NO Equity</v>
      </c>
      <c r="JU5" t="str">
        <f>_xll.BDS("OPK US Equity","SUPPLY_CHAIN_SUPPLIERS","RELATIONSHIP_AS_OF_DATE","20150604","cols=1;rows=5")</f>
        <v>0257644Z US Equity</v>
      </c>
      <c r="JZ5" t="str">
        <f>_xll.BDS("OPK US Equity","SUPPLY_CHAIN_CUSTOMERS","RELATIONSHIP_AS_OF_DATE","20150604","cols=1;rows=5")</f>
        <v>PFE US Equity</v>
      </c>
      <c r="KE5" t="str">
        <f>_xll.BDS("LITE US Equity","SUPPLY_CHAIN_SUPPLIERS","RELATIONSHIP_AS_OF_DATE","20180312","cols=1;rows=5")</f>
        <v>FN US Equity</v>
      </c>
      <c r="KJ5" t="str">
        <f>_xll.BDS("LITE US Equity","SUPPLY_CHAIN_CUSTOMERS","RELATIONSHIP_AS_OF_DATE","20180312","cols=1;rows=5")</f>
        <v>CIEN US Equity</v>
      </c>
      <c r="KO5" t="str">
        <f>_xll.BDS("MNKTQ US Equity","SUPPLY_CHAIN_SUPPLIERS","RELATIONSHIP_AS_OF_DATE","20140211","cols=1;rows=5")</f>
        <v>CAP FP Equity</v>
      </c>
      <c r="KT5" t="str">
        <f>_xll.BDS("MNKTQ US Equity","SUPPLY_CHAIN_CUSTOMERS","RELATIONSHIP_AS_OF_DATE","20140211","cols=1;rows=5")</f>
        <v>102460 KS Equity</v>
      </c>
      <c r="KY5" t="str">
        <f>_xll.BDS("WNR US Equity","SUPPLY_CHAIN_SUPPLIERS","RELATIONSHIP_AS_OF_DATE","20060828")</f>
        <v>#N/A N/A</v>
      </c>
      <c r="LD5" t="str">
        <f>_xll.BDS("WNR US Equity","SUPPLY_CHAIN_CUSTOMERS","RELATIONSHIP_AS_OF_DATE","20060828")</f>
        <v>#N/A N/A</v>
      </c>
      <c r="LI5" t="str">
        <f>_xll.BDS("502466Q US Equity","SUPPLY_CHAIN_SUPPLIERS","RELATIONSHIP_AS_OF_DATE","20011018")</f>
        <v>#N/A N/A</v>
      </c>
      <c r="LN5" t="str">
        <f>_xll.BDS("502466Q US Equity","SUPPLY_CHAIN_CUSTOMERS","RELATIONSHIP_AS_OF_DATE","20011018")</f>
        <v>#N/A N/A</v>
      </c>
      <c r="LS5" t="str">
        <f>_xll.BDS("0848680D US Equity","SUPPLY_CHAIN_SUPPLIERS","RELATIONSHIP_AS_OF_DATE","20060420")</f>
        <v>#N/A N/A</v>
      </c>
      <c r="LX5" t="str">
        <f>_xll.BDS("0848680D US Equity","SUPPLY_CHAIN_CUSTOMERS","RELATIONSHIP_AS_OF_DATE","20060420")</f>
        <v>#N/A N/A</v>
      </c>
      <c r="MC5" t="str">
        <f>_xll.BDS("8251545Q US Equity","SUPPLY_CHAIN_SUPPLIERS","RELATIONSHIP_AS_OF_DATE","20090427")</f>
        <v>#N/A N/A</v>
      </c>
      <c r="MH5" t="str">
        <f>_xll.BDS("8251545Q US Equity","SUPPLY_CHAIN_CUSTOMERS","RELATIONSHIP_AS_OF_DATE","20090427")</f>
        <v>#N/A N/A</v>
      </c>
      <c r="MM5" t="str">
        <f>_xll.BDS("TXN US Equity","SUPPLY_CHAIN_SUPPLIERS","RELATIONSHIP_AS_OF_DATE","19990726","cols=1;rows=5")</f>
        <v>2330 TT Equity</v>
      </c>
      <c r="MR5" t="str">
        <f>_xll.BDS("TXN US Equity","SUPPLY_CHAIN_CUSTOMERS","RELATIONSHIP_AS_OF_DATE","19990726","cols=1;rows=5")</f>
        <v>VOW GR Equity</v>
      </c>
      <c r="MW5" t="str">
        <f>_xll.BDS("362125Q US Equity","SUPPLY_CHAIN_SUPPLIERS","RELATIONSHIP_AS_OF_DATE","19980315")</f>
        <v>#N/A N/A</v>
      </c>
      <c r="NB5" t="str">
        <f>_xll.BDS("362125Q US Equity","SUPPLY_CHAIN_CUSTOMERS","RELATIONSHIP_AS_OF_DATE","19980315")</f>
        <v>#N/A N/A</v>
      </c>
      <c r="NG5" t="str">
        <f>_xll.BDS("AVY US Equity","SUPPLY_CHAIN_SUPPLIERS","RELATIONSHIP_AS_OF_DATE","20070322","cols=1;rows=5")</f>
        <v>TCS IN Equity</v>
      </c>
      <c r="NL5" t="str">
        <f>_xll.BDS("AVY US Equity","SUPPLY_CHAIN_CUSTOMERS","RELATIONSHIP_AS_OF_DATE","20070322","cols=1;rows=5")</f>
        <v>ARW US Equity</v>
      </c>
      <c r="NQ5" t="str">
        <f>_xll.BDS("0848680D US Equity","SUPPLY_CHAIN_SUPPLIERS","RELATIONSHIP_AS_OF_DATE","20050711")</f>
        <v>#N/A N/A</v>
      </c>
      <c r="NV5" t="str">
        <f>_xll.BDS("0848680D US Equity","SUPPLY_CHAIN_CUSTOMERS","RELATIONSHIP_AS_OF_DATE","20050711")</f>
        <v>#N/A N/A</v>
      </c>
      <c r="OA5" t="str">
        <f>_xll.BDS("PAA US Equity","SUPPLY_CHAIN_SUPPLIERS","RELATIONSHIP_AS_OF_DATE","20131022","cols=1;rows=5")</f>
        <v>CSX US Equity</v>
      </c>
      <c r="OF5" t="str">
        <f>_xll.BDS("PAA US Equity","SUPPLY_CHAIN_CUSTOMERS","RELATIONSHIP_AS_OF_DATE","20131022","cols=1;rows=4")</f>
        <v>XOM US Equity</v>
      </c>
    </row>
    <row r="6" spans="1:396" x14ac:dyDescent="0.25">
      <c r="A6" t="s">
        <v>7392</v>
      </c>
      <c r="AO6" t="s">
        <v>12302</v>
      </c>
      <c r="AT6" t="s">
        <v>11650</v>
      </c>
      <c r="BI6" t="s">
        <v>11224</v>
      </c>
      <c r="BN6" t="s">
        <v>11195</v>
      </c>
      <c r="CC6" t="s">
        <v>10696</v>
      </c>
      <c r="CH6" t="s">
        <v>156</v>
      </c>
      <c r="CM6" t="s">
        <v>12956</v>
      </c>
      <c r="CW6" t="s">
        <v>10713</v>
      </c>
      <c r="DB6" t="s">
        <v>12554</v>
      </c>
      <c r="DG6" t="s">
        <v>12031</v>
      </c>
      <c r="DL6" t="s">
        <v>11677</v>
      </c>
      <c r="EK6" t="s">
        <v>1654</v>
      </c>
      <c r="EP6" t="s">
        <v>12472</v>
      </c>
      <c r="EU6" t="s">
        <v>12293</v>
      </c>
      <c r="FE6" t="s">
        <v>792</v>
      </c>
      <c r="FJ6" t="s">
        <v>11942</v>
      </c>
      <c r="FO6" t="s">
        <v>5236</v>
      </c>
      <c r="FT6" t="s">
        <v>165</v>
      </c>
      <c r="FY6" t="s">
        <v>11412</v>
      </c>
      <c r="GD6" t="s">
        <v>11830</v>
      </c>
      <c r="HC6" t="s">
        <v>10817</v>
      </c>
      <c r="HH6" t="s">
        <v>1468</v>
      </c>
      <c r="HM6" t="s">
        <v>12260</v>
      </c>
      <c r="HR6" t="s">
        <v>385</v>
      </c>
      <c r="HW6" t="s">
        <v>11159</v>
      </c>
      <c r="IB6" t="s">
        <v>11194</v>
      </c>
      <c r="IG6" t="s">
        <v>11596</v>
      </c>
      <c r="IL6" t="s">
        <v>13083</v>
      </c>
      <c r="JA6" t="s">
        <v>10735</v>
      </c>
      <c r="JF6" t="s">
        <v>1468</v>
      </c>
      <c r="JK6" t="s">
        <v>10696</v>
      </c>
      <c r="JP6" t="s">
        <v>156</v>
      </c>
      <c r="JU6" t="s">
        <v>12669</v>
      </c>
      <c r="JZ6" t="s">
        <v>10656</v>
      </c>
      <c r="KE6" t="s">
        <v>11042</v>
      </c>
      <c r="KJ6" t="s">
        <v>2705</v>
      </c>
      <c r="KO6" t="s">
        <v>10719</v>
      </c>
      <c r="KT6" t="s">
        <v>10656</v>
      </c>
      <c r="MM6" t="s">
        <v>12033</v>
      </c>
      <c r="MR6" t="s">
        <v>6473</v>
      </c>
      <c r="NG6" t="s">
        <v>12044</v>
      </c>
      <c r="NL6" t="s">
        <v>10660</v>
      </c>
      <c r="OA6" t="s">
        <v>11312</v>
      </c>
      <c r="OF6" t="s">
        <v>11809</v>
      </c>
    </row>
    <row r="7" spans="1:396" x14ac:dyDescent="0.25">
      <c r="A7" t="s">
        <v>12852</v>
      </c>
      <c r="AO7" t="s">
        <v>11139</v>
      </c>
      <c r="AT7" t="s">
        <v>11651</v>
      </c>
      <c r="BI7" t="s">
        <v>11225</v>
      </c>
      <c r="BN7" t="s">
        <v>11196</v>
      </c>
      <c r="CC7" t="s">
        <v>693</v>
      </c>
      <c r="CH7" t="s">
        <v>11277</v>
      </c>
      <c r="CW7" t="s">
        <v>12555</v>
      </c>
      <c r="DB7" t="s">
        <v>12555</v>
      </c>
      <c r="DG7" t="s">
        <v>10807</v>
      </c>
      <c r="DL7" t="s">
        <v>11678</v>
      </c>
      <c r="EK7" t="s">
        <v>11492</v>
      </c>
      <c r="EP7" t="s">
        <v>10913</v>
      </c>
      <c r="EU7" t="s">
        <v>12084</v>
      </c>
      <c r="FE7" t="s">
        <v>12250</v>
      </c>
      <c r="FJ7" t="s">
        <v>11943</v>
      </c>
      <c r="FO7" t="s">
        <v>266</v>
      </c>
      <c r="FT7" t="s">
        <v>10660</v>
      </c>
      <c r="FY7" t="s">
        <v>11413</v>
      </c>
      <c r="GD7" t="s">
        <v>11831</v>
      </c>
      <c r="HC7" t="s">
        <v>10816</v>
      </c>
      <c r="HH7" t="s">
        <v>970</v>
      </c>
      <c r="HM7" t="s">
        <v>12261</v>
      </c>
      <c r="HR7" t="s">
        <v>1468</v>
      </c>
      <c r="HW7" t="s">
        <v>11585</v>
      </c>
      <c r="IB7" t="s">
        <v>11542</v>
      </c>
      <c r="IG7" t="s">
        <v>10744</v>
      </c>
      <c r="IL7" t="s">
        <v>10659</v>
      </c>
      <c r="JA7" t="s">
        <v>45</v>
      </c>
      <c r="JF7" t="s">
        <v>970</v>
      </c>
      <c r="JK7" t="s">
        <v>693</v>
      </c>
      <c r="JP7" t="s">
        <v>11277</v>
      </c>
      <c r="JU7" t="s">
        <v>12466</v>
      </c>
      <c r="JZ7" t="s">
        <v>65</v>
      </c>
      <c r="KE7" t="s">
        <v>12289</v>
      </c>
      <c r="KJ7" t="s">
        <v>11376</v>
      </c>
      <c r="KO7" t="s">
        <v>10720</v>
      </c>
      <c r="KT7" t="s">
        <v>10657</v>
      </c>
      <c r="MM7" t="s">
        <v>4898</v>
      </c>
      <c r="MR7" t="s">
        <v>5236</v>
      </c>
      <c r="NG7" t="s">
        <v>1746</v>
      </c>
      <c r="NL7" t="s">
        <v>12041</v>
      </c>
      <c r="OA7" t="s">
        <v>3066</v>
      </c>
      <c r="OF7" t="s">
        <v>12599</v>
      </c>
    </row>
    <row r="8" spans="1:396" x14ac:dyDescent="0.25">
      <c r="A8" t="s">
        <v>12853</v>
      </c>
      <c r="AO8" t="s">
        <v>2204</v>
      </c>
      <c r="AT8" t="s">
        <v>11652</v>
      </c>
      <c r="BI8" t="s">
        <v>11226</v>
      </c>
      <c r="BN8" t="s">
        <v>11197</v>
      </c>
      <c r="CC8" t="s">
        <v>11313</v>
      </c>
      <c r="CW8" t="s">
        <v>772</v>
      </c>
      <c r="DG8" t="s">
        <v>171</v>
      </c>
      <c r="DL8" t="s">
        <v>11679</v>
      </c>
      <c r="EK8" t="s">
        <v>11349</v>
      </c>
      <c r="EP8" t="s">
        <v>1741</v>
      </c>
      <c r="EU8" t="s">
        <v>11053</v>
      </c>
      <c r="FE8" t="s">
        <v>11584</v>
      </c>
      <c r="FJ8" t="s">
        <v>5236</v>
      </c>
      <c r="FO8" t="s">
        <v>969</v>
      </c>
      <c r="FT8" t="s">
        <v>10787</v>
      </c>
      <c r="FY8" t="s">
        <v>11414</v>
      </c>
      <c r="GD8" t="s">
        <v>11832</v>
      </c>
      <c r="HC8" t="s">
        <v>2785</v>
      </c>
      <c r="HH8" t="s">
        <v>51</v>
      </c>
      <c r="HM8" t="s">
        <v>12262</v>
      </c>
      <c r="HR8" t="s">
        <v>12230</v>
      </c>
      <c r="HW8" t="s">
        <v>11541</v>
      </c>
      <c r="IB8" t="s">
        <v>570</v>
      </c>
      <c r="IG8" t="s">
        <v>13268</v>
      </c>
      <c r="IL8" t="s">
        <v>13253</v>
      </c>
      <c r="JA8" t="s">
        <v>3437</v>
      </c>
      <c r="JF8" t="s">
        <v>51</v>
      </c>
      <c r="JK8" t="s">
        <v>11313</v>
      </c>
      <c r="JU8" t="s">
        <v>12670</v>
      </c>
      <c r="JZ8" t="s">
        <v>12466</v>
      </c>
      <c r="KE8" t="s">
        <v>273</v>
      </c>
      <c r="KJ8" t="s">
        <v>5236</v>
      </c>
      <c r="KO8" t="s">
        <v>10721</v>
      </c>
      <c r="KT8" t="s">
        <v>970</v>
      </c>
      <c r="MM8" t="s">
        <v>11933</v>
      </c>
      <c r="MR8" t="s">
        <v>11106</v>
      </c>
      <c r="NG8" t="s">
        <v>10807</v>
      </c>
      <c r="NL8" t="s">
        <v>10825</v>
      </c>
      <c r="OA8" t="s">
        <v>12741</v>
      </c>
      <c r="OF8" t="s">
        <v>679</v>
      </c>
    </row>
    <row r="9" spans="1:396" x14ac:dyDescent="0.25">
      <c r="A9" t="s">
        <v>12854</v>
      </c>
      <c r="AO9" t="s">
        <v>12303</v>
      </c>
      <c r="AT9" t="s">
        <v>11653</v>
      </c>
      <c r="BI9" t="s">
        <v>11227</v>
      </c>
      <c r="BN9" t="s">
        <v>11198</v>
      </c>
      <c r="CC9" t="s">
        <v>10740</v>
      </c>
      <c r="CW9" t="s">
        <v>10889</v>
      </c>
      <c r="DG9" t="s">
        <v>12032</v>
      </c>
      <c r="DL9" t="s">
        <v>11680</v>
      </c>
      <c r="EK9" t="s">
        <v>12812</v>
      </c>
      <c r="EP9" t="s">
        <v>12473</v>
      </c>
      <c r="EU9" t="s">
        <v>12734</v>
      </c>
      <c r="FE9" t="s">
        <v>11307</v>
      </c>
      <c r="FJ9" t="s">
        <v>49</v>
      </c>
      <c r="FO9" t="s">
        <v>279</v>
      </c>
      <c r="FT9" t="s">
        <v>10948</v>
      </c>
      <c r="FY9" t="s">
        <v>5575</v>
      </c>
      <c r="GD9" t="s">
        <v>11833</v>
      </c>
      <c r="HC9" t="s">
        <v>772</v>
      </c>
      <c r="HH9" t="s">
        <v>12323</v>
      </c>
      <c r="HM9" t="s">
        <v>12263</v>
      </c>
      <c r="HR9" t="s">
        <v>10795</v>
      </c>
      <c r="HW9" t="s">
        <v>11410</v>
      </c>
      <c r="IB9" t="s">
        <v>11090</v>
      </c>
      <c r="IG9" t="s">
        <v>13269</v>
      </c>
      <c r="IL9" t="s">
        <v>13254</v>
      </c>
      <c r="JA9" t="s">
        <v>11012</v>
      </c>
      <c r="JF9" t="s">
        <v>10944</v>
      </c>
      <c r="JK9" t="s">
        <v>10740</v>
      </c>
      <c r="JU9" t="s">
        <v>12671</v>
      </c>
      <c r="JZ9" t="s">
        <v>12467</v>
      </c>
      <c r="KE9" t="s">
        <v>11461</v>
      </c>
      <c r="KJ9" t="s">
        <v>469</v>
      </c>
      <c r="KO9" t="s">
        <v>10722</v>
      </c>
      <c r="KT9" t="s">
        <v>51</v>
      </c>
      <c r="MM9" t="s">
        <v>11204</v>
      </c>
      <c r="MR9" t="s">
        <v>10660</v>
      </c>
      <c r="NG9" t="s">
        <v>12045</v>
      </c>
      <c r="NL9" t="s">
        <v>10787</v>
      </c>
      <c r="OA9" t="s">
        <v>12742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2926</v>
      </c>
      <c r="K1" s="1" t="s">
        <v>2927</v>
      </c>
      <c r="U1" s="1" t="s">
        <v>2928</v>
      </c>
      <c r="AE1" s="1" t="s">
        <v>2929</v>
      </c>
      <c r="AO1" s="1" t="s">
        <v>2930</v>
      </c>
      <c r="AY1" s="1" t="s">
        <v>2931</v>
      </c>
      <c r="BI1" s="1" t="s">
        <v>2932</v>
      </c>
      <c r="BS1" s="1" t="s">
        <v>2933</v>
      </c>
      <c r="CC1" s="1" t="s">
        <v>2934</v>
      </c>
      <c r="CM1" s="1" t="s">
        <v>2935</v>
      </c>
      <c r="CW1" s="1" t="s">
        <v>2936</v>
      </c>
      <c r="DG1" s="1" t="s">
        <v>2937</v>
      </c>
      <c r="DQ1" s="1" t="s">
        <v>2938</v>
      </c>
      <c r="EA1" s="1" t="s">
        <v>2939</v>
      </c>
      <c r="EK1" s="1" t="s">
        <v>2940</v>
      </c>
      <c r="EU1" s="1" t="s">
        <v>2941</v>
      </c>
      <c r="FE1" s="1" t="s">
        <v>2942</v>
      </c>
      <c r="FO1" s="1" t="s">
        <v>2943</v>
      </c>
      <c r="FY1" s="1" t="s">
        <v>2944</v>
      </c>
      <c r="GI1" s="1" t="s">
        <v>2945</v>
      </c>
      <c r="GS1" s="1" t="s">
        <v>2946</v>
      </c>
      <c r="HC1" s="1" t="s">
        <v>2947</v>
      </c>
      <c r="HM1" s="1" t="s">
        <v>2948</v>
      </c>
      <c r="HW1" s="1" t="s">
        <v>2949</v>
      </c>
      <c r="IG1" s="1" t="s">
        <v>2950</v>
      </c>
      <c r="IQ1" s="1" t="s">
        <v>2951</v>
      </c>
      <c r="JA1" s="1" t="s">
        <v>2952</v>
      </c>
      <c r="JK1" s="1" t="s">
        <v>2953</v>
      </c>
      <c r="JU1" s="1" t="s">
        <v>2954</v>
      </c>
      <c r="KE1" s="1" t="s">
        <v>2955</v>
      </c>
      <c r="KO1" s="1" t="s">
        <v>2956</v>
      </c>
      <c r="KY1" s="1" t="s">
        <v>2957</v>
      </c>
      <c r="LI1" s="1" t="s">
        <v>2958</v>
      </c>
      <c r="LS1" s="1" t="s">
        <v>2959</v>
      </c>
      <c r="MC1" s="1" t="s">
        <v>2960</v>
      </c>
      <c r="MM1" s="1" t="s">
        <v>2961</v>
      </c>
      <c r="MW1" s="1" t="s">
        <v>2962</v>
      </c>
      <c r="NG1" s="1" t="s">
        <v>2963</v>
      </c>
      <c r="NQ1" s="1" t="s">
        <v>2964</v>
      </c>
      <c r="OA1" s="1" t="s">
        <v>2965</v>
      </c>
    </row>
    <row r="2" spans="1:396" x14ac:dyDescent="0.25">
      <c r="A2" s="2" t="s">
        <v>2966</v>
      </c>
      <c r="K2" s="2" t="s">
        <v>2967</v>
      </c>
      <c r="U2" s="2" t="s">
        <v>1649</v>
      </c>
      <c r="AE2" s="2" t="s">
        <v>2968</v>
      </c>
      <c r="AO2" s="2" t="s">
        <v>2969</v>
      </c>
      <c r="AY2" s="2" t="s">
        <v>2970</v>
      </c>
      <c r="BI2" s="2" t="s">
        <v>61</v>
      </c>
      <c r="BS2" s="2" t="s">
        <v>266</v>
      </c>
      <c r="CC2" s="2" t="s">
        <v>1473</v>
      </c>
      <c r="CM2" s="2" t="s">
        <v>64</v>
      </c>
      <c r="CW2" s="2" t="s">
        <v>675</v>
      </c>
      <c r="DG2" s="2" t="s">
        <v>64</v>
      </c>
      <c r="DQ2" s="2" t="s">
        <v>2971</v>
      </c>
      <c r="EA2" s="2" t="s">
        <v>171</v>
      </c>
      <c r="EK2" s="2" t="s">
        <v>64</v>
      </c>
      <c r="EU2" s="2" t="s">
        <v>1265</v>
      </c>
      <c r="FE2" s="2" t="s">
        <v>2972</v>
      </c>
      <c r="FO2" s="2" t="s">
        <v>2418</v>
      </c>
      <c r="FY2" s="2" t="s">
        <v>2398</v>
      </c>
      <c r="GI2" s="2" t="s">
        <v>1840</v>
      </c>
      <c r="GS2" s="2" t="s">
        <v>64</v>
      </c>
      <c r="HC2" s="2" t="s">
        <v>1272</v>
      </c>
      <c r="HM2" s="2" t="s">
        <v>1840</v>
      </c>
      <c r="HW2" s="2" t="s">
        <v>2779</v>
      </c>
      <c r="IG2" s="2" t="s">
        <v>1164</v>
      </c>
      <c r="IQ2" s="2" t="s">
        <v>1177</v>
      </c>
      <c r="JA2" s="2" t="s">
        <v>2973</v>
      </c>
      <c r="JK2" s="2" t="s">
        <v>2974</v>
      </c>
      <c r="JU2" s="2" t="s">
        <v>159</v>
      </c>
      <c r="KE2" s="2" t="s">
        <v>2294</v>
      </c>
      <c r="KO2" s="2" t="s">
        <v>1745</v>
      </c>
      <c r="KY2" s="2" t="s">
        <v>64</v>
      </c>
      <c r="LI2" s="2" t="s">
        <v>2975</v>
      </c>
      <c r="LS2" s="2" t="s">
        <v>2976</v>
      </c>
      <c r="MC2" s="2" t="s">
        <v>2977</v>
      </c>
      <c r="MM2" s="2" t="s">
        <v>2978</v>
      </c>
      <c r="MW2" s="2" t="s">
        <v>2979</v>
      </c>
      <c r="NG2" s="2" t="s">
        <v>2980</v>
      </c>
      <c r="NQ2" s="2" t="s">
        <v>2981</v>
      </c>
      <c r="OA2" s="2" t="s">
        <v>2982</v>
      </c>
    </row>
    <row r="3" spans="1:396" x14ac:dyDescent="0.25">
      <c r="A3" t="s">
        <v>2983</v>
      </c>
      <c r="K3" t="s">
        <v>2984</v>
      </c>
      <c r="U3" t="s">
        <v>896</v>
      </c>
      <c r="AE3" t="s">
        <v>2985</v>
      </c>
      <c r="AO3" t="s">
        <v>2986</v>
      </c>
      <c r="AY3" t="s">
        <v>2987</v>
      </c>
      <c r="BI3" t="s">
        <v>2988</v>
      </c>
      <c r="BS3" t="s">
        <v>696</v>
      </c>
      <c r="CC3" t="s">
        <v>2989</v>
      </c>
      <c r="CM3" t="s">
        <v>2990</v>
      </c>
      <c r="CW3" t="s">
        <v>1414</v>
      </c>
      <c r="DG3" t="s">
        <v>2991</v>
      </c>
      <c r="DQ3" t="s">
        <v>713</v>
      </c>
      <c r="EA3" t="s">
        <v>2992</v>
      </c>
      <c r="EK3" t="s">
        <v>2993</v>
      </c>
      <c r="EU3" t="s">
        <v>1296</v>
      </c>
      <c r="FE3" t="s">
        <v>2994</v>
      </c>
      <c r="FO3" t="s">
        <v>2995</v>
      </c>
      <c r="FY3" t="s">
        <v>2996</v>
      </c>
      <c r="GI3" t="s">
        <v>2997</v>
      </c>
      <c r="GS3" t="s">
        <v>1787</v>
      </c>
      <c r="HC3" t="s">
        <v>2998</v>
      </c>
      <c r="HM3" t="s">
        <v>2999</v>
      </c>
      <c r="HW3" t="s">
        <v>3000</v>
      </c>
      <c r="IG3" t="s">
        <v>3001</v>
      </c>
      <c r="IQ3" t="s">
        <v>3002</v>
      </c>
      <c r="JA3" t="s">
        <v>3003</v>
      </c>
      <c r="JK3" t="s">
        <v>3004</v>
      </c>
      <c r="JU3" t="s">
        <v>3005</v>
      </c>
      <c r="KE3" t="s">
        <v>1204</v>
      </c>
      <c r="KO3" t="s">
        <v>3006</v>
      </c>
      <c r="KY3" t="s">
        <v>3007</v>
      </c>
      <c r="LI3" t="s">
        <v>3008</v>
      </c>
      <c r="LS3" t="s">
        <v>1182</v>
      </c>
      <c r="MC3" t="s">
        <v>401</v>
      </c>
      <c r="MM3" t="s">
        <v>3009</v>
      </c>
      <c r="MW3" t="s">
        <v>2243</v>
      </c>
      <c r="NG3" t="s">
        <v>3010</v>
      </c>
      <c r="NQ3" t="s">
        <v>3011</v>
      </c>
      <c r="OA3" t="s">
        <v>3012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_xll.BDS("QLGC US Equity","SUPPLY_CHAIN_SUPPLIERS","RELATIONSHIP_AS_OF_DATE","20000508")</f>
        <v>#N/A N/A</v>
      </c>
      <c r="F5" t="str">
        <f>_xll.BDS("QLGC US Equity","SUPPLY_CHAIN_CUSTOMERS","RELATIONSHIP_AS_OF_DATE","20000508")</f>
        <v>#N/A N/A</v>
      </c>
      <c r="K5" t="str">
        <f>_xll.BDS("UPS US Equity","SUPPLY_CHAIN_SUPPLIERS","RELATIONSHIP_AS_OF_DATE","20050516","cols=1;rows=5")</f>
        <v>BA US Equity</v>
      </c>
      <c r="P5" t="str">
        <f>_xll.BDS("UPS US Equity","SUPPLY_CHAIN_CUSTOMERS","RELATIONSHIP_AS_OF_DATE","20050516","cols=1;rows=5")</f>
        <v>AMZN US Equity</v>
      </c>
      <c r="U5" t="str">
        <f>_xll.BDS("STJ US Equity","SUPPLY_CHAIN_SUPPLIERS","RELATIONSHIP_AS_OF_DATE","20101018")</f>
        <v>#N/A N/A</v>
      </c>
      <c r="Z5" t="str">
        <f>_xll.BDS("STJ US Equity","SUPPLY_CHAIN_CUSTOMERS","RELATIONSHIP_AS_OF_DATE","20101018")</f>
        <v>#N/A N/A</v>
      </c>
      <c r="AE5" t="str">
        <f>_xll.BDS("HPE US Equity","SUPPLY_CHAIN_SUPPLIERS","RELATIONSHIP_AS_OF_DATE","20190517","cols=1;rows=5")</f>
        <v>2356 TT Equity</v>
      </c>
      <c r="AJ5" t="str">
        <f>_xll.BDS("HPE US Equity","SUPPLY_CHAIN_CUSTOMERS","RELATIONSHIP_AS_OF_DATE","20190517","cols=1;rows=5")</f>
        <v>ARW US Equity</v>
      </c>
      <c r="AO5" t="str">
        <f>_xll.BDS("BYI US Equity","SUPPLY_CHAIN_SUPPLIERS","RELATIONSHIP_AS_OF_DATE","20130716")</f>
        <v>#N/A N/A</v>
      </c>
      <c r="AT5" t="str">
        <f>_xll.BDS("BYI US Equity","SUPPLY_CHAIN_CUSTOMERS","RELATIONSHIP_AS_OF_DATE","20130716")</f>
        <v>#N/A N/A</v>
      </c>
      <c r="AY5" t="str">
        <f>_xll.BDS("TVTY US Equity","SUPPLY_CHAIN_SUPPLIERS","RELATIONSHIP_AS_OF_DATE","20181210")</f>
        <v>HIW US Equity</v>
      </c>
      <c r="BD5" t="str">
        <f>_xll.BDS("TVTY US Equity","SUPPLY_CHAIN_CUSTOMERS","RELATIONSHIP_AS_OF_DATE","20181210")</f>
        <v>#N/A N/A</v>
      </c>
      <c r="BI5" t="str">
        <f>_xll.BDS("JPM US Equity","SUPPLY_CHAIN_SUPPLIERS","RELATIONSHIP_AS_OF_DATE","20080316","cols=1;rows=5")</f>
        <v>LUV US Equity</v>
      </c>
      <c r="BN5" t="str">
        <f>_xll.BDS("JPM US Equity","SUPPLY_CHAIN_CUSTOMERS","RELATIONSHIP_AS_OF_DATE","20080316","cols=1;rows=5")</f>
        <v>000737 CH Equity</v>
      </c>
      <c r="BS5" t="str">
        <f>_xll.BDS("MSFT US Equity","SUPPLY_CHAIN_SUPPLIERS","RELATIONSHIP_AS_OF_DATE","19990915","cols=1;rows=5")</f>
        <v>NVDA US Equity</v>
      </c>
      <c r="BX5" t="str">
        <f>_xll.BDS("MSFT US Equity","SUPPLY_CHAIN_CUSTOMERS","RELATIONSHIP_AS_OF_DATE","19990915","cols=1;rows=5")</f>
        <v>SNX US Equity</v>
      </c>
      <c r="CC5" t="str">
        <f>_xll.BDS("OPITQ US Equity","SUPPLY_CHAIN_SUPPLIERS","RELATIONSHIP_AS_OF_DATE","20170628","cols=1;rows=3")</f>
        <v>SVC US Equity</v>
      </c>
      <c r="CH5" t="str">
        <f>_xll.BDS("OPITQ US Equity","SUPPLY_CHAIN_CUSTOMERS","RELATIONSHIP_AS_OF_DATE","20170628","cols=1;rows=5")</f>
        <v>3352Z US Equity</v>
      </c>
      <c r="CM5" t="str">
        <f>_xll.BDS("nan Equity","SUPPLY_CHAIN_SUPPLIERS","RELATIONSHIP_AS_OF_DATE","20060905")</f>
        <v>#N/A N/A</v>
      </c>
      <c r="CR5" t="str">
        <f>_xll.BDS("nan Equity","SUPPLY_CHAIN_CUSTOMERS","RELATIONSHIP_AS_OF_DATE","20060905")</f>
        <v>#N/A N/A</v>
      </c>
      <c r="CW5" t="str">
        <f>_xll.BDS("FANG US Equity","SUPPLY_CHAIN_SUPPLIERS","RELATIONSHIP_AS_OF_DATE","20220516","cols=1;rows=5")</f>
        <v>TEN IM Equity</v>
      </c>
      <c r="DB5" t="str">
        <f>_xll.BDS("FANG US Equity","SUPPLY_CHAIN_CUSTOMERS","RELATIONSHIP_AS_OF_DATE","20220516","cols=1;rows=4")</f>
        <v>9888092Z US Equity</v>
      </c>
      <c r="DG5" t="str">
        <f>_xll.BDS("nan Equity","SUPPLY_CHAIN_SUPPLIERS","RELATIONSHIP_AS_OF_DATE","20040503")</f>
        <v>#N/A N/A</v>
      </c>
      <c r="DL5" t="str">
        <f>_xll.BDS("nan Equity","SUPPLY_CHAIN_CUSTOMERS","RELATIONSHIP_AS_OF_DATE","20040503")</f>
        <v>#N/A N/A</v>
      </c>
      <c r="DQ5" t="str">
        <f>_xll.BDS("JAZZ US Equity","SUPPLY_CHAIN_SUPPLIERS","RELATIONSHIP_AS_OF_DATE","20160531","cols=1;rows=5")</f>
        <v>SANION SS Equity</v>
      </c>
      <c r="DV5" t="str">
        <f>_xll.BDS("JAZZ US Equity","SUPPLY_CHAIN_CUSTOMERS","RELATIONSHIP_AS_OF_DATE","20160531","cols=1;rows=5")</f>
        <v>CI US Equity</v>
      </c>
      <c r="EA5" t="str">
        <f>_xll.BDS("ORCL US Equity","SUPPLY_CHAIN_SUPPLIERS","RELATIONSHIP_AS_OF_DATE","20131220","cols=1;rows=5")</f>
        <v>NVDA US Equity</v>
      </c>
      <c r="EF5" t="str">
        <f>_xll.BDS("ORCL US Equity","SUPPLY_CHAIN_CUSTOMERS","RELATIONSHIP_AS_OF_DATE","20131220","cols=1;rows=5")</f>
        <v>ACN US Equity</v>
      </c>
      <c r="EK5" t="str">
        <f>_xll.BDS("nan Equity","SUPPLY_CHAIN_SUPPLIERS","RELATIONSHIP_AS_OF_DATE","20010215")</f>
        <v>#N/A N/A</v>
      </c>
      <c r="EP5" t="str">
        <f>_xll.BDS("nan Equity","SUPPLY_CHAIN_CUSTOMERS","RELATIONSHIP_AS_OF_DATE","20010215")</f>
        <v>#N/A N/A</v>
      </c>
      <c r="EU5" t="str">
        <f>_xll.BDS("AES US Equity","SUPPLY_CHAIN_SUPPLIERS","RELATIONSHIP_AS_OF_DATE","19981123","cols=1;rows=5")</f>
        <v>FLNC US Equity</v>
      </c>
      <c r="EZ5" t="str">
        <f>_xll.BDS("AES US Equity","SUPPLY_CHAIN_CUSTOMERS","RELATIONSHIP_AS_OF_DATE","19981123","cols=1;rows=5")</f>
        <v>PE&amp;OLES* MM Equity</v>
      </c>
      <c r="FE5" t="str">
        <f>_xll.BDS("GS US Equity","SUPPLY_CHAIN_SUPPLIERS","RELATIONSHIP_AS_OF_DATE","20210915","cols=1;rows=5")</f>
        <v>INFO IN Equity</v>
      </c>
      <c r="FJ5" t="str">
        <f>_xll.BDS("GS US Equity","SUPPLY_CHAIN_CUSTOMERS","RELATIONSHIP_AS_OF_DATE","20210915","cols=1;rows=5")</f>
        <v>036460 KS Equity</v>
      </c>
      <c r="FO5" t="str">
        <f>_xll.BDS("KND US Equity","SUPPLY_CHAIN_SUPPLIERS","RELATIONSHIP_AS_OF_DATE","20110208")</f>
        <v>#N/A N/A</v>
      </c>
      <c r="FT5" t="str">
        <f>_xll.BDS("KND US Equity","SUPPLY_CHAIN_CUSTOMERS","RELATIONSHIP_AS_OF_DATE","20110208")</f>
        <v>#N/A N/A</v>
      </c>
      <c r="FY5" t="str">
        <f>_xll.BDS("URI US Equity","SUPPLY_CHAIN_SUPPLIERS","RELATIONSHIP_AS_OF_DATE","20170816","cols=1;rows=5")</f>
        <v>DE US Equity</v>
      </c>
      <c r="GD5" t="str">
        <f>_xll.BDS("URI US Equity","SUPPLY_CHAIN_CUSTOMERS","RELATIONSHIP_AS_OF_DATE","20170816","cols=1;rows=5")</f>
        <v>OSK US Equity</v>
      </c>
      <c r="GI5" t="str">
        <f>_xll.BDS("9990822D US Equity","SUPPLY_CHAIN_SUPPLIERS","RELATIONSHIP_AS_OF_DATE","20051108")</f>
        <v>AMZN US Equity</v>
      </c>
      <c r="GN5" t="str">
        <f>_xll.BDS("9990822D US Equity","SUPPLY_CHAIN_CUSTOMERS","RELATIONSHIP_AS_OF_DATE","20051108","cols=1;rows=3")</f>
        <v>0759608D US Equity</v>
      </c>
      <c r="GS5" t="str">
        <f>_xll.BDS("nan Equity","SUPPLY_CHAIN_SUPPLIERS","RELATIONSHIP_AS_OF_DATE","20061016")</f>
        <v>#N/A N/A</v>
      </c>
      <c r="GX5" t="str">
        <f>_xll.BDS("nan Equity","SUPPLY_CHAIN_CUSTOMERS","RELATIONSHIP_AS_OF_DATE","20061016")</f>
        <v>#N/A N/A</v>
      </c>
      <c r="HC5" t="str">
        <f>_xll.BDS("FITB US Equity","SUPPLY_CHAIN_SUPPLIERS","RELATIONSHIP_AS_OF_DATE","20040802","cols=1;rows=5")</f>
        <v>004800 KS Equity</v>
      </c>
      <c r="HH5" t="str">
        <f>_xll.BDS("FITB US Equity","SUPPLY_CHAIN_CUSTOMERS","RELATIONSHIP_AS_OF_DATE","20040802")</f>
        <v>USIO US Equity</v>
      </c>
      <c r="HM5" t="str">
        <f>_xll.BDS("9990822D US Equity","SUPPLY_CHAIN_SUPPLIERS","RELATIONSHIP_AS_OF_DATE","20061011")</f>
        <v>AMZN US Equity</v>
      </c>
      <c r="HR5" t="str">
        <f>_xll.BDS("9990822D US Equity","SUPPLY_CHAIN_CUSTOMERS","RELATIONSHIP_AS_OF_DATE","20061011","cols=1;rows=3")</f>
        <v>0759608D US Equity</v>
      </c>
      <c r="HW5" t="str">
        <f>_xll.BDS("YELLQ US Equity","SUPPLY_CHAIN_SUPPLIERS","RELATIONSHIP_AS_OF_DATE","20030708","cols=1;rows=5")</f>
        <v>ML FP Equity</v>
      </c>
      <c r="IB5" t="str">
        <f>_xll.BDS("YELLQ US Equity","SUPPLY_CHAIN_CUSTOMERS","RELATIONSHIP_AS_OF_DATE","20030708","cols=1;rows=5")</f>
        <v>0219682Z US Equity</v>
      </c>
      <c r="IG5" t="str">
        <f>_xll.BDS("GE US Equity","SUPPLY_CHAIN_SUPPLIERS","RELATIONSHIP_AS_OF_DATE","20041124","cols=1;rows=5")</f>
        <v>SAF FP Equity</v>
      </c>
      <c r="IL5" t="str">
        <f>_xll.BDS("GE US Equity","SUPPLY_CHAIN_CUSTOMERS","RELATIONSHIP_AS_OF_DATE","20041124","cols=1;rows=5")</f>
        <v>3352Z US Equity</v>
      </c>
      <c r="IQ5" t="str">
        <f>_xll.BDS("SYK US Equity","SUPPLY_CHAIN_SUPPLIERS","RELATIONSHIP_AS_OF_DATE","20180830","cols=1;rows=5")</f>
        <v>FLEX US Equity</v>
      </c>
      <c r="IV5" t="str">
        <f>_xll.BDS("SYK US Equity","SUPPLY_CHAIN_CUSTOMERS","RELATIONSHIP_AS_OF_DATE","20180830","cols=1;rows=5")</f>
        <v>CNXN US Equity</v>
      </c>
      <c r="JA5" t="str">
        <f>_xll.BDS("MKSI US Equity","SUPPLY_CHAIN_SUPPLIERS","RELATIONSHIP_AS_OF_DATE","20160223","cols=1;rows=5")</f>
        <v>LASR US Equity</v>
      </c>
      <c r="JF5" t="str">
        <f>_xll.BDS("MKSI US Equity","SUPPLY_CHAIN_CUSTOMERS","RELATIONSHIP_AS_OF_DATE","20160223","cols=1;rows=5")</f>
        <v>LRCX US Equity</v>
      </c>
      <c r="JK5" t="str">
        <f>_xll.BDS("GAPTQ US Equity","SUPPLY_CHAIN_SUPPLIERS","RELATIONSHIP_AS_OF_DATE","20070305")</f>
        <v>#N/A N/A</v>
      </c>
      <c r="JP5" t="str">
        <f>_xll.BDS("GAPTQ US Equity","SUPPLY_CHAIN_CUSTOMERS","RELATIONSHIP_AS_OF_DATE","20070305")</f>
        <v>#N/A N/A</v>
      </c>
      <c r="JU5" t="str">
        <f>_xll.BDS("ESRX US Equity","SUPPLY_CHAIN_SUPPLIERS","RELATIONSHIP_AS_OF_DATE","20050721")</f>
        <v>FE US Equity</v>
      </c>
      <c r="JZ5" t="str">
        <f>_xll.BDS("ESRX US Equity","SUPPLY_CHAIN_CUSTOMERS","RELATIONSHIP_AS_OF_DATE","20050721")</f>
        <v>#N/A N/A</v>
      </c>
      <c r="KE5" t="str">
        <f>_xll.BDS("2258717D US Equity","SUPPLY_CHAIN_SUPPLIERS","RELATIONSHIP_AS_OF_DATE","19990809")</f>
        <v>#N/A N/A</v>
      </c>
      <c r="KJ5" t="str">
        <f>_xll.BDS("2258717D US Equity","SUPPLY_CHAIN_CUSTOMERS","RELATIONSHIP_AS_OF_DATE","19990809")</f>
        <v>#N/A N/A</v>
      </c>
      <c r="KO5" t="str">
        <f>_xll.BDS("KG US Equity","SUPPLY_CHAIN_SUPPLIERS","RELATIONSHIP_AS_OF_DATE","20080911")</f>
        <v>#N/A N/A</v>
      </c>
      <c r="KT5" t="str">
        <f>_xll.BDS("KG US Equity","SUPPLY_CHAIN_CUSTOMERS","RELATIONSHIP_AS_OF_DATE","20080911")</f>
        <v>#N/A N/A</v>
      </c>
      <c r="KY5" t="str">
        <f>_xll.BDS("nan Equity","SUPPLY_CHAIN_SUPPLIERS","RELATIONSHIP_AS_OF_DATE","20080118")</f>
        <v>#N/A N/A</v>
      </c>
      <c r="LD5" t="str">
        <f>_xll.BDS("nan Equity","SUPPLY_CHAIN_CUSTOMERS","RELATIONSHIP_AS_OF_DATE","20080118")</f>
        <v>#N/A N/A</v>
      </c>
      <c r="LI5" t="str">
        <f>_xll.BDS("TSS US Equity","SUPPLY_CHAIN_SUPPLIERS","RELATIONSHIP_AS_OF_DATE","20130219")</f>
        <v>#N/A N/A</v>
      </c>
      <c r="LN5" t="str">
        <f>_xll.BDS("TSS US Equity","SUPPLY_CHAIN_CUSTOMERS","RELATIONSHIP_AS_OF_DATE","20130219")</f>
        <v>#N/A N/A</v>
      </c>
      <c r="LS5" t="str">
        <f>_xll.BDS("MMGR US Equity","SUPPLY_CHAIN_SUPPLIERS","RELATIONSHIP_AS_OF_DATE","19990517")</f>
        <v>#N/A N/A</v>
      </c>
      <c r="LX5" t="str">
        <f>_xll.BDS("MMGR US Equity","SUPPLY_CHAIN_CUSTOMERS","RELATIONSHIP_AS_OF_DATE","19990517")</f>
        <v>#N/A N/A</v>
      </c>
      <c r="MC5" t="str">
        <f>_xll.BDS("HLX US Equity","SUPPLY_CHAIN_SUPPLIERS","RELATIONSHIP_AS_OF_DATE","20060123","cols=1;rows=5")</f>
        <v>0006641D US Equity</v>
      </c>
      <c r="MH5" t="str">
        <f>_xll.BDS("HLX US Equity","SUPPLY_CHAIN_CUSTOMERS","RELATIONSHIP_AS_OF_DATE","20060123","cols=1;rows=5")</f>
        <v>SHEL LN Equity</v>
      </c>
      <c r="MM5" t="str">
        <f>_xll.BDS("CLH US Equity","SUPPLY_CHAIN_SUPPLIERS","RELATIONSHIP_AS_OF_DATE","20121029","cols=1;rows=3")</f>
        <v>IOT US Equity</v>
      </c>
      <c r="MR5" t="str">
        <f>_xll.BDS("CLH US Equity","SUPPLY_CHAIN_CUSTOMERS","RELATIONSHIP_AS_OF_DATE","20121029","cols=1;rows=3")</f>
        <v>1229327D US Equity</v>
      </c>
      <c r="MW5" t="str">
        <f>_xll.BDS("1858968D US Equity","SUPPLY_CHAIN_SUPPLIERS","RELATIONSHIP_AS_OF_DATE","20140428")</f>
        <v>#N/A N/A</v>
      </c>
      <c r="NB5" t="str">
        <f>_xll.BDS("1858968D US Equity","SUPPLY_CHAIN_CUSTOMERS","RELATIONSHIP_AS_OF_DATE","20140428")</f>
        <v>#N/A N/A</v>
      </c>
      <c r="NG5" t="str">
        <f>_xll.BDS("MDRX US Equity","SUPPLY_CHAIN_SUPPLIERS","RELATIONSHIP_AS_OF_DATE","20100609","cols=1;rows=5")</f>
        <v>1448469D US Equity</v>
      </c>
      <c r="NL5" t="str">
        <f>_xll.BDS("MDRX US Equity","SUPPLY_CHAIN_CUSTOMERS","RELATIONSHIP_AS_OF_DATE","20100609","cols=1;rows=3")</f>
        <v>0000550D US Equity</v>
      </c>
      <c r="NQ5" t="str">
        <f>_xll.BDS("9876549D US Equity","SUPPLY_CHAIN_SUPPLIERS","RELATIONSHIP_AS_OF_DATE","20121218")</f>
        <v>#N/A N/A</v>
      </c>
      <c r="NV5" t="str">
        <f>_xll.BDS("9876549D US Equity","SUPPLY_CHAIN_CUSTOMERS","RELATIONSHIP_AS_OF_DATE","20121218")</f>
        <v>#N/A N/A</v>
      </c>
      <c r="OA5" t="str">
        <f>_xll.BDS("HRI US Equity","SUPPLY_CHAIN_SUPPLIERS","RELATIONSHIP_AS_OF_DATE","20120826","cols=1;rows=5")</f>
        <v>DE US Equity</v>
      </c>
      <c r="OF5" t="str">
        <f>_xll.BDS("HRI US Equity","SUPPLY_CHAIN_CUSTOMERS","RELATIONSHIP_AS_OF_DATE","20120826","cols=1;rows=3")</f>
        <v>735365Z US Equity</v>
      </c>
    </row>
    <row r="6" spans="1:396" x14ac:dyDescent="0.25">
      <c r="K6" t="s">
        <v>171</v>
      </c>
      <c r="P6" t="s">
        <v>1736</v>
      </c>
      <c r="AE6" t="s">
        <v>11176</v>
      </c>
      <c r="AJ6" t="s">
        <v>10660</v>
      </c>
      <c r="BI6" t="s">
        <v>3865</v>
      </c>
      <c r="BN6" t="s">
        <v>12010</v>
      </c>
      <c r="BS6" t="s">
        <v>11089</v>
      </c>
      <c r="BX6" t="s">
        <v>4219</v>
      </c>
      <c r="CC6" t="s">
        <v>12973</v>
      </c>
      <c r="CH6" t="s">
        <v>6901</v>
      </c>
      <c r="CW6" t="s">
        <v>4211</v>
      </c>
      <c r="DB6" t="s">
        <v>12550</v>
      </c>
      <c r="DQ6" t="s">
        <v>5074</v>
      </c>
      <c r="DV6" t="s">
        <v>1468</v>
      </c>
      <c r="EA6" t="s">
        <v>162</v>
      </c>
      <c r="EF6" t="s">
        <v>469</v>
      </c>
      <c r="EU6" t="s">
        <v>3066</v>
      </c>
      <c r="EZ6" t="s">
        <v>11114</v>
      </c>
      <c r="FE6" t="s">
        <v>10749</v>
      </c>
      <c r="FJ6" t="s">
        <v>10687</v>
      </c>
      <c r="FY6" t="s">
        <v>4570</v>
      </c>
      <c r="GD6" t="s">
        <v>12443</v>
      </c>
      <c r="GN6" t="s">
        <v>2705</v>
      </c>
      <c r="HC6" t="s">
        <v>4388</v>
      </c>
      <c r="HR6" t="s">
        <v>2705</v>
      </c>
      <c r="HW6" t="s">
        <v>12647</v>
      </c>
      <c r="IB6" t="s">
        <v>10657</v>
      </c>
      <c r="IG6" t="s">
        <v>11008</v>
      </c>
      <c r="IL6" t="s">
        <v>1363</v>
      </c>
      <c r="IQ6" t="s">
        <v>11412</v>
      </c>
      <c r="IV6" t="s">
        <v>11830</v>
      </c>
      <c r="JA6" t="s">
        <v>12539</v>
      </c>
      <c r="JF6" t="s">
        <v>1267</v>
      </c>
      <c r="MC6" t="s">
        <v>12627</v>
      </c>
      <c r="MH6" t="s">
        <v>2595</v>
      </c>
      <c r="MM6" t="s">
        <v>13099</v>
      </c>
      <c r="MR6" t="s">
        <v>10998</v>
      </c>
      <c r="NG6" t="s">
        <v>13022</v>
      </c>
      <c r="NL6" t="s">
        <v>13009</v>
      </c>
      <c r="OA6" t="s">
        <v>12625</v>
      </c>
      <c r="OF6" t="s">
        <v>12961</v>
      </c>
    </row>
    <row r="7" spans="1:396" x14ac:dyDescent="0.25">
      <c r="K7" t="s">
        <v>11159</v>
      </c>
      <c r="P7" t="s">
        <v>385</v>
      </c>
      <c r="AE7" t="s">
        <v>6477</v>
      </c>
      <c r="AJ7" t="s">
        <v>2881</v>
      </c>
      <c r="BI7" t="s">
        <v>12022</v>
      </c>
      <c r="BN7" t="s">
        <v>12011</v>
      </c>
      <c r="BS7" t="s">
        <v>10729</v>
      </c>
      <c r="BX7" t="s">
        <v>11368</v>
      </c>
      <c r="CC7" t="s">
        <v>12974</v>
      </c>
      <c r="CH7" t="s">
        <v>2705</v>
      </c>
      <c r="CW7" t="s">
        <v>6238</v>
      </c>
      <c r="DB7" t="s">
        <v>11540</v>
      </c>
      <c r="DQ7" t="s">
        <v>10817</v>
      </c>
      <c r="DV7" t="s">
        <v>385</v>
      </c>
      <c r="EA7" t="s">
        <v>279</v>
      </c>
      <c r="EF7" t="s">
        <v>2881</v>
      </c>
      <c r="EU7" t="s">
        <v>11162</v>
      </c>
      <c r="EZ7" t="s">
        <v>12220</v>
      </c>
      <c r="FE7" t="s">
        <v>10750</v>
      </c>
      <c r="FJ7" t="s">
        <v>10688</v>
      </c>
      <c r="FY7" t="s">
        <v>12487</v>
      </c>
      <c r="GD7" t="s">
        <v>12444</v>
      </c>
      <c r="GN7" t="s">
        <v>270</v>
      </c>
      <c r="HC7" t="s">
        <v>11522</v>
      </c>
      <c r="HR7" t="s">
        <v>270</v>
      </c>
      <c r="HW7" t="s">
        <v>12648</v>
      </c>
      <c r="IB7" t="s">
        <v>469</v>
      </c>
      <c r="IG7" t="s">
        <v>11009</v>
      </c>
      <c r="IL7" t="s">
        <v>10939</v>
      </c>
      <c r="IQ7" t="s">
        <v>11413</v>
      </c>
      <c r="IV7" t="s">
        <v>11831</v>
      </c>
      <c r="JA7" t="s">
        <v>2887</v>
      </c>
      <c r="JF7" t="s">
        <v>10892</v>
      </c>
      <c r="MC7" t="s">
        <v>12628</v>
      </c>
      <c r="MH7" t="s">
        <v>11807</v>
      </c>
      <c r="MM7" t="s">
        <v>13100</v>
      </c>
      <c r="MR7" t="s">
        <v>13065</v>
      </c>
      <c r="NG7" t="s">
        <v>13023</v>
      </c>
      <c r="NL7" t="s">
        <v>13010</v>
      </c>
      <c r="OA7" t="s">
        <v>1654</v>
      </c>
      <c r="OF7" t="s">
        <v>12962</v>
      </c>
    </row>
    <row r="8" spans="1:396" x14ac:dyDescent="0.25">
      <c r="K8" t="s">
        <v>10940</v>
      </c>
      <c r="P8" t="s">
        <v>2881</v>
      </c>
      <c r="AE8" t="s">
        <v>11089</v>
      </c>
      <c r="AJ8" t="s">
        <v>11183</v>
      </c>
      <c r="BI8" t="s">
        <v>171</v>
      </c>
      <c r="BN8" t="s">
        <v>10657</v>
      </c>
      <c r="BS8" t="s">
        <v>12659</v>
      </c>
      <c r="BX8" t="s">
        <v>10918</v>
      </c>
      <c r="CH8" t="s">
        <v>12811</v>
      </c>
      <c r="CW8" t="s">
        <v>11276</v>
      </c>
      <c r="DB8" t="s">
        <v>3697</v>
      </c>
      <c r="DQ8" t="s">
        <v>11066</v>
      </c>
      <c r="DV8" t="s">
        <v>970</v>
      </c>
      <c r="EA8" t="s">
        <v>10818</v>
      </c>
      <c r="EF8" t="s">
        <v>52</v>
      </c>
      <c r="EU8" t="s">
        <v>12737</v>
      </c>
      <c r="EZ8" t="s">
        <v>11500</v>
      </c>
      <c r="FE8" t="s">
        <v>8997</v>
      </c>
      <c r="FJ8" t="s">
        <v>10689</v>
      </c>
      <c r="FY8" t="s">
        <v>1754</v>
      </c>
      <c r="GD8" t="s">
        <v>12445</v>
      </c>
      <c r="HC8" t="s">
        <v>11523</v>
      </c>
      <c r="HW8" t="s">
        <v>790</v>
      </c>
      <c r="IB8" t="s">
        <v>4045</v>
      </c>
      <c r="IG8" t="s">
        <v>11010</v>
      </c>
      <c r="IL8" t="s">
        <v>1652</v>
      </c>
      <c r="IQ8" t="s">
        <v>11414</v>
      </c>
      <c r="IV8" t="s">
        <v>11832</v>
      </c>
      <c r="JA8" t="s">
        <v>12540</v>
      </c>
      <c r="JF8" t="s">
        <v>11597</v>
      </c>
      <c r="MC8" t="s">
        <v>12629</v>
      </c>
      <c r="MH8" t="s">
        <v>11847</v>
      </c>
      <c r="NG8" t="s">
        <v>469</v>
      </c>
      <c r="OA8" t="s">
        <v>11992</v>
      </c>
    </row>
    <row r="9" spans="1:396" x14ac:dyDescent="0.25">
      <c r="K9" t="s">
        <v>11507</v>
      </c>
      <c r="P9" t="s">
        <v>364</v>
      </c>
      <c r="AE9" t="s">
        <v>10853</v>
      </c>
      <c r="AJ9" t="s">
        <v>266</v>
      </c>
      <c r="BI9" t="s">
        <v>1654</v>
      </c>
      <c r="BN9" t="s">
        <v>12012</v>
      </c>
      <c r="BS9" t="s">
        <v>12660</v>
      </c>
      <c r="BX9" t="s">
        <v>10676</v>
      </c>
      <c r="CH9" t="s">
        <v>57</v>
      </c>
      <c r="CW9" t="s">
        <v>12600</v>
      </c>
      <c r="DQ9" t="s">
        <v>12202</v>
      </c>
      <c r="DV9" t="s">
        <v>52</v>
      </c>
      <c r="EA9" t="s">
        <v>384</v>
      </c>
      <c r="EF9" t="s">
        <v>472</v>
      </c>
      <c r="EU9" t="s">
        <v>12738</v>
      </c>
      <c r="EZ9" t="s">
        <v>12499</v>
      </c>
      <c r="FE9" t="s">
        <v>10751</v>
      </c>
      <c r="FJ9" t="s">
        <v>10651</v>
      </c>
      <c r="FY9" t="s">
        <v>12488</v>
      </c>
      <c r="GD9" t="s">
        <v>12446</v>
      </c>
      <c r="HC9" t="s">
        <v>8762</v>
      </c>
      <c r="HW9" t="s">
        <v>158</v>
      </c>
      <c r="IB9" t="s">
        <v>12380</v>
      </c>
      <c r="IG9" t="s">
        <v>3625</v>
      </c>
      <c r="IL9" t="s">
        <v>1740</v>
      </c>
      <c r="IQ9" t="s">
        <v>5575</v>
      </c>
      <c r="IV9" t="s">
        <v>11833</v>
      </c>
      <c r="JA9" t="s">
        <v>12541</v>
      </c>
      <c r="JF9" t="s">
        <v>11810</v>
      </c>
      <c r="MC9" t="s">
        <v>12630</v>
      </c>
      <c r="MH9" t="s">
        <v>68</v>
      </c>
      <c r="NG9" t="s">
        <v>13024</v>
      </c>
      <c r="OA9" t="s">
        <v>12725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3013</v>
      </c>
      <c r="K1" s="1" t="s">
        <v>3014</v>
      </c>
      <c r="U1" s="1" t="s">
        <v>3015</v>
      </c>
      <c r="AE1" s="1" t="s">
        <v>3016</v>
      </c>
      <c r="AO1" s="1" t="s">
        <v>3017</v>
      </c>
      <c r="AY1" s="1" t="s">
        <v>3018</v>
      </c>
      <c r="BI1" s="1" t="s">
        <v>3019</v>
      </c>
      <c r="BS1" s="1" t="s">
        <v>3020</v>
      </c>
      <c r="CC1" s="1" t="s">
        <v>3021</v>
      </c>
      <c r="CM1" s="1" t="s">
        <v>3022</v>
      </c>
      <c r="CW1" s="1" t="s">
        <v>3023</v>
      </c>
      <c r="DG1" s="1" t="s">
        <v>3024</v>
      </c>
      <c r="DQ1" s="1" t="s">
        <v>3025</v>
      </c>
      <c r="EA1" s="1" t="s">
        <v>3026</v>
      </c>
      <c r="EK1" s="1" t="s">
        <v>3027</v>
      </c>
      <c r="EU1" s="1" t="s">
        <v>3028</v>
      </c>
      <c r="FE1" s="1" t="s">
        <v>3029</v>
      </c>
      <c r="FO1" s="1" t="s">
        <v>3030</v>
      </c>
      <c r="FY1" s="1" t="s">
        <v>3031</v>
      </c>
      <c r="GI1" s="1" t="s">
        <v>3032</v>
      </c>
      <c r="GS1" s="1" t="s">
        <v>3033</v>
      </c>
      <c r="HC1" s="1" t="s">
        <v>3034</v>
      </c>
      <c r="HM1" s="1" t="s">
        <v>3035</v>
      </c>
      <c r="HW1" s="1" t="s">
        <v>3036</v>
      </c>
      <c r="IG1" s="1" t="s">
        <v>3037</v>
      </c>
      <c r="IQ1" s="1" t="s">
        <v>3038</v>
      </c>
      <c r="JA1" s="1" t="s">
        <v>3039</v>
      </c>
      <c r="JK1" s="1" t="s">
        <v>3040</v>
      </c>
      <c r="JU1" s="1" t="s">
        <v>3041</v>
      </c>
      <c r="KE1" s="1" t="s">
        <v>3042</v>
      </c>
      <c r="KO1" s="1" t="s">
        <v>3043</v>
      </c>
      <c r="KY1" s="1" t="s">
        <v>3044</v>
      </c>
      <c r="LI1" s="1" t="s">
        <v>3045</v>
      </c>
      <c r="LS1" s="1" t="s">
        <v>3046</v>
      </c>
      <c r="MC1" s="1" t="s">
        <v>3047</v>
      </c>
      <c r="MM1" s="1" t="s">
        <v>3048</v>
      </c>
      <c r="MW1" s="1" t="s">
        <v>3049</v>
      </c>
      <c r="NG1" s="1" t="s">
        <v>3050</v>
      </c>
      <c r="NQ1" s="1" t="s">
        <v>3051</v>
      </c>
      <c r="OA1" s="1" t="s">
        <v>3052</v>
      </c>
    </row>
    <row r="2" spans="1:396" x14ac:dyDescent="0.25">
      <c r="A2" s="2" t="s">
        <v>3053</v>
      </c>
      <c r="K2" s="2" t="s">
        <v>165</v>
      </c>
      <c r="U2" s="2" t="s">
        <v>2128</v>
      </c>
      <c r="AE2" s="2" t="s">
        <v>3054</v>
      </c>
      <c r="AO2" s="2" t="s">
        <v>3055</v>
      </c>
      <c r="AY2" s="2" t="s">
        <v>61</v>
      </c>
      <c r="BI2" s="2" t="s">
        <v>3056</v>
      </c>
      <c r="BS2" s="2" t="s">
        <v>3057</v>
      </c>
      <c r="CC2" s="2" t="s">
        <v>3058</v>
      </c>
      <c r="CM2" s="2" t="s">
        <v>3059</v>
      </c>
      <c r="CW2" s="2" t="s">
        <v>266</v>
      </c>
      <c r="DG2" s="2" t="s">
        <v>3060</v>
      </c>
      <c r="DQ2" s="2" t="s">
        <v>52</v>
      </c>
      <c r="EA2" s="2" t="s">
        <v>1164</v>
      </c>
      <c r="EK2" s="2" t="s">
        <v>3061</v>
      </c>
      <c r="EU2" s="2" t="s">
        <v>44</v>
      </c>
      <c r="FE2" s="2" t="s">
        <v>368</v>
      </c>
      <c r="FO2" s="2" t="s">
        <v>370</v>
      </c>
      <c r="FY2" s="2" t="s">
        <v>268</v>
      </c>
      <c r="GI2" s="2" t="s">
        <v>2781</v>
      </c>
      <c r="GS2" s="2" t="s">
        <v>1356</v>
      </c>
      <c r="HC2" s="2" t="s">
        <v>3062</v>
      </c>
      <c r="HM2" s="2" t="s">
        <v>3063</v>
      </c>
      <c r="HW2" s="2" t="s">
        <v>3064</v>
      </c>
      <c r="IG2" s="2" t="s">
        <v>673</v>
      </c>
      <c r="IQ2" s="2" t="s">
        <v>2872</v>
      </c>
      <c r="JA2" s="2" t="s">
        <v>3065</v>
      </c>
      <c r="JK2" s="2" t="s">
        <v>3066</v>
      </c>
      <c r="JU2" s="2" t="s">
        <v>3067</v>
      </c>
      <c r="KE2" s="2" t="s">
        <v>3068</v>
      </c>
      <c r="KO2" s="2" t="s">
        <v>1556</v>
      </c>
      <c r="KY2" s="2" t="s">
        <v>791</v>
      </c>
      <c r="LI2" s="2" t="s">
        <v>3069</v>
      </c>
      <c r="LS2" s="2" t="s">
        <v>3070</v>
      </c>
      <c r="MC2" s="2" t="s">
        <v>3071</v>
      </c>
      <c r="MM2" s="2" t="s">
        <v>3072</v>
      </c>
      <c r="MW2" s="2" t="s">
        <v>175</v>
      </c>
      <c r="NG2" s="2" t="s">
        <v>3073</v>
      </c>
      <c r="NQ2" s="2" t="s">
        <v>3074</v>
      </c>
      <c r="OA2" s="2" t="s">
        <v>3075</v>
      </c>
    </row>
    <row r="3" spans="1:396" x14ac:dyDescent="0.25">
      <c r="A3" t="s">
        <v>3076</v>
      </c>
      <c r="K3" t="s">
        <v>1186</v>
      </c>
      <c r="U3" t="s">
        <v>3077</v>
      </c>
      <c r="AE3" t="s">
        <v>3078</v>
      </c>
      <c r="AO3" t="s">
        <v>3079</v>
      </c>
      <c r="AY3" t="s">
        <v>3080</v>
      </c>
      <c r="BI3" t="s">
        <v>3081</v>
      </c>
      <c r="BS3" t="s">
        <v>1688</v>
      </c>
      <c r="CC3" t="s">
        <v>1182</v>
      </c>
      <c r="CM3" t="s">
        <v>3082</v>
      </c>
      <c r="CW3" t="s">
        <v>1194</v>
      </c>
      <c r="DG3" t="s">
        <v>3083</v>
      </c>
      <c r="DQ3" t="s">
        <v>1968</v>
      </c>
      <c r="EA3" t="s">
        <v>3084</v>
      </c>
      <c r="EK3" t="s">
        <v>3085</v>
      </c>
      <c r="EU3" t="s">
        <v>3086</v>
      </c>
      <c r="FE3" t="s">
        <v>3087</v>
      </c>
      <c r="FO3" t="s">
        <v>3088</v>
      </c>
      <c r="FY3" t="s">
        <v>3089</v>
      </c>
      <c r="GI3" t="s">
        <v>3090</v>
      </c>
      <c r="GS3" t="s">
        <v>3091</v>
      </c>
      <c r="HC3" t="s">
        <v>3092</v>
      </c>
      <c r="HM3" t="s">
        <v>3093</v>
      </c>
      <c r="HW3" t="s">
        <v>2541</v>
      </c>
      <c r="IG3" t="s">
        <v>3094</v>
      </c>
      <c r="IQ3" t="s">
        <v>3095</v>
      </c>
      <c r="JA3" t="s">
        <v>427</v>
      </c>
      <c r="JK3" t="s">
        <v>994</v>
      </c>
      <c r="JU3" t="s">
        <v>3096</v>
      </c>
      <c r="KE3" t="s">
        <v>3097</v>
      </c>
      <c r="KO3" t="s">
        <v>3098</v>
      </c>
      <c r="KY3" t="s">
        <v>695</v>
      </c>
      <c r="LI3" t="s">
        <v>3099</v>
      </c>
      <c r="LS3" t="s">
        <v>1113</v>
      </c>
      <c r="MC3" t="s">
        <v>3100</v>
      </c>
      <c r="MM3" t="s">
        <v>3101</v>
      </c>
      <c r="MW3" t="s">
        <v>1766</v>
      </c>
      <c r="NG3" t="s">
        <v>3102</v>
      </c>
      <c r="NQ3" t="s">
        <v>3103</v>
      </c>
      <c r="OA3" t="s">
        <v>3104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_xll.BDS("IRM US Equity","SUPPLY_CHAIN_SUPPLIERS","RELATIONSHIP_AS_OF_DATE","19991021","cols=1;rows=5")</f>
        <v>TCS IN Equity</v>
      </c>
      <c r="F5" t="str">
        <f>_xll.BDS("IRM US Equity","SUPPLY_CHAIN_CUSTOMERS","RELATIONSHIP_AS_OF_DATE","19991021","cols=1;rows=5")</f>
        <v>MFMI IJ Equity</v>
      </c>
      <c r="K5" t="str">
        <f>_xll.BDS("IBM US Equity","SUPPLY_CHAIN_SUPPLIERS","RELATIONSHIP_AS_OF_DATE","20120827","cols=1;rows=5")</f>
        <v>005930 KS Equity</v>
      </c>
      <c r="P5" t="str">
        <f>_xll.BDS("IBM US Equity","SUPPLY_CHAIN_CUSTOMERS","RELATIONSHIP_AS_OF_DATE","20120827","cols=1;rows=5")</f>
        <v>AMZN US Equity</v>
      </c>
      <c r="U5" t="str">
        <f>_xll.BDS("AGR US Equity","SUPPLY_CHAIN_SUPPLIERS","RELATIONSHIP_AS_OF_DATE","19990615","cols=1;rows=5")</f>
        <v>3365854Z US Equity</v>
      </c>
      <c r="Z5" t="str">
        <f>_xll.BDS("AGR US Equity","SUPPLY_CHAIN_CUSTOMERS","RELATIONSHIP_AS_OF_DATE","19990615","cols=1;rows=5")</f>
        <v>1256Z NO Equity</v>
      </c>
      <c r="AE5" t="str">
        <f>_xll.BDS("CLOV US Equity","SUPPLY_CHAIN_SUPPLIERS","RELATIONSHIP_AS_OF_DATE","20201006","cols=1;rows=5")</f>
        <v>0633555D US Equity</v>
      </c>
      <c r="AJ5" t="str">
        <f>_xll.BDS("CLOV US Equity","SUPPLY_CHAIN_CUSTOMERS","RELATIONSHIP_AS_OF_DATE","20201006","cols=1;rows=2")</f>
        <v>0107341D US Equity</v>
      </c>
      <c r="AO5" t="str">
        <f>_xll.BDS("CMRCQ US Equity","SUPPLY_CHAIN_SUPPLIERS","RELATIONSHIP_AS_OF_DATE","20000620")</f>
        <v>#N/A N/A</v>
      </c>
      <c r="AT5" t="str">
        <f>_xll.BDS("CMRCQ US Equity","SUPPLY_CHAIN_CUSTOMERS","RELATIONSHIP_AS_OF_DATE","20000620")</f>
        <v>#N/A N/A</v>
      </c>
      <c r="AY5" t="str">
        <f>_xll.BDS("JPM US Equity","SUPPLY_CHAIN_SUPPLIERS","RELATIONSHIP_AS_OF_DATE","19990928","cols=1;rows=5")</f>
        <v>LUV US Equity</v>
      </c>
      <c r="BD5" t="str">
        <f>_xll.BDS("JPM US Equity","SUPPLY_CHAIN_CUSTOMERS","RELATIONSHIP_AS_OF_DATE","19990928","cols=1;rows=5")</f>
        <v>000737 CH Equity</v>
      </c>
      <c r="BI5" t="str">
        <f>_xll.BDS("INTU US Equity","SUPPLY_CHAIN_SUPPLIERS","RELATIONSHIP_AS_OF_DATE","20061130","cols=1;rows=5")</f>
        <v>EMBASSY IN Equity</v>
      </c>
      <c r="BN5" t="str">
        <f>_xll.BDS("INTU US Equity","SUPPLY_CHAIN_CUSTOMERS","RELATIONSHIP_AS_OF_DATE","20061130","cols=1;rows=5")</f>
        <v>SNX US Equity</v>
      </c>
      <c r="BS5" t="str">
        <f>_xll.BDS("GME US Equity","SUPPLY_CHAIN_SUPPLIERS","RELATIONSHIP_AS_OF_DATE","20050418","cols=1;rows=5")</f>
        <v>6758 JP Equity</v>
      </c>
      <c r="BX5" t="str">
        <f>_xll.BDS("GME US Equity","SUPPLY_CHAIN_CUSTOMERS","RELATIONSHIP_AS_OF_DATE","20050418")</f>
        <v>1918839D AU Equity</v>
      </c>
      <c r="CC5" t="str">
        <f>_xll.BDS("605018Q US Equity","SUPPLY_CHAIN_SUPPLIERS","RELATIONSHIP_AS_OF_DATE","19990517")</f>
        <v>#N/A N/A</v>
      </c>
      <c r="CH5" t="str">
        <f>_xll.BDS("605018Q US Equity","SUPPLY_CHAIN_CUSTOMERS","RELATIONSHIP_AS_OF_DATE","19990517")</f>
        <v>#N/A N/A</v>
      </c>
      <c r="CM5" t="str">
        <f>_xll.BDS("ACC US Equity","SUPPLY_CHAIN_SUPPLIERS","RELATIONSHIP_AS_OF_DATE","20080212")</f>
        <v>#N/A N/A</v>
      </c>
      <c r="CR5" t="str">
        <f>_xll.BDS("ACC US Equity","SUPPLY_CHAIN_CUSTOMERS","RELATIONSHIP_AS_OF_DATE","20080212")</f>
        <v>#N/A N/A</v>
      </c>
      <c r="CW5" t="str">
        <f>_xll.BDS("MSFT US Equity","SUPPLY_CHAIN_SUPPLIERS","RELATIONSHIP_AS_OF_DATE","20001221","cols=1;rows=5")</f>
        <v>NVDA US Equity</v>
      </c>
      <c r="DB5" t="str">
        <f>_xll.BDS("MSFT US Equity","SUPPLY_CHAIN_CUSTOMERS","RELATIONSHIP_AS_OF_DATE","20001221","cols=1;rows=5")</f>
        <v>SNX US Equity</v>
      </c>
      <c r="DG5" t="str">
        <f>_xll.BDS("EFX US Equity","SUPPLY_CHAIN_SUPPLIERS","RELATIONSHIP_AS_OF_DATE","20070214","cols=1;rows=5")</f>
        <v>FICO US Equity</v>
      </c>
      <c r="DL5" t="str">
        <f>_xll.BDS("EFX US Equity","SUPPLY_CHAIN_CUSTOMERS","RELATIONSHIP_AS_OF_DATE","20070214","cols=1;rows=5")</f>
        <v>2512660D US Equity</v>
      </c>
      <c r="DQ5" t="str">
        <f>_xll.BDS("CVS US Equity","SUPPLY_CHAIN_SUPPLIERS","RELATIONSHIP_AS_OF_DATE","19980209","cols=1;rows=5")</f>
        <v>MCK US Equity</v>
      </c>
      <c r="DV5" t="str">
        <f>_xll.BDS("CVS US Equity","SUPPLY_CHAIN_CUSTOMERS","RELATIONSHIP_AS_OF_DATE","19980209","cols=1;rows=5")</f>
        <v>3352Z US Equity</v>
      </c>
      <c r="EA5" t="str">
        <f>_xll.BDS("GE US Equity","SUPPLY_CHAIN_SUPPLIERS","RELATIONSHIP_AS_OF_DATE","20050929","cols=1;rows=5")</f>
        <v>SAF FP Equity</v>
      </c>
      <c r="EF5" t="str">
        <f>_xll.BDS("GE US Equity","SUPPLY_CHAIN_CUSTOMERS","RELATIONSHIP_AS_OF_DATE","20050929","cols=1;rows=5")</f>
        <v>3352Z US Equity</v>
      </c>
      <c r="EK5" t="str">
        <f>_xll.BDS("MWE US Equity","SUPPLY_CHAIN_SUPPLIERS","RELATIONSHIP_AS_OF_DATE","20070906")</f>
        <v>#N/A N/A</v>
      </c>
      <c r="EP5" t="str">
        <f>_xll.BDS("MWE US Equity","SUPPLY_CHAIN_CUSTOMERS","RELATIONSHIP_AS_OF_DATE","20070906")</f>
        <v>#N/A N/A</v>
      </c>
      <c r="EU5" t="str">
        <f>_xll.BDS("PFE US Equity","SUPPLY_CHAIN_SUPPLIERS","RELATIONSHIP_AS_OF_DATE","20031221","cols=1;rows=5")</f>
        <v>BNTX US Equity</v>
      </c>
      <c r="EZ5" t="str">
        <f>_xll.BDS("PFE US Equity","SUPPLY_CHAIN_CUSTOMERS","RELATIONSHIP_AS_OF_DATE","20031221","cols=1;rows=5")</f>
        <v>MCK US Equity</v>
      </c>
      <c r="FE5" t="str">
        <f>_xll.BDS("JNJ US Equity","SUPPLY_CHAIN_SUPPLIERS","RELATIONSHIP_AS_OF_DATE","20010523","cols=1;rows=5")</f>
        <v>GMAB DC Equity</v>
      </c>
      <c r="FJ5" t="str">
        <f>_xll.BDS("JNJ US Equity","SUPPLY_CHAIN_CUSTOMERS","RELATIONSHIP_AS_OF_DATE","20010523","cols=1;rows=5")</f>
        <v>MCK US Equity</v>
      </c>
      <c r="FO5" t="str">
        <f>_xll.BDS("VRSN US Equity","SUPPLY_CHAIN_SUPPLIERS","RELATIONSHIP_AS_OF_DATE","20010924","cols=1;rows=2")</f>
        <v>079940 KS Equity</v>
      </c>
      <c r="FT5" t="str">
        <f>_xll.BDS("VRSN US Equity","SUPPLY_CHAIN_CUSTOMERS","RELATIONSHIP_AS_OF_DATE","20010924","cols=1;rows=3")</f>
        <v>079940 KS Equity</v>
      </c>
      <c r="FY5" t="str">
        <f>_xll.BDS("AIG US Equity","SUPPLY_CHAIN_SUPPLIERS","RELATIONSHIP_AS_OF_DATE","20000818","cols=1;rows=5")</f>
        <v>PEGA US Equity</v>
      </c>
      <c r="GD5" t="str">
        <f>_xll.BDS("AIG US Equity","SUPPLY_CHAIN_CUSTOMERS","RELATIONSHIP_AS_OF_DATE","20000818","cols=1;rows=5")</f>
        <v>002348 CH Equity</v>
      </c>
      <c r="GI5" t="str">
        <f>_xll.BDS("EXE US Equity","SUPPLY_CHAIN_SUPPLIERS","RELATIONSHIP_AS_OF_DATE","20181030","cols=1;rows=5")</f>
        <v>PRIM US Equity</v>
      </c>
      <c r="GN5" t="str">
        <f>_xll.BDS("EXE US Equity","SUPPLY_CHAIN_CUSTOMERS","RELATIONSHIP_AS_OF_DATE","20181030","cols=1;rows=3")</f>
        <v>37895Z CY Equity</v>
      </c>
      <c r="GS5" t="str">
        <f>_xll.BDS("TCF US Equity","SUPPLY_CHAIN_SUPPLIERS","RELATIONSHIP_AS_OF_DATE","20160126")</f>
        <v>#N/A N/A</v>
      </c>
      <c r="GX5" t="str">
        <f>_xll.BDS("TCF US Equity","SUPPLY_CHAIN_CUSTOMERS","RELATIONSHIP_AS_OF_DATE","20160126")</f>
        <v>#N/A N/A</v>
      </c>
      <c r="HC5" t="str">
        <f>_xll.BDS("RS US Equity","SUPPLY_CHAIN_SUPPLIERS","RELATIONSHIP_AS_OF_DATE","20130206","cols=1;rows=5")</f>
        <v>KALU US Equity</v>
      </c>
      <c r="HH5" t="str">
        <f>_xll.BDS("RS US Equity","SUPPLY_CHAIN_CUSTOMERS","RELATIONSHIP_AS_OF_DATE","20130206","cols=1;rows=5")</f>
        <v>RTX US Equity</v>
      </c>
      <c r="HM5" t="str">
        <f>_xll.BDS("INDB US Equity","SUPPLY_CHAIN_SUPPLIERS","RELATIONSHIP_AS_OF_DATE","20210422")</f>
        <v>#N/A N/A</v>
      </c>
      <c r="HR5" t="str">
        <f>_xll.BDS("INDB US Equity","SUPPLY_CHAIN_CUSTOMERS","RELATIONSHIP_AS_OF_DATE","20210422")</f>
        <v>#N/A N/A</v>
      </c>
      <c r="HW5" t="str">
        <f>_xll.BDS("ASCMA US Equity","SUPPLY_CHAIN_SUPPLIERS","RELATIONSHIP_AS_OF_DATE","20101217")</f>
        <v>#N/A N/A</v>
      </c>
      <c r="IB5" t="str">
        <f>_xll.BDS("ASCMA US Equity","SUPPLY_CHAIN_CUSTOMERS","RELATIONSHIP_AS_OF_DATE","20101217")</f>
        <v>#N/A N/A</v>
      </c>
      <c r="IG5" t="str">
        <f>_xll.BDS("LEN US Equity","SUPPLY_CHAIN_SUPPLIERS","RELATIONSHIP_AS_OF_DATE","20000217","cols=1;rows=5")</f>
        <v>WLK US Equity</v>
      </c>
      <c r="IL5" t="str">
        <f>_xll.BDS("LEN US Equity","SUPPLY_CHAIN_CUSTOMERS","RELATIONSHIP_AS_OF_DATE","20000217")</f>
        <v>#N/A N/A</v>
      </c>
      <c r="IQ5" t="str">
        <f>_xll.BDS("SCI US Equity","SUPPLY_CHAIN_SUPPLIERS","RELATIONSHIP_AS_OF_DATE","20060403")</f>
        <v>#N/A N/A</v>
      </c>
      <c r="IV5" t="str">
        <f>_xll.BDS("SCI US Equity","SUPPLY_CHAIN_CUSTOMERS","RELATIONSHIP_AS_OF_DATE","20060403")</f>
        <v>#N/A N/A</v>
      </c>
      <c r="JA5" t="str">
        <f>_xll.BDS("BWA US Equity","SUPPLY_CHAIN_SUPPLIERS","RELATIONSHIP_AS_OF_DATE","20150713","cols=1;rows=5")</f>
        <v>CMI US Equity</v>
      </c>
      <c r="JF5" t="str">
        <f>_xll.BDS("BWA US Equity","SUPPLY_CHAIN_CUSTOMERS","RELATIONSHIP_AS_OF_DATE","20150713","cols=1;rows=5")</f>
        <v>VOW GR Equity</v>
      </c>
      <c r="JK5" t="str">
        <f>_xll.BDS("PWR US Equity","SUPPLY_CHAIN_SUPPLIERS","RELATIONSHIP_AS_OF_DATE","20070319","cols=1;rows=5")</f>
        <v>NXR-U CN Equity</v>
      </c>
      <c r="JP5" t="str">
        <f>_xll.BDS("PWR US Equity","SUPPLY_CHAIN_CUSTOMERS","RELATIONSHIP_AS_OF_DATE","20070319","cols=1;rows=5")</f>
        <v>NEE US Equity</v>
      </c>
      <c r="JU5" t="str">
        <f>_xll.BDS("CMA US Equity","SUPPLY_CHAIN_SUPPLIERS","RELATIONSHIP_AS_OF_DATE","20001101")</f>
        <v>TEMN SW Equity</v>
      </c>
      <c r="JZ5" t="str">
        <f>_xll.BDS("CMA US Equity","SUPPLY_CHAIN_CUSTOMERS","RELATIONSHIP_AS_OF_DATE","20001101")</f>
        <v>AUTLANB MM Equity</v>
      </c>
      <c r="KE5" t="str">
        <f>_xll.BDS("TQNT US Equity","SUPPLY_CHAIN_SUPPLIERS","RELATIONSHIP_AS_OF_DATE","20010515")</f>
        <v>#N/A N/A</v>
      </c>
      <c r="KJ5" t="str">
        <f>_xll.BDS("TQNT US Equity","SUPPLY_CHAIN_CUSTOMERS","RELATIONSHIP_AS_OF_DATE","20010515")</f>
        <v>#N/A N/A</v>
      </c>
      <c r="KO5" t="str">
        <f>_xll.BDS("WELL US Equity","SUPPLY_CHAIN_SUPPLIERS","RELATIONSHIP_AS_OF_DATE","20120822","cols=1;rows=2")</f>
        <v>OHI US Equity</v>
      </c>
      <c r="KT5" t="str">
        <f>_xll.BDS("WELL US Equity","SUPPLY_CHAIN_CUSTOMERS","RELATIONSHIP_AS_OF_DATE","20120822","cols=1;rows=5")</f>
        <v>SRZ US Equity</v>
      </c>
      <c r="KY5" t="str">
        <f>_xll.BDS("LVLT US Equity","SUPPLY_CHAIN_SUPPLIERS","RELATIONSHIP_AS_OF_DATE","20061017")</f>
        <v>#N/A N/A</v>
      </c>
      <c r="LD5" t="str">
        <f>_xll.BDS("LVLT US Equity","SUPPLY_CHAIN_CUSTOMERS","RELATIONSHIP_AS_OF_DATE","20061017")</f>
        <v>#N/A N/A</v>
      </c>
      <c r="LI5" t="str">
        <f>_xll.BDS("DHI US Equity","SUPPLY_CHAIN_SUPPLIERS","RELATIONSHIP_AS_OF_DATE","20011023","cols=1;rows=5")</f>
        <v>FOR US Equity</v>
      </c>
      <c r="LN5" t="str">
        <f>_xll.BDS("DHI US Equity","SUPPLY_CHAIN_CUSTOMERS","RELATIONSHIP_AS_OF_DATE","20011023")</f>
        <v>FOR US Equity</v>
      </c>
      <c r="LS5" t="str">
        <f>_xll.BDS("BOKF US Equity","SUPPLY_CHAIN_SUPPLIERS","RELATIONSHIP_AS_OF_DATE","20180618","cols=1;rows=2")</f>
        <v>BLND US Equity</v>
      </c>
      <c r="LX5" t="str">
        <f>_xll.BDS("BOKF US Equity","SUPPLY_CHAIN_CUSTOMERS","RELATIONSHIP_AS_OF_DATE","20180618")</f>
        <v>#N/A N/A</v>
      </c>
      <c r="MC5" t="str">
        <f>_xll.BDS("RAH US Equity","SUPPLY_CHAIN_SUPPLIERS","RELATIONSHIP_AS_OF_DATE","20100621")</f>
        <v>#N/A N/A</v>
      </c>
      <c r="MH5" t="str">
        <f>_xll.BDS("RAH US Equity","SUPPLY_CHAIN_CUSTOMERS","RELATIONSHIP_AS_OF_DATE","20100621")</f>
        <v>#N/A N/A</v>
      </c>
      <c r="MM5" t="str">
        <f>_xll.BDS("HQY US Equity","SUPPLY_CHAIN_SUPPLIERS","RELATIONSHIP_AS_OF_DATE","20190627","cols=1;rows=3")</f>
        <v>1179L US Equity</v>
      </c>
      <c r="MR5" t="str">
        <f>_xll.BDS("HQY US Equity","SUPPLY_CHAIN_CUSTOMERS","RELATIONSHIP_AS_OF_DATE","20190627","cols=1;rows=2")</f>
        <v>ADP US Equity</v>
      </c>
      <c r="MW5" t="str">
        <f>_xll.BDS("TFC US Equity","SUPPLY_CHAIN_SUPPLIERS","RELATIONSHIP_AS_OF_DATE","20000207","cols=1;rows=5")</f>
        <v>ADBE US Equity</v>
      </c>
      <c r="NB5" t="str">
        <f>_xll.BDS("TFC US Equity","SUPPLY_CHAIN_CUSTOMERS","RELATIONSHIP_AS_OF_DATE","20000207")</f>
        <v>RENG IN Equity</v>
      </c>
      <c r="NG5" t="str">
        <f>_xll.BDS("FDX US Equity","SUPPLY_CHAIN_SUPPLIERS","RELATIONSHIP_AS_OF_DATE","20001113","cols=1;rows=5")</f>
        <v>BA US Equity</v>
      </c>
      <c r="NL5" t="str">
        <f>_xll.BDS("FDX US Equity","SUPPLY_CHAIN_CUSTOMERS","RELATIONSHIP_AS_OF_DATE","20001113","cols=1;rows=5")</f>
        <v>AMZN US Equity</v>
      </c>
      <c r="NQ5" t="str">
        <f>_xll.BDS("SIG US Equity","SUPPLY_CHAIN_SUPPLIERS","RELATIONSHIP_AS_OF_DATE","20140219","cols=1;rows=5")</f>
        <v>SPG US Equity</v>
      </c>
      <c r="NV5" t="str">
        <f>_xll.BDS("SIG US Equity","SUPPLY_CHAIN_CUSTOMERS","RELATIONSHIP_AS_OF_DATE","20140219")</f>
        <v>#N/A N/A</v>
      </c>
      <c r="OA5" t="str">
        <f>_xll.BDS("0202445Q US Equity","SUPPLY_CHAIN_SUPPLIERS","RELATIONSHIP_AS_OF_DATE","20060425")</f>
        <v>#N/A N/A</v>
      </c>
      <c r="OF5" t="str">
        <f>_xll.BDS("0202445Q US Equity","SUPPLY_CHAIN_CUSTOMERS","RELATIONSHIP_AS_OF_DATE","20060425")</f>
        <v>#N/A N/A</v>
      </c>
    </row>
    <row r="6" spans="1:396" x14ac:dyDescent="0.25">
      <c r="A6" t="s">
        <v>12912</v>
      </c>
      <c r="F6" t="s">
        <v>10939</v>
      </c>
      <c r="K6" t="s">
        <v>41</v>
      </c>
      <c r="P6" t="s">
        <v>266</v>
      </c>
      <c r="U6" t="s">
        <v>12609</v>
      </c>
      <c r="Z6" t="s">
        <v>11634</v>
      </c>
      <c r="AE6" t="s">
        <v>12837</v>
      </c>
      <c r="AJ6" t="s">
        <v>13204</v>
      </c>
      <c r="AY6" t="s">
        <v>3865</v>
      </c>
      <c r="BD6" t="s">
        <v>12010</v>
      </c>
      <c r="BI6" t="s">
        <v>2204</v>
      </c>
      <c r="BN6" t="s">
        <v>10787</v>
      </c>
      <c r="BS6" t="s">
        <v>11167</v>
      </c>
      <c r="CW6" t="s">
        <v>11089</v>
      </c>
      <c r="DB6" t="s">
        <v>4219</v>
      </c>
      <c r="DG6" t="s">
        <v>2705</v>
      </c>
      <c r="DL6" t="s">
        <v>11696</v>
      </c>
      <c r="DQ6" t="s">
        <v>970</v>
      </c>
      <c r="DV6" t="s">
        <v>12452</v>
      </c>
      <c r="EA6" t="s">
        <v>11008</v>
      </c>
      <c r="EF6" t="s">
        <v>1363</v>
      </c>
      <c r="EU6" t="s">
        <v>171</v>
      </c>
      <c r="EZ6" t="s">
        <v>1468</v>
      </c>
      <c r="FE6" t="s">
        <v>10735</v>
      </c>
      <c r="FJ6" t="s">
        <v>1468</v>
      </c>
      <c r="FO6" t="s">
        <v>11141</v>
      </c>
      <c r="FT6" t="s">
        <v>12638</v>
      </c>
      <c r="FY6" t="s">
        <v>12604</v>
      </c>
      <c r="GD6" t="s">
        <v>12156</v>
      </c>
      <c r="GI6" t="s">
        <v>4211</v>
      </c>
      <c r="GN6" t="s">
        <v>11540</v>
      </c>
      <c r="HC6" t="s">
        <v>11890</v>
      </c>
      <c r="HH6" t="s">
        <v>1164</v>
      </c>
      <c r="IG6" t="s">
        <v>6073</v>
      </c>
      <c r="JA6" t="s">
        <v>11334</v>
      </c>
      <c r="JF6" t="s">
        <v>3875</v>
      </c>
      <c r="JK6" t="s">
        <v>13169</v>
      </c>
      <c r="JP6" t="s">
        <v>260</v>
      </c>
      <c r="KO6" t="s">
        <v>12209</v>
      </c>
      <c r="KT6" t="s">
        <v>12584</v>
      </c>
      <c r="LI6" t="s">
        <v>1552</v>
      </c>
      <c r="LS6" t="s">
        <v>10739</v>
      </c>
      <c r="MM6" t="s">
        <v>154</v>
      </c>
      <c r="MR6" t="s">
        <v>12907</v>
      </c>
      <c r="MW6" t="s">
        <v>11371</v>
      </c>
      <c r="NG6" t="s">
        <v>12559</v>
      </c>
      <c r="NL6" t="s">
        <v>10953</v>
      </c>
      <c r="NQ6" t="s">
        <v>13158</v>
      </c>
    </row>
    <row r="7" spans="1:396" x14ac:dyDescent="0.25">
      <c r="A7" t="s">
        <v>12631</v>
      </c>
      <c r="F7" t="s">
        <v>12872</v>
      </c>
      <c r="K7" t="s">
        <v>469</v>
      </c>
      <c r="P7" t="s">
        <v>10892</v>
      </c>
      <c r="U7" t="s">
        <v>12610</v>
      </c>
      <c r="Z7" t="s">
        <v>11635</v>
      </c>
      <c r="AE7" t="s">
        <v>12838</v>
      </c>
      <c r="AY7" t="s">
        <v>12022</v>
      </c>
      <c r="BD7" t="s">
        <v>12011</v>
      </c>
      <c r="BI7" t="s">
        <v>11074</v>
      </c>
      <c r="BN7" t="s">
        <v>10660</v>
      </c>
      <c r="BS7" t="s">
        <v>11367</v>
      </c>
      <c r="CW7" t="s">
        <v>10729</v>
      </c>
      <c r="DB7" t="s">
        <v>11368</v>
      </c>
      <c r="DG7" t="s">
        <v>11049</v>
      </c>
      <c r="DL7" t="s">
        <v>390</v>
      </c>
      <c r="DQ7" t="s">
        <v>58</v>
      </c>
      <c r="DV7" t="s">
        <v>12453</v>
      </c>
      <c r="EA7" t="s">
        <v>11009</v>
      </c>
      <c r="EF7" t="s">
        <v>10939</v>
      </c>
      <c r="EU7" t="s">
        <v>10816</v>
      </c>
      <c r="EZ7" t="s">
        <v>970</v>
      </c>
      <c r="FE7" t="s">
        <v>45</v>
      </c>
      <c r="FJ7" t="s">
        <v>970</v>
      </c>
      <c r="FT7" t="s">
        <v>12639</v>
      </c>
      <c r="FY7" t="s">
        <v>12605</v>
      </c>
      <c r="GD7" t="s">
        <v>12157</v>
      </c>
      <c r="GI7" t="s">
        <v>11312</v>
      </c>
      <c r="GN7" t="s">
        <v>780</v>
      </c>
      <c r="HC7" t="s">
        <v>11858</v>
      </c>
      <c r="HH7" t="s">
        <v>4570</v>
      </c>
      <c r="IG7" t="s">
        <v>4307</v>
      </c>
      <c r="JA7" t="s">
        <v>11759</v>
      </c>
      <c r="JF7" t="s">
        <v>10953</v>
      </c>
      <c r="JK7" t="s">
        <v>12685</v>
      </c>
      <c r="JP7" t="s">
        <v>10810</v>
      </c>
      <c r="KT7" t="s">
        <v>12585</v>
      </c>
      <c r="LI7" t="s">
        <v>2699</v>
      </c>
      <c r="MM7" t="s">
        <v>61</v>
      </c>
      <c r="MW7" t="s">
        <v>10986</v>
      </c>
      <c r="NG7" t="s">
        <v>266</v>
      </c>
      <c r="NL7" t="s">
        <v>10676</v>
      </c>
      <c r="NQ7" t="s">
        <v>13159</v>
      </c>
    </row>
    <row r="8" spans="1:396" x14ac:dyDescent="0.25">
      <c r="A8" t="s">
        <v>12871</v>
      </c>
      <c r="F8" t="s">
        <v>11231</v>
      </c>
      <c r="K8" t="s">
        <v>2881</v>
      </c>
      <c r="P8" t="s">
        <v>6473</v>
      </c>
      <c r="U8" t="s">
        <v>12611</v>
      </c>
      <c r="Z8" t="s">
        <v>10657</v>
      </c>
      <c r="AE8" t="s">
        <v>12839</v>
      </c>
      <c r="AY8" t="s">
        <v>171</v>
      </c>
      <c r="BD8" t="s">
        <v>10657</v>
      </c>
      <c r="BI8" t="s">
        <v>12035</v>
      </c>
      <c r="BN8" t="s">
        <v>5236</v>
      </c>
      <c r="BS8" t="s">
        <v>11368</v>
      </c>
      <c r="CW8" t="s">
        <v>12659</v>
      </c>
      <c r="DB8" t="s">
        <v>10918</v>
      </c>
      <c r="DG8" t="s">
        <v>11061</v>
      </c>
      <c r="DL8" t="s">
        <v>11697</v>
      </c>
      <c r="DQ8" t="s">
        <v>368</v>
      </c>
      <c r="DV8" t="s">
        <v>12454</v>
      </c>
      <c r="EA8" t="s">
        <v>11010</v>
      </c>
      <c r="EF8" t="s">
        <v>1652</v>
      </c>
      <c r="EU8" t="s">
        <v>43</v>
      </c>
      <c r="EZ8" t="s">
        <v>43</v>
      </c>
      <c r="FE8" t="s">
        <v>3437</v>
      </c>
      <c r="FJ8" t="s">
        <v>51</v>
      </c>
      <c r="FY8" t="s">
        <v>12606</v>
      </c>
      <c r="GD8" t="s">
        <v>12158</v>
      </c>
      <c r="GI8" t="s">
        <v>11355</v>
      </c>
      <c r="HC8" t="s">
        <v>4217</v>
      </c>
      <c r="HH8" t="s">
        <v>12543</v>
      </c>
      <c r="IG8" t="s">
        <v>11362</v>
      </c>
      <c r="JA8" t="s">
        <v>11760</v>
      </c>
      <c r="JF8" t="s">
        <v>12050</v>
      </c>
      <c r="JK8" t="s">
        <v>693</v>
      </c>
      <c r="JP8" t="s">
        <v>382</v>
      </c>
      <c r="KT8" t="s">
        <v>12586</v>
      </c>
      <c r="LI8" t="s">
        <v>487</v>
      </c>
      <c r="MW8" t="s">
        <v>11372</v>
      </c>
      <c r="NG8" t="s">
        <v>171</v>
      </c>
      <c r="NL8" t="s">
        <v>2881</v>
      </c>
      <c r="NQ8" t="s">
        <v>13160</v>
      </c>
    </row>
    <row r="9" spans="1:396" x14ac:dyDescent="0.25">
      <c r="A9" t="s">
        <v>12913</v>
      </c>
      <c r="F9" t="s">
        <v>12873</v>
      </c>
      <c r="K9" t="s">
        <v>10853</v>
      </c>
      <c r="P9" t="s">
        <v>969</v>
      </c>
      <c r="U9" t="s">
        <v>11991</v>
      </c>
      <c r="Z9" t="s">
        <v>11636</v>
      </c>
      <c r="AE9" t="s">
        <v>469</v>
      </c>
      <c r="AY9" t="s">
        <v>1654</v>
      </c>
      <c r="BD9" t="s">
        <v>12012</v>
      </c>
      <c r="BI9" t="s">
        <v>12036</v>
      </c>
      <c r="BN9" t="s">
        <v>4655</v>
      </c>
      <c r="BS9" t="s">
        <v>261</v>
      </c>
      <c r="CW9" t="s">
        <v>12660</v>
      </c>
      <c r="DB9" t="s">
        <v>10676</v>
      </c>
      <c r="DG9" t="s">
        <v>10718</v>
      </c>
      <c r="DL9" t="s">
        <v>11234</v>
      </c>
      <c r="DQ9" t="s">
        <v>11117</v>
      </c>
      <c r="DV9" t="s">
        <v>10868</v>
      </c>
      <c r="EA9" t="s">
        <v>3625</v>
      </c>
      <c r="EF9" t="s">
        <v>1740</v>
      </c>
      <c r="EU9" t="s">
        <v>10817</v>
      </c>
      <c r="EZ9" t="s">
        <v>10657</v>
      </c>
      <c r="FE9" t="s">
        <v>11012</v>
      </c>
      <c r="FJ9" t="s">
        <v>10944</v>
      </c>
      <c r="FY9" t="s">
        <v>12439</v>
      </c>
      <c r="GD9" t="s">
        <v>12159</v>
      </c>
      <c r="GI9" t="s">
        <v>11356</v>
      </c>
      <c r="HC9" t="s">
        <v>12307</v>
      </c>
      <c r="HH9" t="s">
        <v>10786</v>
      </c>
      <c r="IG9" t="s">
        <v>11363</v>
      </c>
      <c r="JA9" t="s">
        <v>11043</v>
      </c>
      <c r="JF9" t="s">
        <v>10658</v>
      </c>
      <c r="JK9" t="s">
        <v>11607</v>
      </c>
      <c r="JP9" t="s">
        <v>1263</v>
      </c>
      <c r="KT9" t="s">
        <v>12587</v>
      </c>
      <c r="LI9" t="s">
        <v>4307</v>
      </c>
      <c r="MW9" t="s">
        <v>10987</v>
      </c>
      <c r="NG9" t="s">
        <v>2792</v>
      </c>
      <c r="NL9" t="s">
        <v>10775</v>
      </c>
      <c r="NQ9" t="s">
        <v>10889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3105</v>
      </c>
      <c r="K1" s="1" t="s">
        <v>3106</v>
      </c>
      <c r="U1" s="1" t="s">
        <v>3107</v>
      </c>
      <c r="AE1" s="1" t="s">
        <v>3108</v>
      </c>
      <c r="AO1" s="1" t="s">
        <v>3109</v>
      </c>
      <c r="AY1" s="1" t="s">
        <v>3110</v>
      </c>
      <c r="BI1" s="1" t="s">
        <v>3111</v>
      </c>
      <c r="BS1" s="1" t="s">
        <v>3112</v>
      </c>
      <c r="CC1" s="1" t="s">
        <v>3113</v>
      </c>
      <c r="CM1" s="1" t="s">
        <v>3114</v>
      </c>
      <c r="CW1" s="1" t="s">
        <v>3115</v>
      </c>
      <c r="DG1" s="1" t="s">
        <v>3116</v>
      </c>
      <c r="DQ1" s="1" t="s">
        <v>3117</v>
      </c>
      <c r="EA1" s="1" t="s">
        <v>3118</v>
      </c>
      <c r="EK1" s="1" t="s">
        <v>3119</v>
      </c>
      <c r="EU1" s="1" t="s">
        <v>3120</v>
      </c>
      <c r="FE1" s="1" t="s">
        <v>3121</v>
      </c>
      <c r="FO1" s="1" t="s">
        <v>3122</v>
      </c>
      <c r="FY1" s="1" t="s">
        <v>3123</v>
      </c>
      <c r="GI1" s="1" t="s">
        <v>3124</v>
      </c>
      <c r="GS1" s="1" t="s">
        <v>3125</v>
      </c>
      <c r="HC1" s="1" t="s">
        <v>3126</v>
      </c>
      <c r="HM1" s="1" t="s">
        <v>3127</v>
      </c>
      <c r="HW1" s="1" t="s">
        <v>3128</v>
      </c>
      <c r="IG1" s="1" t="s">
        <v>3129</v>
      </c>
      <c r="IQ1" s="1" t="s">
        <v>3130</v>
      </c>
      <c r="JA1" s="1" t="s">
        <v>3131</v>
      </c>
      <c r="JK1" s="1" t="s">
        <v>3132</v>
      </c>
      <c r="JU1" s="1" t="s">
        <v>3133</v>
      </c>
      <c r="KE1" s="1" t="s">
        <v>3134</v>
      </c>
      <c r="KO1" s="1" t="s">
        <v>3135</v>
      </c>
      <c r="KY1" s="1" t="s">
        <v>3136</v>
      </c>
      <c r="LI1" s="1" t="s">
        <v>3137</v>
      </c>
      <c r="LS1" s="1" t="s">
        <v>3138</v>
      </c>
      <c r="MC1" s="1" t="s">
        <v>3139</v>
      </c>
      <c r="MM1" s="1" t="s">
        <v>3140</v>
      </c>
      <c r="MW1" s="1" t="s">
        <v>3141</v>
      </c>
      <c r="NG1" s="1" t="s">
        <v>3142</v>
      </c>
      <c r="NQ1" s="1" t="s">
        <v>3143</v>
      </c>
      <c r="OA1" s="1" t="s">
        <v>3144</v>
      </c>
    </row>
    <row r="2" spans="1:396" x14ac:dyDescent="0.25">
      <c r="A2" s="2" t="s">
        <v>3145</v>
      </c>
      <c r="K2" s="2" t="s">
        <v>70</v>
      </c>
      <c r="U2" s="2" t="s">
        <v>3146</v>
      </c>
      <c r="AE2" s="2" t="s">
        <v>976</v>
      </c>
      <c r="AO2" s="2" t="s">
        <v>161</v>
      </c>
      <c r="AY2" s="2" t="s">
        <v>3147</v>
      </c>
      <c r="BI2" s="2" t="s">
        <v>3148</v>
      </c>
      <c r="BS2" s="2" t="s">
        <v>3149</v>
      </c>
      <c r="CC2" s="2" t="s">
        <v>3150</v>
      </c>
      <c r="CM2" s="2" t="s">
        <v>2700</v>
      </c>
      <c r="CW2" s="2" t="s">
        <v>982</v>
      </c>
      <c r="DG2" s="2" t="s">
        <v>1748</v>
      </c>
      <c r="DQ2" s="2" t="s">
        <v>3151</v>
      </c>
      <c r="EA2" s="2" t="s">
        <v>3152</v>
      </c>
      <c r="EK2" s="2" t="s">
        <v>3153</v>
      </c>
      <c r="EU2" s="2" t="s">
        <v>3154</v>
      </c>
      <c r="FE2" s="2" t="s">
        <v>3155</v>
      </c>
      <c r="FO2" s="2" t="s">
        <v>3156</v>
      </c>
      <c r="FY2" s="2" t="s">
        <v>1938</v>
      </c>
      <c r="GI2" s="2" t="s">
        <v>2132</v>
      </c>
      <c r="GS2" s="2" t="s">
        <v>57</v>
      </c>
      <c r="HC2" s="2" t="s">
        <v>1649</v>
      </c>
      <c r="HM2" s="2" t="s">
        <v>3157</v>
      </c>
      <c r="HW2" s="2" t="s">
        <v>3158</v>
      </c>
      <c r="IG2" s="2" t="s">
        <v>165</v>
      </c>
      <c r="IQ2" s="2" t="s">
        <v>368</v>
      </c>
      <c r="JA2" s="2" t="s">
        <v>1638</v>
      </c>
      <c r="JK2" s="2" t="s">
        <v>3159</v>
      </c>
      <c r="JU2" s="2" t="s">
        <v>3160</v>
      </c>
      <c r="KE2" s="2" t="s">
        <v>272</v>
      </c>
      <c r="KO2" s="2" t="s">
        <v>2126</v>
      </c>
      <c r="KY2" s="2" t="s">
        <v>3161</v>
      </c>
      <c r="LI2" s="2" t="s">
        <v>167</v>
      </c>
      <c r="LS2" s="2" t="s">
        <v>265</v>
      </c>
      <c r="MC2" s="2" t="s">
        <v>3162</v>
      </c>
      <c r="MM2" s="2" t="s">
        <v>3163</v>
      </c>
      <c r="MW2" s="2" t="s">
        <v>276</v>
      </c>
      <c r="NG2" s="2" t="s">
        <v>3164</v>
      </c>
      <c r="NQ2" s="2" t="s">
        <v>168</v>
      </c>
      <c r="OA2" s="2" t="s">
        <v>3165</v>
      </c>
    </row>
    <row r="3" spans="1:396" x14ac:dyDescent="0.25">
      <c r="A3" t="s">
        <v>2546</v>
      </c>
      <c r="K3" t="s">
        <v>3166</v>
      </c>
      <c r="U3" t="s">
        <v>202</v>
      </c>
      <c r="AE3" t="s">
        <v>3167</v>
      </c>
      <c r="AO3" t="s">
        <v>3168</v>
      </c>
      <c r="AY3" t="s">
        <v>3169</v>
      </c>
      <c r="BI3" t="s">
        <v>3170</v>
      </c>
      <c r="BS3" t="s">
        <v>3171</v>
      </c>
      <c r="CC3" t="s">
        <v>87</v>
      </c>
      <c r="CM3" t="s">
        <v>3172</v>
      </c>
      <c r="CW3" t="s">
        <v>3173</v>
      </c>
      <c r="DG3" t="s">
        <v>3174</v>
      </c>
      <c r="DQ3" t="s">
        <v>3175</v>
      </c>
      <c r="EA3" t="s">
        <v>3176</v>
      </c>
      <c r="EK3" t="s">
        <v>3177</v>
      </c>
      <c r="EU3" t="s">
        <v>3169</v>
      </c>
      <c r="FE3" t="s">
        <v>1770</v>
      </c>
      <c r="FO3" t="s">
        <v>3178</v>
      </c>
      <c r="FY3" t="s">
        <v>3179</v>
      </c>
      <c r="GI3" t="s">
        <v>3180</v>
      </c>
      <c r="GS3" t="s">
        <v>3181</v>
      </c>
      <c r="HC3" t="s">
        <v>3182</v>
      </c>
      <c r="HM3" t="s">
        <v>3183</v>
      </c>
      <c r="HW3" t="s">
        <v>3184</v>
      </c>
      <c r="IG3" t="s">
        <v>3185</v>
      </c>
      <c r="IQ3" t="s">
        <v>3186</v>
      </c>
      <c r="JA3" t="s">
        <v>1664</v>
      </c>
      <c r="JK3" t="s">
        <v>3187</v>
      </c>
      <c r="JU3" t="s">
        <v>3188</v>
      </c>
      <c r="KE3" t="s">
        <v>3189</v>
      </c>
      <c r="KO3" t="s">
        <v>3190</v>
      </c>
      <c r="KY3" t="s">
        <v>915</v>
      </c>
      <c r="LI3" t="s">
        <v>3191</v>
      </c>
      <c r="LS3" t="s">
        <v>3192</v>
      </c>
      <c r="MC3" t="s">
        <v>3193</v>
      </c>
      <c r="MM3" t="s">
        <v>3194</v>
      </c>
      <c r="MW3" t="s">
        <v>3195</v>
      </c>
      <c r="NG3" t="s">
        <v>3196</v>
      </c>
      <c r="NQ3" t="s">
        <v>3197</v>
      </c>
      <c r="OA3" t="s">
        <v>3198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_xll.BDS("AMC US Equity","SUPPLY_CHAIN_SUPPLIERS","RELATIONSHIP_AS_OF_DATE","20160303","cols=1;rows=5")</f>
        <v>EPR US Equity</v>
      </c>
      <c r="F5" t="str">
        <f>_xll.BDS("AMC US Equity","SUPPLY_CHAIN_CUSTOMERS","RELATIONSHIP_AS_OF_DATE","20160303","cols=1;rows=5")</f>
        <v>4014636Z SS Equity</v>
      </c>
      <c r="K5" t="str">
        <f>_xll.BDS("0848680D US Equity","SUPPLY_CHAIN_SUPPLIERS","RELATIONSHIP_AS_OF_DATE","20091110")</f>
        <v>#N/A N/A</v>
      </c>
      <c r="P5" t="str">
        <f>_xll.BDS("0848680D US Equity","SUPPLY_CHAIN_CUSTOMERS","RELATIONSHIP_AS_OF_DATE","20091110")</f>
        <v>#N/A N/A</v>
      </c>
      <c r="U5" t="str">
        <f>_xll.BDS("MPANQ US Equity","SUPPLY_CHAIN_SUPPLIERS","RELATIONSHIP_AS_OF_DATE","19980413")</f>
        <v>#N/A N/A</v>
      </c>
      <c r="Z5" t="str">
        <f>_xll.BDS("MPANQ US Equity","SUPPLY_CHAIN_CUSTOMERS","RELATIONSHIP_AS_OF_DATE","19980413")</f>
        <v>#N/A N/A</v>
      </c>
      <c r="AE5" t="str">
        <f>_xll.BDS("MTCH US Equity","SUPPLY_CHAIN_SUPPLIERS","RELATIONSHIP_AS_OF_DATE","20030410","cols=1;rows=5")</f>
        <v>053300 KS Equity</v>
      </c>
      <c r="AJ5" t="str">
        <f>_xll.BDS("MTCH US Equity","SUPPLY_CHAIN_CUSTOMERS","RELATIONSHIP_AS_OF_DATE","20030410","cols=1;rows=3")</f>
        <v>AAPL US Equity</v>
      </c>
      <c r="AO5" t="str">
        <f>_xll.BDS("BX US Equity","SUPPLY_CHAIN_SUPPLIERS","RELATIONSHIP_AS_OF_DATE","20041020","cols=1;rows=5")</f>
        <v>ORCL US Equity</v>
      </c>
      <c r="AT5" t="str">
        <f>_xll.BDS("BX US Equity","SUPPLY_CHAIN_CUSTOMERS","RELATIONSHIP_AS_OF_DATE","20041020","cols=1;rows=5")</f>
        <v>002284 CH Equity</v>
      </c>
      <c r="AY5" t="str">
        <f>_xll.BDS("JAH US Equity","SUPPLY_CHAIN_SUPPLIERS","RELATIONSHIP_AS_OF_DATE","20070425")</f>
        <v>#N/A N/A</v>
      </c>
      <c r="BD5" t="str">
        <f>_xll.BDS("JAH US Equity","SUPPLY_CHAIN_CUSTOMERS","RELATIONSHIP_AS_OF_DATE","20070425")</f>
        <v>#N/A N/A</v>
      </c>
      <c r="BI5" t="str">
        <f>_xll.BDS("1541946D US Equity","SUPPLY_CHAIN_SUPPLIERS","RELATIONSHIP_AS_OF_DATE","20041109")</f>
        <v>#N/A N/A</v>
      </c>
      <c r="BN5" t="str">
        <f>_xll.BDS("1541946D US Equity","SUPPLY_CHAIN_CUSTOMERS","RELATIONSHIP_AS_OF_DATE","20041109")</f>
        <v>#N/A N/A</v>
      </c>
      <c r="BS5" t="str">
        <f>_xll.BDS("COO US Equity","SUPPLY_CHAIN_SUPPLIERS","RELATIONSHIP_AS_OF_DATE","20040728","cols=1;rows=5")</f>
        <v>1793070D US Equity</v>
      </c>
      <c r="BX5" t="str">
        <f>_xll.BDS("COO US Equity","SUPPLY_CHAIN_CUSTOMERS","RELATIONSHIP_AS_OF_DATE","20040728","cols=1;rows=4")</f>
        <v>3218 TT Equity</v>
      </c>
      <c r="CC5" t="str">
        <f>_xll.BDS("ED US Equity","SUPPLY_CHAIN_SUPPLIERS","RELATIONSHIP_AS_OF_DATE","19980511","cols=1;rows=5")</f>
        <v>PWR US Equity</v>
      </c>
      <c r="CH5" t="str">
        <f>_xll.BDS("ED US Equity","SUPPLY_CHAIN_CUSTOMERS","RELATIONSHIP_AS_OF_DATE","19980511","cols=1;rows=5")</f>
        <v>ARW US Equity</v>
      </c>
      <c r="CM5" t="str">
        <f>_xll.BDS("1986522D US Equity","SUPPLY_CHAIN_SUPPLIERS","RELATIONSHIP_AS_OF_DATE","20080128")</f>
        <v>FE US Equity</v>
      </c>
      <c r="CR5" t="str">
        <f>_xll.BDS("1986522D US Equity","SUPPLY_CHAIN_CUSTOMERS","RELATIONSHIP_AS_OF_DATE","20080128")</f>
        <v>#N/A N/A</v>
      </c>
      <c r="CW5" t="str">
        <f>_xll.BDS("EMR US Equity","SUPPLY_CHAIN_SUPPLIERS","RELATIONSHIP_AS_OF_DATE","20091006","cols=1;rows=5")</f>
        <v>JBL US Equity</v>
      </c>
      <c r="DB5" t="str">
        <f>_xll.BDS("EMR US Equity","SUPPLY_CHAIN_CUSTOMERS","RELATIONSHIP_AS_OF_DATE","20091006","cols=1;rows=5")</f>
        <v>TMO US Equity</v>
      </c>
      <c r="DG5" t="str">
        <f>_xll.BDS("WSC US Equity","SUPPLY_CHAIN_SUPPLIERS","RELATIONSHIP_AS_OF_DATE","20180622")</f>
        <v>#N/A N/A</v>
      </c>
      <c r="DL5" t="str">
        <f>_xll.BDS("WSC US Equity","SUPPLY_CHAIN_CUSTOMERS","RELATIONSHIP_AS_OF_DATE","20180622")</f>
        <v>#N/A N/A</v>
      </c>
      <c r="DQ5" t="str">
        <f>_xll.BDS("VCI US Equity","SUPPLY_CHAIN_SUPPLIERS","RELATIONSHIP_AS_OF_DATE","20060706","cols=1;rows=2")</f>
        <v>GNL US Equity</v>
      </c>
      <c r="DV5" t="str">
        <f>_xll.BDS("VCI US Equity","SUPPLY_CHAIN_CUSTOMERS","RELATIONSHIP_AS_OF_DATE","20060706","cols=1;rows=2")</f>
        <v>REVRQ US Equity</v>
      </c>
      <c r="EA5" t="str">
        <f>_xll.BDS("SRTOQ US Equity","SUPPLY_CHAIN_SUPPLIERS","RELATIONSHIP_AS_OF_DATE","19981022")</f>
        <v>#N/A N/A</v>
      </c>
      <c r="EF5" t="str">
        <f>_xll.BDS("SRTOQ US Equity","SUPPLY_CHAIN_CUSTOMERS","RELATIONSHIP_AS_OF_DATE","19981022")</f>
        <v>#N/A N/A</v>
      </c>
      <c r="EK5" t="str">
        <f>_xll.BDS("9876544D US Equity","SUPPLY_CHAIN_SUPPLIERS","RELATIONSHIP_AS_OF_DATE","20010709")</f>
        <v>#N/A N/A</v>
      </c>
      <c r="EP5" t="str">
        <f>_xll.BDS("9876544D US Equity","SUPPLY_CHAIN_CUSTOMERS","RELATIONSHIP_AS_OF_DATE","20010709")</f>
        <v>#N/A N/A</v>
      </c>
      <c r="EU5" t="str">
        <f>_xll.BDS("2596516D US Equity","SUPPLY_CHAIN_SUPPLIERS","RELATIONSHIP_AS_OF_DATE","20070425")</f>
        <v>#N/A N/A</v>
      </c>
      <c r="EZ5" t="str">
        <f>_xll.BDS("2596516D US Equity","SUPPLY_CHAIN_CUSTOMERS","RELATIONSHIP_AS_OF_DATE","20070425")</f>
        <v>#N/A N/A</v>
      </c>
      <c r="FE5" t="str">
        <f>_xll.BDS("MATV US Equity","SUPPLY_CHAIN_SUPPLIERS","RELATIONSHIP_AS_OF_DATE","20220328","cols=1;rows=5")</f>
        <v>MTX US Equity</v>
      </c>
      <c r="FJ5" t="str">
        <f>_xll.BDS("MATV US Equity","SUPPLY_CHAIN_CUSTOMERS","RELATIONSHIP_AS_OF_DATE","20220328","cols=1;rows=2")</f>
        <v>2464203D CN Equity</v>
      </c>
      <c r="FO5" t="str">
        <f>_xll.BDS("838969Q US Equity","SUPPLY_CHAIN_SUPPLIERS","RELATIONSHIP_AS_OF_DATE","19990802")</f>
        <v>#N/A N/A</v>
      </c>
      <c r="FT5" t="str">
        <f>_xll.BDS("838969Q US Equity","SUPPLY_CHAIN_CUSTOMERS","RELATIONSHIP_AS_OF_DATE","19990802")</f>
        <v>#N/A N/A</v>
      </c>
      <c r="FY5" t="str">
        <f>_xll.BDS("NCC US Equity","SUPPLY_CHAIN_SUPPLIERS","RELATIONSHIP_AS_OF_DATE","20060711")</f>
        <v>#N/A N/A</v>
      </c>
      <c r="GD5" t="str">
        <f>_xll.BDS("NCC US Equity","SUPPLY_CHAIN_CUSTOMERS","RELATIONSHIP_AS_OF_DATE","20060711")</f>
        <v>#N/A N/A</v>
      </c>
      <c r="GI5" t="str">
        <f>_xll.BDS("WINMQ US Equity","SUPPLY_CHAIN_SUPPLIERS","RELATIONSHIP_AS_OF_DATE","20091124","cols=1;rows=5")</f>
        <v>DY US Equity</v>
      </c>
      <c r="GN5" t="str">
        <f>_xll.BDS("WINMQ US Equity","SUPPLY_CHAIN_CUSTOMERS","RELATIONSHIP_AS_OF_DATE","20091124","cols=1;rows=2")</f>
        <v>SCSC US Equity</v>
      </c>
      <c r="GS5" t="str">
        <f>_xll.BDS("BAC US Equity","SUPPLY_CHAIN_SUPPLIERS","RELATIONSHIP_AS_OF_DATE","20040713","cols=1;rows=5")</f>
        <v>ORCL US Equity</v>
      </c>
      <c r="GX5" t="str">
        <f>_xll.BDS("BAC US Equity","SUPPLY_CHAIN_CUSTOMERS","RELATIONSHIP_AS_OF_DATE","20040713","cols=1;rows=4")</f>
        <v>3147564Z US Equity</v>
      </c>
      <c r="HC5" t="str">
        <f>_xll.BDS("STJ US Equity","SUPPLY_CHAIN_SUPPLIERS","RELATIONSHIP_AS_OF_DATE","20051016")</f>
        <v>#N/A N/A</v>
      </c>
      <c r="HH5" t="str">
        <f>_xll.BDS("STJ US Equity","SUPPLY_CHAIN_CUSTOMERS","RELATIONSHIP_AS_OF_DATE","20051016")</f>
        <v>#N/A N/A</v>
      </c>
      <c r="HM5" t="str">
        <f>_xll.BDS("PPC US Equity","SUPPLY_CHAIN_SUPPLIERS","RELATIONSHIP_AS_OF_DATE","20060818","cols=1;rows=5")</f>
        <v>JBS US Equity</v>
      </c>
      <c r="HR5" t="str">
        <f>_xll.BDS("PPC US Equity","SUPPLY_CHAIN_CUSTOMERS","RELATIONSHIP_AS_OF_DATE","20060818","cols=1;rows=5")</f>
        <v>COST US Equity</v>
      </c>
      <c r="HW5" t="str">
        <f>_xll.BDS("HTO US Equity","SUPPLY_CHAIN_SUPPLIERS","RELATIONSHIP_AS_OF_DATE","20180315","cols=1;rows=5")</f>
        <v>27252MF US Equity</v>
      </c>
      <c r="IB5" t="str">
        <f>_xll.BDS("HTO US Equity","SUPPLY_CHAIN_CUSTOMERS","RELATIONSHIP_AS_OF_DATE","20180315")</f>
        <v>#N/A N/A</v>
      </c>
      <c r="IG5" t="str">
        <f>_xll.BDS("IBM US Equity","SUPPLY_CHAIN_SUPPLIERS","RELATIONSHIP_AS_OF_DATE","20060810","cols=1;rows=5")</f>
        <v>005930 KS Equity</v>
      </c>
      <c r="IL5" t="str">
        <f>_xll.BDS("IBM US Equity","SUPPLY_CHAIN_CUSTOMERS","RELATIONSHIP_AS_OF_DATE","20060810","cols=1;rows=5")</f>
        <v>AMZN US Equity</v>
      </c>
      <c r="IQ5" t="str">
        <f>_xll.BDS("JNJ US Equity","SUPPLY_CHAIN_SUPPLIERS","RELATIONSHIP_AS_OF_DATE","20081201","cols=1;rows=5")</f>
        <v>GMAB DC Equity</v>
      </c>
      <c r="IV5" t="str">
        <f>_xll.BDS("JNJ US Equity","SUPPLY_CHAIN_CUSTOMERS","RELATIONSHIP_AS_OF_DATE","20081201","cols=1;rows=5")</f>
        <v>MCK US Equity</v>
      </c>
      <c r="JA5" t="str">
        <f>_xll.BDS("NS US Equity","SUPPLY_CHAIN_SUPPLIERS","RELATIONSHIP_AS_OF_DATE","20041101","cols=1;rows=5")</f>
        <v>1623420D US Equity</v>
      </c>
      <c r="JF5" t="str">
        <f>_xll.BDS("NS US Equity","SUPPLY_CHAIN_CUSTOMERS","RELATIONSHIP_AS_OF_DATE","20041101","cols=1;rows=5")</f>
        <v>010060 KS Equity</v>
      </c>
      <c r="JK5" t="str">
        <f>_xll.BDS("AKS US Equity","SUPPLY_CHAIN_SUPPLIERS","RELATIONSHIP_AS_OF_DATE","19990521")</f>
        <v>FE US Equity</v>
      </c>
      <c r="JP5" t="str">
        <f>_xll.BDS("AKS US Equity","SUPPLY_CHAIN_CUSTOMERS","RELATIONSHIP_AS_OF_DATE","19990521")</f>
        <v>#N/A N/A</v>
      </c>
      <c r="JU5" t="str">
        <f>_xll.BDS("FTRCQ US Equity","SUPPLY_CHAIN_SUPPLIERS","RELATIONSHIP_AS_OF_DATE","20060918","cols=1;rows=4")</f>
        <v>2296295D US Equity</v>
      </c>
      <c r="JZ5" t="str">
        <f>_xll.BDS("FTRCQ US Equity","SUPPLY_CHAIN_CUSTOMERS","RELATIONSHIP_AS_OF_DATE","20060918")</f>
        <v>#N/A N/A</v>
      </c>
      <c r="KE5" t="str">
        <f>_xll.BDS("TMO US Equity","SUPPLY_CHAIN_SUPPLIERS","RELATIONSHIP_AS_OF_DATE","20160108","cols=1;rows=5")</f>
        <v>EMR US Equity</v>
      </c>
      <c r="KJ5" t="str">
        <f>_xll.BDS("TMO US Equity","SUPPLY_CHAIN_CUSTOMERS","RELATIONSHIP_AS_OF_DATE","20160108","cols=1;rows=5")</f>
        <v>4195 TT Equity</v>
      </c>
      <c r="KO5" t="str">
        <f>_xll.BDS("ON US Equity","SUPPLY_CHAIN_SUPPLIERS","RELATIONSHIP_AS_OF_DATE","20071213","cols=1;rows=5")</f>
        <v>981 HK Equity</v>
      </c>
      <c r="KT5" t="str">
        <f>_xll.BDS("ON US Equity","SUPPLY_CHAIN_CUSTOMERS","RELATIONSHIP_AS_OF_DATE","20071213","cols=1;rows=5")</f>
        <v>3036 TT Equity</v>
      </c>
      <c r="KY5" t="str">
        <f>_xll.BDS("118569Q US Equity","SUPPLY_CHAIN_SUPPLIERS","RELATIONSHIP_AS_OF_DATE","19980618")</f>
        <v>#N/A N/A</v>
      </c>
      <c r="LD5" t="str">
        <f>_xll.BDS("118569Q US Equity","SUPPLY_CHAIN_CUSTOMERS","RELATIONSHIP_AS_OF_DATE","19980618")</f>
        <v>#N/A N/A</v>
      </c>
      <c r="LI5" t="str">
        <f>_xll.BDS("ABT US Equity","SUPPLY_CHAIN_SUPPLIERS","RELATIONSHIP_AS_OF_DATE","20040113","cols=1;rows=5")</f>
        <v>MSFT US Equity</v>
      </c>
      <c r="LN5" t="str">
        <f>_xll.BDS("ABT US Equity","SUPPLY_CHAIN_CUSTOMERS","RELATIONSHIP_AS_OF_DATE","20040113","cols=1;rows=5")</f>
        <v>SNX US Equity</v>
      </c>
      <c r="LS5" t="str">
        <f>_xll.BDS("1255173D US Equity","SUPPLY_CHAIN_SUPPLIERS","RELATIONSHIP_AS_OF_DATE","19990426")</f>
        <v>#N/A N/A</v>
      </c>
      <c r="LX5" t="str">
        <f>_xll.BDS("1255173D US Equity","SUPPLY_CHAIN_CUSTOMERS","RELATIONSHIP_AS_OF_DATE","19990426")</f>
        <v>#N/A N/A</v>
      </c>
      <c r="MC5" t="str">
        <f>_xll.BDS("VYX US Equity","SUPPLY_CHAIN_SUPPLIERS","RELATIONSHIP_AS_OF_DATE","20110711","cols=1;rows=5")</f>
        <v>CUZ US Equity</v>
      </c>
      <c r="MH5" t="str">
        <f>_xll.BDS("VYX US Equity","SUPPLY_CHAIN_CUSTOMERS","RELATIONSHIP_AS_OF_DATE","20110711","cols=1;rows=5")</f>
        <v>TSCO LN Equity</v>
      </c>
      <c r="MM5" t="str">
        <f>_xll.BDS("PBF US Equity","SUPPLY_CHAIN_SUPPLIERS","RELATIONSHIP_AS_OF_DATE","20220728","cols=1;rows=5")</f>
        <v>BRY US Equity</v>
      </c>
      <c r="MR5" t="str">
        <f>_xll.BDS("PBF US Equity","SUPPLY_CHAIN_CUSTOMERS","RELATIONSHIP_AS_OF_DATE","20220728","cols=1;rows=3")</f>
        <v>SHEL LN Equity</v>
      </c>
      <c r="MW5" t="str">
        <f>_xll.BDS("WM US Equity","SUPPLY_CHAIN_SUPPLIERS","RELATIONSHIP_AS_OF_DATE","19980817","cols=1;rows=5")</f>
        <v>CNR CN Equity</v>
      </c>
      <c r="NB5" t="str">
        <f>_xll.BDS("WM US Equity","SUPPLY_CHAIN_CUSTOMERS","RELATIONSHIP_AS_OF_DATE","19980817")</f>
        <v>FLCM US Equity</v>
      </c>
      <c r="NG5" t="str">
        <f>_xll.BDS("PRETQ US Equity","SUPPLY_CHAIN_SUPPLIERS","RELATIONSHIP_AS_OF_DATE","20030514","cols=1;rows=5")</f>
        <v>0375561D US Equity</v>
      </c>
      <c r="NL5" t="str">
        <f>_xll.BDS("PRETQ US Equity","SUPPLY_CHAIN_CUSTOMERS","RELATIONSHIP_AS_OF_DATE","20030514","cols=1;rows=5")</f>
        <v>0275758D US Equity</v>
      </c>
      <c r="NQ5" t="str">
        <f>_xll.BDS("SCHW US Equity","SUPPLY_CHAIN_SUPPLIERS","RELATIONSHIP_AS_OF_DATE","20110321","cols=1;rows=5")</f>
        <v>ADBE US Equity</v>
      </c>
      <c r="NV5" t="str">
        <f>_xll.BDS("SCHW US Equity","SUPPLY_CHAIN_CUSTOMERS","RELATIONSHIP_AS_OF_DATE","20110321")</f>
        <v>CNDT US Equity</v>
      </c>
      <c r="OA5" t="str">
        <f>_xll.BDS("ATTM US Equity","SUPPLY_CHAIN_SUPPLIERS","RELATIONSHIP_AS_OF_DATE","20101122")</f>
        <v>#N/A N/A</v>
      </c>
      <c r="OF5" t="str">
        <f>_xll.BDS("ATTM US Equity","SUPPLY_CHAIN_CUSTOMERS","RELATIONSHIP_AS_OF_DATE","20101122")</f>
        <v>#N/A N/A</v>
      </c>
    </row>
    <row r="6" spans="1:396" x14ac:dyDescent="0.25">
      <c r="A6" t="s">
        <v>366</v>
      </c>
      <c r="F6" t="s">
        <v>13101</v>
      </c>
      <c r="AE6" t="s">
        <v>11503</v>
      </c>
      <c r="AJ6" t="s">
        <v>2705</v>
      </c>
      <c r="AO6" t="s">
        <v>7544</v>
      </c>
      <c r="AT6" t="s">
        <v>11020</v>
      </c>
      <c r="BS6" t="s">
        <v>12732</v>
      </c>
      <c r="BX6" t="s">
        <v>12868</v>
      </c>
      <c r="CC6" t="s">
        <v>12850</v>
      </c>
      <c r="CH6" t="s">
        <v>11554</v>
      </c>
      <c r="CW6" t="s">
        <v>10830</v>
      </c>
      <c r="DB6" t="s">
        <v>570</v>
      </c>
      <c r="DQ6" t="s">
        <v>11709</v>
      </c>
      <c r="DV6" t="s">
        <v>12477</v>
      </c>
      <c r="FE6" t="s">
        <v>10696</v>
      </c>
      <c r="FJ6" t="s">
        <v>10871</v>
      </c>
      <c r="GI6" t="s">
        <v>11573</v>
      </c>
      <c r="GN6" t="s">
        <v>11546</v>
      </c>
      <c r="GS6" t="s">
        <v>1654</v>
      </c>
      <c r="GX6" t="s">
        <v>2208</v>
      </c>
      <c r="HM6" t="s">
        <v>12394</v>
      </c>
      <c r="HR6" t="s">
        <v>477</v>
      </c>
      <c r="HW6" t="s">
        <v>12726</v>
      </c>
      <c r="IG6" t="s">
        <v>41</v>
      </c>
      <c r="IL6" t="s">
        <v>266</v>
      </c>
      <c r="IQ6" t="s">
        <v>10735</v>
      </c>
      <c r="IV6" t="s">
        <v>1468</v>
      </c>
      <c r="JA6" t="s">
        <v>12551</v>
      </c>
      <c r="JF6" t="s">
        <v>12551</v>
      </c>
      <c r="JU6" t="s">
        <v>10886</v>
      </c>
      <c r="KE6" t="s">
        <v>44</v>
      </c>
      <c r="KJ6" t="s">
        <v>10662</v>
      </c>
      <c r="KO6" t="s">
        <v>11203</v>
      </c>
      <c r="KT6" t="s">
        <v>6473</v>
      </c>
      <c r="LI6" t="s">
        <v>10838</v>
      </c>
      <c r="LN6" t="s">
        <v>6626</v>
      </c>
      <c r="MC6" t="s">
        <v>10735</v>
      </c>
      <c r="MH6" t="s">
        <v>11394</v>
      </c>
      <c r="MM6" t="s">
        <v>11312</v>
      </c>
      <c r="MR6" t="s">
        <v>13118</v>
      </c>
      <c r="MW6" t="s">
        <v>171</v>
      </c>
      <c r="NG6" t="s">
        <v>13066</v>
      </c>
      <c r="NL6" t="s">
        <v>13052</v>
      </c>
      <c r="NQ6" t="s">
        <v>11787</v>
      </c>
    </row>
    <row r="7" spans="1:396" x14ac:dyDescent="0.25">
      <c r="A7" t="s">
        <v>12941</v>
      </c>
      <c r="F7" t="s">
        <v>13102</v>
      </c>
      <c r="AE7" t="s">
        <v>11504</v>
      </c>
      <c r="AJ7" t="s">
        <v>11037</v>
      </c>
      <c r="AO7" t="s">
        <v>11054</v>
      </c>
      <c r="AT7" t="s">
        <v>11021</v>
      </c>
      <c r="BS7" t="s">
        <v>10851</v>
      </c>
      <c r="BX7" t="s">
        <v>12869</v>
      </c>
      <c r="CC7" t="s">
        <v>12851</v>
      </c>
      <c r="CH7" t="s">
        <v>12835</v>
      </c>
      <c r="CW7" t="s">
        <v>11595</v>
      </c>
      <c r="DB7" t="s">
        <v>2219</v>
      </c>
      <c r="FE7" t="s">
        <v>382</v>
      </c>
      <c r="GI7" t="s">
        <v>11574</v>
      </c>
      <c r="GS7" t="s">
        <v>10986</v>
      </c>
      <c r="GX7" t="s">
        <v>11174</v>
      </c>
      <c r="HM7" t="s">
        <v>12395</v>
      </c>
      <c r="HR7" t="s">
        <v>11114</v>
      </c>
      <c r="HW7" t="s">
        <v>12727</v>
      </c>
      <c r="IG7" t="s">
        <v>469</v>
      </c>
      <c r="IL7" t="s">
        <v>10892</v>
      </c>
      <c r="IQ7" t="s">
        <v>45</v>
      </c>
      <c r="IV7" t="s">
        <v>970</v>
      </c>
      <c r="JA7" t="s">
        <v>12552</v>
      </c>
      <c r="JF7" t="s">
        <v>12552</v>
      </c>
      <c r="JU7" t="s">
        <v>6724</v>
      </c>
      <c r="KE7" t="s">
        <v>10734</v>
      </c>
      <c r="KJ7" t="s">
        <v>10761</v>
      </c>
      <c r="KO7" t="s">
        <v>11410</v>
      </c>
      <c r="KT7" t="s">
        <v>3519</v>
      </c>
      <c r="LI7" t="s">
        <v>10814</v>
      </c>
      <c r="LN7" t="s">
        <v>12013</v>
      </c>
      <c r="MC7" t="s">
        <v>11984</v>
      </c>
      <c r="MH7" t="s">
        <v>10680</v>
      </c>
      <c r="MM7" t="s">
        <v>11449</v>
      </c>
      <c r="MR7" t="s">
        <v>13119</v>
      </c>
      <c r="MW7" t="s">
        <v>4570</v>
      </c>
      <c r="NG7" t="s">
        <v>13067</v>
      </c>
      <c r="NL7" t="s">
        <v>13053</v>
      </c>
      <c r="NQ7" t="s">
        <v>12190</v>
      </c>
    </row>
    <row r="8" spans="1:396" x14ac:dyDescent="0.25">
      <c r="A8" t="s">
        <v>8165</v>
      </c>
      <c r="F8" t="s">
        <v>10912</v>
      </c>
      <c r="AE8" t="s">
        <v>5236</v>
      </c>
      <c r="AO8" t="s">
        <v>11055</v>
      </c>
      <c r="AT8" t="s">
        <v>11022</v>
      </c>
      <c r="BS8" t="s">
        <v>12733</v>
      </c>
      <c r="BX8" t="s">
        <v>12870</v>
      </c>
      <c r="CC8" t="s">
        <v>11312</v>
      </c>
      <c r="CH8" t="s">
        <v>10636</v>
      </c>
      <c r="CW8" t="s">
        <v>11161</v>
      </c>
      <c r="DB8" t="s">
        <v>11345</v>
      </c>
      <c r="FE8" t="s">
        <v>260</v>
      </c>
      <c r="GI8" t="s">
        <v>969</v>
      </c>
      <c r="GS8" t="s">
        <v>11188</v>
      </c>
      <c r="GX8" t="s">
        <v>11175</v>
      </c>
      <c r="HM8" t="s">
        <v>2111</v>
      </c>
      <c r="HR8" t="s">
        <v>11811</v>
      </c>
      <c r="HW8" t="s">
        <v>12728</v>
      </c>
      <c r="IG8" t="s">
        <v>2881</v>
      </c>
      <c r="IL8" t="s">
        <v>6473</v>
      </c>
      <c r="IQ8" t="s">
        <v>3437</v>
      </c>
      <c r="IV8" t="s">
        <v>51</v>
      </c>
      <c r="JA8" t="s">
        <v>12598</v>
      </c>
      <c r="JF8" t="s">
        <v>4644</v>
      </c>
      <c r="JU8" t="s">
        <v>10887</v>
      </c>
      <c r="KE8" t="s">
        <v>10735</v>
      </c>
      <c r="KJ8" t="s">
        <v>10762</v>
      </c>
      <c r="KO8" t="s">
        <v>11411</v>
      </c>
      <c r="KT8" t="s">
        <v>10658</v>
      </c>
      <c r="LI8" t="s">
        <v>11414</v>
      </c>
      <c r="LN8" t="s">
        <v>12014</v>
      </c>
      <c r="MC8" t="s">
        <v>11516</v>
      </c>
      <c r="MH8" t="s">
        <v>10660</v>
      </c>
      <c r="MM8" t="s">
        <v>11564</v>
      </c>
      <c r="MW8" t="s">
        <v>11339</v>
      </c>
      <c r="NG8" t="s">
        <v>13068</v>
      </c>
      <c r="NL8" t="s">
        <v>13054</v>
      </c>
      <c r="NQ8" t="s">
        <v>11964</v>
      </c>
    </row>
    <row r="9" spans="1:396" x14ac:dyDescent="0.25">
      <c r="A9" t="s">
        <v>12592</v>
      </c>
      <c r="F9" t="s">
        <v>469</v>
      </c>
      <c r="AE9" t="s">
        <v>11505</v>
      </c>
      <c r="AO9" t="s">
        <v>11056</v>
      </c>
      <c r="AT9" t="s">
        <v>11023</v>
      </c>
      <c r="BS9" t="s">
        <v>2111</v>
      </c>
      <c r="CC9" t="s">
        <v>11228</v>
      </c>
      <c r="CH9" t="s">
        <v>12836</v>
      </c>
      <c r="CW9" t="s">
        <v>11596</v>
      </c>
      <c r="DB9" t="s">
        <v>7215</v>
      </c>
      <c r="FE9" t="s">
        <v>3150</v>
      </c>
      <c r="GI9" t="s">
        <v>11575</v>
      </c>
      <c r="GS9" t="s">
        <v>10820</v>
      </c>
      <c r="HM9" t="s">
        <v>10696</v>
      </c>
      <c r="HR9" t="s">
        <v>10944</v>
      </c>
      <c r="HW9" t="s">
        <v>12729</v>
      </c>
      <c r="IG9" t="s">
        <v>10853</v>
      </c>
      <c r="IL9" t="s">
        <v>969</v>
      </c>
      <c r="IQ9" t="s">
        <v>11012</v>
      </c>
      <c r="IV9" t="s">
        <v>10944</v>
      </c>
      <c r="JA9" t="s">
        <v>2034</v>
      </c>
      <c r="JF9" t="s">
        <v>12553</v>
      </c>
      <c r="KE9" t="s">
        <v>3073</v>
      </c>
      <c r="KJ9" t="s">
        <v>10763</v>
      </c>
      <c r="KO9" t="s">
        <v>4898</v>
      </c>
      <c r="KT9" t="s">
        <v>11566</v>
      </c>
      <c r="LI9" t="s">
        <v>2509</v>
      </c>
      <c r="LN9" t="s">
        <v>12015</v>
      </c>
      <c r="MC9" t="s">
        <v>4646</v>
      </c>
      <c r="MH9" t="s">
        <v>10787</v>
      </c>
      <c r="MM9" t="s">
        <v>12785</v>
      </c>
      <c r="MW9" t="s">
        <v>11151</v>
      </c>
      <c r="NG9" t="s">
        <v>13069</v>
      </c>
      <c r="NL9" t="s">
        <v>13055</v>
      </c>
      <c r="NQ9" t="s">
        <v>12353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3199</v>
      </c>
      <c r="K1" s="1" t="s">
        <v>3200</v>
      </c>
      <c r="U1" s="1" t="s">
        <v>3201</v>
      </c>
      <c r="AE1" s="1" t="s">
        <v>3202</v>
      </c>
      <c r="AO1" s="1" t="s">
        <v>3203</v>
      </c>
      <c r="AY1" s="1" t="s">
        <v>3204</v>
      </c>
      <c r="BI1" s="1" t="s">
        <v>3205</v>
      </c>
      <c r="BS1" s="1" t="s">
        <v>3206</v>
      </c>
      <c r="CC1" s="1" t="s">
        <v>3207</v>
      </c>
      <c r="CM1" s="1" t="s">
        <v>3208</v>
      </c>
      <c r="CW1" s="1" t="s">
        <v>3209</v>
      </c>
      <c r="DG1" s="1" t="s">
        <v>3210</v>
      </c>
      <c r="DQ1" s="1" t="s">
        <v>3211</v>
      </c>
      <c r="EA1" s="1" t="s">
        <v>3212</v>
      </c>
      <c r="EK1" s="1" t="s">
        <v>3213</v>
      </c>
      <c r="EU1" s="1" t="s">
        <v>3214</v>
      </c>
      <c r="FE1" s="1" t="s">
        <v>3215</v>
      </c>
      <c r="FO1" s="1" t="s">
        <v>3216</v>
      </c>
      <c r="FY1" s="1" t="s">
        <v>3217</v>
      </c>
      <c r="GI1" s="1" t="s">
        <v>3218</v>
      </c>
      <c r="GS1" s="1" t="s">
        <v>3219</v>
      </c>
      <c r="HC1" s="1" t="s">
        <v>3220</v>
      </c>
      <c r="HM1" s="1" t="s">
        <v>3221</v>
      </c>
      <c r="HW1" s="1" t="s">
        <v>3222</v>
      </c>
      <c r="IG1" s="1" t="s">
        <v>3223</v>
      </c>
      <c r="IQ1" s="1" t="s">
        <v>3224</v>
      </c>
      <c r="JA1" s="1" t="s">
        <v>3225</v>
      </c>
      <c r="JK1" s="1" t="s">
        <v>3226</v>
      </c>
      <c r="JU1" s="1" t="s">
        <v>3227</v>
      </c>
      <c r="KE1" s="1" t="s">
        <v>3228</v>
      </c>
      <c r="KO1" s="1" t="s">
        <v>3229</v>
      </c>
      <c r="KY1" s="1" t="s">
        <v>3230</v>
      </c>
      <c r="LI1" s="1" t="s">
        <v>3231</v>
      </c>
      <c r="LS1" s="1" t="s">
        <v>3232</v>
      </c>
      <c r="MC1" s="1" t="s">
        <v>3233</v>
      </c>
      <c r="MM1" s="1" t="s">
        <v>3234</v>
      </c>
      <c r="MW1" s="1" t="s">
        <v>3235</v>
      </c>
      <c r="NG1" s="1" t="s">
        <v>3236</v>
      </c>
      <c r="NQ1" s="1" t="s">
        <v>3237</v>
      </c>
      <c r="OA1" s="1" t="s">
        <v>3238</v>
      </c>
    </row>
    <row r="2" spans="1:396" x14ac:dyDescent="0.25">
      <c r="A2" s="2" t="s">
        <v>1272</v>
      </c>
      <c r="K2" s="2" t="s">
        <v>3239</v>
      </c>
      <c r="U2" s="2" t="s">
        <v>1656</v>
      </c>
      <c r="AE2" s="2" t="s">
        <v>3240</v>
      </c>
      <c r="AO2" s="2" t="s">
        <v>64</v>
      </c>
      <c r="AY2" s="2" t="s">
        <v>2132</v>
      </c>
      <c r="BI2" s="2" t="s">
        <v>3241</v>
      </c>
      <c r="BS2" s="2" t="s">
        <v>157</v>
      </c>
      <c r="CC2" s="2" t="s">
        <v>3242</v>
      </c>
      <c r="CM2" s="2" t="s">
        <v>1083</v>
      </c>
      <c r="CW2" s="2" t="s">
        <v>679</v>
      </c>
      <c r="DG2" s="2" t="s">
        <v>1163</v>
      </c>
      <c r="DQ2" s="2" t="s">
        <v>3243</v>
      </c>
      <c r="EA2" s="2" t="s">
        <v>3244</v>
      </c>
      <c r="EK2" s="2" t="s">
        <v>165</v>
      </c>
      <c r="EU2" s="2" t="s">
        <v>3245</v>
      </c>
      <c r="FE2" s="2" t="s">
        <v>1928</v>
      </c>
      <c r="FO2" s="2" t="s">
        <v>3246</v>
      </c>
      <c r="FY2" s="2" t="s">
        <v>3247</v>
      </c>
      <c r="GI2" s="2" t="s">
        <v>3248</v>
      </c>
      <c r="GS2" s="2" t="s">
        <v>3249</v>
      </c>
      <c r="HC2" s="2" t="s">
        <v>1074</v>
      </c>
      <c r="HM2" s="2" t="s">
        <v>2681</v>
      </c>
      <c r="HW2" s="2" t="s">
        <v>1656</v>
      </c>
      <c r="IG2" s="2" t="s">
        <v>3250</v>
      </c>
      <c r="IQ2" s="2" t="s">
        <v>3251</v>
      </c>
      <c r="JA2" s="2" t="s">
        <v>3252</v>
      </c>
      <c r="JK2" s="2" t="s">
        <v>2294</v>
      </c>
      <c r="JU2" s="2" t="s">
        <v>870</v>
      </c>
      <c r="KE2" s="2" t="s">
        <v>2506</v>
      </c>
      <c r="KO2" s="2" t="s">
        <v>1938</v>
      </c>
      <c r="KY2" s="2" t="s">
        <v>3253</v>
      </c>
      <c r="LI2" s="2" t="s">
        <v>3254</v>
      </c>
      <c r="LS2" s="2" t="s">
        <v>3255</v>
      </c>
      <c r="MC2" s="2" t="s">
        <v>3256</v>
      </c>
      <c r="MM2" s="2" t="s">
        <v>3257</v>
      </c>
      <c r="MW2" s="2" t="s">
        <v>3258</v>
      </c>
      <c r="NG2" s="2" t="s">
        <v>66</v>
      </c>
      <c r="NQ2" s="2" t="s">
        <v>2885</v>
      </c>
      <c r="OA2" s="2" t="s">
        <v>3067</v>
      </c>
    </row>
    <row r="3" spans="1:396" x14ac:dyDescent="0.25">
      <c r="A3" t="s">
        <v>2900</v>
      </c>
      <c r="K3" t="s">
        <v>3259</v>
      </c>
      <c r="U3" t="s">
        <v>3260</v>
      </c>
      <c r="AE3" t="s">
        <v>3261</v>
      </c>
      <c r="AO3" t="s">
        <v>3262</v>
      </c>
      <c r="AY3" t="s">
        <v>3263</v>
      </c>
      <c r="BI3" t="s">
        <v>3264</v>
      </c>
      <c r="BS3" t="s">
        <v>3265</v>
      </c>
      <c r="CC3" t="s">
        <v>2896</v>
      </c>
      <c r="CM3" t="s">
        <v>3266</v>
      </c>
      <c r="CW3" t="s">
        <v>3267</v>
      </c>
      <c r="DG3" t="s">
        <v>3268</v>
      </c>
      <c r="DQ3" t="s">
        <v>3269</v>
      </c>
      <c r="EA3" t="s">
        <v>3270</v>
      </c>
      <c r="EK3" t="s">
        <v>3271</v>
      </c>
      <c r="EU3" t="s">
        <v>822</v>
      </c>
      <c r="FE3" t="s">
        <v>3272</v>
      </c>
      <c r="FO3" t="s">
        <v>3273</v>
      </c>
      <c r="FY3" t="s">
        <v>3274</v>
      </c>
      <c r="GI3" t="s">
        <v>594</v>
      </c>
      <c r="GS3" t="s">
        <v>200</v>
      </c>
      <c r="HC3" t="s">
        <v>3275</v>
      </c>
      <c r="HM3" t="s">
        <v>2227</v>
      </c>
      <c r="HW3" t="s">
        <v>3276</v>
      </c>
      <c r="IG3" t="s">
        <v>3277</v>
      </c>
      <c r="IQ3" t="s">
        <v>3278</v>
      </c>
      <c r="JA3" t="s">
        <v>3279</v>
      </c>
      <c r="JK3" t="s">
        <v>3000</v>
      </c>
      <c r="JU3" t="s">
        <v>3280</v>
      </c>
      <c r="KE3" t="s">
        <v>907</v>
      </c>
      <c r="KO3" t="s">
        <v>3281</v>
      </c>
      <c r="KY3" t="s">
        <v>105</v>
      </c>
      <c r="LI3" t="s">
        <v>593</v>
      </c>
      <c r="LS3" t="s">
        <v>1853</v>
      </c>
      <c r="MC3" t="s">
        <v>3282</v>
      </c>
      <c r="MM3" t="s">
        <v>3283</v>
      </c>
      <c r="MW3" t="s">
        <v>3284</v>
      </c>
      <c r="NG3" t="s">
        <v>3285</v>
      </c>
      <c r="NQ3" t="s">
        <v>3286</v>
      </c>
      <c r="OA3" t="s">
        <v>3287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_xll.BDS("FITB US Equity","SUPPLY_CHAIN_SUPPLIERS","RELATIONSHIP_AS_OF_DATE","20070816","cols=1;rows=5")</f>
        <v>004800 KS Equity</v>
      </c>
      <c r="F5" t="str">
        <f>_xll.BDS("FITB US Equity","SUPPLY_CHAIN_CUSTOMERS","RELATIONSHIP_AS_OF_DATE","20070816")</f>
        <v>USIO US Equity</v>
      </c>
      <c r="K5" t="str">
        <f>_xll.BDS("LOW US Equity","SUPPLY_CHAIN_SUPPLIERS","RELATIONSHIP_AS_OF_DATE","19981122","cols=1;rows=5")</f>
        <v>WHR US Equity</v>
      </c>
      <c r="P5" t="str">
        <f>_xll.BDS("LOW US Equity","SUPPLY_CHAIN_CUSTOMERS","RELATIONSHIP_AS_OF_DATE","19981122","cols=1;rows=2")</f>
        <v>603201 CH Equity</v>
      </c>
      <c r="U5" t="str">
        <f>_xll.BDS("CAR US Equity","SUPPLY_CHAIN_SUPPLIERS","RELATIONSHIP_AS_OF_DATE","20020401","cols=1;rows=5")</f>
        <v>VRRM US Equity</v>
      </c>
      <c r="Z5" t="str">
        <f>_xll.BDS("CAR US Equity","SUPPLY_CHAIN_CUSTOMERS","RELATIONSHIP_AS_OF_DATE","20020401","cols=1;rows=5")</f>
        <v>EIH IN Equity</v>
      </c>
      <c r="AE5" t="str">
        <f>_xll.BDS("9876566D US Equity","SUPPLY_CHAIN_SUPPLIERS","RELATIONSHIP_AS_OF_DATE","19990208","cols=1;rows=3")</f>
        <v>ABL NO Equity</v>
      </c>
      <c r="AJ5" t="str">
        <f>_xll.BDS("9876566D US Equity","SUPPLY_CHAIN_CUSTOMERS","RELATIONSHIP_AS_OF_DATE","19990208")</f>
        <v>SIME MK Equity</v>
      </c>
      <c r="AO5" t="str">
        <f>_xll.BDS("nan Equity","SUPPLY_CHAIN_SUPPLIERS","RELATIONSHIP_AS_OF_DATE","20030421")</f>
        <v>#N/A N/A</v>
      </c>
      <c r="AT5" t="str">
        <f>_xll.BDS("nan Equity","SUPPLY_CHAIN_CUSTOMERS","RELATIONSHIP_AS_OF_DATE","20030421")</f>
        <v>#N/A N/A</v>
      </c>
      <c r="AY5" t="str">
        <f>_xll.BDS("WINMQ US Equity","SUPPLY_CHAIN_SUPPLIERS","RELATIONSHIP_AS_OF_DATE","20161107","cols=1;rows=5")</f>
        <v>DY US Equity</v>
      </c>
      <c r="BD5" t="str">
        <f>_xll.BDS("WINMQ US Equity","SUPPLY_CHAIN_CUSTOMERS","RELATIONSHIP_AS_OF_DATE","20161107","cols=1;rows=2")</f>
        <v>SCSC US Equity</v>
      </c>
      <c r="BI5" t="str">
        <f>_xll.BDS("ACKH US Equity","SUPPLY_CHAIN_SUPPLIERS","RELATIONSHIP_AS_OF_DATE","19980615")</f>
        <v>#N/A N/A</v>
      </c>
      <c r="BN5" t="str">
        <f>_xll.BDS("ACKH US Equity","SUPPLY_CHAIN_CUSTOMERS","RELATIONSHIP_AS_OF_DATE","19980615")</f>
        <v>#N/A N/A</v>
      </c>
      <c r="BS5" t="str">
        <f>_xll.BDS("WCOEQ US Equity","SUPPLY_CHAIN_SUPPLIERS","RELATIONSHIP_AS_OF_DATE","19990416")</f>
        <v>#N/A N/A</v>
      </c>
      <c r="BX5" t="str">
        <f>_xll.BDS("WCOEQ US Equity","SUPPLY_CHAIN_CUSTOMERS","RELATIONSHIP_AS_OF_DATE","19990416")</f>
        <v>#N/A N/A</v>
      </c>
      <c r="CC5" t="str">
        <f>_xll.BDS("OMX US Equity","SUPPLY_CHAIN_SUPPLIERS","RELATIONSHIP_AS_OF_DATE","20030714")</f>
        <v>BRX US Equity</v>
      </c>
      <c r="CH5" t="str">
        <f>_xll.BDS("OMX US Equity","SUPPLY_CHAIN_CUSTOMERS","RELATIONSHIP_AS_OF_DATE","20030714")</f>
        <v>#N/A N/A</v>
      </c>
      <c r="CM5" t="str">
        <f>_xll.BDS("MNKTQ US Equity","SUPPLY_CHAIN_SUPPLIERS","RELATIONSHIP_AS_OF_DATE","20171226","cols=1;rows=5")</f>
        <v>CAP FP Equity</v>
      </c>
      <c r="CR5" t="str">
        <f>_xll.BDS("MNKTQ US Equity","SUPPLY_CHAIN_CUSTOMERS","RELATIONSHIP_AS_OF_DATE","20171226","cols=1;rows=5")</f>
        <v>102460 KS Equity</v>
      </c>
      <c r="CW5" t="str">
        <f>_xll.BDS("EPD US Equity","SUPPLY_CHAIN_SUPPLIERS","RELATIONSHIP_AS_OF_DATE","20110223","cols=1;rows=5")</f>
        <v>MTDR US Equity</v>
      </c>
      <c r="DB5" t="str">
        <f>_xll.BDS("EPD US Equity","SUPPLY_CHAIN_CUSTOMERS","RELATIONSHIP_AS_OF_DATE","20110223","cols=1;rows=5")</f>
        <v>62647Z LN Equity</v>
      </c>
      <c r="DG5" t="str">
        <f>_xll.BDS("MTB US Equity","SUPPLY_CHAIN_SUPPLIERS","RELATIONSHIP_AS_OF_DATE","20000517","cols=1;rows=5")</f>
        <v>ORCL US Equity</v>
      </c>
      <c r="DL5" t="str">
        <f>_xll.BDS("MTB US Equity","SUPPLY_CHAIN_CUSTOMERS","RELATIONSHIP_AS_OF_DATE","20000517","cols=1;rows=3")</f>
        <v>2610 TT Equity</v>
      </c>
      <c r="DQ5" t="str">
        <f>_xll.BDS("3406956Q US Equity","SUPPLY_CHAIN_SUPPLIERS","RELATIONSHIP_AS_OF_DATE","20060227")</f>
        <v>#N/A N/A</v>
      </c>
      <c r="DV5" t="str">
        <f>_xll.BDS("3406956Q US Equity","SUPPLY_CHAIN_CUSTOMERS","RELATIONSHIP_AS_OF_DATE","20060227")</f>
        <v>#N/A N/A</v>
      </c>
      <c r="EA5" t="str">
        <f>_xll.BDS("LUV US Equity","SUPPLY_CHAIN_SUPPLIERS","RELATIONSHIP_AS_OF_DATE","20100927","cols=1;rows=5")</f>
        <v>BA US Equity</v>
      </c>
      <c r="EF5" t="str">
        <f>_xll.BDS("LUV US Equity","SUPPLY_CHAIN_CUSTOMERS","RELATIONSHIP_AS_OF_DATE","20100927","cols=1;rows=5")</f>
        <v>JPM US Equity</v>
      </c>
      <c r="EK5" t="str">
        <f>_xll.BDS("IBM US Equity","SUPPLY_CHAIN_SUPPLIERS","RELATIONSHIP_AS_OF_DATE","20060823","cols=1;rows=5")</f>
        <v>005930 KS Equity</v>
      </c>
      <c r="EP5" t="str">
        <f>_xll.BDS("IBM US Equity","SUPPLY_CHAIN_CUSTOMERS","RELATIONSHIP_AS_OF_DATE","20060823","cols=1;rows=5")</f>
        <v>AMZN US Equity</v>
      </c>
      <c r="EU5" t="str">
        <f>_xll.BDS("SNDK US Equity","SUPPLY_CHAIN_SUPPLIERS","RELATIONSHIP_AS_OF_DATE","20140616","cols=1;rows=5")</f>
        <v>285A JP Equity</v>
      </c>
      <c r="EZ5" t="str">
        <f>_xll.BDS("SNDK US Equity","SUPPLY_CHAIN_CUSTOMERS","RELATIONSHIP_AS_OF_DATE","20140616","cols=1;rows=5")</f>
        <v>001309 CH Equity</v>
      </c>
      <c r="FE5" t="str">
        <f>_xll.BDS("3867693Z US Equity","SUPPLY_CHAIN_SUPPLIERS","RELATIONSHIP_AS_OF_DATE","20061115")</f>
        <v>#N/A N/A</v>
      </c>
      <c r="FJ5" t="str">
        <f>_xll.BDS("3867693Z US Equity","SUPPLY_CHAIN_CUSTOMERS","RELATIONSHIP_AS_OF_DATE","20061115")</f>
        <v>#N/A N/A</v>
      </c>
      <c r="FO5" t="str">
        <f>_xll.BDS("CRBC US Equity","SUPPLY_CHAIN_SUPPLIERS","RELATIONSHIP_AS_OF_DATE","20060627")</f>
        <v>#N/A N/A</v>
      </c>
      <c r="FT5" t="str">
        <f>_xll.BDS("CRBC US Equity","SUPPLY_CHAIN_CUSTOMERS","RELATIONSHIP_AS_OF_DATE","20060627")</f>
        <v>#N/A N/A</v>
      </c>
      <c r="FY5" t="str">
        <f>_xll.BDS("SPNX US Equity","SUPPLY_CHAIN_SUPPLIERS","RELATIONSHIP_AS_OF_DATE","20111010")</f>
        <v>UDT IN Equity</v>
      </c>
      <c r="GD5" t="str">
        <f>_xll.BDS("SPNX US Equity","SUPPLY_CHAIN_CUSTOMERS","RELATIONSHIP_AS_OF_DATE","20111010")</f>
        <v>PETR4 BZ Equity</v>
      </c>
      <c r="GI5" t="str">
        <f>_xll.BDS("NEX US Equity","SUPPLY_CHAIN_SUPPLIERS","RELATIONSHIP_AS_OF_DATE","20190617","cols=1;rows=4")</f>
        <v>MIX SJ Equity</v>
      </c>
      <c r="GN5" t="str">
        <f>_xll.BDS("NEX US Equity","SUPPLY_CHAIN_CUSTOMERS","RELATIONSHIP_AS_OF_DATE","20190617")</f>
        <v>COP US Equity</v>
      </c>
      <c r="GS5" t="str">
        <f>_xll.BDS("9990819D US Equity","SUPPLY_CHAIN_SUPPLIERS","RELATIONSHIP_AS_OF_DATE","20160428")</f>
        <v>#N/A N/A</v>
      </c>
      <c r="GX5" t="str">
        <f>_xll.BDS("9990819D US Equity","SUPPLY_CHAIN_CUSTOMERS","RELATIONSHIP_AS_OF_DATE","20160428")</f>
        <v>#N/A N/A</v>
      </c>
      <c r="HC5" t="str">
        <f>_xll.BDS("HOLX US Equity","SUPPLY_CHAIN_SUPPLIERS","RELATIONSHIP_AS_OF_DATE","20170214","cols=1;rows=5")</f>
        <v>FLEX US Equity</v>
      </c>
      <c r="HH5" t="str">
        <f>_xll.BDS("HOLX US Equity","SUPPLY_CHAIN_CUSTOMERS","RELATIONSHIP_AS_OF_DATE","20170214","cols=1;rows=5")</f>
        <v>0219250Z US Equity</v>
      </c>
      <c r="HM5" t="str">
        <f>_xll.BDS("BRCD US Equity","SUPPLY_CHAIN_SUPPLIERS","RELATIONSHIP_AS_OF_DATE","20160404")</f>
        <v>#N/A N/A</v>
      </c>
      <c r="HR5" t="str">
        <f>_xll.BDS("BRCD US Equity","SUPPLY_CHAIN_CUSTOMERS","RELATIONSHIP_AS_OF_DATE","20160404")</f>
        <v>#N/A N/A</v>
      </c>
      <c r="HW5" t="str">
        <f>_xll.BDS("CAR US Equity","SUPPLY_CHAIN_SUPPLIERS","RELATIONSHIP_AS_OF_DATE","20040929","cols=1;rows=5")</f>
        <v>VRRM US Equity</v>
      </c>
      <c r="IB5" t="str">
        <f>_xll.BDS("CAR US Equity","SUPPLY_CHAIN_CUSTOMERS","RELATIONSHIP_AS_OF_DATE","20040929","cols=1;rows=5")</f>
        <v>EIH IN Equity</v>
      </c>
      <c r="IG5" t="str">
        <f>_xll.BDS("INSW US Equity","SUPPLY_CHAIN_SUPPLIERS","RELATIONSHIP_AS_OF_DATE","20210331")</f>
        <v>#N/A N/A</v>
      </c>
      <c r="IL5" t="str">
        <f>_xll.BDS("INSW US Equity","SUPPLY_CHAIN_CUSTOMERS","RELATIONSHIP_AS_OF_DATE","20210331")</f>
        <v>#N/A N/A</v>
      </c>
      <c r="IQ5" t="str">
        <f>_xll.BDS("MTZ US Equity","SUPPLY_CHAIN_SUPPLIERS","RELATIONSHIP_AS_OF_DATE","20220725","cols=1;rows=4")</f>
        <v>0824353D US Equity</v>
      </c>
      <c r="IV5" t="str">
        <f>_xll.BDS("MTZ US Equity","SUPPLY_CHAIN_CUSTOMERS","RELATIONSHIP_AS_OF_DATE","20220725","cols=1;rows=5")</f>
        <v>T US Equity</v>
      </c>
      <c r="JA5" t="str">
        <f>_xll.BDS("391243Q US Equity","SUPPLY_CHAIN_SUPPLIERS","RELATIONSHIP_AS_OF_DATE","20000308")</f>
        <v>#N/A N/A</v>
      </c>
      <c r="JF5" t="str">
        <f>_xll.BDS("391243Q US Equity","SUPPLY_CHAIN_CUSTOMERS","RELATIONSHIP_AS_OF_DATE","20000308")</f>
        <v>#N/A N/A</v>
      </c>
      <c r="JK5" t="str">
        <f>_xll.BDS("2258717D US Equity","SUPPLY_CHAIN_SUPPLIERS","RELATIONSHIP_AS_OF_DATE","20030708")</f>
        <v>#N/A N/A</v>
      </c>
      <c r="JP5" t="str">
        <f>_xll.BDS("2258717D US Equity","SUPPLY_CHAIN_CUSTOMERS","RELATIONSHIP_AS_OF_DATE","20030708")</f>
        <v>#N/A N/A</v>
      </c>
      <c r="JU5" t="str">
        <f>_xll.BDS("LLY US Equity","SUPPLY_CHAIN_SUPPLIERS","RELATIONSHIP_AS_OF_DATE","20200110","cols=1;rows=5")</f>
        <v>RIGL US Equity</v>
      </c>
      <c r="JZ5" t="str">
        <f>_xll.BDS("LLY US Equity","SUPPLY_CHAIN_CUSTOMERS","RELATIONSHIP_AS_OF_DATE","20200110","cols=1;rows=5")</f>
        <v>MCK US Equity</v>
      </c>
      <c r="KE5" t="str">
        <f>_xll.BDS("CEMJQ US Equity","SUPPLY_CHAIN_SUPPLIERS","RELATIONSHIP_AS_OF_DATE","19990601")</f>
        <v>#N/A N/A</v>
      </c>
      <c r="KJ5" t="str">
        <f>_xll.BDS("CEMJQ US Equity","SUPPLY_CHAIN_CUSTOMERS","RELATIONSHIP_AS_OF_DATE","19990601")</f>
        <v>#N/A N/A</v>
      </c>
      <c r="KO5" t="str">
        <f>_xll.BDS("NCC US Equity","SUPPLY_CHAIN_SUPPLIERS","RELATIONSHIP_AS_OF_DATE","20060727")</f>
        <v>#N/A N/A</v>
      </c>
      <c r="KT5" t="str">
        <f>_xll.BDS("NCC US Equity","SUPPLY_CHAIN_CUSTOMERS","RELATIONSHIP_AS_OF_DATE","20060727")</f>
        <v>#N/A N/A</v>
      </c>
      <c r="KY5" t="str">
        <f>_xll.BDS("DCLK US Equity","SUPPLY_CHAIN_SUPPLIERS","RELATIONSHIP_AS_OF_DATE","19990614")</f>
        <v>#N/A N/A</v>
      </c>
      <c r="LD5" t="str">
        <f>_xll.BDS("DCLK US Equity","SUPPLY_CHAIN_CUSTOMERS","RELATIONSHIP_AS_OF_DATE","19990614")</f>
        <v>#N/A N/A</v>
      </c>
      <c r="LI5" t="str">
        <f>_xll.BDS("BBIO US Equity","SUPPLY_CHAIN_SUPPLIERS","RELATIONSHIP_AS_OF_DATE","20201005","cols=1;rows=4")</f>
        <v>ERF FP Equity</v>
      </c>
      <c r="LN5" t="str">
        <f>_xll.BDS("BBIO US Equity","SUPPLY_CHAIN_CUSTOMERS","RELATIONSHIP_AS_OF_DATE","20201005","cols=1;rows=5")</f>
        <v>AZN LN Equity</v>
      </c>
      <c r="LS5" t="str">
        <f>_xll.BDS("MVL US Equity","SUPPLY_CHAIN_SUPPLIERS","RELATIONSHIP_AS_OF_DATE","19980730")</f>
        <v>#N/A N/A</v>
      </c>
      <c r="LX5" t="str">
        <f>_xll.BDS("MVL US Equity","SUPPLY_CHAIN_CUSTOMERS","RELATIONSHIP_AS_OF_DATE","19980730")</f>
        <v>#N/A N/A</v>
      </c>
      <c r="MC5" t="str">
        <f>_xll.BDS("VSUNQ US Equity","SUPPLY_CHAIN_SUPPLIERS","RELATIONSHIP_AS_OF_DATE","20071129")</f>
        <v>#N/A N/A</v>
      </c>
      <c r="MH5" t="str">
        <f>_xll.BDS("VSUNQ US Equity","SUPPLY_CHAIN_CUSTOMERS","RELATIONSHIP_AS_OF_DATE","20071129")</f>
        <v>#N/A N/A</v>
      </c>
      <c r="MM5" t="str">
        <f>_xll.BDS("CKH US Equity","SUPPLY_CHAIN_SUPPLIERS","RELATIONSHIP_AS_OF_DATE","20050316")</f>
        <v>1143L US Equity</v>
      </c>
      <c r="MR5" t="str">
        <f>_xll.BDS("CKH US Equity","SUPPLY_CHAIN_CUSTOMERS","RELATIONSHIP_AS_OF_DATE","20050316")</f>
        <v>30585MF US Equity</v>
      </c>
      <c r="MW5" t="str">
        <f>_xll.BDS("PPBI US Equity","SUPPLY_CHAIN_SUPPLIERS","RELATIONSHIP_AS_OF_DATE","20200203")</f>
        <v>MUST SP Equity</v>
      </c>
      <c r="NB5" t="str">
        <f>_xll.BDS("PPBI US Equity","SUPPLY_CHAIN_CUSTOMERS","RELATIONSHIP_AS_OF_DATE","20200203")</f>
        <v>#N/A N/A</v>
      </c>
      <c r="NG5" t="str">
        <f>_xll.BDS("MDT US Equity","SUPPLY_CHAIN_SUPPLIERS","RELATIONSHIP_AS_OF_DATE","20160627","cols=1;rows=5")</f>
        <v>FLEX US Equity</v>
      </c>
      <c r="NL5" t="str">
        <f>_xll.BDS("MDT US Equity","SUPPLY_CHAIN_CUSTOMERS","RELATIONSHIP_AS_OF_DATE","20160627","cols=1;rows=5")</f>
        <v>4104 TT Equity</v>
      </c>
      <c r="NQ5" t="str">
        <f>_xll.BDS("VIRT US Equity","SUPPLY_CHAIN_SUPPLIERS","RELATIONSHIP_AS_OF_DATE","20181107")</f>
        <v>#N/A N/A</v>
      </c>
      <c r="NV5" t="str">
        <f>_xll.BDS("VIRT US Equity","SUPPLY_CHAIN_CUSTOMERS","RELATIONSHIP_AS_OF_DATE","20181107")</f>
        <v>8309 JP Equity</v>
      </c>
      <c r="OA5" t="str">
        <f>_xll.BDS("CMA US Equity","SUPPLY_CHAIN_SUPPLIERS","RELATIONSHIP_AS_OF_DATE","20110118")</f>
        <v>TEMN SW Equity</v>
      </c>
      <c r="OF5" t="str">
        <f>_xll.BDS("CMA US Equity","SUPPLY_CHAIN_CUSTOMERS","RELATIONSHIP_AS_OF_DATE","20110118")</f>
        <v>AUTLANB MM Equity</v>
      </c>
    </row>
    <row r="6" spans="1:396" x14ac:dyDescent="0.25">
      <c r="A6" t="s">
        <v>4388</v>
      </c>
      <c r="K6" t="s">
        <v>6386</v>
      </c>
      <c r="P6" t="s">
        <v>3879</v>
      </c>
      <c r="U6" t="s">
        <v>12031</v>
      </c>
      <c r="Z6" t="s">
        <v>11677</v>
      </c>
      <c r="AE6" t="s">
        <v>11522</v>
      </c>
      <c r="AY6" t="s">
        <v>11573</v>
      </c>
      <c r="BD6" t="s">
        <v>11546</v>
      </c>
      <c r="CM6" t="s">
        <v>10719</v>
      </c>
      <c r="CR6" t="s">
        <v>10656</v>
      </c>
      <c r="CW6" t="s">
        <v>7384</v>
      </c>
      <c r="DB6" t="s">
        <v>2219</v>
      </c>
      <c r="DG6" t="s">
        <v>12259</v>
      </c>
      <c r="DL6" t="s">
        <v>11577</v>
      </c>
      <c r="EA6" t="s">
        <v>1164</v>
      </c>
      <c r="EF6" t="s">
        <v>12904</v>
      </c>
      <c r="EK6" t="s">
        <v>41</v>
      </c>
      <c r="EP6" t="s">
        <v>266</v>
      </c>
      <c r="EU6" t="s">
        <v>11933</v>
      </c>
      <c r="EZ6" t="s">
        <v>10954</v>
      </c>
      <c r="GI6" t="s">
        <v>11576</v>
      </c>
      <c r="HC6" t="s">
        <v>12208</v>
      </c>
      <c r="HH6" t="s">
        <v>10797</v>
      </c>
      <c r="HW6" t="s">
        <v>12031</v>
      </c>
      <c r="IB6" t="s">
        <v>11677</v>
      </c>
      <c r="IQ6" t="s">
        <v>12290</v>
      </c>
      <c r="IV6" t="s">
        <v>260</v>
      </c>
      <c r="JU6" t="s">
        <v>10846</v>
      </c>
      <c r="JZ6" t="s">
        <v>1468</v>
      </c>
      <c r="LI6" t="s">
        <v>11782</v>
      </c>
      <c r="LN6" t="s">
        <v>11747</v>
      </c>
      <c r="NG6" t="s">
        <v>11060</v>
      </c>
      <c r="NL6" t="s">
        <v>11016</v>
      </c>
    </row>
    <row r="7" spans="1:396" x14ac:dyDescent="0.25">
      <c r="A7" t="s">
        <v>11522</v>
      </c>
      <c r="K7" t="s">
        <v>1274</v>
      </c>
      <c r="U7" t="s">
        <v>10807</v>
      </c>
      <c r="Z7" t="s">
        <v>11678</v>
      </c>
      <c r="AE7" t="s">
        <v>171</v>
      </c>
      <c r="AY7" t="s">
        <v>11574</v>
      </c>
      <c r="CM7" t="s">
        <v>10720</v>
      </c>
      <c r="CR7" t="s">
        <v>10657</v>
      </c>
      <c r="CW7" t="s">
        <v>3066</v>
      </c>
      <c r="DB7" t="s">
        <v>12240</v>
      </c>
      <c r="DG7" t="s">
        <v>10718</v>
      </c>
      <c r="DL7" t="s">
        <v>11578</v>
      </c>
      <c r="EA7" t="s">
        <v>1376</v>
      </c>
      <c r="EF7" t="s">
        <v>12905</v>
      </c>
      <c r="EK7" t="s">
        <v>469</v>
      </c>
      <c r="EP7" t="s">
        <v>10892</v>
      </c>
      <c r="EU7" t="s">
        <v>12730</v>
      </c>
      <c r="EZ7" t="s">
        <v>12833</v>
      </c>
      <c r="GI7" t="s">
        <v>13117</v>
      </c>
      <c r="HC7" t="s">
        <v>10996</v>
      </c>
      <c r="HH7" t="s">
        <v>12151</v>
      </c>
      <c r="HW7" t="s">
        <v>10807</v>
      </c>
      <c r="IB7" t="s">
        <v>11678</v>
      </c>
      <c r="IQ7" t="s">
        <v>11607</v>
      </c>
      <c r="IV7" t="s">
        <v>49</v>
      </c>
      <c r="JU7" t="s">
        <v>10847</v>
      </c>
      <c r="JZ7" t="s">
        <v>970</v>
      </c>
      <c r="LI7" t="s">
        <v>5074</v>
      </c>
      <c r="LN7" t="s">
        <v>11012</v>
      </c>
      <c r="NG7" t="s">
        <v>10735</v>
      </c>
      <c r="NL7" t="s">
        <v>8926</v>
      </c>
    </row>
    <row r="8" spans="1:396" x14ac:dyDescent="0.25">
      <c r="A8" t="s">
        <v>11523</v>
      </c>
      <c r="K8" t="s">
        <v>11194</v>
      </c>
      <c r="U8" t="s">
        <v>171</v>
      </c>
      <c r="Z8" t="s">
        <v>11679</v>
      </c>
      <c r="AY8" t="s">
        <v>969</v>
      </c>
      <c r="CM8" t="s">
        <v>10721</v>
      </c>
      <c r="CR8" t="s">
        <v>970</v>
      </c>
      <c r="CW8" t="s">
        <v>4211</v>
      </c>
      <c r="DB8" t="s">
        <v>11146</v>
      </c>
      <c r="DG8" t="s">
        <v>11386</v>
      </c>
      <c r="EA8" t="s">
        <v>11007</v>
      </c>
      <c r="EF8" t="s">
        <v>12896</v>
      </c>
      <c r="EK8" t="s">
        <v>2881</v>
      </c>
      <c r="EP8" t="s">
        <v>6473</v>
      </c>
      <c r="EU8" t="s">
        <v>11724</v>
      </c>
      <c r="EZ8" t="s">
        <v>11106</v>
      </c>
      <c r="GI8" t="s">
        <v>4571</v>
      </c>
      <c r="HC8" t="s">
        <v>12152</v>
      </c>
      <c r="HH8" t="s">
        <v>10657</v>
      </c>
      <c r="HW8" t="s">
        <v>171</v>
      </c>
      <c r="IB8" t="s">
        <v>11679</v>
      </c>
      <c r="IQ8" t="s">
        <v>2606</v>
      </c>
      <c r="IV8" t="s">
        <v>2417</v>
      </c>
      <c r="JU8" t="s">
        <v>2785</v>
      </c>
      <c r="JZ8" t="s">
        <v>10799</v>
      </c>
      <c r="LI8" t="s">
        <v>13057</v>
      </c>
      <c r="LN8" t="s">
        <v>13021</v>
      </c>
      <c r="NG8" t="s">
        <v>3439</v>
      </c>
      <c r="NL8" t="s">
        <v>10140</v>
      </c>
    </row>
    <row r="9" spans="1:396" x14ac:dyDescent="0.25">
      <c r="A9" t="s">
        <v>8762</v>
      </c>
      <c r="K9" t="s">
        <v>10967</v>
      </c>
      <c r="U9" t="s">
        <v>12032</v>
      </c>
      <c r="Z9" t="s">
        <v>11680</v>
      </c>
      <c r="AY9" t="s">
        <v>11575</v>
      </c>
      <c r="CM9" t="s">
        <v>10722</v>
      </c>
      <c r="CR9" t="s">
        <v>51</v>
      </c>
      <c r="CW9" t="s">
        <v>485</v>
      </c>
      <c r="DB9" t="s">
        <v>12241</v>
      </c>
      <c r="DG9" t="s">
        <v>11964</v>
      </c>
      <c r="EA9" t="s">
        <v>12570</v>
      </c>
      <c r="EF9" t="s">
        <v>12906</v>
      </c>
      <c r="EK9" t="s">
        <v>10853</v>
      </c>
      <c r="EP9" t="s">
        <v>969</v>
      </c>
      <c r="EU9" t="s">
        <v>12731</v>
      </c>
      <c r="EZ9" t="s">
        <v>12834</v>
      </c>
      <c r="HC9" t="s">
        <v>10851</v>
      </c>
      <c r="HH9" t="s">
        <v>12152</v>
      </c>
      <c r="HW9" t="s">
        <v>12032</v>
      </c>
      <c r="IB9" t="s">
        <v>11680</v>
      </c>
      <c r="IV9" t="s">
        <v>382</v>
      </c>
      <c r="JU9" t="s">
        <v>10821</v>
      </c>
      <c r="JZ9" t="s">
        <v>10800</v>
      </c>
      <c r="LN9" t="s">
        <v>43</v>
      </c>
      <c r="NG9" t="s">
        <v>10806</v>
      </c>
      <c r="NL9" t="s">
        <v>10746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3288</v>
      </c>
      <c r="K1" s="1" t="s">
        <v>3289</v>
      </c>
      <c r="U1" s="1" t="s">
        <v>3290</v>
      </c>
      <c r="AE1" s="1" t="s">
        <v>3291</v>
      </c>
      <c r="AO1" s="1" t="s">
        <v>3292</v>
      </c>
      <c r="AY1" s="1" t="s">
        <v>3293</v>
      </c>
      <c r="BI1" s="1" t="s">
        <v>3294</v>
      </c>
      <c r="BS1" s="1" t="s">
        <v>3295</v>
      </c>
      <c r="CC1" s="1" t="s">
        <v>3296</v>
      </c>
      <c r="CM1" s="1" t="s">
        <v>3297</v>
      </c>
      <c r="CW1" s="1" t="s">
        <v>3298</v>
      </c>
      <c r="DG1" s="1" t="s">
        <v>3299</v>
      </c>
      <c r="DQ1" s="1" t="s">
        <v>3300</v>
      </c>
      <c r="EA1" s="1" t="s">
        <v>3301</v>
      </c>
      <c r="EK1" s="1" t="s">
        <v>3302</v>
      </c>
      <c r="EU1" s="1" t="s">
        <v>3303</v>
      </c>
      <c r="FE1" s="1" t="s">
        <v>3304</v>
      </c>
      <c r="FO1" s="1" t="s">
        <v>3305</v>
      </c>
      <c r="FY1" s="1" t="s">
        <v>3306</v>
      </c>
      <c r="GI1" s="1" t="s">
        <v>3307</v>
      </c>
      <c r="GS1" s="1" t="s">
        <v>3308</v>
      </c>
      <c r="HC1" s="1" t="s">
        <v>3309</v>
      </c>
      <c r="HM1" s="1" t="s">
        <v>3310</v>
      </c>
      <c r="HW1" s="1" t="s">
        <v>3311</v>
      </c>
      <c r="IG1" s="1" t="s">
        <v>3312</v>
      </c>
      <c r="IQ1" s="1" t="s">
        <v>3313</v>
      </c>
      <c r="JA1" s="1" t="s">
        <v>3314</v>
      </c>
      <c r="JK1" s="1" t="s">
        <v>3315</v>
      </c>
      <c r="JU1" s="1" t="s">
        <v>3316</v>
      </c>
      <c r="KE1" s="1" t="s">
        <v>3317</v>
      </c>
      <c r="KO1" s="1" t="s">
        <v>3318</v>
      </c>
      <c r="KY1" s="1" t="s">
        <v>3319</v>
      </c>
      <c r="LI1" s="1" t="s">
        <v>3320</v>
      </c>
      <c r="LS1" s="1" t="s">
        <v>3321</v>
      </c>
      <c r="MC1" s="1" t="s">
        <v>3322</v>
      </c>
      <c r="MM1" s="1" t="s">
        <v>3323</v>
      </c>
      <c r="MW1" s="1" t="s">
        <v>3324</v>
      </c>
      <c r="NG1" s="1" t="s">
        <v>3325</v>
      </c>
      <c r="NQ1" s="1" t="s">
        <v>3326</v>
      </c>
      <c r="OA1" s="1" t="s">
        <v>3327</v>
      </c>
    </row>
    <row r="2" spans="1:396" x14ac:dyDescent="0.25">
      <c r="A2" s="2" t="s">
        <v>3328</v>
      </c>
      <c r="K2" s="2" t="s">
        <v>3329</v>
      </c>
      <c r="U2" s="2" t="s">
        <v>64</v>
      </c>
      <c r="AE2" s="2" t="s">
        <v>3330</v>
      </c>
      <c r="AO2" s="2" t="s">
        <v>1840</v>
      </c>
      <c r="AY2" s="2" t="s">
        <v>1543</v>
      </c>
      <c r="BI2" s="2" t="s">
        <v>3331</v>
      </c>
      <c r="BS2" s="2" t="s">
        <v>3332</v>
      </c>
      <c r="CC2" s="2" t="s">
        <v>3333</v>
      </c>
      <c r="CM2" s="2" t="s">
        <v>175</v>
      </c>
      <c r="CW2" s="2" t="s">
        <v>3334</v>
      </c>
      <c r="DG2" s="2" t="s">
        <v>1753</v>
      </c>
      <c r="DQ2" s="2" t="s">
        <v>970</v>
      </c>
      <c r="EA2" s="2" t="s">
        <v>3335</v>
      </c>
      <c r="EK2" s="2" t="s">
        <v>1164</v>
      </c>
      <c r="EU2" s="2" t="s">
        <v>3336</v>
      </c>
      <c r="FE2" s="2" t="s">
        <v>1757</v>
      </c>
      <c r="FO2" s="2" t="s">
        <v>3337</v>
      </c>
      <c r="FY2" s="2" t="s">
        <v>2792</v>
      </c>
      <c r="GI2" s="2" t="s">
        <v>3338</v>
      </c>
      <c r="GS2" s="2" t="s">
        <v>3339</v>
      </c>
      <c r="HC2" s="2" t="s">
        <v>3340</v>
      </c>
      <c r="HM2" s="2" t="s">
        <v>982</v>
      </c>
      <c r="HW2" s="2" t="s">
        <v>386</v>
      </c>
      <c r="IG2" s="2" t="s">
        <v>384</v>
      </c>
      <c r="IQ2" s="2" t="s">
        <v>3341</v>
      </c>
      <c r="JA2" s="2" t="s">
        <v>3062</v>
      </c>
      <c r="JK2" s="2" t="s">
        <v>3342</v>
      </c>
      <c r="JU2" s="2" t="s">
        <v>3343</v>
      </c>
      <c r="KE2" s="2" t="s">
        <v>3344</v>
      </c>
      <c r="KO2" s="2" t="s">
        <v>2979</v>
      </c>
      <c r="KY2" s="2" t="s">
        <v>991</v>
      </c>
      <c r="LI2" s="2" t="s">
        <v>3345</v>
      </c>
      <c r="LS2" s="2" t="s">
        <v>3346</v>
      </c>
      <c r="MC2" s="2" t="s">
        <v>1634</v>
      </c>
      <c r="MM2" s="2" t="s">
        <v>3347</v>
      </c>
      <c r="MW2" s="2" t="s">
        <v>2309</v>
      </c>
      <c r="NG2" s="2" t="s">
        <v>1066</v>
      </c>
      <c r="NQ2" s="2" t="s">
        <v>158</v>
      </c>
      <c r="OA2" s="2" t="s">
        <v>64</v>
      </c>
    </row>
    <row r="3" spans="1:396" x14ac:dyDescent="0.25">
      <c r="A3" t="s">
        <v>1214</v>
      </c>
      <c r="K3" t="s">
        <v>3348</v>
      </c>
      <c r="U3" t="s">
        <v>193</v>
      </c>
      <c r="AE3" t="s">
        <v>3349</v>
      </c>
      <c r="AO3" t="s">
        <v>3350</v>
      </c>
      <c r="AY3" t="s">
        <v>3351</v>
      </c>
      <c r="BI3" t="s">
        <v>420</v>
      </c>
      <c r="BS3" t="s">
        <v>926</v>
      </c>
      <c r="CC3" t="s">
        <v>3352</v>
      </c>
      <c r="CM3" t="s">
        <v>3353</v>
      </c>
      <c r="CW3" t="s">
        <v>3354</v>
      </c>
      <c r="DG3" t="s">
        <v>3355</v>
      </c>
      <c r="DQ3" t="s">
        <v>3356</v>
      </c>
      <c r="EA3" t="s">
        <v>3357</v>
      </c>
      <c r="EK3" t="s">
        <v>3358</v>
      </c>
      <c r="EU3" t="s">
        <v>3359</v>
      </c>
      <c r="FE3" t="s">
        <v>3360</v>
      </c>
      <c r="FO3" t="s">
        <v>3361</v>
      </c>
      <c r="FY3" t="s">
        <v>3362</v>
      </c>
      <c r="GI3" t="s">
        <v>3363</v>
      </c>
      <c r="GS3" t="s">
        <v>3364</v>
      </c>
      <c r="HC3" t="s">
        <v>3365</v>
      </c>
      <c r="HM3" t="s">
        <v>3366</v>
      </c>
      <c r="HW3" t="s">
        <v>3367</v>
      </c>
      <c r="IG3" t="s">
        <v>1105</v>
      </c>
      <c r="IQ3" t="s">
        <v>2733</v>
      </c>
      <c r="JA3" t="s">
        <v>3368</v>
      </c>
      <c r="JK3" t="s">
        <v>3369</v>
      </c>
      <c r="JU3" t="s">
        <v>3370</v>
      </c>
      <c r="KE3" t="s">
        <v>3371</v>
      </c>
      <c r="KO3" t="s">
        <v>1963</v>
      </c>
      <c r="KY3" t="s">
        <v>3372</v>
      </c>
      <c r="LI3" t="s">
        <v>3373</v>
      </c>
      <c r="LS3" t="s">
        <v>3374</v>
      </c>
      <c r="MC3" t="s">
        <v>3375</v>
      </c>
      <c r="MM3" t="s">
        <v>3376</v>
      </c>
      <c r="MW3" t="s">
        <v>3377</v>
      </c>
      <c r="NG3" t="s">
        <v>3378</v>
      </c>
      <c r="NQ3" t="s">
        <v>3379</v>
      </c>
      <c r="OA3" t="s">
        <v>3380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_xll.BDS("TIN US Equity","SUPPLY_CHAIN_SUPPLIERS","RELATIONSHIP_AS_OF_DATE","20010927")</f>
        <v>#N/A N/A</v>
      </c>
      <c r="F5" t="str">
        <f>_xll.BDS("TIN US Equity","SUPPLY_CHAIN_CUSTOMERS","RELATIONSHIP_AS_OF_DATE","20010927")</f>
        <v>#N/A N/A</v>
      </c>
      <c r="K5" t="str">
        <f>_xll.BDS("MOVIQ US Equity","SUPPLY_CHAIN_SUPPLIERS","RELATIONSHIP_AS_OF_DATE","20041119")</f>
        <v>#N/A N/A</v>
      </c>
      <c r="P5" t="str">
        <f>_xll.BDS("MOVIQ US Equity","SUPPLY_CHAIN_CUSTOMERS","RELATIONSHIP_AS_OF_DATE","20041119")</f>
        <v>#N/A N/A</v>
      </c>
      <c r="U5" t="str">
        <f>_xll.BDS("nan Equity","SUPPLY_CHAIN_SUPPLIERS","RELATIONSHIP_AS_OF_DATE","20161031")</f>
        <v>#N/A N/A</v>
      </c>
      <c r="Z5" t="str">
        <f>_xll.BDS("nan Equity","SUPPLY_CHAIN_CUSTOMERS","RELATIONSHIP_AS_OF_DATE","20161031")</f>
        <v>#N/A N/A</v>
      </c>
      <c r="AE5" t="str">
        <f>_xll.BDS("ORLY US Equity","SUPPLY_CHAIN_SUPPLIERS","RELATIONSHIP_AS_OF_DATE","20080201","cols=1;rows=5")</f>
        <v>SMP US Equity</v>
      </c>
      <c r="AJ5" t="str">
        <f>_xll.BDS("ORLY US Equity","SUPPLY_CHAIN_CUSTOMERS","RELATIONSHIP_AS_OF_DATE","20080201")</f>
        <v>#N/A N/A</v>
      </c>
      <c r="AO5" t="str">
        <f>_xll.BDS("9990822D US Equity","SUPPLY_CHAIN_SUPPLIERS","RELATIONSHIP_AS_OF_DATE","20100424")</f>
        <v>AMZN US Equity</v>
      </c>
      <c r="AT5" t="str">
        <f>_xll.BDS("9990822D US Equity","SUPPLY_CHAIN_CUSTOMERS","RELATIONSHIP_AS_OF_DATE","20100424","cols=1;rows=3")</f>
        <v>0759608D US Equity</v>
      </c>
      <c r="AY5" t="str">
        <f>_xll.BDS("SOV US Equity","SUPPLY_CHAIN_SUPPLIERS","RELATIONSHIP_AS_OF_DATE","20040126")</f>
        <v>#N/A N/A</v>
      </c>
      <c r="BD5" t="str">
        <f>_xll.BDS("SOV US Equity","SUPPLY_CHAIN_CUSTOMERS","RELATIONSHIP_AS_OF_DATE","20040126")</f>
        <v>#N/A N/A</v>
      </c>
      <c r="BI5" t="str">
        <f>_xll.BDS("HOPE US Equity","SUPPLY_CHAIN_SUPPLIERS","RELATIONSHIP_AS_OF_DATE","20151207")</f>
        <v>NICE IT Equity</v>
      </c>
      <c r="BN5" t="str">
        <f>_xll.BDS("HOPE US Equity","SUPPLY_CHAIN_CUSTOMERS","RELATIONSHIP_AS_OF_DATE","20151207")</f>
        <v>#N/A N/A</v>
      </c>
      <c r="BS5" t="str">
        <f>_xll.BDS("1746513D US Equity","SUPPLY_CHAIN_SUPPLIERS","RELATIONSHIP_AS_OF_DATE","20000223")</f>
        <v>#N/A N/A</v>
      </c>
      <c r="BX5" t="str">
        <f>_xll.BDS("1746513D US Equity","SUPPLY_CHAIN_CUSTOMERS","RELATIONSHIP_AS_OF_DATE","20000223")</f>
        <v>#N/A N/A</v>
      </c>
      <c r="CC5" t="str">
        <f>_xll.BDS("UBSI US Equity","SUPPLY_CHAIN_SUPPLIERS","RELATIONSHIP_AS_OF_DATE","20191118")</f>
        <v>FICO US Equity</v>
      </c>
      <c r="CH5" t="str">
        <f>_xll.BDS("UBSI US Equity","SUPPLY_CHAIN_CUSTOMERS","RELATIONSHIP_AS_OF_DATE","20191118")</f>
        <v>#N/A N/A</v>
      </c>
      <c r="CM5" t="str">
        <f>_xll.BDS("TFC US Equity","SUPPLY_CHAIN_SUPPLIERS","RELATIONSHIP_AS_OF_DATE","20010124","cols=1;rows=5")</f>
        <v>ADBE US Equity</v>
      </c>
      <c r="CR5" t="str">
        <f>_xll.BDS("TFC US Equity","SUPPLY_CHAIN_CUSTOMERS","RELATIONSHIP_AS_OF_DATE","20010124")</f>
        <v>RENG IN Equity</v>
      </c>
      <c r="CW5" t="str">
        <f>_xll.BDS("ZBH US Equity","SUPPLY_CHAIN_SUPPLIERS","RELATIONSHIP_AS_OF_DATE","20160607","cols=1;rows=5")</f>
        <v>4548 JP Equity</v>
      </c>
      <c r="DB5" t="str">
        <f>_xll.BDS("ZBH US Equity","SUPPLY_CHAIN_CUSTOMERS","RELATIONSHIP_AS_OF_DATE","20160607","cols=1;rows=5")</f>
        <v>000078 CH Equity</v>
      </c>
      <c r="DG5" t="str">
        <f>_xll.BDS("IEP US Equity","SUPPLY_CHAIN_SUPPLIERS","RELATIONSHIP_AS_OF_DATE","20151208","cols=1;rows=5")</f>
        <v>SMP US Equity</v>
      </c>
      <c r="DL5" t="str">
        <f>_xll.BDS("IEP US Equity","SUPPLY_CHAIN_CUSTOMERS","RELATIONSHIP_AS_OF_DATE","20151208","cols=1;rows=2")</f>
        <v>FMGI IN Equity</v>
      </c>
      <c r="DQ5" t="str">
        <f>_xll.BDS("CAH US Equity","SUPPLY_CHAIN_SUPPLIERS","RELATIONSHIP_AS_OF_DATE","20020614","cols=1;rows=5")</f>
        <v>LLY US Equity</v>
      </c>
      <c r="DV5" t="str">
        <f>_xll.BDS("CAH US Equity","SUPPLY_CHAIN_CUSTOMERS","RELATIONSHIP_AS_OF_DATE","20020614","cols=1;rows=5")</f>
        <v>CVS US Equity</v>
      </c>
      <c r="EA5" t="str">
        <f>_xll.BDS("LXP US Equity","SUPPLY_CHAIN_SUPPLIERS","RELATIONSHIP_AS_OF_DATE","20060723","cols=1;rows=5")</f>
        <v>0109817D US Equity</v>
      </c>
      <c r="EF5" t="str">
        <f>_xll.BDS("LXP US Equity","SUPPLY_CHAIN_CUSTOMERS","RELATIONSHIP_AS_OF_DATE","20060723","cols=1;rows=5")</f>
        <v>AMZN US Equity</v>
      </c>
      <c r="EK5" t="str">
        <f>_xll.BDS("GE US Equity","SUPPLY_CHAIN_SUPPLIERS","RELATIONSHIP_AS_OF_DATE","20011218","cols=1;rows=5")</f>
        <v>SAF FP Equity</v>
      </c>
      <c r="EP5" t="str">
        <f>_xll.BDS("GE US Equity","SUPPLY_CHAIN_CUSTOMERS","RELATIONSHIP_AS_OF_DATE","20011218","cols=1;rows=5")</f>
        <v>3352Z US Equity</v>
      </c>
      <c r="EU5" t="str">
        <f>_xll.BDS("3346Q US Equity","SUPPLY_CHAIN_SUPPLIERS","RELATIONSHIP_AS_OF_DATE","19990519")</f>
        <v>#N/A N/A</v>
      </c>
      <c r="EZ5" t="str">
        <f>_xll.BDS("3346Q US Equity","SUPPLY_CHAIN_CUSTOMERS","RELATIONSHIP_AS_OF_DATE","19990519")</f>
        <v>#N/A N/A</v>
      </c>
      <c r="FE5" t="str">
        <f>_xll.BDS("LEHMQ US Equity","SUPPLY_CHAIN_SUPPLIERS","RELATIONSHIP_AS_OF_DATE","19990419")</f>
        <v>#N/A N/A</v>
      </c>
      <c r="FJ5" t="str">
        <f>_xll.BDS("LEHMQ US Equity","SUPPLY_CHAIN_CUSTOMERS","RELATIONSHIP_AS_OF_DATE","19990419")</f>
        <v>#N/A N/A</v>
      </c>
      <c r="FO5" t="str">
        <f>_xll.BDS("FFBC US Equity","SUPPLY_CHAIN_SUPPLIERS","RELATIONSHIP_AS_OF_DATE","20170725")</f>
        <v>QMCI US Equity</v>
      </c>
      <c r="FT5" t="str">
        <f>_xll.BDS("FFBC US Equity","SUPPLY_CHAIN_CUSTOMERS","RELATIONSHIP_AS_OF_DATE","20170725")</f>
        <v>#N/A N/A</v>
      </c>
      <c r="FY5" t="str">
        <f>_xll.BDS("TXT US Equity","SUPPLY_CHAIN_SUPPLIERS","RELATIONSHIP_AS_OF_DATE","20071008","cols=1;rows=5")</f>
        <v>RR/ LN Equity</v>
      </c>
      <c r="GD5" t="str">
        <f>_xll.BDS("TXT US Equity","SUPPLY_CHAIN_CUSTOMERS","RELATIONSHIP_AS_OF_DATE","20071008","cols=1;rows=5")</f>
        <v>3352Z US Equity</v>
      </c>
      <c r="GI5" t="str">
        <f>_xll.BDS("IBTX US Equity","SUPPLY_CHAIN_SUPPLIERS","RELATIONSHIP_AS_OF_DATE","20180522")</f>
        <v>#N/A N/A</v>
      </c>
      <c r="GN5" t="str">
        <f>_xll.BDS("IBTX US Equity","SUPPLY_CHAIN_CUSTOMERS","RELATIONSHIP_AS_OF_DATE","20180522")</f>
        <v>#N/A N/A</v>
      </c>
      <c r="GS5" t="str">
        <f>_xll.BDS("LHCG US Equity","SUPPLY_CHAIN_SUPPLIERS","RELATIONSHIP_AS_OF_DATE","20171116")</f>
        <v>#N/A N/A</v>
      </c>
      <c r="GX5" t="str">
        <f>_xll.BDS("LHCG US Equity","SUPPLY_CHAIN_CUSTOMERS","RELATIONSHIP_AS_OF_DATE","20171116")</f>
        <v>9877893Z US Equity</v>
      </c>
      <c r="HC5" t="str">
        <f>_xll.BDS("EVRI US Equity","SUPPLY_CHAIN_SUPPLIERS","RELATIONSHIP_AS_OF_DATE","20140908","cols=1;rows=5")</f>
        <v>0384054D US Equity</v>
      </c>
      <c r="HH5" t="str">
        <f>_xll.BDS("EVRI US Equity","SUPPLY_CHAIN_CUSTOMERS","RELATIONSHIP_AS_OF_DATE","20140908","cols=1;rows=5")</f>
        <v>1730532D US Equity</v>
      </c>
      <c r="HM5" t="str">
        <f>_xll.BDS("EMR US Equity","SUPPLY_CHAIN_SUPPLIERS","RELATIONSHIP_AS_OF_DATE","19991214","cols=1;rows=5")</f>
        <v>JBL US Equity</v>
      </c>
      <c r="HR5" t="str">
        <f>_xll.BDS("EMR US Equity","SUPPLY_CHAIN_CUSTOMERS","RELATIONSHIP_AS_OF_DATE","19991214","cols=1;rows=5")</f>
        <v>TMO US Equity</v>
      </c>
      <c r="HW5" t="str">
        <f>_xll.BDS("WAMUQ US Equity","SUPPLY_CHAIN_SUPPLIERS","RELATIONSHIP_AS_OF_DATE","20060423")</f>
        <v>#N/A N/A</v>
      </c>
      <c r="IB5" t="str">
        <f>_xll.BDS("WAMUQ US Equity","SUPPLY_CHAIN_CUSTOMERS","RELATIONSHIP_AS_OF_DATE","20060423")</f>
        <v>#N/A N/A</v>
      </c>
      <c r="IG5" t="str">
        <f>_xll.BDS("WDC US Equity","SUPPLY_CHAIN_SUPPLIERS","RELATIONSHIP_AS_OF_DATE","20070628","cols=1;rows=5")</f>
        <v>000660 KS Equity</v>
      </c>
      <c r="IL5" t="str">
        <f>_xll.BDS("WDC US Equity","SUPPLY_CHAIN_CUSTOMERS","RELATIONSHIP_AS_OF_DATE","20070628","cols=1;rows=5")</f>
        <v>AMZN US Equity</v>
      </c>
      <c r="IQ5" t="str">
        <f>_xll.BDS("SDW US Equity","SUPPLY_CHAIN_SUPPLIERS","RELATIONSHIP_AS_OF_DATE","19980318")</f>
        <v>#N/A N/A</v>
      </c>
      <c r="IV5" t="str">
        <f>_xll.BDS("SDW US Equity","SUPPLY_CHAIN_CUSTOMERS","RELATIONSHIP_AS_OF_DATE","19980318")</f>
        <v>#N/A N/A</v>
      </c>
      <c r="JA5" t="str">
        <f>_xll.BDS("RS US Equity","SUPPLY_CHAIN_SUPPLIERS","RELATIONSHIP_AS_OF_DATE","20060117","cols=1;rows=5")</f>
        <v>KALU US Equity</v>
      </c>
      <c r="JF5" t="str">
        <f>_xll.BDS("RS US Equity","SUPPLY_CHAIN_CUSTOMERS","RELATIONSHIP_AS_OF_DATE","20060117","cols=1;rows=5")</f>
        <v>RTX US Equity</v>
      </c>
      <c r="JK5" t="str">
        <f>_xll.BDS("ARGO US Equity","SUPPLY_CHAIN_SUPPLIERS","RELATIONSHIP_AS_OF_DATE","20070314")</f>
        <v>#N/A N/A</v>
      </c>
      <c r="JP5" t="str">
        <f>_xll.BDS("ARGO US Equity","SUPPLY_CHAIN_CUSTOMERS","RELATIONSHIP_AS_OF_DATE","20070314")</f>
        <v>#N/A N/A</v>
      </c>
      <c r="JU5" t="str">
        <f>_xll.BDS("IFF US Equity","SUPPLY_CHAIN_SUPPLIERS","RELATIONSHIP_AS_OF_DATE","20000925","cols=1;rows=5")</f>
        <v>BAS GR Equity</v>
      </c>
      <c r="JZ5" t="str">
        <f>_xll.BDS("IFF US Equity","SUPPLY_CHAIN_CUSTOMERS","RELATIONSHIP_AS_OF_DATE","20000925","cols=1;rows=5")</f>
        <v>NESN SW Equity</v>
      </c>
      <c r="KE5" t="str">
        <f>_xll.BDS("STZ US Equity","SUPPLY_CHAIN_SUPPLIERS","RELATIONSHIP_AS_OF_DATE","20041019","cols=1;rows=5")</f>
        <v>KO US Equity</v>
      </c>
      <c r="KJ5" t="str">
        <f>_xll.BDS("STZ US Equity","SUPPLY_CHAIN_CUSTOMERS","RELATIONSHIP_AS_OF_DATE","20041019","cols=1;rows=5")</f>
        <v>24549Z US Equity</v>
      </c>
      <c r="KO5" t="str">
        <f>_xll.BDS("1858968D US Equity","SUPPLY_CHAIN_SUPPLIERS","RELATIONSHIP_AS_OF_DATE","20110222")</f>
        <v>#N/A N/A</v>
      </c>
      <c r="KT5" t="str">
        <f>_xll.BDS("1858968D US Equity","SUPPLY_CHAIN_CUSTOMERS","RELATIONSHIP_AS_OF_DATE","20110222")</f>
        <v>#N/A N/A</v>
      </c>
      <c r="KY5" t="str">
        <f>_xll.BDS("SITC US Equity","SUPPLY_CHAIN_SUPPLIERS","RELATIONSHIP_AS_OF_DATE","20021004")</f>
        <v>#N/A N/A</v>
      </c>
      <c r="LD5" t="str">
        <f>_xll.BDS("SITC US Equity","SUPPLY_CHAIN_CUSTOMERS","RELATIONSHIP_AS_OF_DATE","20021004","cols=1;rows=5")</f>
        <v>TJX US Equity</v>
      </c>
      <c r="LI5" t="str">
        <f>_xll.BDS("9966911D US Equity","SUPPLY_CHAIN_SUPPLIERS","RELATIONSHIP_AS_OF_DATE","20180513")</f>
        <v>#N/A N/A</v>
      </c>
      <c r="LN5" t="str">
        <f>_xll.BDS("9966911D US Equity","SUPPLY_CHAIN_CUSTOMERS","RELATIONSHIP_AS_OF_DATE","20180513")</f>
        <v>#N/A N/A</v>
      </c>
      <c r="LS5" t="str">
        <f>_xll.BDS("2297161Q US Equity","SUPPLY_CHAIN_SUPPLIERS","RELATIONSHIP_AS_OF_DATE","20050829")</f>
        <v>#N/A N/A</v>
      </c>
      <c r="LX5" t="str">
        <f>_xll.BDS("2297161Q US Equity","SUPPLY_CHAIN_CUSTOMERS","RELATIONSHIP_AS_OF_DATE","20050829")</f>
        <v>#N/A N/A</v>
      </c>
      <c r="MC5" t="str">
        <f>_xll.BDS("1837572D US Equity","SUPPLY_CHAIN_SUPPLIERS","RELATIONSHIP_AS_OF_DATE","19980427")</f>
        <v>#N/A N/A</v>
      </c>
      <c r="MH5" t="str">
        <f>_xll.BDS("1837572D US Equity","SUPPLY_CHAIN_CUSTOMERS","RELATIONSHIP_AS_OF_DATE","19980427")</f>
        <v>#N/A N/A</v>
      </c>
      <c r="MM5" t="str">
        <f>_xll.BDS("CNX US Equity","SUPPLY_CHAIN_SUPPLIERS","RELATIONSHIP_AS_OF_DATE","20100321","cols=1;rows=3")</f>
        <v>SLB US Equity</v>
      </c>
      <c r="MR5" t="str">
        <f>_xll.BDS("CNX US Equity","SUPPLY_CHAIN_CUSTOMERS","RELATIONSHIP_AS_OF_DATE","20100321","cols=1;rows=4")</f>
        <v>2348512D US Equity</v>
      </c>
      <c r="MW5" t="str">
        <f>_xll.BDS("TFX US Equity","SUPPLY_CHAIN_SUPPLIERS","RELATIONSHIP_AS_OF_DATE","20161202","cols=1;rows=5")</f>
        <v>PFE US Equity</v>
      </c>
      <c r="NB5" t="str">
        <f>_xll.BDS("TFX US Equity","SUPPLY_CHAIN_CUSTOMERS","RELATIONSHIP_AS_OF_DATE","20161202","cols=1;rows=5")</f>
        <v>1339564D US Equity</v>
      </c>
      <c r="NG5" t="str">
        <f>_xll.BDS("PXP US Equity","SUPPLY_CHAIN_SUPPLIERS","RELATIONSHIP_AS_OF_DATE","20040212")</f>
        <v>#N/A N/A</v>
      </c>
      <c r="NL5" t="str">
        <f>_xll.BDS("PXP US Equity","SUPPLY_CHAIN_CUSTOMERS","RELATIONSHIP_AS_OF_DATE","20040212")</f>
        <v>#N/A N/A</v>
      </c>
      <c r="NQ5" t="str">
        <f>_xll.BDS("BRK/A US Equity","SUPPLY_CHAIN_SUPPLIERS","RELATIONSHIP_AS_OF_DATE","20060417","cols=1;rows=5")</f>
        <v>HSY US Equity</v>
      </c>
      <c r="NV5" t="str">
        <f>_xll.BDS("BRK/A US Equity","SUPPLY_CHAIN_CUSTOMERS","RELATIONSHIP_AS_OF_DATE","20060417","cols=1;rows=5")</f>
        <v>WMT US Equity</v>
      </c>
      <c r="OA5" t="str">
        <f>_xll.BDS("nan Equity","SUPPLY_CHAIN_SUPPLIERS","RELATIONSHIP_AS_OF_DATE","20070403")</f>
        <v>#N/A N/A</v>
      </c>
      <c r="OF5" t="str">
        <f>_xll.BDS("nan Equity","SUPPLY_CHAIN_CUSTOMERS","RELATIONSHIP_AS_OF_DATE","20070403")</f>
        <v>#N/A N/A</v>
      </c>
    </row>
    <row r="6" spans="1:396" x14ac:dyDescent="0.25">
      <c r="AE6" t="s">
        <v>13103</v>
      </c>
      <c r="AT6" t="s">
        <v>2705</v>
      </c>
      <c r="CM6" t="s">
        <v>11371</v>
      </c>
      <c r="CW6" t="s">
        <v>10806</v>
      </c>
      <c r="DB6" t="s">
        <v>12544</v>
      </c>
      <c r="DG6" t="s">
        <v>10873</v>
      </c>
      <c r="DL6" t="s">
        <v>10812</v>
      </c>
      <c r="DQ6" t="s">
        <v>45</v>
      </c>
      <c r="DV6" t="s">
        <v>10882</v>
      </c>
      <c r="EA6" t="s">
        <v>12783</v>
      </c>
      <c r="EF6" t="s">
        <v>12524</v>
      </c>
      <c r="EK6" t="s">
        <v>11008</v>
      </c>
      <c r="EP6" t="s">
        <v>1363</v>
      </c>
      <c r="FY6" t="s">
        <v>42</v>
      </c>
      <c r="GD6" t="s">
        <v>158</v>
      </c>
      <c r="HC6" t="s">
        <v>11057</v>
      </c>
      <c r="HH6" t="s">
        <v>11028</v>
      </c>
      <c r="HM6" t="s">
        <v>10830</v>
      </c>
      <c r="HR6" t="s">
        <v>570</v>
      </c>
      <c r="IG6" t="s">
        <v>11374</v>
      </c>
      <c r="IL6" t="s">
        <v>11084</v>
      </c>
      <c r="JA6" t="s">
        <v>11890</v>
      </c>
      <c r="JF6" t="s">
        <v>1164</v>
      </c>
      <c r="JU6" t="s">
        <v>11667</v>
      </c>
      <c r="JZ6" t="s">
        <v>11852</v>
      </c>
      <c r="KE6" t="s">
        <v>11892</v>
      </c>
      <c r="KJ6" t="s">
        <v>11872</v>
      </c>
      <c r="LD6" t="s">
        <v>5070</v>
      </c>
      <c r="MM6" t="s">
        <v>12382</v>
      </c>
      <c r="MR6" t="s">
        <v>1359</v>
      </c>
      <c r="MW6" t="s">
        <v>10750</v>
      </c>
      <c r="NB6" t="s">
        <v>11947</v>
      </c>
      <c r="NQ6" t="s">
        <v>2792</v>
      </c>
      <c r="NV6" t="s">
        <v>10677</v>
      </c>
    </row>
    <row r="7" spans="1:396" x14ac:dyDescent="0.25">
      <c r="AE7" t="s">
        <v>487</v>
      </c>
      <c r="AT7" t="s">
        <v>270</v>
      </c>
      <c r="CM7" t="s">
        <v>10986</v>
      </c>
      <c r="CW7" t="s">
        <v>12545</v>
      </c>
      <c r="DB7" t="s">
        <v>12545</v>
      </c>
      <c r="DG7" t="s">
        <v>10874</v>
      </c>
      <c r="DQ7" t="s">
        <v>368</v>
      </c>
      <c r="DV7" t="s">
        <v>10883</v>
      </c>
      <c r="EA7" t="s">
        <v>12784</v>
      </c>
      <c r="EF7" t="s">
        <v>1274</v>
      </c>
      <c r="EK7" t="s">
        <v>11009</v>
      </c>
      <c r="EP7" t="s">
        <v>10939</v>
      </c>
      <c r="FY7" t="s">
        <v>371</v>
      </c>
      <c r="GD7" t="s">
        <v>3073</v>
      </c>
      <c r="HC7" t="s">
        <v>11058</v>
      </c>
      <c r="HH7" t="s">
        <v>790</v>
      </c>
      <c r="HM7" t="s">
        <v>11595</v>
      </c>
      <c r="HR7" t="s">
        <v>2219</v>
      </c>
      <c r="IG7" t="s">
        <v>11797</v>
      </c>
      <c r="IL7" t="s">
        <v>266</v>
      </c>
      <c r="JA7" t="s">
        <v>11858</v>
      </c>
      <c r="JF7" t="s">
        <v>4570</v>
      </c>
      <c r="JU7" t="s">
        <v>10855</v>
      </c>
      <c r="JZ7" t="s">
        <v>790</v>
      </c>
      <c r="KE7" t="s">
        <v>11258</v>
      </c>
      <c r="KJ7" t="s">
        <v>10646</v>
      </c>
      <c r="LD7" t="s">
        <v>11526</v>
      </c>
      <c r="MM7" t="s">
        <v>12383</v>
      </c>
      <c r="MR7" t="s">
        <v>11370</v>
      </c>
      <c r="MW7" t="s">
        <v>10882</v>
      </c>
      <c r="NB7" t="s">
        <v>12781</v>
      </c>
      <c r="NQ7" t="s">
        <v>10737</v>
      </c>
      <c r="NV7" t="s">
        <v>4642</v>
      </c>
    </row>
    <row r="8" spans="1:396" x14ac:dyDescent="0.25">
      <c r="AE8" t="s">
        <v>13104</v>
      </c>
      <c r="CM8" t="s">
        <v>11372</v>
      </c>
      <c r="CW8" t="s">
        <v>12637</v>
      </c>
      <c r="DB8" t="s">
        <v>12546</v>
      </c>
      <c r="DG8" t="s">
        <v>10875</v>
      </c>
      <c r="DQ8" t="s">
        <v>43</v>
      </c>
      <c r="DV8" t="s">
        <v>477</v>
      </c>
      <c r="EA8" t="s">
        <v>2038</v>
      </c>
      <c r="EF8" t="s">
        <v>10676</v>
      </c>
      <c r="EK8" t="s">
        <v>11010</v>
      </c>
      <c r="EP8" t="s">
        <v>1652</v>
      </c>
      <c r="FY8" t="s">
        <v>1164</v>
      </c>
      <c r="GD8" t="s">
        <v>10953</v>
      </c>
      <c r="HC8" t="s">
        <v>3162</v>
      </c>
      <c r="HH8" t="s">
        <v>7145</v>
      </c>
      <c r="HM8" t="s">
        <v>11161</v>
      </c>
      <c r="HR8" t="s">
        <v>11345</v>
      </c>
      <c r="IG8" t="s">
        <v>279</v>
      </c>
      <c r="IL8" t="s">
        <v>11771</v>
      </c>
      <c r="JA8" t="s">
        <v>4217</v>
      </c>
      <c r="JF8" t="s">
        <v>12543</v>
      </c>
      <c r="JU8" t="s">
        <v>13025</v>
      </c>
      <c r="JZ8" t="s">
        <v>12450</v>
      </c>
      <c r="KE8" t="s">
        <v>11893</v>
      </c>
      <c r="KJ8" t="s">
        <v>11873</v>
      </c>
      <c r="LD8" t="s">
        <v>477</v>
      </c>
      <c r="MR8" t="s">
        <v>11245</v>
      </c>
      <c r="MW8" t="s">
        <v>10932</v>
      </c>
      <c r="NB8" t="s">
        <v>12782</v>
      </c>
      <c r="NQ8" t="s">
        <v>4475</v>
      </c>
      <c r="NV8" t="s">
        <v>1363</v>
      </c>
    </row>
    <row r="9" spans="1:396" x14ac:dyDescent="0.25">
      <c r="AE9" t="s">
        <v>2316</v>
      </c>
      <c r="CM9" t="s">
        <v>10987</v>
      </c>
      <c r="CW9" t="s">
        <v>12338</v>
      </c>
      <c r="DB9" t="s">
        <v>12547</v>
      </c>
      <c r="DG9" t="s">
        <v>10876</v>
      </c>
      <c r="DQ9" t="s">
        <v>275</v>
      </c>
      <c r="DV9" t="s">
        <v>10634</v>
      </c>
      <c r="EA9" t="s">
        <v>11767</v>
      </c>
      <c r="EF9" t="s">
        <v>13121</v>
      </c>
      <c r="EK9" t="s">
        <v>3625</v>
      </c>
      <c r="EP9" t="s">
        <v>1740</v>
      </c>
      <c r="FY9" t="s">
        <v>1172</v>
      </c>
      <c r="GD9" t="s">
        <v>10660</v>
      </c>
      <c r="HC9" t="s">
        <v>166</v>
      </c>
      <c r="HH9" t="s">
        <v>1168</v>
      </c>
      <c r="HM9" t="s">
        <v>11596</v>
      </c>
      <c r="HR9" t="s">
        <v>7215</v>
      </c>
      <c r="IG9" t="s">
        <v>11798</v>
      </c>
      <c r="IL9" t="s">
        <v>10732</v>
      </c>
      <c r="JA9" t="s">
        <v>12307</v>
      </c>
      <c r="JF9" t="s">
        <v>10786</v>
      </c>
      <c r="JU9" t="s">
        <v>13026</v>
      </c>
      <c r="JZ9" t="s">
        <v>12451</v>
      </c>
      <c r="KE9" t="s">
        <v>10855</v>
      </c>
      <c r="KJ9" t="s">
        <v>11874</v>
      </c>
      <c r="LD9" t="s">
        <v>11556</v>
      </c>
      <c r="MW9" t="s">
        <v>2111</v>
      </c>
      <c r="NB9" t="s">
        <v>10883</v>
      </c>
      <c r="NQ9" t="s">
        <v>10738</v>
      </c>
      <c r="NV9" t="s">
        <v>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3381</v>
      </c>
      <c r="K1" s="1" t="s">
        <v>3382</v>
      </c>
      <c r="U1" s="1" t="s">
        <v>3383</v>
      </c>
      <c r="AE1" s="1" t="s">
        <v>3384</v>
      </c>
      <c r="AO1" s="1" t="s">
        <v>3385</v>
      </c>
      <c r="AY1" s="1" t="s">
        <v>3386</v>
      </c>
      <c r="BI1" s="1" t="s">
        <v>3387</v>
      </c>
      <c r="BS1" s="1" t="s">
        <v>3388</v>
      </c>
      <c r="CC1" s="1" t="s">
        <v>3389</v>
      </c>
      <c r="CM1" s="1" t="s">
        <v>3390</v>
      </c>
      <c r="CW1" s="1" t="s">
        <v>3391</v>
      </c>
      <c r="DG1" s="1" t="s">
        <v>3392</v>
      </c>
      <c r="DQ1" s="1" t="s">
        <v>3393</v>
      </c>
      <c r="EA1" s="1" t="s">
        <v>3394</v>
      </c>
      <c r="EK1" s="1" t="s">
        <v>3395</v>
      </c>
      <c r="EU1" s="1" t="s">
        <v>3396</v>
      </c>
      <c r="FE1" s="1" t="s">
        <v>3397</v>
      </c>
      <c r="FO1" s="1" t="s">
        <v>3398</v>
      </c>
      <c r="FY1" s="1" t="s">
        <v>3399</v>
      </c>
      <c r="GI1" s="1" t="s">
        <v>3400</v>
      </c>
      <c r="GS1" s="1" t="s">
        <v>3401</v>
      </c>
      <c r="HC1" s="1" t="s">
        <v>3402</v>
      </c>
      <c r="HM1" s="1" t="s">
        <v>3403</v>
      </c>
      <c r="HW1" s="1" t="s">
        <v>3404</v>
      </c>
      <c r="IG1" s="1" t="s">
        <v>3405</v>
      </c>
      <c r="IQ1" s="1" t="s">
        <v>3406</v>
      </c>
      <c r="JA1" s="1" t="s">
        <v>3407</v>
      </c>
      <c r="JK1" s="1" t="s">
        <v>3408</v>
      </c>
      <c r="JU1" s="1" t="s">
        <v>3409</v>
      </c>
      <c r="KE1" s="1" t="s">
        <v>3410</v>
      </c>
      <c r="KO1" s="1" t="s">
        <v>3411</v>
      </c>
      <c r="KY1" s="1" t="s">
        <v>3412</v>
      </c>
      <c r="LI1" s="1" t="s">
        <v>3413</v>
      </c>
      <c r="LS1" s="1" t="s">
        <v>3414</v>
      </c>
      <c r="MC1" s="1" t="s">
        <v>3415</v>
      </c>
      <c r="MM1" s="1" t="s">
        <v>3416</v>
      </c>
      <c r="MW1" s="1" t="s">
        <v>3417</v>
      </c>
      <c r="NG1" s="1" t="s">
        <v>3418</v>
      </c>
      <c r="NQ1" s="1" t="s">
        <v>3419</v>
      </c>
      <c r="OA1" s="1" t="s">
        <v>3420</v>
      </c>
    </row>
    <row r="2" spans="1:396" x14ac:dyDescent="0.25">
      <c r="A2" s="2" t="s">
        <v>3421</v>
      </c>
      <c r="K2" s="2" t="s">
        <v>685</v>
      </c>
      <c r="U2" s="2" t="s">
        <v>3422</v>
      </c>
      <c r="AE2" s="2" t="s">
        <v>3423</v>
      </c>
      <c r="AO2" s="2" t="s">
        <v>887</v>
      </c>
      <c r="AY2" s="2" t="s">
        <v>780</v>
      </c>
      <c r="BI2" s="2" t="s">
        <v>3424</v>
      </c>
      <c r="BS2" s="2" t="s">
        <v>3425</v>
      </c>
      <c r="CC2" s="2" t="s">
        <v>3426</v>
      </c>
      <c r="CM2" s="2" t="s">
        <v>2126</v>
      </c>
      <c r="CW2" s="2" t="s">
        <v>3427</v>
      </c>
      <c r="DG2" s="2" t="s">
        <v>3428</v>
      </c>
      <c r="DQ2" s="2" t="s">
        <v>2220</v>
      </c>
      <c r="EA2" s="2" t="s">
        <v>158</v>
      </c>
      <c r="EK2" s="2" t="s">
        <v>3429</v>
      </c>
      <c r="EU2" s="2" t="s">
        <v>3430</v>
      </c>
      <c r="FE2" s="2" t="s">
        <v>3431</v>
      </c>
      <c r="FO2" s="2" t="s">
        <v>3432</v>
      </c>
      <c r="FY2" s="2" t="s">
        <v>3433</v>
      </c>
      <c r="GI2" s="2" t="s">
        <v>2777</v>
      </c>
      <c r="GS2" s="2" t="s">
        <v>165</v>
      </c>
      <c r="HC2" s="2" t="s">
        <v>3058</v>
      </c>
      <c r="HM2" s="2" t="s">
        <v>64</v>
      </c>
      <c r="HW2" s="2" t="s">
        <v>3434</v>
      </c>
      <c r="IG2" s="2" t="s">
        <v>3435</v>
      </c>
      <c r="IQ2" s="2" t="s">
        <v>2968</v>
      </c>
      <c r="JA2" s="2" t="s">
        <v>3436</v>
      </c>
      <c r="JK2" s="2" t="s">
        <v>3437</v>
      </c>
      <c r="JU2" s="2" t="s">
        <v>3438</v>
      </c>
      <c r="KE2" s="2" t="s">
        <v>2973</v>
      </c>
      <c r="KO2" s="2" t="s">
        <v>166</v>
      </c>
      <c r="KY2" s="2" t="s">
        <v>3439</v>
      </c>
      <c r="LI2" s="2" t="s">
        <v>3440</v>
      </c>
      <c r="LS2" s="2" t="s">
        <v>3441</v>
      </c>
      <c r="MC2" s="2" t="s">
        <v>1544</v>
      </c>
      <c r="MM2" s="2" t="s">
        <v>3442</v>
      </c>
      <c r="MW2" s="2" t="s">
        <v>3333</v>
      </c>
      <c r="NG2" s="2" t="s">
        <v>3443</v>
      </c>
      <c r="NQ2" s="2" t="s">
        <v>3444</v>
      </c>
      <c r="OA2" s="2" t="s">
        <v>382</v>
      </c>
    </row>
    <row r="3" spans="1:396" x14ac:dyDescent="0.25">
      <c r="A3" t="s">
        <v>3445</v>
      </c>
      <c r="K3" t="s">
        <v>3446</v>
      </c>
      <c r="U3" t="s">
        <v>814</v>
      </c>
      <c r="AE3" t="s">
        <v>3447</v>
      </c>
      <c r="AO3" t="s">
        <v>3448</v>
      </c>
      <c r="AY3" t="s">
        <v>2436</v>
      </c>
      <c r="BI3" t="s">
        <v>1946</v>
      </c>
      <c r="BS3" t="s">
        <v>3449</v>
      </c>
      <c r="CC3" t="s">
        <v>3450</v>
      </c>
      <c r="CM3" t="s">
        <v>493</v>
      </c>
      <c r="CW3" t="s">
        <v>2058</v>
      </c>
      <c r="DG3" t="s">
        <v>3451</v>
      </c>
      <c r="DQ3" t="s">
        <v>3452</v>
      </c>
      <c r="EA3" t="s">
        <v>3453</v>
      </c>
      <c r="EK3" t="s">
        <v>3454</v>
      </c>
      <c r="EU3" t="s">
        <v>3455</v>
      </c>
      <c r="FE3" t="s">
        <v>3456</v>
      </c>
      <c r="FO3" t="s">
        <v>3457</v>
      </c>
      <c r="FY3" t="s">
        <v>3458</v>
      </c>
      <c r="GI3" t="s">
        <v>3459</v>
      </c>
      <c r="GS3" t="s">
        <v>3460</v>
      </c>
      <c r="HC3" t="s">
        <v>3264</v>
      </c>
      <c r="HM3" t="s">
        <v>3461</v>
      </c>
      <c r="HW3" t="s">
        <v>3462</v>
      </c>
      <c r="IG3" t="s">
        <v>3463</v>
      </c>
      <c r="IQ3" t="s">
        <v>2228</v>
      </c>
      <c r="JA3" t="s">
        <v>3009</v>
      </c>
      <c r="JK3" t="s">
        <v>3464</v>
      </c>
      <c r="JU3" t="s">
        <v>3465</v>
      </c>
      <c r="KE3" t="s">
        <v>3090</v>
      </c>
      <c r="KO3" t="s">
        <v>3466</v>
      </c>
      <c r="KY3" t="s">
        <v>3467</v>
      </c>
      <c r="LI3" t="s">
        <v>3468</v>
      </c>
      <c r="LS3" t="s">
        <v>185</v>
      </c>
      <c r="MC3" t="s">
        <v>3469</v>
      </c>
      <c r="MM3" t="s">
        <v>1881</v>
      </c>
      <c r="MW3" t="s">
        <v>3470</v>
      </c>
      <c r="NG3" t="s">
        <v>3471</v>
      </c>
      <c r="NQ3" t="s">
        <v>3472</v>
      </c>
      <c r="OA3" t="s">
        <v>3473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_xll.BDS("VYTLQ US Equity","SUPPLY_CHAIN_SUPPLIERS","RELATIONSHIP_AS_OF_DATE","19990827")</f>
        <v>#N/A N/A</v>
      </c>
      <c r="F5" t="str">
        <f>_xll.BDS("VYTLQ US Equity","SUPPLY_CHAIN_CUSTOMERS","RELATIONSHIP_AS_OF_DATE","19990827")</f>
        <v>#N/A N/A</v>
      </c>
      <c r="K5" t="str">
        <f>_xll.BDS("AMGN US Equity","SUPPLY_CHAIN_SUPPLIERS","RELATIONSHIP_AS_OF_DATE","20120126","cols=1;rows=5")</f>
        <v>AZN LN Equity</v>
      </c>
      <c r="P5" t="str">
        <f>_xll.BDS("AMGN US Equity","SUPPLY_CHAIN_CUSTOMERS","RELATIONSHIP_AS_OF_DATE","20120126","cols=1;rows=5")</f>
        <v>MCK US Equity</v>
      </c>
      <c r="U5" t="str">
        <f>_xll.BDS("CAVM US Equity","SUPPLY_CHAIN_SUPPLIERS","RELATIONSHIP_AS_OF_DATE","20160615")</f>
        <v>#N/A N/A</v>
      </c>
      <c r="Z5" t="str">
        <f>_xll.BDS("CAVM US Equity","SUPPLY_CHAIN_CUSTOMERS","RELATIONSHIP_AS_OF_DATE","20160615")</f>
        <v>#N/A N/A</v>
      </c>
      <c r="AE5" t="str">
        <f>_xll.BDS("BATL US Equity","SUPPLY_CHAIN_SUPPLIERS","RELATIONSHIP_AS_OF_DATE","20120425")</f>
        <v>#N/A N/A</v>
      </c>
      <c r="AJ5" t="str">
        <f>_xll.BDS("BATL US Equity","SUPPLY_CHAIN_CUSTOMERS","RELATIONSHIP_AS_OF_DATE","20120425","cols=1;rows=3")</f>
        <v>ET US Equity</v>
      </c>
      <c r="AO5" t="str">
        <f>_xll.BDS("ENTG US Equity","SUPPLY_CHAIN_SUPPLIERS","RELATIONSHIP_AS_OF_DATE","20140204","cols=1;rows=5")</f>
        <v>CBT US Equity</v>
      </c>
      <c r="AT5" t="str">
        <f>_xll.BDS("ENTG US Equity","SUPPLY_CHAIN_CUSTOMERS","RELATIONSHIP_AS_OF_DATE","20140204","cols=1;rows=5")</f>
        <v>2330 TT Equity</v>
      </c>
      <c r="AY5" t="str">
        <f>_xll.BDS("VLO US Equity","SUPPLY_CHAIN_SUPPLIERS","RELATIONSHIP_AS_OF_DATE","20181018","cols=1;rows=5")</f>
        <v>DAR US Equity</v>
      </c>
      <c r="BD5" t="str">
        <f>_xll.BDS("VLO US Equity","SUPPLY_CHAIN_CUSTOMERS","RELATIONSHIP_AS_OF_DATE","20181018","cols=1;rows=5")</f>
        <v>ARKO US Equity</v>
      </c>
      <c r="BI5" t="str">
        <f>_xll.BDS("VBTX US Equity","SUPPLY_CHAIN_SUPPLIERS","RELATIONSHIP_AS_OF_DATE","20180724")</f>
        <v>#N/A N/A</v>
      </c>
      <c r="BN5" t="str">
        <f>_xll.BDS("VBTX US Equity","SUPPLY_CHAIN_CUSTOMERS","RELATIONSHIP_AS_OF_DATE","20180724")</f>
        <v>#N/A N/A</v>
      </c>
      <c r="BS5" t="str">
        <f>_xll.BDS("PF US Equity","SUPPLY_CHAIN_SUPPLIERS","RELATIONSHIP_AS_OF_DATE","20151124")</f>
        <v>FE US Equity</v>
      </c>
      <c r="BX5" t="str">
        <f>_xll.BDS("PF US Equity","SUPPLY_CHAIN_CUSTOMERS","RELATIONSHIP_AS_OF_DATE","20151124")</f>
        <v>#N/A N/A</v>
      </c>
      <c r="CC5" t="str">
        <f>_xll.BDS("SCG US Equity","SUPPLY_CHAIN_SUPPLIERS","RELATIONSHIP_AS_OF_DATE","19990217")</f>
        <v>#N/A N/A</v>
      </c>
      <c r="CH5" t="str">
        <f>_xll.BDS("SCG US Equity","SUPPLY_CHAIN_CUSTOMERS","RELATIONSHIP_AS_OF_DATE","19990217")</f>
        <v>#N/A N/A</v>
      </c>
      <c r="CM5" t="str">
        <f>_xll.BDS("ON US Equity","SUPPLY_CHAIN_SUPPLIERS","RELATIONSHIP_AS_OF_DATE","20190327","cols=1;rows=5")</f>
        <v>981 HK Equity</v>
      </c>
      <c r="CR5" t="str">
        <f>_xll.BDS("ON US Equity","SUPPLY_CHAIN_CUSTOMERS","RELATIONSHIP_AS_OF_DATE","20190327","cols=1;rows=5")</f>
        <v>3036 TT Equity</v>
      </c>
      <c r="CW5" t="str">
        <f>_xll.BDS("DOC US Equity","SUPPLY_CHAIN_SUPPLIERS","RELATIONSHIP_AS_OF_DATE","19990804","cols=1;rows=2")</f>
        <v>MUST SP Equity</v>
      </c>
      <c r="DB5" t="str">
        <f>_xll.BDS("DOC US Equity","SUPPLY_CHAIN_CUSTOMERS","RELATIONSHIP_AS_OF_DATE","19990804","cols=1;rows=5")</f>
        <v>HCA US Equity</v>
      </c>
      <c r="DG5" t="str">
        <f>_xll.BDS("ISIL US Equity","SUPPLY_CHAIN_SUPPLIERS","RELATIONSHIP_AS_OF_DATE","20020310")</f>
        <v>FE US Equity</v>
      </c>
      <c r="DL5" t="str">
        <f>_xll.BDS("ISIL US Equity","SUPPLY_CHAIN_CUSTOMERS","RELATIONSHIP_AS_OF_DATE","20020310")</f>
        <v>#N/A N/A</v>
      </c>
      <c r="DQ5" t="str">
        <f>_xll.BDS("PRGNQ US Equity","SUPPLY_CHAIN_SUPPLIERS","RELATIONSHIP_AS_OF_DATE","20010611")</f>
        <v>#N/A N/A</v>
      </c>
      <c r="DV5" t="str">
        <f>_xll.BDS("PRGNQ US Equity","SUPPLY_CHAIN_CUSTOMERS","RELATIONSHIP_AS_OF_DATE","20010611")</f>
        <v>#N/A N/A</v>
      </c>
      <c r="EA5" t="str">
        <f>_xll.BDS("BRK/A US Equity","SUPPLY_CHAIN_SUPPLIERS","RELATIONSHIP_AS_OF_DATE","20001108","cols=1;rows=5")</f>
        <v>HSY US Equity</v>
      </c>
      <c r="EF5" t="str">
        <f>_xll.BDS("BRK/A US Equity","SUPPLY_CHAIN_CUSTOMERS","RELATIONSHIP_AS_OF_DATE","20001108","cols=1;rows=5")</f>
        <v>WMT US Equity</v>
      </c>
      <c r="EK5" t="str">
        <f>_xll.BDS("2491Q US Equity","SUPPLY_CHAIN_SUPPLIERS","RELATIONSHIP_AS_OF_DATE","19960606")</f>
        <v>#N/A N/A</v>
      </c>
      <c r="EP5" t="str">
        <f>_xll.BDS("2491Q US Equity","SUPPLY_CHAIN_CUSTOMERS","RELATIONSHIP_AS_OF_DATE","19960606")</f>
        <v>#N/A N/A</v>
      </c>
      <c r="EU5" t="str">
        <f>_xll.BDS("1731877D US Equity","SUPPLY_CHAIN_SUPPLIERS","RELATIONSHIP_AS_OF_DATE","20000626")</f>
        <v>FE US Equity</v>
      </c>
      <c r="EZ5" t="str">
        <f>_xll.BDS("1731877D US Equity","SUPPLY_CHAIN_CUSTOMERS","RELATIONSHIP_AS_OF_DATE","20000626")</f>
        <v>#N/A N/A</v>
      </c>
      <c r="FE5" t="str">
        <f>_xll.BDS("2150994D US Equity","SUPPLY_CHAIN_SUPPLIERS","RELATIONSHIP_AS_OF_DATE","20160316","cols=1;rows=5")</f>
        <v>002222 CH Equity</v>
      </c>
      <c r="FJ5" t="str">
        <f>_xll.BDS("2150994D US Equity","SUPPLY_CHAIN_CUSTOMERS","RELATIONSHIP_AS_OF_DATE","20160316","cols=1;rows=2")</f>
        <v>INFN US Equity</v>
      </c>
      <c r="FO5" t="str">
        <f>_xll.BDS("TLAB US Equity","SUPPLY_CHAIN_SUPPLIERS","RELATIONSHIP_AS_OF_DATE","19980216")</f>
        <v>#N/A N/A</v>
      </c>
      <c r="FT5" t="str">
        <f>_xll.BDS("TLAB US Equity","SUPPLY_CHAIN_CUSTOMERS","RELATIONSHIP_AS_OF_DATE","19980216")</f>
        <v>#N/A N/A</v>
      </c>
      <c r="FY5" t="str">
        <f>_xll.BDS("2619871D US Equity","SUPPLY_CHAIN_SUPPLIERS","RELATIONSHIP_AS_OF_DATE","20180914","cols=1;rows=5")</f>
        <v>301501 CH Equity</v>
      </c>
      <c r="GD5" t="str">
        <f>_xll.BDS("2619871D US Equity","SUPPLY_CHAIN_CUSTOMERS","RELATIONSHIP_AS_OF_DATE","20180914","cols=1;rows=5")</f>
        <v>002980 CH Equity</v>
      </c>
      <c r="GI5" t="str">
        <f>_xll.BDS("RFMD US Equity","SUPPLY_CHAIN_SUPPLIERS","RELATIONSHIP_AS_OF_DATE","20070813")</f>
        <v>#N/A N/A</v>
      </c>
      <c r="GN5" t="str">
        <f>_xll.BDS("RFMD US Equity","SUPPLY_CHAIN_CUSTOMERS","RELATIONSHIP_AS_OF_DATE","20070813")</f>
        <v>#N/A N/A</v>
      </c>
      <c r="GS5" t="str">
        <f>_xll.BDS("IBM US Equity","SUPPLY_CHAIN_SUPPLIERS","RELATIONSHIP_AS_OF_DATE","20150806","cols=1;rows=5")</f>
        <v>005930 KS Equity</v>
      </c>
      <c r="GX5" t="str">
        <f>_xll.BDS("IBM US Equity","SUPPLY_CHAIN_CUSTOMERS","RELATIONSHIP_AS_OF_DATE","20150806","cols=1;rows=5")</f>
        <v>AMZN US Equity</v>
      </c>
      <c r="HC5" t="str">
        <f>_xll.BDS("605018Q US Equity","SUPPLY_CHAIN_SUPPLIERS","RELATIONSHIP_AS_OF_DATE","19980615")</f>
        <v>#N/A N/A</v>
      </c>
      <c r="HH5" t="str">
        <f>_xll.BDS("605018Q US Equity","SUPPLY_CHAIN_CUSTOMERS","RELATIONSHIP_AS_OF_DATE","19980615")</f>
        <v>#N/A N/A</v>
      </c>
      <c r="HM5" t="str">
        <f>_xll.BDS("nan Equity","SUPPLY_CHAIN_SUPPLIERS","RELATIONSHIP_AS_OF_DATE","19991228")</f>
        <v>#N/A N/A</v>
      </c>
      <c r="HR5" t="str">
        <f>_xll.BDS("nan Equity","SUPPLY_CHAIN_CUSTOMERS","RELATIONSHIP_AS_OF_DATE","19991228")</f>
        <v>#N/A N/A</v>
      </c>
      <c r="HW5" t="str">
        <f>_xll.BDS("NTIQ US Equity","SUPPLY_CHAIN_SUPPLIERS","RELATIONSHIP_AS_OF_DATE","20010117")</f>
        <v>#N/A N/A</v>
      </c>
      <c r="IB5" t="str">
        <f>_xll.BDS("NTIQ US Equity","SUPPLY_CHAIN_CUSTOMERS","RELATIONSHIP_AS_OF_DATE","20010117")</f>
        <v>#N/A N/A</v>
      </c>
      <c r="IG5" t="str">
        <f>_xll.BDS("GENZ US Equity","SUPPLY_CHAIN_SUPPLIERS","RELATIONSHIP_AS_OF_DATE","20040226")</f>
        <v>#N/A N/A</v>
      </c>
      <c r="IL5" t="str">
        <f>_xll.BDS("GENZ US Equity","SUPPLY_CHAIN_CUSTOMERS","RELATIONSHIP_AS_OF_DATE","20040226")</f>
        <v>#N/A N/A</v>
      </c>
      <c r="IQ5" t="str">
        <f>_xll.BDS("HPE US Equity","SUPPLY_CHAIN_SUPPLIERS","RELATIONSHIP_AS_OF_DATE","20170307","cols=1;rows=5")</f>
        <v>2356 TT Equity</v>
      </c>
      <c r="IV5" t="str">
        <f>_xll.BDS("HPE US Equity","SUPPLY_CHAIN_CUSTOMERS","RELATIONSHIP_AS_OF_DATE","20170307","cols=1;rows=5")</f>
        <v>ARW US Equity</v>
      </c>
      <c r="JA5" t="str">
        <f>_xll.BDS("RVBD US Equity","SUPPLY_CHAIN_SUPPLIERS","RELATIONSHIP_AS_OF_DATE","20121029","cols=1;rows=2")</f>
        <v>JBL US Equity</v>
      </c>
      <c r="JF5" t="str">
        <f>_xll.BDS("RVBD US Equity","SUPPLY_CHAIN_CUSTOMERS","RELATIONSHIP_AS_OF_DATE","20121029","cols=1;rows=5")</f>
        <v>3145290Z NZ Equity</v>
      </c>
      <c r="JK5" t="str">
        <f>_xll.BDS("HALO US Equity","SUPPLY_CHAIN_SUPPLIERS","RELATIONSHIP_AS_OF_DATE","20220413","cols=1;rows=5")</f>
        <v>6753 JP Equity</v>
      </c>
      <c r="JP5" t="str">
        <f>_xll.BDS("HALO US Equity","SUPPLY_CHAIN_CUSTOMERS","RELATIONSHIP_AS_OF_DATE","20220413","cols=1;rows=5")</f>
        <v>JNJ US Equity</v>
      </c>
      <c r="JU5" t="str">
        <f>_xll.BDS("SGI US Equity","SUPPLY_CHAIN_SUPPLIERS","RELATIONSHIP_AS_OF_DATE","20120927","cols=1;rows=5")</f>
        <v>603610 CH Equity</v>
      </c>
      <c r="JZ5" t="str">
        <f>_xll.BDS("SGI US Equity","SUPPLY_CHAIN_CUSTOMERS","RELATIONSHIP_AS_OF_DATE","20120927","cols=1;rows=5")</f>
        <v>LIVEPOL1 MM Equity</v>
      </c>
      <c r="KE5" t="str">
        <f>_xll.BDS("MKSI US Equity","SUPPLY_CHAIN_SUPPLIERS","RELATIONSHIP_AS_OF_DATE","20181030","cols=1;rows=5")</f>
        <v>LASR US Equity</v>
      </c>
      <c r="KJ5" t="str">
        <f>_xll.BDS("MKSI US Equity","SUPPLY_CHAIN_CUSTOMERS","RELATIONSHIP_AS_OF_DATE","20181030","cols=1;rows=5")</f>
        <v>LRCX US Equity</v>
      </c>
      <c r="KO5" t="str">
        <f>_xll.BDS("WFC US Equity","SUPPLY_CHAIN_SUPPLIERS","RELATIONSHIP_AS_OF_DATE","19991221","cols=1;rows=5")</f>
        <v>ADBE US Equity</v>
      </c>
      <c r="KT5" t="str">
        <f>_xll.BDS("WFC US Equity","SUPPLY_CHAIN_CUSTOMERS","RELATIONSHIP_AS_OF_DATE","19991221","cols=1;rows=5")</f>
        <v>CDW US Equity</v>
      </c>
      <c r="KY5" t="str">
        <f>_xll.BDS("TTMI US Equity","SUPPLY_CHAIN_SUPPLIERS","RELATIONSHIP_AS_OF_DATE","20140922","cols=1;rows=5")</f>
        <v>MKSI US Equity</v>
      </c>
      <c r="LD5" t="str">
        <f>_xll.BDS("TTMI US Equity","SUPPLY_CHAIN_CUSTOMERS","RELATIONSHIP_AS_OF_DATE","20140922","cols=1;rows=5")</f>
        <v>RTX US Equity</v>
      </c>
      <c r="LI5" t="str">
        <f>_xll.BDS("VRNT US Equity","SUPPLY_CHAIN_SUPPLIERS","RELATIONSHIP_AS_OF_DATE","20120813","cols=1;rows=5")</f>
        <v>AMZN US Equity</v>
      </c>
      <c r="LN5" t="str">
        <f>_xll.BDS("VRNT US Equity","SUPPLY_CHAIN_CUSTOMERS","RELATIONSHIP_AS_OF_DATE","20120813","cols=1;rows=5")</f>
        <v>SNX US Equity</v>
      </c>
      <c r="LS5" t="str">
        <f>_xll.BDS("UAN US Equity","SUPPLY_CHAIN_SUPPLIERS","RELATIONSHIP_AS_OF_DATE","20150810","cols=1;rows=5")</f>
        <v>CNP US Equity</v>
      </c>
      <c r="LX5" t="str">
        <f>_xll.BDS("UAN US Equity","SUPPLY_CHAIN_CUSTOMERS","RELATIONSHIP_AS_OF_DATE","20150810")</f>
        <v>CVI US Equity</v>
      </c>
      <c r="MC5" t="str">
        <f>_xll.BDS("ALL US Equity","SUPPLY_CHAIN_SUPPLIERS","RELATIONSHIP_AS_OF_DATE","19990709","cols=1;rows=5")</f>
        <v>OPITQ US Equity</v>
      </c>
      <c r="MH5" t="str">
        <f>_xll.BDS("ALL US Equity","SUPPLY_CHAIN_CUSTOMERS","RELATIONSHIP_AS_OF_DATE","19990709","cols=1;rows=5")</f>
        <v>035720 KS Equity</v>
      </c>
      <c r="MM5" t="str">
        <f>_xll.BDS("GBCI US Equity","SUPPLY_CHAIN_SUPPLIERS","RELATIONSHIP_AS_OF_DATE","20210518")</f>
        <v>VYX US Equity</v>
      </c>
      <c r="MR5" t="str">
        <f>_xll.BDS("GBCI US Equity","SUPPLY_CHAIN_CUSTOMERS","RELATIONSHIP_AS_OF_DATE","20210518")</f>
        <v>#N/A N/A</v>
      </c>
      <c r="MW5" t="str">
        <f>_xll.BDS("UBSI US Equity","SUPPLY_CHAIN_SUPPLIERS","RELATIONSHIP_AS_OF_DATE","20160818")</f>
        <v>FICO US Equity</v>
      </c>
      <c r="NB5" t="str">
        <f>_xll.BDS("UBSI US Equity","SUPPLY_CHAIN_CUSTOMERS","RELATIONSHIP_AS_OF_DATE","20160818")</f>
        <v>#N/A N/A</v>
      </c>
      <c r="NG5" t="str">
        <f>_xll.BDS("IM US Equity","SUPPLY_CHAIN_SUPPLIERS","RELATIONSHIP_AS_OF_DATE","20120702","cols=1;rows=5")</f>
        <v>LOGN SW Equity</v>
      </c>
      <c r="NL5" t="str">
        <f>_xll.BDS("IM US Equity","SUPPLY_CHAIN_CUSTOMERS","RELATIONSHIP_AS_OF_DATE","20120702","cols=1;rows=5")</f>
        <v>AMZN US Equity</v>
      </c>
      <c r="NQ5" t="str">
        <f>_xll.BDS("FMER US Equity","SUPPLY_CHAIN_SUPPLIERS","RELATIONSHIP_AS_OF_DATE","20120913")</f>
        <v>#N/A N/A</v>
      </c>
      <c r="NV5" t="str">
        <f>_xll.BDS("FMER US Equity","SUPPLY_CHAIN_CUSTOMERS","RELATIONSHIP_AS_OF_DATE","20120913")</f>
        <v>#N/A N/A</v>
      </c>
      <c r="OA5" t="str">
        <f>_xll.BDS("D US Equity","SUPPLY_CHAIN_SUPPLIERS","RELATIONSHIP_AS_OF_DATE","20181126","cols=1;rows=5")</f>
        <v>PWR US Equity</v>
      </c>
      <c r="OF5" t="str">
        <f>_xll.BDS("D US Equity","SUPPLY_CHAIN_CUSTOMERS","RELATIONSHIP_AS_OF_DATE","20181126","cols=1;rows=5")</f>
        <v>000039 CH Equity</v>
      </c>
    </row>
    <row r="6" spans="1:396" x14ac:dyDescent="0.25">
      <c r="K6" t="s">
        <v>10817</v>
      </c>
      <c r="P6" t="s">
        <v>1468</v>
      </c>
      <c r="AJ6" t="s">
        <v>170</v>
      </c>
      <c r="AO6" t="s">
        <v>12751</v>
      </c>
      <c r="AT6" t="s">
        <v>10892</v>
      </c>
      <c r="AY6" t="s">
        <v>171</v>
      </c>
      <c r="BD6" t="s">
        <v>11279</v>
      </c>
      <c r="CM6" t="s">
        <v>11203</v>
      </c>
      <c r="CR6" t="s">
        <v>6473</v>
      </c>
      <c r="CW6" t="s">
        <v>13064</v>
      </c>
      <c r="DB6" t="s">
        <v>12634</v>
      </c>
      <c r="EA6" t="s">
        <v>2792</v>
      </c>
      <c r="EF6" t="s">
        <v>10677</v>
      </c>
      <c r="FE6" t="s">
        <v>12901</v>
      </c>
      <c r="FJ6" t="s">
        <v>9922</v>
      </c>
      <c r="FY6" t="s">
        <v>11377</v>
      </c>
      <c r="GD6" t="s">
        <v>11323</v>
      </c>
      <c r="GS6" t="s">
        <v>41</v>
      </c>
      <c r="GX6" t="s">
        <v>266</v>
      </c>
      <c r="IQ6" t="s">
        <v>11176</v>
      </c>
      <c r="IV6" t="s">
        <v>10660</v>
      </c>
      <c r="JA6" t="s">
        <v>13001</v>
      </c>
      <c r="JF6" t="s">
        <v>12899</v>
      </c>
      <c r="JK6" t="s">
        <v>10735</v>
      </c>
      <c r="JP6" t="s">
        <v>11018</v>
      </c>
      <c r="JU6" t="s">
        <v>12052</v>
      </c>
      <c r="JZ6" t="s">
        <v>11532</v>
      </c>
      <c r="KE6" t="s">
        <v>12539</v>
      </c>
      <c r="KJ6" t="s">
        <v>1267</v>
      </c>
      <c r="KO6" t="s">
        <v>10986</v>
      </c>
      <c r="KT6" t="s">
        <v>11473</v>
      </c>
      <c r="KY6" t="s">
        <v>4898</v>
      </c>
      <c r="LD6" t="s">
        <v>10785</v>
      </c>
      <c r="LI6" t="s">
        <v>5239</v>
      </c>
      <c r="LN6" t="s">
        <v>12807</v>
      </c>
      <c r="LS6" t="s">
        <v>5418</v>
      </c>
      <c r="MC6" t="s">
        <v>1548</v>
      </c>
      <c r="MH6" t="s">
        <v>12975</v>
      </c>
      <c r="NG6" t="s">
        <v>12601</v>
      </c>
      <c r="NL6" t="s">
        <v>3519</v>
      </c>
      <c r="OA6" t="s">
        <v>3251</v>
      </c>
      <c r="OF6" t="s">
        <v>11751</v>
      </c>
    </row>
    <row r="7" spans="1:396" x14ac:dyDescent="0.25">
      <c r="K7" t="s">
        <v>10816</v>
      </c>
      <c r="P7" t="s">
        <v>970</v>
      </c>
      <c r="AJ7" t="s">
        <v>485</v>
      </c>
      <c r="AO7" t="s">
        <v>12752</v>
      </c>
      <c r="AT7" t="s">
        <v>11597</v>
      </c>
      <c r="AY7" t="s">
        <v>7384</v>
      </c>
      <c r="BD7" t="s">
        <v>11280</v>
      </c>
      <c r="CM7" t="s">
        <v>11410</v>
      </c>
      <c r="CR7" t="s">
        <v>3519</v>
      </c>
      <c r="DB7" t="s">
        <v>385</v>
      </c>
      <c r="EA7" t="s">
        <v>10737</v>
      </c>
      <c r="EF7" t="s">
        <v>4642</v>
      </c>
      <c r="FE7" t="s">
        <v>12902</v>
      </c>
      <c r="FY7" t="s">
        <v>11378</v>
      </c>
      <c r="GD7" t="s">
        <v>11324</v>
      </c>
      <c r="GS7" t="s">
        <v>469</v>
      </c>
      <c r="GX7" t="s">
        <v>10892</v>
      </c>
      <c r="IQ7" t="s">
        <v>6477</v>
      </c>
      <c r="IV7" t="s">
        <v>2881</v>
      </c>
      <c r="JF7" t="s">
        <v>6473</v>
      </c>
      <c r="JK7" t="s">
        <v>12369</v>
      </c>
      <c r="JP7" t="s">
        <v>12954</v>
      </c>
      <c r="JU7" t="s">
        <v>11148</v>
      </c>
      <c r="JZ7" t="s">
        <v>12612</v>
      </c>
      <c r="KE7" t="s">
        <v>2887</v>
      </c>
      <c r="KJ7" t="s">
        <v>10892</v>
      </c>
      <c r="KO7" t="s">
        <v>988</v>
      </c>
      <c r="KT7" t="s">
        <v>10787</v>
      </c>
      <c r="KY7" t="s">
        <v>11146</v>
      </c>
      <c r="LD7" t="s">
        <v>388</v>
      </c>
      <c r="LI7" t="s">
        <v>12827</v>
      </c>
      <c r="LN7" t="s">
        <v>12312</v>
      </c>
      <c r="LS7" t="s">
        <v>10740</v>
      </c>
      <c r="MC7" t="s">
        <v>10738</v>
      </c>
      <c r="MH7" t="s">
        <v>11442</v>
      </c>
      <c r="NG7" t="s">
        <v>12602</v>
      </c>
      <c r="NL7" t="s">
        <v>10660</v>
      </c>
      <c r="OA7" t="s">
        <v>12791</v>
      </c>
      <c r="OF7" t="s">
        <v>12455</v>
      </c>
    </row>
    <row r="8" spans="1:396" x14ac:dyDescent="0.25">
      <c r="K8" t="s">
        <v>2785</v>
      </c>
      <c r="P8" t="s">
        <v>51</v>
      </c>
      <c r="AO8" t="s">
        <v>12753</v>
      </c>
      <c r="AT8" t="s">
        <v>1267</v>
      </c>
      <c r="AY8" t="s">
        <v>371</v>
      </c>
      <c r="BD8" t="s">
        <v>11281</v>
      </c>
      <c r="CM8" t="s">
        <v>11411</v>
      </c>
      <c r="CR8" t="s">
        <v>10658</v>
      </c>
      <c r="DB8" t="s">
        <v>12635</v>
      </c>
      <c r="EA8" t="s">
        <v>4475</v>
      </c>
      <c r="EF8" t="s">
        <v>1363</v>
      </c>
      <c r="FE8" t="s">
        <v>10851</v>
      </c>
      <c r="FY8" t="s">
        <v>1081</v>
      </c>
      <c r="GD8" t="s">
        <v>5248</v>
      </c>
      <c r="GS8" t="s">
        <v>2881</v>
      </c>
      <c r="GX8" t="s">
        <v>6473</v>
      </c>
      <c r="IQ8" t="s">
        <v>11089</v>
      </c>
      <c r="IV8" t="s">
        <v>11183</v>
      </c>
      <c r="JF8" t="s">
        <v>10986</v>
      </c>
      <c r="JK8" t="s">
        <v>12086</v>
      </c>
      <c r="JP8" t="s">
        <v>385</v>
      </c>
      <c r="JU8" t="s">
        <v>12631</v>
      </c>
      <c r="JZ8" t="s">
        <v>4045</v>
      </c>
      <c r="KE8" t="s">
        <v>12540</v>
      </c>
      <c r="KJ8" t="s">
        <v>11597</v>
      </c>
      <c r="KO8" t="s">
        <v>1548</v>
      </c>
      <c r="KT8" t="s">
        <v>3340</v>
      </c>
      <c r="KY8" t="s">
        <v>5325</v>
      </c>
      <c r="LD8" t="s">
        <v>279</v>
      </c>
      <c r="LI8" t="s">
        <v>12828</v>
      </c>
      <c r="LN8" t="s">
        <v>12808</v>
      </c>
      <c r="LS8" t="s">
        <v>682</v>
      </c>
      <c r="MC8" t="s">
        <v>12707</v>
      </c>
      <c r="MH8" t="s">
        <v>12293</v>
      </c>
      <c r="NG8" t="s">
        <v>6237</v>
      </c>
      <c r="NL8" t="s">
        <v>11687</v>
      </c>
      <c r="OA8" t="s">
        <v>6724</v>
      </c>
      <c r="OF8" t="s">
        <v>10987</v>
      </c>
    </row>
    <row r="9" spans="1:396" x14ac:dyDescent="0.25">
      <c r="K9" t="s">
        <v>772</v>
      </c>
      <c r="P9" t="s">
        <v>12323</v>
      </c>
      <c r="AO9" t="s">
        <v>12754</v>
      </c>
      <c r="AT9" t="s">
        <v>383</v>
      </c>
      <c r="AY9" t="s">
        <v>10940</v>
      </c>
      <c r="BD9" t="s">
        <v>68</v>
      </c>
      <c r="CM9" t="s">
        <v>4898</v>
      </c>
      <c r="CR9" t="s">
        <v>11566</v>
      </c>
      <c r="DB9" t="s">
        <v>12636</v>
      </c>
      <c r="EA9" t="s">
        <v>10738</v>
      </c>
      <c r="EF9" t="s">
        <v>42</v>
      </c>
      <c r="FE9" t="s">
        <v>10977</v>
      </c>
      <c r="FY9" t="s">
        <v>11379</v>
      </c>
      <c r="GD9" t="s">
        <v>11325</v>
      </c>
      <c r="GS9" t="s">
        <v>10853</v>
      </c>
      <c r="GX9" t="s">
        <v>969</v>
      </c>
      <c r="IQ9" t="s">
        <v>10853</v>
      </c>
      <c r="IV9" t="s">
        <v>266</v>
      </c>
      <c r="JF9" t="s">
        <v>10918</v>
      </c>
      <c r="JK9" t="s">
        <v>12370</v>
      </c>
      <c r="JP9" t="s">
        <v>1468</v>
      </c>
      <c r="JU9" t="s">
        <v>11151</v>
      </c>
      <c r="JZ9" t="s">
        <v>12613</v>
      </c>
      <c r="KE9" t="s">
        <v>12541</v>
      </c>
      <c r="KJ9" t="s">
        <v>11810</v>
      </c>
      <c r="KO9" t="s">
        <v>10877</v>
      </c>
      <c r="KT9" t="s">
        <v>11174</v>
      </c>
      <c r="KY9" t="s">
        <v>12465</v>
      </c>
      <c r="LD9" t="s">
        <v>12143</v>
      </c>
      <c r="LI9" t="s">
        <v>482</v>
      </c>
      <c r="LN9" t="s">
        <v>12809</v>
      </c>
      <c r="LS9" t="s">
        <v>12787</v>
      </c>
      <c r="MC9" t="s">
        <v>12084</v>
      </c>
      <c r="MH9" t="s">
        <v>12976</v>
      </c>
      <c r="NG9" t="s">
        <v>12603</v>
      </c>
      <c r="NL9" t="s">
        <v>10787</v>
      </c>
      <c r="OA9" t="s">
        <v>7384</v>
      </c>
      <c r="OF9" t="s">
        <v>10892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3474</v>
      </c>
      <c r="K1" s="1" t="s">
        <v>3475</v>
      </c>
      <c r="U1" s="1" t="s">
        <v>3476</v>
      </c>
      <c r="AE1" s="1" t="s">
        <v>3477</v>
      </c>
      <c r="AO1" s="1" t="s">
        <v>3478</v>
      </c>
      <c r="AY1" s="1" t="s">
        <v>3479</v>
      </c>
      <c r="BI1" s="1" t="s">
        <v>3480</v>
      </c>
      <c r="BS1" s="1" t="s">
        <v>3481</v>
      </c>
      <c r="CC1" s="1" t="s">
        <v>3482</v>
      </c>
      <c r="CM1" s="1" t="s">
        <v>3483</v>
      </c>
      <c r="CW1" s="1" t="s">
        <v>3484</v>
      </c>
      <c r="DG1" s="1" t="s">
        <v>3485</v>
      </c>
      <c r="DQ1" s="1" t="s">
        <v>3486</v>
      </c>
      <c r="EA1" s="1" t="s">
        <v>3487</v>
      </c>
      <c r="EK1" s="1" t="s">
        <v>3488</v>
      </c>
      <c r="EU1" s="1" t="s">
        <v>3489</v>
      </c>
      <c r="FE1" s="1" t="s">
        <v>3490</v>
      </c>
      <c r="FO1" s="1" t="s">
        <v>3491</v>
      </c>
      <c r="FY1" s="1" t="s">
        <v>3492</v>
      </c>
      <c r="GI1" s="1" t="s">
        <v>3493</v>
      </c>
      <c r="GS1" s="1" t="s">
        <v>3494</v>
      </c>
      <c r="HC1" s="1" t="s">
        <v>3495</v>
      </c>
      <c r="HM1" s="1" t="s">
        <v>3496</v>
      </c>
      <c r="HW1" s="1" t="s">
        <v>3497</v>
      </c>
      <c r="IG1" s="1" t="s">
        <v>3498</v>
      </c>
      <c r="IQ1" s="1" t="s">
        <v>3499</v>
      </c>
      <c r="JA1" s="1" t="s">
        <v>3500</v>
      </c>
      <c r="JK1" s="1" t="s">
        <v>3501</v>
      </c>
      <c r="JU1" s="1" t="s">
        <v>3502</v>
      </c>
      <c r="KE1" s="1" t="s">
        <v>3503</v>
      </c>
      <c r="KO1" s="1" t="s">
        <v>3504</v>
      </c>
      <c r="KY1" s="1" t="s">
        <v>3505</v>
      </c>
      <c r="LI1" s="1" t="s">
        <v>3506</v>
      </c>
      <c r="LS1" s="1" t="s">
        <v>3507</v>
      </c>
      <c r="MC1" s="1" t="s">
        <v>3508</v>
      </c>
      <c r="MM1" s="1" t="s">
        <v>3509</v>
      </c>
      <c r="MW1" s="1" t="s">
        <v>3510</v>
      </c>
      <c r="NG1" s="1" t="s">
        <v>3511</v>
      </c>
      <c r="NQ1" s="1" t="s">
        <v>3512</v>
      </c>
      <c r="OA1" s="1" t="s">
        <v>3513</v>
      </c>
    </row>
    <row r="2" spans="1:396" x14ac:dyDescent="0.25">
      <c r="A2" s="2" t="s">
        <v>55</v>
      </c>
      <c r="K2" s="2" t="s">
        <v>3514</v>
      </c>
      <c r="U2" s="2" t="s">
        <v>3515</v>
      </c>
      <c r="AE2" s="2" t="s">
        <v>65</v>
      </c>
      <c r="AO2" s="2" t="s">
        <v>3516</v>
      </c>
      <c r="AY2" s="2" t="s">
        <v>2880</v>
      </c>
      <c r="BI2" s="2" t="s">
        <v>3517</v>
      </c>
      <c r="BS2" s="2" t="s">
        <v>1164</v>
      </c>
      <c r="CC2" s="2" t="s">
        <v>486</v>
      </c>
      <c r="CM2" s="2" t="s">
        <v>2706</v>
      </c>
      <c r="CW2" s="2" t="s">
        <v>368</v>
      </c>
      <c r="DG2" s="2" t="s">
        <v>3518</v>
      </c>
      <c r="DQ2" s="2" t="s">
        <v>2398</v>
      </c>
      <c r="EA2" s="2" t="s">
        <v>3519</v>
      </c>
      <c r="EK2" s="2" t="s">
        <v>3520</v>
      </c>
      <c r="EU2" s="2" t="s">
        <v>472</v>
      </c>
      <c r="FE2" s="2" t="s">
        <v>2888</v>
      </c>
      <c r="FO2" s="2" t="s">
        <v>3521</v>
      </c>
      <c r="FY2" s="2" t="s">
        <v>3522</v>
      </c>
      <c r="GI2" s="2" t="s">
        <v>3523</v>
      </c>
      <c r="GS2" s="2" t="s">
        <v>3524</v>
      </c>
      <c r="HC2" s="2" t="s">
        <v>3525</v>
      </c>
      <c r="HM2" s="2" t="s">
        <v>3526</v>
      </c>
      <c r="HW2" s="2" t="s">
        <v>3527</v>
      </c>
      <c r="IG2" s="2" t="s">
        <v>1751</v>
      </c>
      <c r="IQ2" s="2" t="s">
        <v>3528</v>
      </c>
      <c r="JA2" s="2" t="s">
        <v>3529</v>
      </c>
      <c r="JK2" s="2" t="s">
        <v>3530</v>
      </c>
      <c r="JU2" s="2" t="s">
        <v>3531</v>
      </c>
      <c r="KE2" s="2" t="s">
        <v>3532</v>
      </c>
      <c r="KO2" s="2" t="s">
        <v>1547</v>
      </c>
      <c r="KY2" s="2" t="s">
        <v>3533</v>
      </c>
      <c r="LI2" s="2" t="s">
        <v>3534</v>
      </c>
      <c r="LS2" s="2" t="s">
        <v>3535</v>
      </c>
      <c r="MC2" s="2" t="s">
        <v>3432</v>
      </c>
      <c r="MM2" s="2" t="s">
        <v>2305</v>
      </c>
      <c r="MW2" s="2" t="s">
        <v>3536</v>
      </c>
      <c r="NG2" s="2" t="s">
        <v>3537</v>
      </c>
      <c r="NQ2" s="2" t="s">
        <v>3538</v>
      </c>
      <c r="OA2" s="2" t="s">
        <v>2686</v>
      </c>
    </row>
    <row r="3" spans="1:396" x14ac:dyDescent="0.25">
      <c r="A3" t="s">
        <v>3539</v>
      </c>
      <c r="K3" t="s">
        <v>2983</v>
      </c>
      <c r="U3" t="s">
        <v>3540</v>
      </c>
      <c r="AE3" t="s">
        <v>1855</v>
      </c>
      <c r="AO3" t="s">
        <v>3541</v>
      </c>
      <c r="AY3" t="s">
        <v>3542</v>
      </c>
      <c r="BI3" t="s">
        <v>3543</v>
      </c>
      <c r="BS3" t="s">
        <v>3544</v>
      </c>
      <c r="CC3" t="s">
        <v>3545</v>
      </c>
      <c r="CM3" t="s">
        <v>3546</v>
      </c>
      <c r="CW3" t="s">
        <v>3547</v>
      </c>
      <c r="DG3" t="s">
        <v>3548</v>
      </c>
      <c r="DQ3" t="s">
        <v>3549</v>
      </c>
      <c r="EA3" t="s">
        <v>2817</v>
      </c>
      <c r="EK3" t="s">
        <v>3550</v>
      </c>
      <c r="EU3" t="s">
        <v>2059</v>
      </c>
      <c r="FE3" t="s">
        <v>3551</v>
      </c>
      <c r="FO3" t="s">
        <v>1294</v>
      </c>
      <c r="FY3" t="s">
        <v>3552</v>
      </c>
      <c r="GI3" t="s">
        <v>3553</v>
      </c>
      <c r="GS3" t="s">
        <v>197</v>
      </c>
      <c r="HC3" t="s">
        <v>3554</v>
      </c>
      <c r="HM3" t="s">
        <v>3555</v>
      </c>
      <c r="HW3" t="s">
        <v>1392</v>
      </c>
      <c r="IG3" t="s">
        <v>496</v>
      </c>
      <c r="IQ3" t="s">
        <v>3556</v>
      </c>
      <c r="JA3" t="s">
        <v>3557</v>
      </c>
      <c r="JK3" t="s">
        <v>1216</v>
      </c>
      <c r="JU3" t="s">
        <v>3558</v>
      </c>
      <c r="KE3" t="s">
        <v>1290</v>
      </c>
      <c r="KO3" t="s">
        <v>2248</v>
      </c>
      <c r="KY3" t="s">
        <v>3559</v>
      </c>
      <c r="LI3" t="s">
        <v>1860</v>
      </c>
      <c r="LS3" t="s">
        <v>3560</v>
      </c>
      <c r="MC3" t="s">
        <v>3561</v>
      </c>
      <c r="MM3" t="s">
        <v>3562</v>
      </c>
      <c r="MW3" t="s">
        <v>3563</v>
      </c>
      <c r="NG3" t="s">
        <v>3564</v>
      </c>
      <c r="NQ3" t="s">
        <v>813</v>
      </c>
      <c r="OA3" t="s">
        <v>3565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_xll.BDS("AGN US Equity","SUPPLY_CHAIN_SUPPLIERS","RELATIONSHIP_AS_OF_DATE","20000525","cols=1;rows=5")</f>
        <v>AEE US Equity</v>
      </c>
      <c r="F5" t="str">
        <f>_xll.BDS("AGN US Equity","SUPPLY_CHAIN_CUSTOMERS","RELATIONSHIP_AS_OF_DATE","20000525")</f>
        <v>4569 JP Equity</v>
      </c>
      <c r="K5" t="str">
        <f>_xll.BDS("AVNT US Equity","SUPPLY_CHAIN_SUPPLIERS","RELATIONSHIP_AS_OF_DATE","20000508","cols=1;rows=5")</f>
        <v>DOW US Equity</v>
      </c>
      <c r="P5" t="str">
        <f>_xll.BDS("AVNT US Equity","SUPPLY_CHAIN_CUSTOMERS","RELATIONSHIP_AS_OF_DATE","20000508","cols=1;rows=5")</f>
        <v>TSLA US Equity</v>
      </c>
      <c r="U5" t="str">
        <f>_xll.BDS("GTIV US Equity","SUPPLY_CHAIN_SUPPLIERS","RELATIONSHIP_AS_OF_DATE","20100524")</f>
        <v>#N/A N/A</v>
      </c>
      <c r="Z5" t="str">
        <f>_xll.BDS("GTIV US Equity","SUPPLY_CHAIN_CUSTOMERS","RELATIONSHIP_AS_OF_DATE","20100524")</f>
        <v>#N/A N/A</v>
      </c>
      <c r="AE5" t="str">
        <f>_xll.BDS("MRK US Equity","SUPPLY_CHAIN_SUPPLIERS","RELATIONSHIP_AS_OF_DATE","20061030","cols=1;rows=5")</f>
        <v>AZN LN Equity</v>
      </c>
      <c r="AJ5" t="str">
        <f>_xll.BDS("MRK US Equity","SUPPLY_CHAIN_CUSTOMERS","RELATIONSHIP_AS_OF_DATE","20061030","cols=1;rows=5")</f>
        <v>COR US Equity</v>
      </c>
      <c r="AO5" t="str">
        <f>_xll.BDS("1545746D US Equity","SUPPLY_CHAIN_SUPPLIERS","RELATIONSHIP_AS_OF_DATE","19990602")</f>
        <v>#N/A N/A</v>
      </c>
      <c r="AT5" t="str">
        <f>_xll.BDS("1545746D US Equity","SUPPLY_CHAIN_CUSTOMERS","RELATIONSHIP_AS_OF_DATE","19990602")</f>
        <v>#N/A N/A</v>
      </c>
      <c r="AY5" t="str">
        <f>_xll.BDS("PCH US Equity","SUPPLY_CHAIN_SUPPLIERS","RELATIONSHIP_AS_OF_DATE","20220531")</f>
        <v>ETR US Equity</v>
      </c>
      <c r="BD5" t="str">
        <f>_xll.BDS("PCH US Equity","SUPPLY_CHAIN_CUSTOMERS","RELATIONSHIP_AS_OF_DATE","20220531")</f>
        <v>TTI US Equity</v>
      </c>
      <c r="BI5" t="str">
        <f>_xll.BDS("MKL US Equity","SUPPLY_CHAIN_SUPPLIERS","RELATIONSHIP_AS_OF_DATE","20170726","cols=1;rows=2")</f>
        <v>ABL NO Equity</v>
      </c>
      <c r="BN5" t="str">
        <f>_xll.BDS("MKL US Equity","SUPPLY_CHAIN_CUSTOMERS","RELATIONSHIP_AS_OF_DATE","20170726","cols=1;rows=2")</f>
        <v>005380 KS Equity</v>
      </c>
      <c r="BS5" t="str">
        <f>_xll.BDS("GE US Equity","SUPPLY_CHAIN_SUPPLIERS","RELATIONSHIP_AS_OF_DATE","20080724","cols=1;rows=5")</f>
        <v>SAF FP Equity</v>
      </c>
      <c r="BX5" t="str">
        <f>_xll.BDS("GE US Equity","SUPPLY_CHAIN_CUSTOMERS","RELATIONSHIP_AS_OF_DATE","20080724","cols=1;rows=5")</f>
        <v>3352Z US Equity</v>
      </c>
      <c r="CC5" t="str">
        <f>_xll.BDS("BPYU US Equity","SUPPLY_CHAIN_SUPPLIERS","RELATIONSHIP_AS_OF_DATE","20020304")</f>
        <v>#N/A N/A</v>
      </c>
      <c r="CH5" t="str">
        <f>_xll.BDS("BPYU US Equity","SUPPLY_CHAIN_CUSTOMERS","RELATIONSHIP_AS_OF_DATE","20020304")</f>
        <v>#N/A N/A</v>
      </c>
      <c r="CM5" t="str">
        <f>_xll.BDS("WSFS US Equity","SUPPLY_CHAIN_SUPPLIERS","RELATIONSHIP_AS_OF_DATE","20210310")</f>
        <v>1748433D US Equity</v>
      </c>
      <c r="CR5" t="str">
        <f>_xll.BDS("WSFS US Equity","SUPPLY_CHAIN_CUSTOMERS","RELATIONSHIP_AS_OF_DATE","20210310")</f>
        <v>#N/A N/A</v>
      </c>
      <c r="CW5" t="str">
        <f>_xll.BDS("JNJ US Equity","SUPPLY_CHAIN_SUPPLIERS","RELATIONSHIP_AS_OF_DATE","20090522","cols=1;rows=5")</f>
        <v>GMAB DC Equity</v>
      </c>
      <c r="DB5" t="str">
        <f>_xll.BDS("JNJ US Equity","SUPPLY_CHAIN_CUSTOMERS","RELATIONSHIP_AS_OF_DATE","20090522","cols=1;rows=5")</f>
        <v>MCK US Equity</v>
      </c>
      <c r="DG5" t="str">
        <f>_xll.BDS("9991735D US Equity","SUPPLY_CHAIN_SUPPLIERS","RELATIONSHIP_AS_OF_DATE","20160920")</f>
        <v>#N/A N/A</v>
      </c>
      <c r="DL5" t="str">
        <f>_xll.BDS("9991735D US Equity","SUPPLY_CHAIN_CUSTOMERS","RELATIONSHIP_AS_OF_DATE","20160920")</f>
        <v>#N/A N/A</v>
      </c>
      <c r="DQ5" t="str">
        <f>_xll.BDS("URI US Equity","SUPPLY_CHAIN_SUPPLIERS","RELATIONSHIP_AS_OF_DATE","19980616","cols=1;rows=5")</f>
        <v>DE US Equity</v>
      </c>
      <c r="DV5" t="str">
        <f>_xll.BDS("URI US Equity","SUPPLY_CHAIN_CUSTOMERS","RELATIONSHIP_AS_OF_DATE","19980616","cols=1;rows=5")</f>
        <v>OSK US Equity</v>
      </c>
      <c r="EA5" t="str">
        <f>_xll.BDS("AVT US Equity","SUPPLY_CHAIN_SUPPLIERS","RELATIONSHIP_AS_OF_DATE","19990628","cols=1;rows=5")</f>
        <v>NXPI US Equity</v>
      </c>
      <c r="EF5" t="str">
        <f>_xll.BDS("AVT US Equity","SUPPLY_CHAIN_CUSTOMERS","RELATIONSHIP_AS_OF_DATE","19990628","cols=1;rows=5")</f>
        <v>005930 KS Equity</v>
      </c>
      <c r="EK5" t="str">
        <f>_xll.BDS("RJF US Equity","SUPPLY_CHAIN_SUPPLIERS","RELATIONSHIP_AS_OF_DATE","20211020","cols=1;rows=5")</f>
        <v>BFS US Equity</v>
      </c>
      <c r="EP5" t="str">
        <f>_xll.BDS("RJF US Equity","SUPPLY_CHAIN_CUSTOMERS","RELATIONSHIP_AS_OF_DATE","20211020")</f>
        <v>#N/A N/A</v>
      </c>
      <c r="EU5" t="str">
        <f>_xll.BDS("UNH US Equity","SUPPLY_CHAIN_SUPPLIERS","RELATIONSHIP_AS_OF_DATE","20191209","cols=1;rows=5")</f>
        <v>VRTX US Equity</v>
      </c>
      <c r="EZ5" t="str">
        <f>_xll.BDS("UNH US Equity","SUPPLY_CHAIN_CUSTOMERS","RELATIONSHIP_AS_OF_DATE","20191209","cols=1;rows=5")</f>
        <v>9877893Z US Equity</v>
      </c>
      <c r="FE5" t="str">
        <f>_xll.BDS("502466Q US Equity","SUPPLY_CHAIN_SUPPLIERS","RELATIONSHIP_AS_OF_DATE","20030603")</f>
        <v>#N/A N/A</v>
      </c>
      <c r="FJ5" t="str">
        <f>_xll.BDS("502466Q US Equity","SUPPLY_CHAIN_CUSTOMERS","RELATIONSHIP_AS_OF_DATE","20030603")</f>
        <v>#N/A N/A</v>
      </c>
      <c r="FO5" t="str">
        <f>_xll.BDS("1544866D US Equity","SUPPLY_CHAIN_SUPPLIERS","RELATIONSHIP_AS_OF_DATE","20010829")</f>
        <v>#N/A N/A</v>
      </c>
      <c r="FT5" t="str">
        <f>_xll.BDS("1544866D US Equity","SUPPLY_CHAIN_CUSTOMERS","RELATIONSHIP_AS_OF_DATE","20010829")</f>
        <v>#N/A N/A</v>
      </c>
      <c r="FY5" t="str">
        <f>_xll.BDS("DGX US Equity","SUPPLY_CHAIN_SUPPLIERS","RELATIONSHIP_AS_OF_DATE","20050808","cols=1;rows=5")</f>
        <v>PLUS US Equity</v>
      </c>
      <c r="GD5" t="str">
        <f>_xll.BDS("DGX US Equity","SUPPLY_CHAIN_CUSTOMERS","RELATIONSHIP_AS_OF_DATE","20050808","cols=1;rows=5")</f>
        <v>950220 KS Equity</v>
      </c>
      <c r="GI5" t="str">
        <f>_xll.BDS("SJM US Equity","SUPPLY_CHAIN_SUPPLIERS","RELATIONSHIP_AS_OF_DATE","20040308","cols=1;rows=5")</f>
        <v>KDP US Equity</v>
      </c>
      <c r="GN5" t="str">
        <f>_xll.BDS("SJM US Equity","SUPPLY_CHAIN_CUSTOMERS","RELATIONSHIP_AS_OF_DATE","20040308","cols=1;rows=5")</f>
        <v>WMT US Equity</v>
      </c>
      <c r="GS5" t="str">
        <f>_xll.BDS("9990721D US Equity","SUPPLY_CHAIN_SUPPLIERS","RELATIONSHIP_AS_OF_DATE","19980608")</f>
        <v>#N/A N/A</v>
      </c>
      <c r="GX5" t="str">
        <f>_xll.BDS("9990721D US Equity","SUPPLY_CHAIN_CUSTOMERS","RELATIONSHIP_AS_OF_DATE","19980608")</f>
        <v>#N/A N/A</v>
      </c>
      <c r="HC5" t="str">
        <f>_xll.BDS("SWN US Equity","SUPPLY_CHAIN_SUPPLIERS","RELATIONSHIP_AS_OF_DATE","20200812","cols=1;rows=5")</f>
        <v>848936Z US Equity</v>
      </c>
      <c r="HH5" t="str">
        <f>_xll.BDS("SWN US Equity","SUPPLY_CHAIN_CUSTOMERS","RELATIONSHIP_AS_OF_DATE","20200812")</f>
        <v>UN0 GR Equity</v>
      </c>
      <c r="HM5" t="str">
        <f>_xll.BDS("HOMB US Equity","SUPPLY_CHAIN_SUPPLIERS","RELATIONSHIP_AS_OF_DATE","20170327")</f>
        <v>GWI LN Equity</v>
      </c>
      <c r="HR5" t="str">
        <f>_xll.BDS("HOMB US Equity","SUPPLY_CHAIN_CUSTOMERS","RELATIONSHIP_AS_OF_DATE","20170327")</f>
        <v>#N/A N/A</v>
      </c>
      <c r="HW5" t="str">
        <f>_xll.BDS("SIVBQ US Equity","SUPPLY_CHAIN_SUPPLIERS","RELATIONSHIP_AS_OF_DATE","20210104","cols=1;rows=2")</f>
        <v>CUZ US Equity</v>
      </c>
      <c r="IB5" t="str">
        <f>_xll.BDS("SIVBQ US Equity","SUPPLY_CHAIN_CUSTOMERS","RELATIONSHIP_AS_OF_DATE","20210104")</f>
        <v>#N/A N/A</v>
      </c>
      <c r="IG5" t="str">
        <f>_xll.BDS("HZNP US Equity","SUPPLY_CHAIN_SUPPLIERS","RELATIONSHIP_AS_OF_DATE","20150330","cols=1;rows=5")</f>
        <v>0217032D US Equity</v>
      </c>
      <c r="IL5" t="str">
        <f>_xll.BDS("HZNP US Equity","SUPPLY_CHAIN_CUSTOMERS","RELATIONSHIP_AS_OF_DATE","20150330","cols=1;rows=5")</f>
        <v>1789 TT Equity</v>
      </c>
      <c r="IQ5" t="str">
        <f>_xll.BDS("EBC US Equity","SUPPLY_CHAIN_SUPPLIERS","RELATIONSHIP_AS_OF_DATE","20210408")</f>
        <v>#N/A N/A</v>
      </c>
      <c r="IV5" t="str">
        <f>_xll.BDS("EBC US Equity","SUPPLY_CHAIN_CUSTOMERS","RELATIONSHIP_AS_OF_DATE","20210408")</f>
        <v>#N/A N/A</v>
      </c>
      <c r="JA5" t="str">
        <f>_xll.BDS("WLTGQ US Equity","SUPPLY_CHAIN_SUPPLIERS","RELATIONSHIP_AS_OF_DATE","20050619")</f>
        <v>#N/A N/A</v>
      </c>
      <c r="JF5" t="str">
        <f>_xll.BDS("WLTGQ US Equity","SUPPLY_CHAIN_CUSTOMERS","RELATIONSHIP_AS_OF_DATE","20050619")</f>
        <v>#N/A N/A</v>
      </c>
      <c r="JK5" t="str">
        <f>_xll.BDS("CVBF US Equity","SUPPLY_CHAIN_SUPPLIERS","RELATIONSHIP_AS_OF_DATE","20180226")</f>
        <v>#N/A N/A</v>
      </c>
      <c r="JP5" t="str">
        <f>_xll.BDS("CVBF US Equity","SUPPLY_CHAIN_CUSTOMERS","RELATIONSHIP_AS_OF_DATE","20180226")</f>
        <v>#N/A N/A</v>
      </c>
      <c r="JU5" t="str">
        <f>_xll.BDS("244630Q US Equity","SUPPLY_CHAIN_SUPPLIERS","RELATIONSHIP_AS_OF_DATE","19980928")</f>
        <v>#N/A N/A</v>
      </c>
      <c r="JZ5" t="str">
        <f>_xll.BDS("244630Q US Equity","SUPPLY_CHAIN_CUSTOMERS","RELATIONSHIP_AS_OF_DATE","19980928")</f>
        <v>#N/A N/A</v>
      </c>
      <c r="KE5" t="str">
        <f>_xll.BDS("PSS US Equity","SUPPLY_CHAIN_SUPPLIERS","RELATIONSHIP_AS_OF_DATE","20070522")</f>
        <v>#N/A N/A</v>
      </c>
      <c r="KJ5" t="str">
        <f>_xll.BDS("PSS US Equity","SUPPLY_CHAIN_CUSTOMERS","RELATIONSHIP_AS_OF_DATE","20070522","cols=1;rows=2")</f>
        <v>MAPA IJ Equity</v>
      </c>
      <c r="KO5" t="str">
        <f>_xll.BDS("1683997D US Equity","SUPPLY_CHAIN_SUPPLIERS","RELATIONSHIP_AS_OF_DATE","20101213")</f>
        <v>#N/A N/A</v>
      </c>
      <c r="KT5" t="str">
        <f>_xll.BDS("1683997D US Equity","SUPPLY_CHAIN_CUSTOMERS","RELATIONSHIP_AS_OF_DATE","20101213")</f>
        <v>#N/A N/A</v>
      </c>
      <c r="KY5" t="str">
        <f>_xll.BDS("EQIX US Equity","SUPPLY_CHAIN_SUPPLIERS","RELATIONSHIP_AS_OF_DATE","20091021","cols=1;rows=5")</f>
        <v>BE US Equity</v>
      </c>
      <c r="LD5" t="str">
        <f>_xll.BDS("EQIX US Equity","SUPPLY_CHAIN_CUSTOMERS","RELATIONSHIP_AS_OF_DATE","20091021","cols=1;rows=5")</f>
        <v>941 HK Equity</v>
      </c>
      <c r="LI5" t="str">
        <f>_xll.BDS("BMC US Equity","SUPPLY_CHAIN_SUPPLIERS","RELATIONSHIP_AS_OF_DATE","19981102")</f>
        <v>AMZN US Equity</v>
      </c>
      <c r="LN5" t="str">
        <f>_xll.BDS("BMC US Equity","SUPPLY_CHAIN_CUSTOMERS","RELATIONSHIP_AS_OF_DATE","19981102")</f>
        <v>#N/A N/A</v>
      </c>
      <c r="LS5" t="str">
        <f>_xll.BDS("4612775Q US Equity","SUPPLY_CHAIN_SUPPLIERS","RELATIONSHIP_AS_OF_DATE","19980630")</f>
        <v>#N/A N/A</v>
      </c>
      <c r="LX5" t="str">
        <f>_xll.BDS("4612775Q US Equity","SUPPLY_CHAIN_CUSTOMERS","RELATIONSHIP_AS_OF_DATE","19980630")</f>
        <v>#N/A N/A</v>
      </c>
      <c r="MC5" t="str">
        <f>_xll.BDS("TLAB US Equity","SUPPLY_CHAIN_SUPPLIERS","RELATIONSHIP_AS_OF_DATE","20040520")</f>
        <v>#N/A N/A</v>
      </c>
      <c r="MH5" t="str">
        <f>_xll.BDS("TLAB US Equity","SUPPLY_CHAIN_CUSTOMERS","RELATIONSHIP_AS_OF_DATE","20040520")</f>
        <v>#N/A N/A</v>
      </c>
      <c r="MM5" t="str">
        <f>_xll.BDS("ASNAQ US Equity","SUPPLY_CHAIN_SUPPLIERS","RELATIONSHIP_AS_OF_DATE","20120502","cols=1;rows=4")</f>
        <v>AEP US Equity</v>
      </c>
      <c r="MR5" t="str">
        <f>_xll.BDS("ASNAQ US Equity","SUPPLY_CHAIN_CUSTOMERS","RELATIONSHIP_AS_OF_DATE","20120502")</f>
        <v>#N/A N/A</v>
      </c>
      <c r="MW5" t="str">
        <f>_xll.BDS("MFIC US Equity","SUPPLY_CHAIN_SUPPLIERS","RELATIONSHIP_AS_OF_DATE","20070416")</f>
        <v>EMBJ3 BZ Equity</v>
      </c>
      <c r="NB5" t="str">
        <f>_xll.BDS("MFIC US Equity","SUPPLY_CHAIN_CUSTOMERS","RELATIONSHIP_AS_OF_DATE","20070416")</f>
        <v>#N/A N/A</v>
      </c>
      <c r="NG5" t="str">
        <f>_xll.BDS("ESVNQ US Equity","SUPPLY_CHAIN_SUPPLIERS","RELATIONSHIP_AS_OF_DATE","19991103")</f>
        <v>#N/A N/A</v>
      </c>
      <c r="NL5" t="str">
        <f>_xll.BDS("ESVNQ US Equity","SUPPLY_CHAIN_CUSTOMERS","RELATIONSHIP_AS_OF_DATE","19991103")</f>
        <v>#N/A N/A</v>
      </c>
      <c r="NQ5" t="str">
        <f>_xll.BDS("116777Q US Equity","SUPPLY_CHAIN_SUPPLIERS","RELATIONSHIP_AS_OF_DATE","20000313")</f>
        <v>#N/A N/A</v>
      </c>
      <c r="NV5" t="str">
        <f>_xll.BDS("116777Q US Equity","SUPPLY_CHAIN_CUSTOMERS","RELATIONSHIP_AS_OF_DATE","20000313")</f>
        <v>#N/A N/A</v>
      </c>
      <c r="OA5" t="str">
        <f>_xll.BDS("GMH US Equity","SUPPLY_CHAIN_SUPPLIERS","RELATIONSHIP_AS_OF_DATE","19980501")</f>
        <v>#N/A N/A</v>
      </c>
      <c r="OF5" t="str">
        <f>_xll.BDS("GMH US Equity","SUPPLY_CHAIN_CUSTOMERS","RELATIONSHIP_AS_OF_DATE","19980501")</f>
        <v>#N/A N/A</v>
      </c>
    </row>
    <row r="6" spans="1:396" x14ac:dyDescent="0.25">
      <c r="A6" t="s">
        <v>10696</v>
      </c>
      <c r="K6" t="s">
        <v>11584</v>
      </c>
      <c r="P6" t="s">
        <v>5248</v>
      </c>
      <c r="AE6" t="s">
        <v>368</v>
      </c>
      <c r="AJ6" t="s">
        <v>385</v>
      </c>
      <c r="BI6" t="s">
        <v>11739</v>
      </c>
      <c r="BN6" t="s">
        <v>5068</v>
      </c>
      <c r="BS6" t="s">
        <v>11008</v>
      </c>
      <c r="BX6" t="s">
        <v>1363</v>
      </c>
      <c r="CW6" t="s">
        <v>10735</v>
      </c>
      <c r="DB6" t="s">
        <v>1468</v>
      </c>
      <c r="DQ6" t="s">
        <v>4570</v>
      </c>
      <c r="DV6" t="s">
        <v>12443</v>
      </c>
      <c r="EA6" t="s">
        <v>10853</v>
      </c>
      <c r="EF6" t="s">
        <v>10893</v>
      </c>
      <c r="EK6" t="s">
        <v>10710</v>
      </c>
      <c r="EU6" t="s">
        <v>10846</v>
      </c>
      <c r="EZ6" t="s">
        <v>10657</v>
      </c>
      <c r="FY6" t="s">
        <v>10829</v>
      </c>
      <c r="GD6" t="s">
        <v>10753</v>
      </c>
      <c r="GI6" t="s">
        <v>10978</v>
      </c>
      <c r="GN6" t="s">
        <v>10805</v>
      </c>
      <c r="HC6" t="s">
        <v>12780</v>
      </c>
      <c r="HW6" t="s">
        <v>12542</v>
      </c>
      <c r="IG6" t="s">
        <v>10691</v>
      </c>
      <c r="IL6" t="s">
        <v>12840</v>
      </c>
      <c r="KJ6" t="s">
        <v>10994</v>
      </c>
      <c r="KY6" t="s">
        <v>967</v>
      </c>
      <c r="LD6" t="s">
        <v>12548</v>
      </c>
      <c r="MM6" t="s">
        <v>260</v>
      </c>
    </row>
    <row r="7" spans="1:396" x14ac:dyDescent="0.25">
      <c r="A7" t="s">
        <v>1265</v>
      </c>
      <c r="K7" t="s">
        <v>11345</v>
      </c>
      <c r="P7" t="s">
        <v>11117</v>
      </c>
      <c r="AE7" t="s">
        <v>11467</v>
      </c>
      <c r="AJ7" t="s">
        <v>970</v>
      </c>
      <c r="BS7" t="s">
        <v>11009</v>
      </c>
      <c r="BX7" t="s">
        <v>10939</v>
      </c>
      <c r="CW7" t="s">
        <v>45</v>
      </c>
      <c r="DB7" t="s">
        <v>970</v>
      </c>
      <c r="DQ7" t="s">
        <v>12487</v>
      </c>
      <c r="DV7" t="s">
        <v>12444</v>
      </c>
      <c r="EA7" t="s">
        <v>162</v>
      </c>
      <c r="EF7" t="s">
        <v>10894</v>
      </c>
      <c r="EK7" t="s">
        <v>12596</v>
      </c>
      <c r="EU7" t="s">
        <v>10834</v>
      </c>
      <c r="EZ7" t="s">
        <v>165</v>
      </c>
      <c r="FY7" t="s">
        <v>10830</v>
      </c>
      <c r="GD7" t="s">
        <v>10754</v>
      </c>
      <c r="GI7" t="s">
        <v>171</v>
      </c>
      <c r="GN7" t="s">
        <v>10992</v>
      </c>
      <c r="HC7" t="s">
        <v>56</v>
      </c>
      <c r="IG7" t="s">
        <v>12847</v>
      </c>
      <c r="IL7" t="s">
        <v>11781</v>
      </c>
      <c r="KY7" t="s">
        <v>12593</v>
      </c>
      <c r="LD7" t="s">
        <v>12549</v>
      </c>
      <c r="MM7" t="s">
        <v>12365</v>
      </c>
    </row>
    <row r="8" spans="1:396" x14ac:dyDescent="0.25">
      <c r="A8" t="s">
        <v>158</v>
      </c>
      <c r="K8" t="s">
        <v>2219</v>
      </c>
      <c r="P8" t="s">
        <v>267</v>
      </c>
      <c r="AE8" t="s">
        <v>11468</v>
      </c>
      <c r="AJ8" t="s">
        <v>43</v>
      </c>
      <c r="BS8" t="s">
        <v>11010</v>
      </c>
      <c r="BX8" t="s">
        <v>1652</v>
      </c>
      <c r="CW8" t="s">
        <v>3437</v>
      </c>
      <c r="DB8" t="s">
        <v>51</v>
      </c>
      <c r="DQ8" t="s">
        <v>1754</v>
      </c>
      <c r="DV8" t="s">
        <v>12445</v>
      </c>
      <c r="EA8" t="s">
        <v>6477</v>
      </c>
      <c r="EF8" t="s">
        <v>10895</v>
      </c>
      <c r="EK8" t="s">
        <v>12597</v>
      </c>
      <c r="EU8" t="s">
        <v>11029</v>
      </c>
      <c r="EZ8" t="s">
        <v>10676</v>
      </c>
      <c r="FY8" t="s">
        <v>10831</v>
      </c>
      <c r="GD8" t="s">
        <v>10755</v>
      </c>
      <c r="GI8" t="s">
        <v>11258</v>
      </c>
      <c r="GN8" t="s">
        <v>469</v>
      </c>
      <c r="HC8" t="s">
        <v>11799</v>
      </c>
      <c r="IG8" t="s">
        <v>12848</v>
      </c>
      <c r="IL8" t="s">
        <v>12841</v>
      </c>
      <c r="KY8" t="s">
        <v>12594</v>
      </c>
      <c r="LD8" t="s">
        <v>10672</v>
      </c>
      <c r="MM8" t="s">
        <v>10717</v>
      </c>
    </row>
    <row r="9" spans="1:396" x14ac:dyDescent="0.25">
      <c r="A9" t="s">
        <v>260</v>
      </c>
      <c r="K9" t="s">
        <v>10920</v>
      </c>
      <c r="P9" t="s">
        <v>12410</v>
      </c>
      <c r="AE9" t="s">
        <v>11159</v>
      </c>
      <c r="AJ9" t="s">
        <v>11467</v>
      </c>
      <c r="BS9" t="s">
        <v>3625</v>
      </c>
      <c r="BX9" t="s">
        <v>1740</v>
      </c>
      <c r="CW9" t="s">
        <v>11012</v>
      </c>
      <c r="DB9" t="s">
        <v>10944</v>
      </c>
      <c r="DQ9" t="s">
        <v>12488</v>
      </c>
      <c r="DV9" t="s">
        <v>12446</v>
      </c>
      <c r="EA9" t="s">
        <v>476</v>
      </c>
      <c r="EF9" t="s">
        <v>10896</v>
      </c>
      <c r="EK9" t="s">
        <v>11053</v>
      </c>
      <c r="EU9" t="s">
        <v>43</v>
      </c>
      <c r="EZ9" t="s">
        <v>11267</v>
      </c>
      <c r="FY9" t="s">
        <v>10832</v>
      </c>
      <c r="GD9" t="s">
        <v>10756</v>
      </c>
      <c r="GI9" t="s">
        <v>11946</v>
      </c>
      <c r="GN9" t="s">
        <v>477</v>
      </c>
      <c r="HC9" t="s">
        <v>7392</v>
      </c>
      <c r="IG9" t="s">
        <v>12849</v>
      </c>
      <c r="IL9" t="s">
        <v>12842</v>
      </c>
      <c r="KY9" t="s">
        <v>12595</v>
      </c>
      <c r="LD9" t="s">
        <v>10680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3566</v>
      </c>
      <c r="K1" s="1" t="s">
        <v>3567</v>
      </c>
      <c r="U1" s="1" t="s">
        <v>3568</v>
      </c>
      <c r="AE1" s="1" t="s">
        <v>3569</v>
      </c>
      <c r="AO1" s="1" t="s">
        <v>3570</v>
      </c>
      <c r="AY1" s="1" t="s">
        <v>3571</v>
      </c>
      <c r="BI1" s="1" t="s">
        <v>3572</v>
      </c>
      <c r="BS1" s="1" t="s">
        <v>3573</v>
      </c>
      <c r="CC1" s="1" t="s">
        <v>3574</v>
      </c>
      <c r="CM1" s="1" t="s">
        <v>3575</v>
      </c>
      <c r="CW1" s="1" t="s">
        <v>3576</v>
      </c>
      <c r="DG1" s="1" t="s">
        <v>3577</v>
      </c>
      <c r="DQ1" s="1" t="s">
        <v>3578</v>
      </c>
      <c r="EA1" s="1" t="s">
        <v>3579</v>
      </c>
      <c r="EK1" s="1" t="s">
        <v>3580</v>
      </c>
      <c r="EU1" s="1" t="s">
        <v>3581</v>
      </c>
      <c r="FE1" s="1" t="s">
        <v>3582</v>
      </c>
      <c r="FO1" s="1" t="s">
        <v>3583</v>
      </c>
      <c r="FY1" s="1" t="s">
        <v>3584</v>
      </c>
      <c r="GI1" s="1" t="s">
        <v>3585</v>
      </c>
      <c r="GS1" s="1" t="s">
        <v>3586</v>
      </c>
      <c r="HC1" s="1" t="s">
        <v>3587</v>
      </c>
      <c r="HM1" s="1" t="s">
        <v>3588</v>
      </c>
      <c r="HW1" s="1" t="s">
        <v>3589</v>
      </c>
      <c r="IG1" s="1" t="s">
        <v>3590</v>
      </c>
      <c r="IQ1" s="1" t="s">
        <v>3591</v>
      </c>
      <c r="JA1" s="1" t="s">
        <v>3592</v>
      </c>
      <c r="JK1" s="1" t="s">
        <v>3593</v>
      </c>
      <c r="JU1" s="1" t="s">
        <v>3594</v>
      </c>
      <c r="KE1" s="1" t="s">
        <v>3595</v>
      </c>
      <c r="KO1" s="1" t="s">
        <v>3596</v>
      </c>
      <c r="KY1" s="1" t="s">
        <v>3597</v>
      </c>
      <c r="LI1" s="1" t="s">
        <v>3598</v>
      </c>
      <c r="LS1" s="1" t="s">
        <v>3599</v>
      </c>
      <c r="MC1" s="1" t="s">
        <v>3600</v>
      </c>
      <c r="MM1" s="1" t="s">
        <v>3601</v>
      </c>
      <c r="MW1" s="1" t="s">
        <v>3602</v>
      </c>
      <c r="NG1" s="1" t="s">
        <v>3603</v>
      </c>
      <c r="NQ1" s="1" t="s">
        <v>3604</v>
      </c>
      <c r="OA1" s="1" t="s">
        <v>3605</v>
      </c>
    </row>
    <row r="2" spans="1:396" x14ac:dyDescent="0.25">
      <c r="A2" s="2" t="s">
        <v>2686</v>
      </c>
      <c r="K2" s="2" t="s">
        <v>3606</v>
      </c>
      <c r="U2" s="2" t="s">
        <v>3522</v>
      </c>
      <c r="AE2" s="2" t="s">
        <v>171</v>
      </c>
      <c r="AO2" s="2" t="s">
        <v>1271</v>
      </c>
      <c r="AY2" s="2" t="s">
        <v>3607</v>
      </c>
      <c r="BI2" s="2" t="s">
        <v>3608</v>
      </c>
      <c r="BS2" s="2" t="s">
        <v>1656</v>
      </c>
      <c r="CC2" s="2" t="s">
        <v>1638</v>
      </c>
      <c r="CM2" s="2" t="s">
        <v>976</v>
      </c>
      <c r="CW2" s="2" t="s">
        <v>3609</v>
      </c>
      <c r="DG2" s="2" t="s">
        <v>158</v>
      </c>
      <c r="DQ2" s="2" t="s">
        <v>3610</v>
      </c>
      <c r="EA2" s="2" t="s">
        <v>1164</v>
      </c>
      <c r="EK2" s="2" t="s">
        <v>3611</v>
      </c>
      <c r="EU2" s="2" t="s">
        <v>3612</v>
      </c>
      <c r="FE2" s="2" t="s">
        <v>586</v>
      </c>
      <c r="FO2" s="2" t="s">
        <v>3613</v>
      </c>
      <c r="FY2" s="2" t="s">
        <v>3614</v>
      </c>
      <c r="GI2" s="2" t="s">
        <v>992</v>
      </c>
      <c r="GS2" s="2" t="s">
        <v>3615</v>
      </c>
      <c r="HC2" s="2" t="s">
        <v>3616</v>
      </c>
      <c r="HM2" s="2" t="s">
        <v>3617</v>
      </c>
      <c r="HW2" s="2" t="s">
        <v>3618</v>
      </c>
      <c r="IG2" s="2" t="s">
        <v>3619</v>
      </c>
      <c r="IQ2" s="2" t="s">
        <v>3620</v>
      </c>
      <c r="JA2" s="2" t="s">
        <v>1840</v>
      </c>
      <c r="JK2" s="2" t="s">
        <v>3621</v>
      </c>
      <c r="JU2" s="2" t="s">
        <v>3622</v>
      </c>
      <c r="KE2" s="2" t="s">
        <v>870</v>
      </c>
      <c r="KO2" s="2" t="s">
        <v>1836</v>
      </c>
      <c r="KY2" s="2" t="s">
        <v>584</v>
      </c>
      <c r="LI2" s="2" t="s">
        <v>777</v>
      </c>
      <c r="LS2" s="2" t="s">
        <v>3623</v>
      </c>
      <c r="MC2" s="2" t="s">
        <v>3624</v>
      </c>
      <c r="MM2" s="2" t="s">
        <v>1928</v>
      </c>
      <c r="MW2" s="2" t="s">
        <v>70</v>
      </c>
      <c r="NG2" s="2" t="s">
        <v>3625</v>
      </c>
      <c r="NQ2" s="2" t="s">
        <v>3626</v>
      </c>
      <c r="OA2" s="2" t="s">
        <v>3627</v>
      </c>
    </row>
    <row r="3" spans="1:396" x14ac:dyDescent="0.25">
      <c r="A3" t="s">
        <v>3565</v>
      </c>
      <c r="K3" t="s">
        <v>3628</v>
      </c>
      <c r="U3" t="s">
        <v>3629</v>
      </c>
      <c r="AE3" t="s">
        <v>3630</v>
      </c>
      <c r="AO3" t="s">
        <v>3631</v>
      </c>
      <c r="AY3" t="s">
        <v>206</v>
      </c>
      <c r="BI3" t="s">
        <v>3632</v>
      </c>
      <c r="BS3" t="s">
        <v>3633</v>
      </c>
      <c r="CC3" t="s">
        <v>3634</v>
      </c>
      <c r="CM3" t="s">
        <v>3635</v>
      </c>
      <c r="CW3" t="s">
        <v>3473</v>
      </c>
      <c r="DG3" t="s">
        <v>3636</v>
      </c>
      <c r="DQ3" t="s">
        <v>718</v>
      </c>
      <c r="EA3" t="s">
        <v>3637</v>
      </c>
      <c r="EK3" t="s">
        <v>3638</v>
      </c>
      <c r="EU3" t="s">
        <v>3639</v>
      </c>
      <c r="FE3" t="s">
        <v>3640</v>
      </c>
      <c r="FO3" t="s">
        <v>3641</v>
      </c>
      <c r="FY3" t="s">
        <v>3642</v>
      </c>
      <c r="GI3" t="s">
        <v>3643</v>
      </c>
      <c r="GS3" t="s">
        <v>3644</v>
      </c>
      <c r="HC3" t="s">
        <v>3645</v>
      </c>
      <c r="HM3" t="s">
        <v>3541</v>
      </c>
      <c r="HW3" t="s">
        <v>2823</v>
      </c>
      <c r="IG3" t="s">
        <v>3646</v>
      </c>
      <c r="IQ3" t="s">
        <v>3543</v>
      </c>
      <c r="JA3" t="s">
        <v>3647</v>
      </c>
      <c r="JK3" t="s">
        <v>1018</v>
      </c>
      <c r="JU3" t="s">
        <v>1386</v>
      </c>
      <c r="KE3" t="s">
        <v>3648</v>
      </c>
      <c r="KO3" t="s">
        <v>1182</v>
      </c>
      <c r="KY3" t="s">
        <v>3094</v>
      </c>
      <c r="LI3" t="s">
        <v>3365</v>
      </c>
      <c r="LS3" t="s">
        <v>3455</v>
      </c>
      <c r="MC3" t="s">
        <v>3649</v>
      </c>
      <c r="MM3" t="s">
        <v>3650</v>
      </c>
      <c r="MW3" t="s">
        <v>3651</v>
      </c>
      <c r="NG3" t="s">
        <v>3652</v>
      </c>
      <c r="NQ3" t="s">
        <v>3653</v>
      </c>
      <c r="OA3" t="s">
        <v>3654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_xll.BDS("GMH US Equity","SUPPLY_CHAIN_SUPPLIERS","RELATIONSHIP_AS_OF_DATE","19980501")</f>
        <v>#N/A N/A</v>
      </c>
      <c r="F5" t="str">
        <f>_xll.BDS("GMH US Equity","SUPPLY_CHAIN_CUSTOMERS","RELATIONSHIP_AS_OF_DATE","19980501")</f>
        <v>#N/A N/A</v>
      </c>
      <c r="K5" t="str">
        <f>_xll.BDS("NWSA US Equity","SUPPLY_CHAIN_SUPPLIERS","RELATIONSHIP_AS_OF_DATE","20140930","cols=1;rows=5")</f>
        <v>VISN US Equity</v>
      </c>
      <c r="P5" t="str">
        <f>_xll.BDS("NWSA US Equity","SUPPLY_CHAIN_CUSTOMERS","RELATIONSHIP_AS_OF_DATE","20140930","cols=1;rows=5")</f>
        <v>TSCO LN Equity</v>
      </c>
      <c r="U5" t="str">
        <f>_xll.BDS("DGX US Equity","SUPPLY_CHAIN_SUPPLIERS","RELATIONSHIP_AS_OF_DATE","20020402","cols=1;rows=5")</f>
        <v>PLUS US Equity</v>
      </c>
      <c r="Z5" t="str">
        <f>_xll.BDS("DGX US Equity","SUPPLY_CHAIN_CUSTOMERS","RELATIONSHIP_AS_OF_DATE","20020402","cols=1;rows=5")</f>
        <v>950220 KS Equity</v>
      </c>
      <c r="AE5" t="str">
        <f>_xll.BDS("ORCL US Equity","SUPPLY_CHAIN_SUPPLIERS","RELATIONSHIP_AS_OF_DATE","20101102","cols=1;rows=5")</f>
        <v>NVDA US Equity</v>
      </c>
      <c r="AJ5" t="str">
        <f>_xll.BDS("ORCL US Equity","SUPPLY_CHAIN_CUSTOMERS","RELATIONSHIP_AS_OF_DATE","20101102","cols=1;rows=5")</f>
        <v>ACN US Equity</v>
      </c>
      <c r="AO5" t="str">
        <f>_xll.BDS("VMC US Equity","SUPPLY_CHAIN_SUPPLIERS","RELATIONSHIP_AS_OF_DATE","19981116","cols=1;rows=5")</f>
        <v>ATCOA SS Equity</v>
      </c>
      <c r="AT5" t="str">
        <f>_xll.BDS("VMC US Equity","SUPPLY_CHAIN_CUSTOMERS","RELATIONSHIP_AS_OF_DATE","19981116","cols=1;rows=2")</f>
        <v>267222Z US Equity</v>
      </c>
      <c r="AY5" t="str">
        <f>_xll.BDS("PYPL US Equity","SUPPLY_CHAIN_SUPPLIERS","RELATIONSHIP_AS_OF_DATE","20150701","cols=1;rows=5")</f>
        <v>AKAM US Equity</v>
      </c>
      <c r="BD5" t="str">
        <f>_xll.BDS("PYPL US Equity","SUPPLY_CHAIN_CUSTOMERS","RELATIONSHIP_AS_OF_DATE","20150701","cols=1;rows=5")</f>
        <v>1935092D US Equity</v>
      </c>
      <c r="BI5" t="str">
        <f>_xll.BDS("ARR US Equity","SUPPLY_CHAIN_SUPPLIERS","RELATIONSHIP_AS_OF_DATE","20160302")</f>
        <v>#N/A N/A</v>
      </c>
      <c r="BN5" t="str">
        <f>_xll.BDS("ARR US Equity","SUPPLY_CHAIN_CUSTOMERS","RELATIONSHIP_AS_OF_DATE","20160302")</f>
        <v>#N/A N/A</v>
      </c>
      <c r="BS5" t="str">
        <f>_xll.BDS("CAR US Equity","SUPPLY_CHAIN_SUPPLIERS","RELATIONSHIP_AS_OF_DATE","20001102","cols=1;rows=5")</f>
        <v>VRRM US Equity</v>
      </c>
      <c r="BX5" t="str">
        <f>_xll.BDS("CAR US Equity","SUPPLY_CHAIN_CUSTOMERS","RELATIONSHIP_AS_OF_DATE","20001102","cols=1;rows=5")</f>
        <v>EIH IN Equity</v>
      </c>
      <c r="CC5" t="str">
        <f>_xll.BDS("NS US Equity","SUPPLY_CHAIN_SUPPLIERS","RELATIONSHIP_AS_OF_DATE","20180208","cols=1;rows=5")</f>
        <v>1623420D US Equity</v>
      </c>
      <c r="CH5" t="str">
        <f>_xll.BDS("NS US Equity","SUPPLY_CHAIN_CUSTOMERS","RELATIONSHIP_AS_OF_DATE","20180208","cols=1;rows=5")</f>
        <v>010060 KS Equity</v>
      </c>
      <c r="CM5" t="str">
        <f>_xll.BDS("MTCH US Equity","SUPPLY_CHAIN_SUPPLIERS","RELATIONSHIP_AS_OF_DATE","20020603","cols=1;rows=5")</f>
        <v>053300 KS Equity</v>
      </c>
      <c r="CR5" t="str">
        <f>_xll.BDS("MTCH US Equity","SUPPLY_CHAIN_CUSTOMERS","RELATIONSHIP_AS_OF_DATE","20020603","cols=1;rows=3")</f>
        <v>AAPL US Equity</v>
      </c>
      <c r="CW5" t="str">
        <f>_xll.BDS("CSFL US Equity","SUPPLY_CHAIN_SUPPLIERS","RELATIONSHIP_AS_OF_DATE","20181126")</f>
        <v>#N/A N/A</v>
      </c>
      <c r="DB5" t="str">
        <f>_xll.BDS("CSFL US Equity","SUPPLY_CHAIN_CUSTOMERS","RELATIONSHIP_AS_OF_DATE","20181126")</f>
        <v>#N/A N/A</v>
      </c>
      <c r="DG5" t="str">
        <f>_xll.BDS("BRK/A US Equity","SUPPLY_CHAIN_SUPPLIERS","RELATIONSHIP_AS_OF_DATE","20020102","cols=1;rows=5")</f>
        <v>HSY US Equity</v>
      </c>
      <c r="DL5" t="str">
        <f>_xll.BDS("BRK/A US Equity","SUPPLY_CHAIN_CUSTOMERS","RELATIONSHIP_AS_OF_DATE","20020102","cols=1;rows=5")</f>
        <v>WMT US Equity</v>
      </c>
      <c r="DQ5" t="str">
        <f>_xll.BDS("AIV US Equity","SUPPLY_CHAIN_SUPPLIERS","RELATIONSHIP_AS_OF_DATE","19980317")</f>
        <v>MS US Equity</v>
      </c>
      <c r="DV5" t="str">
        <f>_xll.BDS("AIV US Equity","SUPPLY_CHAIN_CUSTOMERS","RELATIONSHIP_AS_OF_DATE","19980317")</f>
        <v>29326Z US Equity</v>
      </c>
      <c r="EA5" t="str">
        <f>_xll.BDS("GE US Equity","SUPPLY_CHAIN_SUPPLIERS","RELATIONSHIP_AS_OF_DATE","19980921","cols=1;rows=5")</f>
        <v>SAF FP Equity</v>
      </c>
      <c r="EF5" t="str">
        <f>_xll.BDS("GE US Equity","SUPPLY_CHAIN_CUSTOMERS","RELATIONSHIP_AS_OF_DATE","19980921","cols=1;rows=5")</f>
        <v>3352Z US Equity</v>
      </c>
      <c r="EK5" t="str">
        <f>_xll.BDS("MU US Equity","SUPPLY_CHAIN_SUPPLIERS","RELATIONSHIP_AS_OF_DATE","20060308","cols=1;rows=5")</f>
        <v>ASML NA Equity</v>
      </c>
      <c r="EP5" t="str">
        <f>_xll.BDS("MU US Equity","SUPPLY_CHAIN_CUSTOMERS","RELATIONSHIP_AS_OF_DATE","20060308","cols=1;rows=5")</f>
        <v>NVDA US Equity</v>
      </c>
      <c r="EU5" t="str">
        <f>_xll.BDS("DST US Equity","SUPPLY_CHAIN_SUPPLIERS","RELATIONSHIP_AS_OF_DATE","19980902")</f>
        <v>#N/A N/A</v>
      </c>
      <c r="EZ5" t="str">
        <f>_xll.BDS("DST US Equity","SUPPLY_CHAIN_CUSTOMERS","RELATIONSHIP_AS_OF_DATE","19980902")</f>
        <v>#N/A N/A</v>
      </c>
      <c r="FE5" t="str">
        <f>_xll.BDS("MCHP US Equity","SUPPLY_CHAIN_SUPPLIERS","RELATIONSHIP_AS_OF_DATE","20150507","cols=1;rows=5")</f>
        <v>GFS US Equity</v>
      </c>
      <c r="FJ5" t="str">
        <f>_xll.BDS("MCHP US Equity","SUPPLY_CHAIN_CUSTOMERS","RELATIONSHIP_AS_OF_DATE","20150507","cols=1;rows=5")</f>
        <v>ARW US Equity</v>
      </c>
      <c r="FO5" t="str">
        <f>_xll.BDS("390297Q US Equity","SUPPLY_CHAIN_SUPPLIERS","RELATIONSHIP_AS_OF_DATE","19961028")</f>
        <v>#N/A N/A</v>
      </c>
      <c r="FT5" t="str">
        <f>_xll.BDS("390297Q US Equity","SUPPLY_CHAIN_CUSTOMERS","RELATIONSHIP_AS_OF_DATE","19961028")</f>
        <v>#N/A N/A</v>
      </c>
      <c r="FY5" t="str">
        <f>_xll.BDS("JACK US Equity","SUPPLY_CHAIN_SUPPLIERS","RELATIONSHIP_AS_OF_DATE","20211206","cols=1;rows=5")</f>
        <v>GTLS US Equity</v>
      </c>
      <c r="GD5" t="str">
        <f>_xll.BDS("JACK US Equity","SUPPLY_CHAIN_CUSTOMERS","RELATIONSHIP_AS_OF_DATE","20211206")</f>
        <v>#N/A N/A</v>
      </c>
      <c r="GI5" t="str">
        <f>_xll.BDS("BEN US Equity","SUPPLY_CHAIN_SUPPLIERS","RELATIONSHIP_AS_OF_DATE","20001025","cols=1;rows=5")</f>
        <v>SLG US Equity</v>
      </c>
      <c r="GN5" t="str">
        <f>_xll.BDS("BEN US Equity","SUPPLY_CHAIN_CUSTOMERS","RELATIONSHIP_AS_OF_DATE","20001025")</f>
        <v>#N/A N/A</v>
      </c>
      <c r="GS5" t="str">
        <f>_xll.BDS("SHAW US Equity","SUPPLY_CHAIN_SUPPLIERS","RELATIONSHIP_AS_OF_DATE","20000706")</f>
        <v>023160 KS Equity</v>
      </c>
      <c r="GX5" t="str">
        <f>_xll.BDS("SHAW US Equity","SUPPLY_CHAIN_CUSTOMERS","RELATIONSHIP_AS_OF_DATE","20000706")</f>
        <v>#N/A N/A</v>
      </c>
      <c r="HC5" t="str">
        <f>_xll.BDS("4936C US Equity","SUPPLY_CHAIN_SUPPLIERS","RELATIONSHIP_AS_OF_DATE","19990518")</f>
        <v>#N/A N/A</v>
      </c>
      <c r="HH5" t="str">
        <f>_xll.BDS("4936C US Equity","SUPPLY_CHAIN_CUSTOMERS","RELATIONSHIP_AS_OF_DATE","19990518")</f>
        <v>GMEXICOB MM Equity</v>
      </c>
      <c r="HM5" t="str">
        <f>_xll.BDS("540513Q US Equity","SUPPLY_CHAIN_SUPPLIERS","RELATIONSHIP_AS_OF_DATE","19990602")</f>
        <v>#N/A N/A</v>
      </c>
      <c r="HR5" t="str">
        <f>_xll.BDS("540513Q US Equity","SUPPLY_CHAIN_CUSTOMERS","RELATIONSHIP_AS_OF_DATE","19990602")</f>
        <v>#N/A N/A</v>
      </c>
      <c r="HW5" t="str">
        <f>_xll.BDS("BIP US Equity","SUPPLY_CHAIN_SUPPLIERS","RELATIONSHIP_AS_OF_DATE","20150615","cols=1;rows=5")</f>
        <v>ITM LN Equity</v>
      </c>
      <c r="IB5" t="str">
        <f>_xll.BDS("BIP US Equity","SUPPLY_CHAIN_CUSTOMERS","RELATIONSHIP_AS_OF_DATE","20150615","cols=1;rows=5")</f>
        <v>0289575D PE Equity</v>
      </c>
      <c r="IG5" t="str">
        <f>_xll.BDS("9990213D US Equity","SUPPLY_CHAIN_SUPPLIERS","RELATIONSHIP_AS_OF_DATE","20190422","cols=1;rows=5")</f>
        <v>1434808D US Equity</v>
      </c>
      <c r="IL5" t="str">
        <f>_xll.BDS("9990213D US Equity","SUPPLY_CHAIN_CUSTOMERS","RELATIONSHIP_AS_OF_DATE","20190422","cols=1;rows=5")</f>
        <v>0218802Z US Equity</v>
      </c>
      <c r="IQ5" t="str">
        <f>_xll.BDS("VLY US Equity","SUPPLY_CHAIN_SUPPLIERS","RELATIONSHIP_AS_OF_DATE","20170726","cols=1;rows=2")</f>
        <v>VNO US Equity</v>
      </c>
      <c r="IV5" t="str">
        <f>_xll.BDS("VLY US Equity","SUPPLY_CHAIN_CUSTOMERS","RELATIONSHIP_AS_OF_DATE","20170726")</f>
        <v>#N/A N/A</v>
      </c>
      <c r="JA5" t="str">
        <f>_xll.BDS("9990822D US Equity","SUPPLY_CHAIN_SUPPLIERS","RELATIONSHIP_AS_OF_DATE","20070220")</f>
        <v>AMZN US Equity</v>
      </c>
      <c r="JF5" t="str">
        <f>_xll.BDS("9990822D US Equity","SUPPLY_CHAIN_CUSTOMERS","RELATIONSHIP_AS_OF_DATE","20070220","cols=1;rows=3")</f>
        <v>0759608D US Equity</v>
      </c>
      <c r="JK5" t="str">
        <f>_xll.BDS("SUSQ US Equity","SUPPLY_CHAIN_SUPPLIERS","RELATIONSHIP_AS_OF_DATE","20070501")</f>
        <v>#N/A N/A</v>
      </c>
      <c r="JP5" t="str">
        <f>_xll.BDS("SUSQ US Equity","SUPPLY_CHAIN_CUSTOMERS","RELATIONSHIP_AS_OF_DATE","20070501")</f>
        <v>#N/A N/A</v>
      </c>
      <c r="JU5" t="str">
        <f>_xll.BDS("DGI US Equity","SUPPLY_CHAIN_SUPPLIERS","RELATIONSHIP_AS_OF_DATE","20120723")</f>
        <v>#N/A N/A</v>
      </c>
      <c r="JZ5" t="str">
        <f>_xll.BDS("DGI US Equity","SUPPLY_CHAIN_CUSTOMERS","RELATIONSHIP_AS_OF_DATE","20120723")</f>
        <v>#N/A N/A</v>
      </c>
      <c r="KE5" t="str">
        <f>_xll.BDS("LLY US Equity","SUPPLY_CHAIN_SUPPLIERS","RELATIONSHIP_AS_OF_DATE","20170118","cols=1;rows=5")</f>
        <v>RIGL US Equity</v>
      </c>
      <c r="KJ5" t="str">
        <f>_xll.BDS("LLY US Equity","SUPPLY_CHAIN_CUSTOMERS","RELATIONSHIP_AS_OF_DATE","20170118","cols=1;rows=5")</f>
        <v>MCK US Equity</v>
      </c>
      <c r="KO5" t="str">
        <f>_xll.BDS("PCP US Equity","SUPPLY_CHAIN_SUPPLIERS","RELATIONSHIP_AS_OF_DATE","19990517")</f>
        <v>FE US Equity</v>
      </c>
      <c r="KT5" t="str">
        <f>_xll.BDS("PCP US Equity","SUPPLY_CHAIN_CUSTOMERS","RELATIONSHIP_AS_OF_DATE","19990517")</f>
        <v>#N/A N/A</v>
      </c>
      <c r="KY5" t="str">
        <f>_xll.BDS("IP US Equity","SUPPLY_CHAIN_SUPPLIERS","RELATIONSHIP_AS_OF_DATE","20000217","cols=1;rows=5")</f>
        <v>MTX US Equity</v>
      </c>
      <c r="LD5" t="str">
        <f>_xll.BDS("IP US Equity","SUPPLY_CHAIN_CUSTOMERS","RELATIONSHIP_AS_OF_DATE","20000217","cols=1;rows=5")</f>
        <v>TSCO LN Equity</v>
      </c>
      <c r="LI5" t="str">
        <f>_xll.BDS("GIS US Equity","SUPPLY_CHAIN_SUPPLIERS","RELATIONSHIP_AS_OF_DATE","20140908","cols=1;rows=5")</f>
        <v>GPK US Equity</v>
      </c>
      <c r="LN5" t="str">
        <f>_xll.BDS("GIS US Equity","SUPPLY_CHAIN_CUSTOMERS","RELATIONSHIP_AS_OF_DATE","20140908","cols=1;rows=5")</f>
        <v>WMT US Equity</v>
      </c>
      <c r="LS5" t="str">
        <f>_xll.BDS("WBVNQ US Equity","SUPPLY_CHAIN_SUPPLIERS","RELATIONSHIP_AS_OF_DATE","20000626")</f>
        <v>#N/A N/A</v>
      </c>
      <c r="LX5" t="str">
        <f>_xll.BDS("WBVNQ US Equity","SUPPLY_CHAIN_CUSTOMERS","RELATIONSHIP_AS_OF_DATE","20000626")</f>
        <v>#N/A N/A</v>
      </c>
      <c r="MC5" t="str">
        <f>_xll.BDS("VNRSQ US Equity","SUPPLY_CHAIN_SUPPLIERS","RELATIONSHIP_AS_OF_DATE","20110325")</f>
        <v>#N/A N/A</v>
      </c>
      <c r="MH5" t="str">
        <f>_xll.BDS("VNRSQ US Equity","SUPPLY_CHAIN_CUSTOMERS","RELATIONSHIP_AS_OF_DATE","20110325")</f>
        <v>#N/A N/A</v>
      </c>
      <c r="MM5" t="str">
        <f>_xll.BDS("3867693Z US Equity","SUPPLY_CHAIN_SUPPLIERS","RELATIONSHIP_AS_OF_DATE","20070420")</f>
        <v>#N/A N/A</v>
      </c>
      <c r="MR5" t="str">
        <f>_xll.BDS("3867693Z US Equity","SUPPLY_CHAIN_CUSTOMERS","RELATIONSHIP_AS_OF_DATE","20070420")</f>
        <v>#N/A N/A</v>
      </c>
      <c r="MW5" t="str">
        <f>_xll.BDS("0848680D US Equity","SUPPLY_CHAIN_SUPPLIERS","RELATIONSHIP_AS_OF_DATE","20091019")</f>
        <v>#N/A N/A</v>
      </c>
      <c r="NB5" t="str">
        <f>_xll.BDS("0848680D US Equity","SUPPLY_CHAIN_CUSTOMERS","RELATIONSHIP_AS_OF_DATE","20091019")</f>
        <v>#N/A N/A</v>
      </c>
      <c r="NG5" t="str">
        <f>_xll.BDS("ATI US Equity","SUPPLY_CHAIN_SUPPLIERS","RELATIONSHIP_AS_OF_DATE","20101117","cols=1;rows=5")</f>
        <v>RS US Equity</v>
      </c>
      <c r="NL5" t="str">
        <f>_xll.BDS("ATI US Equity","SUPPLY_CHAIN_CUSTOMERS","RELATIONSHIP_AS_OF_DATE","20101117","cols=1;rows=5")</f>
        <v>GE US Equity</v>
      </c>
      <c r="NQ5" t="str">
        <f>_xll.BDS("SCOR US Equity","SUPPLY_CHAIN_SUPPLIERS","RELATIONSHIP_AS_OF_DATE","20150929","cols=1;rows=3")</f>
        <v>CHTR US Equity</v>
      </c>
      <c r="NV5" t="str">
        <f>_xll.BDS("SCOR US Equity","SUPPLY_CHAIN_CUSTOMERS","RELATIONSHIP_AS_OF_DATE","20150929","cols=1;rows=5")</f>
        <v>WPP LN Equity</v>
      </c>
      <c r="OA5" t="str">
        <f>_xll.BDS("REVRQ US Equity","SUPPLY_CHAIN_SUPPLIERS","RELATIONSHIP_AS_OF_DATE","20160616","cols=1;rows=5")</f>
        <v>0200831D US Equity</v>
      </c>
      <c r="OF5" t="str">
        <f>_xll.BDS("REVRQ US Equity","SUPPLY_CHAIN_CUSTOMERS","RELATIONSHIP_AS_OF_DATE","20160616","cols=1;rows=5")</f>
        <v>178 HK Equity</v>
      </c>
    </row>
    <row r="6" spans="1:396" x14ac:dyDescent="0.25">
      <c r="K6" t="s">
        <v>10748</v>
      </c>
      <c r="P6" t="s">
        <v>12977</v>
      </c>
      <c r="U6" t="s">
        <v>10829</v>
      </c>
      <c r="Z6" t="s">
        <v>10753</v>
      </c>
      <c r="AE6" t="s">
        <v>162</v>
      </c>
      <c r="AJ6" t="s">
        <v>469</v>
      </c>
      <c r="AO6" t="s">
        <v>10971</v>
      </c>
      <c r="AT6" t="s">
        <v>10657</v>
      </c>
      <c r="AY6" t="s">
        <v>1654</v>
      </c>
      <c r="BD6" t="s">
        <v>12708</v>
      </c>
      <c r="BS6" t="s">
        <v>12031</v>
      </c>
      <c r="BX6" t="s">
        <v>11677</v>
      </c>
      <c r="CC6" t="s">
        <v>12551</v>
      </c>
      <c r="CH6" t="s">
        <v>12551</v>
      </c>
      <c r="CM6" t="s">
        <v>11503</v>
      </c>
      <c r="CR6" t="s">
        <v>2705</v>
      </c>
      <c r="DG6" t="s">
        <v>2792</v>
      </c>
      <c r="DL6" t="s">
        <v>10677</v>
      </c>
      <c r="EA6" t="s">
        <v>11008</v>
      </c>
      <c r="EF6" t="s">
        <v>1363</v>
      </c>
      <c r="EK6" t="s">
        <v>1841</v>
      </c>
      <c r="EP6" t="s">
        <v>11566</v>
      </c>
      <c r="FE6" t="s">
        <v>11203</v>
      </c>
      <c r="FJ6" t="s">
        <v>10659</v>
      </c>
      <c r="FY6" t="s">
        <v>10731</v>
      </c>
      <c r="GI6" t="s">
        <v>11910</v>
      </c>
      <c r="HW6" t="s">
        <v>11123</v>
      </c>
      <c r="IB6" t="s">
        <v>12165</v>
      </c>
      <c r="IG6" t="s">
        <v>12824</v>
      </c>
      <c r="IL6" t="s">
        <v>10797</v>
      </c>
      <c r="IQ6" t="s">
        <v>3162</v>
      </c>
      <c r="JF6" t="s">
        <v>2705</v>
      </c>
      <c r="KE6" t="s">
        <v>10846</v>
      </c>
      <c r="KJ6" t="s">
        <v>1468</v>
      </c>
      <c r="KY6" t="s">
        <v>171</v>
      </c>
      <c r="LD6" t="s">
        <v>11527</v>
      </c>
      <c r="LI6" t="s">
        <v>11868</v>
      </c>
      <c r="LN6" t="s">
        <v>10805</v>
      </c>
      <c r="NG6" t="s">
        <v>12204</v>
      </c>
      <c r="NL6" t="s">
        <v>42</v>
      </c>
      <c r="NQ6" t="s">
        <v>11785</v>
      </c>
      <c r="NV6" t="s">
        <v>11548</v>
      </c>
      <c r="OA6" t="s">
        <v>12908</v>
      </c>
      <c r="OF6" t="s">
        <v>12170</v>
      </c>
    </row>
    <row r="7" spans="1:396" x14ac:dyDescent="0.25">
      <c r="K7" t="s">
        <v>11371</v>
      </c>
      <c r="P7" t="s">
        <v>11601</v>
      </c>
      <c r="U7" t="s">
        <v>10830</v>
      </c>
      <c r="Z7" t="s">
        <v>10754</v>
      </c>
      <c r="AE7" t="s">
        <v>279</v>
      </c>
      <c r="AJ7" t="s">
        <v>2881</v>
      </c>
      <c r="AO7" t="s">
        <v>12875</v>
      </c>
      <c r="AY7" t="s">
        <v>12740</v>
      </c>
      <c r="BD7" t="s">
        <v>12711</v>
      </c>
      <c r="BS7" t="s">
        <v>10807</v>
      </c>
      <c r="BX7" t="s">
        <v>11678</v>
      </c>
      <c r="CC7" t="s">
        <v>12552</v>
      </c>
      <c r="CH7" t="s">
        <v>12552</v>
      </c>
      <c r="CM7" t="s">
        <v>11504</v>
      </c>
      <c r="CR7" t="s">
        <v>11037</v>
      </c>
      <c r="DG7" t="s">
        <v>10737</v>
      </c>
      <c r="DL7" t="s">
        <v>4642</v>
      </c>
      <c r="EA7" t="s">
        <v>11009</v>
      </c>
      <c r="EF7" t="s">
        <v>10939</v>
      </c>
      <c r="EK7" t="s">
        <v>1267</v>
      </c>
      <c r="EP7" t="s">
        <v>10853</v>
      </c>
      <c r="FE7" t="s">
        <v>3611</v>
      </c>
      <c r="FJ7" t="s">
        <v>3519</v>
      </c>
      <c r="FY7" t="s">
        <v>10713</v>
      </c>
      <c r="GI7" t="s">
        <v>12371</v>
      </c>
      <c r="HW7" t="s">
        <v>12691</v>
      </c>
      <c r="IB7" t="s">
        <v>12166</v>
      </c>
      <c r="IG7" t="s">
        <v>12825</v>
      </c>
      <c r="IL7" t="s">
        <v>10905</v>
      </c>
      <c r="JF7" t="s">
        <v>270</v>
      </c>
      <c r="KE7" t="s">
        <v>10847</v>
      </c>
      <c r="KJ7" t="s">
        <v>970</v>
      </c>
      <c r="KY7" t="s">
        <v>11846</v>
      </c>
      <c r="LD7" t="s">
        <v>12174</v>
      </c>
      <c r="LI7" t="s">
        <v>10814</v>
      </c>
      <c r="LN7" t="s">
        <v>469</v>
      </c>
      <c r="NG7" t="s">
        <v>11858</v>
      </c>
      <c r="NL7" t="s">
        <v>1363</v>
      </c>
      <c r="NQ7" t="s">
        <v>10927</v>
      </c>
      <c r="NV7" t="s">
        <v>2119</v>
      </c>
      <c r="OA7" t="s">
        <v>12909</v>
      </c>
      <c r="OF7" t="s">
        <v>12171</v>
      </c>
    </row>
    <row r="8" spans="1:396" x14ac:dyDescent="0.25">
      <c r="K8" t="s">
        <v>13006</v>
      </c>
      <c r="P8" t="s">
        <v>12978</v>
      </c>
      <c r="U8" t="s">
        <v>10831</v>
      </c>
      <c r="Z8" t="s">
        <v>10755</v>
      </c>
      <c r="AE8" t="s">
        <v>10818</v>
      </c>
      <c r="AJ8" t="s">
        <v>52</v>
      </c>
      <c r="AO8" t="s">
        <v>2111</v>
      </c>
      <c r="AY8" t="s">
        <v>11349</v>
      </c>
      <c r="BD8" t="s">
        <v>12712</v>
      </c>
      <c r="BS8" t="s">
        <v>171</v>
      </c>
      <c r="BX8" t="s">
        <v>11679</v>
      </c>
      <c r="CC8" t="s">
        <v>12598</v>
      </c>
      <c r="CH8" t="s">
        <v>4644</v>
      </c>
      <c r="CM8" t="s">
        <v>5236</v>
      </c>
      <c r="DG8" t="s">
        <v>4475</v>
      </c>
      <c r="DL8" t="s">
        <v>1363</v>
      </c>
      <c r="EA8" t="s">
        <v>11010</v>
      </c>
      <c r="EF8" t="s">
        <v>1652</v>
      </c>
      <c r="EK8" t="s">
        <v>4898</v>
      </c>
      <c r="EP8" t="s">
        <v>266</v>
      </c>
      <c r="FE8" t="s">
        <v>11094</v>
      </c>
      <c r="FJ8" t="s">
        <v>11194</v>
      </c>
      <c r="FY8" t="s">
        <v>11969</v>
      </c>
      <c r="GI8" t="s">
        <v>12372</v>
      </c>
      <c r="HW8" t="s">
        <v>11732</v>
      </c>
      <c r="IB8" t="s">
        <v>12167</v>
      </c>
      <c r="IG8" t="s">
        <v>12826</v>
      </c>
      <c r="IL8" t="s">
        <v>12683</v>
      </c>
      <c r="KE8" t="s">
        <v>2785</v>
      </c>
      <c r="KJ8" t="s">
        <v>10799</v>
      </c>
      <c r="KY8" t="s">
        <v>772</v>
      </c>
      <c r="LD8" t="s">
        <v>12175</v>
      </c>
      <c r="LI8" t="s">
        <v>10978</v>
      </c>
      <c r="LN8" t="s">
        <v>477</v>
      </c>
      <c r="NG8" t="s">
        <v>11149</v>
      </c>
      <c r="NL8" t="s">
        <v>11007</v>
      </c>
      <c r="NV8" t="s">
        <v>10892</v>
      </c>
      <c r="OA8" t="s">
        <v>12910</v>
      </c>
      <c r="OF8" t="s">
        <v>12172</v>
      </c>
    </row>
    <row r="9" spans="1:396" x14ac:dyDescent="0.25">
      <c r="K9" t="s">
        <v>1654</v>
      </c>
      <c r="P9" t="s">
        <v>5236</v>
      </c>
      <c r="U9" t="s">
        <v>10832</v>
      </c>
      <c r="Z9" t="s">
        <v>10756</v>
      </c>
      <c r="AE9" t="s">
        <v>384</v>
      </c>
      <c r="AJ9" t="s">
        <v>472</v>
      </c>
      <c r="AO9" t="s">
        <v>10696</v>
      </c>
      <c r="AY9" t="s">
        <v>12496</v>
      </c>
      <c r="BD9" t="s">
        <v>11673</v>
      </c>
      <c r="BS9" t="s">
        <v>12032</v>
      </c>
      <c r="BX9" t="s">
        <v>11680</v>
      </c>
      <c r="CC9" t="s">
        <v>2034</v>
      </c>
      <c r="CH9" t="s">
        <v>12553</v>
      </c>
      <c r="CM9" t="s">
        <v>11505</v>
      </c>
      <c r="DG9" t="s">
        <v>10738</v>
      </c>
      <c r="DL9" t="s">
        <v>42</v>
      </c>
      <c r="EA9" t="s">
        <v>3625</v>
      </c>
      <c r="EF9" t="s">
        <v>1740</v>
      </c>
      <c r="EK9" t="s">
        <v>10735</v>
      </c>
      <c r="EP9" t="s">
        <v>10732</v>
      </c>
      <c r="FE9" t="s">
        <v>4898</v>
      </c>
      <c r="FJ9" t="s">
        <v>10688</v>
      </c>
      <c r="FY9" t="s">
        <v>12769</v>
      </c>
      <c r="GI9" t="s">
        <v>12373</v>
      </c>
      <c r="HW9" t="s">
        <v>10940</v>
      </c>
      <c r="IB9" t="s">
        <v>10672</v>
      </c>
      <c r="IG9" t="s">
        <v>469</v>
      </c>
      <c r="IL9" t="s">
        <v>12684</v>
      </c>
      <c r="KE9" t="s">
        <v>10821</v>
      </c>
      <c r="KJ9" t="s">
        <v>10800</v>
      </c>
      <c r="KY9" t="s">
        <v>12631</v>
      </c>
      <c r="LD9" t="s">
        <v>12176</v>
      </c>
      <c r="LI9" t="s">
        <v>11978</v>
      </c>
      <c r="LN9" t="s">
        <v>11296</v>
      </c>
      <c r="NG9" t="s">
        <v>10696</v>
      </c>
      <c r="NL9" t="s">
        <v>11756</v>
      </c>
      <c r="NV9" t="s">
        <v>12955</v>
      </c>
      <c r="OA9" t="s">
        <v>12911</v>
      </c>
      <c r="OF9" t="s">
        <v>12173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3655</v>
      </c>
      <c r="K1" s="1" t="s">
        <v>3656</v>
      </c>
      <c r="U1" s="1" t="s">
        <v>3657</v>
      </c>
      <c r="AE1" s="1" t="s">
        <v>3658</v>
      </c>
      <c r="AO1" s="1" t="s">
        <v>3659</v>
      </c>
      <c r="AY1" s="1" t="s">
        <v>3660</v>
      </c>
      <c r="BI1" s="1" t="s">
        <v>3661</v>
      </c>
      <c r="BS1" s="1" t="s">
        <v>3662</v>
      </c>
      <c r="CC1" s="1" t="s">
        <v>3663</v>
      </c>
      <c r="CM1" s="1" t="s">
        <v>3664</v>
      </c>
      <c r="CW1" s="1" t="s">
        <v>3665</v>
      </c>
      <c r="DG1" s="1" t="s">
        <v>3666</v>
      </c>
      <c r="DQ1" s="1" t="s">
        <v>3667</v>
      </c>
      <c r="EA1" s="1" t="s">
        <v>3668</v>
      </c>
      <c r="EK1" s="1" t="s">
        <v>3669</v>
      </c>
      <c r="EU1" s="1" t="s">
        <v>3670</v>
      </c>
      <c r="FE1" s="1" t="s">
        <v>3671</v>
      </c>
      <c r="FO1" s="1" t="s">
        <v>3672</v>
      </c>
      <c r="FY1" s="1" t="s">
        <v>3673</v>
      </c>
      <c r="GI1" s="1" t="s">
        <v>3674</v>
      </c>
      <c r="GS1" s="1" t="s">
        <v>3675</v>
      </c>
      <c r="HC1" s="1" t="s">
        <v>3676</v>
      </c>
      <c r="HM1" s="1" t="s">
        <v>3677</v>
      </c>
      <c r="HW1" s="1" t="s">
        <v>3678</v>
      </c>
      <c r="IG1" s="1" t="s">
        <v>3679</v>
      </c>
      <c r="IQ1" s="1" t="s">
        <v>3680</v>
      </c>
      <c r="JA1" s="1" t="s">
        <v>3681</v>
      </c>
      <c r="JK1" s="1" t="s">
        <v>3682</v>
      </c>
      <c r="JU1" s="1" t="s">
        <v>3683</v>
      </c>
      <c r="KE1" s="1" t="s">
        <v>3684</v>
      </c>
      <c r="KO1" s="1" t="s">
        <v>3685</v>
      </c>
      <c r="KY1" s="1" t="s">
        <v>3686</v>
      </c>
      <c r="LI1" s="1" t="s">
        <v>3687</v>
      </c>
      <c r="LS1" s="1" t="s">
        <v>3688</v>
      </c>
      <c r="MC1" s="1" t="s">
        <v>3689</v>
      </c>
      <c r="MM1" s="1" t="s">
        <v>3690</v>
      </c>
      <c r="MW1" s="1" t="s">
        <v>3691</v>
      </c>
      <c r="NG1" s="1" t="s">
        <v>3692</v>
      </c>
      <c r="NQ1" s="1" t="s">
        <v>3693</v>
      </c>
      <c r="OA1" s="1" t="s">
        <v>3694</v>
      </c>
    </row>
    <row r="2" spans="1:396" x14ac:dyDescent="0.25">
      <c r="A2" s="2" t="s">
        <v>986</v>
      </c>
      <c r="K2" s="2" t="s">
        <v>684</v>
      </c>
      <c r="U2" s="2" t="s">
        <v>3695</v>
      </c>
      <c r="AE2" s="2" t="s">
        <v>3696</v>
      </c>
      <c r="AO2" s="2" t="s">
        <v>2887</v>
      </c>
      <c r="AY2" s="2" t="s">
        <v>383</v>
      </c>
      <c r="BI2" s="2" t="s">
        <v>3697</v>
      </c>
      <c r="BS2" s="2" t="s">
        <v>3698</v>
      </c>
      <c r="CC2" s="2" t="s">
        <v>1071</v>
      </c>
      <c r="CM2" s="2" t="s">
        <v>3699</v>
      </c>
      <c r="CW2" s="2" t="s">
        <v>2124</v>
      </c>
      <c r="DG2" s="2" t="s">
        <v>161</v>
      </c>
      <c r="DQ2" s="2" t="s">
        <v>3700</v>
      </c>
      <c r="EA2" s="2" t="s">
        <v>66</v>
      </c>
      <c r="EK2" s="2" t="s">
        <v>3701</v>
      </c>
      <c r="EU2" s="2" t="s">
        <v>3702</v>
      </c>
      <c r="FE2" s="2" t="s">
        <v>3703</v>
      </c>
      <c r="FO2" s="2" t="s">
        <v>3704</v>
      </c>
      <c r="FY2" s="2" t="s">
        <v>673</v>
      </c>
      <c r="GI2" s="2" t="s">
        <v>477</v>
      </c>
      <c r="GS2" s="2" t="s">
        <v>3705</v>
      </c>
      <c r="HC2" s="2" t="s">
        <v>3154</v>
      </c>
      <c r="HM2" s="2" t="s">
        <v>3706</v>
      </c>
      <c r="HW2" s="2" t="s">
        <v>3707</v>
      </c>
      <c r="IG2" s="2" t="s">
        <v>3708</v>
      </c>
      <c r="IQ2" s="2" t="s">
        <v>381</v>
      </c>
      <c r="JA2" s="2" t="s">
        <v>3709</v>
      </c>
      <c r="JK2" s="2" t="s">
        <v>2211</v>
      </c>
      <c r="JU2" s="2" t="s">
        <v>3710</v>
      </c>
      <c r="KE2" s="2" t="s">
        <v>383</v>
      </c>
      <c r="KO2" s="2" t="s">
        <v>577</v>
      </c>
      <c r="KY2" s="2" t="s">
        <v>1075</v>
      </c>
      <c r="LI2" s="2" t="s">
        <v>261</v>
      </c>
      <c r="LS2" s="2" t="s">
        <v>3711</v>
      </c>
      <c r="MC2" s="2" t="s">
        <v>3712</v>
      </c>
      <c r="MM2" s="2" t="s">
        <v>3713</v>
      </c>
      <c r="MW2" s="2" t="s">
        <v>1755</v>
      </c>
      <c r="NG2" s="2" t="s">
        <v>3714</v>
      </c>
      <c r="NQ2" s="2" t="s">
        <v>3715</v>
      </c>
      <c r="OA2" s="2" t="s">
        <v>165</v>
      </c>
    </row>
    <row r="3" spans="1:396" x14ac:dyDescent="0.25">
      <c r="A3" t="s">
        <v>3716</v>
      </c>
      <c r="K3" t="s">
        <v>3717</v>
      </c>
      <c r="U3" t="s">
        <v>999</v>
      </c>
      <c r="AE3" t="s">
        <v>3718</v>
      </c>
      <c r="AO3" t="s">
        <v>3719</v>
      </c>
      <c r="AY3" t="s">
        <v>3720</v>
      </c>
      <c r="BI3" t="s">
        <v>3721</v>
      </c>
      <c r="BS3" t="s">
        <v>1200</v>
      </c>
      <c r="CC3" t="s">
        <v>1954</v>
      </c>
      <c r="CM3" t="s">
        <v>3722</v>
      </c>
      <c r="CW3" t="s">
        <v>1977</v>
      </c>
      <c r="DG3" t="s">
        <v>1102</v>
      </c>
      <c r="DQ3" t="s">
        <v>106</v>
      </c>
      <c r="EA3" t="s">
        <v>3445</v>
      </c>
      <c r="EK3" t="s">
        <v>3188</v>
      </c>
      <c r="EU3" t="s">
        <v>3723</v>
      </c>
      <c r="FE3" t="s">
        <v>3724</v>
      </c>
      <c r="FO3" t="s">
        <v>3725</v>
      </c>
      <c r="FY3" t="s">
        <v>3726</v>
      </c>
      <c r="GI3" t="s">
        <v>3727</v>
      </c>
      <c r="GS3" t="s">
        <v>3728</v>
      </c>
      <c r="HC3" t="s">
        <v>3079</v>
      </c>
      <c r="HM3" t="s">
        <v>3729</v>
      </c>
      <c r="HW3" t="s">
        <v>2070</v>
      </c>
      <c r="IG3" t="s">
        <v>3730</v>
      </c>
      <c r="IQ3" t="s">
        <v>3731</v>
      </c>
      <c r="JA3" t="s">
        <v>1088</v>
      </c>
      <c r="JK3" t="s">
        <v>3732</v>
      </c>
      <c r="JU3" t="s">
        <v>3733</v>
      </c>
      <c r="KE3" t="s">
        <v>907</v>
      </c>
      <c r="KO3" t="s">
        <v>3734</v>
      </c>
      <c r="KY3" t="s">
        <v>3735</v>
      </c>
      <c r="LI3" t="s">
        <v>3736</v>
      </c>
      <c r="LS3" t="s">
        <v>208</v>
      </c>
      <c r="MC3" t="s">
        <v>3737</v>
      </c>
      <c r="MM3" t="s">
        <v>3738</v>
      </c>
      <c r="MW3" t="s">
        <v>3739</v>
      </c>
      <c r="NG3" t="s">
        <v>3740</v>
      </c>
      <c r="NQ3" t="s">
        <v>1016</v>
      </c>
      <c r="OA3" t="s">
        <v>3741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_xll.BDS("CG US Equity","SUPPLY_CHAIN_SUPPLIERS","RELATIONSHIP_AS_OF_DATE","20050728","cols=1;rows=5")</f>
        <v>SLG US Equity</v>
      </c>
      <c r="F5" t="str">
        <f>_xll.BDS("CG US Equity","SUPPLY_CHAIN_CUSTOMERS","RELATIONSHIP_AS_OF_DATE","20050728","cols=1;rows=5")</f>
        <v>POOL US Equity</v>
      </c>
      <c r="K5" t="str">
        <f>_xll.BDS("CAT US Equity","SUPPLY_CHAIN_SUPPLIERS","RELATIONSHIP_AS_OF_DATE","20060516","cols=1;rows=5")</f>
        <v>SHA0 GR Equity</v>
      </c>
      <c r="P5" t="str">
        <f>_xll.BDS("CAT US Equity","SUPPLY_CHAIN_CUSTOMERS","RELATIONSHIP_AS_OF_DATE","20060516","cols=1;rows=5")</f>
        <v>XOM US Equity</v>
      </c>
      <c r="U5" t="str">
        <f>_xll.BDS("ICPXQ US Equity","SUPPLY_CHAIN_SUPPLIERS","RELATIONSHIP_AS_OF_DATE","19981009")</f>
        <v>#N/A N/A</v>
      </c>
      <c r="Z5" t="str">
        <f>_xll.BDS("ICPXQ US Equity","SUPPLY_CHAIN_CUSTOMERS","RELATIONSHIP_AS_OF_DATE","19981009")</f>
        <v>#N/A N/A</v>
      </c>
      <c r="AE5" t="str">
        <f>_xll.BDS("LPT US Equity","SUPPLY_CHAIN_SUPPLIERS","RELATIONSHIP_AS_OF_DATE","20070724")</f>
        <v>#N/A N/A</v>
      </c>
      <c r="AJ5" t="str">
        <f>_xll.BDS("LPT US Equity","SUPPLY_CHAIN_CUSTOMERS","RELATIONSHIP_AS_OF_DATE","20070724")</f>
        <v>#N/A N/A</v>
      </c>
      <c r="AO5" t="str">
        <f>_xll.BDS("LITE US Equity","SUPPLY_CHAIN_SUPPLIERS","RELATIONSHIP_AS_OF_DATE","20211104","cols=1;rows=5")</f>
        <v>FN US Equity</v>
      </c>
      <c r="AT5" t="str">
        <f>_xll.BDS("LITE US Equity","SUPPLY_CHAIN_CUSTOMERS","RELATIONSHIP_AS_OF_DATE","20211104","cols=1;rows=5")</f>
        <v>CIEN US Equity</v>
      </c>
      <c r="AY5" t="str">
        <f>_xll.BDS("INTC US Equity","SUPPLY_CHAIN_SUPPLIERS","RELATIONSHIP_AS_OF_DATE","20090604","cols=1;rows=5")</f>
        <v>ASML NA Equity</v>
      </c>
      <c r="BD5" t="str">
        <f>_xll.BDS("INTC US Equity","SUPPLY_CHAIN_CUSTOMERS","RELATIONSHIP_AS_OF_DATE","20090604","cols=1;rows=5")</f>
        <v>DELL US Equity</v>
      </c>
      <c r="BI5" t="str">
        <f>_xll.BDS("DK US Equity","SUPPLY_CHAIN_SUPPLIERS","RELATIONSHIP_AS_OF_DATE","20161017","cols=1;rows=5")</f>
        <v>FANG US Equity</v>
      </c>
      <c r="BN5" t="str">
        <f>_xll.BDS("DK US Equity","SUPPLY_CHAIN_CUSTOMERS","RELATIONSHIP_AS_OF_DATE","20161017","cols=1;rows=4")</f>
        <v>DKL US Equity</v>
      </c>
      <c r="BS5" t="str">
        <f>_xll.BDS("RVTY US Equity","SUPPLY_CHAIN_SUPPLIERS","RELATIONSHIP_AS_OF_DATE","20010716","cols=1;rows=5")</f>
        <v>UPS US Equity</v>
      </c>
      <c r="BX5" t="str">
        <f>_xll.BDS("RVTY US Equity","SUPPLY_CHAIN_CUSTOMERS","RELATIONSHIP_AS_OF_DATE","20010716","cols=1;rows=5")</f>
        <v>002971 CH Equity</v>
      </c>
      <c r="CC5" t="str">
        <f>_xll.BDS("NLY US Equity","SUPPLY_CHAIN_SUPPLIERS","RELATIONSHIP_AS_OF_DATE","20121112")</f>
        <v>#N/A N/A</v>
      </c>
      <c r="CH5" t="str">
        <f>_xll.BDS("NLY US Equity","SUPPLY_CHAIN_CUSTOMERS","RELATIONSHIP_AS_OF_DATE","20121112")</f>
        <v>#N/A N/A</v>
      </c>
      <c r="CM5" t="str">
        <f>_xll.BDS("AAIC US Equity","SUPPLY_CHAIN_SUPPLIERS","RELATIONSHIP_AS_OF_DATE","20021115")</f>
        <v>#N/A N/A</v>
      </c>
      <c r="CR5" t="str">
        <f>_xll.BDS("AAIC US Equity","SUPPLY_CHAIN_CUSTOMERS","RELATIONSHIP_AS_OF_DATE","20021115")</f>
        <v>#N/A N/A</v>
      </c>
      <c r="CW5" t="str">
        <f>_xll.BDS("PACW US Equity","SUPPLY_CHAIN_SUPPLIERS","RELATIONSHIP_AS_OF_DATE","20150302")</f>
        <v>#N/A N/A</v>
      </c>
      <c r="DB5" t="str">
        <f>_xll.BDS("PACW US Equity","SUPPLY_CHAIN_CUSTOMERS","RELATIONSHIP_AS_OF_DATE","20150302")</f>
        <v>SNX US Equity</v>
      </c>
      <c r="DG5" t="str">
        <f>_xll.BDS("BX US Equity","SUPPLY_CHAIN_SUPPLIERS","RELATIONSHIP_AS_OF_DATE","20060630","cols=1;rows=5")</f>
        <v>ORCL US Equity</v>
      </c>
      <c r="DL5" t="str">
        <f>_xll.BDS("BX US Equity","SUPPLY_CHAIN_CUSTOMERS","RELATIONSHIP_AS_OF_DATE","20060630","cols=1;rows=5")</f>
        <v>002284 CH Equity</v>
      </c>
      <c r="DQ5" t="str">
        <f>_xll.BDS("CRXA US Equity","SUPPLY_CHAIN_SUPPLIERS","RELATIONSHIP_AS_OF_DATE","20001016")</f>
        <v>#N/A N/A</v>
      </c>
      <c r="DV5" t="str">
        <f>_xll.BDS("CRXA US Equity","SUPPLY_CHAIN_CUSTOMERS","RELATIONSHIP_AS_OF_DATE","20001016")</f>
        <v>#N/A N/A</v>
      </c>
      <c r="EA5" t="str">
        <f>_xll.BDS("MDT US Equity","SUPPLY_CHAIN_SUPPLIERS","RELATIONSHIP_AS_OF_DATE","19990827","cols=1;rows=5")</f>
        <v>FLEX US Equity</v>
      </c>
      <c r="EF5" t="str">
        <f>_xll.BDS("MDT US Equity","SUPPLY_CHAIN_CUSTOMERS","RELATIONSHIP_AS_OF_DATE","19990827","cols=1;rows=5")</f>
        <v>4104 TT Equity</v>
      </c>
      <c r="EK5" t="str">
        <f>_xll.BDS("SFD US Equity","SUPPLY_CHAIN_SUPPLIERS","RELATIONSHIP_AS_OF_DATE","20060918","cols=1;rows=3")</f>
        <v>2177736D US Equity</v>
      </c>
      <c r="EP5" t="str">
        <f>_xll.BDS("SFD US Equity","SUPPLY_CHAIN_CUSTOMERS","RELATIONSHIP_AS_OF_DATE","20060918","cols=1;rows=5")</f>
        <v>WMT US Equity</v>
      </c>
      <c r="EU5" t="str">
        <f>_xll.BDS("UDR US Equity","SUPPLY_CHAIN_SUPPLIERS","RELATIONSHIP_AS_OF_DATE","19980911","cols=1;rows=3")</f>
        <v>1538739D SS Equity</v>
      </c>
      <c r="EZ5" t="str">
        <f>_xll.BDS("UDR US Equity","SUPPLY_CHAIN_CUSTOMERS","RELATIONSHIP_AS_OF_DATE","19980911")</f>
        <v>FFB SJ Equity</v>
      </c>
      <c r="FE5" t="str">
        <f>_xll.BDS("ICGC US Equity","SUPPLY_CHAIN_SUPPLIERS","RELATIONSHIP_AS_OF_DATE","20040817")</f>
        <v>#N/A N/A</v>
      </c>
      <c r="FJ5" t="str">
        <f>_xll.BDS("ICGC US Equity","SUPPLY_CHAIN_CUSTOMERS","RELATIONSHIP_AS_OF_DATE","20040817")</f>
        <v>#N/A N/A</v>
      </c>
      <c r="FO5" t="str">
        <f>_xll.BDS("NTLDQ US Equity","SUPPLY_CHAIN_SUPPLIERS","RELATIONSHIP_AS_OF_DATE","19980205")</f>
        <v>#N/A N/A</v>
      </c>
      <c r="FT5" t="str">
        <f>_xll.BDS("NTLDQ US Equity","SUPPLY_CHAIN_CUSTOMERS","RELATIONSHIP_AS_OF_DATE","19980205")</f>
        <v>#N/A N/A</v>
      </c>
      <c r="FY5" t="str">
        <f>_xll.BDS("LEN US Equity","SUPPLY_CHAIN_SUPPLIERS","RELATIONSHIP_AS_OF_DATE","20160922","cols=1;rows=5")</f>
        <v>WLK US Equity</v>
      </c>
      <c r="GD5" t="str">
        <f>_xll.BDS("LEN US Equity","SUPPLY_CHAIN_CUSTOMERS","RELATIONSHIP_AS_OF_DATE","20160922")</f>
        <v>#N/A N/A</v>
      </c>
      <c r="GI5" t="str">
        <f>_xll.BDS("KR US Equity","SUPPLY_CHAIN_SUPPLIERS","RELATIONSHIP_AS_OF_DATE","20151111","cols=1;rows=5")</f>
        <v>CAH US Equity</v>
      </c>
      <c r="GN5" t="str">
        <f>_xll.BDS("KR US Equity","SUPPLY_CHAIN_CUSTOMERS","RELATIONSHIP_AS_OF_DATE","20151111")</f>
        <v>TTD US Equity</v>
      </c>
      <c r="GS5" t="str">
        <f>_xll.BDS("SNCR US Equity","SUPPLY_CHAIN_SUPPLIERS","RELATIONSHIP_AS_OF_DATE","20161206")</f>
        <v>PPL US Equity</v>
      </c>
      <c r="GX5" t="str">
        <f>_xll.BDS("SNCR US Equity","SUPPLY_CHAIN_CUSTOMERS","RELATIONSHIP_AS_OF_DATE","20161206","cols=1;rows=5")</f>
        <v>VZ US Equity</v>
      </c>
      <c r="HC5" t="str">
        <f>_xll.BDS("2596516D US Equity","SUPPLY_CHAIN_SUPPLIERS","RELATIONSHIP_AS_OF_DATE","20000620")</f>
        <v>#N/A N/A</v>
      </c>
      <c r="HH5" t="str">
        <f>_xll.BDS("2596516D US Equity","SUPPLY_CHAIN_CUSTOMERS","RELATIONSHIP_AS_OF_DATE","20000620")</f>
        <v>#N/A N/A</v>
      </c>
      <c r="HM5" t="str">
        <f>_xll.BDS("STEL US Equity","SUPPLY_CHAIN_SUPPLIERS","RELATIONSHIP_AS_OF_DATE","20211108")</f>
        <v>#N/A N/A</v>
      </c>
      <c r="HR5" t="str">
        <f>_xll.BDS("STEL US Equity","SUPPLY_CHAIN_CUSTOMERS","RELATIONSHIP_AS_OF_DATE","20211108")</f>
        <v>#N/A N/A</v>
      </c>
      <c r="HW5" t="str">
        <f>_xll.BDS("RRD US Equity","SUPPLY_CHAIN_SUPPLIERS","RELATIONSHIP_AS_OF_DATE","20061031","cols=1;rows=5")</f>
        <v>FNOVA17 MM Equity</v>
      </c>
      <c r="IB5" t="str">
        <f>_xll.BDS("RRD US Equity","SUPPLY_CHAIN_CUSTOMERS","RELATIONSHIP_AS_OF_DATE","20061031","cols=1;rows=5")</f>
        <v>1646058D US Equity</v>
      </c>
      <c r="IG5" t="str">
        <f>_xll.BDS("KMB US Equity","SUPPLY_CHAIN_SUPPLIERS","RELATIONSHIP_AS_OF_DATE","19991117","cols=1;rows=5")</f>
        <v>GPK US Equity</v>
      </c>
      <c r="IL5" t="str">
        <f>_xll.BDS("KMB US Equity","SUPPLY_CHAIN_CUSTOMERS","RELATIONSHIP_AS_OF_DATE","19991117","cols=1;rows=5")</f>
        <v>WMT US Equity</v>
      </c>
      <c r="IQ5" t="str">
        <f>_xll.BDS("MS US Equity","SUPPLY_CHAIN_SUPPLIERS","RELATIONSHIP_AS_OF_DATE","20060322","cols=1;rows=5")</f>
        <v>DLR US Equity</v>
      </c>
      <c r="IV5" t="str">
        <f>_xll.BDS("MS US Equity","SUPPLY_CHAIN_CUSTOMERS","RELATIONSHIP_AS_OF_DATE","20060322","cols=1;rows=5")</f>
        <v>012690 KS Equity</v>
      </c>
      <c r="JA5" t="str">
        <f>_xll.BDS("LKQ US Equity","SUPPLY_CHAIN_SUPPLIERS","RELATIONSHIP_AS_OF_DATE","20070717","cols=1;rows=5")</f>
        <v>INFO IN Equity</v>
      </c>
      <c r="JF5" t="str">
        <f>_xll.BDS("LKQ US Equity","SUPPLY_CHAIN_CUSTOMERS","RELATIONSHIP_AS_OF_DATE","20070717","cols=1;rows=5")</f>
        <v>CEC GR Equity</v>
      </c>
      <c r="JK5" t="str">
        <f>_xll.BDS("TMHC US Equity","SUPPLY_CHAIN_SUPPLIERS","RELATIONSHIP_AS_OF_DATE","20180607","cols=1;rows=4")</f>
        <v>WMS US Equity</v>
      </c>
      <c r="JP5" t="str">
        <f>_xll.BDS("TMHC US Equity","SUPPLY_CHAIN_CUSTOMERS","RELATIONSHIP_AS_OF_DATE","20180607")</f>
        <v>#N/A N/A</v>
      </c>
      <c r="JU5" t="str">
        <f>_xll.BDS("0876902D US Equity","SUPPLY_CHAIN_SUPPLIERS","RELATIONSHIP_AS_OF_DATE","20050705","cols=1;rows=5")</f>
        <v>067010 KS Equity</v>
      </c>
      <c r="JZ5" t="str">
        <f>_xll.BDS("0876902D US Equity","SUPPLY_CHAIN_CUSTOMERS","RELATIONSHIP_AS_OF_DATE","20050705")</f>
        <v>SNX US Equity</v>
      </c>
      <c r="KE5" t="str">
        <f>_xll.BDS("INTC US Equity","SUPPLY_CHAIN_SUPPLIERS","RELATIONSHIP_AS_OF_DATE","19990601","cols=1;rows=5")</f>
        <v>ASML NA Equity</v>
      </c>
      <c r="KJ5" t="str">
        <f>_xll.BDS("INTC US Equity","SUPPLY_CHAIN_CUSTOMERS","RELATIONSHIP_AS_OF_DATE","19990601","cols=1;rows=5")</f>
        <v>DELL US Equity</v>
      </c>
      <c r="KO5" t="str">
        <f>_xll.BDS("355488Q US Equity","SUPPLY_CHAIN_SUPPLIERS","RELATIONSHIP_AS_OF_DATE","20001218")</f>
        <v>#N/A N/A</v>
      </c>
      <c r="KT5" t="str">
        <f>_xll.BDS("355488Q US Equity","SUPPLY_CHAIN_CUSTOMERS","RELATIONSHIP_AS_OF_DATE","20001218")</f>
        <v>#N/A N/A</v>
      </c>
      <c r="KY5" t="str">
        <f>_xll.BDS("AA US Equity","SUPPLY_CHAIN_SUPPLIERS","RELATIONSHIP_AS_OF_DATE","20020318","cols=1;rows=5")</f>
        <v>MAADEN AB Equity</v>
      </c>
      <c r="LD5" t="str">
        <f>_xll.BDS("AA US Equity","SUPPLY_CHAIN_CUSTOMERS","RELATIONSHIP_AS_OF_DATE","20020318","cols=1;rows=5")</f>
        <v>MAADEN AB Equity</v>
      </c>
      <c r="LI5" t="str">
        <f>_xll.BDS("HPQ US Equity","SUPPLY_CHAIN_SUPPLIERS","RELATIONSHIP_AS_OF_DATE","20100428","cols=1;rows=5")</f>
        <v>2356 TT Equity</v>
      </c>
      <c r="LN5" t="str">
        <f>_xll.BDS("HPQ US Equity","SUPPLY_CHAIN_CUSTOMERS","RELATIONSHIP_AS_OF_DATE","20100428","cols=1;rows=5")</f>
        <v>SNX US Equity</v>
      </c>
      <c r="LS5" t="str">
        <f>_xll.BDS("ECOL US Equity","SUPPLY_CHAIN_SUPPLIERS","RELATIONSHIP_AS_OF_DATE","20190624")</f>
        <v>FE US Equity</v>
      </c>
      <c r="LX5" t="str">
        <f>_xll.BDS("ECOL US Equity","SUPPLY_CHAIN_CUSTOMERS","RELATIONSHIP_AS_OF_DATE","20190624")</f>
        <v>#N/A N/A</v>
      </c>
      <c r="MC5" t="str">
        <f>_xll.BDS("CIEN US Equity","SUPPLY_CHAIN_SUPPLIERS","RELATIONSHIP_AS_OF_DATE","20020218","cols=1;rows=5")</f>
        <v>LITE US Equity</v>
      </c>
      <c r="MH5" t="str">
        <f>_xll.BDS("CIEN US Equity","SUPPLY_CHAIN_CUSTOMERS","RELATIONSHIP_AS_OF_DATE","20020218","cols=1;rows=5")</f>
        <v>T US Equity</v>
      </c>
      <c r="MM5" t="str">
        <f>_xll.BDS("CVIAQ US Equity","SUPPLY_CHAIN_SUPPLIERS","RELATIONSHIP_AS_OF_DATE","20171212")</f>
        <v>#N/A N/A</v>
      </c>
      <c r="MR5" t="str">
        <f>_xll.BDS("CVIAQ US Equity","SUPPLY_CHAIN_CUSTOMERS","RELATIONSHIP_AS_OF_DATE","20171212")</f>
        <v>#N/A N/A</v>
      </c>
      <c r="MW5" t="str">
        <f>_xll.BDS("1284849D US Equity","SUPPLY_CHAIN_SUPPLIERS","RELATIONSHIP_AS_OF_DATE","20130122","cols=1;rows=5")</f>
        <v>AEE US Equity</v>
      </c>
      <c r="NB5" t="str">
        <f>_xll.BDS("1284849D US Equity","SUPPLY_CHAIN_CUSTOMERS","RELATIONSHIP_AS_OF_DATE","20130122")</f>
        <v>4569 JP Equity</v>
      </c>
      <c r="NG5" t="str">
        <f>_xll.BDS("DLX US Equity","SUPPLY_CHAIN_SUPPLIERS","RELATIONSHIP_AS_OF_DATE","20040517","cols=1;rows=5")</f>
        <v>FSP US Equity</v>
      </c>
      <c r="NL5" t="str">
        <f>_xll.BDS("DLX US Equity","SUPPLY_CHAIN_CUSTOMERS","RELATIONSHIP_AS_OF_DATE","20040517","cols=1;rows=5")</f>
        <v>3554968Z US Equity</v>
      </c>
      <c r="NQ5" t="str">
        <f>_xll.BDS("WBA US Equity","SUPPLY_CHAIN_SUPPLIERS","RELATIONSHIP_AS_OF_DATE","20070702","cols=1;rows=5")</f>
        <v>COR US Equity</v>
      </c>
      <c r="NV5" t="str">
        <f>_xll.BDS("WBA US Equity","SUPPLY_CHAIN_CUSTOMERS","RELATIONSHIP_AS_OF_DATE","20070702","cols=1;rows=5")</f>
        <v>1920799D US Equity</v>
      </c>
      <c r="OA5" t="str">
        <f>_xll.BDS("IBM US Equity","SUPPLY_CHAIN_SUPPLIERS","RELATIONSHIP_AS_OF_DATE","20090728","cols=1;rows=5")</f>
        <v>005930 KS Equity</v>
      </c>
      <c r="OF5" t="str">
        <f>_xll.BDS("IBM US Equity","SUPPLY_CHAIN_CUSTOMERS","RELATIONSHIP_AS_OF_DATE","20090728","cols=1;rows=5")</f>
        <v>AMZN US Equity</v>
      </c>
    </row>
    <row r="6" spans="1:396" x14ac:dyDescent="0.25">
      <c r="A6" t="s">
        <v>10877</v>
      </c>
      <c r="F6" t="s">
        <v>11686</v>
      </c>
      <c r="K6" t="s">
        <v>11760</v>
      </c>
      <c r="P6" t="s">
        <v>12685</v>
      </c>
      <c r="AO6" t="s">
        <v>11042</v>
      </c>
      <c r="AT6" t="s">
        <v>2705</v>
      </c>
      <c r="AY6" t="s">
        <v>11090</v>
      </c>
      <c r="BD6" t="s">
        <v>261</v>
      </c>
      <c r="BI6" t="s">
        <v>11757</v>
      </c>
      <c r="BN6" t="s">
        <v>11636</v>
      </c>
      <c r="BS6" t="s">
        <v>11168</v>
      </c>
      <c r="BX6" t="s">
        <v>11581</v>
      </c>
      <c r="DG6" t="s">
        <v>7544</v>
      </c>
      <c r="DL6" t="s">
        <v>11020</v>
      </c>
      <c r="EA6" t="s">
        <v>11060</v>
      </c>
      <c r="EF6" t="s">
        <v>11016</v>
      </c>
      <c r="EK6" t="s">
        <v>10941</v>
      </c>
      <c r="EP6" t="s">
        <v>477</v>
      </c>
      <c r="EU6" t="s">
        <v>13020</v>
      </c>
      <c r="FY6" t="s">
        <v>6073</v>
      </c>
      <c r="GI6" t="s">
        <v>378</v>
      </c>
      <c r="GX6" t="s">
        <v>41</v>
      </c>
      <c r="HW6" t="s">
        <v>11290</v>
      </c>
      <c r="IB6" t="s">
        <v>11284</v>
      </c>
      <c r="IG6" t="s">
        <v>11846</v>
      </c>
      <c r="IL6" t="s">
        <v>10805</v>
      </c>
      <c r="IQ6" t="s">
        <v>11840</v>
      </c>
      <c r="IV6" t="s">
        <v>12493</v>
      </c>
      <c r="JA6" t="s">
        <v>487</v>
      </c>
      <c r="JF6" t="s">
        <v>10949</v>
      </c>
      <c r="JK6" t="s">
        <v>12381</v>
      </c>
      <c r="JU6" t="s">
        <v>12743</v>
      </c>
      <c r="KE6" t="s">
        <v>11090</v>
      </c>
      <c r="KJ6" t="s">
        <v>261</v>
      </c>
      <c r="KY6" t="s">
        <v>12250</v>
      </c>
      <c r="LD6" t="s">
        <v>12161</v>
      </c>
      <c r="LI6" t="s">
        <v>383</v>
      </c>
      <c r="LN6" t="s">
        <v>4139</v>
      </c>
      <c r="MC6" t="s">
        <v>11170</v>
      </c>
      <c r="MH6" t="s">
        <v>49</v>
      </c>
      <c r="MW6" t="s">
        <v>10696</v>
      </c>
      <c r="NG6" t="s">
        <v>158</v>
      </c>
      <c r="NL6" t="s">
        <v>11865</v>
      </c>
      <c r="NQ6" t="s">
        <v>11117</v>
      </c>
      <c r="NV6" t="s">
        <v>11805</v>
      </c>
      <c r="OA6" t="s">
        <v>41</v>
      </c>
      <c r="OF6" t="s">
        <v>266</v>
      </c>
    </row>
    <row r="7" spans="1:396" x14ac:dyDescent="0.25">
      <c r="A7" t="s">
        <v>11282</v>
      </c>
      <c r="F7" t="s">
        <v>11114</v>
      </c>
      <c r="K7" t="s">
        <v>12713</v>
      </c>
      <c r="P7" t="s">
        <v>11299</v>
      </c>
      <c r="AO7" t="s">
        <v>12289</v>
      </c>
      <c r="AT7" t="s">
        <v>11376</v>
      </c>
      <c r="AY7" t="s">
        <v>10729</v>
      </c>
      <c r="BD7" t="s">
        <v>10853</v>
      </c>
      <c r="BI7" t="s">
        <v>11758</v>
      </c>
      <c r="BN7" t="s">
        <v>12049</v>
      </c>
      <c r="BS7" t="s">
        <v>10884</v>
      </c>
      <c r="BX7" t="s">
        <v>11430</v>
      </c>
      <c r="DG7" t="s">
        <v>11054</v>
      </c>
      <c r="DL7" t="s">
        <v>11021</v>
      </c>
      <c r="EA7" t="s">
        <v>10735</v>
      </c>
      <c r="EF7" t="s">
        <v>8926</v>
      </c>
      <c r="EK7" t="s">
        <v>12523</v>
      </c>
      <c r="EP7" t="s">
        <v>10992</v>
      </c>
      <c r="EU7" t="s">
        <v>12431</v>
      </c>
      <c r="FY7" t="s">
        <v>4307</v>
      </c>
      <c r="GI7" t="s">
        <v>11946</v>
      </c>
      <c r="GX7" t="s">
        <v>12920</v>
      </c>
      <c r="HW7" t="s">
        <v>1654</v>
      </c>
      <c r="IB7" t="s">
        <v>11285</v>
      </c>
      <c r="IG7" t="s">
        <v>10814</v>
      </c>
      <c r="IL7" t="s">
        <v>469</v>
      </c>
      <c r="IQ7" t="s">
        <v>12364</v>
      </c>
      <c r="IV7" t="s">
        <v>12494</v>
      </c>
      <c r="JA7" t="s">
        <v>10872</v>
      </c>
      <c r="JF7" t="s">
        <v>10950</v>
      </c>
      <c r="JK7" t="s">
        <v>1850</v>
      </c>
      <c r="JU7" t="s">
        <v>12744</v>
      </c>
      <c r="KE7" t="s">
        <v>10729</v>
      </c>
      <c r="KJ7" t="s">
        <v>10853</v>
      </c>
      <c r="KY7" t="s">
        <v>12204</v>
      </c>
      <c r="LD7" t="s">
        <v>12162</v>
      </c>
      <c r="LI7" t="s">
        <v>11038</v>
      </c>
      <c r="LN7" t="s">
        <v>11749</v>
      </c>
      <c r="MC7" t="s">
        <v>11060</v>
      </c>
      <c r="MH7" t="s">
        <v>53</v>
      </c>
      <c r="MW7" t="s">
        <v>1265</v>
      </c>
      <c r="NG7" t="s">
        <v>693</v>
      </c>
      <c r="NL7" t="s">
        <v>11866</v>
      </c>
      <c r="NQ7" t="s">
        <v>58</v>
      </c>
      <c r="NV7" t="s">
        <v>1468</v>
      </c>
      <c r="OA7" t="s">
        <v>469</v>
      </c>
      <c r="OF7" t="s">
        <v>10892</v>
      </c>
    </row>
    <row r="8" spans="1:396" x14ac:dyDescent="0.25">
      <c r="A8" t="s">
        <v>11283</v>
      </c>
      <c r="F8" t="s">
        <v>11010</v>
      </c>
      <c r="K8" t="s">
        <v>12714</v>
      </c>
      <c r="P8" t="s">
        <v>11712</v>
      </c>
      <c r="AO8" t="s">
        <v>273</v>
      </c>
      <c r="AT8" t="s">
        <v>5236</v>
      </c>
      <c r="AY8" t="s">
        <v>10892</v>
      </c>
      <c r="BD8" t="s">
        <v>11566</v>
      </c>
      <c r="BI8" t="s">
        <v>11312</v>
      </c>
      <c r="BN8" t="s">
        <v>10657</v>
      </c>
      <c r="BS8" t="s">
        <v>10830</v>
      </c>
      <c r="BX8" t="s">
        <v>11582</v>
      </c>
      <c r="DG8" t="s">
        <v>11055</v>
      </c>
      <c r="DL8" t="s">
        <v>11022</v>
      </c>
      <c r="EA8" t="s">
        <v>3439</v>
      </c>
      <c r="EF8" t="s">
        <v>10140</v>
      </c>
      <c r="EP8" t="s">
        <v>10805</v>
      </c>
      <c r="FY8" t="s">
        <v>11362</v>
      </c>
      <c r="GI8" t="s">
        <v>58</v>
      </c>
      <c r="GX8" t="s">
        <v>12921</v>
      </c>
      <c r="HW8" t="s">
        <v>2111</v>
      </c>
      <c r="IB8" t="s">
        <v>5236</v>
      </c>
      <c r="IG8" t="s">
        <v>12367</v>
      </c>
      <c r="IL8" t="s">
        <v>477</v>
      </c>
      <c r="IQ8" t="s">
        <v>12303</v>
      </c>
      <c r="IV8" t="s">
        <v>3610</v>
      </c>
      <c r="JA8" t="s">
        <v>11395</v>
      </c>
      <c r="JF8" t="s">
        <v>10951</v>
      </c>
      <c r="JK8" t="s">
        <v>8230</v>
      </c>
      <c r="JU8" t="s">
        <v>8932</v>
      </c>
      <c r="KE8" t="s">
        <v>10892</v>
      </c>
      <c r="KJ8" t="s">
        <v>11566</v>
      </c>
      <c r="KY8" t="s">
        <v>772</v>
      </c>
      <c r="LD8" t="s">
        <v>12163</v>
      </c>
      <c r="LI8" t="s">
        <v>11176</v>
      </c>
      <c r="LN8" t="s">
        <v>10660</v>
      </c>
      <c r="MC8" t="s">
        <v>10734</v>
      </c>
      <c r="MH8" t="s">
        <v>469</v>
      </c>
      <c r="MW8" t="s">
        <v>158</v>
      </c>
      <c r="NG8" t="s">
        <v>10715</v>
      </c>
      <c r="NL8" t="s">
        <v>5412</v>
      </c>
      <c r="NQ8" t="s">
        <v>6897</v>
      </c>
      <c r="NV8" t="s">
        <v>11572</v>
      </c>
      <c r="OA8" t="s">
        <v>2881</v>
      </c>
      <c r="OF8" t="s">
        <v>6473</v>
      </c>
    </row>
    <row r="9" spans="1:396" x14ac:dyDescent="0.25">
      <c r="A9" t="s">
        <v>11139</v>
      </c>
      <c r="F9" t="s">
        <v>10660</v>
      </c>
      <c r="K9" t="s">
        <v>11229</v>
      </c>
      <c r="P9" t="s">
        <v>12686</v>
      </c>
      <c r="AO9" t="s">
        <v>11461</v>
      </c>
      <c r="AT9" t="s">
        <v>469</v>
      </c>
      <c r="AY9" t="s">
        <v>1267</v>
      </c>
      <c r="BD9" t="s">
        <v>11875</v>
      </c>
      <c r="BI9" t="s">
        <v>10677</v>
      </c>
      <c r="BS9" t="s">
        <v>11169</v>
      </c>
      <c r="BX9" t="s">
        <v>11583</v>
      </c>
      <c r="DG9" t="s">
        <v>11056</v>
      </c>
      <c r="DL9" t="s">
        <v>11023</v>
      </c>
      <c r="EA9" t="s">
        <v>10806</v>
      </c>
      <c r="EF9" t="s">
        <v>10746</v>
      </c>
      <c r="EP9" t="s">
        <v>5983</v>
      </c>
      <c r="FY9" t="s">
        <v>11363</v>
      </c>
      <c r="GI9" t="s">
        <v>687</v>
      </c>
      <c r="GX9" t="s">
        <v>12125</v>
      </c>
      <c r="HW9" t="s">
        <v>10696</v>
      </c>
      <c r="IB9" t="s">
        <v>10992</v>
      </c>
      <c r="IG9" t="s">
        <v>11516</v>
      </c>
      <c r="IL9" t="s">
        <v>10944</v>
      </c>
      <c r="IQ9" t="s">
        <v>11910</v>
      </c>
      <c r="IV9" t="s">
        <v>6473</v>
      </c>
      <c r="JA9" t="s">
        <v>2883</v>
      </c>
      <c r="JF9" t="s">
        <v>10952</v>
      </c>
      <c r="JU9" t="s">
        <v>5755</v>
      </c>
      <c r="KE9" t="s">
        <v>1267</v>
      </c>
      <c r="KJ9" t="s">
        <v>11875</v>
      </c>
      <c r="KY9" t="s">
        <v>10940</v>
      </c>
      <c r="LD9" t="s">
        <v>12164</v>
      </c>
      <c r="LI9" t="s">
        <v>10852</v>
      </c>
      <c r="LN9" t="s">
        <v>10918</v>
      </c>
      <c r="MC9" t="s">
        <v>792</v>
      </c>
      <c r="MH9" t="s">
        <v>266</v>
      </c>
      <c r="MW9" t="s">
        <v>260</v>
      </c>
      <c r="NG9" t="s">
        <v>10740</v>
      </c>
      <c r="NL9" t="s">
        <v>987</v>
      </c>
      <c r="NQ9" t="s">
        <v>11852</v>
      </c>
      <c r="NV9" t="s">
        <v>11806</v>
      </c>
      <c r="OA9" t="s">
        <v>10853</v>
      </c>
      <c r="OF9" t="s">
        <v>969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3742</v>
      </c>
      <c r="K1" s="1" t="s">
        <v>3743</v>
      </c>
      <c r="U1" s="1" t="s">
        <v>3744</v>
      </c>
      <c r="AE1" s="1" t="s">
        <v>3745</v>
      </c>
      <c r="AO1" s="1" t="s">
        <v>3746</v>
      </c>
      <c r="AY1" s="1" t="s">
        <v>3747</v>
      </c>
      <c r="BI1" s="1" t="s">
        <v>3748</v>
      </c>
      <c r="BS1" s="1" t="s">
        <v>3749</v>
      </c>
      <c r="CC1" s="1" t="s">
        <v>3750</v>
      </c>
      <c r="CM1" s="1" t="s">
        <v>3751</v>
      </c>
      <c r="CW1" s="1" t="s">
        <v>3752</v>
      </c>
      <c r="DG1" s="1" t="s">
        <v>3753</v>
      </c>
      <c r="DQ1" s="1" t="s">
        <v>3754</v>
      </c>
      <c r="EA1" s="1" t="s">
        <v>3755</v>
      </c>
      <c r="EK1" s="1" t="s">
        <v>3756</v>
      </c>
      <c r="EU1" s="1" t="s">
        <v>3757</v>
      </c>
      <c r="FE1" s="1" t="s">
        <v>3758</v>
      </c>
      <c r="FO1" s="1" t="s">
        <v>3759</v>
      </c>
      <c r="FY1" s="1" t="s">
        <v>3760</v>
      </c>
      <c r="GI1" s="1" t="s">
        <v>3761</v>
      </c>
      <c r="GS1" s="1" t="s">
        <v>3762</v>
      </c>
      <c r="HC1" s="1" t="s">
        <v>3763</v>
      </c>
      <c r="HM1" s="1" t="s">
        <v>3764</v>
      </c>
      <c r="HW1" s="1" t="s">
        <v>3765</v>
      </c>
      <c r="IG1" s="1" t="s">
        <v>3766</v>
      </c>
      <c r="IQ1" s="1" t="s">
        <v>3767</v>
      </c>
      <c r="JA1" s="1" t="s">
        <v>3768</v>
      </c>
      <c r="JK1" s="1" t="s">
        <v>3769</v>
      </c>
      <c r="JU1" s="1" t="s">
        <v>3770</v>
      </c>
      <c r="KE1" s="1" t="s">
        <v>3771</v>
      </c>
      <c r="KO1" s="1" t="s">
        <v>3772</v>
      </c>
      <c r="KY1" s="1" t="s">
        <v>3773</v>
      </c>
      <c r="LI1" s="1" t="s">
        <v>3774</v>
      </c>
      <c r="LS1" s="1" t="s">
        <v>3775</v>
      </c>
      <c r="MC1" s="1" t="s">
        <v>3776</v>
      </c>
      <c r="MM1" s="1" t="s">
        <v>3777</v>
      </c>
      <c r="MW1" s="1" t="s">
        <v>3778</v>
      </c>
      <c r="NG1" s="1" t="s">
        <v>3779</v>
      </c>
      <c r="NQ1" s="1" t="s">
        <v>3780</v>
      </c>
      <c r="OA1" s="1" t="s">
        <v>3781</v>
      </c>
    </row>
    <row r="2" spans="1:396" x14ac:dyDescent="0.25">
      <c r="A2" s="2" t="s">
        <v>2118</v>
      </c>
      <c r="K2" s="2" t="s">
        <v>3782</v>
      </c>
      <c r="U2" s="2" t="s">
        <v>161</v>
      </c>
      <c r="AE2" s="2" t="s">
        <v>3519</v>
      </c>
      <c r="AO2" s="2" t="s">
        <v>2872</v>
      </c>
      <c r="AY2" s="2" t="s">
        <v>1751</v>
      </c>
      <c r="BI2" s="2" t="s">
        <v>3783</v>
      </c>
      <c r="BS2" s="2" t="s">
        <v>270</v>
      </c>
      <c r="CC2" s="2" t="s">
        <v>1065</v>
      </c>
      <c r="CM2" s="2" t="s">
        <v>972</v>
      </c>
      <c r="CW2" s="2" t="s">
        <v>1164</v>
      </c>
      <c r="DG2" s="2" t="s">
        <v>3784</v>
      </c>
      <c r="DQ2" s="2" t="s">
        <v>3785</v>
      </c>
      <c r="EA2" s="2" t="s">
        <v>3786</v>
      </c>
      <c r="EK2" s="2" t="s">
        <v>3787</v>
      </c>
      <c r="EU2" s="2" t="s">
        <v>3788</v>
      </c>
      <c r="FE2" s="2" t="s">
        <v>3620</v>
      </c>
      <c r="FO2" s="2" t="s">
        <v>3789</v>
      </c>
      <c r="FY2" s="2" t="s">
        <v>3790</v>
      </c>
      <c r="GI2" s="2" t="s">
        <v>42</v>
      </c>
      <c r="GS2" s="2" t="s">
        <v>3791</v>
      </c>
      <c r="HC2" s="2" t="s">
        <v>1840</v>
      </c>
      <c r="HM2" s="2" t="s">
        <v>155</v>
      </c>
      <c r="HW2" s="2" t="s">
        <v>671</v>
      </c>
      <c r="IG2" s="2" t="s">
        <v>3792</v>
      </c>
      <c r="IQ2" s="2" t="s">
        <v>1740</v>
      </c>
      <c r="JA2" s="2" t="s">
        <v>986</v>
      </c>
      <c r="JK2" s="2" t="s">
        <v>3793</v>
      </c>
      <c r="JU2" s="2" t="s">
        <v>3794</v>
      </c>
      <c r="KE2" s="2" t="s">
        <v>880</v>
      </c>
      <c r="KO2" s="2" t="s">
        <v>2498</v>
      </c>
      <c r="KY2" s="2" t="s">
        <v>3795</v>
      </c>
      <c r="LI2" s="2" t="s">
        <v>271</v>
      </c>
      <c r="LS2" s="2" t="s">
        <v>2306</v>
      </c>
      <c r="MC2" s="2" t="s">
        <v>3796</v>
      </c>
      <c r="MM2" s="2" t="s">
        <v>3797</v>
      </c>
      <c r="MW2" s="2" t="s">
        <v>1363</v>
      </c>
      <c r="NG2" s="2" t="s">
        <v>3798</v>
      </c>
      <c r="NQ2" s="2" t="s">
        <v>679</v>
      </c>
      <c r="OA2" s="2" t="s">
        <v>2406</v>
      </c>
    </row>
    <row r="3" spans="1:396" x14ac:dyDescent="0.25">
      <c r="A3" t="s">
        <v>2892</v>
      </c>
      <c r="K3" t="s">
        <v>3799</v>
      </c>
      <c r="U3" t="s">
        <v>3800</v>
      </c>
      <c r="AE3" t="s">
        <v>3801</v>
      </c>
      <c r="AO3" t="s">
        <v>3802</v>
      </c>
      <c r="AY3" t="s">
        <v>3803</v>
      </c>
      <c r="BI3" t="s">
        <v>3804</v>
      </c>
      <c r="BS3" t="s">
        <v>3805</v>
      </c>
      <c r="CC3" t="s">
        <v>3806</v>
      </c>
      <c r="CM3" t="s">
        <v>3807</v>
      </c>
      <c r="CW3" t="s">
        <v>3808</v>
      </c>
      <c r="DG3" t="s">
        <v>805</v>
      </c>
      <c r="DQ3" t="s">
        <v>1393</v>
      </c>
      <c r="EA3" t="s">
        <v>3809</v>
      </c>
      <c r="EK3" t="s">
        <v>3810</v>
      </c>
      <c r="EU3" t="s">
        <v>3811</v>
      </c>
      <c r="FE3" t="s">
        <v>3812</v>
      </c>
      <c r="FO3" t="s">
        <v>3813</v>
      </c>
      <c r="FY3" t="s">
        <v>3814</v>
      </c>
      <c r="GI3" t="s">
        <v>106</v>
      </c>
      <c r="GS3" t="s">
        <v>3815</v>
      </c>
      <c r="HC3" t="s">
        <v>3816</v>
      </c>
      <c r="HM3" t="s">
        <v>3817</v>
      </c>
      <c r="HW3" t="s">
        <v>3818</v>
      </c>
      <c r="IG3" t="s">
        <v>3819</v>
      </c>
      <c r="IQ3" t="s">
        <v>3820</v>
      </c>
      <c r="JA3" t="s">
        <v>1580</v>
      </c>
      <c r="JK3" t="s">
        <v>3087</v>
      </c>
      <c r="JU3" t="s">
        <v>2538</v>
      </c>
      <c r="KE3" t="s">
        <v>1579</v>
      </c>
      <c r="KO3" t="s">
        <v>2525</v>
      </c>
      <c r="KY3" t="s">
        <v>3821</v>
      </c>
      <c r="LI3" t="s">
        <v>1475</v>
      </c>
      <c r="LS3" t="s">
        <v>3822</v>
      </c>
      <c r="MC3" t="s">
        <v>592</v>
      </c>
      <c r="MM3" t="s">
        <v>601</v>
      </c>
      <c r="MW3" t="s">
        <v>1880</v>
      </c>
      <c r="NG3" t="s">
        <v>3823</v>
      </c>
      <c r="NQ3" t="s">
        <v>2050</v>
      </c>
      <c r="OA3" t="s">
        <v>3824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_xll.BDS("ROVI US Equity","SUPPLY_CHAIN_SUPPLIERS","RELATIONSHIP_AS_OF_DATE","20101222")</f>
        <v>#N/A N/A</v>
      </c>
      <c r="F5" t="str">
        <f>_xll.BDS("ROVI US Equity","SUPPLY_CHAIN_CUSTOMERS","RELATIONSHIP_AS_OF_DATE","20101222")</f>
        <v>#N/A N/A</v>
      </c>
      <c r="K5" t="str">
        <f>_xll.BDS("CTB US Equity","SUPPLY_CHAIN_SUPPLIERS","RELATIONSHIP_AS_OF_DATE","19990727")</f>
        <v>FE US Equity</v>
      </c>
      <c r="P5" t="str">
        <f>_xll.BDS("CTB US Equity","SUPPLY_CHAIN_CUSTOMERS","RELATIONSHIP_AS_OF_DATE","19990727")</f>
        <v>#N/A N/A</v>
      </c>
      <c r="U5" t="str">
        <f>_xll.BDS("BX US Equity","SUPPLY_CHAIN_SUPPLIERS","RELATIONSHIP_AS_OF_DATE","20040818","cols=1;rows=5")</f>
        <v>ORCL US Equity</v>
      </c>
      <c r="Z5" t="str">
        <f>_xll.BDS("BX US Equity","SUPPLY_CHAIN_CUSTOMERS","RELATIONSHIP_AS_OF_DATE","20040818","cols=1;rows=5")</f>
        <v>002284 CH Equity</v>
      </c>
      <c r="AE5" t="str">
        <f>_xll.BDS("AVT US Equity","SUPPLY_CHAIN_SUPPLIERS","RELATIONSHIP_AS_OF_DATE","20010322","cols=1;rows=5")</f>
        <v>NXPI US Equity</v>
      </c>
      <c r="AJ5" t="str">
        <f>_xll.BDS("AVT US Equity","SUPPLY_CHAIN_CUSTOMERS","RELATIONSHIP_AS_OF_DATE","20010322","cols=1;rows=5")</f>
        <v>005930 KS Equity</v>
      </c>
      <c r="AO5" t="str">
        <f>_xll.BDS("SCI US Equity","SUPPLY_CHAIN_SUPPLIERS","RELATIONSHIP_AS_OF_DATE","19980806")</f>
        <v>#N/A N/A</v>
      </c>
      <c r="AT5" t="str">
        <f>_xll.BDS("SCI US Equity","SUPPLY_CHAIN_CUSTOMERS","RELATIONSHIP_AS_OF_DATE","19980806")</f>
        <v>#N/A N/A</v>
      </c>
      <c r="AY5" t="str">
        <f>_xll.BDS("HZNP US Equity","SUPPLY_CHAIN_SUPPLIERS","RELATIONSHIP_AS_OF_DATE","20160912","cols=1;rows=5")</f>
        <v>0217032D US Equity</v>
      </c>
      <c r="BD5" t="str">
        <f>_xll.BDS("HZNP US Equity","SUPPLY_CHAIN_CUSTOMERS","RELATIONSHIP_AS_OF_DATE","20160912","cols=1;rows=5")</f>
        <v>1789 TT Equity</v>
      </c>
      <c r="BI5" t="str">
        <f>_xll.BDS("6222B US Equity","SUPPLY_CHAIN_SUPPLIERS","RELATIONSHIP_AS_OF_DATE","20010115","cols=1;rows=5")</f>
        <v>STAG US Equity</v>
      </c>
      <c r="BN5" t="str">
        <f>_xll.BDS("6222B US Equity","SUPPLY_CHAIN_CUSTOMERS","RELATIONSHIP_AS_OF_DATE","20010115")</f>
        <v>735365Z US Equity</v>
      </c>
      <c r="BS5" t="str">
        <f>_xll.BDS("USB US Equity","SUPPLY_CHAIN_SUPPLIERS","RELATIONSHIP_AS_OF_DATE","19980410","cols=1;rows=5")</f>
        <v>INFO IN Equity</v>
      </c>
      <c r="BX5" t="str">
        <f>_xll.BDS("USB US Equity","SUPPLY_CHAIN_CUSTOMERS","RELATIONSHIP_AS_OF_DATE","19980410","cols=1;rows=2")</f>
        <v>FISV US Equity</v>
      </c>
      <c r="CC5" t="str">
        <f>_xll.BDS("PENN US Equity","SUPPLY_CHAIN_SUPPLIERS","RELATIONSHIP_AS_OF_DATE","20020807","cols=1;rows=5")</f>
        <v>GLPI US Equity</v>
      </c>
      <c r="CH5" t="str">
        <f>_xll.BDS("PENN US Equity","SUPPLY_CHAIN_CUSTOMERS","RELATIONSHIP_AS_OF_DATE","20020807","cols=1;rows=4")</f>
        <v>0127957D US Equity</v>
      </c>
      <c r="CM5" t="str">
        <f>_xll.BDS("BIIB US Equity","SUPPLY_CHAIN_SUPPLIERS","RELATIONSHIP_AS_OF_DATE","20190304","cols=1;rows=5")</f>
        <v>IONS US Equity</v>
      </c>
      <c r="CR5" t="str">
        <f>_xll.BDS("BIIB US Equity","SUPPLY_CHAIN_CUSTOMERS","RELATIONSHIP_AS_OF_DATE","20190304","cols=1;rows=5")</f>
        <v>COR US Equity</v>
      </c>
      <c r="CW5" t="str">
        <f>_xll.BDS("GE US Equity","SUPPLY_CHAIN_SUPPLIERS","RELATIONSHIP_AS_OF_DATE","20040315","cols=1;rows=5")</f>
        <v>SAF FP Equity</v>
      </c>
      <c r="DB5" t="str">
        <f>_xll.BDS("GE US Equity","SUPPLY_CHAIN_CUSTOMERS","RELATIONSHIP_AS_OF_DATE","20040315","cols=1;rows=5")</f>
        <v>3352Z US Equity</v>
      </c>
      <c r="DG5" t="str">
        <f>_xll.BDS("ITRI US Equity","SUPPLY_CHAIN_SUPPLIERS","RELATIONSHIP_AS_OF_DATE","20170918","cols=1;rows=5")</f>
        <v>JBL US Equity</v>
      </c>
      <c r="DL5" t="str">
        <f>_xll.BDS("ITRI US Equity","SUPPLY_CHAIN_CUSTOMERS","RELATIONSHIP_AS_OF_DATE","20170918","cols=1;rows=5")</f>
        <v>PPC GA Equity</v>
      </c>
      <c r="DQ5" t="str">
        <f>_xll.BDS("PRMW CN Equity","SUPPLY_CHAIN_SUPPLIERS","RELATIONSHIP_AS_OF_DATE","20200113","cols=1;rows=5")</f>
        <v>AEE US Equity</v>
      </c>
      <c r="DV5" t="str">
        <f>_xll.BDS("PRMW CN Equity","SUPPLY_CHAIN_CUSTOMERS","RELATIONSHIP_AS_OF_DATE","20200113")</f>
        <v>COST US Equity</v>
      </c>
      <c r="EA5" t="str">
        <f>_xll.BDS("NXTL US Equity","SUPPLY_CHAIN_SUPPLIERS","RELATIONSHIP_AS_OF_DATE","19951231")</f>
        <v>#N/A N/A</v>
      </c>
      <c r="EF5" t="str">
        <f>_xll.BDS("NXTL US Equity","SUPPLY_CHAIN_CUSTOMERS","RELATIONSHIP_AS_OF_DATE","19951231")</f>
        <v>#N/A N/A</v>
      </c>
      <c r="EK5" t="str">
        <f>_xll.BDS("SHP LN Equity","SUPPLY_CHAIN_SUPPLIERS","RELATIONSHIP_AS_OF_DATE","20110517","cols=1;rows=2")</f>
        <v>INFA US Equity</v>
      </c>
      <c r="EP5" t="str">
        <f>_xll.BDS("SHP LN Equity","SUPPLY_CHAIN_CUSTOMERS","RELATIONSHIP_AS_OF_DATE","20110517")</f>
        <v>#N/A N/A</v>
      </c>
      <c r="EU5" t="str">
        <f>_xll.BDS("ENS US Equity","SUPPLY_CHAIN_SUPPLIERS","RELATIONSHIP_AS_OF_DATE","20181029","cols=1;rows=5")</f>
        <v>002851 CH Equity</v>
      </c>
      <c r="EZ5" t="str">
        <f>_xll.BDS("ENS US Equity","SUPPLY_CHAIN_CUSTOMERS","RELATIONSHIP_AS_OF_DATE","20181029","cols=1;rows=5")</f>
        <v>0219682Z US Equity</v>
      </c>
      <c r="FE5" t="str">
        <f>_xll.BDS("VLY US Equity","SUPPLY_CHAIN_SUPPLIERS","RELATIONSHIP_AS_OF_DATE","20190626","cols=1;rows=2")</f>
        <v>VNO US Equity</v>
      </c>
      <c r="FJ5" t="str">
        <f>_xll.BDS("VLY US Equity","SUPPLY_CHAIN_CUSTOMERS","RELATIONSHIP_AS_OF_DATE","20190626")</f>
        <v>#N/A N/A</v>
      </c>
      <c r="FO5" t="str">
        <f>_xll.BDS("1918938D US Equity","SUPPLY_CHAIN_SUPPLIERS","RELATIONSHIP_AS_OF_DATE","20061109")</f>
        <v>#N/A N/A</v>
      </c>
      <c r="FT5" t="str">
        <f>_xll.BDS("1918938D US Equity","SUPPLY_CHAIN_CUSTOMERS","RELATIONSHIP_AS_OF_DATE","20061109")</f>
        <v>#N/A N/A</v>
      </c>
      <c r="FY5" t="str">
        <f>_xll.BDS("BERY US Equity","SUPPLY_CHAIN_SUPPLIERS","RELATIONSHIP_AS_OF_DATE","20160825","cols=1;rows=5")</f>
        <v>OERL SW Equity</v>
      </c>
      <c r="GD5" t="str">
        <f>_xll.BDS("BERY US Equity","SUPPLY_CHAIN_CUSTOMERS","RELATIONSHIP_AS_OF_DATE","20160825","cols=1;rows=5")</f>
        <v>WMT US Equity</v>
      </c>
      <c r="GI5" t="str">
        <f>_xll.BDS("RTX US Equity","SUPPLY_CHAIN_SUPPLIERS","RELATIONSHIP_AS_OF_DATE","20001016","cols=1;rows=5")</f>
        <v>MTX GR Equity</v>
      </c>
      <c r="GN5" t="str">
        <f>_xll.BDS("RTX US Equity","SUPPLY_CHAIN_CUSTOMERS","RELATIONSHIP_AS_OF_DATE","20001016","cols=1;rows=5")</f>
        <v>3352Z US Equity</v>
      </c>
      <c r="GS5" t="str">
        <f>_xll.BDS("EPB US Equity","SUPPLY_CHAIN_SUPPLIERS","RELATIONSHIP_AS_OF_DATE","20110629")</f>
        <v>#N/A N/A</v>
      </c>
      <c r="GX5" t="str">
        <f>_xll.BDS("EPB US Equity","SUPPLY_CHAIN_CUSTOMERS","RELATIONSHIP_AS_OF_DATE","20110629")</f>
        <v>#N/A N/A</v>
      </c>
      <c r="HC5" t="str">
        <f>_xll.BDS("9990822D US Equity","SUPPLY_CHAIN_SUPPLIERS","RELATIONSHIP_AS_OF_DATE","20120313")</f>
        <v>AMZN US Equity</v>
      </c>
      <c r="HH5" t="str">
        <f>_xll.BDS("9990822D US Equity","SUPPLY_CHAIN_CUSTOMERS","RELATIONSHIP_AS_OF_DATE","20120313","cols=1;rows=3")</f>
        <v>0759608D US Equity</v>
      </c>
      <c r="HM5" t="str">
        <f>_xll.BDS("VIAV US Equity","SUPPLY_CHAIN_SUPPLIERS","RELATIONSHIP_AS_OF_DATE","20050523","cols=1;rows=5")</f>
        <v>TCS IN Equity</v>
      </c>
      <c r="HR5" t="str">
        <f>_xll.BDS("VIAV US Equity","SUPPLY_CHAIN_CUSTOMERS","RELATIONSHIP_AS_OF_DATE","20050523","cols=1;rows=5")</f>
        <v>582647Z SW Equity</v>
      </c>
      <c r="HW5" t="str">
        <f>_xll.BDS("HET US Equity","SUPPLY_CHAIN_SUPPLIERS","RELATIONSHIP_AS_OF_DATE","19980810")</f>
        <v>#N/A N/A</v>
      </c>
      <c r="IB5" t="str">
        <f>_xll.BDS("HET US Equity","SUPPLY_CHAIN_CUSTOMERS","RELATIONSHIP_AS_OF_DATE","19980810")</f>
        <v>#N/A N/A</v>
      </c>
      <c r="IG5" t="str">
        <f>_xll.BDS("1436225D US Equity","SUPPLY_CHAIN_SUPPLIERS","RELATIONSHIP_AS_OF_DATE","19991201")</f>
        <v>#N/A N/A</v>
      </c>
      <c r="IL5" t="str">
        <f>_xll.BDS("1436225D US Equity","SUPPLY_CHAIN_CUSTOMERS","RELATIONSHIP_AS_OF_DATE","19991201")</f>
        <v>#N/A N/A</v>
      </c>
      <c r="IQ5" t="str">
        <f>_xll.BDS("AAL US Equity","SUPPLY_CHAIN_SUPPLIERS","RELATIONSHIP_AS_OF_DATE","20010110","cols=1;rows=5")</f>
        <v>BA US Equity</v>
      </c>
      <c r="IV5" t="str">
        <f>_xll.BDS("AAL US Equity","SUPPLY_CHAIN_CUSTOMERS","RELATIONSHIP_AS_OF_DATE","20010110","cols=1;rows=5")</f>
        <v>293 HK Equity</v>
      </c>
      <c r="JA5" t="str">
        <f>_xll.BDS("CG US Equity","SUPPLY_CHAIN_SUPPLIERS","RELATIONSHIP_AS_OF_DATE","20070129","cols=1;rows=5")</f>
        <v>SLG US Equity</v>
      </c>
      <c r="JF5" t="str">
        <f>_xll.BDS("CG US Equity","SUPPLY_CHAIN_CUSTOMERS","RELATIONSHIP_AS_OF_DATE","20070129","cols=1;rows=5")</f>
        <v>POOL US Equity</v>
      </c>
      <c r="JK5" t="str">
        <f>_xll.BDS("3423152Q US Equity","SUPPLY_CHAIN_SUPPLIERS","RELATIONSHIP_AS_OF_DATE","20010523")</f>
        <v>#N/A N/A</v>
      </c>
      <c r="JP5" t="str">
        <f>_xll.BDS("3423152Q US Equity","SUPPLY_CHAIN_CUSTOMERS","RELATIONSHIP_AS_OF_DATE","20010523")</f>
        <v>#N/A N/A</v>
      </c>
      <c r="JU5" t="str">
        <f>_xll.BDS("VRC US Equity","SUPPLY_CHAIN_SUPPLIERS","RELATIONSHIP_AS_OF_DATE","20000322")</f>
        <v>#N/A N/A</v>
      </c>
      <c r="JZ5" t="str">
        <f>_xll.BDS("VRC US Equity","SUPPLY_CHAIN_CUSTOMERS","RELATIONSHIP_AS_OF_DATE","20000322")</f>
        <v>#N/A N/A</v>
      </c>
      <c r="KE5" t="str">
        <f>_xll.BDS("2860436Q US Equity","SUPPLY_CHAIN_SUPPLIERS","RELATIONSHIP_AS_OF_DATE","20000222")</f>
        <v>#N/A N/A</v>
      </c>
      <c r="KJ5" t="str">
        <f>_xll.BDS("2860436Q US Equity","SUPPLY_CHAIN_CUSTOMERS","RELATIONSHIP_AS_OF_DATE","20000222")</f>
        <v>#N/A N/A</v>
      </c>
      <c r="KO5" t="str">
        <f>_xll.BDS("VMW US Equity","SUPPLY_CHAIN_SUPPLIERS","RELATIONSHIP_AS_OF_DATE","20190822","cols=1;rows=5")</f>
        <v>0956625D US Equity</v>
      </c>
      <c r="KT5" t="str">
        <f>_xll.BDS("VMW US Equity","SUPPLY_CHAIN_CUSTOMERS","RELATIONSHIP_AS_OF_DATE","20190822","cols=1;rows=5")</f>
        <v>002642 CH Equity</v>
      </c>
      <c r="KY5" t="str">
        <f>_xll.BDS("JJZ US Equity","SUPPLY_CHAIN_SUPPLIERS","RELATIONSHIP_AS_OF_DATE","19980217")</f>
        <v>#N/A N/A</v>
      </c>
      <c r="LD5" t="str">
        <f>_xll.BDS("JJZ US Equity","SUPPLY_CHAIN_CUSTOMERS","RELATIONSHIP_AS_OF_DATE","19980217")</f>
        <v>#N/A N/A</v>
      </c>
      <c r="LI5" t="str">
        <f>_xll.BDS("2968900Q US Equity","SUPPLY_CHAIN_SUPPLIERS","RELATIONSHIP_AS_OF_DATE","20011008")</f>
        <v>#N/A N/A</v>
      </c>
      <c r="LN5" t="str">
        <f>_xll.BDS("2968900Q US Equity","SUPPLY_CHAIN_CUSTOMERS","RELATIONSHIP_AS_OF_DATE","20011008")</f>
        <v>#N/A N/A</v>
      </c>
      <c r="LS5" t="str">
        <f>_xll.BDS("EQR US Equity","SUPPLY_CHAIN_SUPPLIERS","RELATIONSHIP_AS_OF_DATE","19990701","cols=1;rows=2")</f>
        <v>BLNK US Equity</v>
      </c>
      <c r="LX5" t="str">
        <f>_xll.BDS("EQR US Equity","SUPPLY_CHAIN_CUSTOMERS","RELATIONSHIP_AS_OF_DATE","19990701")</f>
        <v>#N/A N/A</v>
      </c>
      <c r="MC5" t="str">
        <f>_xll.BDS("1789494D US Equity","SUPPLY_CHAIN_SUPPLIERS","RELATIONSHIP_AS_OF_DATE","19990503")</f>
        <v>#N/A N/A</v>
      </c>
      <c r="MH5" t="str">
        <f>_xll.BDS("1789494D US Equity","SUPPLY_CHAIN_CUSTOMERS","RELATIONSHIP_AS_OF_DATE","19990503")</f>
        <v>CMLSQ US Equity</v>
      </c>
      <c r="MM5" t="str">
        <f>_xll.BDS("STRA US Equity","SUPPLY_CHAIN_SUPPLIERS","RELATIONSHIP_AS_OF_DATE","20171030","cols=1;rows=2")</f>
        <v>PCT NZ Equity</v>
      </c>
      <c r="MR5" t="str">
        <f>_xll.BDS("STRA US Equity","SUPPLY_CHAIN_CUSTOMERS","RELATIONSHIP_AS_OF_DATE","20171030")</f>
        <v>DG US Equity</v>
      </c>
      <c r="MW5" t="str">
        <f>_xll.BDS("BA US Equity","SUPPLY_CHAIN_SUPPLIERS","RELATIONSHIP_AS_OF_DATE","20100630","cols=1;rows=5")</f>
        <v>RTX US Equity</v>
      </c>
      <c r="NB5" t="str">
        <f>_xll.BDS("BA US Equity","SUPPLY_CHAIN_CUSTOMERS","RELATIONSHIP_AS_OF_DATE","20100630","cols=1;rows=5")</f>
        <v>3352Z US Equity</v>
      </c>
      <c r="NG5" t="str">
        <f>_xll.BDS("AUB US Equity","SUPPLY_CHAIN_SUPPLIERS","RELATIONSHIP_AS_OF_DATE","20170522")</f>
        <v>TEMN SW Equity</v>
      </c>
      <c r="NL5" t="str">
        <f>_xll.BDS("AUB US Equity","SUPPLY_CHAIN_CUSTOMERS","RELATIONSHIP_AS_OF_DATE","20170522")</f>
        <v>#N/A N/A</v>
      </c>
      <c r="NQ5" t="str">
        <f>_xll.BDS("EPD US Equity","SUPPLY_CHAIN_SUPPLIERS","RELATIONSHIP_AS_OF_DATE","20141112","cols=1;rows=5")</f>
        <v>MTDR US Equity</v>
      </c>
      <c r="NV5" t="str">
        <f>_xll.BDS("EPD US Equity","SUPPLY_CHAIN_CUSTOMERS","RELATIONSHIP_AS_OF_DATE","20141112","cols=1;rows=5")</f>
        <v>62647Z LN Equity</v>
      </c>
      <c r="OA5" t="str">
        <f>_xll.BDS("SRE US Equity","SUPPLY_CHAIN_SUPPLIERS","RELATIONSHIP_AS_OF_DATE","20080728","cols=1;rows=5")</f>
        <v>PWR US Equity</v>
      </c>
      <c r="OF5" t="str">
        <f>_xll.BDS("SRE US Equity","SUPPLY_CHAIN_CUSTOMERS","RELATIONSHIP_AS_OF_DATE","20080728","cols=1;rows=5")</f>
        <v>ARW US Equity</v>
      </c>
    </row>
    <row r="6" spans="1:396" x14ac:dyDescent="0.25">
      <c r="U6" t="s">
        <v>7544</v>
      </c>
      <c r="Z6" t="s">
        <v>11020</v>
      </c>
      <c r="AE6" t="s">
        <v>10853</v>
      </c>
      <c r="AJ6" t="s">
        <v>10893</v>
      </c>
      <c r="AY6" t="s">
        <v>10691</v>
      </c>
      <c r="BD6" t="s">
        <v>12840</v>
      </c>
      <c r="BI6" t="s">
        <v>10772</v>
      </c>
      <c r="BS6" t="s">
        <v>266</v>
      </c>
      <c r="BX6" t="s">
        <v>11294</v>
      </c>
      <c r="CC6" t="s">
        <v>12703</v>
      </c>
      <c r="CH6" t="s">
        <v>10921</v>
      </c>
      <c r="CM6" t="s">
        <v>12810</v>
      </c>
      <c r="CR6" t="s">
        <v>11018</v>
      </c>
      <c r="CW6" t="s">
        <v>11008</v>
      </c>
      <c r="DB6" t="s">
        <v>1363</v>
      </c>
      <c r="DG6" t="s">
        <v>6561</v>
      </c>
      <c r="DL6" t="s">
        <v>49</v>
      </c>
      <c r="DQ6" t="s">
        <v>158</v>
      </c>
      <c r="EK6" t="s">
        <v>4208</v>
      </c>
      <c r="EU6" t="s">
        <v>13059</v>
      </c>
      <c r="EZ6" t="s">
        <v>10778</v>
      </c>
      <c r="FE6" t="s">
        <v>3162</v>
      </c>
      <c r="FY6" t="s">
        <v>12697</v>
      </c>
      <c r="GD6" t="s">
        <v>58</v>
      </c>
      <c r="GI6" t="s">
        <v>11802</v>
      </c>
      <c r="GN6" t="s">
        <v>10939</v>
      </c>
      <c r="HH6" t="s">
        <v>2705</v>
      </c>
      <c r="HM6" t="s">
        <v>5575</v>
      </c>
      <c r="HR6" t="s">
        <v>5236</v>
      </c>
      <c r="IQ6" t="s">
        <v>1164</v>
      </c>
      <c r="IV6" t="s">
        <v>11085</v>
      </c>
      <c r="JA6" t="s">
        <v>10877</v>
      </c>
      <c r="JF6" t="s">
        <v>11686</v>
      </c>
      <c r="KO6" t="s">
        <v>12042</v>
      </c>
      <c r="KT6" t="s">
        <v>10892</v>
      </c>
      <c r="LS6" t="s">
        <v>12431</v>
      </c>
      <c r="MM6" t="s">
        <v>12430</v>
      </c>
      <c r="MW6" t="s">
        <v>1164</v>
      </c>
      <c r="NB6" t="s">
        <v>1652</v>
      </c>
      <c r="NQ6" t="s">
        <v>7384</v>
      </c>
      <c r="NV6" t="s">
        <v>2219</v>
      </c>
      <c r="OA6" t="s">
        <v>11991</v>
      </c>
      <c r="OF6" t="s">
        <v>11554</v>
      </c>
    </row>
    <row r="7" spans="1:396" x14ac:dyDescent="0.25">
      <c r="U7" t="s">
        <v>11054</v>
      </c>
      <c r="Z7" t="s">
        <v>11021</v>
      </c>
      <c r="AE7" t="s">
        <v>162</v>
      </c>
      <c r="AJ7" t="s">
        <v>10894</v>
      </c>
      <c r="AY7" t="s">
        <v>12847</v>
      </c>
      <c r="BD7" t="s">
        <v>11781</v>
      </c>
      <c r="BI7" t="s">
        <v>12821</v>
      </c>
      <c r="BS7" t="s">
        <v>1654</v>
      </c>
      <c r="CC7" t="s">
        <v>5236</v>
      </c>
      <c r="CH7" t="s">
        <v>46</v>
      </c>
      <c r="CM7" t="s">
        <v>11338</v>
      </c>
      <c r="CR7" t="s">
        <v>385</v>
      </c>
      <c r="CW7" t="s">
        <v>11009</v>
      </c>
      <c r="DB7" t="s">
        <v>10939</v>
      </c>
      <c r="DG7" t="s">
        <v>12366</v>
      </c>
      <c r="DL7" t="s">
        <v>3150</v>
      </c>
      <c r="DQ7" t="s">
        <v>693</v>
      </c>
      <c r="EU7" t="s">
        <v>11689</v>
      </c>
      <c r="EZ7" t="s">
        <v>10905</v>
      </c>
      <c r="FY7" t="s">
        <v>12698</v>
      </c>
      <c r="GD7" t="s">
        <v>52</v>
      </c>
      <c r="GI7" t="s">
        <v>11009</v>
      </c>
      <c r="GN7" t="s">
        <v>1363</v>
      </c>
      <c r="HH7" t="s">
        <v>270</v>
      </c>
      <c r="HM7" t="s">
        <v>11675</v>
      </c>
      <c r="HR7" t="s">
        <v>41</v>
      </c>
      <c r="IQ7" t="s">
        <v>42</v>
      </c>
      <c r="IV7" t="s">
        <v>11641</v>
      </c>
      <c r="JA7" t="s">
        <v>11282</v>
      </c>
      <c r="JF7" t="s">
        <v>11114</v>
      </c>
      <c r="KO7" t="s">
        <v>12620</v>
      </c>
      <c r="KT7" t="s">
        <v>12247</v>
      </c>
      <c r="MW7" t="s">
        <v>12294</v>
      </c>
      <c r="NB7" t="s">
        <v>3244</v>
      </c>
      <c r="NQ7" t="s">
        <v>3066</v>
      </c>
      <c r="NV7" t="s">
        <v>12240</v>
      </c>
      <c r="OA7" t="s">
        <v>12661</v>
      </c>
      <c r="OF7" t="s">
        <v>12015</v>
      </c>
    </row>
    <row r="8" spans="1:396" x14ac:dyDescent="0.25">
      <c r="U8" t="s">
        <v>11055</v>
      </c>
      <c r="Z8" t="s">
        <v>11022</v>
      </c>
      <c r="AE8" t="s">
        <v>6477</v>
      </c>
      <c r="AJ8" t="s">
        <v>10895</v>
      </c>
      <c r="AY8" t="s">
        <v>12848</v>
      </c>
      <c r="BD8" t="s">
        <v>12841</v>
      </c>
      <c r="BI8" t="s">
        <v>3875</v>
      </c>
      <c r="BS8" t="s">
        <v>772</v>
      </c>
      <c r="CC8" t="s">
        <v>12704</v>
      </c>
      <c r="CH8" t="s">
        <v>12687</v>
      </c>
      <c r="CM8" t="s">
        <v>4814</v>
      </c>
      <c r="CR8" t="s">
        <v>51</v>
      </c>
      <c r="CW8" t="s">
        <v>11010</v>
      </c>
      <c r="DB8" t="s">
        <v>1652</v>
      </c>
      <c r="DG8" t="s">
        <v>11337</v>
      </c>
      <c r="DL8" t="s">
        <v>8464</v>
      </c>
      <c r="DQ8" t="s">
        <v>260</v>
      </c>
      <c r="EU8" t="s">
        <v>13060</v>
      </c>
      <c r="EZ8" t="s">
        <v>12155</v>
      </c>
      <c r="FY8" t="s">
        <v>10696</v>
      </c>
      <c r="GD8" t="s">
        <v>10939</v>
      </c>
      <c r="GI8" t="s">
        <v>158</v>
      </c>
      <c r="GN8" t="s">
        <v>10785</v>
      </c>
      <c r="HM8" t="s">
        <v>11676</v>
      </c>
      <c r="HR8" t="s">
        <v>969</v>
      </c>
      <c r="IQ8" t="s">
        <v>7373</v>
      </c>
      <c r="IV8" t="s">
        <v>11642</v>
      </c>
      <c r="JA8" t="s">
        <v>11283</v>
      </c>
      <c r="JF8" t="s">
        <v>11010</v>
      </c>
      <c r="KO8" t="s">
        <v>12621</v>
      </c>
      <c r="KT8" t="s">
        <v>12248</v>
      </c>
      <c r="MW8" t="s">
        <v>11007</v>
      </c>
      <c r="NB8" t="s">
        <v>12717</v>
      </c>
      <c r="NQ8" t="s">
        <v>4211</v>
      </c>
      <c r="NV8" t="s">
        <v>11146</v>
      </c>
      <c r="OA8" t="s">
        <v>7384</v>
      </c>
      <c r="OF8" t="s">
        <v>12168</v>
      </c>
    </row>
    <row r="9" spans="1:396" x14ac:dyDescent="0.25">
      <c r="U9" t="s">
        <v>11056</v>
      </c>
      <c r="Z9" t="s">
        <v>11023</v>
      </c>
      <c r="AE9" t="s">
        <v>476</v>
      </c>
      <c r="AJ9" t="s">
        <v>10896</v>
      </c>
      <c r="AY9" t="s">
        <v>12849</v>
      </c>
      <c r="BD9" t="s">
        <v>12842</v>
      </c>
      <c r="BI9" t="s">
        <v>11371</v>
      </c>
      <c r="BS9" t="s">
        <v>11073</v>
      </c>
      <c r="CC9" t="s">
        <v>12705</v>
      </c>
      <c r="CM9" t="s">
        <v>10820</v>
      </c>
      <c r="CR9" t="s">
        <v>52</v>
      </c>
      <c r="CW9" t="s">
        <v>3625</v>
      </c>
      <c r="DB9" t="s">
        <v>1740</v>
      </c>
      <c r="DG9" t="s">
        <v>10718</v>
      </c>
      <c r="DL9" t="s">
        <v>693</v>
      </c>
      <c r="DQ9" t="s">
        <v>3150</v>
      </c>
      <c r="EU9" t="s">
        <v>11930</v>
      </c>
      <c r="EZ9" t="s">
        <v>10657</v>
      </c>
      <c r="FY9" t="s">
        <v>12699</v>
      </c>
      <c r="GD9" t="s">
        <v>11946</v>
      </c>
      <c r="GI9" t="s">
        <v>1353</v>
      </c>
      <c r="GN9" t="s">
        <v>1740</v>
      </c>
      <c r="HM9" t="s">
        <v>682</v>
      </c>
      <c r="HR9" t="s">
        <v>11376</v>
      </c>
      <c r="IQ9" t="s">
        <v>12001</v>
      </c>
      <c r="IV9" t="s">
        <v>11643</v>
      </c>
      <c r="JA9" t="s">
        <v>11139</v>
      </c>
      <c r="JF9" t="s">
        <v>10660</v>
      </c>
      <c r="KO9" t="s">
        <v>12622</v>
      </c>
      <c r="KT9" t="s">
        <v>12249</v>
      </c>
      <c r="MW9" t="s">
        <v>11756</v>
      </c>
      <c r="NB9" t="s">
        <v>1740</v>
      </c>
      <c r="NQ9" t="s">
        <v>485</v>
      </c>
      <c r="NV9" t="s">
        <v>12241</v>
      </c>
      <c r="OA9" t="s">
        <v>10855</v>
      </c>
      <c r="OF9" t="s">
        <v>12169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3825</v>
      </c>
      <c r="K1" s="1" t="s">
        <v>3826</v>
      </c>
      <c r="U1" s="1" t="s">
        <v>3827</v>
      </c>
      <c r="AE1" s="1" t="s">
        <v>3828</v>
      </c>
      <c r="AO1" s="1" t="s">
        <v>3829</v>
      </c>
      <c r="AY1" s="1" t="s">
        <v>3830</v>
      </c>
      <c r="BI1" s="1" t="s">
        <v>3831</v>
      </c>
      <c r="BS1" s="1" t="s">
        <v>3832</v>
      </c>
      <c r="CC1" s="1" t="s">
        <v>3833</v>
      </c>
      <c r="CM1" s="1" t="s">
        <v>3834</v>
      </c>
      <c r="CW1" s="1" t="s">
        <v>3835</v>
      </c>
      <c r="DG1" s="1" t="s">
        <v>3836</v>
      </c>
      <c r="DQ1" s="1" t="s">
        <v>3837</v>
      </c>
      <c r="EA1" s="1" t="s">
        <v>3838</v>
      </c>
      <c r="EK1" s="1" t="s">
        <v>3839</v>
      </c>
      <c r="EU1" s="1" t="s">
        <v>3840</v>
      </c>
      <c r="FE1" s="1" t="s">
        <v>3841</v>
      </c>
      <c r="FO1" s="1" t="s">
        <v>3842</v>
      </c>
      <c r="FY1" s="1" t="s">
        <v>3843</v>
      </c>
      <c r="GI1" s="1" t="s">
        <v>3844</v>
      </c>
      <c r="GS1" s="1" t="s">
        <v>3845</v>
      </c>
      <c r="HC1" s="1" t="s">
        <v>3846</v>
      </c>
      <c r="HM1" s="1" t="s">
        <v>3847</v>
      </c>
      <c r="HW1" s="1" t="s">
        <v>3848</v>
      </c>
      <c r="IG1" s="1" t="s">
        <v>3849</v>
      </c>
      <c r="IQ1" s="1" t="s">
        <v>3850</v>
      </c>
      <c r="JA1" s="1" t="s">
        <v>3851</v>
      </c>
      <c r="JK1" s="1" t="s">
        <v>3852</v>
      </c>
      <c r="JU1" s="1" t="s">
        <v>3853</v>
      </c>
      <c r="KE1" s="1" t="s">
        <v>3854</v>
      </c>
      <c r="KO1" s="1" t="s">
        <v>3855</v>
      </c>
      <c r="KY1" s="1" t="s">
        <v>3856</v>
      </c>
      <c r="LI1" s="1" t="s">
        <v>3857</v>
      </c>
      <c r="LS1" s="1" t="s">
        <v>3858</v>
      </c>
      <c r="MC1" s="1" t="s">
        <v>3859</v>
      </c>
      <c r="MM1" s="1" t="s">
        <v>3860</v>
      </c>
      <c r="MW1" s="1" t="s">
        <v>3861</v>
      </c>
      <c r="NG1" s="1" t="s">
        <v>3862</v>
      </c>
      <c r="NQ1" s="1" t="s">
        <v>3863</v>
      </c>
      <c r="OA1" s="1" t="s">
        <v>3864</v>
      </c>
    </row>
    <row r="2" spans="1:396" x14ac:dyDescent="0.25">
      <c r="A2" s="2" t="s">
        <v>1556</v>
      </c>
      <c r="K2" s="2" t="s">
        <v>2412</v>
      </c>
      <c r="U2" s="2" t="s">
        <v>3865</v>
      </c>
      <c r="AE2" s="2" t="s">
        <v>1931</v>
      </c>
      <c r="AO2" s="2" t="s">
        <v>3866</v>
      </c>
      <c r="AY2" s="2" t="s">
        <v>43</v>
      </c>
      <c r="BI2" s="2" t="s">
        <v>171</v>
      </c>
      <c r="BS2" s="2" t="s">
        <v>268</v>
      </c>
      <c r="CC2" s="2" t="s">
        <v>1272</v>
      </c>
      <c r="CM2" s="2" t="s">
        <v>977</v>
      </c>
      <c r="CW2" s="2" t="s">
        <v>3867</v>
      </c>
      <c r="DG2" s="2" t="s">
        <v>2412</v>
      </c>
      <c r="DQ2" s="2" t="s">
        <v>3868</v>
      </c>
      <c r="EA2" s="2" t="s">
        <v>1836</v>
      </c>
      <c r="EK2" s="2" t="s">
        <v>3869</v>
      </c>
      <c r="EU2" s="2" t="s">
        <v>64</v>
      </c>
      <c r="FE2" s="2" t="s">
        <v>64</v>
      </c>
      <c r="FO2" s="2" t="s">
        <v>3870</v>
      </c>
      <c r="FY2" s="2" t="s">
        <v>3871</v>
      </c>
      <c r="GI2" s="2" t="s">
        <v>3872</v>
      </c>
      <c r="GS2" s="2" t="s">
        <v>586</v>
      </c>
      <c r="HC2" s="2" t="s">
        <v>1840</v>
      </c>
      <c r="HM2" s="2" t="s">
        <v>3873</v>
      </c>
      <c r="HW2" s="2" t="s">
        <v>3246</v>
      </c>
      <c r="IG2" s="2" t="s">
        <v>2124</v>
      </c>
      <c r="IQ2" s="2" t="s">
        <v>3874</v>
      </c>
      <c r="JA2" s="2" t="s">
        <v>3875</v>
      </c>
      <c r="JK2" s="2" t="s">
        <v>381</v>
      </c>
      <c r="JU2" s="2" t="s">
        <v>3876</v>
      </c>
      <c r="KE2" s="2" t="s">
        <v>1081</v>
      </c>
      <c r="KO2" s="2" t="s">
        <v>3613</v>
      </c>
      <c r="KY2" s="2" t="s">
        <v>390</v>
      </c>
      <c r="LI2" s="2" t="s">
        <v>3063</v>
      </c>
      <c r="LS2" s="2" t="s">
        <v>3877</v>
      </c>
      <c r="MC2" s="2" t="s">
        <v>2405</v>
      </c>
      <c r="MM2" s="2" t="s">
        <v>3708</v>
      </c>
      <c r="MW2" s="2" t="s">
        <v>3878</v>
      </c>
      <c r="NG2" s="2" t="s">
        <v>3148</v>
      </c>
      <c r="NQ2" s="2" t="s">
        <v>3879</v>
      </c>
      <c r="OA2" s="2" t="s">
        <v>3880</v>
      </c>
    </row>
    <row r="3" spans="1:396" x14ac:dyDescent="0.25">
      <c r="A3" t="s">
        <v>3881</v>
      </c>
      <c r="K3" t="s">
        <v>2051</v>
      </c>
      <c r="U3" t="s">
        <v>912</v>
      </c>
      <c r="AE3" t="s">
        <v>517</v>
      </c>
      <c r="AO3" t="s">
        <v>3882</v>
      </c>
      <c r="AY3" t="s">
        <v>710</v>
      </c>
      <c r="BI3" t="s">
        <v>608</v>
      </c>
      <c r="BS3" t="s">
        <v>3883</v>
      </c>
      <c r="CC3" t="s">
        <v>3884</v>
      </c>
      <c r="CM3" t="s">
        <v>3885</v>
      </c>
      <c r="CW3" t="s">
        <v>3886</v>
      </c>
      <c r="DG3" t="s">
        <v>3887</v>
      </c>
      <c r="DQ3" t="s">
        <v>616</v>
      </c>
      <c r="EA3" t="s">
        <v>3888</v>
      </c>
      <c r="EK3" t="s">
        <v>2613</v>
      </c>
      <c r="EU3" t="s">
        <v>1852</v>
      </c>
      <c r="FE3" t="s">
        <v>2923</v>
      </c>
      <c r="FO3" t="s">
        <v>3889</v>
      </c>
      <c r="FY3" t="s">
        <v>3890</v>
      </c>
      <c r="GI3" t="s">
        <v>3891</v>
      </c>
      <c r="GS3" t="s">
        <v>3562</v>
      </c>
      <c r="HC3" t="s">
        <v>3892</v>
      </c>
      <c r="HM3" t="s">
        <v>3893</v>
      </c>
      <c r="HW3" t="s">
        <v>3360</v>
      </c>
      <c r="IG3" t="s">
        <v>3894</v>
      </c>
      <c r="IQ3" t="s">
        <v>3895</v>
      </c>
      <c r="JA3" t="s">
        <v>3896</v>
      </c>
      <c r="JK3" t="s">
        <v>3897</v>
      </c>
      <c r="JU3" t="s">
        <v>3898</v>
      </c>
      <c r="KE3" t="s">
        <v>3884</v>
      </c>
      <c r="KO3" t="s">
        <v>3899</v>
      </c>
      <c r="KY3" t="s">
        <v>3900</v>
      </c>
      <c r="LI3" t="s">
        <v>3901</v>
      </c>
      <c r="LS3" t="s">
        <v>2820</v>
      </c>
      <c r="MC3" t="s">
        <v>3902</v>
      </c>
      <c r="MM3" t="s">
        <v>3903</v>
      </c>
      <c r="MW3" t="s">
        <v>3904</v>
      </c>
      <c r="NG3" t="s">
        <v>2431</v>
      </c>
      <c r="NQ3" t="s">
        <v>3905</v>
      </c>
      <c r="OA3" t="s">
        <v>2907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_xll.BDS("WELL US Equity","SUPPLY_CHAIN_SUPPLIERS","RELATIONSHIP_AS_OF_DATE","20060913","cols=1;rows=2")</f>
        <v>OHI US Equity</v>
      </c>
      <c r="F5" t="str">
        <f>_xll.BDS("WELL US Equity","SUPPLY_CHAIN_CUSTOMERS","RELATIONSHIP_AS_OF_DATE","20060913","cols=1;rows=5")</f>
        <v>SRZ US Equity</v>
      </c>
      <c r="K5" t="str">
        <f>_xll.BDS("PBCT US Equity","SUPPLY_CHAIN_SUPPLIERS","RELATIONSHIP_AS_OF_DATE","20190715")</f>
        <v>#N/A N/A</v>
      </c>
      <c r="P5" t="str">
        <f>_xll.BDS("PBCT US Equity","SUPPLY_CHAIN_CUSTOMERS","RELATIONSHIP_AS_OF_DATE","20190715")</f>
        <v>#N/A N/A</v>
      </c>
      <c r="U5" t="str">
        <f>_xll.BDS("NEM US Equity","SUPPLY_CHAIN_SUPPLIERS","RELATIONSHIP_AS_OF_DATE","20000621","cols=1;rows=5")</f>
        <v>LUG CN Equity</v>
      </c>
      <c r="Z5" t="str">
        <f>_xll.BDS("NEM US Equity","SUPPLY_CHAIN_CUSTOMERS","RELATIONSHIP_AS_OF_DATE","20000621","cols=1;rows=5")</f>
        <v>STAN LN Equity</v>
      </c>
      <c r="AE5" t="str">
        <f>_xll.BDS("FLG US Equity","SUPPLY_CHAIN_SUPPLIERS","RELATIONSHIP_AS_OF_DATE","20010327","cols=1;rows=5")</f>
        <v>CXM US Equity</v>
      </c>
      <c r="AJ5" t="str">
        <f>_xll.BDS("FLG US Equity","SUPPLY_CHAIN_CUSTOMERS","RELATIONSHIP_AS_OF_DATE","20010327")</f>
        <v>#N/A N/A</v>
      </c>
      <c r="AO5" t="str">
        <f>_xll.BDS("FTV US Equity","SUPPLY_CHAIN_SUPPLIERS","RELATIONSHIP_AS_OF_DATE","20170906","cols=1;rows=5")</f>
        <v>FLEX US Equity</v>
      </c>
      <c r="AT5" t="str">
        <f>_xll.BDS("FTV US Equity","SUPPLY_CHAIN_CUSTOMERS","RELATIONSHIP_AS_OF_DATE","20170906","cols=1;rows=5")</f>
        <v>002819 CH Equity</v>
      </c>
      <c r="AY5" t="str">
        <f>_xll.BDS("BMY US Equity","SUPPLY_CHAIN_SUPPLIERS","RELATIONSHIP_AS_OF_DATE","20100907","cols=1;rows=5")</f>
        <v>PFE US Equity</v>
      </c>
      <c r="BD5" t="str">
        <f>_xll.BDS("BMY US Equity","SUPPLY_CHAIN_CUSTOMERS","RELATIONSHIP_AS_OF_DATE","20100907","cols=1;rows=5")</f>
        <v>MCK US Equity</v>
      </c>
      <c r="BI5" t="str">
        <f>_xll.BDS("ORCL US Equity","SUPPLY_CHAIN_SUPPLIERS","RELATIONSHIP_AS_OF_DATE","20121220","cols=1;rows=5")</f>
        <v>NVDA US Equity</v>
      </c>
      <c r="BN5" t="str">
        <f>_xll.BDS("ORCL US Equity","SUPPLY_CHAIN_CUSTOMERS","RELATIONSHIP_AS_OF_DATE","20121220","cols=1;rows=5")</f>
        <v>ACN US Equity</v>
      </c>
      <c r="BS5" t="str">
        <f>_xll.BDS("AIG US Equity","SUPPLY_CHAIN_SUPPLIERS","RELATIONSHIP_AS_OF_DATE","20070124","cols=1;rows=5")</f>
        <v>PEGA US Equity</v>
      </c>
      <c r="BX5" t="str">
        <f>_xll.BDS("AIG US Equity","SUPPLY_CHAIN_CUSTOMERS","RELATIONSHIP_AS_OF_DATE","20070124","cols=1;rows=5")</f>
        <v>002348 CH Equity</v>
      </c>
      <c r="CC5" t="str">
        <f>_xll.BDS("FITB US Equity","SUPPLY_CHAIN_SUPPLIERS","RELATIONSHIP_AS_OF_DATE","19980114","cols=1;rows=5")</f>
        <v>004800 KS Equity</v>
      </c>
      <c r="CH5" t="str">
        <f>_xll.BDS("FITB US Equity","SUPPLY_CHAIN_CUSTOMERS","RELATIONSHIP_AS_OF_DATE","19980114")</f>
        <v>USIO US Equity</v>
      </c>
      <c r="CM5" t="str">
        <f>_xll.BDS("NFB US Equity","SUPPLY_CHAIN_SUPPLIERS","RELATIONSHIP_AS_OF_DATE","20031216")</f>
        <v>#N/A N/A</v>
      </c>
      <c r="CR5" t="str">
        <f>_xll.BDS("NFB US Equity","SUPPLY_CHAIN_CUSTOMERS","RELATIONSHIP_AS_OF_DATE","20031216")</f>
        <v>#N/A N/A</v>
      </c>
      <c r="CW5" t="str">
        <f>_xll.BDS("ANSS US Equity","SUPPLY_CHAIN_SUPPLIERS","RELATIONSHIP_AS_OF_DATE","20080331","cols=1;rows=5")</f>
        <v>NVDA US Equity</v>
      </c>
      <c r="DB5" t="str">
        <f>_xll.BDS("ANSS US Equity","SUPPLY_CHAIN_CUSTOMERS","RELATIONSHIP_AS_OF_DATE","20080331","cols=1;rows=5")</f>
        <v>CAT US Equity</v>
      </c>
      <c r="DG5" t="str">
        <f>_xll.BDS("PBCT US Equity","SUPPLY_CHAIN_SUPPLIERS","RELATIONSHIP_AS_OF_DATE","20091123")</f>
        <v>#N/A N/A</v>
      </c>
      <c r="DL5" t="str">
        <f>_xll.BDS("PBCT US Equity","SUPPLY_CHAIN_CUSTOMERS","RELATIONSHIP_AS_OF_DATE","20091123")</f>
        <v>#N/A N/A</v>
      </c>
      <c r="DQ5" t="str">
        <f>_xll.BDS("LFUS US Equity","SUPPLY_CHAIN_SUPPLIERS","RELATIONSHIP_AS_OF_DATE","20170828","cols=1;rows=5")</f>
        <v>6616 JP Equity</v>
      </c>
      <c r="DV5" t="str">
        <f>_xll.BDS("LFUS US Equity","SUPPLY_CHAIN_CUSTOMERS","RELATIONSHIP_AS_OF_DATE","20170828","cols=1;rows=5")</f>
        <v>ARW US Equity</v>
      </c>
      <c r="EA5" t="str">
        <f>_xll.BDS("PCP US Equity","SUPPLY_CHAIN_SUPPLIERS","RELATIONSHIP_AS_OF_DATE","20030818")</f>
        <v>FE US Equity</v>
      </c>
      <c r="EF5" t="str">
        <f>_xll.BDS("PCP US Equity","SUPPLY_CHAIN_CUSTOMERS","RELATIONSHIP_AS_OF_DATE","20030818")</f>
        <v>#N/A N/A</v>
      </c>
      <c r="EK5" t="str">
        <f>_xll.BDS("UNTD US Equity","SUPPLY_CHAIN_SUPPLIERS","RELATIONSHIP_AS_OF_DATE","20080430")</f>
        <v>#N/A N/A</v>
      </c>
      <c r="EP5" t="str">
        <f>_xll.BDS("UNTD US Equity","SUPPLY_CHAIN_CUSTOMERS","RELATIONSHIP_AS_OF_DATE","20080430")</f>
        <v>#N/A N/A</v>
      </c>
      <c r="EU5" t="str">
        <f>_xll.BDS("nan Equity","SUPPLY_CHAIN_SUPPLIERS","RELATIONSHIP_AS_OF_DATE","20040721")</f>
        <v>#N/A N/A</v>
      </c>
      <c r="EZ5" t="str">
        <f>_xll.BDS("nan Equity","SUPPLY_CHAIN_CUSTOMERS","RELATIONSHIP_AS_OF_DATE","20040721")</f>
        <v>#N/A N/A</v>
      </c>
      <c r="FE5" t="str">
        <f>_xll.BDS("nan Equity","SUPPLY_CHAIN_SUPPLIERS","RELATIONSHIP_AS_OF_DATE","20070322")</f>
        <v>#N/A N/A</v>
      </c>
      <c r="FJ5" t="str">
        <f>_xll.BDS("nan Equity","SUPPLY_CHAIN_CUSTOMERS","RELATIONSHIP_AS_OF_DATE","20070322")</f>
        <v>#N/A N/A</v>
      </c>
      <c r="FO5" t="str">
        <f>_xll.BDS("2307762D US Equity","SUPPLY_CHAIN_SUPPLIERS","RELATIONSHIP_AS_OF_DATE","20040205")</f>
        <v>#N/A N/A</v>
      </c>
      <c r="FT5" t="str">
        <f>_xll.BDS("2307762D US Equity","SUPPLY_CHAIN_CUSTOMERS","RELATIONSHIP_AS_OF_DATE","20040205")</f>
        <v>#N/A N/A</v>
      </c>
      <c r="FY5" t="str">
        <f>_xll.BDS("EQY US Equity","SUPPLY_CHAIN_SUPPLIERS","RELATIONSHIP_AS_OF_DATE","20021029")</f>
        <v>#N/A N/A</v>
      </c>
      <c r="GD5" t="str">
        <f>_xll.BDS("EQY US Equity","SUPPLY_CHAIN_CUSTOMERS","RELATIONSHIP_AS_OF_DATE","20021029")</f>
        <v>#N/A N/A</v>
      </c>
      <c r="GI5" t="str">
        <f>_xll.BDS("1847569D US Equity","SUPPLY_CHAIN_SUPPLIERS","RELATIONSHIP_AS_OF_DATE","20060112")</f>
        <v>#N/A N/A</v>
      </c>
      <c r="GN5" t="str">
        <f>_xll.BDS("1847569D US Equity","SUPPLY_CHAIN_CUSTOMERS","RELATIONSHIP_AS_OF_DATE","20060112")</f>
        <v>#N/A N/A</v>
      </c>
      <c r="GS5" t="str">
        <f>_xll.BDS("MCHP US Equity","SUPPLY_CHAIN_SUPPLIERS","RELATIONSHIP_AS_OF_DATE","20120502","cols=1;rows=5")</f>
        <v>GFS US Equity</v>
      </c>
      <c r="GX5" t="str">
        <f>_xll.BDS("MCHP US Equity","SUPPLY_CHAIN_CUSTOMERS","RELATIONSHIP_AS_OF_DATE","20120502","cols=1;rows=5")</f>
        <v>ARW US Equity</v>
      </c>
      <c r="HC5" t="str">
        <f>_xll.BDS("9990822D US Equity","SUPPLY_CHAIN_SUPPLIERS","RELATIONSHIP_AS_OF_DATE","20050518")</f>
        <v>AMZN US Equity</v>
      </c>
      <c r="HH5" t="str">
        <f>_xll.BDS("9990822D US Equity","SUPPLY_CHAIN_CUSTOMERS","RELATIONSHIP_AS_OF_DATE","20050518","cols=1;rows=3")</f>
        <v>0759608D US Equity</v>
      </c>
      <c r="HM5" t="str">
        <f>_xll.BDS("MWV US Equity","SUPPLY_CHAIN_SUPPLIERS","RELATIONSHIP_AS_OF_DATE","20060427")</f>
        <v>#N/A N/A</v>
      </c>
      <c r="HR5" t="str">
        <f>_xll.BDS("MWV US Equity","SUPPLY_CHAIN_CUSTOMERS","RELATIONSHIP_AS_OF_DATE","20060427")</f>
        <v>#N/A N/A</v>
      </c>
      <c r="HW5" t="str">
        <f>_xll.BDS("CRBC US Equity","SUPPLY_CHAIN_SUPPLIERS","RELATIONSHIP_AS_OF_DATE","19990419")</f>
        <v>#N/A N/A</v>
      </c>
      <c r="IB5" t="str">
        <f>_xll.BDS("CRBC US Equity","SUPPLY_CHAIN_CUSTOMERS","RELATIONSHIP_AS_OF_DATE","19990419")</f>
        <v>#N/A N/A</v>
      </c>
      <c r="IG5" t="str">
        <f>_xll.BDS("PACW US Equity","SUPPLY_CHAIN_SUPPLIERS","RELATIONSHIP_AS_OF_DATE","20170406")</f>
        <v>#N/A N/A</v>
      </c>
      <c r="IL5" t="str">
        <f>_xll.BDS("PACW US Equity","SUPPLY_CHAIN_CUSTOMERS","RELATIONSHIP_AS_OF_DATE","20170406")</f>
        <v>SNX US Equity</v>
      </c>
      <c r="IQ5" t="str">
        <f>_xll.BDS("2213185D US Equity","SUPPLY_CHAIN_SUPPLIERS","RELATIONSHIP_AS_OF_DATE","20051110")</f>
        <v>#N/A N/A</v>
      </c>
      <c r="IV5" t="str">
        <f>_xll.BDS("2213185D US Equity","SUPPLY_CHAIN_CUSTOMERS","RELATIONSHIP_AS_OF_DATE","20051110")</f>
        <v>#N/A N/A</v>
      </c>
      <c r="JA5" t="str">
        <f>_xll.BDS("F US Equity","SUPPLY_CHAIN_SUPPLIERS","RELATIONSHIP_AS_OF_DATE","20000921","cols=1;rows=5")</f>
        <v>FROTO TI Equity</v>
      </c>
      <c r="JF5" t="str">
        <f>_xll.BDS("F US Equity","SUPPLY_CHAIN_CUSTOMERS","RELATIONSHIP_AS_OF_DATE","20000921","cols=1;rows=5")</f>
        <v>LAD US Equity</v>
      </c>
      <c r="JK5" t="str">
        <f>_xll.BDS("MS US Equity","SUPPLY_CHAIN_SUPPLIERS","RELATIONSHIP_AS_OF_DATE","20060809","cols=1;rows=5")</f>
        <v>DLR US Equity</v>
      </c>
      <c r="JP5" t="str">
        <f>_xll.BDS("MS US Equity","SUPPLY_CHAIN_CUSTOMERS","RELATIONSHIP_AS_OF_DATE","20060809","cols=1;rows=5")</f>
        <v>012690 KS Equity</v>
      </c>
      <c r="JU5" t="str">
        <f>_xll.BDS("BVSN US Equity","SUPPLY_CHAIN_SUPPLIERS","RELATIONSHIP_AS_OF_DATE","20000126")</f>
        <v>#N/A N/A</v>
      </c>
      <c r="JZ5" t="str">
        <f>_xll.BDS("BVSN US Equity","SUPPLY_CHAIN_CUSTOMERS","RELATIONSHIP_AS_OF_DATE","20000126")</f>
        <v>#N/A N/A</v>
      </c>
      <c r="KE5" t="str">
        <f>_xll.BDS("KIM US Equity","SUPPLY_CHAIN_SUPPLIERS","RELATIONSHIP_AS_OF_DATE","19980114")</f>
        <v>WOOD IJ Equity</v>
      </c>
      <c r="KJ5" t="str">
        <f>_xll.BDS("KIM US Equity","SUPPLY_CHAIN_CUSTOMERS","RELATIONSHIP_AS_OF_DATE","19980114","cols=1;rows=5")</f>
        <v>TJX US Equity</v>
      </c>
      <c r="KO5" t="str">
        <f>_xll.BDS("390297Q US Equity","SUPPLY_CHAIN_SUPPLIERS","RELATIONSHIP_AS_OF_DATE","19980202")</f>
        <v>#N/A N/A</v>
      </c>
      <c r="KT5" t="str">
        <f>_xll.BDS("390297Q US Equity","SUPPLY_CHAIN_CUSTOMERS","RELATIONSHIP_AS_OF_DATE","19980202")</f>
        <v>#N/A N/A</v>
      </c>
      <c r="KY5" t="str">
        <f>_xll.BDS("GEN US Equity","SUPPLY_CHAIN_SUPPLIERS","RELATIONSHIP_AS_OF_DATE","20000727","cols=1;rows=5")</f>
        <v>354 HK Equity</v>
      </c>
      <c r="LD5" t="str">
        <f>_xll.BDS("GEN US Equity","SUPPLY_CHAIN_CUSTOMERS","RELATIONSHIP_AS_OF_DATE","20000727","cols=1;rows=5")</f>
        <v>BABA US Equity</v>
      </c>
      <c r="LI5" t="str">
        <f>_xll.BDS("INDB US Equity","SUPPLY_CHAIN_SUPPLIERS","RELATIONSHIP_AS_OF_DATE","20180920")</f>
        <v>#N/A N/A</v>
      </c>
      <c r="LN5" t="str">
        <f>_xll.BDS("INDB US Equity","SUPPLY_CHAIN_CUSTOMERS","RELATIONSHIP_AS_OF_DATE","20180920")</f>
        <v>#N/A N/A</v>
      </c>
      <c r="LS5" t="str">
        <f>_xll.BDS("RSLN US Equity","SUPPLY_CHAIN_SUPPLIERS","RELATIONSHIP_AS_OF_DATE","19980526")</f>
        <v>#N/A N/A</v>
      </c>
      <c r="LX5" t="str">
        <f>_xll.BDS("RSLN US Equity","SUPPLY_CHAIN_CUSTOMERS","RELATIONSHIP_AS_OF_DATE","19980526")</f>
        <v>#N/A N/A</v>
      </c>
      <c r="MC5" t="str">
        <f>_xll.BDS("DALRQ US Equity","SUPPLY_CHAIN_SUPPLIERS","RELATIONSHIP_AS_OF_DATE","19990216")</f>
        <v>#N/A N/A</v>
      </c>
      <c r="MH5" t="str">
        <f>_xll.BDS("DALRQ US Equity","SUPPLY_CHAIN_CUSTOMERS","RELATIONSHIP_AS_OF_DATE","19990216")</f>
        <v>#N/A N/A</v>
      </c>
      <c r="MM5" t="str">
        <f>_xll.BDS("KMB US Equity","SUPPLY_CHAIN_SUPPLIERS","RELATIONSHIP_AS_OF_DATE","19981223","cols=1;rows=5")</f>
        <v>GPK US Equity</v>
      </c>
      <c r="MR5" t="str">
        <f>_xll.BDS("KMB US Equity","SUPPLY_CHAIN_CUSTOMERS","RELATIONSHIP_AS_OF_DATE","19981223","cols=1;rows=5")</f>
        <v>WMT US Equity</v>
      </c>
      <c r="MW5" t="str">
        <f>_xll.BDS("RYN US Equity","SUPPLY_CHAIN_SUPPLIERS","RELATIONSHIP_AS_OF_DATE","20200115")</f>
        <v>#N/A N/A</v>
      </c>
      <c r="NB5" t="str">
        <f>_xll.BDS("RYN US Equity","SUPPLY_CHAIN_CUSTOMERS","RELATIONSHIP_AS_OF_DATE","20200115","cols=1;rows=4")</f>
        <v>004000 KS Equity</v>
      </c>
      <c r="NG5" t="str">
        <f>_xll.BDS("1541946D US Equity","SUPPLY_CHAIN_SUPPLIERS","RELATIONSHIP_AS_OF_DATE","20070108")</f>
        <v>#N/A N/A</v>
      </c>
      <c r="NL5" t="str">
        <f>_xll.BDS("1541946D US Equity","SUPPLY_CHAIN_CUSTOMERS","RELATIONSHIP_AS_OF_DATE","20070108")</f>
        <v>#N/A N/A</v>
      </c>
      <c r="NQ5" t="str">
        <f>_xll.BDS("FRG US Equity","SUPPLY_CHAIN_SUPPLIERS","RELATIONSHIP_AS_OF_DATE","20190808","cols=1;rows=5")</f>
        <v>0054018D US Equity</v>
      </c>
      <c r="NV5" t="str">
        <f>_xll.BDS("FRG US Equity","SUPPLY_CHAIN_CUSTOMERS","RELATIONSHIP_AS_OF_DATE","20190808")</f>
        <v>#N/A N/A</v>
      </c>
      <c r="OA5" t="str">
        <f>_xll.BDS("SNPS US Equity","SUPPLY_CHAIN_SUPPLIERS","RELATIONSHIP_AS_OF_DATE","20011203","cols=1;rows=5")</f>
        <v>000660 KS Equity</v>
      </c>
      <c r="OF5" t="str">
        <f>_xll.BDS("SNPS US Equity","SUPPLY_CHAIN_CUSTOMERS","RELATIONSHIP_AS_OF_DATE","20011203","cols=1;rows=5")</f>
        <v>2454 TT Equity</v>
      </c>
    </row>
    <row r="6" spans="1:396" x14ac:dyDescent="0.25">
      <c r="A6" t="s">
        <v>12209</v>
      </c>
      <c r="F6" t="s">
        <v>12584</v>
      </c>
      <c r="U6" t="s">
        <v>12099</v>
      </c>
      <c r="Z6" t="s">
        <v>61</v>
      </c>
      <c r="AE6" t="s">
        <v>11962</v>
      </c>
      <c r="AO6" t="s">
        <v>5575</v>
      </c>
      <c r="AT6" t="s">
        <v>6473</v>
      </c>
      <c r="AY6" t="s">
        <v>12214</v>
      </c>
      <c r="BD6" t="s">
        <v>1468</v>
      </c>
      <c r="BI6" t="s">
        <v>162</v>
      </c>
      <c r="BN6" t="s">
        <v>469</v>
      </c>
      <c r="BS6" t="s">
        <v>12604</v>
      </c>
      <c r="BX6" t="s">
        <v>12156</v>
      </c>
      <c r="CC6" t="s">
        <v>4388</v>
      </c>
      <c r="CW6" t="s">
        <v>266</v>
      </c>
      <c r="DB6" t="s">
        <v>10939</v>
      </c>
      <c r="DQ6" t="s">
        <v>12844</v>
      </c>
      <c r="DV6" t="s">
        <v>3519</v>
      </c>
      <c r="GS6" t="s">
        <v>11203</v>
      </c>
      <c r="GX6" t="s">
        <v>10659</v>
      </c>
      <c r="HH6" t="s">
        <v>2705</v>
      </c>
      <c r="JA6" t="s">
        <v>11759</v>
      </c>
      <c r="JF6" t="s">
        <v>6307</v>
      </c>
      <c r="JK6" t="s">
        <v>11840</v>
      </c>
      <c r="JP6" t="s">
        <v>12493</v>
      </c>
      <c r="KJ6" t="s">
        <v>11525</v>
      </c>
      <c r="KY6" t="s">
        <v>5409</v>
      </c>
      <c r="LD6" t="s">
        <v>2881</v>
      </c>
      <c r="MM6" t="s">
        <v>11846</v>
      </c>
      <c r="MR6" t="s">
        <v>10805</v>
      </c>
      <c r="NB6" t="s">
        <v>12695</v>
      </c>
      <c r="NQ6" t="s">
        <v>12678</v>
      </c>
      <c r="OA6" t="s">
        <v>11065</v>
      </c>
      <c r="OF6" t="s">
        <v>684</v>
      </c>
    </row>
    <row r="7" spans="1:396" x14ac:dyDescent="0.25">
      <c r="F7" t="s">
        <v>12585</v>
      </c>
      <c r="U7" t="s">
        <v>684</v>
      </c>
      <c r="Z7" t="s">
        <v>12094</v>
      </c>
      <c r="AE7" t="s">
        <v>11963</v>
      </c>
      <c r="AO7" t="s">
        <v>10735</v>
      </c>
      <c r="AT7" t="s">
        <v>10787</v>
      </c>
      <c r="AY7" t="s">
        <v>12215</v>
      </c>
      <c r="BD7" t="s">
        <v>970</v>
      </c>
      <c r="BI7" t="s">
        <v>279</v>
      </c>
      <c r="BN7" t="s">
        <v>2881</v>
      </c>
      <c r="BS7" t="s">
        <v>12605</v>
      </c>
      <c r="BX7" t="s">
        <v>12157</v>
      </c>
      <c r="CC7" t="s">
        <v>11522</v>
      </c>
      <c r="CW7" t="s">
        <v>12501</v>
      </c>
      <c r="DB7" t="s">
        <v>2967</v>
      </c>
      <c r="DQ7" t="s">
        <v>12845</v>
      </c>
      <c r="DV7" t="s">
        <v>10939</v>
      </c>
      <c r="GS7" t="s">
        <v>3611</v>
      </c>
      <c r="GX7" t="s">
        <v>3519</v>
      </c>
      <c r="HH7" t="s">
        <v>270</v>
      </c>
      <c r="JA7" t="s">
        <v>10876</v>
      </c>
      <c r="JF7" t="s">
        <v>11657</v>
      </c>
      <c r="JK7" t="s">
        <v>12364</v>
      </c>
      <c r="JP7" t="s">
        <v>12494</v>
      </c>
      <c r="KJ7" t="s">
        <v>570</v>
      </c>
      <c r="KY7" t="s">
        <v>10981</v>
      </c>
      <c r="LD7" t="s">
        <v>4139</v>
      </c>
      <c r="MM7" t="s">
        <v>10814</v>
      </c>
      <c r="MR7" t="s">
        <v>469</v>
      </c>
      <c r="NB7" t="s">
        <v>12696</v>
      </c>
      <c r="NQ7" t="s">
        <v>12679</v>
      </c>
      <c r="OA7" t="s">
        <v>6477</v>
      </c>
      <c r="OF7" t="s">
        <v>6473</v>
      </c>
    </row>
    <row r="8" spans="1:396" x14ac:dyDescent="0.25">
      <c r="F8" t="s">
        <v>12586</v>
      </c>
      <c r="U8" t="s">
        <v>11730</v>
      </c>
      <c r="Z8" t="s">
        <v>12095</v>
      </c>
      <c r="AE8" t="s">
        <v>154</v>
      </c>
      <c r="AO8" t="s">
        <v>7300</v>
      </c>
      <c r="AT8" t="s">
        <v>12994</v>
      </c>
      <c r="AY8" t="s">
        <v>65</v>
      </c>
      <c r="BD8" t="s">
        <v>51</v>
      </c>
      <c r="BI8" t="s">
        <v>10818</v>
      </c>
      <c r="BN8" t="s">
        <v>52</v>
      </c>
      <c r="BS8" t="s">
        <v>12606</v>
      </c>
      <c r="BX8" t="s">
        <v>12158</v>
      </c>
      <c r="CC8" t="s">
        <v>11523</v>
      </c>
      <c r="CW8" t="s">
        <v>12502</v>
      </c>
      <c r="DB8" t="s">
        <v>11944</v>
      </c>
      <c r="DQ8" t="s">
        <v>12846</v>
      </c>
      <c r="DV8" t="s">
        <v>10659</v>
      </c>
      <c r="GS8" t="s">
        <v>11094</v>
      </c>
      <c r="GX8" t="s">
        <v>11194</v>
      </c>
      <c r="JA8" t="s">
        <v>12221</v>
      </c>
      <c r="JF8" t="s">
        <v>11658</v>
      </c>
      <c r="JK8" t="s">
        <v>12303</v>
      </c>
      <c r="JP8" t="s">
        <v>3610</v>
      </c>
      <c r="KJ8" t="s">
        <v>469</v>
      </c>
      <c r="KY8" t="s">
        <v>10982</v>
      </c>
      <c r="LD8" t="s">
        <v>10954</v>
      </c>
      <c r="MM8" t="s">
        <v>12367</v>
      </c>
      <c r="MR8" t="s">
        <v>477</v>
      </c>
      <c r="NB8" t="s">
        <v>47</v>
      </c>
      <c r="NQ8" t="s">
        <v>12680</v>
      </c>
      <c r="OA8" t="s">
        <v>266</v>
      </c>
      <c r="OF8" t="s">
        <v>11248</v>
      </c>
    </row>
    <row r="9" spans="1:396" x14ac:dyDescent="0.25">
      <c r="F9" t="s">
        <v>12587</v>
      </c>
      <c r="U9" t="s">
        <v>11130</v>
      </c>
      <c r="Z9" t="s">
        <v>12096</v>
      </c>
      <c r="AE9" t="s">
        <v>11964</v>
      </c>
      <c r="AO9" t="s">
        <v>11055</v>
      </c>
      <c r="AT9" t="s">
        <v>12995</v>
      </c>
      <c r="AY9" t="s">
        <v>368</v>
      </c>
      <c r="BD9" t="s">
        <v>472</v>
      </c>
      <c r="BI9" t="s">
        <v>384</v>
      </c>
      <c r="BN9" t="s">
        <v>472</v>
      </c>
      <c r="BS9" t="s">
        <v>12439</v>
      </c>
      <c r="BX9" t="s">
        <v>12159</v>
      </c>
      <c r="CC9" t="s">
        <v>8762</v>
      </c>
      <c r="CW9" t="s">
        <v>12503</v>
      </c>
      <c r="DB9" t="s">
        <v>11945</v>
      </c>
      <c r="DQ9" t="s">
        <v>11337</v>
      </c>
      <c r="DV9" t="s">
        <v>158</v>
      </c>
      <c r="GS9" t="s">
        <v>4898</v>
      </c>
      <c r="GX9" t="s">
        <v>10688</v>
      </c>
      <c r="JA9" t="s">
        <v>12222</v>
      </c>
      <c r="JF9" t="s">
        <v>11659</v>
      </c>
      <c r="JK9" t="s">
        <v>11910</v>
      </c>
      <c r="JP9" t="s">
        <v>6473</v>
      </c>
      <c r="KJ9" t="s">
        <v>11526</v>
      </c>
      <c r="KY9" t="s">
        <v>279</v>
      </c>
      <c r="LD9" t="s">
        <v>10948</v>
      </c>
      <c r="MM9" t="s">
        <v>11516</v>
      </c>
      <c r="MR9" t="s">
        <v>10944</v>
      </c>
      <c r="NQ9" t="s">
        <v>12681</v>
      </c>
      <c r="OA9" t="s">
        <v>11466</v>
      </c>
      <c r="OF9" t="s">
        <v>2967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3906</v>
      </c>
      <c r="K1" s="1" t="s">
        <v>3907</v>
      </c>
      <c r="U1" s="1" t="s">
        <v>3908</v>
      </c>
      <c r="AE1" s="1" t="s">
        <v>3909</v>
      </c>
      <c r="AO1" s="1" t="s">
        <v>3910</v>
      </c>
      <c r="AY1" s="1" t="s">
        <v>3911</v>
      </c>
      <c r="BI1" s="1" t="s">
        <v>3912</v>
      </c>
      <c r="BS1" s="1" t="s">
        <v>3913</v>
      </c>
      <c r="CC1" s="1" t="s">
        <v>3914</v>
      </c>
      <c r="CM1" s="1" t="s">
        <v>3915</v>
      </c>
      <c r="CW1" s="1" t="s">
        <v>3916</v>
      </c>
      <c r="DG1" s="1" t="s">
        <v>3917</v>
      </c>
      <c r="DQ1" s="1" t="s">
        <v>3918</v>
      </c>
      <c r="EA1" s="1" t="s">
        <v>3919</v>
      </c>
      <c r="EK1" s="1" t="s">
        <v>3920</v>
      </c>
      <c r="EU1" s="1" t="s">
        <v>3921</v>
      </c>
      <c r="FE1" s="1" t="s">
        <v>3922</v>
      </c>
      <c r="FO1" s="1" t="s">
        <v>3923</v>
      </c>
      <c r="FY1" s="1" t="s">
        <v>3924</v>
      </c>
      <c r="GI1" s="1" t="s">
        <v>3925</v>
      </c>
      <c r="GS1" s="1" t="s">
        <v>3926</v>
      </c>
      <c r="HC1" s="1" t="s">
        <v>3927</v>
      </c>
      <c r="HM1" s="1" t="s">
        <v>3928</v>
      </c>
      <c r="HW1" s="1" t="s">
        <v>3929</v>
      </c>
      <c r="IG1" s="1" t="s">
        <v>3930</v>
      </c>
      <c r="IQ1" s="1" t="s">
        <v>3931</v>
      </c>
      <c r="JA1" s="1" t="s">
        <v>3932</v>
      </c>
      <c r="JK1" s="1" t="s">
        <v>3933</v>
      </c>
      <c r="JU1" s="1" t="s">
        <v>3934</v>
      </c>
      <c r="KE1" s="1" t="s">
        <v>3935</v>
      </c>
      <c r="KO1" s="1" t="s">
        <v>3936</v>
      </c>
      <c r="KY1" s="1" t="s">
        <v>3937</v>
      </c>
      <c r="LI1" s="1" t="s">
        <v>3938</v>
      </c>
      <c r="LS1" s="1" t="s">
        <v>3939</v>
      </c>
      <c r="MC1" s="1" t="s">
        <v>3940</v>
      </c>
      <c r="MM1" s="1" t="s">
        <v>3941</v>
      </c>
      <c r="MW1" s="1" t="s">
        <v>3942</v>
      </c>
      <c r="NG1" s="1" t="s">
        <v>3943</v>
      </c>
      <c r="NQ1" s="1" t="s">
        <v>3944</v>
      </c>
      <c r="OA1" s="1" t="s">
        <v>3945</v>
      </c>
    </row>
    <row r="2" spans="1:396" x14ac:dyDescent="0.25">
      <c r="A2" s="2" t="s">
        <v>3946</v>
      </c>
      <c r="K2" s="2" t="s">
        <v>3617</v>
      </c>
      <c r="U2" s="2" t="s">
        <v>165</v>
      </c>
      <c r="AE2" s="2" t="s">
        <v>3707</v>
      </c>
      <c r="AO2" s="2" t="s">
        <v>3947</v>
      </c>
      <c r="AY2" s="2" t="s">
        <v>3948</v>
      </c>
      <c r="BI2" s="2" t="s">
        <v>870</v>
      </c>
      <c r="BS2" s="2" t="s">
        <v>165</v>
      </c>
      <c r="CC2" s="2" t="s">
        <v>3949</v>
      </c>
      <c r="CM2" s="2" t="s">
        <v>1466</v>
      </c>
      <c r="CW2" s="2" t="s">
        <v>1732</v>
      </c>
      <c r="DG2" s="2" t="s">
        <v>3950</v>
      </c>
      <c r="DQ2" s="2" t="s">
        <v>2317</v>
      </c>
      <c r="EA2" s="2" t="s">
        <v>3951</v>
      </c>
      <c r="EK2" s="2" t="s">
        <v>872</v>
      </c>
      <c r="EU2" s="2" t="s">
        <v>3952</v>
      </c>
      <c r="FE2" s="2" t="s">
        <v>3953</v>
      </c>
      <c r="FO2" s="2" t="s">
        <v>3954</v>
      </c>
      <c r="FY2" s="2" t="s">
        <v>2681</v>
      </c>
      <c r="GI2" s="2" t="s">
        <v>987</v>
      </c>
      <c r="GS2" s="2" t="s">
        <v>2883</v>
      </c>
      <c r="HC2" s="2" t="s">
        <v>3065</v>
      </c>
      <c r="HM2" s="2" t="s">
        <v>174</v>
      </c>
      <c r="HW2" s="2" t="s">
        <v>3955</v>
      </c>
      <c r="IG2" s="2" t="s">
        <v>3956</v>
      </c>
      <c r="IQ2" s="2" t="s">
        <v>3957</v>
      </c>
      <c r="JA2" s="2" t="s">
        <v>3958</v>
      </c>
      <c r="JK2" s="2" t="s">
        <v>3959</v>
      </c>
      <c r="JU2" s="2" t="s">
        <v>3960</v>
      </c>
      <c r="KE2" s="2" t="s">
        <v>3961</v>
      </c>
      <c r="KO2" s="2" t="s">
        <v>484</v>
      </c>
      <c r="KY2" s="2" t="s">
        <v>3962</v>
      </c>
      <c r="LI2" s="2" t="s">
        <v>2883</v>
      </c>
      <c r="LS2" s="2" t="s">
        <v>1263</v>
      </c>
      <c r="MC2" s="2" t="s">
        <v>987</v>
      </c>
      <c r="MM2" s="2" t="s">
        <v>3963</v>
      </c>
      <c r="MW2" s="2" t="s">
        <v>3964</v>
      </c>
      <c r="NG2" s="2" t="s">
        <v>3965</v>
      </c>
      <c r="NQ2" s="2" t="s">
        <v>1642</v>
      </c>
      <c r="OA2" s="2" t="s">
        <v>3966</v>
      </c>
    </row>
    <row r="3" spans="1:396" x14ac:dyDescent="0.25">
      <c r="A3" t="s">
        <v>3967</v>
      </c>
      <c r="K3" t="s">
        <v>3968</v>
      </c>
      <c r="U3" t="s">
        <v>2445</v>
      </c>
      <c r="AE3" t="s">
        <v>3969</v>
      </c>
      <c r="AO3" t="s">
        <v>3970</v>
      </c>
      <c r="AY3" t="s">
        <v>1960</v>
      </c>
      <c r="BI3" t="s">
        <v>3971</v>
      </c>
      <c r="BS3" t="s">
        <v>3972</v>
      </c>
      <c r="CC3" t="s">
        <v>2152</v>
      </c>
      <c r="CM3" t="s">
        <v>3973</v>
      </c>
      <c r="CW3" t="s">
        <v>697</v>
      </c>
      <c r="DG3" t="s">
        <v>3974</v>
      </c>
      <c r="DQ3" t="s">
        <v>3975</v>
      </c>
      <c r="EA3" t="s">
        <v>3976</v>
      </c>
      <c r="EK3" t="s">
        <v>3077</v>
      </c>
      <c r="EU3" t="s">
        <v>105</v>
      </c>
      <c r="FE3" t="s">
        <v>909</v>
      </c>
      <c r="FO3" t="s">
        <v>3977</v>
      </c>
      <c r="FY3" t="s">
        <v>3978</v>
      </c>
      <c r="GI3" t="s">
        <v>3979</v>
      </c>
      <c r="GS3" t="s">
        <v>3980</v>
      </c>
      <c r="HC3" t="s">
        <v>2822</v>
      </c>
      <c r="HM3" t="s">
        <v>3981</v>
      </c>
      <c r="HW3" t="s">
        <v>3982</v>
      </c>
      <c r="IG3" t="s">
        <v>2346</v>
      </c>
      <c r="IQ3" t="s">
        <v>509</v>
      </c>
      <c r="JA3" t="s">
        <v>3983</v>
      </c>
      <c r="JK3" t="s">
        <v>3984</v>
      </c>
      <c r="JU3" t="s">
        <v>3985</v>
      </c>
      <c r="KE3" t="s">
        <v>3283</v>
      </c>
      <c r="KO3" t="s">
        <v>3986</v>
      </c>
      <c r="KY3" t="s">
        <v>3375</v>
      </c>
      <c r="LI3" t="s">
        <v>3987</v>
      </c>
      <c r="LS3" t="s">
        <v>3988</v>
      </c>
      <c r="MC3" t="s">
        <v>3989</v>
      </c>
      <c r="MM3" t="s">
        <v>2728</v>
      </c>
      <c r="MW3" t="s">
        <v>3990</v>
      </c>
      <c r="NG3" t="s">
        <v>3991</v>
      </c>
      <c r="NQ3" t="s">
        <v>3992</v>
      </c>
      <c r="OA3" t="s">
        <v>3469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_xll.BDS("OSIP US Equity","SUPPLY_CHAIN_SUPPLIERS","RELATIONSHIP_AS_OF_DATE","20050821")</f>
        <v>#N/A N/A</v>
      </c>
      <c r="F5" t="str">
        <f>_xll.BDS("OSIP US Equity","SUPPLY_CHAIN_CUSTOMERS","RELATIONSHIP_AS_OF_DATE","20050821")</f>
        <v>#N/A N/A</v>
      </c>
      <c r="K5" t="str">
        <f>_xll.BDS("540513Q US Equity","SUPPLY_CHAIN_SUPPLIERS","RELATIONSHIP_AS_OF_DATE","20020822")</f>
        <v>#N/A N/A</v>
      </c>
      <c r="P5" t="str">
        <f>_xll.BDS("540513Q US Equity","SUPPLY_CHAIN_CUSTOMERS","RELATIONSHIP_AS_OF_DATE","20020822")</f>
        <v>#N/A N/A</v>
      </c>
      <c r="U5" t="str">
        <f>_xll.BDS("IBM US Equity","SUPPLY_CHAIN_SUPPLIERS","RELATIONSHIP_AS_OF_DATE","20051221","cols=1;rows=5")</f>
        <v>005930 KS Equity</v>
      </c>
      <c r="Z5" t="str">
        <f>_xll.BDS("IBM US Equity","SUPPLY_CHAIN_CUSTOMERS","RELATIONSHIP_AS_OF_DATE","20051221","cols=1;rows=5")</f>
        <v>AMZN US Equity</v>
      </c>
      <c r="AE5" t="str">
        <f>_xll.BDS("RRD US Equity","SUPPLY_CHAIN_SUPPLIERS","RELATIONSHIP_AS_OF_DATE","20131024","cols=1;rows=5")</f>
        <v>FNOVA17 MM Equity</v>
      </c>
      <c r="AJ5" t="str">
        <f>_xll.BDS("RRD US Equity","SUPPLY_CHAIN_CUSTOMERS","RELATIONSHIP_AS_OF_DATE","20131024","cols=1;rows=5")</f>
        <v>1646058D US Equity</v>
      </c>
      <c r="AO5" t="str">
        <f>_xll.BDS("3353984Q US Equity","SUPPLY_CHAIN_SUPPLIERS","RELATIONSHIP_AS_OF_DATE","19981209")</f>
        <v>#N/A N/A</v>
      </c>
      <c r="AT5" t="str">
        <f>_xll.BDS("3353984Q US Equity","SUPPLY_CHAIN_CUSTOMERS","RELATIONSHIP_AS_OF_DATE","19981209")</f>
        <v>#N/A N/A</v>
      </c>
      <c r="AY5" t="str">
        <f>_xll.BDS("TYG US Equity","SUPPLY_CHAIN_SUPPLIERS","RELATIONSHIP_AS_OF_DATE","20140128")</f>
        <v>#N/A N/A</v>
      </c>
      <c r="BD5" t="str">
        <f>_xll.BDS("TYG US Equity","SUPPLY_CHAIN_CUSTOMERS","RELATIONSHIP_AS_OF_DATE","20140128")</f>
        <v>#N/A N/A</v>
      </c>
      <c r="BI5" t="str">
        <f>_xll.BDS("LLY US Equity","SUPPLY_CHAIN_SUPPLIERS","RELATIONSHIP_AS_OF_DATE","20201215","cols=1;rows=5")</f>
        <v>RIGL US Equity</v>
      </c>
      <c r="BN5" t="str">
        <f>_xll.BDS("LLY US Equity","SUPPLY_CHAIN_CUSTOMERS","RELATIONSHIP_AS_OF_DATE","20201215","cols=1;rows=5")</f>
        <v>MCK US Equity</v>
      </c>
      <c r="BS5" t="str">
        <f>_xll.BDS("IBM US Equity","SUPPLY_CHAIN_SUPPLIERS","RELATIONSHIP_AS_OF_DATE","19990713","cols=1;rows=5")</f>
        <v>005930 KS Equity</v>
      </c>
      <c r="BX5" t="str">
        <f>_xll.BDS("IBM US Equity","SUPPLY_CHAIN_CUSTOMERS","RELATIONSHIP_AS_OF_DATE","19990713","cols=1;rows=5")</f>
        <v>AMZN US Equity</v>
      </c>
      <c r="CC5" t="str">
        <f>_xll.BDS("SPTN US Equity","SUPPLY_CHAIN_SUPPLIERS","RELATIONSHIP_AS_OF_DATE","20130722","cols=1;rows=5")</f>
        <v>HRL US Equity</v>
      </c>
      <c r="CH5" t="str">
        <f>_xll.BDS("SPTN US Equity","SUPPLY_CHAIN_CUSTOMERS","RELATIONSHIP_AS_OF_DATE","20130722","cols=1;rows=5")</f>
        <v>0219682Z US Equity</v>
      </c>
      <c r="CM5" t="str">
        <f>_xll.BDS("1431816D US Equity","SUPPLY_CHAIN_SUPPLIERS","RELATIONSHIP_AS_OF_DATE","20010326")</f>
        <v>#N/A N/A</v>
      </c>
      <c r="CR5" t="str">
        <f>_xll.BDS("1431816D US Equity","SUPPLY_CHAIN_CUSTOMERS","RELATIONSHIP_AS_OF_DATE","20010326")</f>
        <v>#N/A N/A</v>
      </c>
      <c r="CW5" t="str">
        <f>_xll.BDS("GAS US Equity","SUPPLY_CHAIN_SUPPLIERS","RELATIONSHIP_AS_OF_DATE","20040715")</f>
        <v>#N/A N/A</v>
      </c>
      <c r="DB5" t="str">
        <f>_xll.BDS("GAS US Equity","SUPPLY_CHAIN_CUSTOMERS","RELATIONSHIP_AS_OF_DATE","20040715")</f>
        <v>#N/A N/A</v>
      </c>
      <c r="DG5" t="str">
        <f>_xll.BDS("1367809D US Equity","SUPPLY_CHAIN_SUPPLIERS","RELATIONSHIP_AS_OF_DATE","20070923")</f>
        <v>#N/A N/A</v>
      </c>
      <c r="DL5" t="str">
        <f>_xll.BDS("1367809D US Equity","SUPPLY_CHAIN_CUSTOMERS","RELATIONSHIP_AS_OF_DATE","20070923")</f>
        <v>#N/A N/A</v>
      </c>
      <c r="DQ5" t="str">
        <f>_xll.BDS("EA US Equity","SUPPLY_CHAIN_SUPPLIERS","RELATIONSHIP_AS_OF_DATE","20051208","cols=1;rows=5")</f>
        <v>HPP US Equity</v>
      </c>
      <c r="DV5" t="str">
        <f>_xll.BDS("EA US Equity","SUPPLY_CHAIN_CUSTOMERS","RELATIONSHIP_AS_OF_DATE","20051208","cols=1;rows=5")</f>
        <v>6758 JP Equity</v>
      </c>
      <c r="EA5" t="str">
        <f>_xll.BDS("GEO US Equity","SUPPLY_CHAIN_SUPPLIERS","RELATIONSHIP_AS_OF_DATE","20100419")</f>
        <v>VSEE US Equity</v>
      </c>
      <c r="EF5" t="str">
        <f>_xll.BDS("GEO US Equity","SUPPLY_CHAIN_CUSTOMERS","RELATIONSHIP_AS_OF_DATE","20100419","cols=1;rows=5")</f>
        <v>3352Z US Equity</v>
      </c>
      <c r="EK5" t="str">
        <f>_xll.BDS("ES US Equity","SUPPLY_CHAIN_SUPPLIERS","RELATIONSHIP_AS_OF_DATE","19990615","cols=1;rows=5")</f>
        <v>PWR US Equity</v>
      </c>
      <c r="EP5" t="str">
        <f>_xll.BDS("ES US Equity","SUPPLY_CHAIN_CUSTOMERS","RELATIONSHIP_AS_OF_DATE","19990615","cols=1;rows=5")</f>
        <v>ARW US Equity</v>
      </c>
      <c r="EU5" t="str">
        <f>_xll.BDS("496160Q US Equity","SUPPLY_CHAIN_SUPPLIERS","RELATIONSHIP_AS_OF_DATE","19990614")</f>
        <v>#N/A N/A</v>
      </c>
      <c r="EZ5" t="str">
        <f>_xll.BDS("496160Q US Equity","SUPPLY_CHAIN_CUSTOMERS","RELATIONSHIP_AS_OF_DATE","19990614")</f>
        <v>#N/A N/A</v>
      </c>
      <c r="FE5" t="str">
        <f>_xll.BDS("AMMD US Equity","SUPPLY_CHAIN_SUPPLIERS","RELATIONSHIP_AS_OF_DATE","20060605")</f>
        <v>#N/A N/A</v>
      </c>
      <c r="FJ5" t="str">
        <f>_xll.BDS("AMMD US Equity","SUPPLY_CHAIN_CUSTOMERS","RELATIONSHIP_AS_OF_DATE","20060605")</f>
        <v>#N/A N/A</v>
      </c>
      <c r="FO5" t="str">
        <f>_xll.BDS("2674129Q US Equity","SUPPLY_CHAIN_SUPPLIERS","RELATIONSHIP_AS_OF_DATE","19980521")</f>
        <v>#N/A N/A</v>
      </c>
      <c r="FT5" t="str">
        <f>_xll.BDS("2674129Q US Equity","SUPPLY_CHAIN_CUSTOMERS","RELATIONSHIP_AS_OF_DATE","19980521")</f>
        <v>#N/A N/A</v>
      </c>
      <c r="FY5" t="str">
        <f>_xll.BDS("BRCD US Equity","SUPPLY_CHAIN_SUPPLIERS","RELATIONSHIP_AS_OF_DATE","20060808")</f>
        <v>#N/A N/A</v>
      </c>
      <c r="GD5" t="str">
        <f>_xll.BDS("BRCD US Equity","SUPPLY_CHAIN_CUSTOMERS","RELATIONSHIP_AS_OF_DATE","20060808")</f>
        <v>#N/A N/A</v>
      </c>
      <c r="GI5" t="str">
        <f>_xll.BDS("PNC US Equity","SUPPLY_CHAIN_SUPPLIERS","RELATIONSHIP_AS_OF_DATE","20030821","cols=1;rows=5")</f>
        <v>ORCL US Equity</v>
      </c>
      <c r="GN5" t="str">
        <f>_xll.BDS("PNC US Equity","SUPPLY_CHAIN_CUSTOMERS","RELATIONSHIP_AS_OF_DATE","20030821")</f>
        <v>4502 JP Equity</v>
      </c>
      <c r="GS5" t="str">
        <f>_xll.BDS("MMM US Equity","SUPPLY_CHAIN_SUPPLIERS","RELATIONSHIP_AS_OF_DATE","20121001","cols=1;rows=5")</f>
        <v>BAS GR Equity</v>
      </c>
      <c r="GX5" t="str">
        <f>_xll.BDS("MMM US Equity","SUPPLY_CHAIN_CUSTOMERS","RELATIONSHIP_AS_OF_DATE","20121001","cols=1;rows=5")</f>
        <v>SOLV US Equity</v>
      </c>
      <c r="HC5" t="str">
        <f>_xll.BDS("BWA US Equity","SUPPLY_CHAIN_SUPPLIERS","RELATIONSHIP_AS_OF_DATE","19981218","cols=1;rows=5")</f>
        <v>CMI US Equity</v>
      </c>
      <c r="HH5" t="str">
        <f>_xll.BDS("BWA US Equity","SUPPLY_CHAIN_CUSTOMERS","RELATIONSHIP_AS_OF_DATE","19981218","cols=1;rows=5")</f>
        <v>VOW GR Equity</v>
      </c>
      <c r="HM5" t="str">
        <f>_xll.BDS("CZR US Equity","SUPPLY_CHAIN_SUPPLIERS","RELATIONSHIP_AS_OF_DATE","20180416","cols=1;rows=5")</f>
        <v>VICI US Equity</v>
      </c>
      <c r="HR5" t="str">
        <f>_xll.BDS("CZR US Equity","SUPPLY_CHAIN_CUSTOMERS","RELATIONSHIP_AS_OF_DATE","20180416","cols=1;rows=4")</f>
        <v>0127957D US Equity</v>
      </c>
      <c r="HW5" t="str">
        <f>_xll.BDS("JNPR US Equity","SUPPLY_CHAIN_SUPPLIERS","RELATIONSHIP_AS_OF_DATE","20020520","cols=1;rows=5")</f>
        <v>NVDA US Equity</v>
      </c>
      <c r="IB5" t="str">
        <f>_xll.BDS("JNPR US Equity","SUPPLY_CHAIN_CUSTOMERS","RELATIONSHIP_AS_OF_DATE","20020520","cols=1;rows=5")</f>
        <v>GOOGL US Equity</v>
      </c>
      <c r="IG5" t="str">
        <f>_xll.BDS("CAM US Equity","SUPPLY_CHAIN_SUPPLIERS","RELATIONSHIP_AS_OF_DATE","20090601")</f>
        <v>#N/A N/A</v>
      </c>
      <c r="IL5" t="str">
        <f>_xll.BDS("CAM US Equity","SUPPLY_CHAIN_CUSTOMERS","RELATIONSHIP_AS_OF_DATE","20090601")</f>
        <v>#N/A N/A</v>
      </c>
      <c r="IQ5" t="str">
        <f>_xll.BDS("841273Q US Equity","SUPPLY_CHAIN_SUPPLIERS","RELATIONSHIP_AS_OF_DATE","19980803")</f>
        <v>#N/A N/A</v>
      </c>
      <c r="IV5" t="str">
        <f>_xll.BDS("841273Q US Equity","SUPPLY_CHAIN_CUSTOMERS","RELATIONSHIP_AS_OF_DATE","19980803")</f>
        <v>#N/A N/A</v>
      </c>
      <c r="JA5" t="str">
        <f>_xll.BDS("LYV US Equity","SUPPLY_CHAIN_SUPPLIERS","RELATIONSHIP_AS_OF_DATE","20090210","cols=1;rows=5")</f>
        <v>ABI BB Equity</v>
      </c>
      <c r="JF5" t="str">
        <f>_xll.BDS("LYV US Equity","SUPPLY_CHAIN_CUSTOMERS","RELATIONSHIP_AS_OF_DATE","20090210","cols=1;rows=5")</f>
        <v>0065590D US Equity</v>
      </c>
      <c r="JK5" t="str">
        <f>_xll.BDS("WFM US Equity","SUPPLY_CHAIN_SUPPLIERS","RELATIONSHIP_AS_OF_DATE","20070121")</f>
        <v>#N/A N/A</v>
      </c>
      <c r="JP5" t="str">
        <f>_xll.BDS("WFM US Equity","SUPPLY_CHAIN_CUSTOMERS","RELATIONSHIP_AS_OF_DATE","20070121")</f>
        <v>#N/A N/A</v>
      </c>
      <c r="JU5" t="str">
        <f>_xll.BDS("1013207D US Equity","SUPPLY_CHAIN_SUPPLIERS","RELATIONSHIP_AS_OF_DATE","19990113")</f>
        <v>#N/A N/A</v>
      </c>
      <c r="JZ5" t="str">
        <f>_xll.BDS("1013207D US Equity","SUPPLY_CHAIN_CUSTOMERS","RELATIONSHIP_AS_OF_DATE","19990113")</f>
        <v>#N/A N/A</v>
      </c>
      <c r="KE5" t="str">
        <f>_xll.BDS("ACCO US Equity","SUPPLY_CHAIN_SUPPLIERS","RELATIONSHIP_AS_OF_DATE","20050316","cols=1;rows=5")</f>
        <v>7974 JP Equity</v>
      </c>
      <c r="KJ5" t="str">
        <f>_xll.BDS("ACCO US Equity","SUPPLY_CHAIN_CUSTOMERS","RELATIONSHIP_AS_OF_DATE","20050316","cols=1;rows=5")</f>
        <v>WMT US Equity</v>
      </c>
      <c r="KO5" t="str">
        <f>_xll.BDS("WY US Equity","SUPPLY_CHAIN_SUPPLIERS","RELATIONSHIP_AS_OF_DATE","19991123","cols=1;rows=5")</f>
        <v>CNR CN Equity</v>
      </c>
      <c r="KT5" t="str">
        <f>_xll.BDS("WY US Equity","SUPPLY_CHAIN_CUSTOMERS","RELATIONSHIP_AS_OF_DATE","19991123","cols=1;rows=5")</f>
        <v>BLDR US Equity</v>
      </c>
      <c r="KY5" t="str">
        <f>_xll.BDS("GVNTQ US Equity","SUPPLY_CHAIN_SUPPLIERS","RELATIONSHIP_AS_OF_DATE","19980427")</f>
        <v>#N/A N/A</v>
      </c>
      <c r="LD5" t="str">
        <f>_xll.BDS("GVNTQ US Equity","SUPPLY_CHAIN_CUSTOMERS","RELATIONSHIP_AS_OF_DATE","19980427")</f>
        <v>#N/A N/A</v>
      </c>
      <c r="LI5" t="str">
        <f>_xll.BDS("MMM US Equity","SUPPLY_CHAIN_SUPPLIERS","RELATIONSHIP_AS_OF_DATE","20100830","cols=1;rows=5")</f>
        <v>BAS GR Equity</v>
      </c>
      <c r="LN5" t="str">
        <f>_xll.BDS("MMM US Equity","SUPPLY_CHAIN_CUSTOMERS","RELATIONSHIP_AS_OF_DATE","20100830","cols=1;rows=5")</f>
        <v>SOLV US Equity</v>
      </c>
      <c r="LS5" t="str">
        <f>_xll.BDS("XEL US Equity","SUPPLY_CHAIN_SUPPLIERS","RELATIONSHIP_AS_OF_DATE","20020215","cols=1;rows=5")</f>
        <v>PWR US Equity</v>
      </c>
      <c r="LX5" t="str">
        <f>_xll.BDS("XEL US Equity","SUPPLY_CHAIN_CUSTOMERS","RELATIONSHIP_AS_OF_DATE","20020215","cols=1;rows=5")</f>
        <v>000150 KS Equity</v>
      </c>
      <c r="MC5" t="str">
        <f>_xll.BDS("PNC US Equity","SUPPLY_CHAIN_SUPPLIERS","RELATIONSHIP_AS_OF_DATE","20040716","cols=1;rows=5")</f>
        <v>ORCL US Equity</v>
      </c>
      <c r="MH5" t="str">
        <f>_xll.BDS("PNC US Equity","SUPPLY_CHAIN_CUSTOMERS","RELATIONSHIP_AS_OF_DATE","20040716")</f>
        <v>4502 JP Equity</v>
      </c>
      <c r="MM5" t="str">
        <f>_xll.BDS("ISCA US Equity","SUPPLY_CHAIN_SUPPLIERS","RELATIONSHIP_AS_OF_DATE","19990510")</f>
        <v>#N/A N/A</v>
      </c>
      <c r="MR5" t="str">
        <f>_xll.BDS("ISCA US Equity","SUPPLY_CHAIN_CUSTOMERS","RELATIONSHIP_AS_OF_DATE","19990510")</f>
        <v>#N/A N/A</v>
      </c>
      <c r="MW5" t="str">
        <f>_xll.BDS("SSP US Equity","SUPPLY_CHAIN_SUPPLIERS","RELATIONSHIP_AS_OF_DATE","20140730","cols=1;rows=5")</f>
        <v>HLIT US Equity</v>
      </c>
      <c r="NB5" t="str">
        <f>_xll.BDS("SSP US Equity","SUPPLY_CHAIN_CUSTOMERS","RELATIONSHIP_AS_OF_DATE","20140730","cols=1;rows=2")</f>
        <v>FUBO US Equity</v>
      </c>
      <c r="NG5" t="str">
        <f>_xll.BDS("1676829D US Equity","SUPPLY_CHAIN_SUPPLIERS","RELATIONSHIP_AS_OF_DATE","20001003")</f>
        <v>#N/A N/A</v>
      </c>
      <c r="NL5" t="str">
        <f>_xll.BDS("1676829D US Equity","SUPPLY_CHAIN_CUSTOMERS","RELATIONSHIP_AS_OF_DATE","20001003")</f>
        <v>#N/A N/A</v>
      </c>
      <c r="NQ5" t="str">
        <f>_xll.BDS("SSB US Equity","SUPPLY_CHAIN_SUPPLIERS","RELATIONSHIP_AS_OF_DATE","20170427","cols=1;rows=4")</f>
        <v>BLND US Equity</v>
      </c>
      <c r="NV5" t="str">
        <f>_xll.BDS("SSB US Equity","SUPPLY_CHAIN_CUSTOMERS","RELATIONSHIP_AS_OF_DATE","20170427")</f>
        <v>#N/A N/A</v>
      </c>
      <c r="OA5" t="str">
        <f>_xll.BDS("4621824Q US Equity","SUPPLY_CHAIN_SUPPLIERS","RELATIONSHIP_AS_OF_DATE","19990709")</f>
        <v>#N/A N/A</v>
      </c>
      <c r="OF5" t="str">
        <f>_xll.BDS("4621824Q US Equity","SUPPLY_CHAIN_CUSTOMERS","RELATIONSHIP_AS_OF_DATE","19990709")</f>
        <v>#N/A N/A</v>
      </c>
    </row>
    <row r="6" spans="1:396" x14ac:dyDescent="0.25">
      <c r="U6" t="s">
        <v>41</v>
      </c>
      <c r="Z6" t="s">
        <v>266</v>
      </c>
      <c r="AE6" t="s">
        <v>11290</v>
      </c>
      <c r="AJ6" t="s">
        <v>11284</v>
      </c>
      <c r="BI6" t="s">
        <v>10846</v>
      </c>
      <c r="BN6" t="s">
        <v>1468</v>
      </c>
      <c r="BS6" t="s">
        <v>41</v>
      </c>
      <c r="BX6" t="s">
        <v>266</v>
      </c>
      <c r="CC6" t="s">
        <v>573</v>
      </c>
      <c r="CH6" t="s">
        <v>10778</v>
      </c>
      <c r="DQ6" t="s">
        <v>2204</v>
      </c>
      <c r="DV6" t="s">
        <v>266</v>
      </c>
      <c r="EF6" t="s">
        <v>10801</v>
      </c>
      <c r="EK6" t="s">
        <v>10667</v>
      </c>
      <c r="EP6" t="s">
        <v>11553</v>
      </c>
      <c r="GI6" t="s">
        <v>11188</v>
      </c>
      <c r="GS6" t="s">
        <v>11159</v>
      </c>
      <c r="GX6" t="s">
        <v>11194</v>
      </c>
      <c r="HC6" t="s">
        <v>11334</v>
      </c>
      <c r="HH6" t="s">
        <v>3875</v>
      </c>
      <c r="HM6" t="s">
        <v>1069</v>
      </c>
      <c r="HR6" t="s">
        <v>12245</v>
      </c>
      <c r="HW6" t="s">
        <v>11089</v>
      </c>
      <c r="IB6" t="s">
        <v>266</v>
      </c>
      <c r="JA6" t="s">
        <v>2316</v>
      </c>
      <c r="JF6" t="s">
        <v>11470</v>
      </c>
      <c r="KE6" t="s">
        <v>54</v>
      </c>
      <c r="KJ6" t="s">
        <v>469</v>
      </c>
      <c r="KO6" t="s">
        <v>12520</v>
      </c>
      <c r="KT6" t="s">
        <v>12238</v>
      </c>
      <c r="LI6" t="s">
        <v>11159</v>
      </c>
      <c r="LN6" t="s">
        <v>11194</v>
      </c>
      <c r="LS6" t="s">
        <v>11665</v>
      </c>
      <c r="LX6" t="s">
        <v>12777</v>
      </c>
      <c r="MC6" t="s">
        <v>11188</v>
      </c>
      <c r="MW6" t="s">
        <v>11979</v>
      </c>
      <c r="NB6" t="s">
        <v>11364</v>
      </c>
      <c r="NQ6" t="s">
        <v>10829</v>
      </c>
    </row>
    <row r="7" spans="1:396" x14ac:dyDescent="0.25">
      <c r="U7" t="s">
        <v>469</v>
      </c>
      <c r="Z7" t="s">
        <v>10892</v>
      </c>
      <c r="AE7" t="s">
        <v>1654</v>
      </c>
      <c r="AJ7" t="s">
        <v>11285</v>
      </c>
      <c r="BI7" t="s">
        <v>10847</v>
      </c>
      <c r="BN7" t="s">
        <v>970</v>
      </c>
      <c r="BS7" t="s">
        <v>469</v>
      </c>
      <c r="BX7" t="s">
        <v>10892</v>
      </c>
      <c r="CC7" t="s">
        <v>11220</v>
      </c>
      <c r="CH7" t="s">
        <v>12662</v>
      </c>
      <c r="DQ7" t="s">
        <v>10672</v>
      </c>
      <c r="DV7" t="s">
        <v>5236</v>
      </c>
      <c r="EF7" t="s">
        <v>11589</v>
      </c>
      <c r="EK7" t="s">
        <v>12758</v>
      </c>
      <c r="EP7" t="s">
        <v>11554</v>
      </c>
      <c r="GI7" t="s">
        <v>10987</v>
      </c>
      <c r="GS7" t="s">
        <v>11585</v>
      </c>
      <c r="GX7" t="s">
        <v>11542</v>
      </c>
      <c r="HC7" t="s">
        <v>11759</v>
      </c>
      <c r="HH7" t="s">
        <v>10953</v>
      </c>
      <c r="HM7" t="s">
        <v>171</v>
      </c>
      <c r="HR7" t="s">
        <v>10700</v>
      </c>
      <c r="HW7" t="s">
        <v>11060</v>
      </c>
      <c r="IB7" t="s">
        <v>11084</v>
      </c>
      <c r="JA7" t="s">
        <v>11286</v>
      </c>
      <c r="JF7" t="s">
        <v>12688</v>
      </c>
      <c r="KE7" t="s">
        <v>7300</v>
      </c>
      <c r="KJ7" t="s">
        <v>10775</v>
      </c>
      <c r="KO7" t="s">
        <v>12521</v>
      </c>
      <c r="KT7" t="s">
        <v>12239</v>
      </c>
      <c r="LI7" t="s">
        <v>11585</v>
      </c>
      <c r="LN7" t="s">
        <v>11542</v>
      </c>
      <c r="LS7" t="s">
        <v>11664</v>
      </c>
      <c r="LX7" t="s">
        <v>12778</v>
      </c>
      <c r="MC7" t="s">
        <v>10987</v>
      </c>
      <c r="MW7" t="s">
        <v>11980</v>
      </c>
      <c r="NQ7" t="s">
        <v>11242</v>
      </c>
    </row>
    <row r="8" spans="1:396" x14ac:dyDescent="0.25">
      <c r="U8" t="s">
        <v>2881</v>
      </c>
      <c r="Z8" t="s">
        <v>6473</v>
      </c>
      <c r="AE8" t="s">
        <v>2111</v>
      </c>
      <c r="AJ8" t="s">
        <v>5236</v>
      </c>
      <c r="BI8" t="s">
        <v>2785</v>
      </c>
      <c r="BN8" t="s">
        <v>10799</v>
      </c>
      <c r="BS8" t="s">
        <v>2881</v>
      </c>
      <c r="BX8" t="s">
        <v>6473</v>
      </c>
      <c r="CC8" t="s">
        <v>6810</v>
      </c>
      <c r="CH8" t="s">
        <v>10657</v>
      </c>
      <c r="DQ8" t="s">
        <v>12497</v>
      </c>
      <c r="DV8" t="s">
        <v>2705</v>
      </c>
      <c r="EF8" t="s">
        <v>11590</v>
      </c>
      <c r="EK8" t="s">
        <v>375</v>
      </c>
      <c r="EP8" t="s">
        <v>12255</v>
      </c>
      <c r="GI8" t="s">
        <v>12358</v>
      </c>
      <c r="GS8" t="s">
        <v>11541</v>
      </c>
      <c r="GX8" t="s">
        <v>570</v>
      </c>
      <c r="HC8" t="s">
        <v>11760</v>
      </c>
      <c r="HH8" t="s">
        <v>12050</v>
      </c>
      <c r="HM8" t="s">
        <v>1654</v>
      </c>
      <c r="HR8" t="s">
        <v>12246</v>
      </c>
      <c r="HW8" t="s">
        <v>10734</v>
      </c>
      <c r="IB8" t="s">
        <v>49</v>
      </c>
      <c r="JA8" t="s">
        <v>12701</v>
      </c>
      <c r="JF8" t="s">
        <v>12623</v>
      </c>
      <c r="KE8" t="s">
        <v>12582</v>
      </c>
      <c r="KJ8" t="s">
        <v>52</v>
      </c>
      <c r="KO8" t="s">
        <v>10696</v>
      </c>
      <c r="KT8" t="s">
        <v>1371</v>
      </c>
      <c r="LI8" t="s">
        <v>11541</v>
      </c>
      <c r="LN8" t="s">
        <v>570</v>
      </c>
      <c r="LS8" t="s">
        <v>7384</v>
      </c>
      <c r="LX8" t="s">
        <v>12779</v>
      </c>
      <c r="MC8" t="s">
        <v>12358</v>
      </c>
      <c r="MW8" t="s">
        <v>11981</v>
      </c>
      <c r="NQ8" t="s">
        <v>3162</v>
      </c>
    </row>
    <row r="9" spans="1:396" x14ac:dyDescent="0.25">
      <c r="U9" t="s">
        <v>10853</v>
      </c>
      <c r="Z9" t="s">
        <v>969</v>
      </c>
      <c r="AE9" t="s">
        <v>10696</v>
      </c>
      <c r="AJ9" t="s">
        <v>10992</v>
      </c>
      <c r="BI9" t="s">
        <v>10821</v>
      </c>
      <c r="BN9" t="s">
        <v>10800</v>
      </c>
      <c r="BS9" t="s">
        <v>10853</v>
      </c>
      <c r="BX9" t="s">
        <v>969</v>
      </c>
      <c r="CC9" t="s">
        <v>1361</v>
      </c>
      <c r="CH9" t="s">
        <v>12663</v>
      </c>
      <c r="DQ9" t="s">
        <v>12498</v>
      </c>
      <c r="DV9" t="s">
        <v>10676</v>
      </c>
      <c r="EF9" t="s">
        <v>11591</v>
      </c>
      <c r="EK9" t="s">
        <v>12488</v>
      </c>
      <c r="EP9" t="s">
        <v>12256</v>
      </c>
      <c r="GI9" t="s">
        <v>11522</v>
      </c>
      <c r="GS9" t="s">
        <v>11410</v>
      </c>
      <c r="GX9" t="s">
        <v>11090</v>
      </c>
      <c r="HC9" t="s">
        <v>11043</v>
      </c>
      <c r="HH9" t="s">
        <v>10658</v>
      </c>
      <c r="HM9" t="s">
        <v>12449</v>
      </c>
      <c r="HW9" t="s">
        <v>3611</v>
      </c>
      <c r="IB9" t="s">
        <v>41</v>
      </c>
      <c r="JA9" t="s">
        <v>12702</v>
      </c>
      <c r="JF9" t="s">
        <v>12689</v>
      </c>
      <c r="KE9" t="s">
        <v>12583</v>
      </c>
      <c r="KJ9" t="s">
        <v>477</v>
      </c>
      <c r="KO9" t="s">
        <v>12522</v>
      </c>
      <c r="KT9" t="s">
        <v>10369</v>
      </c>
      <c r="LI9" t="s">
        <v>11410</v>
      </c>
      <c r="LN9" t="s">
        <v>11090</v>
      </c>
      <c r="LS9" t="s">
        <v>12661</v>
      </c>
      <c r="LX9" t="s">
        <v>12256</v>
      </c>
      <c r="MC9" t="s">
        <v>11522</v>
      </c>
      <c r="MW9" t="s">
        <v>11982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3993</v>
      </c>
      <c r="K1" s="1" t="s">
        <v>3994</v>
      </c>
      <c r="U1" s="1" t="s">
        <v>3995</v>
      </c>
      <c r="AE1" s="1" t="s">
        <v>3996</v>
      </c>
      <c r="AO1" s="1" t="s">
        <v>3997</v>
      </c>
      <c r="AY1" s="1" t="s">
        <v>3998</v>
      </c>
      <c r="BI1" s="1" t="s">
        <v>3999</v>
      </c>
      <c r="BS1" s="1" t="s">
        <v>4000</v>
      </c>
      <c r="CC1" s="1" t="s">
        <v>4001</v>
      </c>
      <c r="CM1" s="1" t="s">
        <v>4002</v>
      </c>
      <c r="CW1" s="1" t="s">
        <v>4003</v>
      </c>
      <c r="DG1" s="1" t="s">
        <v>4004</v>
      </c>
      <c r="DQ1" s="1" t="s">
        <v>4005</v>
      </c>
      <c r="EA1" s="1" t="s">
        <v>4006</v>
      </c>
      <c r="EK1" s="1" t="s">
        <v>4007</v>
      </c>
      <c r="EU1" s="1" t="s">
        <v>4008</v>
      </c>
      <c r="FE1" s="1" t="s">
        <v>4009</v>
      </c>
      <c r="FO1" s="1" t="s">
        <v>4010</v>
      </c>
      <c r="FY1" s="1" t="s">
        <v>4011</v>
      </c>
      <c r="GI1" s="1" t="s">
        <v>4012</v>
      </c>
      <c r="GS1" s="1" t="s">
        <v>4013</v>
      </c>
      <c r="HC1" s="1" t="s">
        <v>4014</v>
      </c>
      <c r="HM1" s="1" t="s">
        <v>4015</v>
      </c>
      <c r="HW1" s="1" t="s">
        <v>4016</v>
      </c>
      <c r="IG1" s="1" t="s">
        <v>4017</v>
      </c>
      <c r="IQ1" s="1" t="s">
        <v>4018</v>
      </c>
      <c r="JA1" s="1" t="s">
        <v>4019</v>
      </c>
      <c r="JK1" s="1" t="s">
        <v>4020</v>
      </c>
      <c r="JU1" s="1" t="s">
        <v>4021</v>
      </c>
      <c r="KE1" s="1" t="s">
        <v>4022</v>
      </c>
      <c r="KO1" s="1" t="s">
        <v>4023</v>
      </c>
      <c r="KY1" s="1" t="s">
        <v>4024</v>
      </c>
      <c r="LI1" s="1" t="s">
        <v>4025</v>
      </c>
      <c r="LS1" s="1" t="s">
        <v>4026</v>
      </c>
      <c r="MC1" s="1" t="s">
        <v>4027</v>
      </c>
      <c r="MM1" s="1" t="s">
        <v>4028</v>
      </c>
      <c r="MW1" s="1" t="s">
        <v>4029</v>
      </c>
      <c r="NG1" s="1" t="s">
        <v>4030</v>
      </c>
      <c r="NQ1" s="1" t="s">
        <v>4031</v>
      </c>
      <c r="OA1" s="1" t="s">
        <v>4032</v>
      </c>
    </row>
    <row r="2" spans="1:396" x14ac:dyDescent="0.25">
      <c r="A2" s="2" t="s">
        <v>4033</v>
      </c>
      <c r="K2" s="2" t="s">
        <v>981</v>
      </c>
      <c r="U2" s="2" t="s">
        <v>4034</v>
      </c>
      <c r="AE2" s="2" t="s">
        <v>171</v>
      </c>
      <c r="AO2" s="2" t="s">
        <v>61</v>
      </c>
      <c r="AY2" s="2" t="s">
        <v>4035</v>
      </c>
      <c r="BI2" s="2" t="s">
        <v>4036</v>
      </c>
      <c r="BS2" s="2" t="s">
        <v>4037</v>
      </c>
      <c r="CC2" s="2" t="s">
        <v>174</v>
      </c>
      <c r="CM2" s="2" t="s">
        <v>4038</v>
      </c>
      <c r="CW2" s="2" t="s">
        <v>976</v>
      </c>
      <c r="DG2" s="2" t="s">
        <v>788</v>
      </c>
      <c r="DQ2" s="2" t="s">
        <v>1079</v>
      </c>
      <c r="EA2" s="2" t="s">
        <v>3258</v>
      </c>
      <c r="EK2" s="2" t="s">
        <v>775</v>
      </c>
      <c r="EU2" s="2" t="s">
        <v>282</v>
      </c>
      <c r="FE2" s="2" t="s">
        <v>4039</v>
      </c>
      <c r="FO2" s="2" t="s">
        <v>4040</v>
      </c>
      <c r="FY2" s="2" t="s">
        <v>4041</v>
      </c>
      <c r="GI2" s="2" t="s">
        <v>4042</v>
      </c>
      <c r="GS2" s="2" t="s">
        <v>4043</v>
      </c>
      <c r="HC2" s="2" t="s">
        <v>4044</v>
      </c>
      <c r="HM2" s="2" t="s">
        <v>2795</v>
      </c>
      <c r="HW2" s="2" t="s">
        <v>874</v>
      </c>
      <c r="IG2" s="2" t="s">
        <v>2505</v>
      </c>
      <c r="IQ2" s="2" t="s">
        <v>1839</v>
      </c>
      <c r="JA2" s="2" t="s">
        <v>1555</v>
      </c>
      <c r="JK2" s="2" t="s">
        <v>969</v>
      </c>
      <c r="JU2" s="2" t="s">
        <v>4045</v>
      </c>
      <c r="KE2" s="2" t="s">
        <v>166</v>
      </c>
      <c r="KO2" s="2" t="s">
        <v>4046</v>
      </c>
      <c r="KY2" s="2" t="s">
        <v>64</v>
      </c>
      <c r="LI2" s="2" t="s">
        <v>3798</v>
      </c>
      <c r="LS2" s="2" t="s">
        <v>4047</v>
      </c>
      <c r="MC2" s="2" t="s">
        <v>4048</v>
      </c>
      <c r="MM2" s="2" t="s">
        <v>4049</v>
      </c>
      <c r="MW2" s="2" t="s">
        <v>387</v>
      </c>
      <c r="NG2" s="2" t="s">
        <v>486</v>
      </c>
      <c r="NQ2" s="2" t="s">
        <v>41</v>
      </c>
      <c r="OA2" s="2" t="s">
        <v>64</v>
      </c>
    </row>
    <row r="3" spans="1:396" x14ac:dyDescent="0.25">
      <c r="A3" t="s">
        <v>302</v>
      </c>
      <c r="K3" t="s">
        <v>4050</v>
      </c>
      <c r="U3" t="s">
        <v>4051</v>
      </c>
      <c r="AE3" t="s">
        <v>4052</v>
      </c>
      <c r="AO3" t="s">
        <v>4053</v>
      </c>
      <c r="AY3" t="s">
        <v>4054</v>
      </c>
      <c r="BI3" t="s">
        <v>4055</v>
      </c>
      <c r="BS3" t="s">
        <v>4056</v>
      </c>
      <c r="CC3" t="s">
        <v>4057</v>
      </c>
      <c r="CM3" t="s">
        <v>811</v>
      </c>
      <c r="CW3" t="s">
        <v>4058</v>
      </c>
      <c r="DG3" t="s">
        <v>4059</v>
      </c>
      <c r="DQ3" t="s">
        <v>4060</v>
      </c>
      <c r="EA3" t="s">
        <v>694</v>
      </c>
      <c r="EK3" t="s">
        <v>4061</v>
      </c>
      <c r="EU3" t="s">
        <v>4062</v>
      </c>
      <c r="FE3" t="s">
        <v>4063</v>
      </c>
      <c r="FO3" t="s">
        <v>4064</v>
      </c>
      <c r="FY3" t="s">
        <v>4065</v>
      </c>
      <c r="GI3" t="s">
        <v>4066</v>
      </c>
      <c r="GS3" t="s">
        <v>4067</v>
      </c>
      <c r="HC3" t="s">
        <v>4068</v>
      </c>
      <c r="HM3" t="s">
        <v>4069</v>
      </c>
      <c r="HW3" t="s">
        <v>4070</v>
      </c>
      <c r="IG3" t="s">
        <v>4071</v>
      </c>
      <c r="IQ3" t="s">
        <v>4072</v>
      </c>
      <c r="JA3" t="s">
        <v>4073</v>
      </c>
      <c r="JK3" t="s">
        <v>4074</v>
      </c>
      <c r="JU3" t="s">
        <v>4075</v>
      </c>
      <c r="KE3" t="s">
        <v>4076</v>
      </c>
      <c r="KO3" t="s">
        <v>4077</v>
      </c>
      <c r="KY3" t="s">
        <v>4078</v>
      </c>
      <c r="LI3" t="s">
        <v>4079</v>
      </c>
      <c r="LS3" t="s">
        <v>208</v>
      </c>
      <c r="MC3" t="s">
        <v>2806</v>
      </c>
      <c r="MM3" t="s">
        <v>4080</v>
      </c>
      <c r="MW3" t="s">
        <v>4081</v>
      </c>
      <c r="NG3" t="s">
        <v>4082</v>
      </c>
      <c r="NQ3" t="s">
        <v>4083</v>
      </c>
      <c r="OA3" t="s">
        <v>4084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_xll.BDS("0554877D US Equity","SUPPLY_CHAIN_SUPPLIERS","RELATIONSHIP_AS_OF_DATE","19991004")</f>
        <v>#N/A N/A</v>
      </c>
      <c r="F5" t="str">
        <f>_xll.BDS("0554877D US Equity","SUPPLY_CHAIN_CUSTOMERS","RELATIONSHIP_AS_OF_DATE","19991004")</f>
        <v>#N/A N/A</v>
      </c>
      <c r="K5" t="str">
        <f>_xll.BDS("TFCFA US Equity","SUPPLY_CHAIN_SUPPLIERS","RELATIONSHIP_AS_OF_DATE","20050908")</f>
        <v>#N/A N/A</v>
      </c>
      <c r="P5" t="str">
        <f>_xll.BDS("TFCFA US Equity","SUPPLY_CHAIN_CUSTOMERS","RELATIONSHIP_AS_OF_DATE","20050908")</f>
        <v>#N/A N/A</v>
      </c>
      <c r="U5" t="str">
        <f>_xll.BDS("COLB US Equity","SUPPLY_CHAIN_SUPPLIERS","RELATIONSHIP_AS_OF_DATE","20170110")</f>
        <v>INVE US Equity</v>
      </c>
      <c r="Z5" t="str">
        <f>_xll.BDS("COLB US Equity","SUPPLY_CHAIN_CUSTOMERS","RELATIONSHIP_AS_OF_DATE","20170110")</f>
        <v>#N/A N/A</v>
      </c>
      <c r="AE5" t="str">
        <f>_xll.BDS("ORCL US Equity","SUPPLY_CHAIN_SUPPLIERS","RELATIONSHIP_AS_OF_DATE","20100416","cols=1;rows=5")</f>
        <v>NVDA US Equity</v>
      </c>
      <c r="AJ5" t="str">
        <f>_xll.BDS("ORCL US Equity","SUPPLY_CHAIN_CUSTOMERS","RELATIONSHIP_AS_OF_DATE","20100416","cols=1;rows=5")</f>
        <v>ACN US Equity</v>
      </c>
      <c r="AO5" t="str">
        <f>_xll.BDS("JPM US Equity","SUPPLY_CHAIN_SUPPLIERS","RELATIONSHIP_AS_OF_DATE","20051215","cols=1;rows=5")</f>
        <v>LUV US Equity</v>
      </c>
      <c r="AT5" t="str">
        <f>_xll.BDS("JPM US Equity","SUPPLY_CHAIN_CUSTOMERS","RELATIONSHIP_AS_OF_DATE","20051215","cols=1;rows=5")</f>
        <v>000737 CH Equity</v>
      </c>
      <c r="AY5" t="str">
        <f>_xll.BDS("WHXCQ US Equity","SUPPLY_CHAIN_SUPPLIERS","RELATIONSHIP_AS_OF_DATE","19980303")</f>
        <v>#N/A N/A</v>
      </c>
      <c r="BD5" t="str">
        <f>_xll.BDS("WHXCQ US Equity","SUPPLY_CHAIN_CUSTOMERS","RELATIONSHIP_AS_OF_DATE","19980303")</f>
        <v>#N/A N/A</v>
      </c>
      <c r="BI5" t="str">
        <f>_xll.BDS("HOT US Equity","SUPPLY_CHAIN_SUPPLIERS","RELATIONSHIP_AS_OF_DATE","19990719")</f>
        <v>#N/A N/A</v>
      </c>
      <c r="BN5" t="str">
        <f>_xll.BDS("HOT US Equity","SUPPLY_CHAIN_CUSTOMERS","RELATIONSHIP_AS_OF_DATE","19990719")</f>
        <v>#N/A N/A</v>
      </c>
      <c r="BS5" t="str">
        <f>_xll.BDS("CMOS US Equity","SUPPLY_CHAIN_SUPPLIERS","RELATIONSHIP_AS_OF_DATE","20040223")</f>
        <v>#N/A N/A</v>
      </c>
      <c r="BX5" t="str">
        <f>_xll.BDS("CMOS US Equity","SUPPLY_CHAIN_CUSTOMERS","RELATIONSHIP_AS_OF_DATE","20040223")</f>
        <v>#N/A N/A</v>
      </c>
      <c r="CC5" t="str">
        <f>_xll.BDS("CZR US Equity","SUPPLY_CHAIN_SUPPLIERS","RELATIONSHIP_AS_OF_DATE","20130909","cols=1;rows=5")</f>
        <v>VICI US Equity</v>
      </c>
      <c r="CH5" t="str">
        <f>_xll.BDS("CZR US Equity","SUPPLY_CHAIN_CUSTOMERS","RELATIONSHIP_AS_OF_DATE","20130909","cols=1;rows=4")</f>
        <v>0127957D US Equity</v>
      </c>
      <c r="CM5" t="str">
        <f>_xll.BDS("PAS US Equity","SUPPLY_CHAIN_SUPPLIERS","RELATIONSHIP_AS_OF_DATE","20000821")</f>
        <v>#N/A N/A</v>
      </c>
      <c r="CR5" t="str">
        <f>_xll.BDS("PAS US Equity","SUPPLY_CHAIN_CUSTOMERS","RELATIONSHIP_AS_OF_DATE","20000821")</f>
        <v>#N/A N/A</v>
      </c>
      <c r="CW5" t="str">
        <f>_xll.BDS("MTCH US Equity","SUPPLY_CHAIN_SUPPLIERS","RELATIONSHIP_AS_OF_DATE","20000112","cols=1;rows=5")</f>
        <v>053300 KS Equity</v>
      </c>
      <c r="DB5" t="str">
        <f>_xll.BDS("MTCH US Equity","SUPPLY_CHAIN_CUSTOMERS","RELATIONSHIP_AS_OF_DATE","20000112","cols=1;rows=3")</f>
        <v>AAPL US Equity</v>
      </c>
      <c r="DG5" t="str">
        <f>_xll.BDS("PXD US Equity","SUPPLY_CHAIN_SUPPLIERS","RELATIONSHIP_AS_OF_DATE","20130507","cols=1;rows=5")</f>
        <v>CUZ US Equity</v>
      </c>
      <c r="DL5" t="str">
        <f>_xll.BDS("PXD US Equity","SUPPLY_CHAIN_CUSTOMERS","RELATIONSHIP_AS_OF_DATE","20130507","cols=1;rows=5")</f>
        <v>0834107D US Equity</v>
      </c>
      <c r="DQ5" t="str">
        <f>_xll.BDS("9980328D US Equity","SUPPLY_CHAIN_SUPPLIERS","RELATIONSHIP_AS_OF_DATE","20020509","cols=1;rows=5")</f>
        <v>1052024D US Equity</v>
      </c>
      <c r="DV5" t="str">
        <f>_xll.BDS("9980328D US Equity","SUPPLY_CHAIN_CUSTOMERS","RELATIONSHIP_AS_OF_DATE","20020509","cols=1;rows=5")</f>
        <v>002630 KS Equity</v>
      </c>
      <c r="EA5" t="str">
        <f>_xll.BDS("PPBI US Equity","SUPPLY_CHAIN_SUPPLIERS","RELATIONSHIP_AS_OF_DATE","20180212")</f>
        <v>MUST SP Equity</v>
      </c>
      <c r="EF5" t="str">
        <f>_xll.BDS("PPBI US Equity","SUPPLY_CHAIN_CUSTOMERS","RELATIONSHIP_AS_OF_DATE","20180212")</f>
        <v>#N/A N/A</v>
      </c>
      <c r="EK5" t="str">
        <f>_xll.BDS("ALXN US Equity","SUPPLY_CHAIN_SUPPLIERS","RELATIONSHIP_AS_OF_DATE","20191016")</f>
        <v>#N/A N/A</v>
      </c>
      <c r="EP5" t="str">
        <f>_xll.BDS("ALXN US Equity","SUPPLY_CHAIN_CUSTOMERS","RELATIONSHIP_AS_OF_DATE","20191016")</f>
        <v>#N/A N/A</v>
      </c>
      <c r="EU5" t="str">
        <f>_xll.BDS("9876456D US Equity","SUPPLY_CHAIN_SUPPLIERS","RELATIONSHIP_AS_OF_DATE","20161025")</f>
        <v>#N/A N/A</v>
      </c>
      <c r="EZ5" t="str">
        <f>_xll.BDS("9876456D US Equity","SUPPLY_CHAIN_CUSTOMERS","RELATIONSHIP_AS_OF_DATE","20161025")</f>
        <v>#N/A N/A</v>
      </c>
      <c r="FE5" t="str">
        <f>_xll.BDS("PFS US Equity","SUPPLY_CHAIN_SUPPLIERS","RELATIONSHIP_AS_OF_DATE","20031222","cols=1;rows=2")</f>
        <v>1747628D US Equity</v>
      </c>
      <c r="FJ5" t="str">
        <f>_xll.BDS("PFS US Equity","SUPPLY_CHAIN_CUSTOMERS","RELATIONSHIP_AS_OF_DATE","20031222")</f>
        <v>#N/A N/A</v>
      </c>
      <c r="FO5" t="str">
        <f>_xll.BDS("CDVIQ US Equity","SUPPLY_CHAIN_SUPPLIERS","RELATIONSHIP_AS_OF_DATE","20070611")</f>
        <v>#N/A N/A</v>
      </c>
      <c r="FT5" t="str">
        <f>_xll.BDS("CDVIQ US Equity","SUPPLY_CHAIN_CUSTOMERS","RELATIONSHIP_AS_OF_DATE","20070611")</f>
        <v>#N/A N/A</v>
      </c>
      <c r="FY5" t="str">
        <f>_xll.BDS("CBB US Equity","SUPPLY_CHAIN_SUPPLIERS","RELATIONSHIP_AS_OF_DATE","20170710","cols=1;rows=5")</f>
        <v>CSCO US Equity</v>
      </c>
      <c r="GD5" t="str">
        <f>_xll.BDS("CBB US Equity","SUPPLY_CHAIN_CUSTOMERS","RELATIONSHIP_AS_OF_DATE","20170710")</f>
        <v>VZ US Equity</v>
      </c>
      <c r="GI5" t="str">
        <f>_xll.BDS("HEW US Equity","SUPPLY_CHAIN_SUPPLIERS","RELATIONSHIP_AS_OF_DATE","20040616")</f>
        <v>#N/A N/A</v>
      </c>
      <c r="GN5" t="str">
        <f>_xll.BDS("HEW US Equity","SUPPLY_CHAIN_CUSTOMERS","RELATIONSHIP_AS_OF_DATE","20040616")</f>
        <v>#N/A N/A</v>
      </c>
      <c r="GS5" t="str">
        <f>_xll.BDS("VSH US Equity","SUPPLY_CHAIN_SUPPLIERS","RELATIONSHIP_AS_OF_DATE","20010402","cols=1;rows=5")</f>
        <v>TSEM IT Equity</v>
      </c>
      <c r="GX5" t="str">
        <f>_xll.BDS("VSH US Equity","SUPPLY_CHAIN_CUSTOMERS","RELATIONSHIP_AS_OF_DATE","20010402","cols=1;rows=5")</f>
        <v>BRK/A US Equity</v>
      </c>
      <c r="HC5" t="str">
        <f>_xll.BDS("EVVV US Equity","SUPPLY_CHAIN_SUPPLIERS","RELATIONSHIP_AS_OF_DATE","20070722")</f>
        <v>#N/A N/A</v>
      </c>
      <c r="HH5" t="str">
        <f>_xll.BDS("EVVV US Equity","SUPPLY_CHAIN_CUSTOMERS","RELATIONSHIP_AS_OF_DATE","20070722")</f>
        <v>#N/A N/A</v>
      </c>
      <c r="HM5" t="str">
        <f>_xll.BDS("A US Equity","SUPPLY_CHAIN_SUPPLIERS","RELATIONSHIP_AS_OF_DATE","20001127","cols=1;rows=5")</f>
        <v>FLEX US Equity</v>
      </c>
      <c r="HR5" t="str">
        <f>_xll.BDS("A US Equity","SUPPLY_CHAIN_CUSTOMERS","RELATIONSHIP_AS_OF_DATE","20001127","cols=1;rows=5")</f>
        <v>6661 TT Equity</v>
      </c>
      <c r="HW5" t="str">
        <f>_xll.BDS("VTR US Equity","SUPPLY_CHAIN_SUPPLIERS","RELATIONSHIP_AS_OF_DATE","20111227")</f>
        <v>#N/A N/A</v>
      </c>
      <c r="IB5" t="str">
        <f>_xll.BDS("VTR US Equity","SUPPLY_CHAIN_CUSTOMERS","RELATIONSHIP_AS_OF_DATE","20111227","cols=1;rows=3")</f>
        <v>BKD US Equity</v>
      </c>
      <c r="IG5" t="str">
        <f>_xll.BDS("PSIXQ US Equity","SUPPLY_CHAIN_SUPPLIERS","RELATIONSHIP_AS_OF_DATE","19990823")</f>
        <v>#N/A N/A</v>
      </c>
      <c r="IL5" t="str">
        <f>_xll.BDS("PSIXQ US Equity","SUPPLY_CHAIN_CUSTOMERS","RELATIONSHIP_AS_OF_DATE","19990823")</f>
        <v>#N/A N/A</v>
      </c>
      <c r="IQ5" t="str">
        <f>_xll.BDS("VALPQ US Equity","SUPPLY_CHAIN_SUPPLIERS","RELATIONSHIP_AS_OF_DATE","20020515")</f>
        <v>042660 KS Equity</v>
      </c>
      <c r="IV5" t="str">
        <f>_xll.BDS("VALPQ US Equity","SUPPLY_CHAIN_CUSTOMERS","RELATIONSHIP_AS_OF_DATE","20020515")</f>
        <v>#N/A N/A</v>
      </c>
      <c r="JA5" t="str">
        <f>_xll.BDS("ARCC US Equity","SUPPLY_CHAIN_SUPPLIERS","RELATIONSHIP_AS_OF_DATE","20091026")</f>
        <v>NEWT US Equity</v>
      </c>
      <c r="JF5" t="str">
        <f>_xll.BDS("ARCC US Equity","SUPPLY_CHAIN_CUSTOMERS","RELATIONSHIP_AS_OF_DATE","20091026")</f>
        <v>DKS US Equity</v>
      </c>
      <c r="JK5" t="str">
        <f>_xll.BDS("CSCO US Equity","SUPPLY_CHAIN_SUPPLIERS","RELATIONSHIP_AS_OF_DATE","19991109","cols=1;rows=5")</f>
        <v>NVDA US Equity</v>
      </c>
      <c r="JP5" t="str">
        <f>_xll.BDS("CSCO US Equity","SUPPLY_CHAIN_CUSTOMERS","RELATIONSHIP_AS_OF_DATE","19991109","cols=1;rows=5")</f>
        <v>SNX US Equity</v>
      </c>
      <c r="JU5" t="str">
        <f>_xll.BDS("BBBYQ US Equity","SUPPLY_CHAIN_SUPPLIERS","RELATIONSHIP_AS_OF_DATE","20120509","cols=1;rows=5")</f>
        <v>PG US Equity</v>
      </c>
      <c r="JZ5" t="str">
        <f>_xll.BDS("BBBYQ US Equity","SUPPLY_CHAIN_CUSTOMERS","RELATIONSHIP_AS_OF_DATE","20120509")</f>
        <v>#N/A N/A</v>
      </c>
      <c r="KE5" t="str">
        <f>_xll.BDS("WFC US Equity","SUPPLY_CHAIN_SUPPLIERS","RELATIONSHIP_AS_OF_DATE","20070109","cols=1;rows=5")</f>
        <v>ADBE US Equity</v>
      </c>
      <c r="KJ5" t="str">
        <f>_xll.BDS("WFC US Equity","SUPPLY_CHAIN_CUSTOMERS","RELATIONSHIP_AS_OF_DATE","20070109","cols=1;rows=5")</f>
        <v>CDW US Equity</v>
      </c>
      <c r="KO5" t="str">
        <f>_xll.BDS("1683351D US Equity","SUPPLY_CHAIN_SUPPLIERS","RELATIONSHIP_AS_OF_DATE","20000814")</f>
        <v>#N/A N/A</v>
      </c>
      <c r="KT5" t="str">
        <f>_xll.BDS("1683351D US Equity","SUPPLY_CHAIN_CUSTOMERS","RELATIONSHIP_AS_OF_DATE","20000814")</f>
        <v>#N/A N/A</v>
      </c>
      <c r="KY5" t="str">
        <f>_xll.BDS("nan Equity","SUPPLY_CHAIN_SUPPLIERS","RELATIONSHIP_AS_OF_DATE","20121230")</f>
        <v>#N/A N/A</v>
      </c>
      <c r="LD5" t="str">
        <f>_xll.BDS("nan Equity","SUPPLY_CHAIN_CUSTOMERS","RELATIONSHIP_AS_OF_DATE","20121230")</f>
        <v>#N/A N/A</v>
      </c>
      <c r="LI5" t="str">
        <f>_xll.BDS("AUB US Equity","SUPPLY_CHAIN_SUPPLIERS","RELATIONSHIP_AS_OF_DATE","20181005")</f>
        <v>TEMN SW Equity</v>
      </c>
      <c r="LN5" t="str">
        <f>_xll.BDS("AUB US Equity","SUPPLY_CHAIN_CUSTOMERS","RELATIONSHIP_AS_OF_DATE","20181005")</f>
        <v>#N/A N/A</v>
      </c>
      <c r="LS5" t="str">
        <f>_xll.BDS("ONTO US Equity","SUPPLY_CHAIN_SUPPLIERS","RELATIONSHIP_AS_OF_DATE","20190624","cols=1;rows=5")</f>
        <v>EIX US Equity</v>
      </c>
      <c r="LX5" t="str">
        <f>_xll.BDS("ONTO US Equity","SUPPLY_CHAIN_CUSTOMERS","RELATIONSHIP_AS_OF_DATE","20190624","cols=1;rows=5")</f>
        <v>2330 TT Equity</v>
      </c>
      <c r="MC5" t="str">
        <f>_xll.BDS("DM US Equity","SUPPLY_CHAIN_SUPPLIERS","RELATIONSHIP_AS_OF_DATE","20210811","cols=1;rows=5")</f>
        <v>9501 JP Equity</v>
      </c>
      <c r="MH5" t="str">
        <f>_xll.BDS("DM US Equity","SUPPLY_CHAIN_CUSTOMERS","RELATIONSHIP_AS_OF_DATE","20210811","cols=1;rows=5")</f>
        <v>EMR US Equity</v>
      </c>
      <c r="MM5" t="str">
        <f>_xll.BDS("SBUX US Equity","SUPPLY_CHAIN_SUPPLIERS","RELATIONSHIP_AS_OF_DATE","20121114","cols=1;rows=5")</f>
        <v>GPK US Equity</v>
      </c>
      <c r="MR5" t="str">
        <f>_xll.BDS("SBUX US Equity","SUPPLY_CHAIN_CUSTOMERS","RELATIONSHIP_AS_OF_DATE","20121114","cols=1;rows=5")</f>
        <v>139480 KS Equity</v>
      </c>
      <c r="MW5" t="str">
        <f>_xll.BDS("DHR US Equity","SUPPLY_CHAIN_SUPPLIERS","RELATIONSHIP_AS_OF_DATE","20120410","cols=1;rows=5")</f>
        <v>FLEX US Equity</v>
      </c>
      <c r="NB5" t="str">
        <f>_xll.BDS("DHR US Equity","SUPPLY_CHAIN_CUSTOMERS","RELATIONSHIP_AS_OF_DATE","20120410","cols=1;rows=5")</f>
        <v>CDW US Equity</v>
      </c>
      <c r="NG5" t="str">
        <f>_xll.BDS("BPYU US Equity","SUPPLY_CHAIN_SUPPLIERS","RELATIONSHIP_AS_OF_DATE","19980515")</f>
        <v>#N/A N/A</v>
      </c>
      <c r="NL5" t="str">
        <f>_xll.BDS("BPYU US Equity","SUPPLY_CHAIN_CUSTOMERS","RELATIONSHIP_AS_OF_DATE","19980515")</f>
        <v>#N/A N/A</v>
      </c>
      <c r="NQ5" t="str">
        <f>_xll.BDS("T US Equity","SUPPLY_CHAIN_SUPPLIERS","RELATIONSHIP_AS_OF_DATE","20120802","cols=1;rows=5")</f>
        <v>AAPL US Equity</v>
      </c>
      <c r="NV5" t="str">
        <f>_xll.BDS("T US Equity","SUPPLY_CHAIN_CUSTOMERS","RELATIONSHIP_AS_OF_DATE","20120802","cols=1;rows=5")</f>
        <v>IBM US Equity</v>
      </c>
      <c r="OA5" t="str">
        <f>_xll.BDS("nan Equity","SUPPLY_CHAIN_SUPPLIERS","RELATIONSHIP_AS_OF_DATE","20170413")</f>
        <v>#N/A N/A</v>
      </c>
      <c r="OF5" t="str">
        <f>_xll.BDS("nan Equity","SUPPLY_CHAIN_CUSTOMERS","RELATIONSHIP_AS_OF_DATE","20170413")</f>
        <v>#N/A N/A</v>
      </c>
    </row>
    <row r="6" spans="1:396" x14ac:dyDescent="0.25">
      <c r="AE6" t="s">
        <v>162</v>
      </c>
      <c r="AJ6" t="s">
        <v>469</v>
      </c>
      <c r="AO6" t="s">
        <v>3865</v>
      </c>
      <c r="AT6" t="s">
        <v>12010</v>
      </c>
      <c r="CC6" t="s">
        <v>1069</v>
      </c>
      <c r="CH6" t="s">
        <v>12245</v>
      </c>
      <c r="CW6" t="s">
        <v>11503</v>
      </c>
      <c r="DB6" t="s">
        <v>2705</v>
      </c>
      <c r="DG6" t="s">
        <v>6238</v>
      </c>
      <c r="DL6" t="s">
        <v>56</v>
      </c>
      <c r="DQ6" t="s">
        <v>11453</v>
      </c>
      <c r="DV6" t="s">
        <v>11428</v>
      </c>
      <c r="FE6" t="s">
        <v>11371</v>
      </c>
      <c r="FY6" t="s">
        <v>10732</v>
      </c>
      <c r="GS6" t="s">
        <v>10727</v>
      </c>
      <c r="GX6" t="s">
        <v>6473</v>
      </c>
      <c r="HM6" t="s">
        <v>11168</v>
      </c>
      <c r="HR6" t="s">
        <v>10980</v>
      </c>
      <c r="IB6" t="s">
        <v>790</v>
      </c>
      <c r="JK6" t="s">
        <v>11089</v>
      </c>
      <c r="JP6" t="s">
        <v>266</v>
      </c>
      <c r="JU6" t="s">
        <v>11254</v>
      </c>
      <c r="KE6" t="s">
        <v>10986</v>
      </c>
      <c r="KJ6" t="s">
        <v>11473</v>
      </c>
      <c r="LS6" t="s">
        <v>10741</v>
      </c>
      <c r="LX6" t="s">
        <v>10892</v>
      </c>
      <c r="MC6" t="s">
        <v>10696</v>
      </c>
      <c r="MH6" t="s">
        <v>476</v>
      </c>
      <c r="MM6" t="s">
        <v>11254</v>
      </c>
      <c r="MR6" t="s">
        <v>10944</v>
      </c>
      <c r="MW6" t="s">
        <v>10735</v>
      </c>
      <c r="NB6" t="s">
        <v>2881</v>
      </c>
      <c r="NQ6" t="s">
        <v>10892</v>
      </c>
      <c r="NV6" t="s">
        <v>2881</v>
      </c>
    </row>
    <row r="7" spans="1:396" x14ac:dyDescent="0.25">
      <c r="AE7" t="s">
        <v>279</v>
      </c>
      <c r="AJ7" t="s">
        <v>2881</v>
      </c>
      <c r="AO7" t="s">
        <v>12022</v>
      </c>
      <c r="AT7" t="s">
        <v>12011</v>
      </c>
      <c r="CC7" t="s">
        <v>171</v>
      </c>
      <c r="CH7" t="s">
        <v>10700</v>
      </c>
      <c r="CW7" t="s">
        <v>11504</v>
      </c>
      <c r="DB7" t="s">
        <v>11037</v>
      </c>
      <c r="DG7" t="s">
        <v>11312</v>
      </c>
      <c r="DL7" t="s">
        <v>60</v>
      </c>
      <c r="DQ7" t="s">
        <v>11289</v>
      </c>
      <c r="DV7" t="s">
        <v>11429</v>
      </c>
      <c r="FY7" t="s">
        <v>2968</v>
      </c>
      <c r="GS7" t="s">
        <v>10728</v>
      </c>
      <c r="GX7" t="s">
        <v>3519</v>
      </c>
      <c r="HM7" t="s">
        <v>273</v>
      </c>
      <c r="HR7" t="s">
        <v>11580</v>
      </c>
      <c r="IB7" t="s">
        <v>12154</v>
      </c>
      <c r="JK7" t="s">
        <v>11090</v>
      </c>
      <c r="JP7" t="s">
        <v>10892</v>
      </c>
      <c r="JU7" t="s">
        <v>12664</v>
      </c>
      <c r="KE7" t="s">
        <v>988</v>
      </c>
      <c r="KJ7" t="s">
        <v>10787</v>
      </c>
      <c r="LS7" t="s">
        <v>10957</v>
      </c>
      <c r="LX7" t="s">
        <v>10729</v>
      </c>
      <c r="MC7" t="s">
        <v>12772</v>
      </c>
      <c r="MH7" t="s">
        <v>12762</v>
      </c>
      <c r="MM7" t="s">
        <v>10814</v>
      </c>
      <c r="MR7" t="s">
        <v>10646</v>
      </c>
      <c r="MW7" t="s">
        <v>273</v>
      </c>
      <c r="NB7" t="s">
        <v>10661</v>
      </c>
      <c r="NQ7" t="s">
        <v>10738</v>
      </c>
      <c r="NV7" t="s">
        <v>10680</v>
      </c>
    </row>
    <row r="8" spans="1:396" x14ac:dyDescent="0.25">
      <c r="AE8" t="s">
        <v>10818</v>
      </c>
      <c r="AJ8" t="s">
        <v>52</v>
      </c>
      <c r="AO8" t="s">
        <v>171</v>
      </c>
      <c r="AT8" t="s">
        <v>10657</v>
      </c>
      <c r="CC8" t="s">
        <v>1654</v>
      </c>
      <c r="CH8" t="s">
        <v>12246</v>
      </c>
      <c r="CW8" t="s">
        <v>5236</v>
      </c>
      <c r="DG8" t="s">
        <v>11313</v>
      </c>
      <c r="DL8" t="s">
        <v>12504</v>
      </c>
      <c r="DQ8" t="s">
        <v>10996</v>
      </c>
      <c r="DV8" t="s">
        <v>11430</v>
      </c>
      <c r="FY8" t="s">
        <v>12626</v>
      </c>
      <c r="GS8" t="s">
        <v>10729</v>
      </c>
      <c r="GX8" t="s">
        <v>10658</v>
      </c>
      <c r="HM8" t="s">
        <v>8602</v>
      </c>
      <c r="HR8" t="s">
        <v>11803</v>
      </c>
      <c r="JK8" t="s">
        <v>10734</v>
      </c>
      <c r="JP8" t="s">
        <v>469</v>
      </c>
      <c r="JU8" t="s">
        <v>1180</v>
      </c>
      <c r="KE8" t="s">
        <v>1548</v>
      </c>
      <c r="KJ8" t="s">
        <v>3340</v>
      </c>
      <c r="LS8" t="s">
        <v>10810</v>
      </c>
      <c r="LX8" t="s">
        <v>3611</v>
      </c>
      <c r="MC8" t="s">
        <v>158</v>
      </c>
      <c r="MH8" t="s">
        <v>12763</v>
      </c>
      <c r="MM8" t="s">
        <v>171</v>
      </c>
      <c r="MR8" t="s">
        <v>11114</v>
      </c>
      <c r="MW8" t="s">
        <v>6320</v>
      </c>
      <c r="NB8" t="s">
        <v>10662</v>
      </c>
      <c r="NQ8" t="s">
        <v>670</v>
      </c>
      <c r="NV8" t="s">
        <v>3519</v>
      </c>
    </row>
    <row r="9" spans="1:396" x14ac:dyDescent="0.25">
      <c r="AE9" t="s">
        <v>384</v>
      </c>
      <c r="AJ9" t="s">
        <v>472</v>
      </c>
      <c r="AO9" t="s">
        <v>1654</v>
      </c>
      <c r="AT9" t="s">
        <v>12012</v>
      </c>
      <c r="CC9" t="s">
        <v>12449</v>
      </c>
      <c r="CW9" t="s">
        <v>11505</v>
      </c>
      <c r="DG9" t="s">
        <v>12359</v>
      </c>
      <c r="DL9" t="s">
        <v>12505</v>
      </c>
      <c r="DQ9" t="s">
        <v>11454</v>
      </c>
      <c r="DV9" t="s">
        <v>11431</v>
      </c>
      <c r="FY9" t="s">
        <v>165</v>
      </c>
      <c r="GS9" t="s">
        <v>10730</v>
      </c>
      <c r="GX9" t="s">
        <v>10659</v>
      </c>
      <c r="HM9" t="s">
        <v>10878</v>
      </c>
      <c r="HR9" t="s">
        <v>11804</v>
      </c>
      <c r="JK9" t="s">
        <v>11170</v>
      </c>
      <c r="JP9" t="s">
        <v>41</v>
      </c>
      <c r="JU9" t="s">
        <v>2699</v>
      </c>
      <c r="KE9" t="s">
        <v>10877</v>
      </c>
      <c r="KJ9" t="s">
        <v>11174</v>
      </c>
      <c r="LS9" t="s">
        <v>2406</v>
      </c>
      <c r="LX9" t="s">
        <v>383</v>
      </c>
      <c r="MC9" t="s">
        <v>693</v>
      </c>
      <c r="MH9" t="s">
        <v>10925</v>
      </c>
      <c r="MM9" t="s">
        <v>12368</v>
      </c>
      <c r="MR9" t="s">
        <v>11901</v>
      </c>
      <c r="MW9" t="s">
        <v>1654</v>
      </c>
      <c r="NB9" t="s">
        <v>10663</v>
      </c>
      <c r="NQ9" t="s">
        <v>6724</v>
      </c>
      <c r="NV9" t="s">
        <v>11366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4085</v>
      </c>
      <c r="K1" s="1" t="s">
        <v>4086</v>
      </c>
      <c r="U1" s="1" t="s">
        <v>4087</v>
      </c>
      <c r="AE1" s="1" t="s">
        <v>4088</v>
      </c>
      <c r="AO1" s="1" t="s">
        <v>4089</v>
      </c>
      <c r="AY1" s="1" t="s">
        <v>4090</v>
      </c>
      <c r="BI1" s="1" t="s">
        <v>4091</v>
      </c>
      <c r="BS1" s="1" t="s">
        <v>4092</v>
      </c>
      <c r="CC1" s="1" t="s">
        <v>4093</v>
      </c>
      <c r="CM1" s="1" t="s">
        <v>4094</v>
      </c>
      <c r="CW1" s="1" t="s">
        <v>4095</v>
      </c>
      <c r="DG1" s="1" t="s">
        <v>4096</v>
      </c>
      <c r="DQ1" s="1" t="s">
        <v>4097</v>
      </c>
      <c r="EA1" s="1" t="s">
        <v>4098</v>
      </c>
      <c r="EK1" s="1" t="s">
        <v>4099</v>
      </c>
      <c r="EU1" s="1" t="s">
        <v>4100</v>
      </c>
      <c r="FE1" s="1" t="s">
        <v>4101</v>
      </c>
      <c r="FO1" s="1" t="s">
        <v>4102</v>
      </c>
      <c r="FY1" s="1" t="s">
        <v>4103</v>
      </c>
      <c r="GI1" s="1" t="s">
        <v>4104</v>
      </c>
      <c r="GS1" s="1" t="s">
        <v>4105</v>
      </c>
      <c r="HC1" s="1" t="s">
        <v>4106</v>
      </c>
      <c r="HM1" s="1" t="s">
        <v>4107</v>
      </c>
      <c r="HW1" s="1" t="s">
        <v>4108</v>
      </c>
      <c r="IG1" s="1" t="s">
        <v>4109</v>
      </c>
      <c r="IQ1" s="1" t="s">
        <v>4110</v>
      </c>
      <c r="JA1" s="1" t="s">
        <v>4111</v>
      </c>
      <c r="JK1" s="1" t="s">
        <v>4112</v>
      </c>
      <c r="JU1" s="1" t="s">
        <v>4113</v>
      </c>
      <c r="KE1" s="1" t="s">
        <v>4114</v>
      </c>
      <c r="KO1" s="1" t="s">
        <v>4115</v>
      </c>
      <c r="KY1" s="1" t="s">
        <v>4116</v>
      </c>
      <c r="LI1" s="1" t="s">
        <v>4117</v>
      </c>
      <c r="LS1" s="1" t="s">
        <v>4118</v>
      </c>
      <c r="MC1" s="1" t="s">
        <v>4119</v>
      </c>
      <c r="MM1" s="1" t="s">
        <v>4120</v>
      </c>
      <c r="MW1" s="1" t="s">
        <v>4121</v>
      </c>
      <c r="NG1" s="1" t="s">
        <v>4122</v>
      </c>
      <c r="NQ1" s="1" t="s">
        <v>4123</v>
      </c>
      <c r="OA1" s="1" t="s">
        <v>4124</v>
      </c>
    </row>
    <row r="2" spans="1:396" x14ac:dyDescent="0.25">
      <c r="A2" s="2" t="s">
        <v>175</v>
      </c>
      <c r="K2" s="2" t="s">
        <v>4125</v>
      </c>
      <c r="U2" s="2" t="s">
        <v>4126</v>
      </c>
      <c r="AE2" s="2" t="s">
        <v>55</v>
      </c>
      <c r="AO2" s="2" t="s">
        <v>1081</v>
      </c>
      <c r="AY2" s="2" t="s">
        <v>4127</v>
      </c>
      <c r="BI2" s="2" t="s">
        <v>165</v>
      </c>
      <c r="BS2" s="2" t="s">
        <v>793</v>
      </c>
      <c r="CC2" s="2" t="s">
        <v>175</v>
      </c>
      <c r="CM2" s="2" t="s">
        <v>2296</v>
      </c>
      <c r="CW2" s="2" t="s">
        <v>4128</v>
      </c>
      <c r="DG2" s="2" t="s">
        <v>4129</v>
      </c>
      <c r="DQ2" s="2" t="s">
        <v>158</v>
      </c>
      <c r="EA2" s="2" t="s">
        <v>4130</v>
      </c>
      <c r="EK2" s="2" t="s">
        <v>4131</v>
      </c>
      <c r="EU2" s="2" t="s">
        <v>4132</v>
      </c>
      <c r="FE2" s="2" t="s">
        <v>2118</v>
      </c>
      <c r="FO2" s="2" t="s">
        <v>2403</v>
      </c>
      <c r="FY2" s="2" t="s">
        <v>4133</v>
      </c>
      <c r="GI2" s="2" t="s">
        <v>667</v>
      </c>
      <c r="GS2" s="2" t="s">
        <v>4134</v>
      </c>
      <c r="HC2" s="2" t="s">
        <v>4135</v>
      </c>
      <c r="HM2" s="2" t="s">
        <v>1177</v>
      </c>
      <c r="HW2" s="2" t="s">
        <v>2298</v>
      </c>
      <c r="IG2" s="2" t="s">
        <v>3624</v>
      </c>
      <c r="IQ2" s="2" t="s">
        <v>2023</v>
      </c>
      <c r="JA2" s="2" t="s">
        <v>161</v>
      </c>
      <c r="JK2" s="2" t="s">
        <v>2415</v>
      </c>
      <c r="JU2" s="2" t="s">
        <v>171</v>
      </c>
      <c r="KE2" s="2" t="s">
        <v>874</v>
      </c>
      <c r="KO2" s="2" t="s">
        <v>4136</v>
      </c>
      <c r="KY2" s="2" t="s">
        <v>371</v>
      </c>
      <c r="LI2" s="2" t="s">
        <v>165</v>
      </c>
      <c r="LS2" s="2" t="s">
        <v>4137</v>
      </c>
      <c r="MC2" s="2" t="s">
        <v>1936</v>
      </c>
      <c r="MM2" s="2" t="s">
        <v>977</v>
      </c>
      <c r="MW2" s="2" t="s">
        <v>4138</v>
      </c>
      <c r="NG2" s="2" t="s">
        <v>2398</v>
      </c>
      <c r="NQ2" s="2" t="s">
        <v>4139</v>
      </c>
      <c r="OA2" s="2" t="s">
        <v>1164</v>
      </c>
    </row>
    <row r="3" spans="1:396" x14ac:dyDescent="0.25">
      <c r="A3" t="s">
        <v>4053</v>
      </c>
      <c r="K3" t="s">
        <v>4071</v>
      </c>
      <c r="U3" t="s">
        <v>4140</v>
      </c>
      <c r="AE3" t="s">
        <v>4141</v>
      </c>
      <c r="AO3" t="s">
        <v>4142</v>
      </c>
      <c r="AY3" t="s">
        <v>4143</v>
      </c>
      <c r="BI3" t="s">
        <v>4144</v>
      </c>
      <c r="BS3" t="s">
        <v>4145</v>
      </c>
      <c r="CC3" t="s">
        <v>1383</v>
      </c>
      <c r="CM3" t="s">
        <v>4146</v>
      </c>
      <c r="CW3" t="s">
        <v>4147</v>
      </c>
      <c r="DG3" t="s">
        <v>4148</v>
      </c>
      <c r="DQ3" t="s">
        <v>3079</v>
      </c>
      <c r="EA3" t="s">
        <v>4149</v>
      </c>
      <c r="EK3" t="s">
        <v>4150</v>
      </c>
      <c r="EU3" t="s">
        <v>4151</v>
      </c>
      <c r="FE3" t="s">
        <v>1572</v>
      </c>
      <c r="FO3" t="s">
        <v>181</v>
      </c>
      <c r="FY3" t="s">
        <v>4152</v>
      </c>
      <c r="GI3" t="s">
        <v>3720</v>
      </c>
      <c r="GS3" t="s">
        <v>1476</v>
      </c>
      <c r="HC3" t="s">
        <v>4153</v>
      </c>
      <c r="HM3" t="s">
        <v>4154</v>
      </c>
      <c r="HW3" t="s">
        <v>308</v>
      </c>
      <c r="IG3" t="s">
        <v>525</v>
      </c>
      <c r="IQ3" t="s">
        <v>4155</v>
      </c>
      <c r="JA3" t="s">
        <v>4156</v>
      </c>
      <c r="JK3" t="s">
        <v>4157</v>
      </c>
      <c r="JU3" t="s">
        <v>200</v>
      </c>
      <c r="KE3" t="s">
        <v>4158</v>
      </c>
      <c r="KO3" t="s">
        <v>4159</v>
      </c>
      <c r="KY3" t="s">
        <v>4160</v>
      </c>
      <c r="LI3" t="s">
        <v>1578</v>
      </c>
      <c r="LS3" t="s">
        <v>4161</v>
      </c>
      <c r="MC3" t="s">
        <v>4162</v>
      </c>
      <c r="MM3" t="s">
        <v>4163</v>
      </c>
      <c r="MW3" t="s">
        <v>2352</v>
      </c>
      <c r="NG3" t="s">
        <v>4164</v>
      </c>
      <c r="NQ3" t="s">
        <v>4165</v>
      </c>
      <c r="OA3" t="s">
        <v>1298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_xll.BDS("TFC US Equity","SUPPLY_CHAIN_SUPPLIERS","RELATIONSHIP_AS_OF_DATE","20051215","cols=1;rows=5")</f>
        <v>ADBE US Equity</v>
      </c>
      <c r="F5" t="str">
        <f>_xll.BDS("TFC US Equity","SUPPLY_CHAIN_CUSTOMERS","RELATIONSHIP_AS_OF_DATE","20051215")</f>
        <v>RENG IN Equity</v>
      </c>
      <c r="K5" t="str">
        <f>_xll.BDS("78651Q US Equity","SUPPLY_CHAIN_SUPPLIERS","RELATIONSHIP_AS_OF_DATE","19990823")</f>
        <v>#N/A N/A</v>
      </c>
      <c r="P5" t="str">
        <f>_xll.BDS("78651Q US Equity","SUPPLY_CHAIN_CUSTOMERS","RELATIONSHIP_AS_OF_DATE","19990823")</f>
        <v>#N/A N/A</v>
      </c>
      <c r="U5" t="str">
        <f>_xll.BDS("MBFI US Equity","SUPPLY_CHAIN_SUPPLIERS","RELATIONSHIP_AS_OF_DATE","20130715")</f>
        <v>#N/A N/A</v>
      </c>
      <c r="Z5" t="str">
        <f>_xll.BDS("MBFI US Equity","SUPPLY_CHAIN_CUSTOMERS","RELATIONSHIP_AS_OF_DATE","20130715")</f>
        <v>#N/A N/A</v>
      </c>
      <c r="AE5" t="str">
        <f>_xll.BDS("AGN US Equity","SUPPLY_CHAIN_SUPPLIERS","RELATIONSHIP_AS_OF_DATE","20141006","cols=1;rows=5")</f>
        <v>AEE US Equity</v>
      </c>
      <c r="AJ5" t="str">
        <f>_xll.BDS("AGN US Equity","SUPPLY_CHAIN_CUSTOMERS","RELATIONSHIP_AS_OF_DATE","20141006")</f>
        <v>4569 JP Equity</v>
      </c>
      <c r="AO5" t="str">
        <f>_xll.BDS("KIM US Equity","SUPPLY_CHAIN_SUPPLIERS","RELATIONSHIP_AS_OF_DATE","20030618")</f>
        <v>WOOD IJ Equity</v>
      </c>
      <c r="AT5" t="str">
        <f>_xll.BDS("KIM US Equity","SUPPLY_CHAIN_CUSTOMERS","RELATIONSHIP_AS_OF_DATE","20030618","cols=1;rows=5")</f>
        <v>TJX US Equity</v>
      </c>
      <c r="AY5" t="str">
        <f>_xll.BDS("ONEX CN Equity","SUPPLY_CHAIN_SUPPLIERS","RELATIONSHIP_AS_OF_DATE","20061110","cols=1;rows=5")</f>
        <v>ASURB MM Equity</v>
      </c>
      <c r="BD5" t="str">
        <f>_xll.BDS("ONEX CN Equity","SUPPLY_CHAIN_CUSTOMERS","RELATIONSHIP_AS_OF_DATE","20061110","cols=1;rows=5")</f>
        <v>603648 CH Equity</v>
      </c>
      <c r="BI5" t="str">
        <f>_xll.BDS("IBM US Equity","SUPPLY_CHAIN_SUPPLIERS","RELATIONSHIP_AS_OF_DATE","20050314","cols=1;rows=5")</f>
        <v>005930 KS Equity</v>
      </c>
      <c r="BN5" t="str">
        <f>_xll.BDS("IBM US Equity","SUPPLY_CHAIN_CUSTOMERS","RELATIONSHIP_AS_OF_DATE","20050314","cols=1;rows=5")</f>
        <v>AMZN US Equity</v>
      </c>
      <c r="BS5" t="str">
        <f>_xll.BDS("NOV US Equity","SUPPLY_CHAIN_SUPPLIERS","RELATIONSHIP_AS_OF_DATE","20110705","cols=1;rows=5")</f>
        <v>OERL SW Equity</v>
      </c>
      <c r="BX5" t="str">
        <f>_xll.BDS("NOV US Equity","SUPPLY_CHAIN_CUSTOMERS","RELATIONSHIP_AS_OF_DATE","20110705","cols=1;rows=5")</f>
        <v>329180 KS Equity</v>
      </c>
      <c r="CC5" t="str">
        <f>_xll.BDS("TFC US Equity","SUPPLY_CHAIN_SUPPLIERS","RELATIONSHIP_AS_OF_DATE","19980827","cols=1;rows=5")</f>
        <v>ADBE US Equity</v>
      </c>
      <c r="CH5" t="str">
        <f>_xll.BDS("TFC US Equity","SUPPLY_CHAIN_CUSTOMERS","RELATIONSHIP_AS_OF_DATE","19980827")</f>
        <v>RENG IN Equity</v>
      </c>
      <c r="CM5" t="str">
        <f>_xll.BDS("FCNCA US Equity","SUPPLY_CHAIN_SUPPLIERS","RELATIONSHIP_AS_OF_DATE","20140611","cols=1;rows=5")</f>
        <v>RAIL US Equity</v>
      </c>
      <c r="CR5" t="str">
        <f>_xll.BDS("FCNCA US Equity","SUPPLY_CHAIN_CUSTOMERS","RELATIONSHIP_AS_OF_DATE","20140611")</f>
        <v>#N/A N/A</v>
      </c>
      <c r="CW5" t="str">
        <f>_xll.BDS("1981718D US Equity","SUPPLY_CHAIN_SUPPLIERS","RELATIONSHIP_AS_OF_DATE","20090108")</f>
        <v>#N/A N/A</v>
      </c>
      <c r="DB5" t="str">
        <f>_xll.BDS("1981718D US Equity","SUPPLY_CHAIN_CUSTOMERS","RELATIONSHIP_AS_OF_DATE","20090108")</f>
        <v>#N/A N/A</v>
      </c>
      <c r="DG5" t="str">
        <f>_xll.BDS("NUE US Equity","SUPPLY_CHAIN_SUPPLIERS","RELATIONSHIP_AS_OF_DATE","20020214","cols=1;rows=5")</f>
        <v>ERA FP Equity</v>
      </c>
      <c r="DL5" t="str">
        <f>_xll.BDS("NUE US Equity","SUPPLY_CHAIN_CUSTOMERS","RELATIONSHIP_AS_OF_DATE","20020214","cols=1;rows=5")</f>
        <v>TEN IM Equity</v>
      </c>
      <c r="DQ5" t="str">
        <f>_xll.BDS("BRK/A US Equity","SUPPLY_CHAIN_SUPPLIERS","RELATIONSHIP_AS_OF_DATE","20000620","cols=1;rows=5")</f>
        <v>HSY US Equity</v>
      </c>
      <c r="DV5" t="str">
        <f>_xll.BDS("BRK/A US Equity","SUPPLY_CHAIN_CUSTOMERS","RELATIONSHIP_AS_OF_DATE","20000620","cols=1;rows=5")</f>
        <v>WMT US Equity</v>
      </c>
      <c r="EA5" t="str">
        <f>_xll.BDS("IVZ US Equity","SUPPLY_CHAIN_SUPPLIERS","RELATIONSHIP_AS_OF_DATE","20030725","cols=1;rows=5")</f>
        <v>600626 CH Equity</v>
      </c>
      <c r="EF5" t="str">
        <f>_xll.BDS("IVZ US Equity","SUPPLY_CHAIN_CUSTOMERS","RELATIONSHIP_AS_OF_DATE","20030725","cols=1;rows=2")</f>
        <v>600626 CH Equity</v>
      </c>
      <c r="EK5" t="str">
        <f>_xll.BDS("HYMC US Equity","SUPPLY_CHAIN_SUPPLIERS","RELATIONSHIP_AS_OF_DATE","20200114")</f>
        <v>BRK/A US Equity</v>
      </c>
      <c r="EP5" t="str">
        <f>_xll.BDS("HYMC US Equity","SUPPLY_CHAIN_CUSTOMERS","RELATIONSHIP_AS_OF_DATE","20200114")</f>
        <v>#N/A N/A</v>
      </c>
      <c r="EU5" t="str">
        <f>_xll.BDS("PYXSQ US Equity","SUPPLY_CHAIN_SUPPLIERS","RELATIONSHIP_AS_OF_DATE","20041108","cols=1;rows=2")</f>
        <v>AEP US Equity</v>
      </c>
      <c r="EZ5" t="str">
        <f>_xll.BDS("PYXSQ US Equity","SUPPLY_CHAIN_CUSTOMERS","RELATIONSHIP_AS_OF_DATE","20041108")</f>
        <v>#N/A N/A</v>
      </c>
      <c r="FE5" t="str">
        <f>_xll.BDS("ROVI US Equity","SUPPLY_CHAIN_SUPPLIERS","RELATIONSHIP_AS_OF_DATE","20160429")</f>
        <v>#N/A N/A</v>
      </c>
      <c r="FJ5" t="str">
        <f>_xll.BDS("ROVI US Equity","SUPPLY_CHAIN_CUSTOMERS","RELATIONSHIP_AS_OF_DATE","20160429")</f>
        <v>#N/A N/A</v>
      </c>
      <c r="FO5" t="str">
        <f>_xll.BDS("SOGCQ US Equity","SUPPLY_CHAIN_SUPPLIERS","RELATIONSHIP_AS_OF_DATE","20000710")</f>
        <v>#N/A N/A</v>
      </c>
      <c r="FT5" t="str">
        <f>_xll.BDS("SOGCQ US Equity","SUPPLY_CHAIN_CUSTOMERS","RELATIONSHIP_AS_OF_DATE","20000710")</f>
        <v>#N/A N/A</v>
      </c>
      <c r="FY5" t="str">
        <f>_xll.BDS("BZH US Equity","SUPPLY_CHAIN_SUPPLIERS","RELATIONSHIP_AS_OF_DATE","20020130","cols=1;rows=3")</f>
        <v>WMS US Equity</v>
      </c>
      <c r="GD5" t="str">
        <f>_xll.BDS("BZH US Equity","SUPPLY_CHAIN_CUSTOMERS","RELATIONSHIP_AS_OF_DATE","20020130")</f>
        <v>#N/A N/A</v>
      </c>
      <c r="GI5" t="str">
        <f>_xll.BDS("GD US Equity","SUPPLY_CHAIN_SUPPLIERS","RELATIONSHIP_AS_OF_DATE","20090604","cols=1;rows=5")</f>
        <v>RTX US Equity</v>
      </c>
      <c r="GN5" t="str">
        <f>_xll.BDS("GD US Equity","SUPPLY_CHAIN_CUSTOMERS","RELATIONSHIP_AS_OF_DATE","20090604","cols=1;rows=5")</f>
        <v>3352Z US Equity</v>
      </c>
      <c r="GS5" t="str">
        <f>_xll.BDS("IRT US Equity","SUPPLY_CHAIN_SUPPLIERS","RELATIONSHIP_AS_OF_DATE","20150511")</f>
        <v>#N/A N/A</v>
      </c>
      <c r="GX5" t="str">
        <f>_xll.BDS("IRT US Equity","SUPPLY_CHAIN_CUSTOMERS","RELATIONSHIP_AS_OF_DATE","20150511")</f>
        <v>#N/A N/A</v>
      </c>
      <c r="HC5" t="str">
        <f>_xll.BDS("ASB US Equity","SUPPLY_CHAIN_SUPPLIERS","RELATIONSHIP_AS_OF_DATE","20040428","cols=1;rows=2")</f>
        <v>NICE IT Equity</v>
      </c>
      <c r="HH5" t="str">
        <f>_xll.BDS("ASB US Equity","SUPPLY_CHAIN_CUSTOMERS","RELATIONSHIP_AS_OF_DATE","20040428")</f>
        <v>#N/A N/A</v>
      </c>
      <c r="HM5" t="str">
        <f>_xll.BDS("SYK US Equity","SUPPLY_CHAIN_SUPPLIERS","RELATIONSHIP_AS_OF_DATE","20171207","cols=1;rows=5")</f>
        <v>FLEX US Equity</v>
      </c>
      <c r="HR5" t="str">
        <f>_xll.BDS("SYK US Equity","SUPPLY_CHAIN_CUSTOMERS","RELATIONSHIP_AS_OF_DATE","20171207","cols=1;rows=5")</f>
        <v>CNXN US Equity</v>
      </c>
      <c r="HW5" t="str">
        <f>_xll.BDS("ARWLQ US Equity","SUPPLY_CHAIN_SUPPLIERS","RELATIONSHIP_AS_OF_DATE","19980820")</f>
        <v>#N/A N/A</v>
      </c>
      <c r="IB5" t="str">
        <f>_xll.BDS("ARWLQ US Equity","SUPPLY_CHAIN_CUSTOMERS","RELATIONSHIP_AS_OF_DATE","19980820")</f>
        <v>#N/A N/A</v>
      </c>
      <c r="IG5" t="str">
        <f>_xll.BDS("VNRSQ US Equity","SUPPLY_CHAIN_SUPPLIERS","RELATIONSHIP_AS_OF_DATE","20150521")</f>
        <v>#N/A N/A</v>
      </c>
      <c r="IL5" t="str">
        <f>_xll.BDS("VNRSQ US Equity","SUPPLY_CHAIN_CUSTOMERS","RELATIONSHIP_AS_OF_DATE","20150521")</f>
        <v>#N/A N/A</v>
      </c>
      <c r="IQ5" t="str">
        <f>_xll.BDS("1811934D US Equity","SUPPLY_CHAIN_SUPPLIERS","RELATIONSHIP_AS_OF_DATE","19991208")</f>
        <v>#N/A N/A</v>
      </c>
      <c r="IV5" t="str">
        <f>_xll.BDS("1811934D US Equity","SUPPLY_CHAIN_CUSTOMERS","RELATIONSHIP_AS_OF_DATE","19991208")</f>
        <v>#N/A N/A</v>
      </c>
      <c r="JA5" t="str">
        <f>_xll.BDS("BX US Equity","SUPPLY_CHAIN_SUPPLIERS","RELATIONSHIP_AS_OF_DATE","20101004","cols=1;rows=5")</f>
        <v>ORCL US Equity</v>
      </c>
      <c r="JF5" t="str">
        <f>_xll.BDS("BX US Equity","SUPPLY_CHAIN_CUSTOMERS","RELATIONSHIP_AS_OF_DATE","20101004","cols=1;rows=5")</f>
        <v>002284 CH Equity</v>
      </c>
      <c r="JK5" t="str">
        <f>_xll.BDS("9993232D US Equity","SUPPLY_CHAIN_SUPPLIERS","RELATIONSHIP_AS_OF_DATE","20150818")</f>
        <v>#N/A N/A</v>
      </c>
      <c r="JP5" t="str">
        <f>_xll.BDS("9993232D US Equity","SUPPLY_CHAIN_CUSTOMERS","RELATIONSHIP_AS_OF_DATE","20150818")</f>
        <v>#N/A N/A</v>
      </c>
      <c r="JU5" t="str">
        <f>_xll.BDS("ORCL US Equity","SUPPLY_CHAIN_SUPPLIERS","RELATIONSHIP_AS_OF_DATE","20160428","cols=1;rows=5")</f>
        <v>NVDA US Equity</v>
      </c>
      <c r="JZ5" t="str">
        <f>_xll.BDS("ORCL US Equity","SUPPLY_CHAIN_CUSTOMERS","RELATIONSHIP_AS_OF_DATE","20160428","cols=1;rows=5")</f>
        <v>ACN US Equity</v>
      </c>
      <c r="KE5" t="str">
        <f>_xll.BDS("VTR US Equity","SUPPLY_CHAIN_SUPPLIERS","RELATIONSHIP_AS_OF_DATE","20050412")</f>
        <v>#N/A N/A</v>
      </c>
      <c r="KJ5" t="str">
        <f>_xll.BDS("VTR US Equity","SUPPLY_CHAIN_CUSTOMERS","RELATIONSHIP_AS_OF_DATE","20050412","cols=1;rows=3")</f>
        <v>BKD US Equity</v>
      </c>
      <c r="KO5" t="str">
        <f>_xll.BDS("PNP US Equity","SUPPLY_CHAIN_SUPPLIERS","RELATIONSHIP_AS_OF_DATE","20021106")</f>
        <v>#N/A N/A</v>
      </c>
      <c r="KT5" t="str">
        <f>_xll.BDS("PNP US Equity","SUPPLY_CHAIN_CUSTOMERS","RELATIONSHIP_AS_OF_DATE","20021106")</f>
        <v>#N/A N/A</v>
      </c>
      <c r="KY5" t="str">
        <f>_xll.BDS("HON US Equity","SUPPLY_CHAIN_SUPPLIERS","RELATIONSHIP_AS_OF_DATE","20121210","cols=1;rows=5")</f>
        <v>CLS CN Equity</v>
      </c>
      <c r="LD5" t="str">
        <f>_xll.BDS("HON US Equity","SUPPLY_CHAIN_CUSTOMERS","RELATIONSHIP_AS_OF_DATE","20121210","cols=1;rows=5")</f>
        <v>3352Z US Equity</v>
      </c>
      <c r="LI5" t="str">
        <f>_xll.BDS("IBM US Equity","SUPPLY_CHAIN_SUPPLIERS","RELATIONSHIP_AS_OF_DATE","20060803","cols=1;rows=5")</f>
        <v>005930 KS Equity</v>
      </c>
      <c r="LN5" t="str">
        <f>_xll.BDS("IBM US Equity","SUPPLY_CHAIN_CUSTOMERS","RELATIONSHIP_AS_OF_DATE","20060803","cols=1;rows=5")</f>
        <v>AMZN US Equity</v>
      </c>
      <c r="LS5" t="str">
        <f>_xll.BDS("FBK US Equity","SUPPLY_CHAIN_SUPPLIERS","RELATIONSHIP_AS_OF_DATE","20200121")</f>
        <v>#N/A N/A</v>
      </c>
      <c r="LX5" t="str">
        <f>_xll.BDS("FBK US Equity","SUPPLY_CHAIN_CUSTOMERS","RELATIONSHIP_AS_OF_DATE","20200121")</f>
        <v>#N/A N/A</v>
      </c>
      <c r="MC5" t="str">
        <f>_xll.BDS("URS US Equity","SUPPLY_CHAIN_SUPPLIERS","RELATIONSHIP_AS_OF_DATE","19990505")</f>
        <v>#N/A N/A</v>
      </c>
      <c r="MH5" t="str">
        <f>_xll.BDS("URS US Equity","SUPPLY_CHAIN_CUSTOMERS","RELATIONSHIP_AS_OF_DATE","19990505")</f>
        <v>#N/A N/A</v>
      </c>
      <c r="MM5" t="str">
        <f>_xll.BDS("NFB US Equity","SUPPLY_CHAIN_SUPPLIERS","RELATIONSHIP_AS_OF_DATE","19990816")</f>
        <v>#N/A N/A</v>
      </c>
      <c r="MR5" t="str">
        <f>_xll.BDS("NFB US Equity","SUPPLY_CHAIN_CUSTOMERS","RELATIONSHIP_AS_OF_DATE","19990816")</f>
        <v>#N/A N/A</v>
      </c>
      <c r="MW5" t="str">
        <f>_xll.BDS("INVCORP BI Equity","SUPPLY_CHAIN_SUPPLIERS","RELATIONSHIP_AS_OF_DATE","20050922")</f>
        <v>DLN LN Equity</v>
      </c>
      <c r="NB5" t="str">
        <f>_xll.BDS("INVCORP BI Equity","SUPPLY_CHAIN_CUSTOMERS","RELATIONSHIP_AS_OF_DATE","20050922")</f>
        <v>#N/A N/A</v>
      </c>
      <c r="NG5" t="str">
        <f>_xll.BDS("URI US Equity","SUPPLY_CHAIN_SUPPLIERS","RELATIONSHIP_AS_OF_DATE","20210416","cols=1;rows=5")</f>
        <v>DE US Equity</v>
      </c>
      <c r="NL5" t="str">
        <f>_xll.BDS("URI US Equity","SUPPLY_CHAIN_CUSTOMERS","RELATIONSHIP_AS_OF_DATE","20210416","cols=1;rows=5")</f>
        <v>OSK US Equity</v>
      </c>
      <c r="NQ5" t="str">
        <f>_xll.BDS("BBY US Equity","SUPPLY_CHAIN_SUPPLIERS","RELATIONSHIP_AS_OF_DATE","20001207","cols=1;rows=5")</f>
        <v>AAPL US Equity</v>
      </c>
      <c r="NV5" t="str">
        <f>_xll.BDS("BBY US Equity","SUPPLY_CHAIN_CUSTOMERS","RELATIONSHIP_AS_OF_DATE","20001207","cols=1;rows=5")</f>
        <v>300857 CH Equity</v>
      </c>
      <c r="OA5" t="str">
        <f>_xll.BDS("GE US Equity","SUPPLY_CHAIN_SUPPLIERS","RELATIONSHIP_AS_OF_DATE","20060306","cols=1;rows=5")</f>
        <v>SAF FP Equity</v>
      </c>
      <c r="OF5" t="str">
        <f>_xll.BDS("GE US Equity","SUPPLY_CHAIN_CUSTOMERS","RELATIONSHIP_AS_OF_DATE","20060306","cols=1;rows=5")</f>
        <v>3352Z US Equity</v>
      </c>
    </row>
    <row r="6" spans="1:396" x14ac:dyDescent="0.25">
      <c r="A6" t="s">
        <v>11371</v>
      </c>
      <c r="AE6" t="s">
        <v>10696</v>
      </c>
      <c r="AT6" t="s">
        <v>11525</v>
      </c>
      <c r="AY6" t="s">
        <v>12759</v>
      </c>
      <c r="BD6" t="s">
        <v>11019</v>
      </c>
      <c r="BI6" t="s">
        <v>41</v>
      </c>
      <c r="BN6" t="s">
        <v>266</v>
      </c>
      <c r="BS6" t="s">
        <v>11312</v>
      </c>
      <c r="BX6" t="s">
        <v>11001</v>
      </c>
      <c r="CC6" t="s">
        <v>11371</v>
      </c>
      <c r="CM6" t="s">
        <v>10972</v>
      </c>
      <c r="DG6" t="s">
        <v>11446</v>
      </c>
      <c r="DL6" t="s">
        <v>489</v>
      </c>
      <c r="DQ6" t="s">
        <v>2792</v>
      </c>
      <c r="DV6" t="s">
        <v>10677</v>
      </c>
      <c r="EA6" t="s">
        <v>11307</v>
      </c>
      <c r="EF6" t="s">
        <v>11275</v>
      </c>
      <c r="EU6" t="s">
        <v>260</v>
      </c>
      <c r="FY6" t="s">
        <v>13008</v>
      </c>
      <c r="GI6" t="s">
        <v>11007</v>
      </c>
      <c r="GN6" t="s">
        <v>11193</v>
      </c>
      <c r="HC6" t="s">
        <v>3162</v>
      </c>
      <c r="HM6" t="s">
        <v>11412</v>
      </c>
      <c r="HR6" t="s">
        <v>11830</v>
      </c>
      <c r="JA6" t="s">
        <v>7544</v>
      </c>
      <c r="JF6" t="s">
        <v>11020</v>
      </c>
      <c r="JU6" t="s">
        <v>162</v>
      </c>
      <c r="JZ6" t="s">
        <v>469</v>
      </c>
      <c r="KJ6" t="s">
        <v>790</v>
      </c>
      <c r="KY6" t="s">
        <v>2599</v>
      </c>
      <c r="LD6" t="s">
        <v>1363</v>
      </c>
      <c r="LI6" t="s">
        <v>41</v>
      </c>
      <c r="LN6" t="s">
        <v>266</v>
      </c>
      <c r="NG6" t="s">
        <v>4570</v>
      </c>
      <c r="NL6" t="s">
        <v>12443</v>
      </c>
      <c r="NQ6" t="s">
        <v>10853</v>
      </c>
      <c r="NV6" t="s">
        <v>11432</v>
      </c>
      <c r="OA6" t="s">
        <v>11008</v>
      </c>
      <c r="OF6" t="s">
        <v>1363</v>
      </c>
    </row>
    <row r="7" spans="1:396" x14ac:dyDescent="0.25">
      <c r="A7" t="s">
        <v>10986</v>
      </c>
      <c r="AE7" t="s">
        <v>1265</v>
      </c>
      <c r="AT7" t="s">
        <v>570</v>
      </c>
      <c r="AY7" t="s">
        <v>12760</v>
      </c>
      <c r="BD7" t="s">
        <v>13090</v>
      </c>
      <c r="BI7" t="s">
        <v>469</v>
      </c>
      <c r="BN7" t="s">
        <v>10892</v>
      </c>
      <c r="BS7" t="s">
        <v>11859</v>
      </c>
      <c r="BX7" t="s">
        <v>12069</v>
      </c>
      <c r="CC7" t="s">
        <v>10986</v>
      </c>
      <c r="CM7" t="s">
        <v>10939</v>
      </c>
      <c r="DG7" t="s">
        <v>11447</v>
      </c>
      <c r="DL7" t="s">
        <v>684</v>
      </c>
      <c r="DQ7" t="s">
        <v>10737</v>
      </c>
      <c r="DV7" t="s">
        <v>4642</v>
      </c>
      <c r="EA7" t="s">
        <v>11308</v>
      </c>
      <c r="FY7" t="s">
        <v>8230</v>
      </c>
      <c r="GI7" t="s">
        <v>11756</v>
      </c>
      <c r="GN7" t="s">
        <v>11955</v>
      </c>
      <c r="HM7" t="s">
        <v>11413</v>
      </c>
      <c r="HR7" t="s">
        <v>11831</v>
      </c>
      <c r="JA7" t="s">
        <v>11054</v>
      </c>
      <c r="JF7" t="s">
        <v>11021</v>
      </c>
      <c r="JU7" t="s">
        <v>279</v>
      </c>
      <c r="JZ7" t="s">
        <v>2881</v>
      </c>
      <c r="KJ7" t="s">
        <v>12154</v>
      </c>
      <c r="KY7" t="s">
        <v>11010</v>
      </c>
      <c r="LD7" t="s">
        <v>10939</v>
      </c>
      <c r="LI7" t="s">
        <v>469</v>
      </c>
      <c r="LN7" t="s">
        <v>10892</v>
      </c>
      <c r="NG7" t="s">
        <v>12487</v>
      </c>
      <c r="NL7" t="s">
        <v>12444</v>
      </c>
      <c r="NQ7" t="s">
        <v>11194</v>
      </c>
      <c r="NV7" t="s">
        <v>11404</v>
      </c>
      <c r="OA7" t="s">
        <v>11009</v>
      </c>
      <c r="OF7" t="s">
        <v>10939</v>
      </c>
    </row>
    <row r="8" spans="1:396" x14ac:dyDescent="0.25">
      <c r="A8" t="s">
        <v>11372</v>
      </c>
      <c r="AE8" t="s">
        <v>158</v>
      </c>
      <c r="AT8" t="s">
        <v>469</v>
      </c>
      <c r="AY8" t="s">
        <v>12761</v>
      </c>
      <c r="BD8" t="s">
        <v>13091</v>
      </c>
      <c r="BI8" t="s">
        <v>2881</v>
      </c>
      <c r="BN8" t="s">
        <v>6473</v>
      </c>
      <c r="BS8" t="s">
        <v>12131</v>
      </c>
      <c r="BX8" t="s">
        <v>12070</v>
      </c>
      <c r="CC8" t="s">
        <v>11372</v>
      </c>
      <c r="CM8" t="s">
        <v>10973</v>
      </c>
      <c r="DG8" t="s">
        <v>11448</v>
      </c>
      <c r="DL8" t="s">
        <v>11156</v>
      </c>
      <c r="DQ8" t="s">
        <v>4475</v>
      </c>
      <c r="DV8" t="s">
        <v>1363</v>
      </c>
      <c r="EA8" t="s">
        <v>11309</v>
      </c>
      <c r="GI8" t="s">
        <v>1353</v>
      </c>
      <c r="GN8" t="s">
        <v>10660</v>
      </c>
      <c r="HM8" t="s">
        <v>11414</v>
      </c>
      <c r="HR8" t="s">
        <v>11832</v>
      </c>
      <c r="JA8" t="s">
        <v>11055</v>
      </c>
      <c r="JF8" t="s">
        <v>11022</v>
      </c>
      <c r="JU8" t="s">
        <v>10818</v>
      </c>
      <c r="JZ8" t="s">
        <v>52</v>
      </c>
      <c r="KY8" t="s">
        <v>11802</v>
      </c>
      <c r="LD8" t="s">
        <v>10785</v>
      </c>
      <c r="LI8" t="s">
        <v>2881</v>
      </c>
      <c r="LN8" t="s">
        <v>6473</v>
      </c>
      <c r="NG8" t="s">
        <v>1754</v>
      </c>
      <c r="NL8" t="s">
        <v>12445</v>
      </c>
      <c r="NQ8" t="s">
        <v>10892</v>
      </c>
      <c r="NV8" t="s">
        <v>11433</v>
      </c>
      <c r="OA8" t="s">
        <v>11010</v>
      </c>
      <c r="OF8" t="s">
        <v>1652</v>
      </c>
    </row>
    <row r="9" spans="1:396" x14ac:dyDescent="0.25">
      <c r="A9" t="s">
        <v>10987</v>
      </c>
      <c r="AE9" t="s">
        <v>260</v>
      </c>
      <c r="AT9" t="s">
        <v>11526</v>
      </c>
      <c r="AY9" t="s">
        <v>2968</v>
      </c>
      <c r="BD9" t="s">
        <v>12960</v>
      </c>
      <c r="BI9" t="s">
        <v>10853</v>
      </c>
      <c r="BN9" t="s">
        <v>969</v>
      </c>
      <c r="BS9" t="s">
        <v>11849</v>
      </c>
      <c r="BX9" t="s">
        <v>11312</v>
      </c>
      <c r="CC9" t="s">
        <v>10987</v>
      </c>
      <c r="CM9" t="s">
        <v>10974</v>
      </c>
      <c r="DG9" t="s">
        <v>11449</v>
      </c>
      <c r="DL9" t="s">
        <v>11040</v>
      </c>
      <c r="DQ9" t="s">
        <v>10738</v>
      </c>
      <c r="DV9" t="s">
        <v>42</v>
      </c>
      <c r="EA9" t="s">
        <v>11310</v>
      </c>
      <c r="GI9" t="s">
        <v>1172</v>
      </c>
      <c r="GN9" t="s">
        <v>11956</v>
      </c>
      <c r="HM9" t="s">
        <v>5575</v>
      </c>
      <c r="HR9" t="s">
        <v>11833</v>
      </c>
      <c r="JA9" t="s">
        <v>11056</v>
      </c>
      <c r="JF9" t="s">
        <v>11023</v>
      </c>
      <c r="JU9" t="s">
        <v>384</v>
      </c>
      <c r="JZ9" t="s">
        <v>472</v>
      </c>
      <c r="KY9" t="s">
        <v>12211</v>
      </c>
      <c r="LD9" t="s">
        <v>1652</v>
      </c>
      <c r="LI9" t="s">
        <v>10853</v>
      </c>
      <c r="LN9" t="s">
        <v>969</v>
      </c>
      <c r="NG9" t="s">
        <v>12488</v>
      </c>
      <c r="NL9" t="s">
        <v>12446</v>
      </c>
      <c r="NQ9" t="s">
        <v>261</v>
      </c>
      <c r="NV9" t="s">
        <v>11434</v>
      </c>
      <c r="OA9" t="s">
        <v>3625</v>
      </c>
      <c r="OF9" t="s">
        <v>1740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4166</v>
      </c>
      <c r="K1" s="1" t="s">
        <v>4167</v>
      </c>
      <c r="U1" s="1" t="s">
        <v>4168</v>
      </c>
      <c r="AE1" s="1" t="s">
        <v>4169</v>
      </c>
      <c r="AO1" s="1" t="s">
        <v>4170</v>
      </c>
      <c r="AY1" s="1" t="s">
        <v>4171</v>
      </c>
      <c r="BI1" s="1" t="s">
        <v>4172</v>
      </c>
      <c r="BS1" s="1" t="s">
        <v>4173</v>
      </c>
      <c r="CC1" s="1" t="s">
        <v>4174</v>
      </c>
      <c r="CM1" s="1" t="s">
        <v>4175</v>
      </c>
      <c r="CW1" s="1" t="s">
        <v>4176</v>
      </c>
      <c r="DG1" s="1" t="s">
        <v>4177</v>
      </c>
      <c r="DQ1" s="1" t="s">
        <v>4178</v>
      </c>
      <c r="EA1" s="1" t="s">
        <v>4179</v>
      </c>
      <c r="EK1" s="1" t="s">
        <v>4180</v>
      </c>
      <c r="EU1" s="1" t="s">
        <v>4181</v>
      </c>
      <c r="FE1" s="1" t="s">
        <v>4182</v>
      </c>
      <c r="FO1" s="1" t="s">
        <v>4183</v>
      </c>
      <c r="FY1" s="1" t="s">
        <v>4184</v>
      </c>
      <c r="GI1" s="1" t="s">
        <v>4185</v>
      </c>
      <c r="GS1" s="1" t="s">
        <v>4186</v>
      </c>
      <c r="HC1" s="1" t="s">
        <v>4187</v>
      </c>
      <c r="HM1" s="1" t="s">
        <v>4188</v>
      </c>
      <c r="HW1" s="1" t="s">
        <v>4189</v>
      </c>
      <c r="IG1" s="1" t="s">
        <v>4190</v>
      </c>
      <c r="IQ1" s="1" t="s">
        <v>4191</v>
      </c>
      <c r="JA1" s="1" t="s">
        <v>4192</v>
      </c>
      <c r="JK1" s="1" t="s">
        <v>4193</v>
      </c>
      <c r="JU1" s="1" t="s">
        <v>4194</v>
      </c>
      <c r="KE1" s="1" t="s">
        <v>4195</v>
      </c>
      <c r="KO1" s="1" t="s">
        <v>4196</v>
      </c>
      <c r="KY1" s="1" t="s">
        <v>4197</v>
      </c>
      <c r="LI1" s="1" t="s">
        <v>4198</v>
      </c>
      <c r="LS1" s="1" t="s">
        <v>4199</v>
      </c>
      <c r="MC1" s="1" t="s">
        <v>4200</v>
      </c>
      <c r="MM1" s="1" t="s">
        <v>4201</v>
      </c>
      <c r="MW1" s="1" t="s">
        <v>4202</v>
      </c>
      <c r="NG1" s="1" t="s">
        <v>4203</v>
      </c>
      <c r="NQ1" s="1" t="s">
        <v>4204</v>
      </c>
      <c r="OA1" s="1" t="s">
        <v>4205</v>
      </c>
    </row>
    <row r="2" spans="1:396" x14ac:dyDescent="0.25">
      <c r="A2" s="2" t="s">
        <v>166</v>
      </c>
      <c r="K2" s="2" t="s">
        <v>2131</v>
      </c>
      <c r="U2" s="2" t="s">
        <v>2301</v>
      </c>
      <c r="AE2" s="2" t="s">
        <v>787</v>
      </c>
      <c r="AO2" s="2" t="s">
        <v>4206</v>
      </c>
      <c r="AY2" s="2" t="s">
        <v>4207</v>
      </c>
      <c r="BI2" s="2" t="s">
        <v>387</v>
      </c>
      <c r="BS2" s="2" t="s">
        <v>4208</v>
      </c>
      <c r="CC2" s="2" t="s">
        <v>2132</v>
      </c>
      <c r="CM2" s="2" t="s">
        <v>4209</v>
      </c>
      <c r="CW2" s="2" t="s">
        <v>4210</v>
      </c>
      <c r="DG2" s="2" t="s">
        <v>4211</v>
      </c>
      <c r="DQ2" s="2" t="s">
        <v>2128</v>
      </c>
      <c r="EA2" s="2" t="s">
        <v>4212</v>
      </c>
      <c r="EK2" s="2" t="s">
        <v>4213</v>
      </c>
      <c r="EU2" s="2" t="s">
        <v>2695</v>
      </c>
      <c r="FE2" s="2" t="s">
        <v>1266</v>
      </c>
      <c r="FO2" s="2" t="s">
        <v>2129</v>
      </c>
      <c r="FY2" s="2" t="s">
        <v>4214</v>
      </c>
      <c r="GI2" s="2" t="s">
        <v>981</v>
      </c>
      <c r="GS2" s="2" t="s">
        <v>158</v>
      </c>
      <c r="HC2" s="2" t="s">
        <v>4215</v>
      </c>
      <c r="HM2" s="2" t="s">
        <v>4216</v>
      </c>
      <c r="HW2" s="2" t="s">
        <v>4217</v>
      </c>
      <c r="IG2" s="2" t="s">
        <v>2128</v>
      </c>
      <c r="IQ2" s="2" t="s">
        <v>4218</v>
      </c>
      <c r="JA2" s="2" t="s">
        <v>4219</v>
      </c>
      <c r="JK2" s="2" t="s">
        <v>4220</v>
      </c>
      <c r="JU2" s="2" t="s">
        <v>4221</v>
      </c>
      <c r="KE2" s="2" t="s">
        <v>4222</v>
      </c>
      <c r="KO2" s="2" t="s">
        <v>2788</v>
      </c>
      <c r="KY2" s="2" t="s">
        <v>64</v>
      </c>
      <c r="LI2" s="2" t="s">
        <v>381</v>
      </c>
      <c r="LS2" s="2" t="s">
        <v>1375</v>
      </c>
      <c r="MC2" s="2" t="s">
        <v>4223</v>
      </c>
      <c r="MM2" s="2" t="s">
        <v>3435</v>
      </c>
      <c r="MW2" s="2" t="s">
        <v>4224</v>
      </c>
      <c r="NG2" s="2" t="s">
        <v>4225</v>
      </c>
      <c r="NQ2" s="2" t="s">
        <v>4226</v>
      </c>
      <c r="OA2" s="2" t="s">
        <v>4227</v>
      </c>
    </row>
    <row r="3" spans="1:396" x14ac:dyDescent="0.25">
      <c r="A3" t="s">
        <v>4228</v>
      </c>
      <c r="K3" t="s">
        <v>4229</v>
      </c>
      <c r="U3" t="s">
        <v>4230</v>
      </c>
      <c r="AE3" t="s">
        <v>4231</v>
      </c>
      <c r="AO3" t="s">
        <v>4232</v>
      </c>
      <c r="AY3" t="s">
        <v>4233</v>
      </c>
      <c r="BI3" t="s">
        <v>3375</v>
      </c>
      <c r="BS3" t="s">
        <v>4234</v>
      </c>
      <c r="CC3" t="s">
        <v>305</v>
      </c>
      <c r="CM3" t="s">
        <v>4235</v>
      </c>
      <c r="CW3" t="s">
        <v>4236</v>
      </c>
      <c r="DG3" t="s">
        <v>4237</v>
      </c>
      <c r="DQ3" t="s">
        <v>4238</v>
      </c>
      <c r="EA3" t="s">
        <v>185</v>
      </c>
      <c r="EK3" t="s">
        <v>4239</v>
      </c>
      <c r="EU3" t="s">
        <v>4240</v>
      </c>
      <c r="FE3" t="s">
        <v>4241</v>
      </c>
      <c r="FO3" t="s">
        <v>2232</v>
      </c>
      <c r="FY3" t="s">
        <v>3358</v>
      </c>
      <c r="GI3" t="s">
        <v>4242</v>
      </c>
      <c r="GS3" t="s">
        <v>4243</v>
      </c>
      <c r="HC3" t="s">
        <v>4244</v>
      </c>
      <c r="HM3" t="s">
        <v>4245</v>
      </c>
      <c r="HW3" t="s">
        <v>4246</v>
      </c>
      <c r="IG3" t="s">
        <v>4247</v>
      </c>
      <c r="IQ3" t="s">
        <v>4248</v>
      </c>
      <c r="JA3" t="s">
        <v>208</v>
      </c>
      <c r="JK3" t="s">
        <v>1296</v>
      </c>
      <c r="JU3" t="s">
        <v>99</v>
      </c>
      <c r="KE3" t="s">
        <v>1213</v>
      </c>
      <c r="KO3" t="s">
        <v>4249</v>
      </c>
      <c r="KY3" t="s">
        <v>4250</v>
      </c>
      <c r="LI3" t="s">
        <v>4251</v>
      </c>
      <c r="LS3" t="s">
        <v>3264</v>
      </c>
      <c r="MC3" t="s">
        <v>4252</v>
      </c>
      <c r="MM3" t="s">
        <v>1560</v>
      </c>
      <c r="MW3" t="s">
        <v>1658</v>
      </c>
      <c r="NG3" t="s">
        <v>895</v>
      </c>
      <c r="NQ3" t="s">
        <v>4253</v>
      </c>
      <c r="OA3" t="s">
        <v>904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_xll.BDS("WFC US Equity","SUPPLY_CHAIN_SUPPLIERS","RELATIONSHIP_AS_OF_DATE","20030519","cols=1;rows=5")</f>
        <v>ADBE US Equity</v>
      </c>
      <c r="F5" t="str">
        <f>_xll.BDS("WFC US Equity","SUPPLY_CHAIN_CUSTOMERS","RELATIONSHIP_AS_OF_DATE","20030519","cols=1;rows=5")</f>
        <v>CDW US Equity</v>
      </c>
      <c r="K5" t="str">
        <f>_xll.BDS("OHI US Equity","SUPPLY_CHAIN_SUPPLIERS","RELATIONSHIP_AS_OF_DATE","20190102")</f>
        <v>CLINT SP Equity</v>
      </c>
      <c r="P5" t="str">
        <f>_xll.BDS("OHI US Equity","SUPPLY_CHAIN_CUSTOMERS","RELATIONSHIP_AS_OF_DATE","20190102","cols=1;rows=5")</f>
        <v>4921824Z US Equity</v>
      </c>
      <c r="U5" t="str">
        <f>_xll.BDS("STCN US Equity","SUPPLY_CHAIN_SUPPLIERS","RELATIONSHIP_AS_OF_DATE","19990930")</f>
        <v>#N/A N/A</v>
      </c>
      <c r="Z5" t="str">
        <f>_xll.BDS("STCN US Equity","SUPPLY_CHAIN_CUSTOMERS","RELATIONSHIP_AS_OF_DATE","19990930","cols=1;rows=3")</f>
        <v>992 HK Equity</v>
      </c>
      <c r="AE5" t="str">
        <f>_xll.BDS("FDC US Equity","SUPPLY_CHAIN_SUPPLIERS","RELATIONSHIP_AS_OF_DATE","20170529")</f>
        <v>#N/A N/A</v>
      </c>
      <c r="AJ5" t="str">
        <f>_xll.BDS("FDC US Equity","SUPPLY_CHAIN_CUSTOMERS","RELATIONSHIP_AS_OF_DATE","20170529")</f>
        <v>#N/A N/A</v>
      </c>
      <c r="AO5" t="str">
        <f>_xll.BDS("NES US Equity","SUPPLY_CHAIN_SUPPLIERS","RELATIONSHIP_AS_OF_DATE","20080520")</f>
        <v>#N/A N/A</v>
      </c>
      <c r="AT5" t="str">
        <f>_xll.BDS("NES US Equity","SUPPLY_CHAIN_CUSTOMERS","RELATIONSHIP_AS_OF_DATE","20080520")</f>
        <v>#N/A N/A</v>
      </c>
      <c r="AY5" t="str">
        <f>_xll.BDS("COHU US Equity","SUPPLY_CHAIN_SUPPLIERS","RELATIONSHIP_AS_OF_DATE","20180508","cols=1;rows=5")</f>
        <v>JBL US Equity</v>
      </c>
      <c r="BD5" t="str">
        <f>_xll.BDS("COHU US Equity","SUPPLY_CHAIN_CUSTOMERS","RELATIONSHIP_AS_OF_DATE","20180508","cols=1;rows=5")</f>
        <v>IFX GR Equity</v>
      </c>
      <c r="BI5" t="str">
        <f>_xll.BDS("DHR US Equity","SUPPLY_CHAIN_SUPPLIERS","RELATIONSHIP_AS_OF_DATE","19980427","cols=1;rows=5")</f>
        <v>FLEX US Equity</v>
      </c>
      <c r="BN5" t="str">
        <f>_xll.BDS("DHR US Equity","SUPPLY_CHAIN_CUSTOMERS","RELATIONSHIP_AS_OF_DATE","19980427","cols=1;rows=5")</f>
        <v>CDW US Equity</v>
      </c>
      <c r="BS5" t="str">
        <f>_xll.BDS("MATW US Equity","SUPPLY_CHAIN_SUPPLIERS","RELATIONSHIP_AS_OF_DATE","20140317")</f>
        <v>#N/A N/A</v>
      </c>
      <c r="BX5" t="str">
        <f>_xll.BDS("MATW US Equity","SUPPLY_CHAIN_CUSTOMERS","RELATIONSHIP_AS_OF_DATE","20140317","cols=1;rows=5")</f>
        <v>TSCO LN Equity</v>
      </c>
      <c r="CC5" t="str">
        <f>_xll.BDS("WINMQ US Equity","SUPPLY_CHAIN_SUPPLIERS","RELATIONSHIP_AS_OF_DATE","20070529","cols=1;rows=5")</f>
        <v>DY US Equity</v>
      </c>
      <c r="CH5" t="str">
        <f>_xll.BDS("WINMQ US Equity","SUPPLY_CHAIN_CUSTOMERS","RELATIONSHIP_AS_OF_DATE","20070529","cols=1;rows=2")</f>
        <v>SCSC US Equity</v>
      </c>
      <c r="CM5" t="str">
        <f>_xll.BDS("RAMP US Equity","SUPPLY_CHAIN_SUPPLIERS","RELATIONSHIP_AS_OF_DATE","19980527","cols=1;rows=5")</f>
        <v>GOOGL US Equity</v>
      </c>
      <c r="CR5" t="str">
        <f>_xll.BDS("RAMP US Equity","SUPPLY_CHAIN_CUSTOMERS","RELATIONSHIP_AS_OF_DATE","19980527","cols=1;rows=5")</f>
        <v>AD NA Equity</v>
      </c>
      <c r="CW5" t="str">
        <f>_xll.BDS("NFX US Equity","SUPPLY_CHAIN_SUPPLIERS","RELATIONSHIP_AS_OF_DATE","20020529")</f>
        <v>#N/A N/A</v>
      </c>
      <c r="DB5" t="str">
        <f>_xll.BDS("NFX US Equity","SUPPLY_CHAIN_CUSTOMERS","RELATIONSHIP_AS_OF_DATE","20020529")</f>
        <v>#N/A N/A</v>
      </c>
      <c r="DG5" t="str">
        <f>_xll.BDS("AROC US Equity","SUPPLY_CHAIN_SUPPLIERS","RELATIONSHIP_AS_OF_DATE","20180102","cols=1;rows=5")</f>
        <v>CAT US Equity</v>
      </c>
      <c r="DL5" t="str">
        <f>_xll.BDS("AROC US Equity","SUPPLY_CHAIN_CUSTOMERS","RELATIONSHIP_AS_OF_DATE","20180102","cols=1;rows=5")</f>
        <v>COP US Equity</v>
      </c>
      <c r="DQ5" t="str">
        <f>_xll.BDS("AGR US Equity","SUPPLY_CHAIN_SUPPLIERS","RELATIONSHIP_AS_OF_DATE","19990423","cols=1;rows=5")</f>
        <v>3365854Z US Equity</v>
      </c>
      <c r="DV5" t="str">
        <f>_xll.BDS("AGR US Equity","SUPPLY_CHAIN_CUSTOMERS","RELATIONSHIP_AS_OF_DATE","19990423","cols=1;rows=5")</f>
        <v>1256Z NO Equity</v>
      </c>
      <c r="EA5" t="str">
        <f>_xll.BDS("SHEN US Equity","SUPPLY_CHAIN_SUPPLIERS","RELATIONSHIP_AS_OF_DATE","20150810")</f>
        <v>CIEN US Equity</v>
      </c>
      <c r="EF5" t="str">
        <f>_xll.BDS("SHEN US Equity","SUPPLY_CHAIN_CUSTOMERS","RELATIONSHIP_AS_OF_DATE","20150810","cols=1;rows=5")</f>
        <v>10201MF US Equity</v>
      </c>
      <c r="EK5" t="str">
        <f>_xll.BDS("NAL US Equity","SUPPLY_CHAIN_SUPPLIERS","RELATIONSHIP_AS_OF_DATE","20030716")</f>
        <v>#N/A N/A</v>
      </c>
      <c r="EP5" t="str">
        <f>_xll.BDS("NAL US Equity","SUPPLY_CHAIN_CUSTOMERS","RELATIONSHIP_AS_OF_DATE","20030716")</f>
        <v>#N/A N/A</v>
      </c>
      <c r="EU5" t="str">
        <f>_xll.BDS("FNFG US Equity","SUPPLY_CHAIN_SUPPLIERS","RELATIONSHIP_AS_OF_DATE","20040402")</f>
        <v>#N/A N/A</v>
      </c>
      <c r="EZ5" t="str">
        <f>_xll.BDS("FNFG US Equity","SUPPLY_CHAIN_CUSTOMERS","RELATIONSHIP_AS_OF_DATE","20040402")</f>
        <v>#N/A N/A</v>
      </c>
      <c r="FE5" t="str">
        <f>_xll.BDS("PSA US Equity","SUPPLY_CHAIN_SUPPLIERS","RELATIONSHIP_AS_OF_DATE","19981112","cols=1;rows=4")</f>
        <v>1347L US Equity</v>
      </c>
      <c r="FJ5" t="str">
        <f>_xll.BDS("PSA US Equity","SUPPLY_CHAIN_CUSTOMERS","RELATIONSHIP_AS_OF_DATE","19981112")</f>
        <v>#N/A N/A</v>
      </c>
      <c r="FO5" t="str">
        <f>_xll.BDS("IPG US Equity","SUPPLY_CHAIN_SUPPLIERS","RELATIONSHIP_AS_OF_DATE","19991220","cols=1;rows=5")</f>
        <v>VNO US Equity</v>
      </c>
      <c r="FT5" t="str">
        <f>_xll.BDS("IPG US Equity","SUPPLY_CHAIN_CUSTOMERS","RELATIONSHIP_AS_OF_DATE","19991220","cols=1;rows=5")</f>
        <v>TVSL IN Equity</v>
      </c>
      <c r="FY5" t="str">
        <f>_xll.BDS("710946Q US Equity","SUPPLY_CHAIN_SUPPLIERS","RELATIONSHIP_AS_OF_DATE","20011218")</f>
        <v>#N/A N/A</v>
      </c>
      <c r="GD5" t="str">
        <f>_xll.BDS("710946Q US Equity","SUPPLY_CHAIN_CUSTOMERS","RELATIONSHIP_AS_OF_DATE","20011218")</f>
        <v>#N/A N/A</v>
      </c>
      <c r="GI5" t="str">
        <f>_xll.BDS("TFCFA US Equity","SUPPLY_CHAIN_SUPPLIERS","RELATIONSHIP_AS_OF_DATE","20050718")</f>
        <v>#N/A N/A</v>
      </c>
      <c r="GN5" t="str">
        <f>_xll.BDS("TFCFA US Equity","SUPPLY_CHAIN_CUSTOMERS","RELATIONSHIP_AS_OF_DATE","20050718")</f>
        <v>#N/A N/A</v>
      </c>
      <c r="GS5" t="str">
        <f>_xll.BDS("BRK/A US Equity","SUPPLY_CHAIN_SUPPLIERS","RELATIONSHIP_AS_OF_DATE","20010731","cols=1;rows=5")</f>
        <v>HSY US Equity</v>
      </c>
      <c r="GX5" t="str">
        <f>_xll.BDS("BRK/A US Equity","SUPPLY_CHAIN_CUSTOMERS","RELATIONSHIP_AS_OF_DATE","20010731","cols=1;rows=5")</f>
        <v>WMT US Equity</v>
      </c>
      <c r="HC5" t="str">
        <f>_xll.BDS("SGID US Equity","SUPPLY_CHAIN_SUPPLIERS","RELATIONSHIP_AS_OF_DATE","19960226")</f>
        <v>#N/A N/A</v>
      </c>
      <c r="HH5" t="str">
        <f>_xll.BDS("SGID US Equity","SUPPLY_CHAIN_CUSTOMERS","RELATIONSHIP_AS_OF_DATE","19960226")</f>
        <v>#N/A N/A</v>
      </c>
      <c r="HM5" t="str">
        <f>_xll.BDS("LNG US Equity","SUPPLY_CHAIN_SUPPLIERS","RELATIONSHIP_AS_OF_DATE","20180619","cols=1;rows=5")</f>
        <v>CCEC US Equity</v>
      </c>
      <c r="HR5" t="str">
        <f>_xll.BDS("LNG US Equity","SUPPLY_CHAIN_CUSTOMERS","RELATIONSHIP_AS_OF_DATE","20180619","cols=1;rows=5")</f>
        <v>002911 CH Equity</v>
      </c>
      <c r="HW5" t="str">
        <f>_xll.BDS("CRS US Equity","SUPPLY_CHAIN_SUPPLIERS","RELATIONSHIP_AS_OF_DATE","20110620","cols=1;rows=5")</f>
        <v>AMG NA Equity</v>
      </c>
      <c r="IB5" t="str">
        <f>_xll.BDS("CRS US Equity","SUPPLY_CHAIN_CUSTOMERS","RELATIONSHIP_AS_OF_DATE","20110620","cols=1;rows=5")</f>
        <v>HWM US Equity</v>
      </c>
      <c r="IG5" t="str">
        <f>_xll.BDS("AGR US Equity","SUPPLY_CHAIN_SUPPLIERS","RELATIONSHIP_AS_OF_DATE","19990630","cols=1;rows=5")</f>
        <v>3365854Z US Equity</v>
      </c>
      <c r="IL5" t="str">
        <f>_xll.BDS("AGR US Equity","SUPPLY_CHAIN_CUSTOMERS","RELATIONSHIP_AS_OF_DATE","19990630","cols=1;rows=5")</f>
        <v>1256Z NO Equity</v>
      </c>
      <c r="IQ5" t="str">
        <f>_xll.BDS("HBI US Equity","SUPPLY_CHAIN_SUPPLIERS","RELATIONSHIP_AS_OF_DATE","20130724","cols=1;rows=5")</f>
        <v>RL US Equity</v>
      </c>
      <c r="IV5" t="str">
        <f>_xll.BDS("HBI US Equity","SUPPLY_CHAIN_CUSTOMERS","RELATIONSHIP_AS_OF_DATE","20130724","cols=1;rows=5")</f>
        <v>WMT US Equity</v>
      </c>
      <c r="JA5" t="str">
        <f>_xll.BDS("NSIT US Equity","SUPPLY_CHAIN_SUPPLIERS","RELATIONSHIP_AS_OF_DATE","20190624","cols=1;rows=5")</f>
        <v>MSFT US Equity</v>
      </c>
      <c r="JF5" t="str">
        <f>_xll.BDS("NSIT US Equity","SUPPLY_CHAIN_CUSTOMERS","RELATIONSHIP_AS_OF_DATE","20190624","cols=1;rows=5")</f>
        <v>SNX US Equity</v>
      </c>
      <c r="JK5" t="str">
        <f>_xll.BDS("RDN US Equity","SUPPLY_CHAIN_SUPPLIERS","RELATIONSHIP_AS_OF_DATE","19981123")</f>
        <v>#N/A N/A</v>
      </c>
      <c r="JP5" t="str">
        <f>_xll.BDS("RDN US Equity","SUPPLY_CHAIN_CUSTOMERS","RELATIONSHIP_AS_OF_DATE","19981123")</f>
        <v>ICE US Equity</v>
      </c>
      <c r="JU5" t="str">
        <f>_xll.BDS("MTSI US Equity","SUPPLY_CHAIN_SUPPLIERS","RELATIONSHIP_AS_OF_DATE","20161121","cols=1;rows=5")</f>
        <v>3711 TT Equity</v>
      </c>
      <c r="JZ5" t="str">
        <f>_xll.BDS("MTSI US Equity","SUPPLY_CHAIN_CUSTOMERS","RELATIONSHIP_AS_OF_DATE","20161121","cols=1;rows=5")</f>
        <v>941 HK Equity</v>
      </c>
      <c r="KE5" t="str">
        <f>_xll.BDS("769050Q US Equity","SUPPLY_CHAIN_SUPPLIERS","RELATIONSHIP_AS_OF_DATE","19980309")</f>
        <v>#N/A N/A</v>
      </c>
      <c r="KJ5" t="str">
        <f>_xll.BDS("769050Q US Equity","SUPPLY_CHAIN_CUSTOMERS","RELATIONSHIP_AS_OF_DATE","19980309")</f>
        <v>#N/A N/A</v>
      </c>
      <c r="KO5" t="str">
        <f>_xll.BDS("CNSL US Equity","SUPPLY_CHAIN_SUPPLIERS","RELATIONSHIP_AS_OF_DATE","20120206","cols=1;rows=5")</f>
        <v>DY US Equity</v>
      </c>
      <c r="KT5" t="str">
        <f>_xll.BDS("CNSL US Equity","SUPPLY_CHAIN_CUSTOMERS","RELATIONSHIP_AS_OF_DATE","20120206","cols=1;rows=2")</f>
        <v>SCSC US Equity</v>
      </c>
      <c r="KY5" t="str">
        <f>_xll.BDS("nan Equity","SUPPLY_CHAIN_SUPPLIERS","RELATIONSHIP_AS_OF_DATE","20000719")</f>
        <v>#N/A N/A</v>
      </c>
      <c r="LD5" t="str">
        <f>_xll.BDS("nan Equity","SUPPLY_CHAIN_CUSTOMERS","RELATIONSHIP_AS_OF_DATE","20000719")</f>
        <v>#N/A N/A</v>
      </c>
      <c r="LI5" t="str">
        <f>_xll.BDS("MS US Equity","SUPPLY_CHAIN_SUPPLIERS","RELATIONSHIP_AS_OF_DATE","20040406","cols=1;rows=5")</f>
        <v>DLR US Equity</v>
      </c>
      <c r="LN5" t="str">
        <f>_xll.BDS("MS US Equity","SUPPLY_CHAIN_CUSTOMERS","RELATIONSHIP_AS_OF_DATE","20040406","cols=1;rows=5")</f>
        <v>012690 KS Equity</v>
      </c>
      <c r="LS5" t="str">
        <f>_xll.BDS("KEY US Equity","SUPPLY_CHAIN_SUPPLIERS","RELATIONSHIP_AS_OF_DATE","19980615","cols=1;rows=5")</f>
        <v>BILL US Equity</v>
      </c>
      <c r="LX5" t="str">
        <f>_xll.BDS("KEY US Equity","SUPPLY_CHAIN_CUSTOMERS","RELATIONSHIP_AS_OF_DATE","19980615")</f>
        <v>#N/A N/A</v>
      </c>
      <c r="MC5" t="str">
        <f>_xll.BDS("EHC US Equity","SUPPLY_CHAIN_SUPPLIERS","RELATIONSHIP_AS_OF_DATE","19980506","cols=1;rows=4")</f>
        <v>ORCL US Equity</v>
      </c>
      <c r="MH5" t="str">
        <f>_xll.BDS("EHC US Equity","SUPPLY_CHAIN_CUSTOMERS","RELATIONSHIP_AS_OF_DATE","19980506")</f>
        <v>9877893Z US Equity</v>
      </c>
      <c r="MM5" t="str">
        <f>_xll.BDS("GENZ US Equity","SUPPLY_CHAIN_SUPPLIERS","RELATIONSHIP_AS_OF_DATE","20050504")</f>
        <v>#N/A N/A</v>
      </c>
      <c r="MR5" t="str">
        <f>_xll.BDS("GENZ US Equity","SUPPLY_CHAIN_CUSTOMERS","RELATIONSHIP_AS_OF_DATE","20050504")</f>
        <v>#N/A N/A</v>
      </c>
      <c r="MW5" t="str">
        <f>_xll.BDS("RAZF US Equity","SUPPLY_CHAIN_SUPPLIERS","RELATIONSHIP_AS_OF_DATE","19990810")</f>
        <v>#N/A N/A</v>
      </c>
      <c r="NB5" t="str">
        <f>_xll.BDS("RAZF US Equity","SUPPLY_CHAIN_CUSTOMERS","RELATIONSHIP_AS_OF_DATE","19990810")</f>
        <v>#N/A N/A</v>
      </c>
      <c r="NG5" t="str">
        <f>_xll.BDS("BGRP US Equity","SUPPLY_CHAIN_SUPPLIERS","RELATIONSHIP_AS_OF_DATE","20140929")</f>
        <v>PRGS US Equity</v>
      </c>
      <c r="NL5" t="str">
        <f>_xll.BDS("BGRP US Equity","SUPPLY_CHAIN_CUSTOMERS","RELATIONSHIP_AS_OF_DATE","20140929")</f>
        <v>#N/A N/A</v>
      </c>
      <c r="NQ5" t="str">
        <f>_xll.BDS("MAN US Equity","SUPPLY_CHAIN_SUPPLIERS","RELATIONSHIP_AS_OF_DATE","20031210","cols=1;rows=5")</f>
        <v>ORCL US Equity</v>
      </c>
      <c r="NV5" t="str">
        <f>_xll.BDS("MAN US Equity","SUPPLY_CHAIN_CUSTOMERS","RELATIONSHIP_AS_OF_DATE","20031210","cols=1;rows=5")</f>
        <v>0976704D US Equity</v>
      </c>
      <c r="OA5" t="str">
        <f>_xll.BDS("CBST US Equity","SUPPLY_CHAIN_SUPPLIERS","RELATIONSHIP_AS_OF_DATE","20130730")</f>
        <v>#N/A N/A</v>
      </c>
      <c r="OF5" t="str">
        <f>_xll.BDS("CBST US Equity","SUPPLY_CHAIN_CUSTOMERS","RELATIONSHIP_AS_OF_DATE","20130730")</f>
        <v>#N/A N/A</v>
      </c>
    </row>
    <row r="6" spans="1:396" x14ac:dyDescent="0.25">
      <c r="A6" t="s">
        <v>10986</v>
      </c>
      <c r="F6" t="s">
        <v>11473</v>
      </c>
      <c r="P6" t="s">
        <v>12822</v>
      </c>
      <c r="Z6" t="s">
        <v>12120</v>
      </c>
      <c r="AY6" t="s">
        <v>11867</v>
      </c>
      <c r="BD6" t="s">
        <v>11090</v>
      </c>
      <c r="BI6" t="s">
        <v>10735</v>
      </c>
      <c r="BN6" t="s">
        <v>2881</v>
      </c>
      <c r="BX6" t="s">
        <v>10892</v>
      </c>
      <c r="CC6" t="s">
        <v>11573</v>
      </c>
      <c r="CH6" t="s">
        <v>11546</v>
      </c>
      <c r="CM6" t="s">
        <v>11709</v>
      </c>
      <c r="CR6" t="s">
        <v>11440</v>
      </c>
      <c r="DG6" t="s">
        <v>10748</v>
      </c>
      <c r="DL6" t="s">
        <v>582</v>
      </c>
      <c r="DQ6" t="s">
        <v>12609</v>
      </c>
      <c r="DV6" t="s">
        <v>11634</v>
      </c>
      <c r="EF6" t="s">
        <v>12721</v>
      </c>
      <c r="FE6" t="s">
        <v>13061</v>
      </c>
      <c r="FO6" t="s">
        <v>11364</v>
      </c>
      <c r="FT6" t="s">
        <v>12632</v>
      </c>
      <c r="GS6" t="s">
        <v>2792</v>
      </c>
      <c r="GX6" t="s">
        <v>10677</v>
      </c>
      <c r="HM6" t="s">
        <v>10855</v>
      </c>
      <c r="HR6" t="s">
        <v>12236</v>
      </c>
      <c r="HW6" t="s">
        <v>11858</v>
      </c>
      <c r="IB6" t="s">
        <v>42</v>
      </c>
      <c r="IG6" t="s">
        <v>12609</v>
      </c>
      <c r="IL6" t="s">
        <v>11634</v>
      </c>
      <c r="IQ6" t="s">
        <v>12097</v>
      </c>
      <c r="IV6" t="s">
        <v>469</v>
      </c>
      <c r="JA6" t="s">
        <v>2881</v>
      </c>
      <c r="JF6" t="s">
        <v>12284</v>
      </c>
      <c r="JU6" t="s">
        <v>11042</v>
      </c>
      <c r="JZ6" t="s">
        <v>6473</v>
      </c>
      <c r="KO6" t="s">
        <v>3955</v>
      </c>
      <c r="KT6" t="s">
        <v>11113</v>
      </c>
      <c r="LI6" t="s">
        <v>11840</v>
      </c>
      <c r="LN6" t="s">
        <v>12493</v>
      </c>
      <c r="LS6" t="s">
        <v>10772</v>
      </c>
      <c r="MC6" t="s">
        <v>12952</v>
      </c>
      <c r="NQ6" t="s">
        <v>12303</v>
      </c>
      <c r="NV6" t="s">
        <v>12243</v>
      </c>
    </row>
    <row r="7" spans="1:396" x14ac:dyDescent="0.25">
      <c r="A7" t="s">
        <v>988</v>
      </c>
      <c r="F7" t="s">
        <v>10787</v>
      </c>
      <c r="P7" t="s">
        <v>12823</v>
      </c>
      <c r="Z7" t="s">
        <v>383</v>
      </c>
      <c r="AY7" t="s">
        <v>2406</v>
      </c>
      <c r="BD7" t="s">
        <v>881</v>
      </c>
      <c r="BI7" t="s">
        <v>273</v>
      </c>
      <c r="BN7" t="s">
        <v>10661</v>
      </c>
      <c r="BX7" t="s">
        <v>11125</v>
      </c>
      <c r="CC7" t="s">
        <v>11574</v>
      </c>
      <c r="CM7" t="s">
        <v>6477</v>
      </c>
      <c r="CR7" t="s">
        <v>11364</v>
      </c>
      <c r="DG7" t="s">
        <v>10855</v>
      </c>
      <c r="DL7" t="s">
        <v>675</v>
      </c>
      <c r="DQ7" t="s">
        <v>12610</v>
      </c>
      <c r="DV7" t="s">
        <v>11635</v>
      </c>
      <c r="EF7" t="s">
        <v>12722</v>
      </c>
      <c r="FE7" t="s">
        <v>13062</v>
      </c>
      <c r="FO7" t="s">
        <v>11287</v>
      </c>
      <c r="FT7" t="s">
        <v>12633</v>
      </c>
      <c r="GS7" t="s">
        <v>10737</v>
      </c>
      <c r="GX7" t="s">
        <v>4642</v>
      </c>
      <c r="HM7" t="s">
        <v>12770</v>
      </c>
      <c r="HR7" t="s">
        <v>12237</v>
      </c>
      <c r="HW7" t="s">
        <v>12205</v>
      </c>
      <c r="IB7" t="s">
        <v>158</v>
      </c>
      <c r="IG7" t="s">
        <v>12610</v>
      </c>
      <c r="IL7" t="s">
        <v>11635</v>
      </c>
      <c r="IQ7" t="s">
        <v>10838</v>
      </c>
      <c r="IV7" t="s">
        <v>10775</v>
      </c>
      <c r="JA7" t="s">
        <v>2705</v>
      </c>
      <c r="JF7" t="s">
        <v>12285</v>
      </c>
      <c r="JU7" t="s">
        <v>10726</v>
      </c>
      <c r="JZ7" t="s">
        <v>42</v>
      </c>
      <c r="KO7" t="s">
        <v>3712</v>
      </c>
      <c r="LI7" t="s">
        <v>12364</v>
      </c>
      <c r="LN7" t="s">
        <v>12494</v>
      </c>
      <c r="LS7" t="s">
        <v>11232</v>
      </c>
      <c r="MC7" t="s">
        <v>12953</v>
      </c>
      <c r="NQ7" t="s">
        <v>12692</v>
      </c>
      <c r="NV7" t="s">
        <v>10939</v>
      </c>
    </row>
    <row r="8" spans="1:396" x14ac:dyDescent="0.25">
      <c r="A8" t="s">
        <v>1548</v>
      </c>
      <c r="F8" t="s">
        <v>3340</v>
      </c>
      <c r="P8" t="s">
        <v>11381</v>
      </c>
      <c r="AY8" t="s">
        <v>10957</v>
      </c>
      <c r="BD8" t="s">
        <v>383</v>
      </c>
      <c r="BI8" t="s">
        <v>6320</v>
      </c>
      <c r="BN8" t="s">
        <v>10662</v>
      </c>
      <c r="BX8" t="s">
        <v>11126</v>
      </c>
      <c r="CC8" t="s">
        <v>969</v>
      </c>
      <c r="CM8" t="s">
        <v>469</v>
      </c>
      <c r="CR8" t="s">
        <v>11441</v>
      </c>
      <c r="DG8" t="s">
        <v>12355</v>
      </c>
      <c r="DL8" t="s">
        <v>2781</v>
      </c>
      <c r="DQ8" t="s">
        <v>12611</v>
      </c>
      <c r="DV8" t="s">
        <v>10657</v>
      </c>
      <c r="EF8" t="s">
        <v>12723</v>
      </c>
      <c r="FE8" t="s">
        <v>12880</v>
      </c>
      <c r="FO8" t="s">
        <v>1654</v>
      </c>
      <c r="FT8" t="s">
        <v>10651</v>
      </c>
      <c r="GS8" t="s">
        <v>4475</v>
      </c>
      <c r="GX8" t="s">
        <v>1363</v>
      </c>
      <c r="HM8" t="s">
        <v>12737</v>
      </c>
      <c r="HR8" t="s">
        <v>11076</v>
      </c>
      <c r="HW8" t="s">
        <v>158</v>
      </c>
      <c r="IB8" t="s">
        <v>1164</v>
      </c>
      <c r="IG8" t="s">
        <v>12611</v>
      </c>
      <c r="IL8" t="s">
        <v>10657</v>
      </c>
      <c r="IQ8" t="s">
        <v>12098</v>
      </c>
      <c r="IV8" t="s">
        <v>10773</v>
      </c>
      <c r="JA8" t="s">
        <v>969</v>
      </c>
      <c r="JF8" t="s">
        <v>12286</v>
      </c>
      <c r="JU8" t="s">
        <v>12289</v>
      </c>
      <c r="JZ8" t="s">
        <v>10893</v>
      </c>
      <c r="KO8" t="s">
        <v>11139</v>
      </c>
      <c r="LI8" t="s">
        <v>12303</v>
      </c>
      <c r="LN8" t="s">
        <v>3610</v>
      </c>
      <c r="LS8" t="s">
        <v>11233</v>
      </c>
      <c r="MC8" t="s">
        <v>11371</v>
      </c>
      <c r="NQ8" t="s">
        <v>12693</v>
      </c>
      <c r="NV8" t="s">
        <v>12244</v>
      </c>
    </row>
    <row r="9" spans="1:396" x14ac:dyDescent="0.25">
      <c r="A9" t="s">
        <v>10877</v>
      </c>
      <c r="F9" t="s">
        <v>11174</v>
      </c>
      <c r="P9" t="s">
        <v>1556</v>
      </c>
      <c r="AY9" t="s">
        <v>10716</v>
      </c>
      <c r="BD9" t="s">
        <v>12143</v>
      </c>
      <c r="BI9" t="s">
        <v>1654</v>
      </c>
      <c r="BN9" t="s">
        <v>10663</v>
      </c>
      <c r="BX9" t="s">
        <v>11127</v>
      </c>
      <c r="CC9" t="s">
        <v>11575</v>
      </c>
      <c r="CM9" t="s">
        <v>11710</v>
      </c>
      <c r="CR9" t="s">
        <v>11442</v>
      </c>
      <c r="DG9" t="s">
        <v>12356</v>
      </c>
      <c r="DL9" t="s">
        <v>679</v>
      </c>
      <c r="DQ9" t="s">
        <v>11991</v>
      </c>
      <c r="DV9" t="s">
        <v>11636</v>
      </c>
      <c r="EF9" t="s">
        <v>12724</v>
      </c>
      <c r="FO9" t="s">
        <v>11365</v>
      </c>
      <c r="FT9" t="s">
        <v>259</v>
      </c>
      <c r="GS9" t="s">
        <v>10738</v>
      </c>
      <c r="GX9" t="s">
        <v>42</v>
      </c>
      <c r="HM9" t="s">
        <v>12771</v>
      </c>
      <c r="HR9" t="s">
        <v>10686</v>
      </c>
      <c r="HW9" t="s">
        <v>693</v>
      </c>
      <c r="IB9" t="s">
        <v>1363</v>
      </c>
      <c r="IG9" t="s">
        <v>11991</v>
      </c>
      <c r="IL9" t="s">
        <v>11636</v>
      </c>
      <c r="IQ9" t="s">
        <v>10880</v>
      </c>
      <c r="IV9" t="s">
        <v>364</v>
      </c>
      <c r="JA9" t="s">
        <v>10732</v>
      </c>
      <c r="JF9" t="s">
        <v>12287</v>
      </c>
      <c r="JU9" t="s">
        <v>12529</v>
      </c>
      <c r="JZ9" t="s">
        <v>12129</v>
      </c>
      <c r="KO9" t="s">
        <v>11140</v>
      </c>
      <c r="LI9" t="s">
        <v>11910</v>
      </c>
      <c r="LN9" t="s">
        <v>6473</v>
      </c>
      <c r="LS9" t="s">
        <v>11234</v>
      </c>
      <c r="NQ9" t="s">
        <v>12694</v>
      </c>
      <c r="NV9" t="s">
        <v>165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4254</v>
      </c>
      <c r="K1" s="1" t="s">
        <v>4255</v>
      </c>
      <c r="U1" s="1" t="s">
        <v>4256</v>
      </c>
      <c r="AE1" s="1" t="s">
        <v>4257</v>
      </c>
      <c r="AO1" s="1" t="s">
        <v>4258</v>
      </c>
      <c r="AY1" s="1" t="s">
        <v>4259</v>
      </c>
      <c r="BI1" s="1" t="s">
        <v>4260</v>
      </c>
      <c r="BS1" s="1" t="s">
        <v>4261</v>
      </c>
      <c r="CC1" s="1" t="s">
        <v>4262</v>
      </c>
      <c r="CM1" s="1" t="s">
        <v>4263</v>
      </c>
      <c r="CW1" s="1" t="s">
        <v>4264</v>
      </c>
      <c r="DG1" s="1" t="s">
        <v>4265</v>
      </c>
      <c r="DQ1" s="1" t="s">
        <v>4266</v>
      </c>
      <c r="EA1" s="1" t="s">
        <v>4267</v>
      </c>
      <c r="EK1" s="1" t="s">
        <v>4268</v>
      </c>
      <c r="EU1" s="1" t="s">
        <v>4269</v>
      </c>
      <c r="FE1" s="1" t="s">
        <v>4270</v>
      </c>
      <c r="FO1" s="1" t="s">
        <v>4271</v>
      </c>
      <c r="FY1" s="1" t="s">
        <v>4272</v>
      </c>
      <c r="GI1" s="1" t="s">
        <v>4273</v>
      </c>
      <c r="GS1" s="1" t="s">
        <v>4274</v>
      </c>
      <c r="HC1" s="1" t="s">
        <v>4275</v>
      </c>
      <c r="HM1" s="1" t="s">
        <v>4276</v>
      </c>
      <c r="HW1" s="1" t="s">
        <v>4277</v>
      </c>
      <c r="IG1" s="1" t="s">
        <v>4278</v>
      </c>
      <c r="IQ1" s="1" t="s">
        <v>4279</v>
      </c>
      <c r="JA1" s="1" t="s">
        <v>4280</v>
      </c>
      <c r="JK1" s="1" t="s">
        <v>4281</v>
      </c>
      <c r="JU1" s="1" t="s">
        <v>4282</v>
      </c>
      <c r="KE1" s="1" t="s">
        <v>4283</v>
      </c>
      <c r="KO1" s="1" t="s">
        <v>4284</v>
      </c>
      <c r="KY1" s="1" t="s">
        <v>4285</v>
      </c>
      <c r="LI1" s="1" t="s">
        <v>4286</v>
      </c>
      <c r="LS1" s="1" t="s">
        <v>4287</v>
      </c>
      <c r="MC1" s="1" t="s">
        <v>4288</v>
      </c>
      <c r="MM1" s="1" t="s">
        <v>4289</v>
      </c>
      <c r="MW1" s="1" t="s">
        <v>4290</v>
      </c>
      <c r="NG1" s="1" t="s">
        <v>4291</v>
      </c>
      <c r="NQ1" s="1" t="s">
        <v>4292</v>
      </c>
      <c r="OA1" s="1" t="s">
        <v>4293</v>
      </c>
    </row>
    <row r="2" spans="1:396" x14ac:dyDescent="0.25">
      <c r="A2" s="2" t="s">
        <v>1068</v>
      </c>
      <c r="K2" s="2" t="s">
        <v>4294</v>
      </c>
      <c r="U2" s="2" t="s">
        <v>4220</v>
      </c>
      <c r="AE2" s="2" t="s">
        <v>4295</v>
      </c>
      <c r="AO2" s="2" t="s">
        <v>388</v>
      </c>
      <c r="AY2" s="2" t="s">
        <v>3698</v>
      </c>
      <c r="BI2" s="2" t="s">
        <v>4296</v>
      </c>
      <c r="BS2" s="2" t="s">
        <v>4297</v>
      </c>
      <c r="CC2" s="2" t="s">
        <v>973</v>
      </c>
      <c r="CM2" s="2" t="s">
        <v>3519</v>
      </c>
      <c r="CW2" s="2" t="s">
        <v>1375</v>
      </c>
      <c r="DG2" s="2" t="s">
        <v>987</v>
      </c>
      <c r="DQ2" s="2" t="s">
        <v>1163</v>
      </c>
      <c r="EA2" s="2" t="s">
        <v>368</v>
      </c>
      <c r="EK2" s="2" t="s">
        <v>4298</v>
      </c>
      <c r="EU2" s="2" t="s">
        <v>4299</v>
      </c>
      <c r="FE2" s="2" t="s">
        <v>4300</v>
      </c>
      <c r="FO2" s="2" t="s">
        <v>158</v>
      </c>
      <c r="FY2" s="2" t="s">
        <v>4301</v>
      </c>
      <c r="GI2" s="2" t="s">
        <v>4302</v>
      </c>
      <c r="GS2" s="2" t="s">
        <v>4303</v>
      </c>
      <c r="HC2" s="2" t="s">
        <v>4304</v>
      </c>
      <c r="HM2" s="2" t="s">
        <v>2412</v>
      </c>
      <c r="HW2" s="2" t="s">
        <v>1074</v>
      </c>
      <c r="IG2" s="2" t="s">
        <v>3874</v>
      </c>
      <c r="IQ2" s="2" t="s">
        <v>4305</v>
      </c>
      <c r="JA2" s="2" t="s">
        <v>4306</v>
      </c>
      <c r="JK2" s="2" t="s">
        <v>4307</v>
      </c>
      <c r="JU2" s="2" t="s">
        <v>976</v>
      </c>
      <c r="KE2" s="2" t="s">
        <v>55</v>
      </c>
      <c r="KO2" s="2" t="s">
        <v>4308</v>
      </c>
      <c r="KY2" s="2" t="s">
        <v>4309</v>
      </c>
      <c r="LI2" s="2" t="s">
        <v>2409</v>
      </c>
      <c r="LS2" s="2" t="s">
        <v>4310</v>
      </c>
      <c r="MC2" s="2" t="s">
        <v>2404</v>
      </c>
      <c r="MM2" s="2" t="s">
        <v>4311</v>
      </c>
      <c r="MW2" s="2" t="s">
        <v>55</v>
      </c>
      <c r="NG2" s="2" t="s">
        <v>4303</v>
      </c>
      <c r="NQ2" s="2" t="s">
        <v>4312</v>
      </c>
      <c r="OA2" s="2" t="s">
        <v>4313</v>
      </c>
    </row>
    <row r="3" spans="1:396" x14ac:dyDescent="0.25">
      <c r="A3" t="s">
        <v>4314</v>
      </c>
      <c r="K3" t="s">
        <v>4315</v>
      </c>
      <c r="U3" t="s">
        <v>4316</v>
      </c>
      <c r="AE3" t="s">
        <v>4317</v>
      </c>
      <c r="AO3" t="s">
        <v>4318</v>
      </c>
      <c r="AY3" t="s">
        <v>4319</v>
      </c>
      <c r="BI3" t="s">
        <v>4320</v>
      </c>
      <c r="BS3" t="s">
        <v>2711</v>
      </c>
      <c r="CC3" t="s">
        <v>3077</v>
      </c>
      <c r="CM3" t="s">
        <v>4321</v>
      </c>
      <c r="CW3" t="s">
        <v>1487</v>
      </c>
      <c r="DG3" t="s">
        <v>4322</v>
      </c>
      <c r="DQ3" t="s">
        <v>4322</v>
      </c>
      <c r="EA3" t="s">
        <v>4323</v>
      </c>
      <c r="EK3" t="s">
        <v>1782</v>
      </c>
      <c r="EU3" t="s">
        <v>4324</v>
      </c>
      <c r="FE3" t="s">
        <v>4325</v>
      </c>
      <c r="FO3" t="s">
        <v>4326</v>
      </c>
      <c r="FY3" t="s">
        <v>4327</v>
      </c>
      <c r="GI3" t="s">
        <v>4328</v>
      </c>
      <c r="GS3" t="s">
        <v>4329</v>
      </c>
      <c r="HC3" t="s">
        <v>1773</v>
      </c>
      <c r="HM3" t="s">
        <v>4245</v>
      </c>
      <c r="HW3" t="s">
        <v>4330</v>
      </c>
      <c r="IG3" t="s">
        <v>1950</v>
      </c>
      <c r="IQ3" t="s">
        <v>2905</v>
      </c>
      <c r="JA3" t="s">
        <v>4331</v>
      </c>
      <c r="JK3" t="s">
        <v>496</v>
      </c>
      <c r="JU3" t="s">
        <v>4332</v>
      </c>
      <c r="KE3" t="s">
        <v>3548</v>
      </c>
      <c r="KO3" t="s">
        <v>4333</v>
      </c>
      <c r="KY3" t="s">
        <v>4253</v>
      </c>
      <c r="LI3" t="s">
        <v>4334</v>
      </c>
      <c r="LS3" t="s">
        <v>2820</v>
      </c>
      <c r="MC3" t="s">
        <v>304</v>
      </c>
      <c r="MM3" t="s">
        <v>4335</v>
      </c>
      <c r="MW3" t="s">
        <v>4336</v>
      </c>
      <c r="NG3" t="s">
        <v>4337</v>
      </c>
      <c r="NQ3" t="s">
        <v>393</v>
      </c>
      <c r="OA3" t="s">
        <v>4338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_xll.BDS("HBAN US Equity","SUPPLY_CHAIN_SUPPLIERS","RELATIONSHIP_AS_OF_DATE","20040127","cols=1;rows=4")</f>
        <v>004800 KS Equity</v>
      </c>
      <c r="F5" t="str">
        <f>_xll.BDS("HBAN US Equity","SUPPLY_CHAIN_CUSTOMERS","RELATIONSHIP_AS_OF_DATE","20040127")</f>
        <v>#N/A N/A</v>
      </c>
      <c r="K5" t="str">
        <f>_xll.BDS("ROCC US Equity","SUPPLY_CHAIN_SUPPLIERS","RELATIONSHIP_AS_OF_DATE","20210712","cols=1;rows=2")</f>
        <v>SRE US Equity</v>
      </c>
      <c r="P5" t="str">
        <f>_xll.BDS("ROCC US Equity","SUPPLY_CHAIN_CUSTOMERS","RELATIONSHIP_AS_OF_DATE","20210712")</f>
        <v>#N/A N/A</v>
      </c>
      <c r="U5" t="str">
        <f>_xll.BDS("RDN US Equity","SUPPLY_CHAIN_SUPPLIERS","RELATIONSHIP_AS_OF_DATE","20001114")</f>
        <v>#N/A N/A</v>
      </c>
      <c r="Z5" t="str">
        <f>_xll.BDS("RDN US Equity","SUPPLY_CHAIN_CUSTOMERS","RELATIONSHIP_AS_OF_DATE","20001114")</f>
        <v>ICE US Equity</v>
      </c>
      <c r="AE5" t="str">
        <f>_xll.BDS("3539245Q US Equity","SUPPLY_CHAIN_SUPPLIERS","RELATIONSHIP_AS_OF_DATE","20041122")</f>
        <v>#N/A N/A</v>
      </c>
      <c r="AJ5" t="str">
        <f>_xll.BDS("3539245Q US Equity","SUPPLY_CHAIN_CUSTOMERS","RELATIONSHIP_AS_OF_DATE","20041122")</f>
        <v>#N/A N/A</v>
      </c>
      <c r="AO5" t="str">
        <f>_xll.BDS("NOC US Equity","SUPPLY_CHAIN_SUPPLIERS","RELATIONSHIP_AS_OF_DATE","20061108","cols=1;rows=5")</f>
        <v>RTX US Equity</v>
      </c>
      <c r="AT5" t="str">
        <f>_xll.BDS("NOC US Equity","SUPPLY_CHAIN_CUSTOMERS","RELATIONSHIP_AS_OF_DATE","20061108","cols=1;rows=5")</f>
        <v>3352Z US Equity</v>
      </c>
      <c r="AY5" t="str">
        <f>_xll.BDS("RVTY US Equity","SUPPLY_CHAIN_SUPPLIERS","RELATIONSHIP_AS_OF_DATE","20110908","cols=1;rows=5")</f>
        <v>UPS US Equity</v>
      </c>
      <c r="BD5" t="str">
        <f>_xll.BDS("RVTY US Equity","SUPPLY_CHAIN_CUSTOMERS","RELATIONSHIP_AS_OF_DATE","20110908","cols=1;rows=5")</f>
        <v>002971 CH Equity</v>
      </c>
      <c r="BI5" t="str">
        <f>_xll.BDS("MATX US Equity","SUPPLY_CHAIN_SUPPLIERS","RELATIONSHIP_AS_OF_DATE","20141111","cols=1;rows=5")</f>
        <v>AVA US Equity</v>
      </c>
      <c r="BN5" t="str">
        <f>_xll.BDS("MATX US Equity","SUPPLY_CHAIN_CUSTOMERS","RELATIONSHIP_AS_OF_DATE","20141111","cols=1;rows=3")</f>
        <v>3352Z US Equity</v>
      </c>
      <c r="BS5" t="str">
        <f>_xll.BDS("PAET US Equity","SUPPLY_CHAIN_SUPPLIERS","RELATIONSHIP_AS_OF_DATE","20070917")</f>
        <v>#N/A N/A</v>
      </c>
      <c r="BX5" t="str">
        <f>_xll.BDS("PAET US Equity","SUPPLY_CHAIN_CUSTOMERS","RELATIONSHIP_AS_OF_DATE","20070917")</f>
        <v>AKU CN Equity</v>
      </c>
      <c r="CC5" t="str">
        <f>_xll.BDS("285939Q US Equity","SUPPLY_CHAIN_SUPPLIERS","RELATIONSHIP_AS_OF_DATE","19990615")</f>
        <v>#N/A N/A</v>
      </c>
      <c r="CH5" t="str">
        <f>_xll.BDS("285939Q US Equity","SUPPLY_CHAIN_CUSTOMERS","RELATIONSHIP_AS_OF_DATE","19990615")</f>
        <v>#N/A N/A</v>
      </c>
      <c r="CM5" t="str">
        <f>_xll.BDS("AVT US Equity","SUPPLY_CHAIN_SUPPLIERS","RELATIONSHIP_AS_OF_DATE","20100329","cols=1;rows=5")</f>
        <v>NXPI US Equity</v>
      </c>
      <c r="CR5" t="str">
        <f>_xll.BDS("AVT US Equity","SUPPLY_CHAIN_CUSTOMERS","RELATIONSHIP_AS_OF_DATE","20100329","cols=1;rows=5")</f>
        <v>005930 KS Equity</v>
      </c>
      <c r="CW5" t="str">
        <f>_xll.BDS("KEY US Equity","SUPPLY_CHAIN_SUPPLIERS","RELATIONSHIP_AS_OF_DATE","20070727","cols=1;rows=5")</f>
        <v>BILL US Equity</v>
      </c>
      <c r="DB5" t="str">
        <f>_xll.BDS("KEY US Equity","SUPPLY_CHAIN_CUSTOMERS","RELATIONSHIP_AS_OF_DATE","20070727")</f>
        <v>#N/A N/A</v>
      </c>
      <c r="DG5" t="str">
        <f>_xll.BDS("PNC US Equity","SUPPLY_CHAIN_SUPPLIERS","RELATIONSHIP_AS_OF_DATE","20070719","cols=1;rows=5")</f>
        <v>ORCL US Equity</v>
      </c>
      <c r="DL5" t="str">
        <f>_xll.BDS("PNC US Equity","SUPPLY_CHAIN_CUSTOMERS","RELATIONSHIP_AS_OF_DATE","20070719")</f>
        <v>4502 JP Equity</v>
      </c>
      <c r="DQ5" t="str">
        <f>_xll.BDS("MTB US Equity","SUPPLY_CHAIN_SUPPLIERS","RELATIONSHIP_AS_OF_DATE","20070719","cols=1;rows=5")</f>
        <v>ORCL US Equity</v>
      </c>
      <c r="DV5" t="str">
        <f>_xll.BDS("MTB US Equity","SUPPLY_CHAIN_CUSTOMERS","RELATIONSHIP_AS_OF_DATE","20070719","cols=1;rows=3")</f>
        <v>2610 TT Equity</v>
      </c>
      <c r="EA5" t="str">
        <f>_xll.BDS("JNJ US Equity","SUPPLY_CHAIN_SUPPLIERS","RELATIONSHIP_AS_OF_DATE","19980721","cols=1;rows=5")</f>
        <v>GMAB DC Equity</v>
      </c>
      <c r="EF5" t="str">
        <f>_xll.BDS("JNJ US Equity","SUPPLY_CHAIN_CUSTOMERS","RELATIONSHIP_AS_OF_DATE","19980721","cols=1;rows=5")</f>
        <v>MCK US Equity</v>
      </c>
      <c r="EK5" t="str">
        <f>_xll.BDS("CSGP US Equity","SUPPLY_CHAIN_SUPPLIERS","RELATIONSHIP_AS_OF_DATE","20110427","cols=1;rows=5")</f>
        <v>MUST SP Equity</v>
      </c>
      <c r="EP5" t="str">
        <f>_xll.BDS("CSGP US Equity","SUPPLY_CHAIN_CUSTOMERS","RELATIONSHIP_AS_OF_DATE","20110427","cols=1;rows=3")</f>
        <v>SNX US Equity</v>
      </c>
      <c r="EU5" t="str">
        <f>_xll.BDS("1552309D US Equity","SUPPLY_CHAIN_SUPPLIERS","RELATIONSHIP_AS_OF_DATE","20030313")</f>
        <v>#N/A N/A</v>
      </c>
      <c r="EZ5" t="str">
        <f>_xll.BDS("1552309D US Equity","SUPPLY_CHAIN_CUSTOMERS","RELATIONSHIP_AS_OF_DATE","20030313")</f>
        <v>#N/A N/A</v>
      </c>
      <c r="FE5" t="str">
        <f>_xll.BDS("BBDC US Equity","SUPPLY_CHAIN_SUPPLIERS","RELATIONSHIP_AS_OF_DATE","20210921")</f>
        <v>#N/A N/A</v>
      </c>
      <c r="FJ5" t="str">
        <f>_xll.BDS("BBDC US Equity","SUPPLY_CHAIN_CUSTOMERS","RELATIONSHIP_AS_OF_DATE","20210921")</f>
        <v>MODVQ US Equity</v>
      </c>
      <c r="FO5" t="str">
        <f>_xll.BDS("BRK/A US Equity","SUPPLY_CHAIN_SUPPLIERS","RELATIONSHIP_AS_OF_DATE","20100826","cols=1;rows=5")</f>
        <v>HSY US Equity</v>
      </c>
      <c r="FT5" t="str">
        <f>_xll.BDS("BRK/A US Equity","SUPPLY_CHAIN_CUSTOMERS","RELATIONSHIP_AS_OF_DATE","20100826","cols=1;rows=5")</f>
        <v>WMT US Equity</v>
      </c>
      <c r="FY5" t="str">
        <f>_xll.BDS("ANDW US Equity","SUPPLY_CHAIN_SUPPLIERS","RELATIONSHIP_AS_OF_DATE","20030218")</f>
        <v>#N/A N/A</v>
      </c>
      <c r="GD5" t="str">
        <f>_xll.BDS("ANDW US Equity","SUPPLY_CHAIN_CUSTOMERS","RELATIONSHIP_AS_OF_DATE","20030218")</f>
        <v>#N/A N/A</v>
      </c>
      <c r="GI5" t="str">
        <f>_xll.BDS("BRL US Equity","SUPPLY_CHAIN_SUPPLIERS","RELATIONSHIP_AS_OF_DATE","20010629")</f>
        <v>#N/A N/A</v>
      </c>
      <c r="GN5" t="str">
        <f>_xll.BDS("BRL US Equity","SUPPLY_CHAIN_CUSTOMERS","RELATIONSHIP_AS_OF_DATE","20010629")</f>
        <v>#N/A N/A</v>
      </c>
      <c r="GS5" t="str">
        <f>_xll.BDS("SFNC US Equity","SUPPLY_CHAIN_SUPPLIERS","RELATIONSHIP_AS_OF_DATE","20161214")</f>
        <v>#N/A N/A</v>
      </c>
      <c r="GX5" t="str">
        <f>_xll.BDS("SFNC US Equity","SUPPLY_CHAIN_CUSTOMERS","RELATIONSHIP_AS_OF_DATE","20161214")</f>
        <v>#N/A N/A</v>
      </c>
      <c r="HC5" t="str">
        <f>_xll.BDS("2987536Q US Equity","SUPPLY_CHAIN_SUPPLIERS","RELATIONSHIP_AS_OF_DATE","20000726")</f>
        <v>#N/A N/A</v>
      </c>
      <c r="HH5" t="str">
        <f>_xll.BDS("2987536Q US Equity","SUPPLY_CHAIN_CUSTOMERS","RELATIONSHIP_AS_OF_DATE","20000726")</f>
        <v>#N/A N/A</v>
      </c>
      <c r="HM5" t="str">
        <f>_xll.BDS("PBCT US Equity","SUPPLY_CHAIN_SUPPLIERS","RELATIONSHIP_AS_OF_DATE","20180619")</f>
        <v>#N/A N/A</v>
      </c>
      <c r="HR5" t="str">
        <f>_xll.BDS("PBCT US Equity","SUPPLY_CHAIN_CUSTOMERS","RELATIONSHIP_AS_OF_DATE","20180619")</f>
        <v>#N/A N/A</v>
      </c>
      <c r="HW5" t="str">
        <f>_xll.BDS("HOLX US Equity","SUPPLY_CHAIN_SUPPLIERS","RELATIONSHIP_AS_OF_DATE","20080609","cols=1;rows=5")</f>
        <v>FLEX US Equity</v>
      </c>
      <c r="IB5" t="str">
        <f>_xll.BDS("HOLX US Equity","SUPPLY_CHAIN_CUSTOMERS","RELATIONSHIP_AS_OF_DATE","20080609","cols=1;rows=5")</f>
        <v>0219250Z US Equity</v>
      </c>
      <c r="IG5" t="str">
        <f>_xll.BDS("2213185D US Equity","SUPPLY_CHAIN_SUPPLIERS","RELATIONSHIP_AS_OF_DATE","20070709")</f>
        <v>#N/A N/A</v>
      </c>
      <c r="IL5" t="str">
        <f>_xll.BDS("2213185D US Equity","SUPPLY_CHAIN_CUSTOMERS","RELATIONSHIP_AS_OF_DATE","20070709")</f>
        <v>#N/A N/A</v>
      </c>
      <c r="IQ5" t="str">
        <f>_xll.BDS("AKBA US Equity","SUPPLY_CHAIN_SUPPLIERS","RELATIONSHIP_AS_OF_DATE","20180628","cols=1;rows=5")</f>
        <v>1760 TT Equity</v>
      </c>
      <c r="IV5" t="str">
        <f>_xll.BDS("AKBA US Equity","SUPPLY_CHAIN_CUSTOMERS","RELATIONSHIP_AS_OF_DATE","20180628","cols=1;rows=5")</f>
        <v>FME GR Equity</v>
      </c>
      <c r="JA5" t="str">
        <f>_xll.BDS("WACGQ US Equity","SUPPLY_CHAIN_SUPPLIERS","RELATIONSHIP_AS_OF_DATE","19991011")</f>
        <v>#N/A N/A</v>
      </c>
      <c r="JF5" t="str">
        <f>_xll.BDS("WACGQ US Equity","SUPPLY_CHAIN_CUSTOMERS","RELATIONSHIP_AS_OF_DATE","19991011")</f>
        <v>#N/A N/A</v>
      </c>
      <c r="JK5" t="str">
        <f>_xll.BDS("FBIN US Equity","SUPPLY_CHAIN_SUPPLIERS","RELATIONSHIP_AS_OF_DATE","20150330","cols=1;rows=5")</f>
        <v>FNOVA17 MM Equity</v>
      </c>
      <c r="JP5" t="str">
        <f>_xll.BDS("FBIN US Equity","SUPPLY_CHAIN_CUSTOMERS","RELATIONSHIP_AS_OF_DATE","20150330","cols=1;rows=5")</f>
        <v>HD US Equity</v>
      </c>
      <c r="JU5" t="str">
        <f>_xll.BDS("MTCH US Equity","SUPPLY_CHAIN_SUPPLIERS","RELATIONSHIP_AS_OF_DATE","20030505","cols=1;rows=5")</f>
        <v>053300 KS Equity</v>
      </c>
      <c r="JZ5" t="str">
        <f>_xll.BDS("MTCH US Equity","SUPPLY_CHAIN_CUSTOMERS","RELATIONSHIP_AS_OF_DATE","20030505","cols=1;rows=3")</f>
        <v>AAPL US Equity</v>
      </c>
      <c r="KE5" t="str">
        <f>_xll.BDS("AGN US Equity","SUPPLY_CHAIN_SUPPLIERS","RELATIONSHIP_AS_OF_DATE","20160920","cols=1;rows=5")</f>
        <v>AEE US Equity</v>
      </c>
      <c r="KJ5" t="str">
        <f>_xll.BDS("AGN US Equity","SUPPLY_CHAIN_CUSTOMERS","RELATIONSHIP_AS_OF_DATE","20160920")</f>
        <v>4569 JP Equity</v>
      </c>
      <c r="KO5" t="str">
        <f>_xll.BDS("HUM US Equity","SUPPLY_CHAIN_SUPPLIERS","RELATIONSHIP_AS_OF_DATE","20121105","cols=1;rows=5")</f>
        <v>EVH US Equity</v>
      </c>
      <c r="KT5" t="str">
        <f>_xll.BDS("HUM US Equity","SUPPLY_CHAIN_CUSTOMERS","RELATIONSHIP_AS_OF_DATE","20121105","cols=1;rows=5")</f>
        <v>3352Z US Equity</v>
      </c>
      <c r="KY5" t="str">
        <f>_xll.BDS("764144Q US Equity","SUPPLY_CHAIN_SUPPLIERS","RELATIONSHIP_AS_OF_DATE","20031210")</f>
        <v>#N/A N/A</v>
      </c>
      <c r="LD5" t="str">
        <f>_xll.BDS("764144Q US Equity","SUPPLY_CHAIN_CUSTOMERS","RELATIONSHIP_AS_OF_DATE","20031210")</f>
        <v>#N/A N/A</v>
      </c>
      <c r="LI5" t="str">
        <f>_xll.BDS("ETRN US Equity","SUPPLY_CHAIN_SUPPLIERS","RELATIONSHIP_AS_OF_DATE","20181130","cols=1;rows=5")</f>
        <v>848936Z US Equity</v>
      </c>
      <c r="LN5" t="str">
        <f>_xll.BDS("ETRN US Equity","SUPPLY_CHAIN_CUSTOMERS","RELATIONSHIP_AS_OF_DATE","20181130")</f>
        <v>EQT US Equity</v>
      </c>
      <c r="LS5" t="str">
        <f>_xll.BDS("HYSL US Equity","SUPPLY_CHAIN_SUPPLIERS","RELATIONSHIP_AS_OF_DATE","19980526")</f>
        <v>#N/A N/A</v>
      </c>
      <c r="LX5" t="str">
        <f>_xll.BDS("HYSL US Equity","SUPPLY_CHAIN_CUSTOMERS","RELATIONSHIP_AS_OF_DATE","19980526")</f>
        <v>#N/A N/A</v>
      </c>
      <c r="MC5" t="str">
        <f>_xll.BDS("0167866D US Equity","SUPPLY_CHAIN_SUPPLIERS","RELATIONSHIP_AS_OF_DATE","20050404")</f>
        <v>#N/A N/A</v>
      </c>
      <c r="MH5" t="str">
        <f>_xll.BDS("0167866D US Equity","SUPPLY_CHAIN_CUSTOMERS","RELATIONSHIP_AS_OF_DATE","20050404")</f>
        <v>#N/A N/A</v>
      </c>
      <c r="MM5" t="str">
        <f>_xll.BDS("1938073D US Equity","SUPPLY_CHAIN_SUPPLIERS","RELATIONSHIP_AS_OF_DATE","20001030")</f>
        <v>#N/A N/A</v>
      </c>
      <c r="MR5" t="str">
        <f>_xll.BDS("1938073D US Equity","SUPPLY_CHAIN_CUSTOMERS","RELATIONSHIP_AS_OF_DATE","20001030")</f>
        <v>#N/A N/A</v>
      </c>
      <c r="MW5" t="str">
        <f>_xll.BDS("AGN US Equity","SUPPLY_CHAIN_SUPPLIERS","RELATIONSHIP_AS_OF_DATE","20160914","cols=1;rows=5")</f>
        <v>AEE US Equity</v>
      </c>
      <c r="NB5" t="str">
        <f>_xll.BDS("AGN US Equity","SUPPLY_CHAIN_CUSTOMERS","RELATIONSHIP_AS_OF_DATE","20160914")</f>
        <v>4569 JP Equity</v>
      </c>
      <c r="NG5" t="str">
        <f>_xll.BDS("SFNC US Equity","SUPPLY_CHAIN_SUPPLIERS","RELATIONSHIP_AS_OF_DATE","20211119")</f>
        <v>#N/A N/A</v>
      </c>
      <c r="NL5" t="str">
        <f>_xll.BDS("SFNC US Equity","SUPPLY_CHAIN_CUSTOMERS","RELATIONSHIP_AS_OF_DATE","20211119")</f>
        <v>#N/A N/A</v>
      </c>
      <c r="NQ5" t="str">
        <f>_xll.BDS("KYPH US Equity","SUPPLY_CHAIN_SUPPLIERS","RELATIONSHIP_AS_OF_DATE","20061204")</f>
        <v>#N/A N/A</v>
      </c>
      <c r="NV5" t="str">
        <f>_xll.BDS("KYPH US Equity","SUPPLY_CHAIN_CUSTOMERS","RELATIONSHIP_AS_OF_DATE","20061204")</f>
        <v>#N/A N/A</v>
      </c>
      <c r="OA5" t="str">
        <f>_xll.BDS("3691661Q US Equity","SUPPLY_CHAIN_SUPPLIERS","RELATIONSHIP_AS_OF_DATE","19990506")</f>
        <v>#N/A N/A</v>
      </c>
      <c r="OF5" t="str">
        <f>_xll.BDS("3691661Q US Equity","SUPPLY_CHAIN_CUSTOMERS","RELATIONSHIP_AS_OF_DATE","19990506")</f>
        <v>#N/A N/A</v>
      </c>
    </row>
    <row r="6" spans="1:396" x14ac:dyDescent="0.25">
      <c r="A6" t="s">
        <v>10713</v>
      </c>
      <c r="K6" t="s">
        <v>11205</v>
      </c>
      <c r="AO6" t="s">
        <v>12047</v>
      </c>
      <c r="AT6" t="s">
        <v>10785</v>
      </c>
      <c r="AY6" t="s">
        <v>11168</v>
      </c>
      <c r="BD6" t="s">
        <v>11581</v>
      </c>
      <c r="BI6" t="s">
        <v>10715</v>
      </c>
      <c r="BN6" t="s">
        <v>12234</v>
      </c>
      <c r="CM6" t="s">
        <v>10853</v>
      </c>
      <c r="CR6" t="s">
        <v>10893</v>
      </c>
      <c r="CW6" t="s">
        <v>10772</v>
      </c>
      <c r="DG6" t="s">
        <v>11188</v>
      </c>
      <c r="DQ6" t="s">
        <v>12259</v>
      </c>
      <c r="DV6" t="s">
        <v>11577</v>
      </c>
      <c r="EA6" t="s">
        <v>10735</v>
      </c>
      <c r="EF6" t="s">
        <v>1468</v>
      </c>
      <c r="EK6" t="s">
        <v>266</v>
      </c>
      <c r="EP6" t="s">
        <v>11767</v>
      </c>
      <c r="FO6" t="s">
        <v>2792</v>
      </c>
      <c r="FT6" t="s">
        <v>10677</v>
      </c>
      <c r="HW6" t="s">
        <v>12208</v>
      </c>
      <c r="IB6" t="s">
        <v>10797</v>
      </c>
      <c r="IQ6" t="s">
        <v>12086</v>
      </c>
      <c r="IV6" t="s">
        <v>1468</v>
      </c>
      <c r="JK6" t="s">
        <v>11449</v>
      </c>
      <c r="JP6" t="s">
        <v>3239</v>
      </c>
      <c r="JU6" t="s">
        <v>11503</v>
      </c>
      <c r="JZ6" t="s">
        <v>2705</v>
      </c>
      <c r="KE6" t="s">
        <v>10696</v>
      </c>
      <c r="KO6" t="s">
        <v>171</v>
      </c>
      <c r="KT6" t="s">
        <v>10797</v>
      </c>
      <c r="LI6" t="s">
        <v>158</v>
      </c>
      <c r="MW6" t="s">
        <v>10696</v>
      </c>
    </row>
    <row r="7" spans="1:396" x14ac:dyDescent="0.25">
      <c r="A7" t="s">
        <v>154</v>
      </c>
      <c r="AO7" t="s">
        <v>3439</v>
      </c>
      <c r="AT7" t="s">
        <v>469</v>
      </c>
      <c r="AY7" t="s">
        <v>10884</v>
      </c>
      <c r="BD7" t="s">
        <v>11430</v>
      </c>
      <c r="BI7" t="s">
        <v>11801</v>
      </c>
      <c r="BN7" t="s">
        <v>12235</v>
      </c>
      <c r="CM7" t="s">
        <v>162</v>
      </c>
      <c r="CR7" t="s">
        <v>10894</v>
      </c>
      <c r="CW7" t="s">
        <v>11232</v>
      </c>
      <c r="DG7" t="s">
        <v>10987</v>
      </c>
      <c r="DQ7" t="s">
        <v>10718</v>
      </c>
      <c r="DV7" t="s">
        <v>11578</v>
      </c>
      <c r="EA7" t="s">
        <v>45</v>
      </c>
      <c r="EF7" t="s">
        <v>970</v>
      </c>
      <c r="EK7" t="s">
        <v>11817</v>
      </c>
      <c r="EP7" t="s">
        <v>11768</v>
      </c>
      <c r="FO7" t="s">
        <v>10737</v>
      </c>
      <c r="FT7" t="s">
        <v>4642</v>
      </c>
      <c r="HW7" t="s">
        <v>10996</v>
      </c>
      <c r="IB7" t="s">
        <v>12151</v>
      </c>
      <c r="IQ7" t="s">
        <v>12087</v>
      </c>
      <c r="IV7" t="s">
        <v>385</v>
      </c>
      <c r="JK7" t="s">
        <v>10830</v>
      </c>
      <c r="JP7" t="s">
        <v>469</v>
      </c>
      <c r="JU7" t="s">
        <v>11504</v>
      </c>
      <c r="JZ7" t="s">
        <v>11037</v>
      </c>
      <c r="KE7" t="s">
        <v>1265</v>
      </c>
      <c r="KO7" t="s">
        <v>11029</v>
      </c>
      <c r="KT7" t="s">
        <v>10778</v>
      </c>
      <c r="LI7" t="s">
        <v>12240</v>
      </c>
      <c r="MW7" t="s">
        <v>1265</v>
      </c>
    </row>
    <row r="8" spans="1:396" x14ac:dyDescent="0.25">
      <c r="A8" t="s">
        <v>11543</v>
      </c>
      <c r="AO8" t="s">
        <v>12048</v>
      </c>
      <c r="AT8" t="s">
        <v>1363</v>
      </c>
      <c r="AY8" t="s">
        <v>10830</v>
      </c>
      <c r="BD8" t="s">
        <v>11582</v>
      </c>
      <c r="BI8" t="s">
        <v>10810</v>
      </c>
      <c r="CM8" t="s">
        <v>6477</v>
      </c>
      <c r="CR8" t="s">
        <v>10895</v>
      </c>
      <c r="CW8" t="s">
        <v>11233</v>
      </c>
      <c r="DG8" t="s">
        <v>12358</v>
      </c>
      <c r="DQ8" t="s">
        <v>11386</v>
      </c>
      <c r="EA8" t="s">
        <v>3437</v>
      </c>
      <c r="EF8" t="s">
        <v>51</v>
      </c>
      <c r="EK8" t="s">
        <v>11818</v>
      </c>
      <c r="FO8" t="s">
        <v>4475</v>
      </c>
      <c r="FT8" t="s">
        <v>1363</v>
      </c>
      <c r="HW8" t="s">
        <v>12152</v>
      </c>
      <c r="IB8" t="s">
        <v>10657</v>
      </c>
      <c r="IQ8" t="s">
        <v>12088</v>
      </c>
      <c r="IV8" t="s">
        <v>12261</v>
      </c>
      <c r="JK8" t="s">
        <v>12351</v>
      </c>
      <c r="JP8" t="s">
        <v>10805</v>
      </c>
      <c r="JU8" t="s">
        <v>5236</v>
      </c>
      <c r="KE8" t="s">
        <v>158</v>
      </c>
      <c r="KO8" t="s">
        <v>11742</v>
      </c>
      <c r="KT8" t="s">
        <v>11916</v>
      </c>
      <c r="LI8" t="s">
        <v>56</v>
      </c>
      <c r="MW8" t="s">
        <v>158</v>
      </c>
    </row>
    <row r="9" spans="1:396" x14ac:dyDescent="0.25">
      <c r="AO9" t="s">
        <v>10786</v>
      </c>
      <c r="AT9" t="s">
        <v>11193</v>
      </c>
      <c r="AY9" t="s">
        <v>11169</v>
      </c>
      <c r="BD9" t="s">
        <v>11583</v>
      </c>
      <c r="BI9" t="s">
        <v>12755</v>
      </c>
      <c r="CM9" t="s">
        <v>476</v>
      </c>
      <c r="CR9" t="s">
        <v>10896</v>
      </c>
      <c r="CW9" t="s">
        <v>11234</v>
      </c>
      <c r="DG9" t="s">
        <v>11522</v>
      </c>
      <c r="DQ9" t="s">
        <v>11964</v>
      </c>
      <c r="EA9" t="s">
        <v>11012</v>
      </c>
      <c r="EF9" t="s">
        <v>10944</v>
      </c>
      <c r="EK9" t="s">
        <v>11819</v>
      </c>
      <c r="FO9" t="s">
        <v>10738</v>
      </c>
      <c r="FT9" t="s">
        <v>42</v>
      </c>
      <c r="HW9" t="s">
        <v>10851</v>
      </c>
      <c r="IB9" t="s">
        <v>12152</v>
      </c>
      <c r="IQ9" t="s">
        <v>970</v>
      </c>
      <c r="IV9" t="s">
        <v>12536</v>
      </c>
      <c r="JK9" t="s">
        <v>12352</v>
      </c>
      <c r="JP9" t="s">
        <v>11416</v>
      </c>
      <c r="JU9" t="s">
        <v>11505</v>
      </c>
      <c r="KE9" t="s">
        <v>260</v>
      </c>
      <c r="KO9" t="s">
        <v>10834</v>
      </c>
      <c r="KT9" t="s">
        <v>10905</v>
      </c>
      <c r="LI9" t="s">
        <v>63</v>
      </c>
      <c r="MW9" t="s">
        <v>260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4339</v>
      </c>
      <c r="K1" s="1" t="s">
        <v>4340</v>
      </c>
      <c r="U1" s="1" t="s">
        <v>4341</v>
      </c>
      <c r="AE1" s="1" t="s">
        <v>4342</v>
      </c>
      <c r="AO1" s="1" t="s">
        <v>4343</v>
      </c>
      <c r="AY1" s="1" t="s">
        <v>4344</v>
      </c>
      <c r="BI1" s="1" t="s">
        <v>4345</v>
      </c>
      <c r="BS1" s="1" t="s">
        <v>4346</v>
      </c>
      <c r="CC1" s="1" t="s">
        <v>4347</v>
      </c>
      <c r="CM1" s="1" t="s">
        <v>4348</v>
      </c>
      <c r="CW1" s="1" t="s">
        <v>4349</v>
      </c>
      <c r="DG1" s="1" t="s">
        <v>4350</v>
      </c>
      <c r="DQ1" s="1" t="s">
        <v>4351</v>
      </c>
      <c r="EA1" s="1" t="s">
        <v>4352</v>
      </c>
      <c r="EK1" s="1" t="s">
        <v>4353</v>
      </c>
      <c r="EU1" s="1" t="s">
        <v>4354</v>
      </c>
      <c r="FE1" s="1" t="s">
        <v>4355</v>
      </c>
      <c r="FO1" s="1" t="s">
        <v>4356</v>
      </c>
      <c r="FY1" s="1" t="s">
        <v>4357</v>
      </c>
      <c r="GI1" s="1" t="s">
        <v>4358</v>
      </c>
      <c r="GS1" s="1" t="s">
        <v>4359</v>
      </c>
      <c r="HC1" s="1" t="s">
        <v>4360</v>
      </c>
      <c r="HM1" s="1" t="s">
        <v>4361</v>
      </c>
      <c r="HW1" s="1" t="s">
        <v>4362</v>
      </c>
      <c r="IG1" s="1" t="s">
        <v>4363</v>
      </c>
      <c r="IQ1" s="1" t="s">
        <v>4364</v>
      </c>
      <c r="JA1" s="1" t="s">
        <v>4365</v>
      </c>
      <c r="JK1" s="1" t="s">
        <v>4366</v>
      </c>
      <c r="JU1" s="1" t="s">
        <v>4367</v>
      </c>
      <c r="KE1" s="1" t="s">
        <v>4368</v>
      </c>
      <c r="KO1" s="1" t="s">
        <v>4369</v>
      </c>
      <c r="KY1" s="1" t="s">
        <v>4370</v>
      </c>
      <c r="LI1" s="1" t="s">
        <v>4371</v>
      </c>
      <c r="LS1" s="1" t="s">
        <v>4372</v>
      </c>
      <c r="MC1" s="1" t="s">
        <v>4373</v>
      </c>
      <c r="MM1" s="1" t="s">
        <v>4374</v>
      </c>
      <c r="MW1" s="1" t="s">
        <v>4375</v>
      </c>
      <c r="NG1" s="1" t="s">
        <v>4376</v>
      </c>
      <c r="NQ1" s="1" t="s">
        <v>4377</v>
      </c>
      <c r="OA1" s="1" t="s">
        <v>4378</v>
      </c>
    </row>
    <row r="2" spans="1:396" x14ac:dyDescent="0.25">
      <c r="A2" s="2" t="s">
        <v>2302</v>
      </c>
      <c r="K2" s="2" t="s">
        <v>782</v>
      </c>
      <c r="U2" s="2" t="s">
        <v>4379</v>
      </c>
      <c r="AE2" s="2" t="s">
        <v>2023</v>
      </c>
      <c r="AO2" s="2" t="s">
        <v>1079</v>
      </c>
      <c r="AY2" s="2" t="s">
        <v>3435</v>
      </c>
      <c r="BI2" s="2" t="s">
        <v>4380</v>
      </c>
      <c r="BS2" s="2" t="s">
        <v>4381</v>
      </c>
      <c r="CC2" s="2" t="s">
        <v>4382</v>
      </c>
      <c r="CM2" s="2" t="s">
        <v>3624</v>
      </c>
      <c r="CW2" s="2" t="s">
        <v>1551</v>
      </c>
      <c r="DG2" s="2" t="s">
        <v>4383</v>
      </c>
      <c r="DQ2" s="2" t="s">
        <v>4384</v>
      </c>
      <c r="EA2" s="2" t="s">
        <v>2315</v>
      </c>
      <c r="EK2" s="2" t="s">
        <v>368</v>
      </c>
      <c r="EU2" s="2" t="s">
        <v>976</v>
      </c>
      <c r="FE2" s="2" t="s">
        <v>4385</v>
      </c>
      <c r="FO2" s="2" t="s">
        <v>4386</v>
      </c>
      <c r="FY2" s="2" t="s">
        <v>4387</v>
      </c>
      <c r="GI2" s="2" t="s">
        <v>4388</v>
      </c>
      <c r="GS2" s="2" t="s">
        <v>4389</v>
      </c>
      <c r="HC2" s="2" t="s">
        <v>4390</v>
      </c>
      <c r="HM2" s="2" t="s">
        <v>2209</v>
      </c>
      <c r="HW2" s="2" t="s">
        <v>4391</v>
      </c>
      <c r="IG2" s="2" t="s">
        <v>4392</v>
      </c>
      <c r="IQ2" s="2" t="s">
        <v>1656</v>
      </c>
      <c r="JA2" s="2" t="s">
        <v>4393</v>
      </c>
      <c r="JK2" s="2" t="s">
        <v>171</v>
      </c>
      <c r="JU2" s="2" t="s">
        <v>66</v>
      </c>
      <c r="KE2" s="2" t="s">
        <v>1270</v>
      </c>
      <c r="KO2" s="2" t="s">
        <v>3874</v>
      </c>
      <c r="KY2" s="2" t="s">
        <v>1467</v>
      </c>
      <c r="LI2" s="2" t="s">
        <v>2314</v>
      </c>
      <c r="LS2" s="2" t="s">
        <v>4394</v>
      </c>
      <c r="MC2" s="2" t="s">
        <v>266</v>
      </c>
      <c r="MM2" s="2" t="s">
        <v>4395</v>
      </c>
      <c r="MW2" s="2" t="s">
        <v>2967</v>
      </c>
      <c r="NG2" s="2" t="s">
        <v>165</v>
      </c>
      <c r="NQ2" s="2" t="s">
        <v>4396</v>
      </c>
      <c r="OA2" s="2" t="s">
        <v>1655</v>
      </c>
    </row>
    <row r="3" spans="1:396" x14ac:dyDescent="0.25">
      <c r="A3" t="s">
        <v>1021</v>
      </c>
      <c r="K3" t="s">
        <v>4397</v>
      </c>
      <c r="U3" t="s">
        <v>4333</v>
      </c>
      <c r="AE3" t="s">
        <v>4398</v>
      </c>
      <c r="AO3" t="s">
        <v>4399</v>
      </c>
      <c r="AY3" t="s">
        <v>4400</v>
      </c>
      <c r="BI3" t="s">
        <v>4401</v>
      </c>
      <c r="BS3" t="s">
        <v>299</v>
      </c>
      <c r="CC3" t="s">
        <v>4402</v>
      </c>
      <c r="CM3" t="s">
        <v>4403</v>
      </c>
      <c r="CW3" t="s">
        <v>4404</v>
      </c>
      <c r="DG3" t="s">
        <v>4405</v>
      </c>
      <c r="DQ3" t="s">
        <v>4406</v>
      </c>
      <c r="EA3" t="s">
        <v>4407</v>
      </c>
      <c r="EK3" t="s">
        <v>4408</v>
      </c>
      <c r="EU3" t="s">
        <v>4409</v>
      </c>
      <c r="FE3" t="s">
        <v>4410</v>
      </c>
      <c r="FO3" t="s">
        <v>1667</v>
      </c>
      <c r="FY3" t="s">
        <v>4411</v>
      </c>
      <c r="GI3" t="s">
        <v>4412</v>
      </c>
      <c r="GS3" t="s">
        <v>4413</v>
      </c>
      <c r="HC3" t="s">
        <v>2619</v>
      </c>
      <c r="HM3" t="s">
        <v>4414</v>
      </c>
      <c r="HW3" t="s">
        <v>1282</v>
      </c>
      <c r="IG3" t="s">
        <v>4415</v>
      </c>
      <c r="IQ3" t="s">
        <v>4416</v>
      </c>
      <c r="JA3" t="s">
        <v>4417</v>
      </c>
      <c r="JK3" t="s">
        <v>4418</v>
      </c>
      <c r="JU3" t="s">
        <v>4419</v>
      </c>
      <c r="KE3" t="s">
        <v>4420</v>
      </c>
      <c r="KO3" t="s">
        <v>4421</v>
      </c>
      <c r="KY3" t="s">
        <v>4422</v>
      </c>
      <c r="LI3" t="s">
        <v>3991</v>
      </c>
      <c r="LS3" t="s">
        <v>4423</v>
      </c>
      <c r="MC3" t="s">
        <v>4424</v>
      </c>
      <c r="MM3" t="s">
        <v>4425</v>
      </c>
      <c r="MW3" t="s">
        <v>3820</v>
      </c>
      <c r="NG3" t="s">
        <v>4426</v>
      </c>
      <c r="NQ3" t="s">
        <v>4427</v>
      </c>
      <c r="OA3" t="s">
        <v>4428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_xll.BDS("FIBK US Equity","SUPPLY_CHAIN_SUPPLIERS","RELATIONSHIP_AS_OF_DATE","20161117")</f>
        <v>FISV US Equity</v>
      </c>
      <c r="F5" t="str">
        <f>_xll.BDS("FIBK US Equity","SUPPLY_CHAIN_CUSTOMERS","RELATIONSHIP_AS_OF_DATE","20161117")</f>
        <v>#N/A N/A</v>
      </c>
      <c r="K5" t="str">
        <f>_xll.BDS("MGM US Equity","SUPPLY_CHAIN_SUPPLIERS","RELATIONSHIP_AS_OF_DATE","19981109","cols=1;rows=5")</f>
        <v>VICI US Equity</v>
      </c>
      <c r="P5" t="str">
        <f>_xll.BDS("MGM US Equity","SUPPLY_CHAIN_CUSTOMERS","RELATIONSHIP_AS_OF_DATE","19981109","cols=1;rows=5")</f>
        <v>0676719D US Equity</v>
      </c>
      <c r="U5" t="str">
        <f>_xll.BDS("SF US Equity","SUPPLY_CHAIN_SUPPLIERS","RELATIONSHIP_AS_OF_DATE","20121105","cols=1;rows=4")</f>
        <v>AHRT US Equity</v>
      </c>
      <c r="Z5" t="str">
        <f>_xll.BDS("SF US Equity","SUPPLY_CHAIN_CUSTOMERS","RELATIONSHIP_AS_OF_DATE","20121105")</f>
        <v>MRX US Equity</v>
      </c>
      <c r="AE5" t="str">
        <f>_xll.BDS("1811934D US Equity","SUPPLY_CHAIN_SUPPLIERS","RELATIONSHIP_AS_OF_DATE","20130606")</f>
        <v>#N/A N/A</v>
      </c>
      <c r="AJ5" t="str">
        <f>_xll.BDS("1811934D US Equity","SUPPLY_CHAIN_CUSTOMERS","RELATIONSHIP_AS_OF_DATE","20130606")</f>
        <v>#N/A N/A</v>
      </c>
      <c r="AO5" t="str">
        <f>_xll.BDS("9980328D US Equity","SUPPLY_CHAIN_SUPPLIERS","RELATIONSHIP_AS_OF_DATE","20021111","cols=1;rows=5")</f>
        <v>1052024D US Equity</v>
      </c>
      <c r="AT5" t="str">
        <f>_xll.BDS("9980328D US Equity","SUPPLY_CHAIN_CUSTOMERS","RELATIONSHIP_AS_OF_DATE","20021111","cols=1;rows=5")</f>
        <v>002630 KS Equity</v>
      </c>
      <c r="AY5" t="str">
        <f>_xll.BDS("GENZ US Equity","SUPPLY_CHAIN_SUPPLIERS","RELATIONSHIP_AS_OF_DATE","20030804")</f>
        <v>#N/A N/A</v>
      </c>
      <c r="BD5" t="str">
        <f>_xll.BDS("GENZ US Equity","SUPPLY_CHAIN_CUSTOMERS","RELATIONSHIP_AS_OF_DATE","20030804")</f>
        <v>#N/A N/A</v>
      </c>
      <c r="BI5" t="str">
        <f>_xll.BDS("UCB US Equity","SUPPLY_CHAIN_SUPPLIERS","RELATIONSHIP_AS_OF_DATE","20210714")</f>
        <v>3764228Z US Equity</v>
      </c>
      <c r="BN5" t="str">
        <f>_xll.BDS("UCB US Equity","SUPPLY_CHAIN_CUSTOMERS","RELATIONSHIP_AS_OF_DATE","20210714")</f>
        <v>#N/A N/A</v>
      </c>
      <c r="BS5" t="str">
        <f>_xll.BDS("MXO US Equity","SUPPLY_CHAIN_SUPPLIERS","RELATIONSHIP_AS_OF_DATE","20001004")</f>
        <v>#N/A N/A</v>
      </c>
      <c r="BX5" t="str">
        <f>_xll.BDS("MXO US Equity","SUPPLY_CHAIN_CUSTOMERS","RELATIONSHIP_AS_OF_DATE","20001004")</f>
        <v>#N/A N/A</v>
      </c>
      <c r="CC5" t="str">
        <f>_xll.BDS("VECO US Equity","SUPPLY_CHAIN_SUPPLIERS","RELATIONSHIP_AS_OF_DATE","20170202","cols=1;rows=5")</f>
        <v>IPGP US Equity</v>
      </c>
      <c r="CH5" t="str">
        <f>_xll.BDS("VECO US Equity","SUPPLY_CHAIN_CUSTOMERS","RELATIONSHIP_AS_OF_DATE","20170202","cols=1;rows=5")</f>
        <v>2330 TT Equity</v>
      </c>
      <c r="CM5" t="str">
        <f>_xll.BDS("VNRSQ US Equity","SUPPLY_CHAIN_SUPPLIERS","RELATIONSHIP_AS_OF_DATE","20150420")</f>
        <v>#N/A N/A</v>
      </c>
      <c r="CR5" t="str">
        <f>_xll.BDS("VNRSQ US Equity","SUPPLY_CHAIN_CUSTOMERS","RELATIONSHIP_AS_OF_DATE","20150420")</f>
        <v>#N/A N/A</v>
      </c>
      <c r="CW5" t="str">
        <f>_xll.BDS("MDRIQ US Equity","SUPPLY_CHAIN_SUPPLIERS","RELATIONSHIP_AS_OF_DATE","19990507","cols=1;rows=5")</f>
        <v>091090 KS Equity</v>
      </c>
      <c r="DB5" t="str">
        <f>_xll.BDS("MDRIQ US Equity","SUPPLY_CHAIN_CUSTOMERS","RELATIONSHIP_AS_OF_DATE","19990507","cols=1;rows=5")</f>
        <v>16453Z QD Equity</v>
      </c>
      <c r="DG5" t="str">
        <f>_xll.BDS("ACORQ US Equity","SUPPLY_CHAIN_SUPPLIERS","RELATIONSHIP_AS_OF_DATE","20140924","cols=1;rows=5")</f>
        <v>0493848D US Equity</v>
      </c>
      <c r="DL5" t="str">
        <f>_xll.BDS("ACORQ US Equity","SUPPLY_CHAIN_CUSTOMERS","RELATIONSHIP_AS_OF_DATE","20140924","cols=1;rows=5")</f>
        <v>0219250Z US Equity</v>
      </c>
      <c r="DQ5" t="str">
        <f>_xll.BDS("2924917Q US Equity","SUPPLY_CHAIN_SUPPLIERS","RELATIONSHIP_AS_OF_DATE","20000515")</f>
        <v>#N/A N/A</v>
      </c>
      <c r="DV5" t="str">
        <f>_xll.BDS("2924917Q US Equity","SUPPLY_CHAIN_CUSTOMERS","RELATIONSHIP_AS_OF_DATE","20000515")</f>
        <v>#N/A N/A</v>
      </c>
      <c r="EA5" t="str">
        <f>_xll.BDS("VFC US Equity","SUPPLY_CHAIN_SUPPLIERS","RELATIONSHIP_AS_OF_DATE","20030707","cols=1;rows=5")</f>
        <v>300979 CH Equity</v>
      </c>
      <c r="EF5" t="str">
        <f>_xll.BDS("VFC US Equity","SUPPLY_CHAIN_CUSTOMERS","RELATIONSHIP_AS_OF_DATE","20030707","cols=1;rows=5")</f>
        <v>JD/ LN Equity</v>
      </c>
      <c r="EK5" t="str">
        <f>_xll.BDS("JNJ US Equity","SUPPLY_CHAIN_SUPPLIERS","RELATIONSHIP_AS_OF_DATE","20051216","cols=1;rows=5")</f>
        <v>GMAB DC Equity</v>
      </c>
      <c r="EP5" t="str">
        <f>_xll.BDS("JNJ US Equity","SUPPLY_CHAIN_CUSTOMERS","RELATIONSHIP_AS_OF_DATE","20051216","cols=1;rows=5")</f>
        <v>MCK US Equity</v>
      </c>
      <c r="EU5" t="str">
        <f>_xll.BDS("MTCH US Equity","SUPPLY_CHAIN_SUPPLIERS","RELATIONSHIP_AS_OF_DATE","20170501","cols=1;rows=5")</f>
        <v>053300 KS Equity</v>
      </c>
      <c r="EZ5" t="str">
        <f>_xll.BDS("MTCH US Equity","SUPPLY_CHAIN_CUSTOMERS","RELATIONSHIP_AS_OF_DATE","20170501","cols=1;rows=3")</f>
        <v>AAPL US Equity</v>
      </c>
      <c r="FE5" t="str">
        <f>_xll.BDS("1608941D US Equity","SUPPLY_CHAIN_SUPPLIERS","RELATIONSHIP_AS_OF_DATE","20010822")</f>
        <v>#N/A N/A</v>
      </c>
      <c r="FJ5" t="str">
        <f>_xll.BDS("1608941D US Equity","SUPPLY_CHAIN_CUSTOMERS","RELATIONSHIP_AS_OF_DATE","20010822")</f>
        <v>#N/A N/A</v>
      </c>
      <c r="FO5" t="str">
        <f>_xll.BDS("1528159D US Equity","SUPPLY_CHAIN_SUPPLIERS","RELATIONSHIP_AS_OF_DATE","20000828")</f>
        <v>#N/A N/A</v>
      </c>
      <c r="FT5" t="str">
        <f>_xll.BDS("1528159D US Equity","SUPPLY_CHAIN_CUSTOMERS","RELATIONSHIP_AS_OF_DATE","20000828")</f>
        <v>#N/A N/A</v>
      </c>
      <c r="FY5" t="str">
        <f>_xll.BDS("QMCO US Equity","SUPPLY_CHAIN_SUPPLIERS","RELATIONSHIP_AS_OF_DATE","20060502","cols=1;rows=5")</f>
        <v>300505 CH Equity</v>
      </c>
      <c r="GD5" t="str">
        <f>_xll.BDS("QMCO US Equity","SUPPLY_CHAIN_CUSTOMERS","RELATIONSHIP_AS_OF_DATE","20060502","cols=1;rows=5")</f>
        <v>ARW US Equity</v>
      </c>
      <c r="GI5" t="str">
        <f>_xll.BDS("ACIW US Equity","SUPPLY_CHAIN_SUPPLIERS","RELATIONSHIP_AS_OF_DATE","20110726","cols=1;rows=5")</f>
        <v>HPE US Equity</v>
      </c>
      <c r="GN5" t="str">
        <f>_xll.BDS("ACIW US Equity","SUPPLY_CHAIN_CUSTOMERS","RELATIONSHIP_AS_OF_DATE","20110726","cols=1;rows=5")</f>
        <v>0267572D SM Equity</v>
      </c>
      <c r="GS5" t="str">
        <f>_xll.BDS("8285461Q US Equity","SUPPLY_CHAIN_SUPPLIERS","RELATIONSHIP_AS_OF_DATE","20000703")</f>
        <v>#N/A N/A</v>
      </c>
      <c r="GX5" t="str">
        <f>_xll.BDS("8285461Q US Equity","SUPPLY_CHAIN_CUSTOMERS","RELATIONSHIP_AS_OF_DATE","20000703")</f>
        <v>#N/A N/A</v>
      </c>
      <c r="HC5" t="str">
        <f>_xll.BDS("AZA US Equity","SUPPLY_CHAIN_SUPPLIERS","RELATIONSHIP_AS_OF_DATE","19981005")</f>
        <v>#N/A N/A</v>
      </c>
      <c r="HH5" t="str">
        <f>_xll.BDS("AZA US Equity","SUPPLY_CHAIN_CUSTOMERS","RELATIONSHIP_AS_OF_DATE","19981005")</f>
        <v>#N/A N/A</v>
      </c>
      <c r="HM5" t="str">
        <f>_xll.BDS("STL US Equity","SUPPLY_CHAIN_SUPPLIERS","RELATIONSHIP_AS_OF_DATE","20141105")</f>
        <v>#N/A N/A</v>
      </c>
      <c r="HR5" t="str">
        <f>_xll.BDS("STL US Equity","SUPPLY_CHAIN_CUSTOMERS","RELATIONSHIP_AS_OF_DATE","20141105")</f>
        <v>#N/A N/A</v>
      </c>
      <c r="HW5" t="str">
        <f>_xll.BDS("0700161D US Equity","SUPPLY_CHAIN_SUPPLIERS","RELATIONSHIP_AS_OF_DATE","19990325")</f>
        <v>#N/A N/A</v>
      </c>
      <c r="IB5" t="str">
        <f>_xll.BDS("0700161D US Equity","SUPPLY_CHAIN_CUSTOMERS","RELATIONSHIP_AS_OF_DATE","19990325")</f>
        <v>#N/A N/A</v>
      </c>
      <c r="IG5" t="str">
        <f>_xll.BDS("1350017D US Equity","SUPPLY_CHAIN_SUPPLIERS","RELATIONSHIP_AS_OF_DATE","20150622","cols=1;rows=2")</f>
        <v>ED US Equity</v>
      </c>
      <c r="IL5" t="str">
        <f>_xll.BDS("1350017D US Equity","SUPPLY_CHAIN_CUSTOMERS","RELATIONSHIP_AS_OF_DATE","20150622")</f>
        <v>#N/A N/A</v>
      </c>
      <c r="IQ5" t="str">
        <f>_xll.BDS("CAR US Equity","SUPPLY_CHAIN_SUPPLIERS","RELATIONSHIP_AS_OF_DATE","20130102","cols=1;rows=5")</f>
        <v>VRRM US Equity</v>
      </c>
      <c r="IV5" t="str">
        <f>_xll.BDS("CAR US Equity","SUPPLY_CHAIN_CUSTOMERS","RELATIONSHIP_AS_OF_DATE","20130102","cols=1;rows=5")</f>
        <v>EIH IN Equity</v>
      </c>
      <c r="JA5" t="str">
        <f>_xll.BDS("GMRRQ US Equity","SUPPLY_CHAIN_SUPPLIERS","RELATIONSHIP_AS_OF_DATE","20080806")</f>
        <v>#N/A N/A</v>
      </c>
      <c r="JF5" t="str">
        <f>_xll.BDS("GMRRQ US Equity","SUPPLY_CHAIN_CUSTOMERS","RELATIONSHIP_AS_OF_DATE","20080806")</f>
        <v>#N/A N/A</v>
      </c>
      <c r="JK5" t="str">
        <f>_xll.BDS("ORCL US Equity","SUPPLY_CHAIN_SUPPLIERS","RELATIONSHIP_AS_OF_DATE","20160502","cols=1;rows=5")</f>
        <v>NVDA US Equity</v>
      </c>
      <c r="JP5" t="str">
        <f>_xll.BDS("ORCL US Equity","SUPPLY_CHAIN_CUSTOMERS","RELATIONSHIP_AS_OF_DATE","20160502","cols=1;rows=5")</f>
        <v>ACN US Equity</v>
      </c>
      <c r="JU5" t="str">
        <f>_xll.BDS("MDT US Equity","SUPPLY_CHAIN_SUPPLIERS","RELATIONSHIP_AS_OF_DATE","19980629","cols=1;rows=5")</f>
        <v>FLEX US Equity</v>
      </c>
      <c r="JZ5" t="str">
        <f>_xll.BDS("MDT US Equity","SUPPLY_CHAIN_CUSTOMERS","RELATIONSHIP_AS_OF_DATE","19980629","cols=1;rows=5")</f>
        <v>4104 TT Equity</v>
      </c>
      <c r="KE5" t="str">
        <f>_xll.BDS("EMN US Equity","SUPPLY_CHAIN_SUPPLIERS","RELATIONSHIP_AS_OF_DATE","19990428","cols=1;rows=5")</f>
        <v>AI FP Equity</v>
      </c>
      <c r="KJ5" t="str">
        <f>_xll.BDS("EMN US Equity","SUPPLY_CHAIN_CUSTOMERS","RELATIONSHIP_AS_OF_DATE","19990428","cols=1;rows=5")</f>
        <v>JNJ US Equity</v>
      </c>
      <c r="KO5" t="str">
        <f>_xll.BDS("2213185D US Equity","SUPPLY_CHAIN_SUPPLIERS","RELATIONSHIP_AS_OF_DATE","20020617")</f>
        <v>#N/A N/A</v>
      </c>
      <c r="KT5" t="str">
        <f>_xll.BDS("2213185D US Equity","SUPPLY_CHAIN_CUSTOMERS","RELATIONSHIP_AS_OF_DATE","20020617")</f>
        <v>#N/A N/A</v>
      </c>
      <c r="KY5" t="str">
        <f>_xll.BDS("GTN US Equity","SUPPLY_CHAIN_SUPPLIERS","RELATIONSHIP_AS_OF_DATE","20020610","cols=1;rows=5")</f>
        <v>0129612D US Equity</v>
      </c>
      <c r="LD5" t="str">
        <f>_xll.BDS("GTN US Equity","SUPPLY_CHAIN_CUSTOMERS","RELATIONSHIP_AS_OF_DATE","20020610","cols=1;rows=5")</f>
        <v>CMCSA US Equity</v>
      </c>
      <c r="LI5" t="str">
        <f>_xll.BDS("MCLDQ US Equity","SUPPLY_CHAIN_SUPPLIERS","RELATIONSHIP_AS_OF_DATE","20001003")</f>
        <v>#N/A N/A</v>
      </c>
      <c r="LN5" t="str">
        <f>_xll.BDS("MCLDQ US Equity","SUPPLY_CHAIN_CUSTOMERS","RELATIONSHIP_AS_OF_DATE","20001003")</f>
        <v>#N/A N/A</v>
      </c>
      <c r="LS5" t="str">
        <f>_xll.BDS("1004Q US Equity","SUPPLY_CHAIN_SUPPLIERS","RELATIONSHIP_AS_OF_DATE","19980326")</f>
        <v>#N/A N/A</v>
      </c>
      <c r="LX5" t="str">
        <f>_xll.BDS("1004Q US Equity","SUPPLY_CHAIN_CUSTOMERS","RELATIONSHIP_AS_OF_DATE","19980326")</f>
        <v>#N/A N/A</v>
      </c>
      <c r="MC5" t="str">
        <f>_xll.BDS("MSFT US Equity","SUPPLY_CHAIN_SUPPLIERS","RELATIONSHIP_AS_OF_DATE","20080211","cols=1;rows=5")</f>
        <v>NVDA US Equity</v>
      </c>
      <c r="MH5" t="str">
        <f>_xll.BDS("MSFT US Equity","SUPPLY_CHAIN_CUSTOMERS","RELATIONSHIP_AS_OF_DATE","20080211","cols=1;rows=5")</f>
        <v>SNX US Equity</v>
      </c>
      <c r="MM5" t="str">
        <f>_xll.BDS("WSBC US Equity","SUPPLY_CHAIN_SUPPLIERS","RELATIONSHIP_AS_OF_DATE","20190723")</f>
        <v>#N/A N/A</v>
      </c>
      <c r="MR5" t="str">
        <f>_xll.BDS("WSBC US Equity","SUPPLY_CHAIN_CUSTOMERS","RELATIONSHIP_AS_OF_DATE","20190723","cols=1;rows=2")</f>
        <v>NINE CN Equity</v>
      </c>
      <c r="MW5" t="str">
        <f>_xll.BDS("UPS US Equity","SUPPLY_CHAIN_SUPPLIERS","RELATIONSHIP_AS_OF_DATE","20010110","cols=1;rows=5")</f>
        <v>BA US Equity</v>
      </c>
      <c r="NB5" t="str">
        <f>_xll.BDS("UPS US Equity","SUPPLY_CHAIN_CUSTOMERS","RELATIONSHIP_AS_OF_DATE","20010110","cols=1;rows=5")</f>
        <v>AMZN US Equity</v>
      </c>
      <c r="NG5" t="str">
        <f>_xll.BDS("IBM US Equity","SUPPLY_CHAIN_SUPPLIERS","RELATIONSHIP_AS_OF_DATE","20111208","cols=1;rows=5")</f>
        <v>005930 KS Equity</v>
      </c>
      <c r="NL5" t="str">
        <f>_xll.BDS("IBM US Equity","SUPPLY_CHAIN_CUSTOMERS","RELATIONSHIP_AS_OF_DATE","20111208","cols=1;rows=5")</f>
        <v>AMZN US Equity</v>
      </c>
      <c r="NQ5" t="str">
        <f>_xll.BDS("COLL US Equity","SUPPLY_CHAIN_SUPPLIERS","RELATIONSHIP_AS_OF_DATE","20220214","cols=1;rows=5")</f>
        <v>0634620D US Equity</v>
      </c>
      <c r="NV5" t="str">
        <f>_xll.BDS("COLL US Equity","SUPPLY_CHAIN_CUSTOMERS","RELATIONSHIP_AS_OF_DATE","20220214","cols=1;rows=2")</f>
        <v>046120 KS Equity</v>
      </c>
      <c r="OA5" t="str">
        <f>_xll.BDS("ARCH US Equity","SUPPLY_CHAIN_SUPPLIERS","RELATIONSHIP_AS_OF_DATE","19970127","cols=1;rows=5")</f>
        <v>AEE US Equity</v>
      </c>
      <c r="OF5" t="str">
        <f>_xll.BDS("ARCH US Equity","SUPPLY_CHAIN_CUSTOMERS","RELATIONSHIP_AS_OF_DATE","19970127","cols=1;rows=5")</f>
        <v>004020 KS Equity</v>
      </c>
    </row>
    <row r="6" spans="1:396" x14ac:dyDescent="0.25">
      <c r="K6" t="s">
        <v>366</v>
      </c>
      <c r="P6" t="s">
        <v>12773</v>
      </c>
      <c r="U6" t="s">
        <v>11911</v>
      </c>
      <c r="AO6" t="s">
        <v>11453</v>
      </c>
      <c r="AT6" t="s">
        <v>11428</v>
      </c>
      <c r="CC6" t="s">
        <v>12075</v>
      </c>
      <c r="CH6" t="s">
        <v>10892</v>
      </c>
      <c r="CW6" t="s">
        <v>10696</v>
      </c>
      <c r="DB6" t="s">
        <v>12426</v>
      </c>
      <c r="DG6" t="s">
        <v>12360</v>
      </c>
      <c r="DL6" t="s">
        <v>10797</v>
      </c>
      <c r="EA6" t="s">
        <v>10838</v>
      </c>
      <c r="EF6" t="s">
        <v>10676</v>
      </c>
      <c r="EK6" t="s">
        <v>10735</v>
      </c>
      <c r="EP6" t="s">
        <v>1468</v>
      </c>
      <c r="EU6" t="s">
        <v>11503</v>
      </c>
      <c r="EZ6" t="s">
        <v>2705</v>
      </c>
      <c r="FY6" t="s">
        <v>11562</v>
      </c>
      <c r="GD6" t="s">
        <v>2881</v>
      </c>
      <c r="GI6" t="s">
        <v>165</v>
      </c>
      <c r="GN6" t="s">
        <v>11469</v>
      </c>
      <c r="IG6" t="s">
        <v>10715</v>
      </c>
      <c r="IQ6" t="s">
        <v>12031</v>
      </c>
      <c r="IV6" t="s">
        <v>11677</v>
      </c>
      <c r="JK6" t="s">
        <v>162</v>
      </c>
      <c r="JP6" t="s">
        <v>469</v>
      </c>
      <c r="JU6" t="s">
        <v>11060</v>
      </c>
      <c r="JZ6" t="s">
        <v>11016</v>
      </c>
      <c r="KE6" t="s">
        <v>11509</v>
      </c>
      <c r="KJ6" t="s">
        <v>11946</v>
      </c>
      <c r="KY6" t="s">
        <v>12212</v>
      </c>
      <c r="LD6" t="s">
        <v>5984</v>
      </c>
      <c r="MC6" t="s">
        <v>11089</v>
      </c>
      <c r="MH6" t="s">
        <v>4219</v>
      </c>
      <c r="MR6" t="s">
        <v>11320</v>
      </c>
      <c r="MW6" t="s">
        <v>171</v>
      </c>
      <c r="NB6" t="s">
        <v>1736</v>
      </c>
      <c r="NG6" t="s">
        <v>41</v>
      </c>
      <c r="NL6" t="s">
        <v>266</v>
      </c>
      <c r="NQ6" t="s">
        <v>12511</v>
      </c>
      <c r="NV6" t="s">
        <v>12231</v>
      </c>
      <c r="OA6" t="s">
        <v>10696</v>
      </c>
      <c r="OF6" t="s">
        <v>12149</v>
      </c>
    </row>
    <row r="7" spans="1:396" x14ac:dyDescent="0.25">
      <c r="K7" t="s">
        <v>171</v>
      </c>
      <c r="P7" t="s">
        <v>12774</v>
      </c>
      <c r="U7" t="s">
        <v>10829</v>
      </c>
      <c r="AO7" t="s">
        <v>11289</v>
      </c>
      <c r="AT7" t="s">
        <v>11429</v>
      </c>
      <c r="CC7" t="s">
        <v>9231</v>
      </c>
      <c r="CH7" t="s">
        <v>3611</v>
      </c>
      <c r="CW7" t="s">
        <v>12843</v>
      </c>
      <c r="DB7" t="s">
        <v>12427</v>
      </c>
      <c r="DG7" t="s">
        <v>12361</v>
      </c>
      <c r="DL7" t="s">
        <v>12484</v>
      </c>
      <c r="EA7" t="s">
        <v>10839</v>
      </c>
      <c r="EF7" t="s">
        <v>10774</v>
      </c>
      <c r="EK7" t="s">
        <v>45</v>
      </c>
      <c r="EP7" t="s">
        <v>970</v>
      </c>
      <c r="EU7" t="s">
        <v>11504</v>
      </c>
      <c r="EZ7" t="s">
        <v>11037</v>
      </c>
      <c r="FY7" t="s">
        <v>10715</v>
      </c>
      <c r="GD7" t="s">
        <v>10918</v>
      </c>
      <c r="GI7" t="s">
        <v>171</v>
      </c>
      <c r="GN7" t="s">
        <v>11470</v>
      </c>
      <c r="IQ7" t="s">
        <v>10807</v>
      </c>
      <c r="IV7" t="s">
        <v>11678</v>
      </c>
      <c r="JK7" t="s">
        <v>279</v>
      </c>
      <c r="JP7" t="s">
        <v>2881</v>
      </c>
      <c r="JU7" t="s">
        <v>10735</v>
      </c>
      <c r="JZ7" t="s">
        <v>8926</v>
      </c>
      <c r="KE7" t="s">
        <v>11510</v>
      </c>
      <c r="KJ7" t="s">
        <v>10939</v>
      </c>
      <c r="KY7" t="s">
        <v>12213</v>
      </c>
      <c r="LD7" t="s">
        <v>46</v>
      </c>
      <c r="MC7" t="s">
        <v>10729</v>
      </c>
      <c r="MH7" t="s">
        <v>11368</v>
      </c>
      <c r="MW7" t="s">
        <v>11159</v>
      </c>
      <c r="NB7" t="s">
        <v>385</v>
      </c>
      <c r="NG7" t="s">
        <v>469</v>
      </c>
      <c r="NL7" t="s">
        <v>10892</v>
      </c>
      <c r="NQ7" t="s">
        <v>12512</v>
      </c>
      <c r="OA7" t="s">
        <v>158</v>
      </c>
      <c r="OF7" t="s">
        <v>11446</v>
      </c>
    </row>
    <row r="8" spans="1:396" x14ac:dyDescent="0.25">
      <c r="K8" t="s">
        <v>2316</v>
      </c>
      <c r="P8" t="s">
        <v>12775</v>
      </c>
      <c r="U8" t="s">
        <v>11053</v>
      </c>
      <c r="AO8" t="s">
        <v>10996</v>
      </c>
      <c r="AT8" t="s">
        <v>11430</v>
      </c>
      <c r="CC8" t="s">
        <v>10741</v>
      </c>
      <c r="CH8" t="s">
        <v>10729</v>
      </c>
      <c r="CW8" t="s">
        <v>158</v>
      </c>
      <c r="DB8" t="s">
        <v>12428</v>
      </c>
      <c r="DG8" t="s">
        <v>12362</v>
      </c>
      <c r="DL8" t="s">
        <v>12485</v>
      </c>
      <c r="EA8" t="s">
        <v>10840</v>
      </c>
      <c r="EF8" t="s">
        <v>10775</v>
      </c>
      <c r="EK8" t="s">
        <v>3437</v>
      </c>
      <c r="EP8" t="s">
        <v>51</v>
      </c>
      <c r="EU8" t="s">
        <v>5236</v>
      </c>
      <c r="FY8" t="s">
        <v>6477</v>
      </c>
      <c r="GD8" t="s">
        <v>4219</v>
      </c>
      <c r="GI8" t="s">
        <v>11614</v>
      </c>
      <c r="GN8" t="s">
        <v>11471</v>
      </c>
      <c r="IQ8" t="s">
        <v>171</v>
      </c>
      <c r="IV8" t="s">
        <v>11679</v>
      </c>
      <c r="JK8" t="s">
        <v>10818</v>
      </c>
      <c r="JP8" t="s">
        <v>52</v>
      </c>
      <c r="JU8" t="s">
        <v>3439</v>
      </c>
      <c r="JZ8" t="s">
        <v>10140</v>
      </c>
      <c r="KE8" t="s">
        <v>11511</v>
      </c>
      <c r="KJ8" t="s">
        <v>58</v>
      </c>
      <c r="KY8" t="s">
        <v>790</v>
      </c>
      <c r="LD8" t="s">
        <v>12160</v>
      </c>
      <c r="MC8" t="s">
        <v>12659</v>
      </c>
      <c r="MH8" t="s">
        <v>10918</v>
      </c>
      <c r="MW8" t="s">
        <v>10940</v>
      </c>
      <c r="NB8" t="s">
        <v>2881</v>
      </c>
      <c r="NG8" t="s">
        <v>2881</v>
      </c>
      <c r="NL8" t="s">
        <v>6473</v>
      </c>
      <c r="NQ8" t="s">
        <v>12513</v>
      </c>
      <c r="OA8" t="s">
        <v>382</v>
      </c>
      <c r="OF8" t="s">
        <v>482</v>
      </c>
    </row>
    <row r="9" spans="1:396" x14ac:dyDescent="0.25">
      <c r="K9" t="s">
        <v>12112</v>
      </c>
      <c r="P9" t="s">
        <v>12776</v>
      </c>
      <c r="AO9" t="s">
        <v>11454</v>
      </c>
      <c r="AT9" t="s">
        <v>11431</v>
      </c>
      <c r="CC9" t="s">
        <v>10811</v>
      </c>
      <c r="CH9" t="s">
        <v>383</v>
      </c>
      <c r="CW9" t="s">
        <v>693</v>
      </c>
      <c r="DB9" t="s">
        <v>12429</v>
      </c>
      <c r="DG9" t="s">
        <v>12363</v>
      </c>
      <c r="DL9" t="s">
        <v>12486</v>
      </c>
      <c r="EA9" t="s">
        <v>10841</v>
      </c>
      <c r="EF9" t="s">
        <v>5070</v>
      </c>
      <c r="EK9" t="s">
        <v>11012</v>
      </c>
      <c r="EP9" t="s">
        <v>10944</v>
      </c>
      <c r="EU9" t="s">
        <v>11505</v>
      </c>
      <c r="FY9" t="s">
        <v>10810</v>
      </c>
      <c r="GD9" t="s">
        <v>10672</v>
      </c>
      <c r="GI9" t="s">
        <v>11615</v>
      </c>
      <c r="GN9" t="s">
        <v>11472</v>
      </c>
      <c r="IQ9" t="s">
        <v>12032</v>
      </c>
      <c r="IV9" t="s">
        <v>11680</v>
      </c>
      <c r="JK9" t="s">
        <v>384</v>
      </c>
      <c r="JP9" t="s">
        <v>472</v>
      </c>
      <c r="JU9" t="s">
        <v>10806</v>
      </c>
      <c r="JZ9" t="s">
        <v>10746</v>
      </c>
      <c r="KE9" t="s">
        <v>11449</v>
      </c>
      <c r="KJ9" t="s">
        <v>261</v>
      </c>
      <c r="KY9" t="s">
        <v>1175</v>
      </c>
      <c r="LD9" t="s">
        <v>10892</v>
      </c>
      <c r="MC9" t="s">
        <v>12660</v>
      </c>
      <c r="MH9" t="s">
        <v>10676</v>
      </c>
      <c r="MW9" t="s">
        <v>11507</v>
      </c>
      <c r="NB9" t="s">
        <v>364</v>
      </c>
      <c r="NG9" t="s">
        <v>10853</v>
      </c>
      <c r="NL9" t="s">
        <v>969</v>
      </c>
      <c r="NQ9" t="s">
        <v>12514</v>
      </c>
      <c r="OA9" t="s">
        <v>572</v>
      </c>
      <c r="OF9" t="s">
        <v>12150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4429</v>
      </c>
      <c r="K1" s="1" t="s">
        <v>4430</v>
      </c>
      <c r="U1" s="1" t="s">
        <v>4431</v>
      </c>
      <c r="AE1" s="1" t="s">
        <v>4432</v>
      </c>
      <c r="AO1" s="1" t="s">
        <v>4433</v>
      </c>
      <c r="AY1" s="1" t="s">
        <v>4434</v>
      </c>
      <c r="BI1" s="1" t="s">
        <v>4435</v>
      </c>
      <c r="BS1" s="1" t="s">
        <v>4436</v>
      </c>
      <c r="CC1" s="1" t="s">
        <v>4437</v>
      </c>
      <c r="CM1" s="1" t="s">
        <v>4438</v>
      </c>
      <c r="CW1" s="1" t="s">
        <v>4439</v>
      </c>
      <c r="DG1" s="1" t="s">
        <v>4440</v>
      </c>
      <c r="DQ1" s="1" t="s">
        <v>4441</v>
      </c>
      <c r="EA1" s="1" t="s">
        <v>4442</v>
      </c>
      <c r="EK1" s="1" t="s">
        <v>4443</v>
      </c>
      <c r="EU1" s="1" t="s">
        <v>4444</v>
      </c>
      <c r="FE1" s="1" t="s">
        <v>4445</v>
      </c>
      <c r="FO1" s="1" t="s">
        <v>4446</v>
      </c>
      <c r="FY1" s="1" t="s">
        <v>4447</v>
      </c>
      <c r="GI1" s="1" t="s">
        <v>4448</v>
      </c>
      <c r="GS1" s="1" t="s">
        <v>4449</v>
      </c>
      <c r="HC1" s="1" t="s">
        <v>4450</v>
      </c>
      <c r="HM1" s="1" t="s">
        <v>4451</v>
      </c>
      <c r="HW1" s="1" t="s">
        <v>4452</v>
      </c>
      <c r="IG1" s="1" t="s">
        <v>4453</v>
      </c>
      <c r="IQ1" s="1" t="s">
        <v>4454</v>
      </c>
      <c r="JA1" s="1" t="s">
        <v>4455</v>
      </c>
      <c r="JK1" s="1" t="s">
        <v>4456</v>
      </c>
      <c r="JU1" s="1" t="s">
        <v>4457</v>
      </c>
      <c r="KE1" s="1" t="s">
        <v>4458</v>
      </c>
      <c r="KO1" s="1" t="s">
        <v>4459</v>
      </c>
      <c r="KY1" s="1" t="s">
        <v>4460</v>
      </c>
      <c r="LI1" s="1" t="s">
        <v>4461</v>
      </c>
      <c r="LS1" s="1" t="s">
        <v>4462</v>
      </c>
      <c r="MC1" s="1" t="s">
        <v>4463</v>
      </c>
      <c r="MM1" s="1" t="s">
        <v>4464</v>
      </c>
      <c r="MW1" s="1" t="s">
        <v>4465</v>
      </c>
      <c r="NG1" s="1" t="s">
        <v>4466</v>
      </c>
      <c r="NQ1" s="1" t="s">
        <v>4467</v>
      </c>
      <c r="OA1" s="1" t="s">
        <v>4468</v>
      </c>
    </row>
    <row r="2" spans="1:396" x14ac:dyDescent="0.25">
      <c r="A2" s="2" t="s">
        <v>1353</v>
      </c>
      <c r="K2" s="2" t="s">
        <v>2610</v>
      </c>
      <c r="U2" s="2" t="s">
        <v>175</v>
      </c>
      <c r="AE2" s="2" t="s">
        <v>4469</v>
      </c>
      <c r="AO2" s="2" t="s">
        <v>2689</v>
      </c>
      <c r="AY2" s="2" t="s">
        <v>3444</v>
      </c>
      <c r="BI2" s="2" t="s">
        <v>4470</v>
      </c>
      <c r="BS2" s="2" t="s">
        <v>4471</v>
      </c>
      <c r="CC2" s="2" t="s">
        <v>4472</v>
      </c>
      <c r="CM2" s="2" t="s">
        <v>64</v>
      </c>
      <c r="CW2" s="2" t="s">
        <v>4473</v>
      </c>
      <c r="DG2" s="2" t="s">
        <v>4474</v>
      </c>
      <c r="DQ2" s="2" t="s">
        <v>4475</v>
      </c>
      <c r="EA2" s="2" t="s">
        <v>4476</v>
      </c>
      <c r="EK2" s="2" t="s">
        <v>2882</v>
      </c>
      <c r="EU2" s="2" t="s">
        <v>1164</v>
      </c>
      <c r="FE2" s="2" t="s">
        <v>667</v>
      </c>
      <c r="FO2" s="2" t="s">
        <v>1938</v>
      </c>
      <c r="FY2" s="2" t="s">
        <v>4477</v>
      </c>
      <c r="GI2" s="2" t="s">
        <v>4478</v>
      </c>
      <c r="GS2" s="2" t="s">
        <v>371</v>
      </c>
      <c r="HC2" s="2" t="s">
        <v>4479</v>
      </c>
      <c r="HM2" s="2" t="s">
        <v>4480</v>
      </c>
      <c r="HW2" s="2" t="s">
        <v>4481</v>
      </c>
      <c r="IG2" s="2" t="s">
        <v>4482</v>
      </c>
      <c r="IQ2" s="2" t="s">
        <v>4483</v>
      </c>
      <c r="JA2" s="2" t="s">
        <v>4484</v>
      </c>
      <c r="JK2" s="2" t="s">
        <v>2412</v>
      </c>
      <c r="JU2" s="2" t="s">
        <v>4485</v>
      </c>
      <c r="KE2" s="2" t="s">
        <v>3880</v>
      </c>
      <c r="KO2" s="2" t="s">
        <v>4135</v>
      </c>
      <c r="KY2" s="2" t="s">
        <v>171</v>
      </c>
      <c r="LI2" s="2" t="s">
        <v>2874</v>
      </c>
      <c r="LS2" s="2" t="s">
        <v>4386</v>
      </c>
      <c r="MC2" s="2" t="s">
        <v>4486</v>
      </c>
      <c r="MM2" s="2" t="s">
        <v>3428</v>
      </c>
      <c r="MW2" s="2" t="s">
        <v>4487</v>
      </c>
      <c r="NG2" s="2" t="s">
        <v>385</v>
      </c>
      <c r="NQ2" s="2" t="s">
        <v>275</v>
      </c>
      <c r="OA2" s="2" t="s">
        <v>4488</v>
      </c>
    </row>
    <row r="3" spans="1:396" x14ac:dyDescent="0.25">
      <c r="A3" t="s">
        <v>4489</v>
      </c>
      <c r="K3" t="s">
        <v>2633</v>
      </c>
      <c r="U3" t="s">
        <v>4490</v>
      </c>
      <c r="AE3" t="s">
        <v>4491</v>
      </c>
      <c r="AO3" t="s">
        <v>4492</v>
      </c>
      <c r="AY3" t="s">
        <v>1479</v>
      </c>
      <c r="BI3" t="s">
        <v>4493</v>
      </c>
      <c r="BS3" t="s">
        <v>421</v>
      </c>
      <c r="CC3" t="s">
        <v>4494</v>
      </c>
      <c r="CM3" t="s">
        <v>4495</v>
      </c>
      <c r="CW3" t="s">
        <v>4496</v>
      </c>
      <c r="DG3" t="s">
        <v>4497</v>
      </c>
      <c r="DQ3" t="s">
        <v>4498</v>
      </c>
      <c r="EA3" t="s">
        <v>4499</v>
      </c>
      <c r="EK3" t="s">
        <v>4500</v>
      </c>
      <c r="EU3" t="s">
        <v>1204</v>
      </c>
      <c r="FE3" t="s">
        <v>4501</v>
      </c>
      <c r="FO3" t="s">
        <v>4502</v>
      </c>
      <c r="FY3" t="s">
        <v>4503</v>
      </c>
      <c r="GI3" t="s">
        <v>2449</v>
      </c>
      <c r="GS3" t="s">
        <v>2347</v>
      </c>
      <c r="HC3" t="s">
        <v>1972</v>
      </c>
      <c r="HM3" t="s">
        <v>3639</v>
      </c>
      <c r="HW3" t="s">
        <v>402</v>
      </c>
      <c r="IG3" t="s">
        <v>4504</v>
      </c>
      <c r="IQ3" t="s">
        <v>4505</v>
      </c>
      <c r="JA3" t="s">
        <v>700</v>
      </c>
      <c r="JK3" t="s">
        <v>4506</v>
      </c>
      <c r="JU3" t="s">
        <v>4507</v>
      </c>
      <c r="KE3" t="s">
        <v>4508</v>
      </c>
      <c r="KO3" t="s">
        <v>4509</v>
      </c>
      <c r="KY3" t="s">
        <v>4510</v>
      </c>
      <c r="LI3" t="s">
        <v>2719</v>
      </c>
      <c r="LS3" t="s">
        <v>4511</v>
      </c>
      <c r="MC3" t="s">
        <v>4512</v>
      </c>
      <c r="MM3" t="s">
        <v>4513</v>
      </c>
      <c r="MW3" t="s">
        <v>3360</v>
      </c>
      <c r="NG3" t="s">
        <v>2924</v>
      </c>
      <c r="NQ3" t="s">
        <v>2544</v>
      </c>
      <c r="OA3" t="s">
        <v>4514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_xll.BDS("PH US Equity","SUPPLY_CHAIN_SUPPLIERS","RELATIONSHIP_AS_OF_DATE","20000613","cols=1;rows=5")</f>
        <v>RBC US Equity</v>
      </c>
      <c r="F5" t="str">
        <f>_xll.BDS("PH US Equity","SUPPLY_CHAIN_CUSTOMERS","RELATIONSHIP_AS_OF_DATE","20000613","cols=1;rows=5")</f>
        <v>BA US Equity</v>
      </c>
      <c r="K5" t="str">
        <f>_xll.BDS("MTOR US Equity","SUPPLY_CHAIN_SUPPLIERS","RELATIONSHIP_AS_OF_DATE","20000406","cols=1;rows=5")</f>
        <v>000425 CH Equity</v>
      </c>
      <c r="P5" t="str">
        <f>_xll.BDS("MTOR US Equity","SUPPLY_CHAIN_CUSTOMERS","RELATIONSHIP_AS_OF_DATE","20000406","cols=1;rows=5")</f>
        <v>1912397D BB Equity</v>
      </c>
      <c r="U5" t="str">
        <f>_xll.BDS("TFC US Equity","SUPPLY_CHAIN_SUPPLIERS","RELATIONSHIP_AS_OF_DATE","19990728","cols=1;rows=5")</f>
        <v>ADBE US Equity</v>
      </c>
      <c r="Z5" t="str">
        <f>_xll.BDS("TFC US Equity","SUPPLY_CHAIN_CUSTOMERS","RELATIONSHIP_AS_OF_DATE","19990728")</f>
        <v>RENG IN Equity</v>
      </c>
      <c r="AE5" t="str">
        <f>_xll.BDS("OZK US Equity","SUPPLY_CHAIN_SUPPLIERS","RELATIONSHIP_AS_OF_DATE","20151109")</f>
        <v>#N/A N/A</v>
      </c>
      <c r="AJ5" t="str">
        <f>_xll.BDS("OZK US Equity","SUPPLY_CHAIN_CUSTOMERS","RELATIONSHIP_AS_OF_DATE","20151109")</f>
        <v>#N/A N/A</v>
      </c>
      <c r="AO5" t="str">
        <f>_xll.BDS("ELNK US Equity","SUPPLY_CHAIN_SUPPLIERS","RELATIONSHIP_AS_OF_DATE","20101001")</f>
        <v>#N/A N/A</v>
      </c>
      <c r="AT5" t="str">
        <f>_xll.BDS("ELNK US Equity","SUPPLY_CHAIN_CUSTOMERS","RELATIONSHIP_AS_OF_DATE","20101001")</f>
        <v>#N/A N/A</v>
      </c>
      <c r="AY5" t="str">
        <f>_xll.BDS("FMER US Equity","SUPPLY_CHAIN_SUPPLIERS","RELATIONSHIP_AS_OF_DATE","19980811")</f>
        <v>#N/A N/A</v>
      </c>
      <c r="BD5" t="str">
        <f>_xll.BDS("FMER US Equity","SUPPLY_CHAIN_CUSTOMERS","RELATIONSHIP_AS_OF_DATE","19980811")</f>
        <v>#N/A N/A</v>
      </c>
      <c r="BI5" t="str">
        <f>_xll.BDS("CLW US Equity","SUPPLY_CHAIN_SUPPLIERS","RELATIONSHIP_AS_OF_DATE","20100916","cols=1;rows=5")</f>
        <v>AVA US Equity</v>
      </c>
      <c r="BN5" t="str">
        <f>_xll.BDS("CLW US Equity","SUPPLY_CHAIN_CUSTOMERS","RELATIONSHIP_AS_OF_DATE","20100916")</f>
        <v>#N/A N/A</v>
      </c>
      <c r="BS5" t="str">
        <f>_xll.BDS("2269312Q US Equity","SUPPLY_CHAIN_SUPPLIERS","RELATIONSHIP_AS_OF_DATE","19981019")</f>
        <v>#N/A N/A</v>
      </c>
      <c r="BX5" t="str">
        <f>_xll.BDS("2269312Q US Equity","SUPPLY_CHAIN_CUSTOMERS","RELATIONSHIP_AS_OF_DATE","19981019")</f>
        <v>#N/A N/A</v>
      </c>
      <c r="CC5" t="str">
        <f>_xll.BDS("AKRXQ US Equity","SUPPLY_CHAIN_SUPPLIERS","RELATIONSHIP_AS_OF_DATE","20130827","cols=1;rows=5")</f>
        <v>AEE US Equity</v>
      </c>
      <c r="CH5" t="str">
        <f>_xll.BDS("AKRXQ US Equity","SUPPLY_CHAIN_CUSTOMERS","RELATIONSHIP_AS_OF_DATE","20130827")</f>
        <v>#N/A N/A</v>
      </c>
      <c r="CM5" t="str">
        <f>_xll.BDS("nan Equity","SUPPLY_CHAIN_SUPPLIERS","RELATIONSHIP_AS_OF_DATE","20111107")</f>
        <v>#N/A N/A</v>
      </c>
      <c r="CR5" t="str">
        <f>_xll.BDS("nan Equity","SUPPLY_CHAIN_CUSTOMERS","RELATIONSHIP_AS_OF_DATE","20111107")</f>
        <v>#N/A N/A</v>
      </c>
      <c r="CW5" t="str">
        <f>_xll.BDS("TLB US Equity","SUPPLY_CHAIN_SUPPLIERS","RELATIONSHIP_AS_OF_DATE","20091209","cols=1;rows=5")</f>
        <v>1473 TT Equity</v>
      </c>
      <c r="DB5" t="str">
        <f>_xll.BDS("TLB US Equity","SUPPLY_CHAIN_CUSTOMERS","RELATIONSHIP_AS_OF_DATE","20091209")</f>
        <v>#N/A N/A</v>
      </c>
      <c r="DG5" t="str">
        <f>_xll.BDS("RTN US Equity","SUPPLY_CHAIN_SUPPLIERS","RELATIONSHIP_AS_OF_DATE","20101220")</f>
        <v>FE US Equity</v>
      </c>
      <c r="DL5" t="str">
        <f>_xll.BDS("RTN US Equity","SUPPLY_CHAIN_CUSTOMERS","RELATIONSHIP_AS_OF_DATE","20101220")</f>
        <v>#N/A N/A</v>
      </c>
      <c r="DQ5" t="str">
        <f>_xll.BDS("WAB US Equity","SUPPLY_CHAIN_SUPPLIERS","RELATIONSHIP_AS_OF_DATE","19990927","cols=1;rows=5")</f>
        <v>JBL US Equity</v>
      </c>
      <c r="DV5" t="str">
        <f>_xll.BDS("WAB US Equity","SUPPLY_CHAIN_CUSTOMERS","RELATIONSHIP_AS_OF_DATE","19990927","cols=1;rows=5")</f>
        <v>UNP US Equity</v>
      </c>
      <c r="EA5" t="str">
        <f>_xll.BDS("BVS US Equity","SUPPLY_CHAIN_SUPPLIERS","RELATIONSHIP_AS_OF_DATE","20210729","cols=1;rows=5")</f>
        <v>4548 JP Equity</v>
      </c>
      <c r="EF5" t="str">
        <f>_xll.BDS("BVS US Equity","SUPPLY_CHAIN_CUSTOMERS","RELATIONSHIP_AS_OF_DATE","20210729")</f>
        <v>EPMT IJ Equity</v>
      </c>
      <c r="EK5" t="str">
        <f>_xll.BDS("2207158D US Equity","SUPPLY_CHAIN_SUPPLIERS","RELATIONSHIP_AS_OF_DATE","19990922")</f>
        <v>#N/A N/A</v>
      </c>
      <c r="EP5" t="str">
        <f>_xll.BDS("2207158D US Equity","SUPPLY_CHAIN_CUSTOMERS","RELATIONSHIP_AS_OF_DATE","19990922")</f>
        <v>#N/A N/A</v>
      </c>
      <c r="EU5" t="str">
        <f>_xll.BDS("GE US Equity","SUPPLY_CHAIN_SUPPLIERS","RELATIONSHIP_AS_OF_DATE","19990809","cols=1;rows=5")</f>
        <v>SAF FP Equity</v>
      </c>
      <c r="EZ5" t="str">
        <f>_xll.BDS("GE US Equity","SUPPLY_CHAIN_CUSTOMERS","RELATIONSHIP_AS_OF_DATE","19990809","cols=1;rows=5")</f>
        <v>3352Z US Equity</v>
      </c>
      <c r="FE5" t="str">
        <f>_xll.BDS("GD US Equity","SUPPLY_CHAIN_SUPPLIERS","RELATIONSHIP_AS_OF_DATE","20001109","cols=1;rows=5")</f>
        <v>RTX US Equity</v>
      </c>
      <c r="FJ5" t="str">
        <f>_xll.BDS("GD US Equity","SUPPLY_CHAIN_CUSTOMERS","RELATIONSHIP_AS_OF_DATE","20001109","cols=1;rows=5")</f>
        <v>3352Z US Equity</v>
      </c>
      <c r="FO5" t="str">
        <f>_xll.BDS("NCC US Equity","SUPPLY_CHAIN_SUPPLIERS","RELATIONSHIP_AS_OF_DATE","20031120")</f>
        <v>#N/A N/A</v>
      </c>
      <c r="FT5" t="str">
        <f>_xll.BDS("NCC US Equity","SUPPLY_CHAIN_CUSTOMERS","RELATIONSHIP_AS_OF_DATE","20031120")</f>
        <v>#N/A N/A</v>
      </c>
      <c r="FY5" t="str">
        <f>_xll.BDS("GVA US Equity","SUPPLY_CHAIN_SUPPLIERS","RELATIONSHIP_AS_OF_DATE","20180214","cols=1;rows=5")</f>
        <v>140371MF US Equity</v>
      </c>
      <c r="GD5" t="str">
        <f>_xll.BDS("GVA US Equity","SUPPLY_CHAIN_CUSTOMERS","RELATIONSHIP_AS_OF_DATE","20180214","cols=1;rows=5")</f>
        <v>STOCA1 US Equity</v>
      </c>
      <c r="GI5" t="str">
        <f>_xll.BDS("KPSQ US Equity","SUPPLY_CHAIN_SUPPLIERS","RELATIONSHIP_AS_OF_DATE","19980420")</f>
        <v>#N/A N/A</v>
      </c>
      <c r="GN5" t="str">
        <f>_xll.BDS("KPSQ US Equity","SUPPLY_CHAIN_CUSTOMERS","RELATIONSHIP_AS_OF_DATE","19980420")</f>
        <v>#N/A N/A</v>
      </c>
      <c r="GS5" t="str">
        <f>_xll.BDS("HON US Equity","SUPPLY_CHAIN_SUPPLIERS","RELATIONSHIP_AS_OF_DATE","20110613","cols=1;rows=5")</f>
        <v>CLS CN Equity</v>
      </c>
      <c r="GX5" t="str">
        <f>_xll.BDS("HON US Equity","SUPPLY_CHAIN_CUSTOMERS","RELATIONSHIP_AS_OF_DATE","20110613","cols=1;rows=5")</f>
        <v>3352Z US Equity</v>
      </c>
      <c r="HC5" t="str">
        <f>_xll.BDS("AMPY US Equity","SUPPLY_CHAIN_SUPPLIERS","RELATIONSHIP_AS_OF_DATE","20190506")</f>
        <v>#N/A N/A</v>
      </c>
      <c r="HH5" t="str">
        <f>_xll.BDS("AMPY US Equity","SUPPLY_CHAIN_CUSTOMERS","RELATIONSHIP_AS_OF_DATE","20190506","cols=1;rows=5")</f>
        <v>PSX US Equity</v>
      </c>
      <c r="HM5" t="str">
        <f>_xll.BDS("USWB US Equity","SUPPLY_CHAIN_SUPPLIERS","RELATIONSHIP_AS_OF_DATE","19980902")</f>
        <v>#N/A N/A</v>
      </c>
      <c r="HR5" t="str">
        <f>_xll.BDS("USWB US Equity","SUPPLY_CHAIN_CUSTOMERS","RELATIONSHIP_AS_OF_DATE","19980902")</f>
        <v>#N/A N/A</v>
      </c>
      <c r="HW5" t="str">
        <f>_xll.BDS("SUG US Equity","SUPPLY_CHAIN_SUPPLIERS","RELATIONSHIP_AS_OF_DATE","19990607")</f>
        <v>#N/A N/A</v>
      </c>
      <c r="IB5" t="str">
        <f>_xll.BDS("SUG US Equity","SUPPLY_CHAIN_CUSTOMERS","RELATIONSHIP_AS_OF_DATE","19990607")</f>
        <v>#N/A N/A</v>
      </c>
      <c r="IG5" t="str">
        <f>_xll.BDS("ILMN US Equity","SUPPLY_CHAIN_SUPPLIERS","RELATIONSHIP_AS_OF_DATE","20061113","cols=1;rows=5")</f>
        <v>ARE US Equity</v>
      </c>
      <c r="IL5" t="str">
        <f>_xll.BDS("ILMN US Equity","SUPPLY_CHAIN_CUSTOMERS","RELATIONSHIP_AS_OF_DATE","20061113","cols=1;rows=5")</f>
        <v>PFE US Equity</v>
      </c>
      <c r="IQ5" t="str">
        <f>_xll.BDS("DCOM US Equity","SUPPLY_CHAIN_SUPPLIERS","RELATIONSHIP_AS_OF_DATE","20200701")</f>
        <v>#N/A N/A</v>
      </c>
      <c r="IV5" t="str">
        <f>_xll.BDS("DCOM US Equity","SUPPLY_CHAIN_CUSTOMERS","RELATIONSHIP_AS_OF_DATE","20200701")</f>
        <v>#N/A N/A</v>
      </c>
      <c r="JA5" t="str">
        <f>_xll.BDS("DGIT US Equity","SUPPLY_CHAIN_SUPPLIERS","RELATIONSHIP_AS_OF_DATE","20110616")</f>
        <v>#N/A N/A</v>
      </c>
      <c r="JF5" t="str">
        <f>_xll.BDS("DGIT US Equity","SUPPLY_CHAIN_CUSTOMERS","RELATIONSHIP_AS_OF_DATE","20110616")</f>
        <v>#N/A N/A</v>
      </c>
      <c r="JK5" t="str">
        <f>_xll.BDS("PBCT US Equity","SUPPLY_CHAIN_SUPPLIERS","RELATIONSHIP_AS_OF_DATE","20110120")</f>
        <v>#N/A N/A</v>
      </c>
      <c r="JP5" t="str">
        <f>_xll.BDS("PBCT US Equity","SUPPLY_CHAIN_CUSTOMERS","RELATIONSHIP_AS_OF_DATE","20110120")</f>
        <v>#N/A N/A</v>
      </c>
      <c r="JU5" t="str">
        <f>_xll.BDS("JMXIE US Equity","SUPPLY_CHAIN_SUPPLIERS","RELATIONSHIP_AS_OF_DATE","20000627")</f>
        <v>#N/A N/A</v>
      </c>
      <c r="JZ5" t="str">
        <f>_xll.BDS("JMXIE US Equity","SUPPLY_CHAIN_CUSTOMERS","RELATIONSHIP_AS_OF_DATE","20000627")</f>
        <v>#N/A N/A</v>
      </c>
      <c r="KE5" t="str">
        <f>_xll.BDS("SNPS US Equity","SUPPLY_CHAIN_SUPPLIERS","RELATIONSHIP_AS_OF_DATE","20111130","cols=1;rows=5")</f>
        <v>000660 KS Equity</v>
      </c>
      <c r="KJ5" t="str">
        <f>_xll.BDS("SNPS US Equity","SUPPLY_CHAIN_CUSTOMERS","RELATIONSHIP_AS_OF_DATE","20111130","cols=1;rows=5")</f>
        <v>2454 TT Equity</v>
      </c>
      <c r="KO5" t="str">
        <f>_xll.BDS("ASB US Equity","SUPPLY_CHAIN_SUPPLIERS","RELATIONSHIP_AS_OF_DATE","20170720","cols=1;rows=2")</f>
        <v>NICE IT Equity</v>
      </c>
      <c r="KT5" t="str">
        <f>_xll.BDS("ASB US Equity","SUPPLY_CHAIN_CUSTOMERS","RELATIONSHIP_AS_OF_DATE","20170720")</f>
        <v>#N/A N/A</v>
      </c>
      <c r="KY5" t="str">
        <f>_xll.BDS("ORCL US Equity","SUPPLY_CHAIN_SUPPLIERS","RELATIONSHIP_AS_OF_DATE","20050308","cols=1;rows=5")</f>
        <v>NVDA US Equity</v>
      </c>
      <c r="LD5" t="str">
        <f>_xll.BDS("ORCL US Equity","SUPPLY_CHAIN_CUSTOMERS","RELATIONSHIP_AS_OF_DATE","20050308","cols=1;rows=5")</f>
        <v>ACN US Equity</v>
      </c>
      <c r="LI5" t="str">
        <f>_xll.BDS("FNB US Equity","SUPPLY_CHAIN_SUPPLIERS","RELATIONSHIP_AS_OF_DATE","20150804")</f>
        <v>HY US Equity</v>
      </c>
      <c r="LN5" t="str">
        <f>_xll.BDS("FNB US Equity","SUPPLY_CHAIN_CUSTOMERS","RELATIONSHIP_AS_OF_DATE","20150804")</f>
        <v>#N/A N/A</v>
      </c>
      <c r="LS5" t="str">
        <f>_xll.BDS("1528159D US Equity","SUPPLY_CHAIN_SUPPLIERS","RELATIONSHIP_AS_OF_DATE","20020219")</f>
        <v>#N/A N/A</v>
      </c>
      <c r="LX5" t="str">
        <f>_xll.BDS("1528159D US Equity","SUPPLY_CHAIN_CUSTOMERS","RELATIONSHIP_AS_OF_DATE","20020219")</f>
        <v>#N/A N/A</v>
      </c>
      <c r="MC5" t="str">
        <f>_xll.BDS("OCFC US Equity","SUPPLY_CHAIN_SUPPLIERS","RELATIONSHIP_AS_OF_DATE","20170630")</f>
        <v>#N/A N/A</v>
      </c>
      <c r="MH5" t="str">
        <f>_xll.BDS("OCFC US Equity","SUPPLY_CHAIN_CUSTOMERS","RELATIONSHIP_AS_OF_DATE","20170630")</f>
        <v>#N/A N/A</v>
      </c>
      <c r="MM5" t="str">
        <f>_xll.BDS("ISIL US Equity","SUPPLY_CHAIN_SUPPLIERS","RELATIONSHIP_AS_OF_DATE","20040314")</f>
        <v>FE US Equity</v>
      </c>
      <c r="MR5" t="str">
        <f>_xll.BDS("ISIL US Equity","SUPPLY_CHAIN_CUSTOMERS","RELATIONSHIP_AS_OF_DATE","20040314")</f>
        <v>#N/A N/A</v>
      </c>
      <c r="MW5" t="str">
        <f>_xll.BDS("838852Q US Equity","SUPPLY_CHAIN_SUPPLIERS","RELATIONSHIP_AS_OF_DATE","19990419")</f>
        <v>#N/A N/A</v>
      </c>
      <c r="NB5" t="str">
        <f>_xll.BDS("838852Q US Equity","SUPPLY_CHAIN_CUSTOMERS","RELATIONSHIP_AS_OF_DATE","19990419")</f>
        <v>#N/A N/A</v>
      </c>
      <c r="NG5" t="str">
        <f>_xll.BDS("MCK US Equity","SUPPLY_CHAIN_SUPPLIERS","RELATIONSHIP_AS_OF_DATE","20050711","cols=1;rows=5")</f>
        <v>ABBV US Equity</v>
      </c>
      <c r="NL5" t="str">
        <f>_xll.BDS("MCK US Equity","SUPPLY_CHAIN_CUSTOMERS","RELATIONSHIP_AS_OF_DATE","20050711","cols=1;rows=5")</f>
        <v>CVS US Equity</v>
      </c>
      <c r="NQ5" t="str">
        <f>_xll.BDS("GILD US Equity","SUPPLY_CHAIN_SUPPLIERS","RELATIONSHIP_AS_OF_DATE","19990301","cols=1;rows=5")</f>
        <v>JNJ US Equity</v>
      </c>
      <c r="NV5" t="str">
        <f>_xll.BDS("GILD US Equity","SUPPLY_CHAIN_CUSTOMERS","RELATIONSHIP_AS_OF_DATE","19990301","cols=1;rows=5")</f>
        <v>CAH US Equity</v>
      </c>
      <c r="OA5" t="str">
        <f>_xll.BDS("PFC US Equity","SUPPLY_CHAIN_SUPPLIERS","RELATIONSHIP_AS_OF_DATE","20190909")</f>
        <v>#N/A N/A</v>
      </c>
      <c r="OF5" t="str">
        <f>_xll.BDS("PFC US Equity","SUPPLY_CHAIN_CUSTOMERS","RELATIONSHIP_AS_OF_DATE","20190909")</f>
        <v>#N/A N/A</v>
      </c>
    </row>
    <row r="6" spans="1:396" x14ac:dyDescent="0.25">
      <c r="A6" t="s">
        <v>12266</v>
      </c>
      <c r="F6" t="s">
        <v>42</v>
      </c>
      <c r="K6" t="s">
        <v>12100</v>
      </c>
      <c r="P6" t="s">
        <v>12489</v>
      </c>
      <c r="U6" t="s">
        <v>11371</v>
      </c>
      <c r="BI6" t="s">
        <v>158</v>
      </c>
      <c r="CC6" t="s">
        <v>480</v>
      </c>
      <c r="CW6" t="s">
        <v>12591</v>
      </c>
      <c r="DQ6" t="s">
        <v>12657</v>
      </c>
      <c r="DV6" t="s">
        <v>11299</v>
      </c>
      <c r="EA6" t="s">
        <v>11011</v>
      </c>
      <c r="EU6" t="s">
        <v>11008</v>
      </c>
      <c r="EZ6" t="s">
        <v>1363</v>
      </c>
      <c r="FE6" t="s">
        <v>11007</v>
      </c>
      <c r="FJ6" t="s">
        <v>11193</v>
      </c>
      <c r="FY6" t="s">
        <v>158</v>
      </c>
      <c r="GD6" t="s">
        <v>12422</v>
      </c>
      <c r="GS6" t="s">
        <v>2599</v>
      </c>
      <c r="GX6" t="s">
        <v>1363</v>
      </c>
      <c r="HH6" t="s">
        <v>12552</v>
      </c>
      <c r="IG6" t="s">
        <v>10735</v>
      </c>
      <c r="IL6" t="s">
        <v>43</v>
      </c>
      <c r="KE6" t="s">
        <v>11065</v>
      </c>
      <c r="KJ6" t="s">
        <v>684</v>
      </c>
      <c r="KO6" t="s">
        <v>3162</v>
      </c>
      <c r="KY6" t="s">
        <v>162</v>
      </c>
      <c r="LD6" t="s">
        <v>469</v>
      </c>
      <c r="NG6" t="s">
        <v>368</v>
      </c>
      <c r="NL6" t="s">
        <v>10676</v>
      </c>
      <c r="NQ6" t="s">
        <v>12260</v>
      </c>
      <c r="NV6" t="s">
        <v>385</v>
      </c>
    </row>
    <row r="7" spans="1:396" x14ac:dyDescent="0.25">
      <c r="A7" t="s">
        <v>8602</v>
      </c>
      <c r="F7" t="s">
        <v>10939</v>
      </c>
      <c r="K7" t="s">
        <v>12101</v>
      </c>
      <c r="P7" t="s">
        <v>12490</v>
      </c>
      <c r="U7" t="s">
        <v>10986</v>
      </c>
      <c r="BI7" t="s">
        <v>6710</v>
      </c>
      <c r="CC7" t="s">
        <v>12310</v>
      </c>
      <c r="CW7" t="s">
        <v>12259</v>
      </c>
      <c r="DQ7" t="s">
        <v>12142</v>
      </c>
      <c r="DV7" t="s">
        <v>10940</v>
      </c>
      <c r="EA7" t="s">
        <v>12581</v>
      </c>
      <c r="EU7" t="s">
        <v>11009</v>
      </c>
      <c r="EZ7" t="s">
        <v>10939</v>
      </c>
      <c r="FE7" t="s">
        <v>11756</v>
      </c>
      <c r="FJ7" t="s">
        <v>11955</v>
      </c>
      <c r="FY7" t="s">
        <v>10715</v>
      </c>
      <c r="GD7" t="s">
        <v>11824</v>
      </c>
      <c r="GS7" t="s">
        <v>11010</v>
      </c>
      <c r="GX7" t="s">
        <v>10939</v>
      </c>
      <c r="HH7" t="s">
        <v>10642</v>
      </c>
      <c r="IG7" t="s">
        <v>12700</v>
      </c>
      <c r="IL7" t="s">
        <v>11018</v>
      </c>
      <c r="KE7" t="s">
        <v>6477</v>
      </c>
      <c r="KJ7" t="s">
        <v>6473</v>
      </c>
      <c r="KY7" t="s">
        <v>279</v>
      </c>
      <c r="LD7" t="s">
        <v>2881</v>
      </c>
      <c r="NG7" t="s">
        <v>43</v>
      </c>
      <c r="NL7" t="s">
        <v>10882</v>
      </c>
      <c r="NQ7" t="s">
        <v>12261</v>
      </c>
      <c r="NV7" t="s">
        <v>1468</v>
      </c>
    </row>
    <row r="8" spans="1:396" x14ac:dyDescent="0.25">
      <c r="A8" t="s">
        <v>11337</v>
      </c>
      <c r="F8" t="s">
        <v>10785</v>
      </c>
      <c r="K8" t="s">
        <v>12102</v>
      </c>
      <c r="P8" t="s">
        <v>12491</v>
      </c>
      <c r="U8" t="s">
        <v>11372</v>
      </c>
      <c r="BI8" t="s">
        <v>382</v>
      </c>
      <c r="CC8" t="s">
        <v>482</v>
      </c>
      <c r="CW8" t="s">
        <v>12592</v>
      </c>
      <c r="DQ8" t="s">
        <v>12307</v>
      </c>
      <c r="DV8" t="s">
        <v>158</v>
      </c>
      <c r="EA8" t="s">
        <v>382</v>
      </c>
      <c r="EU8" t="s">
        <v>11010</v>
      </c>
      <c r="EZ8" t="s">
        <v>1652</v>
      </c>
      <c r="FE8" t="s">
        <v>1353</v>
      </c>
      <c r="FJ8" t="s">
        <v>10660</v>
      </c>
      <c r="FY8" t="s">
        <v>10741</v>
      </c>
      <c r="GD8" t="s">
        <v>12423</v>
      </c>
      <c r="GS8" t="s">
        <v>11802</v>
      </c>
      <c r="GX8" t="s">
        <v>10785</v>
      </c>
      <c r="HH8" t="s">
        <v>13007</v>
      </c>
      <c r="IG8" t="s">
        <v>11221</v>
      </c>
      <c r="IL8" t="s">
        <v>11549</v>
      </c>
      <c r="KE8" t="s">
        <v>266</v>
      </c>
      <c r="KJ8" t="s">
        <v>11248</v>
      </c>
      <c r="KY8" t="s">
        <v>10818</v>
      </c>
      <c r="LD8" t="s">
        <v>52</v>
      </c>
      <c r="NG8" t="s">
        <v>870</v>
      </c>
      <c r="NL8" t="s">
        <v>10883</v>
      </c>
      <c r="NQ8" t="s">
        <v>12262</v>
      </c>
      <c r="NV8" t="s">
        <v>12230</v>
      </c>
    </row>
    <row r="9" spans="1:396" x14ac:dyDescent="0.25">
      <c r="A9" t="s">
        <v>5325</v>
      </c>
      <c r="F9" t="s">
        <v>667</v>
      </c>
      <c r="K9" t="s">
        <v>12103</v>
      </c>
      <c r="P9" t="s">
        <v>11426</v>
      </c>
      <c r="U9" t="s">
        <v>10987</v>
      </c>
      <c r="BI9" t="s">
        <v>260</v>
      </c>
      <c r="CC9" t="s">
        <v>678</v>
      </c>
      <c r="CW9" t="s">
        <v>1758</v>
      </c>
      <c r="DQ9" t="s">
        <v>12658</v>
      </c>
      <c r="DV9" t="s">
        <v>12625</v>
      </c>
      <c r="EA9" t="s">
        <v>10715</v>
      </c>
      <c r="EU9" t="s">
        <v>3625</v>
      </c>
      <c r="EZ9" t="s">
        <v>1740</v>
      </c>
      <c r="FE9" t="s">
        <v>1172</v>
      </c>
      <c r="FJ9" t="s">
        <v>11956</v>
      </c>
      <c r="FY9" t="s">
        <v>10810</v>
      </c>
      <c r="GD9" t="s">
        <v>12424</v>
      </c>
      <c r="GS9" t="s">
        <v>12211</v>
      </c>
      <c r="GX9" t="s">
        <v>1652</v>
      </c>
      <c r="HH9" t="s">
        <v>10643</v>
      </c>
      <c r="IG9" t="s">
        <v>4736</v>
      </c>
      <c r="IL9" t="s">
        <v>65</v>
      </c>
      <c r="KE9" t="s">
        <v>11466</v>
      </c>
      <c r="KJ9" t="s">
        <v>2967</v>
      </c>
      <c r="KY9" t="s">
        <v>384</v>
      </c>
      <c r="LD9" t="s">
        <v>472</v>
      </c>
      <c r="NG9" t="s">
        <v>44</v>
      </c>
      <c r="NL9" t="s">
        <v>10925</v>
      </c>
      <c r="NQ9" t="s">
        <v>12263</v>
      </c>
      <c r="NV9" t="s">
        <v>10795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4515</v>
      </c>
      <c r="K1" s="1" t="s">
        <v>4516</v>
      </c>
      <c r="U1" s="1" t="s">
        <v>4517</v>
      </c>
      <c r="AE1" s="1" t="s">
        <v>4518</v>
      </c>
      <c r="AO1" s="1" t="s">
        <v>4519</v>
      </c>
      <c r="AY1" s="1" t="s">
        <v>4520</v>
      </c>
      <c r="BI1" s="1" t="s">
        <v>4521</v>
      </c>
      <c r="BS1" s="1" t="s">
        <v>4522</v>
      </c>
      <c r="CC1" s="1" t="s">
        <v>4523</v>
      </c>
      <c r="CM1" s="1" t="s">
        <v>4524</v>
      </c>
      <c r="CW1" s="1" t="s">
        <v>4525</v>
      </c>
      <c r="DG1" s="1" t="s">
        <v>4526</v>
      </c>
      <c r="DQ1" s="1" t="s">
        <v>4527</v>
      </c>
      <c r="EA1" s="1" t="s">
        <v>4528</v>
      </c>
      <c r="EK1" s="1" t="s">
        <v>4529</v>
      </c>
      <c r="EU1" s="1" t="s">
        <v>4530</v>
      </c>
      <c r="FE1" s="1" t="s">
        <v>4531</v>
      </c>
      <c r="FO1" s="1" t="s">
        <v>4532</v>
      </c>
      <c r="FY1" s="1" t="s">
        <v>4533</v>
      </c>
      <c r="GI1" s="1" t="s">
        <v>4534</v>
      </c>
      <c r="GS1" s="1" t="s">
        <v>4535</v>
      </c>
      <c r="HC1" s="1" t="s">
        <v>4536</v>
      </c>
      <c r="HM1" s="1" t="s">
        <v>4537</v>
      </c>
      <c r="HW1" s="1" t="s">
        <v>4538</v>
      </c>
      <c r="IG1" s="1" t="s">
        <v>4539</v>
      </c>
      <c r="IQ1" s="1" t="s">
        <v>4540</v>
      </c>
      <c r="JA1" s="1" t="s">
        <v>4541</v>
      </c>
      <c r="JK1" s="1" t="s">
        <v>4542</v>
      </c>
      <c r="JU1" s="1" t="s">
        <v>4543</v>
      </c>
      <c r="KE1" s="1" t="s">
        <v>4544</v>
      </c>
      <c r="KO1" s="1" t="s">
        <v>4545</v>
      </c>
      <c r="KY1" s="1" t="s">
        <v>4546</v>
      </c>
      <c r="LI1" s="1" t="s">
        <v>4547</v>
      </c>
      <c r="LS1" s="1" t="s">
        <v>4548</v>
      </c>
      <c r="MC1" s="1" t="s">
        <v>4549</v>
      </c>
      <c r="MM1" s="1" t="s">
        <v>4550</v>
      </c>
      <c r="MW1" s="1" t="s">
        <v>4551</v>
      </c>
      <c r="NG1" s="1" t="s">
        <v>4552</v>
      </c>
      <c r="NQ1" s="1" t="s">
        <v>4553</v>
      </c>
      <c r="OA1" s="1" t="s">
        <v>4554</v>
      </c>
    </row>
    <row r="2" spans="1:396" x14ac:dyDescent="0.25">
      <c r="A2" s="2" t="s">
        <v>4555</v>
      </c>
      <c r="K2" s="2" t="s">
        <v>2215</v>
      </c>
      <c r="U2" s="2" t="s">
        <v>2792</v>
      </c>
      <c r="AE2" s="2" t="s">
        <v>4556</v>
      </c>
      <c r="AO2" s="2" t="s">
        <v>261</v>
      </c>
      <c r="AY2" s="2" t="s">
        <v>1840</v>
      </c>
      <c r="BI2" s="2" t="s">
        <v>2503</v>
      </c>
      <c r="BS2" s="2" t="s">
        <v>4557</v>
      </c>
      <c r="CC2" s="2" t="s">
        <v>4558</v>
      </c>
      <c r="CM2" s="2" t="s">
        <v>2321</v>
      </c>
      <c r="CW2" s="2" t="s">
        <v>2397</v>
      </c>
      <c r="DG2" s="2" t="s">
        <v>4559</v>
      </c>
      <c r="DQ2" s="2" t="s">
        <v>4560</v>
      </c>
      <c r="EA2" s="2" t="s">
        <v>1945</v>
      </c>
      <c r="EK2" s="2" t="s">
        <v>889</v>
      </c>
      <c r="EU2" s="2" t="s">
        <v>2786</v>
      </c>
      <c r="FE2" s="2" t="s">
        <v>4034</v>
      </c>
      <c r="FO2" s="2" t="s">
        <v>4561</v>
      </c>
      <c r="FY2" s="2" t="s">
        <v>1756</v>
      </c>
      <c r="GI2" s="2" t="s">
        <v>168</v>
      </c>
      <c r="GS2" s="2" t="s">
        <v>4562</v>
      </c>
      <c r="HC2" s="2" t="s">
        <v>64</v>
      </c>
      <c r="HM2" s="2" t="s">
        <v>64</v>
      </c>
      <c r="HW2" s="2" t="s">
        <v>1835</v>
      </c>
      <c r="IG2" s="2" t="s">
        <v>4473</v>
      </c>
      <c r="IQ2" s="2" t="s">
        <v>482</v>
      </c>
      <c r="JA2" s="2" t="s">
        <v>387</v>
      </c>
      <c r="JK2" s="2" t="s">
        <v>4563</v>
      </c>
      <c r="JU2" s="2" t="s">
        <v>4564</v>
      </c>
      <c r="KE2" s="2" t="s">
        <v>4565</v>
      </c>
      <c r="KO2" s="2" t="s">
        <v>4566</v>
      </c>
      <c r="KY2" s="2" t="s">
        <v>4567</v>
      </c>
      <c r="LI2" s="2" t="s">
        <v>4568</v>
      </c>
      <c r="LS2" s="2" t="s">
        <v>68</v>
      </c>
      <c r="MC2" s="2" t="s">
        <v>1354</v>
      </c>
      <c r="MM2" s="2" t="s">
        <v>4569</v>
      </c>
      <c r="MW2" s="2" t="s">
        <v>2595</v>
      </c>
      <c r="NG2" s="2" t="s">
        <v>1164</v>
      </c>
      <c r="NQ2" s="2" t="s">
        <v>4570</v>
      </c>
      <c r="OA2" s="2" t="s">
        <v>4571</v>
      </c>
    </row>
    <row r="3" spans="1:396" x14ac:dyDescent="0.25">
      <c r="A3" t="s">
        <v>4572</v>
      </c>
      <c r="K3" t="s">
        <v>2897</v>
      </c>
      <c r="U3" t="s">
        <v>4071</v>
      </c>
      <c r="AE3" t="s">
        <v>1281</v>
      </c>
      <c r="AO3" t="s">
        <v>4573</v>
      </c>
      <c r="AY3" t="s">
        <v>2710</v>
      </c>
      <c r="BI3" t="s">
        <v>2638</v>
      </c>
      <c r="BS3" t="s">
        <v>4574</v>
      </c>
      <c r="CC3" t="s">
        <v>4575</v>
      </c>
      <c r="CM3" t="s">
        <v>3888</v>
      </c>
      <c r="CW3" t="s">
        <v>4576</v>
      </c>
      <c r="DG3" t="s">
        <v>4577</v>
      </c>
      <c r="DQ3" t="s">
        <v>4578</v>
      </c>
      <c r="EA3" t="s">
        <v>4579</v>
      </c>
      <c r="EK3" t="s">
        <v>4580</v>
      </c>
      <c r="EU3" t="s">
        <v>492</v>
      </c>
      <c r="FE3" t="s">
        <v>4581</v>
      </c>
      <c r="FO3" t="s">
        <v>712</v>
      </c>
      <c r="FY3" t="s">
        <v>4071</v>
      </c>
      <c r="GI3" t="s">
        <v>4582</v>
      </c>
      <c r="GS3" t="s">
        <v>2900</v>
      </c>
      <c r="HC3" t="s">
        <v>4583</v>
      </c>
      <c r="HM3" t="s">
        <v>4584</v>
      </c>
      <c r="HW3" t="s">
        <v>2803</v>
      </c>
      <c r="IG3" t="s">
        <v>4585</v>
      </c>
      <c r="IQ3" t="s">
        <v>4586</v>
      </c>
      <c r="JA3" t="s">
        <v>3899</v>
      </c>
      <c r="JK3" t="s">
        <v>4587</v>
      </c>
      <c r="JU3" t="s">
        <v>4588</v>
      </c>
      <c r="KE3" t="s">
        <v>4589</v>
      </c>
      <c r="KO3" t="s">
        <v>4590</v>
      </c>
      <c r="KY3" t="s">
        <v>4583</v>
      </c>
      <c r="LI3" t="s">
        <v>4419</v>
      </c>
      <c r="LS3" t="s">
        <v>4591</v>
      </c>
      <c r="MC3" t="s">
        <v>4592</v>
      </c>
      <c r="MM3" t="s">
        <v>4593</v>
      </c>
      <c r="MW3" t="s">
        <v>4335</v>
      </c>
      <c r="NG3" t="s">
        <v>4594</v>
      </c>
      <c r="NQ3" t="s">
        <v>4595</v>
      </c>
      <c r="OA3" t="s">
        <v>4596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_xll.BDS("MDU US Equity","SUPPLY_CHAIN_SUPPLIERS","RELATIONSHIP_AS_OF_DATE","20060709","cols=1;rows=5")</f>
        <v>WMB US Equity</v>
      </c>
      <c r="F5" t="str">
        <f>_xll.BDS("MDU US Equity","SUPPLY_CHAIN_CUSTOMERS","RELATIONSHIP_AS_OF_DATE","20060709","cols=1;rows=5")</f>
        <v>FET US Equity</v>
      </c>
      <c r="K5" t="str">
        <f>_xll.BDS("CTAS US Equity","SUPPLY_CHAIN_SUPPLIERS","RELATIONSHIP_AS_OF_DATE","19990111","cols=1;rows=5")</f>
        <v>UFI US Equity</v>
      </c>
      <c r="P5" t="str">
        <f>_xll.BDS("CTAS US Equity","SUPPLY_CHAIN_CUSTOMERS","RELATIONSHIP_AS_OF_DATE","19990111","cols=1;rows=3")</f>
        <v>1229327D US Equity</v>
      </c>
      <c r="U5" t="str">
        <f>_xll.BDS("TXT US Equity","SUPPLY_CHAIN_SUPPLIERS","RELATIONSHIP_AS_OF_DATE","19990823","cols=1;rows=5")</f>
        <v>RR/ LN Equity</v>
      </c>
      <c r="Z5" t="str">
        <f>_xll.BDS("TXT US Equity","SUPPLY_CHAIN_CUSTOMERS","RELATIONSHIP_AS_OF_DATE","19990823","cols=1;rows=5")</f>
        <v>3352Z US Equity</v>
      </c>
      <c r="AE5" t="str">
        <f>_xll.BDS("DRRAQ US Equity","SUPPLY_CHAIN_SUPPLIERS","RELATIONSHIP_AS_OF_DATE","19990119")</f>
        <v>#N/A N/A</v>
      </c>
      <c r="AJ5" t="str">
        <f>_xll.BDS("DRRAQ US Equity","SUPPLY_CHAIN_CUSTOMERS","RELATIONSHIP_AS_OF_DATE","19990119")</f>
        <v>#N/A N/A</v>
      </c>
      <c r="AO5" t="str">
        <f>_xll.BDS("HPQ US Equity","SUPPLY_CHAIN_SUPPLIERS","RELATIONSHIP_AS_OF_DATE","20001024","cols=1;rows=5")</f>
        <v>2356 TT Equity</v>
      </c>
      <c r="AT5" t="str">
        <f>_xll.BDS("HPQ US Equity","SUPPLY_CHAIN_CUSTOMERS","RELATIONSHIP_AS_OF_DATE","20001024","cols=1;rows=5")</f>
        <v>SNX US Equity</v>
      </c>
      <c r="AY5" t="str">
        <f>_xll.BDS("9990822D US Equity","SUPPLY_CHAIN_SUPPLIERS","RELATIONSHIP_AS_OF_DATE","20090915")</f>
        <v>AMZN US Equity</v>
      </c>
      <c r="BD5" t="str">
        <f>_xll.BDS("9990822D US Equity","SUPPLY_CHAIN_CUSTOMERS","RELATIONSHIP_AS_OF_DATE","20090915","cols=1;rows=3")</f>
        <v>0759608D US Equity</v>
      </c>
      <c r="BI5" t="str">
        <f>_xll.BDS("3437127Q US Equity","SUPPLY_CHAIN_SUPPLIERS","RELATIONSHIP_AS_OF_DATE","19991014","cols=1;rows=2")</f>
        <v>141080 KS Equity</v>
      </c>
      <c r="BN5" t="str">
        <f>_xll.BDS("3437127Q US Equity","SUPPLY_CHAIN_CUSTOMERS","RELATIONSHIP_AS_OF_DATE","19991014","cols=1;rows=2")</f>
        <v>CALA US Equity</v>
      </c>
      <c r="BS5" t="str">
        <f>_xll.BDS("GKOS US Equity","SUPPLY_CHAIN_SUPPLIERS","RELATIONSHIP_AS_OF_DATE","20190807","cols=1;rows=5")</f>
        <v>1824725D US Equity</v>
      </c>
      <c r="BX5" t="str">
        <f>_xll.BDS("GKOS US Equity","SUPPLY_CHAIN_CUSTOMERS","RELATIONSHIP_AS_OF_DATE","20190807")</f>
        <v>CE US Equity</v>
      </c>
      <c r="CC5" t="str">
        <f>_xll.BDS("SEBL US Equity","SUPPLY_CHAIN_SUPPLIERS","RELATIONSHIP_AS_OF_DATE","20000418")</f>
        <v>#N/A N/A</v>
      </c>
      <c r="CH5" t="str">
        <f>_xll.BDS("SEBL US Equity","SUPPLY_CHAIN_CUSTOMERS","RELATIONSHIP_AS_OF_DATE","20000418")</f>
        <v>#N/A N/A</v>
      </c>
      <c r="CM5" t="str">
        <f>_xll.BDS("DRS US Equity","SUPPLY_CHAIN_SUPPLIERS","RELATIONSHIP_AS_OF_DATE","20030818")</f>
        <v>#N/A N/A</v>
      </c>
      <c r="CR5" t="str">
        <f>_xll.BDS("DRS US Equity","SUPPLY_CHAIN_CUSTOMERS","RELATIONSHIP_AS_OF_DATE","20030818","cols=1;rows=5")</f>
        <v>3352Z US Equity</v>
      </c>
      <c r="CW5" t="str">
        <f>_xll.BDS("1041267D US Equity","SUPPLY_CHAIN_SUPPLIERS","RELATIONSHIP_AS_OF_DATE","20060413")</f>
        <v>#N/A N/A</v>
      </c>
      <c r="DB5" t="str">
        <f>_xll.BDS("1041267D US Equity","SUPPLY_CHAIN_CUSTOMERS","RELATIONSHIP_AS_OF_DATE","20060413")</f>
        <v>#N/A N/A</v>
      </c>
      <c r="DG5" t="str">
        <f>_xll.BDS("NPBC US Equity","SUPPLY_CHAIN_SUPPLIERS","RELATIONSHIP_AS_OF_DATE","20070907")</f>
        <v>#N/A N/A</v>
      </c>
      <c r="DL5" t="str">
        <f>_xll.BDS("NPBC US Equity","SUPPLY_CHAIN_CUSTOMERS","RELATIONSHIP_AS_OF_DATE","20070907")</f>
        <v>#N/A N/A</v>
      </c>
      <c r="DQ5" t="str">
        <f>_xll.BDS("1556464D US Equity","SUPPLY_CHAIN_SUPPLIERS","RELATIONSHIP_AS_OF_DATE","20000114")</f>
        <v>#N/A N/A</v>
      </c>
      <c r="DV5" t="str">
        <f>_xll.BDS("1556464D US Equity","SUPPLY_CHAIN_CUSTOMERS","RELATIONSHIP_AS_OF_DATE","20000114")</f>
        <v>#N/A N/A</v>
      </c>
      <c r="EA5" t="str">
        <f>_xll.BDS("ONB US Equity","SUPPLY_CHAIN_SUPPLIERS","RELATIONSHIP_AS_OF_DATE","20160112","cols=1;rows=3")</f>
        <v>FCPT US Equity</v>
      </c>
      <c r="EF5" t="str">
        <f>_xll.BDS("ONB US Equity","SUPPLY_CHAIN_CUSTOMERS","RELATIONSHIP_AS_OF_DATE","20160112")</f>
        <v>#N/A N/A</v>
      </c>
      <c r="EK5" t="str">
        <f>_xll.BDS("1255459D US Equity","SUPPLY_CHAIN_SUPPLIERS","RELATIONSHIP_AS_OF_DATE","20031224","cols=1;rows=2")</f>
        <v>CREI LN Equity</v>
      </c>
      <c r="EP5" t="str">
        <f>_xll.BDS("1255459D US Equity","SUPPLY_CHAIN_CUSTOMERS","RELATIONSHIP_AS_OF_DATE","20031224","cols=1;rows=5")</f>
        <v>028260 KS Equity</v>
      </c>
      <c r="EU5" t="str">
        <f>_xll.BDS("JNY US Equity","SUPPLY_CHAIN_SUPPLIERS","RELATIONSHIP_AS_OF_DATE","20010416")</f>
        <v>#N/A N/A</v>
      </c>
      <c r="EZ5" t="str">
        <f>_xll.BDS("JNY US Equity","SUPPLY_CHAIN_CUSTOMERS","RELATIONSHIP_AS_OF_DATE","20010416")</f>
        <v>MAPI IJ Equity</v>
      </c>
      <c r="FE5" t="str">
        <f>_xll.BDS("COLB US Equity","SUPPLY_CHAIN_SUPPLIERS","RELATIONSHIP_AS_OF_DATE","20120926")</f>
        <v>INVE US Equity</v>
      </c>
      <c r="FJ5" t="str">
        <f>_xll.BDS("COLB US Equity","SUPPLY_CHAIN_CUSTOMERS","RELATIONSHIP_AS_OF_DATE","20120926")</f>
        <v>#N/A N/A</v>
      </c>
      <c r="FO5" t="str">
        <f>_xll.BDS("OCSL US Equity","SUPPLY_CHAIN_SUPPLIERS","RELATIONSHIP_AS_OF_DATE","20201029")</f>
        <v>#N/A N/A</v>
      </c>
      <c r="FT5" t="str">
        <f>_xll.BDS("OCSL US Equity","SUPPLY_CHAIN_CUSTOMERS","RELATIONSHIP_AS_OF_DATE","20201029")</f>
        <v>#N/A N/A</v>
      </c>
      <c r="FY5" t="str">
        <f>_xll.BDS("1920486D US Equity","SUPPLY_CHAIN_SUPPLIERS","RELATIONSHIP_AS_OF_DATE","19990823")</f>
        <v>#N/A N/A</v>
      </c>
      <c r="GD5" t="str">
        <f>_xll.BDS("1920486D US Equity","SUPPLY_CHAIN_CUSTOMERS","RELATIONSHIP_AS_OF_DATE","19990823")</f>
        <v>#N/A N/A</v>
      </c>
      <c r="GI5" t="str">
        <f>_xll.BDS("SCHW US Equity","SUPPLY_CHAIN_SUPPLIERS","RELATIONSHIP_AS_OF_DATE","20031119","cols=1;rows=5")</f>
        <v>ADBE US Equity</v>
      </c>
      <c r="GN5" t="str">
        <f>_xll.BDS("SCHW US Equity","SUPPLY_CHAIN_CUSTOMERS","RELATIONSHIP_AS_OF_DATE","20031119")</f>
        <v>CNDT US Equity</v>
      </c>
      <c r="GS5" t="str">
        <f>_xll.BDS("TNB US Equity","SUPPLY_CHAIN_SUPPLIERS","RELATIONSHIP_AS_OF_DATE","20070816")</f>
        <v>#N/A N/A</v>
      </c>
      <c r="GX5" t="str">
        <f>_xll.BDS("TNB US Equity","SUPPLY_CHAIN_CUSTOMERS","RELATIONSHIP_AS_OF_DATE","20070816")</f>
        <v>#N/A N/A</v>
      </c>
      <c r="HC5" t="str">
        <f>_xll.BDS("nan Equity","SUPPLY_CHAIN_SUPPLIERS","RELATIONSHIP_AS_OF_DATE","20060925")</f>
        <v>#N/A N/A</v>
      </c>
      <c r="HH5" t="str">
        <f>_xll.BDS("nan Equity","SUPPLY_CHAIN_CUSTOMERS","RELATIONSHIP_AS_OF_DATE","20060925")</f>
        <v>#N/A N/A</v>
      </c>
      <c r="HM5" t="str">
        <f>_xll.BDS("nan Equity","SUPPLY_CHAIN_SUPPLIERS","RELATIONSHIP_AS_OF_DATE","20200305")</f>
        <v>#N/A N/A</v>
      </c>
      <c r="HR5" t="str">
        <f>_xll.BDS("nan Equity","SUPPLY_CHAIN_CUSTOMERS","RELATIONSHIP_AS_OF_DATE","20200305")</f>
        <v>#N/A N/A</v>
      </c>
      <c r="HW5" t="str">
        <f>_xll.BDS("CADE US Equity","SUPPLY_CHAIN_SUPPLIERS","RELATIONSHIP_AS_OF_DATE","20000417","cols=1;rows=3")</f>
        <v>15647Z US Equity</v>
      </c>
      <c r="IB5" t="str">
        <f>_xll.BDS("CADE US Equity","SUPPLY_CHAIN_CUSTOMERS","RELATIONSHIP_AS_OF_DATE","20000417")</f>
        <v>#N/A N/A</v>
      </c>
      <c r="IG5" t="str">
        <f>_xll.BDS("TLB US Equity","SUPPLY_CHAIN_SUPPLIERS","RELATIONSHIP_AS_OF_DATE","20091208","cols=1;rows=5")</f>
        <v>1473 TT Equity</v>
      </c>
      <c r="IL5" t="str">
        <f>_xll.BDS("TLB US Equity","SUPPLY_CHAIN_CUSTOMERS","RELATIONSHIP_AS_OF_DATE","20091208")</f>
        <v>#N/A N/A</v>
      </c>
      <c r="IQ5" t="str">
        <f>_xll.BDS("SO US Equity","SUPPLY_CHAIN_SUPPLIERS","RELATIONSHIP_AS_OF_DATE","20160224","cols=1;rows=5")</f>
        <v>GEV US Equity</v>
      </c>
      <c r="IV5" t="str">
        <f>_xll.BDS("SO US Equity","SUPPLY_CHAIN_CUSTOMERS","RELATIONSHIP_AS_OF_DATE","20160224","cols=1;rows=5")</f>
        <v>000039 CH Equity</v>
      </c>
      <c r="JA5" t="str">
        <f>_xll.BDS("DHR US Equity","SUPPLY_CHAIN_SUPPLIERS","RELATIONSHIP_AS_OF_DATE","19980202","cols=1;rows=5")</f>
        <v>FLEX US Equity</v>
      </c>
      <c r="JF5" t="str">
        <f>_xll.BDS("DHR US Equity","SUPPLY_CHAIN_CUSTOMERS","RELATIONSHIP_AS_OF_DATE","19980202","cols=1;rows=5")</f>
        <v>CDW US Equity</v>
      </c>
      <c r="JK5" t="str">
        <f>_xll.BDS("CYBS US Equity","SUPPLY_CHAIN_SUPPLIERS","RELATIONSHIP_AS_OF_DATE","20070618")</f>
        <v>#N/A N/A</v>
      </c>
      <c r="JP5" t="str">
        <f>_xll.BDS("CYBS US Equity","SUPPLY_CHAIN_CUSTOMERS","RELATIONSHIP_AS_OF_DATE","20070618")</f>
        <v>#N/A N/A</v>
      </c>
      <c r="JU5" t="str">
        <f>_xll.BDS("PHS US Equity","SUPPLY_CHAIN_SUPPLIERS","RELATIONSHIP_AS_OF_DATE","20040915")</f>
        <v>#N/A N/A</v>
      </c>
      <c r="JZ5" t="str">
        <f>_xll.BDS("PHS US Equity","SUPPLY_CHAIN_CUSTOMERS","RELATIONSHIP_AS_OF_DATE","20040915")</f>
        <v>#N/A N/A</v>
      </c>
      <c r="KE5" t="str">
        <f>_xll.BDS("GZBX US Equity","SUPPLY_CHAIN_SUPPLIERS","RELATIONSHIP_AS_OF_DATE","20000306")</f>
        <v>#N/A N/A</v>
      </c>
      <c r="KJ5" t="str">
        <f>_xll.BDS("GZBX US Equity","SUPPLY_CHAIN_CUSTOMERS","RELATIONSHIP_AS_OF_DATE","20000306")</f>
        <v>#N/A N/A</v>
      </c>
      <c r="KO5" t="str">
        <f>_xll.BDS("SASR US Equity","SUPPLY_CHAIN_SUPPLIERS","RELATIONSHIP_AS_OF_DATE","20170516")</f>
        <v>#N/A N/A</v>
      </c>
      <c r="KT5" t="str">
        <f>_xll.BDS("SASR US Equity","SUPPLY_CHAIN_CUSTOMERS","RELATIONSHIP_AS_OF_DATE","20170516")</f>
        <v>#N/A N/A</v>
      </c>
      <c r="KY5" t="str">
        <f>_xll.BDS("OSGIQ US Equity","SUPPLY_CHAIN_SUPPLIERS","RELATIONSHIP_AS_OF_DATE","20060925")</f>
        <v>#N/A N/A</v>
      </c>
      <c r="LD5" t="str">
        <f>_xll.BDS("OSGIQ US Equity","SUPPLY_CHAIN_CUSTOMERS","RELATIONSHIP_AS_OF_DATE","20060925")</f>
        <v>#N/A N/A</v>
      </c>
      <c r="LI5" t="str">
        <f>_xll.BDS("WTRG US Equity","SUPPLY_CHAIN_SUPPLIERS","RELATIONSHIP_AS_OF_DATE","19980629","cols=1;rows=2")</f>
        <v>13953MF US Equity</v>
      </c>
      <c r="LN5" t="str">
        <f>_xll.BDS("WTRG US Equity","SUPPLY_CHAIN_CUSTOMERS","RELATIONSHIP_AS_OF_DATE","19980629")</f>
        <v>#N/A N/A</v>
      </c>
      <c r="LS5" t="str">
        <f>_xll.BDS("CVX US Equity","SUPPLY_CHAIN_SUPPLIERS","RELATIONSHIP_AS_OF_DATE","20210305","cols=1;rows=5")</f>
        <v>RIG US Equity</v>
      </c>
      <c r="LX5" t="str">
        <f>_xll.BDS("CVX US Equity","SUPPLY_CHAIN_CUSTOMERS","RELATIONSHIP_AS_OF_DATE","20210305","cols=1;rows=5")</f>
        <v>UGPA3 BZ Equity</v>
      </c>
      <c r="MC5" t="str">
        <f>_xll.BDS("RRC US Equity","SUPPLY_CHAIN_SUPPLIERS","RELATIONSHIP_AS_OF_DATE","20060511","cols=1;rows=3")</f>
        <v>PFIE US Equity</v>
      </c>
      <c r="MH5" t="str">
        <f>_xll.BDS("RRC US Equity","SUPPLY_CHAIN_CUSTOMERS","RELATIONSHIP_AS_OF_DATE","20060511")</f>
        <v>#N/A N/A</v>
      </c>
      <c r="MM5" t="str">
        <f>_xll.BDS("1519128D US Equity","SUPPLY_CHAIN_SUPPLIERS","RELATIONSHIP_AS_OF_DATE","19990624")</f>
        <v>#N/A N/A</v>
      </c>
      <c r="MR5" t="str">
        <f>_xll.BDS("1519128D US Equity","SUPPLY_CHAIN_CUSTOMERS","RELATIONSHIP_AS_OF_DATE","19990624")</f>
        <v>#N/A N/A</v>
      </c>
      <c r="MW5" t="str">
        <f>_xll.BDS("TALO US Equity","SUPPLY_CHAIN_SUPPLIERS","RELATIONSHIP_AS_OF_DATE","20001030","cols=1;rows=5")</f>
        <v>HLX US Equity</v>
      </c>
      <c r="NB5" t="str">
        <f>_xll.BDS("TALO US Equity","SUPPLY_CHAIN_CUSTOMERS","RELATIONSHIP_AS_OF_DATE","20001030","cols=1;rows=5")</f>
        <v>SHEL LN Equity</v>
      </c>
      <c r="NG5" t="str">
        <f>_xll.BDS("GE US Equity","SUPPLY_CHAIN_SUPPLIERS","RELATIONSHIP_AS_OF_DATE","20101022","cols=1;rows=5")</f>
        <v>SAF FP Equity</v>
      </c>
      <c r="NL5" t="str">
        <f>_xll.BDS("GE US Equity","SUPPLY_CHAIN_CUSTOMERS","RELATIONSHIP_AS_OF_DATE","20101022","cols=1;rows=5")</f>
        <v>3352Z US Equity</v>
      </c>
      <c r="NQ5" t="str">
        <f>_xll.BDS("TEX US Equity","SUPPLY_CHAIN_SUPPLIERS","RELATIONSHIP_AS_OF_DATE","20080114","cols=1;rows=5")</f>
        <v>RS US Equity</v>
      </c>
      <c r="NV5" t="str">
        <f>_xll.BDS("TEX US Equity","SUPPLY_CHAIN_CUSTOMERS","RELATIONSHIP_AS_OF_DATE","20080114","cols=1;rows=5")</f>
        <v>URI US Equity</v>
      </c>
      <c r="OA5" t="str">
        <f>_xll.BDS("WTTR US Equity","SUPPLY_CHAIN_SUPPLIERS","RELATIONSHIP_AS_OF_DATE","20170718")</f>
        <v>GNL US Equity</v>
      </c>
      <c r="OF5" t="str">
        <f>_xll.BDS("WTTR US Equity","SUPPLY_CHAIN_CUSTOMERS","RELATIONSHIP_AS_OF_DATE","20170718","cols=1;rows=5")</f>
        <v>0069572D US Equity</v>
      </c>
    </row>
    <row r="6" spans="1:396" x14ac:dyDescent="0.25">
      <c r="A6" t="s">
        <v>158</v>
      </c>
      <c r="F6" t="s">
        <v>12137</v>
      </c>
      <c r="K6" t="s">
        <v>12089</v>
      </c>
      <c r="P6" t="s">
        <v>12564</v>
      </c>
      <c r="U6" t="s">
        <v>42</v>
      </c>
      <c r="Z6" t="s">
        <v>158</v>
      </c>
      <c r="AO6" t="s">
        <v>383</v>
      </c>
      <c r="AT6" t="s">
        <v>4139</v>
      </c>
      <c r="BD6" t="s">
        <v>2705</v>
      </c>
      <c r="BI6" t="s">
        <v>12267</v>
      </c>
      <c r="BN6" t="s">
        <v>368</v>
      </c>
      <c r="BS6" t="s">
        <v>12198</v>
      </c>
      <c r="CR6" t="s">
        <v>42</v>
      </c>
      <c r="EA6" t="s">
        <v>8932</v>
      </c>
      <c r="EK6" t="s">
        <v>2887</v>
      </c>
      <c r="EP6" t="s">
        <v>10637</v>
      </c>
      <c r="GI6" t="s">
        <v>11787</v>
      </c>
      <c r="HW6" t="s">
        <v>11053</v>
      </c>
      <c r="IG6" t="s">
        <v>12591</v>
      </c>
      <c r="IQ6" t="s">
        <v>7384</v>
      </c>
      <c r="IV6" t="s">
        <v>11527</v>
      </c>
      <c r="JA6" t="s">
        <v>10735</v>
      </c>
      <c r="JF6" t="s">
        <v>2881</v>
      </c>
      <c r="LI6" t="s">
        <v>12786</v>
      </c>
      <c r="LS6" t="s">
        <v>11155</v>
      </c>
      <c r="LX6" t="s">
        <v>11640</v>
      </c>
      <c r="MC6" t="s">
        <v>7835</v>
      </c>
      <c r="MW6" t="s">
        <v>12715</v>
      </c>
      <c r="NB6" t="s">
        <v>47</v>
      </c>
      <c r="NG6" t="s">
        <v>11008</v>
      </c>
      <c r="NL6" t="s">
        <v>1363</v>
      </c>
      <c r="NQ6" t="s">
        <v>11992</v>
      </c>
      <c r="NV6" t="s">
        <v>684</v>
      </c>
      <c r="OF6" t="s">
        <v>11494</v>
      </c>
    </row>
    <row r="7" spans="1:396" x14ac:dyDescent="0.25">
      <c r="A7" t="s">
        <v>8925</v>
      </c>
      <c r="F7" t="s">
        <v>7289</v>
      </c>
      <c r="K7" t="s">
        <v>12090</v>
      </c>
      <c r="P7" t="s">
        <v>10917</v>
      </c>
      <c r="U7" t="s">
        <v>371</v>
      </c>
      <c r="Z7" t="s">
        <v>3073</v>
      </c>
      <c r="AO7" t="s">
        <v>11038</v>
      </c>
      <c r="AT7" t="s">
        <v>11749</v>
      </c>
      <c r="BD7" t="s">
        <v>270</v>
      </c>
      <c r="BS7" t="s">
        <v>11153</v>
      </c>
      <c r="CR7" t="s">
        <v>10785</v>
      </c>
      <c r="EA7" t="s">
        <v>3162</v>
      </c>
      <c r="EP7" t="s">
        <v>10638</v>
      </c>
      <c r="GI7" t="s">
        <v>12190</v>
      </c>
      <c r="HW7" t="s">
        <v>3162</v>
      </c>
      <c r="IG7" t="s">
        <v>12259</v>
      </c>
      <c r="IQ7" t="s">
        <v>11991</v>
      </c>
      <c r="IV7" t="s">
        <v>10914</v>
      </c>
      <c r="JA7" t="s">
        <v>273</v>
      </c>
      <c r="JF7" t="s">
        <v>10661</v>
      </c>
      <c r="LS7" t="s">
        <v>12104</v>
      </c>
      <c r="LX7" t="s">
        <v>12417</v>
      </c>
      <c r="MC7" t="s">
        <v>12119</v>
      </c>
      <c r="MW7" t="s">
        <v>375</v>
      </c>
      <c r="NB7" t="s">
        <v>11636</v>
      </c>
      <c r="NG7" t="s">
        <v>11009</v>
      </c>
      <c r="NL7" t="s">
        <v>10939</v>
      </c>
      <c r="NQ7" t="s">
        <v>11993</v>
      </c>
      <c r="NV7" t="s">
        <v>276</v>
      </c>
      <c r="OF7" t="s">
        <v>11495</v>
      </c>
    </row>
    <row r="8" spans="1:396" x14ac:dyDescent="0.25">
      <c r="A8" t="s">
        <v>382</v>
      </c>
      <c r="F8" t="s">
        <v>12138</v>
      </c>
      <c r="K8" t="s">
        <v>12091</v>
      </c>
      <c r="U8" t="s">
        <v>1164</v>
      </c>
      <c r="Z8" t="s">
        <v>10953</v>
      </c>
      <c r="AO8" t="s">
        <v>11176</v>
      </c>
      <c r="AT8" t="s">
        <v>10660</v>
      </c>
      <c r="BS8" t="s">
        <v>12199</v>
      </c>
      <c r="CR8" t="s">
        <v>388</v>
      </c>
      <c r="EP8" t="s">
        <v>10639</v>
      </c>
      <c r="GI8" t="s">
        <v>11964</v>
      </c>
      <c r="IG8" t="s">
        <v>12592</v>
      </c>
      <c r="IQ8" t="s">
        <v>3066</v>
      </c>
      <c r="IV8" t="s">
        <v>12537</v>
      </c>
      <c r="JA8" t="s">
        <v>6320</v>
      </c>
      <c r="JF8" t="s">
        <v>10662</v>
      </c>
      <c r="LS8" t="s">
        <v>375</v>
      </c>
      <c r="LX8" t="s">
        <v>12418</v>
      </c>
      <c r="MW8" t="s">
        <v>11847</v>
      </c>
      <c r="NB8" t="s">
        <v>12690</v>
      </c>
      <c r="NG8" t="s">
        <v>11010</v>
      </c>
      <c r="NL8" t="s">
        <v>1652</v>
      </c>
      <c r="NQ8" t="s">
        <v>11994</v>
      </c>
      <c r="NV8" t="s">
        <v>475</v>
      </c>
      <c r="OF8" t="s">
        <v>11496</v>
      </c>
    </row>
    <row r="9" spans="1:396" x14ac:dyDescent="0.25">
      <c r="A9" t="s">
        <v>10740</v>
      </c>
      <c r="F9" t="s">
        <v>11256</v>
      </c>
      <c r="K9" t="s">
        <v>12092</v>
      </c>
      <c r="U9" t="s">
        <v>1172</v>
      </c>
      <c r="Z9" t="s">
        <v>10660</v>
      </c>
      <c r="AO9" t="s">
        <v>10852</v>
      </c>
      <c r="AT9" t="s">
        <v>10918</v>
      </c>
      <c r="BS9" t="s">
        <v>10868</v>
      </c>
      <c r="CR9" t="s">
        <v>10786</v>
      </c>
      <c r="EP9" t="s">
        <v>10640</v>
      </c>
      <c r="GI9" t="s">
        <v>12353</v>
      </c>
      <c r="IG9" t="s">
        <v>1758</v>
      </c>
      <c r="IQ9" t="s">
        <v>3251</v>
      </c>
      <c r="IV9" t="s">
        <v>12538</v>
      </c>
      <c r="JA9" t="s">
        <v>1654</v>
      </c>
      <c r="JF9" t="s">
        <v>10663</v>
      </c>
      <c r="LS9" t="s">
        <v>12105</v>
      </c>
      <c r="LX9" t="s">
        <v>12419</v>
      </c>
      <c r="MW9" t="s">
        <v>12716</v>
      </c>
      <c r="NB9" t="s">
        <v>2034</v>
      </c>
      <c r="NG9" t="s">
        <v>3625</v>
      </c>
      <c r="NL9" t="s">
        <v>1740</v>
      </c>
      <c r="NQ9" t="s">
        <v>11995</v>
      </c>
      <c r="NV9" t="s">
        <v>11961</v>
      </c>
      <c r="OF9" t="s">
        <v>11497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4597</v>
      </c>
      <c r="K1" s="1" t="s">
        <v>4598</v>
      </c>
      <c r="U1" s="1" t="s">
        <v>4599</v>
      </c>
      <c r="AE1" s="1" t="s">
        <v>4600</v>
      </c>
      <c r="AO1" s="1" t="s">
        <v>4601</v>
      </c>
      <c r="AY1" s="1" t="s">
        <v>4602</v>
      </c>
      <c r="BI1" s="1" t="s">
        <v>4603</v>
      </c>
      <c r="BS1" s="1" t="s">
        <v>4604</v>
      </c>
      <c r="CC1" s="1" t="s">
        <v>4605</v>
      </c>
      <c r="CM1" s="1" t="s">
        <v>4606</v>
      </c>
      <c r="CW1" s="1" t="s">
        <v>4607</v>
      </c>
      <c r="DG1" s="1" t="s">
        <v>4608</v>
      </c>
      <c r="DQ1" s="1" t="s">
        <v>4609</v>
      </c>
      <c r="EA1" s="1" t="s">
        <v>4610</v>
      </c>
      <c r="EK1" s="1" t="s">
        <v>4611</v>
      </c>
      <c r="EU1" s="1" t="s">
        <v>4612</v>
      </c>
      <c r="FE1" s="1" t="s">
        <v>4613</v>
      </c>
      <c r="FO1" s="1" t="s">
        <v>4614</v>
      </c>
      <c r="FY1" s="1" t="s">
        <v>4615</v>
      </c>
      <c r="GI1" s="1" t="s">
        <v>4616</v>
      </c>
      <c r="GS1" s="1" t="s">
        <v>4617</v>
      </c>
      <c r="HC1" s="1" t="s">
        <v>4618</v>
      </c>
      <c r="HM1" s="1" t="s">
        <v>4619</v>
      </c>
      <c r="HW1" s="1" t="s">
        <v>4620</v>
      </c>
      <c r="IG1" s="1" t="s">
        <v>4621</v>
      </c>
      <c r="IQ1" s="1" t="s">
        <v>4622</v>
      </c>
      <c r="JA1" s="1" t="s">
        <v>4623</v>
      </c>
      <c r="JK1" s="1" t="s">
        <v>4624</v>
      </c>
      <c r="JU1" s="1" t="s">
        <v>4625</v>
      </c>
      <c r="KE1" s="1" t="s">
        <v>4626</v>
      </c>
      <c r="KO1" s="1" t="s">
        <v>4627</v>
      </c>
      <c r="KY1" s="1" t="s">
        <v>4628</v>
      </c>
      <c r="LI1" s="1" t="s">
        <v>4629</v>
      </c>
      <c r="LS1" s="1" t="s">
        <v>4630</v>
      </c>
      <c r="MC1" s="1" t="s">
        <v>4631</v>
      </c>
      <c r="MM1" s="1" t="s">
        <v>4632</v>
      </c>
      <c r="MW1" s="1" t="s">
        <v>4633</v>
      </c>
      <c r="NG1" s="1" t="s">
        <v>4634</v>
      </c>
      <c r="NQ1" s="1" t="s">
        <v>4635</v>
      </c>
      <c r="OA1" s="1" t="s">
        <v>4636</v>
      </c>
    </row>
    <row r="2" spans="1:396" x14ac:dyDescent="0.25">
      <c r="A2" s="2" t="s">
        <v>175</v>
      </c>
      <c r="K2" s="2" t="s">
        <v>2596</v>
      </c>
      <c r="U2" s="2" t="s">
        <v>3707</v>
      </c>
      <c r="AE2" s="2" t="s">
        <v>45</v>
      </c>
      <c r="AO2" s="2" t="s">
        <v>70</v>
      </c>
      <c r="AY2" s="2" t="s">
        <v>4637</v>
      </c>
      <c r="BI2" s="2" t="s">
        <v>4638</v>
      </c>
      <c r="BS2" s="2" t="s">
        <v>4639</v>
      </c>
      <c r="CC2" s="2" t="s">
        <v>4640</v>
      </c>
      <c r="CM2" s="2" t="s">
        <v>3333</v>
      </c>
      <c r="CW2" s="2" t="s">
        <v>4641</v>
      </c>
      <c r="DG2" s="2" t="s">
        <v>1734</v>
      </c>
      <c r="DQ2" s="2" t="s">
        <v>4642</v>
      </c>
      <c r="EA2" s="2" t="s">
        <v>1840</v>
      </c>
      <c r="EK2" s="2" t="s">
        <v>1168</v>
      </c>
      <c r="EU2" s="2" t="s">
        <v>4643</v>
      </c>
      <c r="FE2" s="2" t="s">
        <v>4644</v>
      </c>
      <c r="FO2" s="2" t="s">
        <v>4645</v>
      </c>
      <c r="FY2" s="2" t="s">
        <v>4646</v>
      </c>
      <c r="GI2" s="2" t="s">
        <v>3715</v>
      </c>
      <c r="GS2" s="2" t="s">
        <v>383</v>
      </c>
      <c r="HC2" s="2" t="s">
        <v>4227</v>
      </c>
      <c r="HM2" s="2" t="s">
        <v>4647</v>
      </c>
      <c r="HW2" s="2" t="s">
        <v>261</v>
      </c>
      <c r="IG2" s="2" t="s">
        <v>4648</v>
      </c>
      <c r="IQ2" s="2" t="s">
        <v>4649</v>
      </c>
      <c r="JA2" s="2" t="s">
        <v>3798</v>
      </c>
      <c r="JK2" s="2" t="s">
        <v>1654</v>
      </c>
      <c r="JU2" s="2" t="s">
        <v>4650</v>
      </c>
      <c r="KE2" s="2" t="s">
        <v>887</v>
      </c>
      <c r="KO2" s="2" t="s">
        <v>4651</v>
      </c>
      <c r="KY2" s="2" t="s">
        <v>4652</v>
      </c>
      <c r="LI2" s="2" t="s">
        <v>4653</v>
      </c>
      <c r="LS2" s="2" t="s">
        <v>4654</v>
      </c>
      <c r="MC2" s="2" t="s">
        <v>64</v>
      </c>
      <c r="MM2" s="2" t="s">
        <v>1261</v>
      </c>
      <c r="MW2" s="2" t="s">
        <v>3253</v>
      </c>
      <c r="NG2" s="2" t="s">
        <v>4655</v>
      </c>
      <c r="NQ2" s="2" t="s">
        <v>4656</v>
      </c>
      <c r="OA2" s="2" t="s">
        <v>175</v>
      </c>
    </row>
    <row r="3" spans="1:396" x14ac:dyDescent="0.25">
      <c r="A3" t="s">
        <v>4420</v>
      </c>
      <c r="K3" t="s">
        <v>4423</v>
      </c>
      <c r="U3" t="s">
        <v>4657</v>
      </c>
      <c r="AE3" t="s">
        <v>2810</v>
      </c>
      <c r="AO3" t="s">
        <v>4658</v>
      </c>
      <c r="AY3" t="s">
        <v>4659</v>
      </c>
      <c r="BI3" t="s">
        <v>4660</v>
      </c>
      <c r="BS3" t="s">
        <v>4661</v>
      </c>
      <c r="CC3" t="s">
        <v>3541</v>
      </c>
      <c r="CM3" t="s">
        <v>4662</v>
      </c>
      <c r="CW3" t="s">
        <v>2732</v>
      </c>
      <c r="DG3" t="s">
        <v>4663</v>
      </c>
      <c r="DQ3" t="s">
        <v>4664</v>
      </c>
      <c r="EA3" t="s">
        <v>3638</v>
      </c>
      <c r="EK3" t="s">
        <v>4665</v>
      </c>
      <c r="EU3" t="s">
        <v>2540</v>
      </c>
      <c r="FE3" t="s">
        <v>4666</v>
      </c>
      <c r="FO3" t="s">
        <v>4667</v>
      </c>
      <c r="FY3" t="s">
        <v>4668</v>
      </c>
      <c r="GI3" t="s">
        <v>4669</v>
      </c>
      <c r="GS3" t="s">
        <v>3804</v>
      </c>
      <c r="HC3" t="s">
        <v>904</v>
      </c>
      <c r="HM3" t="s">
        <v>608</v>
      </c>
      <c r="HW3" t="s">
        <v>4670</v>
      </c>
      <c r="IG3" t="s">
        <v>4671</v>
      </c>
      <c r="IQ3" t="s">
        <v>4672</v>
      </c>
      <c r="JA3" t="s">
        <v>4673</v>
      </c>
      <c r="JK3" t="s">
        <v>4674</v>
      </c>
      <c r="JU3" t="s">
        <v>185</v>
      </c>
      <c r="KE3" t="s">
        <v>4675</v>
      </c>
      <c r="KO3" t="s">
        <v>4676</v>
      </c>
      <c r="KY3" t="s">
        <v>2995</v>
      </c>
      <c r="LI3" t="s">
        <v>4677</v>
      </c>
      <c r="LS3" t="s">
        <v>4678</v>
      </c>
      <c r="MC3" t="s">
        <v>4679</v>
      </c>
      <c r="MM3" t="s">
        <v>3972</v>
      </c>
      <c r="MW3" t="s">
        <v>3972</v>
      </c>
      <c r="NG3" t="s">
        <v>4680</v>
      </c>
      <c r="NQ3" t="s">
        <v>1290</v>
      </c>
      <c r="OA3" t="s">
        <v>1967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_xll.BDS("TFC US Equity","SUPPLY_CHAIN_SUPPLIERS","RELATIONSHIP_AS_OF_DATE","19990428","cols=1;rows=5")</f>
        <v>ADBE US Equity</v>
      </c>
      <c r="F5" t="str">
        <f>_xll.BDS("TFC US Equity","SUPPLY_CHAIN_CUSTOMERS","RELATIONSHIP_AS_OF_DATE","19990428")</f>
        <v>RENG IN Equity</v>
      </c>
      <c r="K5" t="str">
        <f>_xll.BDS("ZION US Equity","SUPPLY_CHAIN_SUPPLIERS","RELATIONSHIP_AS_OF_DATE","19980326","cols=1;rows=2")</f>
        <v>MUST SP Equity</v>
      </c>
      <c r="P5" t="str">
        <f>_xll.BDS("ZION US Equity","SUPPLY_CHAIN_CUSTOMERS","RELATIONSHIP_AS_OF_DATE","19980326")</f>
        <v>#N/A N/A</v>
      </c>
      <c r="U5" t="str">
        <f>_xll.BDS("RRD US Equity","SUPPLY_CHAIN_SUPPLIERS","RELATIONSHIP_AS_OF_DATE","20100223","cols=1;rows=5")</f>
        <v>FNOVA17 MM Equity</v>
      </c>
      <c r="Z5" t="str">
        <f>_xll.BDS("RRD US Equity","SUPPLY_CHAIN_CUSTOMERS","RELATIONSHIP_AS_OF_DATE","20100223","cols=1;rows=5")</f>
        <v>1646058D US Equity</v>
      </c>
      <c r="AE5" t="str">
        <f>_xll.BDS("ABBV US Equity","SUPPLY_CHAIN_SUPPLIERS","RELATIONSHIP_AS_OF_DATE","20210510","cols=1;rows=5")</f>
        <v>ROG SW Equity</v>
      </c>
      <c r="AJ5" t="str">
        <f>_xll.BDS("ABBV US Equity","SUPPLY_CHAIN_CUSTOMERS","RELATIONSHIP_AS_OF_DATE","20210510","cols=1;rows=5")</f>
        <v>MCK US Equity</v>
      </c>
      <c r="AO5" t="str">
        <f>_xll.BDS("0848680D US Equity","SUPPLY_CHAIN_SUPPLIERS","RELATIONSHIP_AS_OF_DATE","19990427")</f>
        <v>#N/A N/A</v>
      </c>
      <c r="AT5" t="str">
        <f>_xll.BDS("0848680D US Equity","SUPPLY_CHAIN_CUSTOMERS","RELATIONSHIP_AS_OF_DATE","19990427")</f>
        <v>#N/A N/A</v>
      </c>
      <c r="AY5" t="str">
        <f>_xll.BDS("3493202Q US Equity","SUPPLY_CHAIN_SUPPLIERS","RELATIONSHIP_AS_OF_DATE","20060130")</f>
        <v>#N/A N/A</v>
      </c>
      <c r="BD5" t="str">
        <f>_xll.BDS("3493202Q US Equity","SUPPLY_CHAIN_CUSTOMERS","RELATIONSHIP_AS_OF_DATE","20060130")</f>
        <v>#N/A N/A</v>
      </c>
      <c r="BI5" t="str">
        <f>_xll.BDS("NIC US Equity","SUPPLY_CHAIN_SUPPLIERS","RELATIONSHIP_AS_OF_DATE","20210622")</f>
        <v>VYX US Equity</v>
      </c>
      <c r="BN5" t="str">
        <f>_xll.BDS("NIC US Equity","SUPPLY_CHAIN_CUSTOMERS","RELATIONSHIP_AS_OF_DATE","20210622")</f>
        <v>#N/A N/A</v>
      </c>
      <c r="BS5" t="str">
        <f>_xll.BDS("FBRT US Equity","SUPPLY_CHAIN_SUPPLIERS","RELATIONSHIP_AS_OF_DATE","20210726")</f>
        <v>#N/A N/A</v>
      </c>
      <c r="BX5" t="str">
        <f>_xll.BDS("FBRT US Equity","SUPPLY_CHAIN_CUSTOMERS","RELATIONSHIP_AS_OF_DATE","20210726")</f>
        <v>#N/A N/A</v>
      </c>
      <c r="CC5" t="str">
        <f>_xll.BDS("FGHLQ US Equity","SUPPLY_CHAIN_SUPPLIERS","RELATIONSHIP_AS_OF_DATE","19990602")</f>
        <v>#N/A N/A</v>
      </c>
      <c r="CH5" t="str">
        <f>_xll.BDS("FGHLQ US Equity","SUPPLY_CHAIN_CUSTOMERS","RELATIONSHIP_AS_OF_DATE","19990602")</f>
        <v>#N/A N/A</v>
      </c>
      <c r="CM5" t="str">
        <f>_xll.BDS("UBSI US Equity","SUPPLY_CHAIN_SUPPLIERS","RELATIONSHIP_AS_OF_DATE","20130130")</f>
        <v>FICO US Equity</v>
      </c>
      <c r="CR5" t="str">
        <f>_xll.BDS("UBSI US Equity","SUPPLY_CHAIN_CUSTOMERS","RELATIONSHIP_AS_OF_DATE","20130130")</f>
        <v>#N/A N/A</v>
      </c>
      <c r="CW5" t="str">
        <f>_xll.BDS("CHZ US Equity","SUPPLY_CHAIN_SUPPLIERS","RELATIONSHIP_AS_OF_DATE","19981216")</f>
        <v>#N/A N/A</v>
      </c>
      <c r="DB5" t="str">
        <f>_xll.BDS("CHZ US Equity","SUPPLY_CHAIN_CUSTOMERS","RELATIONSHIP_AS_OF_DATE","19981216")</f>
        <v>#N/A N/A</v>
      </c>
      <c r="DG5" t="str">
        <f>_xll.BDS("2326248D US Equity","SUPPLY_CHAIN_SUPPLIERS","RELATIONSHIP_AS_OF_DATE","20150527")</f>
        <v>#N/A N/A</v>
      </c>
      <c r="DL5" t="str">
        <f>_xll.BDS("2326248D US Equity","SUPPLY_CHAIN_CUSTOMERS","RELATIONSHIP_AS_OF_DATE","20150527")</f>
        <v>#N/A N/A</v>
      </c>
      <c r="DQ5" t="str">
        <f>_xll.BDS("YUM US Equity","SUPPLY_CHAIN_SUPPLIERS","RELATIONSHIP_AS_OF_DATE","20200106","cols=1;rows=5")</f>
        <v>BRK/A US Equity</v>
      </c>
      <c r="DV5" t="str">
        <f>_xll.BDS("YUM US Equity","SUPPLY_CHAIN_CUSTOMERS","RELATIONSHIP_AS_OF_DATE","20200106","cols=1;rows=5")</f>
        <v>FAST IJ Equity</v>
      </c>
      <c r="EA5" t="str">
        <f>_xll.BDS("9990822D US Equity","SUPPLY_CHAIN_SUPPLIERS","RELATIONSHIP_AS_OF_DATE","20060308")</f>
        <v>AMZN US Equity</v>
      </c>
      <c r="EF5" t="str">
        <f>_xll.BDS("9990822D US Equity","SUPPLY_CHAIN_CUSTOMERS","RELATIONSHIP_AS_OF_DATE","20060308","cols=1;rows=3")</f>
        <v>0759608D US Equity</v>
      </c>
      <c r="EK5" t="str">
        <f>_xll.BDS("LNWO US Equity","SUPPLY_CHAIN_SUPPLIERS","RELATIONSHIP_AS_OF_DATE","20170920","cols=1;rows=5")</f>
        <v>HAS US Equity</v>
      </c>
      <c r="EP5" t="str">
        <f>_xll.BDS("LNWO US Equity","SUPPLY_CHAIN_CUSTOMERS","RELATIONSHIP_AS_OF_DATE","20170920","cols=1;rows=5")</f>
        <v>ENT LN Equity</v>
      </c>
      <c r="EU5" t="str">
        <f>_xll.BDS("1504558D US Equity","SUPPLY_CHAIN_SUPPLIERS","RELATIONSHIP_AS_OF_DATE","20050309")</f>
        <v>#N/A N/A</v>
      </c>
      <c r="EZ5" t="str">
        <f>_xll.BDS("1504558D US Equity","SUPPLY_CHAIN_CUSTOMERS","RELATIONSHIP_AS_OF_DATE","20050309")</f>
        <v>#N/A N/A</v>
      </c>
      <c r="FE5" t="str">
        <f>_xll.BDS("MRO US Equity","SUPPLY_CHAIN_SUPPLIERS","RELATIONSHIP_AS_OF_DATE","20001222","cols=1;rows=5")</f>
        <v>2629861D US Equity</v>
      </c>
      <c r="FJ5" t="str">
        <f>_xll.BDS("MRO US Equity","SUPPLY_CHAIN_CUSTOMERS","RELATIONSHIP_AS_OF_DATE","20001222","cols=1;rows=5")</f>
        <v>1188058D SP Equity</v>
      </c>
      <c r="FO5" t="str">
        <f>_xll.BDS("CATY US Equity","SUPPLY_CHAIN_SUPPLIERS","RELATIONSHIP_AS_OF_DATE","20030507")</f>
        <v>#N/A N/A</v>
      </c>
      <c r="FT5" t="str">
        <f>_xll.BDS("CATY US Equity","SUPPLY_CHAIN_CUSTOMERS","RELATIONSHIP_AS_OF_DATE","20030507")</f>
        <v>#N/A N/A</v>
      </c>
      <c r="FY5" t="str">
        <f>_xll.BDS("MXL US Equity","SUPPLY_CHAIN_SUPPLIERS","RELATIONSHIP_AS_OF_DATE","20170329","cols=1;rows=5")</f>
        <v>2330 TT Equity</v>
      </c>
      <c r="GD5" t="str">
        <f>_xll.BDS("MXL US Equity","SUPPLY_CHAIN_CUSTOMERS","RELATIONSHIP_AS_OF_DATE","20170329","cols=1;rows=5")</f>
        <v>3036 TT Equity</v>
      </c>
      <c r="GI5" t="str">
        <f>_xll.BDS("WBA US Equity","SUPPLY_CHAIN_SUPPLIERS","RELATIONSHIP_AS_OF_DATE","20110324","cols=1;rows=5")</f>
        <v>COR US Equity</v>
      </c>
      <c r="GN5" t="str">
        <f>_xll.BDS("WBA US Equity","SUPPLY_CHAIN_CUSTOMERS","RELATIONSHIP_AS_OF_DATE","20110324","cols=1;rows=5")</f>
        <v>1920799D US Equity</v>
      </c>
      <c r="GS5" t="str">
        <f>_xll.BDS("INTC US Equity","SUPPLY_CHAIN_SUPPLIERS","RELATIONSHIP_AS_OF_DATE","20010115","cols=1;rows=5")</f>
        <v>ASML NA Equity</v>
      </c>
      <c r="GX5" t="str">
        <f>_xll.BDS("INTC US Equity","SUPPLY_CHAIN_CUSTOMERS","RELATIONSHIP_AS_OF_DATE","20010115","cols=1;rows=5")</f>
        <v>DELL US Equity</v>
      </c>
      <c r="HC5" t="str">
        <f>_xll.BDS("CBST US Equity","SUPPLY_CHAIN_SUPPLIERS","RELATIONSHIP_AS_OF_DATE","20130730")</f>
        <v>#N/A N/A</v>
      </c>
      <c r="HH5" t="str">
        <f>_xll.BDS("CBST US Equity","SUPPLY_CHAIN_CUSTOMERS","RELATIONSHIP_AS_OF_DATE","20130730")</f>
        <v>#N/A N/A</v>
      </c>
      <c r="HM5" t="str">
        <f>_xll.BDS("ISBC US Equity","SUPPLY_CHAIN_SUPPLIERS","RELATIONSHIP_AS_OF_DATE","20121220")</f>
        <v>#N/A N/A</v>
      </c>
      <c r="HR5" t="str">
        <f>_xll.BDS("ISBC US Equity","SUPPLY_CHAIN_CUSTOMERS","RELATIONSHIP_AS_OF_DATE","20121220")</f>
        <v>#N/A N/A</v>
      </c>
      <c r="HW5" t="str">
        <f>_xll.BDS("HPQ US Equity","SUPPLY_CHAIN_SUPPLIERS","RELATIONSHIP_AS_OF_DATE","20050919","cols=1;rows=5")</f>
        <v>2356 TT Equity</v>
      </c>
      <c r="IB5" t="str">
        <f>_xll.BDS("HPQ US Equity","SUPPLY_CHAIN_CUSTOMERS","RELATIONSHIP_AS_OF_DATE","20050919","cols=1;rows=5")</f>
        <v>SNX US Equity</v>
      </c>
      <c r="IG5" t="str">
        <f>_xll.BDS("CNA US Equity","SUPPLY_CHAIN_SUPPLIERS","RELATIONSHIP_AS_OF_DATE","20101101","cols=1;rows=4")</f>
        <v>INFA US Equity</v>
      </c>
      <c r="IL5" t="str">
        <f>_xll.BDS("CNA US Equity","SUPPLY_CHAIN_CUSTOMERS","RELATIONSHIP_AS_OF_DATE","20101101")</f>
        <v>#N/A N/A</v>
      </c>
      <c r="IQ5" t="str">
        <f>_xll.BDS("1885525D US Equity","SUPPLY_CHAIN_SUPPLIERS","RELATIONSHIP_AS_OF_DATE","20100929","cols=1;rows=5")</f>
        <v>AOSL US Equity</v>
      </c>
      <c r="IV5" t="str">
        <f>_xll.BDS("1885525D US Equity","SUPPLY_CHAIN_CUSTOMERS","RELATIONSHIP_AS_OF_DATE","20100929","cols=1;rows=5")</f>
        <v>1920336D US Equity</v>
      </c>
      <c r="JA5" t="str">
        <f>_xll.BDS("AUB US Equity","SUPPLY_CHAIN_SUPPLIERS","RELATIONSHIP_AS_OF_DATE","20130610")</f>
        <v>TEMN SW Equity</v>
      </c>
      <c r="JF5" t="str">
        <f>_xll.BDS("AUB US Equity","SUPPLY_CHAIN_CUSTOMERS","RELATIONSHIP_AS_OF_DATE","20130610")</f>
        <v>#N/A N/A</v>
      </c>
      <c r="JK5" t="str">
        <f>_xll.BDS("ADBE US Equity","SUPPLY_CHAIN_SUPPLIERS","RELATIONSHIP_AS_OF_DATE","20161110","cols=1;rows=5")</f>
        <v>NVDA US Equity</v>
      </c>
      <c r="JP5" t="str">
        <f>_xll.BDS("ADBE US Equity","SUPPLY_CHAIN_CUSTOMERS","RELATIONSHIP_AS_OF_DATE","20161110","cols=1;rows=5")</f>
        <v>TSCO LN Equity</v>
      </c>
      <c r="JU5" t="str">
        <f>_xll.BDS("ENV US Equity","SUPPLY_CHAIN_SUPPLIERS","RELATIONSHIP_AS_OF_DATE","20150810","cols=1;rows=4")</f>
        <v>TCS IN Equity</v>
      </c>
      <c r="JZ5" t="str">
        <f>_xll.BDS("ENV US Equity","SUPPLY_CHAIN_CUSTOMERS","RELATIONSHIP_AS_OF_DATE","20150810","cols=1;rows=2")</f>
        <v>1786285D US Equity</v>
      </c>
      <c r="KE5" t="str">
        <f>_xll.BDS("ENTG US Equity","SUPPLY_CHAIN_SUPPLIERS","RELATIONSHIP_AS_OF_DATE","20050321","cols=1;rows=5")</f>
        <v>CBT US Equity</v>
      </c>
      <c r="KJ5" t="str">
        <f>_xll.BDS("ENTG US Equity","SUPPLY_CHAIN_CUSTOMERS","RELATIONSHIP_AS_OF_DATE","20050321","cols=1;rows=5")</f>
        <v>2330 TT Equity</v>
      </c>
      <c r="KO5" t="str">
        <f>_xll.BDS("IONS US Equity","SUPPLY_CHAIN_SUPPLIERS","RELATIONSHIP_AS_OF_DATE","20200831","cols=1;rows=5")</f>
        <v>BCYC US Equity</v>
      </c>
      <c r="KT5" t="str">
        <f>_xll.BDS("IONS US Equity","SUPPLY_CHAIN_CUSTOMERS","RELATIONSHIP_AS_OF_DATE","20200831","cols=1;rows=5")</f>
        <v>BIIB US Equity</v>
      </c>
      <c r="KY5" t="str">
        <f>_xll.BDS("DBI US Equity","SUPPLY_CHAIN_SUPPLIERS","RELATIONSHIP_AS_OF_DATE","20110208","cols=1;rows=5")</f>
        <v>NKE US Equity</v>
      </c>
      <c r="LD5" t="str">
        <f>_xll.BDS("DBI US Equity","SUPPLY_CHAIN_CUSTOMERS","RELATIONSHIP_AS_OF_DATE","20110208","cols=1;rows=4")</f>
        <v>081660 KS Equity</v>
      </c>
      <c r="LI5" t="str">
        <f>_xll.BDS("LNTH US Equity","SUPPLY_CHAIN_SUPPLIERS","RELATIONSHIP_AS_OF_DATE","20191002","cols=1;rows=5")</f>
        <v>0007847D US Equity</v>
      </c>
      <c r="LN5" t="str">
        <f>_xll.BDS("LNTH US Equity","SUPPLY_CHAIN_CUSTOMERS","RELATIONSHIP_AS_OF_DATE","20191002","cols=1;rows=5")</f>
        <v>0966772D US Equity</v>
      </c>
      <c r="LS5" t="str">
        <f>_xll.BDS("1448021D US Equity","SUPPLY_CHAIN_SUPPLIERS","RELATIONSHIP_AS_OF_DATE","20130905")</f>
        <v>#N/A N/A</v>
      </c>
      <c r="LX5" t="str">
        <f>_xll.BDS("1448021D US Equity","SUPPLY_CHAIN_CUSTOMERS","RELATIONSHIP_AS_OF_DATE","20130905")</f>
        <v>#N/A N/A</v>
      </c>
      <c r="MC5" t="str">
        <f>_xll.BDS("nan Equity","SUPPLY_CHAIN_SUPPLIERS","RELATIONSHIP_AS_OF_DATE","20070812")</f>
        <v>#N/A N/A</v>
      </c>
      <c r="MH5" t="str">
        <f>_xll.BDS("nan Equity","SUPPLY_CHAIN_CUSTOMERS","RELATIONSHIP_AS_OF_DATE","20070812")</f>
        <v>#N/A N/A</v>
      </c>
      <c r="MM5" t="str">
        <f>_xll.BDS("ATHMQ US Equity","SUPPLY_CHAIN_SUPPLIERS","RELATIONSHIP_AS_OF_DATE","19990713")</f>
        <v>004410 KS Equity</v>
      </c>
      <c r="MR5" t="str">
        <f>_xll.BDS("ATHMQ US Equity","SUPPLY_CHAIN_CUSTOMERS","RELATIONSHIP_AS_OF_DATE","19990713")</f>
        <v>#N/A N/A</v>
      </c>
      <c r="MW5" t="str">
        <f>_xll.BDS("DCLK US Equity","SUPPLY_CHAIN_SUPPLIERS","RELATIONSHIP_AS_OF_DATE","19990713")</f>
        <v>#N/A N/A</v>
      </c>
      <c r="NB5" t="str">
        <f>_xll.BDS("DCLK US Equity","SUPPLY_CHAIN_CUSTOMERS","RELATIONSHIP_AS_OF_DATE","19990713")</f>
        <v>#N/A N/A</v>
      </c>
      <c r="NG5" t="str">
        <f>_xll.BDS("ADP US Equity","SUPPLY_CHAIN_SUPPLIERS","RELATIONSHIP_AS_OF_DATE","20030106","cols=1;rows=5")</f>
        <v>CUZ US Equity</v>
      </c>
      <c r="NL5" t="str">
        <f>_xll.BDS("ADP US Equity","SUPPLY_CHAIN_CUSTOMERS","RELATIONSHIP_AS_OF_DATE","20030106","cols=1;rows=2")</f>
        <v>SGE LN Equity</v>
      </c>
      <c r="NQ5" t="str">
        <f>_xll.BDS("GRBEQ US Equity","SUPPLY_CHAIN_SUPPLIERS","RELATIONSHIP_AS_OF_DATE","20070522")</f>
        <v>#N/A N/A</v>
      </c>
      <c r="NV5" t="str">
        <f>_xll.BDS("GRBEQ US Equity","SUPPLY_CHAIN_CUSTOMERS","RELATIONSHIP_AS_OF_DATE","20070522")</f>
        <v>#N/A N/A</v>
      </c>
      <c r="OA5" t="str">
        <f>_xll.BDS("TFC US Equity","SUPPLY_CHAIN_SUPPLIERS","RELATIONSHIP_AS_OF_DATE","20011108","cols=1;rows=5")</f>
        <v>ADBE US Equity</v>
      </c>
      <c r="OF5" t="str">
        <f>_xll.BDS("TFC US Equity","SUPPLY_CHAIN_CUSTOMERS","RELATIONSHIP_AS_OF_DATE","20011108")</f>
        <v>RENG IN Equity</v>
      </c>
    </row>
    <row r="6" spans="1:396" x14ac:dyDescent="0.25">
      <c r="A6" t="s">
        <v>11371</v>
      </c>
      <c r="K6" t="s">
        <v>11221</v>
      </c>
      <c r="U6" t="s">
        <v>11290</v>
      </c>
      <c r="Z6" t="s">
        <v>11284</v>
      </c>
      <c r="AE6" t="s">
        <v>368</v>
      </c>
      <c r="AJ6" t="s">
        <v>1468</v>
      </c>
      <c r="DQ6" t="s">
        <v>378</v>
      </c>
      <c r="DV6" t="s">
        <v>12829</v>
      </c>
      <c r="EF6" t="s">
        <v>2705</v>
      </c>
      <c r="EK6" t="s">
        <v>10711</v>
      </c>
      <c r="EP6" t="s">
        <v>10698</v>
      </c>
      <c r="FE6" t="s">
        <v>12675</v>
      </c>
      <c r="FJ6" t="s">
        <v>11279</v>
      </c>
      <c r="FY6" t="s">
        <v>10859</v>
      </c>
      <c r="GD6" t="s">
        <v>789</v>
      </c>
      <c r="GI6" t="s">
        <v>11117</v>
      </c>
      <c r="GN6" t="s">
        <v>11805</v>
      </c>
      <c r="GS6" t="s">
        <v>11090</v>
      </c>
      <c r="GX6" t="s">
        <v>261</v>
      </c>
      <c r="HW6" t="s">
        <v>383</v>
      </c>
      <c r="IB6" t="s">
        <v>4139</v>
      </c>
      <c r="IG6" t="s">
        <v>12506</v>
      </c>
      <c r="IQ6" t="s">
        <v>11522</v>
      </c>
      <c r="IV6" t="s">
        <v>10660</v>
      </c>
      <c r="JK6" t="s">
        <v>11065</v>
      </c>
      <c r="JP6" t="s">
        <v>2881</v>
      </c>
      <c r="JU6" t="s">
        <v>12436</v>
      </c>
      <c r="JZ6" t="s">
        <v>12766</v>
      </c>
      <c r="KE6" t="s">
        <v>12751</v>
      </c>
      <c r="KJ6" t="s">
        <v>10892</v>
      </c>
      <c r="KO6" t="s">
        <v>12270</v>
      </c>
      <c r="KT6" t="s">
        <v>10834</v>
      </c>
      <c r="KY6" t="s">
        <v>11986</v>
      </c>
      <c r="LD6" t="s">
        <v>10805</v>
      </c>
      <c r="LI6" t="s">
        <v>12123</v>
      </c>
      <c r="LN6" t="s">
        <v>12121</v>
      </c>
      <c r="NG6" t="s">
        <v>1473</v>
      </c>
      <c r="NL6" t="s">
        <v>11439</v>
      </c>
      <c r="OA6" t="s">
        <v>11371</v>
      </c>
    </row>
    <row r="7" spans="1:396" x14ac:dyDescent="0.25">
      <c r="A7" t="s">
        <v>10986</v>
      </c>
      <c r="U7" t="s">
        <v>1654</v>
      </c>
      <c r="Z7" t="s">
        <v>11285</v>
      </c>
      <c r="AE7" t="s">
        <v>12357</v>
      </c>
      <c r="AJ7" t="s">
        <v>970</v>
      </c>
      <c r="DQ7" t="s">
        <v>11585</v>
      </c>
      <c r="DV7" t="s">
        <v>12830</v>
      </c>
      <c r="EF7" t="s">
        <v>270</v>
      </c>
      <c r="EK7" t="s">
        <v>10712</v>
      </c>
      <c r="EP7" t="s">
        <v>10699</v>
      </c>
      <c r="FE7" t="s">
        <v>12676</v>
      </c>
      <c r="FJ7" t="s">
        <v>11281</v>
      </c>
      <c r="FY7" t="s">
        <v>11409</v>
      </c>
      <c r="GD7" t="s">
        <v>10858</v>
      </c>
      <c r="GI7" t="s">
        <v>58</v>
      </c>
      <c r="GN7" t="s">
        <v>1468</v>
      </c>
      <c r="GS7" t="s">
        <v>10729</v>
      </c>
      <c r="GX7" t="s">
        <v>10853</v>
      </c>
      <c r="HW7" t="s">
        <v>11038</v>
      </c>
      <c r="IB7" t="s">
        <v>11749</v>
      </c>
      <c r="IG7" t="s">
        <v>11645</v>
      </c>
      <c r="IQ7" t="s">
        <v>260</v>
      </c>
      <c r="IV7" t="s">
        <v>10787</v>
      </c>
      <c r="JK7" t="s">
        <v>165</v>
      </c>
      <c r="JP7" t="s">
        <v>469</v>
      </c>
      <c r="JU7" t="s">
        <v>12437</v>
      </c>
      <c r="KE7" t="s">
        <v>12752</v>
      </c>
      <c r="KJ7" t="s">
        <v>11597</v>
      </c>
      <c r="KO7" t="s">
        <v>11782</v>
      </c>
      <c r="KT7" t="s">
        <v>12232</v>
      </c>
      <c r="KY7" t="s">
        <v>12200</v>
      </c>
      <c r="LD7" t="s">
        <v>10880</v>
      </c>
      <c r="LI7" t="s">
        <v>12718</v>
      </c>
      <c r="LN7" t="s">
        <v>12122</v>
      </c>
      <c r="NG7" t="s">
        <v>11460</v>
      </c>
      <c r="OA7" t="s">
        <v>10986</v>
      </c>
    </row>
    <row r="8" spans="1:396" x14ac:dyDescent="0.25">
      <c r="A8" t="s">
        <v>11372</v>
      </c>
      <c r="U8" t="s">
        <v>2111</v>
      </c>
      <c r="Z8" t="s">
        <v>5236</v>
      </c>
      <c r="AE8" t="s">
        <v>12263</v>
      </c>
      <c r="AJ8" t="s">
        <v>368</v>
      </c>
      <c r="DQ8" t="s">
        <v>12769</v>
      </c>
      <c r="DV8" t="s">
        <v>12831</v>
      </c>
      <c r="EK8" t="s">
        <v>41</v>
      </c>
      <c r="EP8" t="s">
        <v>10700</v>
      </c>
      <c r="FE8" t="s">
        <v>12677</v>
      </c>
      <c r="FJ8" t="s">
        <v>11312</v>
      </c>
      <c r="FY8" t="s">
        <v>11933</v>
      </c>
      <c r="GD8" t="s">
        <v>1175</v>
      </c>
      <c r="GI8" t="s">
        <v>6897</v>
      </c>
      <c r="GN8" t="s">
        <v>11572</v>
      </c>
      <c r="GS8" t="s">
        <v>10892</v>
      </c>
      <c r="GX8" t="s">
        <v>11566</v>
      </c>
      <c r="HW8" t="s">
        <v>11176</v>
      </c>
      <c r="IB8" t="s">
        <v>10660</v>
      </c>
      <c r="IG8" t="s">
        <v>8379</v>
      </c>
      <c r="IQ8" t="s">
        <v>3150</v>
      </c>
      <c r="IV8" t="s">
        <v>10680</v>
      </c>
      <c r="JK8" t="s">
        <v>266</v>
      </c>
      <c r="JP8" t="s">
        <v>61</v>
      </c>
      <c r="JU8" t="s">
        <v>8452</v>
      </c>
      <c r="KE8" t="s">
        <v>12753</v>
      </c>
      <c r="KJ8" t="s">
        <v>1267</v>
      </c>
      <c r="KO8" t="s">
        <v>12271</v>
      </c>
      <c r="KT8" t="s">
        <v>11018</v>
      </c>
      <c r="KY8" t="s">
        <v>12201</v>
      </c>
      <c r="LD8" t="s">
        <v>12153</v>
      </c>
      <c r="LI8" t="s">
        <v>12719</v>
      </c>
      <c r="LN8" t="s">
        <v>12123</v>
      </c>
      <c r="NG8" t="s">
        <v>11461</v>
      </c>
      <c r="OA8" t="s">
        <v>11372</v>
      </c>
    </row>
    <row r="9" spans="1:396" x14ac:dyDescent="0.25">
      <c r="A9" t="s">
        <v>10987</v>
      </c>
      <c r="U9" t="s">
        <v>10696</v>
      </c>
      <c r="Z9" t="s">
        <v>10992</v>
      </c>
      <c r="AE9" t="s">
        <v>12326</v>
      </c>
      <c r="AJ9" t="s">
        <v>12326</v>
      </c>
      <c r="DQ9" t="s">
        <v>12367</v>
      </c>
      <c r="DV9" t="s">
        <v>12832</v>
      </c>
      <c r="EK9" t="s">
        <v>5236</v>
      </c>
      <c r="EP9" t="s">
        <v>10701</v>
      </c>
      <c r="FE9" t="s">
        <v>578</v>
      </c>
      <c r="FJ9" t="s">
        <v>170</v>
      </c>
      <c r="FY9" t="s">
        <v>11204</v>
      </c>
      <c r="GD9" t="s">
        <v>11566</v>
      </c>
      <c r="GI9" t="s">
        <v>11852</v>
      </c>
      <c r="GN9" t="s">
        <v>11806</v>
      </c>
      <c r="GS9" t="s">
        <v>1267</v>
      </c>
      <c r="GX9" t="s">
        <v>11875</v>
      </c>
      <c r="HW9" t="s">
        <v>10852</v>
      </c>
      <c r="IB9" t="s">
        <v>10918</v>
      </c>
      <c r="IQ9" t="s">
        <v>12093</v>
      </c>
      <c r="IV9" t="s">
        <v>12481</v>
      </c>
      <c r="JK9" t="s">
        <v>10672</v>
      </c>
      <c r="JP9" t="s">
        <v>261</v>
      </c>
      <c r="KE9" t="s">
        <v>12754</v>
      </c>
      <c r="KJ9" t="s">
        <v>383</v>
      </c>
      <c r="KO9" t="s">
        <v>12272</v>
      </c>
      <c r="KT9" t="s">
        <v>10836</v>
      </c>
      <c r="KY9" t="s">
        <v>2033</v>
      </c>
      <c r="LI9" t="s">
        <v>12720</v>
      </c>
      <c r="LN9" t="s">
        <v>12124</v>
      </c>
      <c r="NG9" t="s">
        <v>11462</v>
      </c>
      <c r="OA9" t="s">
        <v>10987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4681</v>
      </c>
      <c r="K1" s="1" t="s">
        <v>4682</v>
      </c>
      <c r="U1" s="1" t="s">
        <v>4683</v>
      </c>
      <c r="AE1" s="1" t="s">
        <v>4684</v>
      </c>
      <c r="AO1" s="1" t="s">
        <v>4685</v>
      </c>
      <c r="AY1" s="1" t="s">
        <v>4686</v>
      </c>
      <c r="BI1" s="1" t="s">
        <v>4687</v>
      </c>
      <c r="BS1" s="1" t="s">
        <v>4688</v>
      </c>
      <c r="CC1" s="1" t="s">
        <v>4689</v>
      </c>
      <c r="CM1" s="1" t="s">
        <v>4690</v>
      </c>
      <c r="CW1" s="1" t="s">
        <v>4691</v>
      </c>
      <c r="DG1" s="1" t="s">
        <v>4692</v>
      </c>
      <c r="DQ1" s="1" t="s">
        <v>4693</v>
      </c>
      <c r="EA1" s="1" t="s">
        <v>4694</v>
      </c>
      <c r="EK1" s="1" t="s">
        <v>4695</v>
      </c>
      <c r="EU1" s="1" t="s">
        <v>4696</v>
      </c>
      <c r="FE1" s="1" t="s">
        <v>4697</v>
      </c>
      <c r="FO1" s="1" t="s">
        <v>4698</v>
      </c>
      <c r="FY1" s="1" t="s">
        <v>4699</v>
      </c>
      <c r="GI1" s="1" t="s">
        <v>4700</v>
      </c>
      <c r="GS1" s="1" t="s">
        <v>4701</v>
      </c>
      <c r="HC1" s="1" t="s">
        <v>4702</v>
      </c>
      <c r="HM1" s="1" t="s">
        <v>4703</v>
      </c>
      <c r="HW1" s="1" t="s">
        <v>4704</v>
      </c>
      <c r="IG1" s="1" t="s">
        <v>4705</v>
      </c>
      <c r="IQ1" s="1" t="s">
        <v>4706</v>
      </c>
      <c r="JA1" s="1" t="s">
        <v>4707</v>
      </c>
      <c r="JK1" s="1" t="s">
        <v>4708</v>
      </c>
      <c r="JU1" s="1" t="s">
        <v>4709</v>
      </c>
      <c r="KE1" s="1" t="s">
        <v>4710</v>
      </c>
      <c r="KO1" s="1" t="s">
        <v>4711</v>
      </c>
      <c r="KY1" s="1" t="s">
        <v>4712</v>
      </c>
      <c r="LI1" s="1" t="s">
        <v>4713</v>
      </c>
      <c r="LS1" s="1" t="s">
        <v>4714</v>
      </c>
      <c r="MC1" s="1" t="s">
        <v>4715</v>
      </c>
      <c r="MM1" s="1" t="s">
        <v>4716</v>
      </c>
      <c r="MW1" s="1" t="s">
        <v>4717</v>
      </c>
      <c r="NG1" s="1" t="s">
        <v>4718</v>
      </c>
      <c r="NQ1" s="1" t="s">
        <v>4719</v>
      </c>
      <c r="OA1" s="1" t="s">
        <v>4720</v>
      </c>
    </row>
    <row r="2" spans="1:396" x14ac:dyDescent="0.25">
      <c r="A2" s="2" t="s">
        <v>2301</v>
      </c>
      <c r="K2" s="2" t="s">
        <v>4721</v>
      </c>
      <c r="U2" s="2" t="s">
        <v>4722</v>
      </c>
      <c r="AE2" s="2" t="s">
        <v>4723</v>
      </c>
      <c r="AO2" s="2" t="s">
        <v>982</v>
      </c>
      <c r="AY2" s="2" t="s">
        <v>4724</v>
      </c>
      <c r="BI2" s="2" t="s">
        <v>4725</v>
      </c>
      <c r="BS2" s="2" t="s">
        <v>4726</v>
      </c>
      <c r="CC2" s="2" t="s">
        <v>670</v>
      </c>
      <c r="CM2" s="2" t="s">
        <v>4727</v>
      </c>
      <c r="CW2" s="2" t="s">
        <v>4728</v>
      </c>
      <c r="DG2" s="2" t="s">
        <v>4729</v>
      </c>
      <c r="DQ2" s="2" t="s">
        <v>987</v>
      </c>
      <c r="EA2" s="2" t="s">
        <v>2886</v>
      </c>
      <c r="EK2" s="2" t="s">
        <v>4730</v>
      </c>
      <c r="EU2" s="2" t="s">
        <v>1166</v>
      </c>
      <c r="FE2" s="2" t="s">
        <v>990</v>
      </c>
      <c r="FO2" s="2" t="s">
        <v>64</v>
      </c>
      <c r="FY2" s="2" t="s">
        <v>4731</v>
      </c>
      <c r="GI2" s="2" t="s">
        <v>982</v>
      </c>
      <c r="GS2" s="2" t="s">
        <v>4732</v>
      </c>
      <c r="HC2" s="2" t="s">
        <v>62</v>
      </c>
      <c r="HM2" s="2" t="s">
        <v>4733</v>
      </c>
      <c r="HW2" s="2" t="s">
        <v>4734</v>
      </c>
      <c r="IG2" s="2" t="s">
        <v>165</v>
      </c>
      <c r="IQ2" s="2" t="s">
        <v>4735</v>
      </c>
      <c r="JA2" s="2" t="s">
        <v>671</v>
      </c>
      <c r="JK2" s="2" t="s">
        <v>1734</v>
      </c>
      <c r="JU2" s="2" t="s">
        <v>2126</v>
      </c>
      <c r="KE2" s="2" t="s">
        <v>4226</v>
      </c>
      <c r="KO2" s="2" t="s">
        <v>4736</v>
      </c>
      <c r="KY2" s="2" t="s">
        <v>889</v>
      </c>
      <c r="LI2" s="2" t="s">
        <v>2113</v>
      </c>
      <c r="LS2" s="2" t="s">
        <v>175</v>
      </c>
      <c r="MC2" s="2" t="s">
        <v>64</v>
      </c>
      <c r="MM2" s="2" t="s">
        <v>4726</v>
      </c>
      <c r="MW2" s="2" t="s">
        <v>4136</v>
      </c>
      <c r="NG2" s="2" t="s">
        <v>4737</v>
      </c>
      <c r="NQ2" s="2" t="s">
        <v>70</v>
      </c>
      <c r="OA2" s="2" t="s">
        <v>3698</v>
      </c>
    </row>
    <row r="3" spans="1:396" x14ac:dyDescent="0.25">
      <c r="A3" t="s">
        <v>2640</v>
      </c>
      <c r="K3" t="s">
        <v>3729</v>
      </c>
      <c r="U3" t="s">
        <v>4738</v>
      </c>
      <c r="AE3" t="s">
        <v>4739</v>
      </c>
      <c r="AO3" t="s">
        <v>4740</v>
      </c>
      <c r="AY3" t="s">
        <v>4741</v>
      </c>
      <c r="BI3" t="s">
        <v>4742</v>
      </c>
      <c r="BS3" t="s">
        <v>3979</v>
      </c>
      <c r="CC3" t="s">
        <v>3631</v>
      </c>
      <c r="CM3" t="s">
        <v>3821</v>
      </c>
      <c r="CW3" t="s">
        <v>4743</v>
      </c>
      <c r="DG3" t="s">
        <v>4744</v>
      </c>
      <c r="DQ3" t="s">
        <v>4745</v>
      </c>
      <c r="EA3" t="s">
        <v>4746</v>
      </c>
      <c r="EK3" t="s">
        <v>4747</v>
      </c>
      <c r="EU3" t="s">
        <v>4748</v>
      </c>
      <c r="FE3" t="s">
        <v>4749</v>
      </c>
      <c r="FO3" t="s">
        <v>4750</v>
      </c>
      <c r="FY3" t="s">
        <v>4751</v>
      </c>
      <c r="GI3" t="s">
        <v>4752</v>
      </c>
      <c r="GS3" t="s">
        <v>3076</v>
      </c>
      <c r="HC3" t="s">
        <v>4753</v>
      </c>
      <c r="HM3" t="s">
        <v>4754</v>
      </c>
      <c r="HW3" t="s">
        <v>4755</v>
      </c>
      <c r="IG3" t="s">
        <v>4756</v>
      </c>
      <c r="IQ3" t="s">
        <v>4757</v>
      </c>
      <c r="JA3" t="s">
        <v>4163</v>
      </c>
      <c r="JK3" t="s">
        <v>3261</v>
      </c>
      <c r="JU3" t="s">
        <v>4758</v>
      </c>
      <c r="KE3" t="s">
        <v>4759</v>
      </c>
      <c r="KO3" t="s">
        <v>2924</v>
      </c>
      <c r="KY3" t="s">
        <v>2435</v>
      </c>
      <c r="LI3" t="s">
        <v>4760</v>
      </c>
      <c r="LS3" t="s">
        <v>4761</v>
      </c>
      <c r="MC3" t="s">
        <v>4762</v>
      </c>
      <c r="MM3" t="s">
        <v>590</v>
      </c>
      <c r="MW3" t="s">
        <v>4763</v>
      </c>
      <c r="NG3" t="s">
        <v>4764</v>
      </c>
      <c r="NQ3" t="s">
        <v>4765</v>
      </c>
      <c r="OA3" t="s">
        <v>4766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_xll.BDS("STCN US Equity","SUPPLY_CHAIN_SUPPLIERS","RELATIONSHIP_AS_OF_DATE","19990920")</f>
        <v>#N/A N/A</v>
      </c>
      <c r="F5" t="str">
        <f>_xll.BDS("STCN US Equity","SUPPLY_CHAIN_CUSTOMERS","RELATIONSHIP_AS_OF_DATE","19990920","cols=1;rows=3")</f>
        <v>992 HK Equity</v>
      </c>
      <c r="K5" t="str">
        <f>_xll.BDS("LMND US Equity","SUPPLY_CHAIN_SUPPLIERS","RELATIONSHIP_AS_OF_DATE","20211108","cols=1;rows=3")</f>
        <v>1879042D IT Equity</v>
      </c>
      <c r="P5" t="str">
        <f>_xll.BDS("LMND US Equity","SUPPLY_CHAIN_CUSTOMERS","RELATIONSHIP_AS_OF_DATE","20211108")</f>
        <v>#N/A N/A</v>
      </c>
      <c r="U5" t="str">
        <f>_xll.BDS("2725934Q US Equity","SUPPLY_CHAIN_SUPPLIERS","RELATIONSHIP_AS_OF_DATE","20011001")</f>
        <v>#N/A N/A</v>
      </c>
      <c r="Z5" t="str">
        <f>_xll.BDS("2725934Q US Equity","SUPPLY_CHAIN_CUSTOMERS","RELATIONSHIP_AS_OF_DATE","20011001")</f>
        <v>#N/A N/A</v>
      </c>
      <c r="AE5" t="str">
        <f>_xll.BDS("KODK US Equity","SUPPLY_CHAIN_SUPPLIERS","RELATIONSHIP_AS_OF_DATE","20030721","cols=1;rows=5")</f>
        <v>AX-U CN Equity</v>
      </c>
      <c r="AJ5" t="str">
        <f>_xll.BDS("KODK US Equity","SUPPLY_CHAIN_CUSTOMERS","RELATIONSHIP_AS_OF_DATE","20030721","cols=1;rows=5")</f>
        <v>0918800D US Equity</v>
      </c>
      <c r="AO5" t="str">
        <f>_xll.BDS("EMR US Equity","SUPPLY_CHAIN_SUPPLIERS","RELATIONSHIP_AS_OF_DATE","20060202","cols=1;rows=5")</f>
        <v>JBL US Equity</v>
      </c>
      <c r="AT5" t="str">
        <f>_xll.BDS("EMR US Equity","SUPPLY_CHAIN_CUSTOMERS","RELATIONSHIP_AS_OF_DATE","20060202","cols=1;rows=5")</f>
        <v>TMO US Equity</v>
      </c>
      <c r="AY5" t="str">
        <f>_xll.BDS("DJ US Equity","SUPPLY_CHAIN_SUPPLIERS","RELATIONSHIP_AS_OF_DATE","20041114")</f>
        <v>#N/A N/A</v>
      </c>
      <c r="BD5" t="str">
        <f>_xll.BDS("DJ US Equity","SUPPLY_CHAIN_CUSTOMERS","RELATIONSHIP_AS_OF_DATE","20041114")</f>
        <v>#N/A N/A</v>
      </c>
      <c r="BI5" t="str">
        <f>_xll.BDS("ZD US Equity","SUPPLY_CHAIN_SUPPLIERS","RELATIONSHIP_AS_OF_DATE","20161021","cols=1;rows=5")</f>
        <v>ANET US Equity</v>
      </c>
      <c r="BN5" t="str">
        <f>_xll.BDS("ZD US Equity","SUPPLY_CHAIN_CUSTOMERS","RELATIONSHIP_AS_OF_DATE","20161021","cols=1;rows=5")</f>
        <v>SNX US Equity</v>
      </c>
      <c r="BS5" t="str">
        <f>_xll.BDS("CEPH US Equity","SUPPLY_CHAIN_SUPPLIERS","RELATIONSHIP_AS_OF_DATE","20030821")</f>
        <v>#N/A N/A</v>
      </c>
      <c r="BX5" t="str">
        <f>_xll.BDS("CEPH US Equity","SUPPLY_CHAIN_CUSTOMERS","RELATIONSHIP_AS_OF_DATE","20030821")</f>
        <v>#N/A N/A</v>
      </c>
      <c r="CC5" t="str">
        <f>_xll.BDS("AMT US Equity","SUPPLY_CHAIN_SUPPLIERS","RELATIONSHIP_AS_OF_DATE","19981116","cols=1;rows=5")</f>
        <v>ORCL US Equity</v>
      </c>
      <c r="CH5" t="str">
        <f>_xll.BDS("AMT US Equity","SUPPLY_CHAIN_CUSTOMERS","RELATIONSHIP_AS_OF_DATE","19981116","cols=1;rows=5")</f>
        <v>TMUS US Equity</v>
      </c>
      <c r="CM5" t="str">
        <f>_xll.BDS("749001Q US Equity","SUPPLY_CHAIN_SUPPLIERS","RELATIONSHIP_AS_OF_DATE","19980217")</f>
        <v>#N/A N/A</v>
      </c>
      <c r="CR5" t="str">
        <f>_xll.BDS("749001Q US Equity","SUPPLY_CHAIN_CUSTOMERS","RELATIONSHIP_AS_OF_DATE","19980217")</f>
        <v>#N/A N/A</v>
      </c>
      <c r="CW5" t="str">
        <f>_xll.BDS("ESMK US Equity","SUPPLY_CHAIN_SUPPLIERS","RELATIONSHIP_AS_OF_DATE","20070316")</f>
        <v>#N/A N/A</v>
      </c>
      <c r="DB5" t="str">
        <f>_xll.BDS("ESMK US Equity","SUPPLY_CHAIN_CUSTOMERS","RELATIONSHIP_AS_OF_DATE","20070316")</f>
        <v>#N/A N/A</v>
      </c>
      <c r="DG5" t="str">
        <f>_xll.BDS("1702253D US Equity","SUPPLY_CHAIN_SUPPLIERS","RELATIONSHIP_AS_OF_DATE","20120513")</f>
        <v>#N/A N/A</v>
      </c>
      <c r="DL5" t="str">
        <f>_xll.BDS("1702253D US Equity","SUPPLY_CHAIN_CUSTOMERS","RELATIONSHIP_AS_OF_DATE","20120513")</f>
        <v>#N/A N/A</v>
      </c>
      <c r="DQ5" t="str">
        <f>_xll.BDS("PNC US Equity","SUPPLY_CHAIN_SUPPLIERS","RELATIONSHIP_AS_OF_DATE","20070607","cols=1;rows=5")</f>
        <v>ORCL US Equity</v>
      </c>
      <c r="DV5" t="str">
        <f>_xll.BDS("PNC US Equity","SUPPLY_CHAIN_CUSTOMERS","RELATIONSHIP_AS_OF_DATE","20070607")</f>
        <v>4502 JP Equity</v>
      </c>
      <c r="EA5" t="str">
        <f>_xll.BDS("OPK US Equity","SUPPLY_CHAIN_SUPPLIERS","RELATIONSHIP_AS_OF_DATE","20130424","cols=1;rows=5")</f>
        <v>0257644Z US Equity</v>
      </c>
      <c r="EF5" t="str">
        <f>_xll.BDS("OPK US Equity","SUPPLY_CHAIN_CUSTOMERS","RELATIONSHIP_AS_OF_DATE","20130424","cols=1;rows=5")</f>
        <v>PFE US Equity</v>
      </c>
      <c r="EK5" t="str">
        <f>_xll.BDS("CVOVQ US Equity","SUPPLY_CHAIN_SUPPLIERS","RELATIONSHIP_AS_OF_DATE","20061227")</f>
        <v>FRSH US Equity</v>
      </c>
      <c r="EP5" t="str">
        <f>_xll.BDS("CVOVQ US Equity","SUPPLY_CHAIN_CUSTOMERS","RELATIONSHIP_AS_OF_DATE","20061227")</f>
        <v>#N/A N/A</v>
      </c>
      <c r="EU5" t="str">
        <f>_xll.BDS("ROH US Equity","SUPPLY_CHAIN_SUPPLIERS","RELATIONSHIP_AS_OF_DATE","19981221","cols=1;rows=3")</f>
        <v>002741 CH Equity</v>
      </c>
      <c r="EZ5" t="str">
        <f>_xll.BDS("ROH US Equity","SUPPLY_CHAIN_CUSTOMERS","RELATIONSHIP_AS_OF_DATE","19981221")</f>
        <v>000990 KS Equity</v>
      </c>
      <c r="FE5" t="str">
        <f>_xll.BDS("WBS US Equity","SUPPLY_CHAIN_SUPPLIERS","RELATIONSHIP_AS_OF_DATE","20031007","cols=1;rows=2")</f>
        <v>FISV US Equity</v>
      </c>
      <c r="FJ5" t="str">
        <f>_xll.BDS("WBS US Equity","SUPPLY_CHAIN_CUSTOMERS","RELATIONSHIP_AS_OF_DATE","20031007")</f>
        <v>CNXN US Equity</v>
      </c>
      <c r="FO5" t="str">
        <f>_xll.BDS("nan Equity","SUPPLY_CHAIN_SUPPLIERS","RELATIONSHIP_AS_OF_DATE","20140217")</f>
        <v>#N/A N/A</v>
      </c>
      <c r="FT5" t="str">
        <f>_xll.BDS("nan Equity","SUPPLY_CHAIN_CUSTOMERS","RELATIONSHIP_AS_OF_DATE","20140217")</f>
        <v>#N/A N/A</v>
      </c>
      <c r="FY5" t="str">
        <f>_xll.BDS("CPF US Equity","SUPPLY_CHAIN_SUPPLIERS","RELATIONSHIP_AS_OF_DATE","20030416")</f>
        <v>#N/A N/A</v>
      </c>
      <c r="GD5" t="str">
        <f>_xll.BDS("CPF US Equity","SUPPLY_CHAIN_CUSTOMERS","RELATIONSHIP_AS_OF_DATE","20030416")</f>
        <v>#N/A N/A</v>
      </c>
      <c r="GI5" t="str">
        <f>_xll.BDS("EMR US Equity","SUPPLY_CHAIN_SUPPLIERS","RELATIONSHIP_AS_OF_DATE","19990513","cols=1;rows=5")</f>
        <v>JBL US Equity</v>
      </c>
      <c r="GN5" t="str">
        <f>_xll.BDS("EMR US Equity","SUPPLY_CHAIN_CUSTOMERS","RELATIONSHIP_AS_OF_DATE","19990513","cols=1;rows=5")</f>
        <v>TMO US Equity</v>
      </c>
      <c r="GS5" t="str">
        <f>_xll.BDS("3499164Q US Equity","SUPPLY_CHAIN_SUPPLIERS","RELATIONSHIP_AS_OF_DATE","19991021")</f>
        <v>DELL US Equity</v>
      </c>
      <c r="GX5" t="str">
        <f>_xll.BDS("3499164Q US Equity","SUPPLY_CHAIN_CUSTOMERS","RELATIONSHIP_AS_OF_DATE","19991021","cols=1;rows=4")</f>
        <v>6166 TT Equity</v>
      </c>
      <c r="HC5" t="str">
        <f>_xll.BDS("ETP US Equity","SUPPLY_CHAIN_SUPPLIERS","RELATIONSHIP_AS_OF_DATE","20170518")</f>
        <v>#N/A N/A</v>
      </c>
      <c r="HH5" t="str">
        <f>_xll.BDS("ETP US Equity","SUPPLY_CHAIN_CUSTOMERS","RELATIONSHIP_AS_OF_DATE","20170518")</f>
        <v>#N/A N/A</v>
      </c>
      <c r="HM5" t="str">
        <f>_xll.BDS("1524867D US Equity","SUPPLY_CHAIN_SUPPLIERS","RELATIONSHIP_AS_OF_DATE","20020220")</f>
        <v>SLCA US Equity</v>
      </c>
      <c r="HR5" t="str">
        <f>_xll.BDS("1524867D US Equity","SUPPLY_CHAIN_CUSTOMERS","RELATIONSHIP_AS_OF_DATE","20020220")</f>
        <v>#N/A N/A</v>
      </c>
      <c r="HW5" t="str">
        <f>_xll.BDS("329556Q US Equity","SUPPLY_CHAIN_SUPPLIERS","RELATIONSHIP_AS_OF_DATE","19990621")</f>
        <v>#N/A N/A</v>
      </c>
      <c r="IB5" t="str">
        <f>_xll.BDS("329556Q US Equity","SUPPLY_CHAIN_CUSTOMERS","RELATIONSHIP_AS_OF_DATE","19990621")</f>
        <v>AMRC US Equity</v>
      </c>
      <c r="IG5" t="str">
        <f>_xll.BDS("IBM US Equity","SUPPLY_CHAIN_SUPPLIERS","RELATIONSHIP_AS_OF_DATE","20100813","cols=1;rows=5")</f>
        <v>005930 KS Equity</v>
      </c>
      <c r="IL5" t="str">
        <f>_xll.BDS("IBM US Equity","SUPPLY_CHAIN_CUSTOMERS","RELATIONSHIP_AS_OF_DATE","20100813","cols=1;rows=5")</f>
        <v>AMZN US Equity</v>
      </c>
      <c r="IQ5" t="str">
        <f>_xll.BDS("FMBI US Equity","SUPPLY_CHAIN_SUPPLIERS","RELATIONSHIP_AS_OF_DATE","19980115")</f>
        <v>#N/A N/A</v>
      </c>
      <c r="IV5" t="str">
        <f>_xll.BDS("FMBI US Equity","SUPPLY_CHAIN_CUSTOMERS","RELATIONSHIP_AS_OF_DATE","19980115")</f>
        <v>#N/A N/A</v>
      </c>
      <c r="JA5" t="str">
        <f>_xll.BDS("HET US Equity","SUPPLY_CHAIN_SUPPLIERS","RELATIONSHIP_AS_OF_DATE","19990816")</f>
        <v>#N/A N/A</v>
      </c>
      <c r="JF5" t="str">
        <f>_xll.BDS("HET US Equity","SUPPLY_CHAIN_CUSTOMERS","RELATIONSHIP_AS_OF_DATE","19990816")</f>
        <v>#N/A N/A</v>
      </c>
      <c r="JK5" t="str">
        <f>_xll.BDS("2326248D US Equity","SUPPLY_CHAIN_SUPPLIERS","RELATIONSHIP_AS_OF_DATE","19990208")</f>
        <v>#N/A N/A</v>
      </c>
      <c r="JP5" t="str">
        <f>_xll.BDS("2326248D US Equity","SUPPLY_CHAIN_CUSTOMERS","RELATIONSHIP_AS_OF_DATE","19990208")</f>
        <v>#N/A N/A</v>
      </c>
      <c r="JU5" t="str">
        <f>_xll.BDS("ON US Equity","SUPPLY_CHAIN_SUPPLIERS","RELATIONSHIP_AS_OF_DATE","20210825","cols=1;rows=5")</f>
        <v>981 HK Equity</v>
      </c>
      <c r="JZ5" t="str">
        <f>_xll.BDS("ON US Equity","SUPPLY_CHAIN_CUSTOMERS","RELATIONSHIP_AS_OF_DATE","20210825","cols=1;rows=5")</f>
        <v>3036 TT Equity</v>
      </c>
      <c r="KE5" t="str">
        <f>_xll.BDS("MAN US Equity","SUPPLY_CHAIN_SUPPLIERS","RELATIONSHIP_AS_OF_DATE","20100202","cols=1;rows=5")</f>
        <v>ORCL US Equity</v>
      </c>
      <c r="KJ5" t="str">
        <f>_xll.BDS("MAN US Equity","SUPPLY_CHAIN_CUSTOMERS","RELATIONSHIP_AS_OF_DATE","20100202","cols=1;rows=5")</f>
        <v>0976704D US Equity</v>
      </c>
      <c r="KO5" t="str">
        <f>_xll.BDS("AZTA US Equity","SUPPLY_CHAIN_SUPPLIERS","RELATIONSHIP_AS_OF_DATE","20050711","cols=1;rows=5")</f>
        <v>VACN SW Equity</v>
      </c>
      <c r="KT5" t="str">
        <f>_xll.BDS("AZTA US Equity","SUPPLY_CHAIN_CUSTOMERS","RELATIONSHIP_AS_OF_DATE","20050711","cols=1;rows=5")</f>
        <v>SAN FP Equity</v>
      </c>
      <c r="KY5" t="str">
        <f>_xll.BDS("1255459D US Equity","SUPPLY_CHAIN_SUPPLIERS","RELATIONSHIP_AS_OF_DATE","20000709","cols=1;rows=2")</f>
        <v>CREI LN Equity</v>
      </c>
      <c r="LD5" t="str">
        <f>_xll.BDS("1255459D US Equity","SUPPLY_CHAIN_CUSTOMERS","RELATIONSHIP_AS_OF_DATE","20000709","cols=1;rows=5")</f>
        <v>028260 KS Equity</v>
      </c>
      <c r="LI5" t="str">
        <f>_xll.BDS("MXIM US Equity","SUPPLY_CHAIN_SUPPLIERS","RELATIONSHIP_AS_OF_DATE","20130815")</f>
        <v>#N/A N/A</v>
      </c>
      <c r="LN5" t="str">
        <f>_xll.BDS("MXIM US Equity","SUPPLY_CHAIN_CUSTOMERS","RELATIONSHIP_AS_OF_DATE","20130815")</f>
        <v>#N/A N/A</v>
      </c>
      <c r="LS5" t="str">
        <f>_xll.BDS("TFC US Equity","SUPPLY_CHAIN_SUPPLIERS","RELATIONSHIP_AS_OF_DATE","20031202","cols=1;rows=5")</f>
        <v>ADBE US Equity</v>
      </c>
      <c r="LX5" t="str">
        <f>_xll.BDS("TFC US Equity","SUPPLY_CHAIN_CUSTOMERS","RELATIONSHIP_AS_OF_DATE","20031202")</f>
        <v>RENG IN Equity</v>
      </c>
      <c r="MC5" t="str">
        <f>_xll.BDS("nan Equity","SUPPLY_CHAIN_SUPPLIERS","RELATIONSHIP_AS_OF_DATE","20050415")</f>
        <v>#N/A N/A</v>
      </c>
      <c r="MH5" t="str">
        <f>_xll.BDS("nan Equity","SUPPLY_CHAIN_CUSTOMERS","RELATIONSHIP_AS_OF_DATE","20050415")</f>
        <v>#N/A N/A</v>
      </c>
      <c r="MM5" t="str">
        <f>_xll.BDS("CEPH US Equity","SUPPLY_CHAIN_SUPPLIERS","RELATIONSHIP_AS_OF_DATE","20000717")</f>
        <v>#N/A N/A</v>
      </c>
      <c r="MR5" t="str">
        <f>_xll.BDS("CEPH US Equity","SUPPLY_CHAIN_CUSTOMERS","RELATIONSHIP_AS_OF_DATE","20000717")</f>
        <v>#N/A N/A</v>
      </c>
      <c r="MW5" t="str">
        <f>_xll.BDS("PNP US Equity","SUPPLY_CHAIN_SUPPLIERS","RELATIONSHIP_AS_OF_DATE","20000822")</f>
        <v>#N/A N/A</v>
      </c>
      <c r="NB5" t="str">
        <f>_xll.BDS("PNP US Equity","SUPPLY_CHAIN_CUSTOMERS","RELATIONSHIP_AS_OF_DATE","20000822")</f>
        <v>#N/A N/A</v>
      </c>
      <c r="NG5" t="str">
        <f>_xll.BDS("OK US Equity","SUPPLY_CHAIN_SUPPLIERS","RELATIONSHIP_AS_OF_DATE","19980422")</f>
        <v>#N/A N/A</v>
      </c>
      <c r="NL5" t="str">
        <f>_xll.BDS("OK US Equity","SUPPLY_CHAIN_CUSTOMERS","RELATIONSHIP_AS_OF_DATE","19980422")</f>
        <v>#N/A N/A</v>
      </c>
      <c r="NQ5" t="str">
        <f>_xll.BDS("0848680D US Equity","SUPPLY_CHAIN_SUPPLIERS","RELATIONSHIP_AS_OF_DATE","20050830")</f>
        <v>#N/A N/A</v>
      </c>
      <c r="NV5" t="str">
        <f>_xll.BDS("0848680D US Equity","SUPPLY_CHAIN_CUSTOMERS","RELATIONSHIP_AS_OF_DATE","20050830")</f>
        <v>#N/A N/A</v>
      </c>
      <c r="OA5" t="str">
        <f>_xll.BDS("RVTY US Equity","SUPPLY_CHAIN_SUPPLIERS","RELATIONSHIP_AS_OF_DATE","20210107","cols=1;rows=5")</f>
        <v>UPS US Equity</v>
      </c>
      <c r="OF5" t="str">
        <f>_xll.BDS("RVTY US Equity","SUPPLY_CHAIN_CUSTOMERS","RELATIONSHIP_AS_OF_DATE","20210107","cols=1;rows=5")</f>
        <v>002971 CH Equity</v>
      </c>
    </row>
    <row r="6" spans="1:396" x14ac:dyDescent="0.25">
      <c r="F6" t="s">
        <v>12120</v>
      </c>
      <c r="K6" t="s">
        <v>12083</v>
      </c>
      <c r="AE6" t="s">
        <v>10751</v>
      </c>
      <c r="AJ6" t="s">
        <v>2881</v>
      </c>
      <c r="AO6" t="s">
        <v>10830</v>
      </c>
      <c r="AT6" t="s">
        <v>570</v>
      </c>
      <c r="BI6" t="s">
        <v>10819</v>
      </c>
      <c r="BN6" t="s">
        <v>4219</v>
      </c>
      <c r="CC6" t="s">
        <v>12746</v>
      </c>
      <c r="CH6" t="s">
        <v>41</v>
      </c>
      <c r="DQ6" t="s">
        <v>11188</v>
      </c>
      <c r="EA6" t="s">
        <v>12669</v>
      </c>
      <c r="EF6" t="s">
        <v>10656</v>
      </c>
      <c r="EU6" t="s">
        <v>12225</v>
      </c>
      <c r="FE6" t="s">
        <v>10739</v>
      </c>
      <c r="GI6" t="s">
        <v>10830</v>
      </c>
      <c r="GN6" t="s">
        <v>570</v>
      </c>
      <c r="GX6" t="s">
        <v>10786</v>
      </c>
      <c r="IG6" t="s">
        <v>41</v>
      </c>
      <c r="IL6" t="s">
        <v>266</v>
      </c>
      <c r="JU6" t="s">
        <v>11203</v>
      </c>
      <c r="JZ6" t="s">
        <v>6473</v>
      </c>
      <c r="KE6" t="s">
        <v>12303</v>
      </c>
      <c r="KJ6" t="s">
        <v>12243</v>
      </c>
      <c r="KO6" t="s">
        <v>12075</v>
      </c>
      <c r="KT6" t="s">
        <v>10794</v>
      </c>
      <c r="KY6" t="s">
        <v>2887</v>
      </c>
      <c r="LD6" t="s">
        <v>10637</v>
      </c>
      <c r="LS6" t="s">
        <v>11371</v>
      </c>
      <c r="OA6" t="s">
        <v>11168</v>
      </c>
      <c r="OF6" t="s">
        <v>11581</v>
      </c>
    </row>
    <row r="7" spans="1:396" x14ac:dyDescent="0.25">
      <c r="F7" t="s">
        <v>383</v>
      </c>
      <c r="K7" t="s">
        <v>12084</v>
      </c>
      <c r="AE7" t="s">
        <v>11100</v>
      </c>
      <c r="AJ7" t="s">
        <v>10660</v>
      </c>
      <c r="AO7" t="s">
        <v>11595</v>
      </c>
      <c r="AT7" t="s">
        <v>2219</v>
      </c>
      <c r="BI7" t="s">
        <v>10820</v>
      </c>
      <c r="BN7" t="s">
        <v>10768</v>
      </c>
      <c r="CC7" t="s">
        <v>12747</v>
      </c>
      <c r="CH7" t="s">
        <v>49</v>
      </c>
      <c r="DQ7" t="s">
        <v>10987</v>
      </c>
      <c r="EA7" t="s">
        <v>12466</v>
      </c>
      <c r="EF7" t="s">
        <v>65</v>
      </c>
      <c r="EU7" t="s">
        <v>12226</v>
      </c>
      <c r="GI7" t="s">
        <v>11595</v>
      </c>
      <c r="GN7" t="s">
        <v>2219</v>
      </c>
      <c r="GX7" t="s">
        <v>10876</v>
      </c>
      <c r="IG7" t="s">
        <v>469</v>
      </c>
      <c r="IL7" t="s">
        <v>10892</v>
      </c>
      <c r="JU7" t="s">
        <v>11410</v>
      </c>
      <c r="JZ7" t="s">
        <v>3519</v>
      </c>
      <c r="KE7" t="s">
        <v>12692</v>
      </c>
      <c r="KJ7" t="s">
        <v>10939</v>
      </c>
      <c r="KO7" t="s">
        <v>12076</v>
      </c>
      <c r="KT7" t="s">
        <v>10834</v>
      </c>
      <c r="LD7" t="s">
        <v>10638</v>
      </c>
      <c r="LS7" t="s">
        <v>10986</v>
      </c>
      <c r="OA7" t="s">
        <v>10884</v>
      </c>
      <c r="OF7" t="s">
        <v>11430</v>
      </c>
    </row>
    <row r="8" spans="1:396" x14ac:dyDescent="0.25">
      <c r="AE8" t="s">
        <v>11101</v>
      </c>
      <c r="AJ8" t="s">
        <v>10944</v>
      </c>
      <c r="AO8" t="s">
        <v>11161</v>
      </c>
      <c r="AT8" t="s">
        <v>11345</v>
      </c>
      <c r="BI8" t="s">
        <v>10772</v>
      </c>
      <c r="BN8" t="s">
        <v>10769</v>
      </c>
      <c r="CC8" t="s">
        <v>12748</v>
      </c>
      <c r="CH8" t="s">
        <v>12127</v>
      </c>
      <c r="DQ8" t="s">
        <v>12358</v>
      </c>
      <c r="EA8" t="s">
        <v>12670</v>
      </c>
      <c r="EF8" t="s">
        <v>12466</v>
      </c>
      <c r="GI8" t="s">
        <v>11161</v>
      </c>
      <c r="GN8" t="s">
        <v>11345</v>
      </c>
      <c r="GX8" t="s">
        <v>12141</v>
      </c>
      <c r="IG8" t="s">
        <v>2881</v>
      </c>
      <c r="IL8" t="s">
        <v>6473</v>
      </c>
      <c r="JU8" t="s">
        <v>11411</v>
      </c>
      <c r="JZ8" t="s">
        <v>10658</v>
      </c>
      <c r="KE8" t="s">
        <v>12693</v>
      </c>
      <c r="KJ8" t="s">
        <v>12244</v>
      </c>
      <c r="KO8" t="s">
        <v>12077</v>
      </c>
      <c r="KT8" t="s">
        <v>12233</v>
      </c>
      <c r="LD8" t="s">
        <v>10639</v>
      </c>
      <c r="LS8" t="s">
        <v>11372</v>
      </c>
      <c r="OA8" t="s">
        <v>10830</v>
      </c>
      <c r="OF8" t="s">
        <v>11582</v>
      </c>
    </row>
    <row r="9" spans="1:396" x14ac:dyDescent="0.25">
      <c r="AE9" t="s">
        <v>11102</v>
      </c>
      <c r="AJ9" t="s">
        <v>10787</v>
      </c>
      <c r="AO9" t="s">
        <v>11596</v>
      </c>
      <c r="AT9" t="s">
        <v>7215</v>
      </c>
      <c r="BI9" t="s">
        <v>10791</v>
      </c>
      <c r="BN9" t="s">
        <v>10770</v>
      </c>
      <c r="CC9" t="s">
        <v>12749</v>
      </c>
      <c r="CH9" t="s">
        <v>12128</v>
      </c>
      <c r="DQ9" t="s">
        <v>11522</v>
      </c>
      <c r="EA9" t="s">
        <v>12671</v>
      </c>
      <c r="EF9" t="s">
        <v>12467</v>
      </c>
      <c r="GI9" t="s">
        <v>11596</v>
      </c>
      <c r="GN9" t="s">
        <v>7215</v>
      </c>
      <c r="IG9" t="s">
        <v>10853</v>
      </c>
      <c r="IL9" t="s">
        <v>969</v>
      </c>
      <c r="JU9" t="s">
        <v>4898</v>
      </c>
      <c r="JZ9" t="s">
        <v>11566</v>
      </c>
      <c r="KE9" t="s">
        <v>12694</v>
      </c>
      <c r="KJ9" t="s">
        <v>165</v>
      </c>
      <c r="KO9" t="s">
        <v>1265</v>
      </c>
      <c r="KT9" t="s">
        <v>11012</v>
      </c>
      <c r="LD9" t="s">
        <v>10640</v>
      </c>
      <c r="LS9" t="s">
        <v>10987</v>
      </c>
      <c r="OA9" t="s">
        <v>11169</v>
      </c>
      <c r="OF9" t="s">
        <v>11583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4767</v>
      </c>
      <c r="K1" s="1" t="s">
        <v>4768</v>
      </c>
      <c r="U1" s="1" t="s">
        <v>4769</v>
      </c>
      <c r="AE1" s="1" t="s">
        <v>4770</v>
      </c>
      <c r="AO1" s="1" t="s">
        <v>4771</v>
      </c>
      <c r="AY1" s="1" t="s">
        <v>4772</v>
      </c>
      <c r="BI1" s="1" t="s">
        <v>4773</v>
      </c>
      <c r="BS1" s="1" t="s">
        <v>4774</v>
      </c>
      <c r="CC1" s="1" t="s">
        <v>4775</v>
      </c>
      <c r="CM1" s="1" t="s">
        <v>4776</v>
      </c>
      <c r="CW1" s="1" t="s">
        <v>4777</v>
      </c>
      <c r="DG1" s="1" t="s">
        <v>4778</v>
      </c>
      <c r="DQ1" s="1" t="s">
        <v>4779</v>
      </c>
      <c r="EA1" s="1" t="s">
        <v>4780</v>
      </c>
      <c r="EK1" s="1" t="s">
        <v>4781</v>
      </c>
      <c r="EU1" s="1" t="s">
        <v>4782</v>
      </c>
      <c r="FE1" s="1" t="s">
        <v>4783</v>
      </c>
      <c r="FO1" s="1" t="s">
        <v>4784</v>
      </c>
      <c r="FY1" s="1" t="s">
        <v>4785</v>
      </c>
      <c r="GI1" s="1" t="s">
        <v>4786</v>
      </c>
      <c r="GS1" s="1" t="s">
        <v>4787</v>
      </c>
      <c r="HC1" s="1" t="s">
        <v>4788</v>
      </c>
      <c r="HM1" s="1" t="s">
        <v>4789</v>
      </c>
      <c r="HW1" s="1" t="s">
        <v>4790</v>
      </c>
      <c r="IG1" s="1" t="s">
        <v>4791</v>
      </c>
      <c r="IQ1" s="1" t="s">
        <v>4792</v>
      </c>
      <c r="JA1" s="1" t="s">
        <v>4793</v>
      </c>
      <c r="JK1" s="1" t="s">
        <v>4794</v>
      </c>
      <c r="JU1" s="1" t="s">
        <v>4795</v>
      </c>
      <c r="KE1" s="1" t="s">
        <v>4796</v>
      </c>
      <c r="KO1" s="1" t="s">
        <v>4797</v>
      </c>
      <c r="KY1" s="1" t="s">
        <v>4798</v>
      </c>
      <c r="LI1" s="1" t="s">
        <v>4799</v>
      </c>
      <c r="LS1" s="1" t="s">
        <v>4800</v>
      </c>
      <c r="MC1" s="1" t="s">
        <v>4801</v>
      </c>
      <c r="MM1" s="1" t="s">
        <v>4802</v>
      </c>
      <c r="MW1" s="1" t="s">
        <v>4803</v>
      </c>
      <c r="NG1" s="1" t="s">
        <v>4804</v>
      </c>
      <c r="NQ1" s="1" t="s">
        <v>4805</v>
      </c>
      <c r="OA1" s="1" t="s">
        <v>4806</v>
      </c>
    </row>
    <row r="2" spans="1:396" x14ac:dyDescent="0.25">
      <c r="A2" s="2" t="s">
        <v>4807</v>
      </c>
      <c r="K2" s="2" t="s">
        <v>4808</v>
      </c>
      <c r="U2" s="2" t="s">
        <v>4809</v>
      </c>
      <c r="AE2" s="2" t="s">
        <v>1929</v>
      </c>
      <c r="AO2" s="2" t="s">
        <v>4810</v>
      </c>
      <c r="AY2" s="2" t="s">
        <v>787</v>
      </c>
      <c r="BI2" s="2" t="s">
        <v>2874</v>
      </c>
      <c r="BS2" s="2" t="s">
        <v>64</v>
      </c>
      <c r="CC2" s="2" t="s">
        <v>4811</v>
      </c>
      <c r="CM2" s="2" t="s">
        <v>3156</v>
      </c>
      <c r="CW2" s="2" t="s">
        <v>4558</v>
      </c>
      <c r="DG2" s="2" t="s">
        <v>70</v>
      </c>
      <c r="DQ2" s="2" t="s">
        <v>4812</v>
      </c>
      <c r="EA2" s="2" t="s">
        <v>4813</v>
      </c>
      <c r="EK2" s="2" t="s">
        <v>2412</v>
      </c>
      <c r="EU2" s="2" t="s">
        <v>4814</v>
      </c>
      <c r="FE2" s="2" t="s">
        <v>1543</v>
      </c>
      <c r="FO2" s="2" t="s">
        <v>166</v>
      </c>
      <c r="FY2" s="2" t="s">
        <v>4815</v>
      </c>
      <c r="GI2" s="2" t="s">
        <v>4816</v>
      </c>
      <c r="GS2" s="2" t="s">
        <v>4817</v>
      </c>
      <c r="HC2" s="2" t="s">
        <v>4818</v>
      </c>
      <c r="HM2" s="2" t="s">
        <v>4819</v>
      </c>
      <c r="HW2" s="2" t="s">
        <v>4820</v>
      </c>
      <c r="IG2" s="2" t="s">
        <v>2874</v>
      </c>
      <c r="IQ2" s="2" t="s">
        <v>4821</v>
      </c>
      <c r="JA2" s="2" t="s">
        <v>4822</v>
      </c>
      <c r="JK2" s="2" t="s">
        <v>175</v>
      </c>
      <c r="JU2" s="2" t="s">
        <v>166</v>
      </c>
      <c r="KE2" s="2" t="s">
        <v>2018</v>
      </c>
      <c r="KO2" s="2" t="s">
        <v>3954</v>
      </c>
      <c r="KY2" s="2" t="s">
        <v>4823</v>
      </c>
      <c r="LI2" s="2" t="s">
        <v>4824</v>
      </c>
      <c r="LS2" s="2" t="s">
        <v>64</v>
      </c>
      <c r="MC2" s="2" t="s">
        <v>1362</v>
      </c>
      <c r="MM2" s="2" t="s">
        <v>2313</v>
      </c>
      <c r="MW2" s="2" t="s">
        <v>2027</v>
      </c>
      <c r="NG2" s="2" t="s">
        <v>4825</v>
      </c>
      <c r="NQ2" s="2" t="s">
        <v>1353</v>
      </c>
      <c r="OA2" s="2" t="s">
        <v>4826</v>
      </c>
    </row>
    <row r="3" spans="1:396" x14ac:dyDescent="0.25">
      <c r="A3" t="s">
        <v>4827</v>
      </c>
      <c r="K3" t="s">
        <v>4828</v>
      </c>
      <c r="U3" t="s">
        <v>4829</v>
      </c>
      <c r="AE3" t="s">
        <v>4830</v>
      </c>
      <c r="AO3" t="s">
        <v>4831</v>
      </c>
      <c r="AY3" t="s">
        <v>4832</v>
      </c>
      <c r="BI3" t="s">
        <v>4833</v>
      </c>
      <c r="BS3" t="s">
        <v>4834</v>
      </c>
      <c r="CC3" t="s">
        <v>4835</v>
      </c>
      <c r="CM3" t="s">
        <v>4836</v>
      </c>
      <c r="CW3" t="s">
        <v>2423</v>
      </c>
      <c r="DG3" t="s">
        <v>3741</v>
      </c>
      <c r="DQ3" t="s">
        <v>4837</v>
      </c>
      <c r="EA3" t="s">
        <v>4838</v>
      </c>
      <c r="EK3" t="s">
        <v>3285</v>
      </c>
      <c r="EU3" t="s">
        <v>1012</v>
      </c>
      <c r="FE3" t="s">
        <v>4839</v>
      </c>
      <c r="FO3" t="s">
        <v>4840</v>
      </c>
      <c r="FY3" t="s">
        <v>4841</v>
      </c>
      <c r="GI3" t="s">
        <v>4842</v>
      </c>
      <c r="GS3" t="s">
        <v>4843</v>
      </c>
      <c r="HC3" t="s">
        <v>4844</v>
      </c>
      <c r="HM3" t="s">
        <v>4845</v>
      </c>
      <c r="HW3" t="s">
        <v>4846</v>
      </c>
      <c r="IG3" t="s">
        <v>4847</v>
      </c>
      <c r="IQ3" t="s">
        <v>3899</v>
      </c>
      <c r="JA3" t="s">
        <v>4848</v>
      </c>
      <c r="JK3" t="s">
        <v>4849</v>
      </c>
      <c r="JU3" t="s">
        <v>4850</v>
      </c>
      <c r="KE3" t="s">
        <v>4851</v>
      </c>
      <c r="KO3" t="s">
        <v>1485</v>
      </c>
      <c r="KY3" t="s">
        <v>1091</v>
      </c>
      <c r="LI3" t="s">
        <v>4852</v>
      </c>
      <c r="LS3" t="s">
        <v>4853</v>
      </c>
      <c r="MC3" t="s">
        <v>214</v>
      </c>
      <c r="MM3" t="s">
        <v>4854</v>
      </c>
      <c r="MW3" t="s">
        <v>4156</v>
      </c>
      <c r="NG3" t="s">
        <v>4855</v>
      </c>
      <c r="NQ3" t="s">
        <v>4856</v>
      </c>
      <c r="OA3" t="s">
        <v>4857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_xll.BDS("NBR US Equity","SUPPLY_CHAIN_SUPPLIERS","RELATIONSHIP_AS_OF_DATE","19981030","cols=1;rows=4")</f>
        <v>DNOW US Equity</v>
      </c>
      <c r="F5" t="str">
        <f>_xll.BDS("NBR US Equity","SUPPLY_CHAIN_CUSTOMERS","RELATIONSHIP_AS_OF_DATE","19981030","cols=1;rows=4")</f>
        <v>ARAMCO AB Equity</v>
      </c>
      <c r="K5" t="str">
        <f>_xll.BDS("UDI US Equity","SUPPLY_CHAIN_SUPPLIERS","RELATIONSHIP_AS_OF_DATE","20020528")</f>
        <v>#N/A N/A</v>
      </c>
      <c r="P5" t="str">
        <f>_xll.BDS("UDI US Equity","SUPPLY_CHAIN_CUSTOMERS","RELATIONSHIP_AS_OF_DATE","20020528")</f>
        <v>#N/A N/A</v>
      </c>
      <c r="U5" t="str">
        <f>_xll.BDS("LSCC US Equity","SUPPLY_CHAIN_SUPPLIERS","RELATIONSHIP_AS_OF_DATE","20150127","cols=1;rows=5")</f>
        <v>2330 TT Equity</v>
      </c>
      <c r="Z5" t="str">
        <f>_xll.BDS("LSCC US Equity","SUPPLY_CHAIN_CUSTOMERS","RELATIONSHIP_AS_OF_DATE","20150127","cols=1;rows=5")</f>
        <v>ARW US Equity</v>
      </c>
      <c r="AE5" t="str">
        <f>_xll.BDS("JEF US Equity","SUPPLY_CHAIN_SUPPLIERS","RELATIONSHIP_AS_OF_DATE","20030807","cols=1;rows=5")</f>
        <v>000063 CH Equity</v>
      </c>
      <c r="AJ5" t="str">
        <f>_xll.BDS("JEF US Equity","SUPPLY_CHAIN_CUSTOMERS","RELATIONSHIP_AS_OF_DATE","20030807")</f>
        <v>#N/A N/A</v>
      </c>
      <c r="AO5" t="str">
        <f>_xll.BDS("KSPN US Equity","SUPPLY_CHAIN_SUPPLIERS","RELATIONSHIP_AS_OF_DATE","19981026")</f>
        <v>BSEG US Equity</v>
      </c>
      <c r="AT5" t="str">
        <f>_xll.BDS("KSPN US Equity","SUPPLY_CHAIN_CUSTOMERS","RELATIONSHIP_AS_OF_DATE","19981026","cols=1;rows=5")</f>
        <v>1023203D US Equity</v>
      </c>
      <c r="AY5" t="str">
        <f>_xll.BDS("FDC US Equity","SUPPLY_CHAIN_SUPPLIERS","RELATIONSHIP_AS_OF_DATE","19990322")</f>
        <v>#N/A N/A</v>
      </c>
      <c r="BD5" t="str">
        <f>_xll.BDS("FDC US Equity","SUPPLY_CHAIN_CUSTOMERS","RELATIONSHIP_AS_OF_DATE","19990322")</f>
        <v>#N/A N/A</v>
      </c>
      <c r="BI5" t="str">
        <f>_xll.BDS("FNB US Equity","SUPPLY_CHAIN_SUPPLIERS","RELATIONSHIP_AS_OF_DATE","20210713")</f>
        <v>HY US Equity</v>
      </c>
      <c r="BN5" t="str">
        <f>_xll.BDS("FNB US Equity","SUPPLY_CHAIN_CUSTOMERS","RELATIONSHIP_AS_OF_DATE","20210713")</f>
        <v>#N/A N/A</v>
      </c>
      <c r="BS5" t="str">
        <f>_xll.BDS("nan Equity","SUPPLY_CHAIN_SUPPLIERS","RELATIONSHIP_AS_OF_DATE","19980724")</f>
        <v>#N/A N/A</v>
      </c>
      <c r="BX5" t="str">
        <f>_xll.BDS("nan Equity","SUPPLY_CHAIN_CUSTOMERS","RELATIONSHIP_AS_OF_DATE","19980724")</f>
        <v>#N/A N/A</v>
      </c>
      <c r="CC5" t="str">
        <f>_xll.BDS("ILA US Equity","SUPPLY_CHAIN_SUPPLIERS","RELATIONSHIP_AS_OF_DATE","20011107")</f>
        <v>#N/A N/A</v>
      </c>
      <c r="CH5" t="str">
        <f>_xll.BDS("ILA US Equity","SUPPLY_CHAIN_CUSTOMERS","RELATIONSHIP_AS_OF_DATE","20011107")</f>
        <v>#N/A N/A</v>
      </c>
      <c r="CM5" t="str">
        <f>_xll.BDS("838969Q US Equity","SUPPLY_CHAIN_SUPPLIERS","RELATIONSHIP_AS_OF_DATE","20040909")</f>
        <v>#N/A N/A</v>
      </c>
      <c r="CR5" t="str">
        <f>_xll.BDS("838969Q US Equity","SUPPLY_CHAIN_CUSTOMERS","RELATIONSHIP_AS_OF_DATE","20040909")</f>
        <v>#N/A N/A</v>
      </c>
      <c r="CW5" t="str">
        <f>_xll.BDS("SEBL US Equity","SUPPLY_CHAIN_SUPPLIERS","RELATIONSHIP_AS_OF_DATE","19980302")</f>
        <v>#N/A N/A</v>
      </c>
      <c r="DB5" t="str">
        <f>_xll.BDS("SEBL US Equity","SUPPLY_CHAIN_CUSTOMERS","RELATIONSHIP_AS_OF_DATE","19980302")</f>
        <v>#N/A N/A</v>
      </c>
      <c r="DG5" t="str">
        <f>_xll.BDS("0848680D US Equity","SUPPLY_CHAIN_SUPPLIERS","RELATIONSHIP_AS_OF_DATE","20090728")</f>
        <v>#N/A N/A</v>
      </c>
      <c r="DL5" t="str">
        <f>_xll.BDS("0848680D US Equity","SUPPLY_CHAIN_CUSTOMERS","RELATIONSHIP_AS_OF_DATE","20090728")</f>
        <v>#N/A N/A</v>
      </c>
      <c r="DQ5" t="str">
        <f>_xll.BDS("KEX US Equity","SUPPLY_CHAIN_SUPPLIERS","RELATIONSHIP_AS_OF_DATE","20110313","cols=1;rows=5")</f>
        <v>ATCOA SS Equity</v>
      </c>
      <c r="DV5" t="str">
        <f>_xll.BDS("KEX US Equity","SUPPLY_CHAIN_CUSTOMERS","RELATIONSHIP_AS_OF_DATE","20110313","cols=1;rows=5")</f>
        <v>CAT US Equity</v>
      </c>
      <c r="EA5" t="str">
        <f>_xll.BDS("SYNA US Equity","SUPPLY_CHAIN_SUPPLIERS","RELATIONSHIP_AS_OF_DATE","20210830","cols=1;rows=5")</f>
        <v>000810 CH Equity</v>
      </c>
      <c r="EF5" t="str">
        <f>_xll.BDS("SYNA US Equity","SUPPLY_CHAIN_CUSTOMERS","RELATIONSHIP_AS_OF_DATE","20210830","cols=1;rows=5")</f>
        <v>DELL US Equity</v>
      </c>
      <c r="EK5" t="str">
        <f>_xll.BDS("PBCT US Equity","SUPPLY_CHAIN_SUPPLIERS","RELATIONSHIP_AS_OF_DATE","20160627")</f>
        <v>#N/A N/A</v>
      </c>
      <c r="EP5" t="str">
        <f>_xll.BDS("PBCT US Equity","SUPPLY_CHAIN_CUSTOMERS","RELATIONSHIP_AS_OF_DATE","20160627")</f>
        <v>#N/A N/A</v>
      </c>
      <c r="EU5" t="str">
        <f>_xll.BDS("SUPN US Equity","SUPPLY_CHAIN_SUPPLIERS","RELATIONSHIP_AS_OF_DATE","20211011","cols=1;rows=5")</f>
        <v>PRIME SP Equity</v>
      </c>
      <c r="EZ5" t="str">
        <f>_xll.BDS("SUPN US Equity","SUPPLY_CHAIN_CUSTOMERS","RELATIONSHIP_AS_OF_DATE","20211011","cols=1;rows=5")</f>
        <v>MCK US Equity</v>
      </c>
      <c r="FE5" t="str">
        <f>_xll.BDS("SOV US Equity","SUPPLY_CHAIN_SUPPLIERS","RELATIONSHIP_AS_OF_DATE","19980908")</f>
        <v>#N/A N/A</v>
      </c>
      <c r="FJ5" t="str">
        <f>_xll.BDS("SOV US Equity","SUPPLY_CHAIN_CUSTOMERS","RELATIONSHIP_AS_OF_DATE","19980908")</f>
        <v>#N/A N/A</v>
      </c>
      <c r="FO5" t="str">
        <f>_xll.BDS("WFC US Equity","SUPPLY_CHAIN_SUPPLIERS","RELATIONSHIP_AS_OF_DATE","20000202","cols=1;rows=5")</f>
        <v>ADBE US Equity</v>
      </c>
      <c r="FT5" t="str">
        <f>_xll.BDS("WFC US Equity","SUPPLY_CHAIN_CUSTOMERS","RELATIONSHIP_AS_OF_DATE","20000202","cols=1;rows=5")</f>
        <v>CDW US Equity</v>
      </c>
      <c r="FY5" t="str">
        <f>_xll.BDS("8397627Q US Equity","SUPPLY_CHAIN_SUPPLIERS","RELATIONSHIP_AS_OF_DATE","20061221")</f>
        <v>#N/A N/A</v>
      </c>
      <c r="GD5" t="str">
        <f>_xll.BDS("8397627Q US Equity","SUPPLY_CHAIN_CUSTOMERS","RELATIONSHIP_AS_OF_DATE","20061221")</f>
        <v>#N/A N/A</v>
      </c>
      <c r="GI5" t="str">
        <f>_xll.BDS("1799685D US Equity","SUPPLY_CHAIN_SUPPLIERS","RELATIONSHIP_AS_OF_DATE","20020820")</f>
        <v>#N/A N/A</v>
      </c>
      <c r="GN5" t="str">
        <f>_xll.BDS("1799685D US Equity","SUPPLY_CHAIN_CUSTOMERS","RELATIONSHIP_AS_OF_DATE","20020820")</f>
        <v>#N/A N/A</v>
      </c>
      <c r="GS5" t="str">
        <f>_xll.BDS("MITL US Equity","SUPPLY_CHAIN_SUPPLIERS","RELATIONSHIP_AS_OF_DATE","20170727","cols=1;rows=5")</f>
        <v>2314 TT Equity</v>
      </c>
      <c r="GX5" t="str">
        <f>_xll.BDS("MITL US Equity","SUPPLY_CHAIN_CUSTOMERS","RELATIONSHIP_AS_OF_DATE","20170727","cols=1;rows=5")</f>
        <v>4509187Z IM Equity</v>
      </c>
      <c r="HC5" t="str">
        <f>_xll.BDS("PNR US Equity","SUPPLY_CHAIN_SUPPLIERS","RELATIONSHIP_AS_OF_DATE","19990430","cols=1;rows=5")</f>
        <v>CTS US Equity</v>
      </c>
      <c r="HH5" t="str">
        <f>_xll.BDS("PNR US Equity","SUPPLY_CHAIN_CUSTOMERS","RELATIONSHIP_AS_OF_DATE","19990430","cols=1;rows=5")</f>
        <v>POOL US Equity</v>
      </c>
      <c r="HM5" t="str">
        <f>_xll.BDS("MFE US Equity","SUPPLY_CHAIN_SUPPLIERS","RELATIONSHIP_AS_OF_DATE","20080922","cols=1;rows=2")</f>
        <v>EMBASSY IN Equity</v>
      </c>
      <c r="HR5" t="str">
        <f>_xll.BDS("MFE US Equity","SUPPLY_CHAIN_CUSTOMERS","RELATIONSHIP_AS_OF_DATE","20080922","cols=1;rows=5")</f>
        <v>2760 JP Equity</v>
      </c>
      <c r="HW5" t="str">
        <f>_xll.BDS("PRK US Equity","SUPPLY_CHAIN_SUPPLIERS","RELATIONSHIP_AS_OF_DATE","20001121")</f>
        <v>WK US Equity</v>
      </c>
      <c r="IB5" t="str">
        <f>_xll.BDS("PRK US Equity","SUPPLY_CHAIN_CUSTOMERS","RELATIONSHIP_AS_OF_DATE","20001121")</f>
        <v>#N/A N/A</v>
      </c>
      <c r="IG5" t="str">
        <f>_xll.BDS("FNB US Equity","SUPPLY_CHAIN_SUPPLIERS","RELATIONSHIP_AS_OF_DATE","20071109")</f>
        <v>HY US Equity</v>
      </c>
      <c r="IL5" t="str">
        <f>_xll.BDS("FNB US Equity","SUPPLY_CHAIN_CUSTOMERS","RELATIONSHIP_AS_OF_DATE","20071109")</f>
        <v>#N/A N/A</v>
      </c>
      <c r="IQ5" t="str">
        <f>_xll.BDS("KFRC US Equity","SUPPLY_CHAIN_SUPPLIERS","RELATIONSHIP_AS_OF_DATE","19980202")</f>
        <v>DHX US Equity</v>
      </c>
      <c r="IV5" t="str">
        <f>_xll.BDS("KFRC US Equity","SUPPLY_CHAIN_CUSTOMERS","RELATIONSHIP_AS_OF_DATE","19980202","cols=1;rows=3")</f>
        <v>079960 KS Equity</v>
      </c>
      <c r="JA5" t="str">
        <f>_xll.BDS("KRNY US Equity","SUPPLY_CHAIN_SUPPLIERS","RELATIONSHIP_AS_OF_DATE","20171101")</f>
        <v>FISV US Equity</v>
      </c>
      <c r="JF5" t="str">
        <f>_xll.BDS("KRNY US Equity","SUPPLY_CHAIN_CUSTOMERS","RELATIONSHIP_AS_OF_DATE","20171101")</f>
        <v>#N/A N/A</v>
      </c>
      <c r="JK5" t="str">
        <f>_xll.BDS("TFC US Equity","SUPPLY_CHAIN_SUPPLIERS","RELATIONSHIP_AS_OF_DATE","20001205","cols=1;rows=5")</f>
        <v>ADBE US Equity</v>
      </c>
      <c r="JP5" t="str">
        <f>_xll.BDS("TFC US Equity","SUPPLY_CHAIN_CUSTOMERS","RELATIONSHIP_AS_OF_DATE","20001205")</f>
        <v>RENG IN Equity</v>
      </c>
      <c r="JU5" t="str">
        <f>_xll.BDS("WFC US Equity","SUPPLY_CHAIN_SUPPLIERS","RELATIONSHIP_AS_OF_DATE","19950515","cols=1;rows=5")</f>
        <v>ADBE US Equity</v>
      </c>
      <c r="JZ5" t="str">
        <f>_xll.BDS("WFC US Equity","SUPPLY_CHAIN_CUSTOMERS","RELATIONSHIP_AS_OF_DATE","19950515","cols=1;rows=5")</f>
        <v>CDW US Equity</v>
      </c>
      <c r="KE5" t="str">
        <f>_xll.BDS("COV US Equity","SUPPLY_CHAIN_SUPPLIERS","RELATIONSHIP_AS_OF_DATE","20090508")</f>
        <v>#N/A N/A</v>
      </c>
      <c r="KJ5" t="str">
        <f>_xll.BDS("COV US Equity","SUPPLY_CHAIN_CUSTOMERS","RELATIONSHIP_AS_OF_DATE","20090508")</f>
        <v>#N/A N/A</v>
      </c>
      <c r="KO5" t="str">
        <f>_xll.BDS("2674129Q US Equity","SUPPLY_CHAIN_SUPPLIERS","RELATIONSHIP_AS_OF_DATE","19981214")</f>
        <v>#N/A N/A</v>
      </c>
      <c r="KT5" t="str">
        <f>_xll.BDS("2674129Q US Equity","SUPPLY_CHAIN_CUSTOMERS","RELATIONSHIP_AS_OF_DATE","19981214")</f>
        <v>#N/A N/A</v>
      </c>
      <c r="KY5" t="str">
        <f>_xll.BDS("WAL US Equity","SUPPLY_CHAIN_SUPPLIERS","RELATIONSHIP_AS_OF_DATE","20150309")</f>
        <v>CIO US Equity</v>
      </c>
      <c r="LD5" t="str">
        <f>_xll.BDS("WAL US Equity","SUPPLY_CHAIN_CUSTOMERS","RELATIONSHIP_AS_OF_DATE","20150309")</f>
        <v>#N/A N/A</v>
      </c>
      <c r="LI5" t="str">
        <f>_xll.BDS("612939Q US Equity","SUPPLY_CHAIN_SUPPLIERS","RELATIONSHIP_AS_OF_DATE","19981208")</f>
        <v>#N/A N/A</v>
      </c>
      <c r="LN5" t="str">
        <f>_xll.BDS("612939Q US Equity","SUPPLY_CHAIN_CUSTOMERS","RELATIONSHIP_AS_OF_DATE","19981208")</f>
        <v>#N/A N/A</v>
      </c>
      <c r="LS5" t="str">
        <f>_xll.BDS("nan Equity","SUPPLY_CHAIN_SUPPLIERS","RELATIONSHIP_AS_OF_DATE","20010508")</f>
        <v>#N/A N/A</v>
      </c>
      <c r="LX5" t="str">
        <f>_xll.BDS("nan Equity","SUPPLY_CHAIN_CUSTOMERS","RELATIONSHIP_AS_OF_DATE","20010508")</f>
        <v>#N/A N/A</v>
      </c>
      <c r="MC5" t="str">
        <f>_xll.BDS("OLN US Equity","SUPPLY_CHAIN_SUPPLIERS","RELATIONSHIP_AS_OF_DATE","20070521","cols=1;rows=5")</f>
        <v>CNR CN Equity</v>
      </c>
      <c r="MH5" t="str">
        <f>_xll.BDS("OLN US Equity","SUPPLY_CHAIN_CUSTOMERS","RELATIONSHIP_AS_OF_DATE","20070521","cols=1;rows=5")</f>
        <v>3352Z US Equity</v>
      </c>
      <c r="MM5" t="str">
        <f>_xll.BDS("1822785D US Equity","SUPPLY_CHAIN_SUPPLIERS","RELATIONSHIP_AS_OF_DATE","19990223")</f>
        <v>#N/A N/A</v>
      </c>
      <c r="MR5" t="str">
        <f>_xll.BDS("1822785D US Equity","SUPPLY_CHAIN_CUSTOMERS","RELATIONSHIP_AS_OF_DATE","19990223")</f>
        <v>#N/A N/A</v>
      </c>
      <c r="MW5" t="str">
        <f>_xll.BDS("MSCC US Equity","SUPPLY_CHAIN_SUPPLIERS","RELATIONSHIP_AS_OF_DATE","20101004")</f>
        <v>FE US Equity</v>
      </c>
      <c r="NB5" t="str">
        <f>_xll.BDS("MSCC US Equity","SUPPLY_CHAIN_CUSTOMERS","RELATIONSHIP_AS_OF_DATE","20101004")</f>
        <v>#N/A N/A</v>
      </c>
      <c r="NG5" t="str">
        <f>_xll.BDS("RBN US Equity","SUPPLY_CHAIN_SUPPLIERS","RELATIONSHIP_AS_OF_DATE","20101006")</f>
        <v>#N/A N/A</v>
      </c>
      <c r="NL5" t="str">
        <f>_xll.BDS("RBN US Equity","SUPPLY_CHAIN_CUSTOMERS","RELATIONSHIP_AS_OF_DATE","20101006")</f>
        <v>#N/A N/A</v>
      </c>
      <c r="NQ5" t="str">
        <f>_xll.BDS("PH US Equity","SUPPLY_CHAIN_SUPPLIERS","RELATIONSHIP_AS_OF_DATE","20000117","cols=1;rows=5")</f>
        <v>RBC US Equity</v>
      </c>
      <c r="NV5" t="str">
        <f>_xll.BDS("PH US Equity","SUPPLY_CHAIN_CUSTOMERS","RELATIONSHIP_AS_OF_DATE","20000117","cols=1;rows=5")</f>
        <v>BA US Equity</v>
      </c>
      <c r="OA5" t="str">
        <f>_xll.BDS("CSL US Equity","SUPPLY_CHAIN_SUPPLIERS","RELATIONSHIP_AS_OF_DATE","20101015","cols=1;rows=5")</f>
        <v>PTC US Equity</v>
      </c>
      <c r="OF5" t="str">
        <f>_xll.BDS("CSL US Equity","SUPPLY_CHAIN_CUSTOMERS","RELATIONSHIP_AS_OF_DATE","20101015","cols=1;rows=5")</f>
        <v>QXO US Equity</v>
      </c>
    </row>
    <row r="6" spans="1:396" x14ac:dyDescent="0.25">
      <c r="A6" t="s">
        <v>11842</v>
      </c>
      <c r="F6" t="s">
        <v>690</v>
      </c>
      <c r="U6" t="s">
        <v>10892</v>
      </c>
      <c r="Z6" t="s">
        <v>12335</v>
      </c>
      <c r="AE6" t="s">
        <v>10975</v>
      </c>
      <c r="AT6" t="s">
        <v>12756</v>
      </c>
      <c r="DQ6" t="s">
        <v>6386</v>
      </c>
      <c r="DV6" t="s">
        <v>6386</v>
      </c>
      <c r="EA6" t="s">
        <v>3611</v>
      </c>
      <c r="EF6" t="s">
        <v>261</v>
      </c>
      <c r="EU6" t="s">
        <v>6627</v>
      </c>
      <c r="EZ6" t="s">
        <v>1468</v>
      </c>
      <c r="FO6" t="s">
        <v>10986</v>
      </c>
      <c r="FT6" t="s">
        <v>11473</v>
      </c>
      <c r="GS6" t="s">
        <v>11063</v>
      </c>
      <c r="GX6" t="s">
        <v>6473</v>
      </c>
      <c r="HC6" t="s">
        <v>12767</v>
      </c>
      <c r="HH6" t="s">
        <v>570</v>
      </c>
      <c r="HM6" t="s">
        <v>11452</v>
      </c>
      <c r="HR6" t="s">
        <v>11107</v>
      </c>
      <c r="IV6" t="s">
        <v>10657</v>
      </c>
      <c r="JK6" t="s">
        <v>11371</v>
      </c>
      <c r="JU6" t="s">
        <v>10986</v>
      </c>
      <c r="JZ6" t="s">
        <v>11473</v>
      </c>
      <c r="MC6" t="s">
        <v>11702</v>
      </c>
      <c r="MH6" t="s">
        <v>11180</v>
      </c>
      <c r="NQ6" t="s">
        <v>12266</v>
      </c>
      <c r="NV6" t="s">
        <v>42</v>
      </c>
      <c r="OA6" t="s">
        <v>12196</v>
      </c>
      <c r="OF6" t="s">
        <v>12148</v>
      </c>
    </row>
    <row r="7" spans="1:396" x14ac:dyDescent="0.25">
      <c r="A7" t="s">
        <v>11843</v>
      </c>
      <c r="F7" t="s">
        <v>2210</v>
      </c>
      <c r="U7" t="s">
        <v>10858</v>
      </c>
      <c r="Z7" t="s">
        <v>12415</v>
      </c>
      <c r="AE7" t="s">
        <v>10828</v>
      </c>
      <c r="AT7" t="s">
        <v>469</v>
      </c>
      <c r="DQ7" t="s">
        <v>11756</v>
      </c>
      <c r="DV7" t="s">
        <v>11143</v>
      </c>
      <c r="EA7" t="s">
        <v>12588</v>
      </c>
      <c r="EF7" t="s">
        <v>11694</v>
      </c>
      <c r="EU7" t="s">
        <v>5074</v>
      </c>
      <c r="EZ7" t="s">
        <v>970</v>
      </c>
      <c r="FO7" t="s">
        <v>988</v>
      </c>
      <c r="FT7" t="s">
        <v>10787</v>
      </c>
      <c r="GS7" t="s">
        <v>12447</v>
      </c>
      <c r="GX7" t="s">
        <v>12438</v>
      </c>
      <c r="HC7" t="s">
        <v>12768</v>
      </c>
      <c r="HH7" t="s">
        <v>12003</v>
      </c>
      <c r="HR7" t="s">
        <v>10771</v>
      </c>
      <c r="IV7" t="s">
        <v>11482</v>
      </c>
      <c r="JK7" t="s">
        <v>10986</v>
      </c>
      <c r="JU7" t="s">
        <v>988</v>
      </c>
      <c r="JZ7" t="s">
        <v>10787</v>
      </c>
      <c r="MC7" t="s">
        <v>11146</v>
      </c>
      <c r="MH7" t="s">
        <v>10778</v>
      </c>
      <c r="NQ7" t="s">
        <v>8602</v>
      </c>
      <c r="NV7" t="s">
        <v>10939</v>
      </c>
      <c r="OA7" t="s">
        <v>12197</v>
      </c>
      <c r="OF7" t="s">
        <v>3239</v>
      </c>
    </row>
    <row r="8" spans="1:396" x14ac:dyDescent="0.25">
      <c r="A8" t="s">
        <v>11844</v>
      </c>
      <c r="F8" t="s">
        <v>11799</v>
      </c>
      <c r="U8" t="s">
        <v>11204</v>
      </c>
      <c r="Z8" t="s">
        <v>12416</v>
      </c>
      <c r="AE8" t="s">
        <v>10976</v>
      </c>
      <c r="AT8" t="s">
        <v>12757</v>
      </c>
      <c r="DQ8" t="s">
        <v>489</v>
      </c>
      <c r="DV8" t="s">
        <v>10657</v>
      </c>
      <c r="EA8" t="s">
        <v>12589</v>
      </c>
      <c r="EF8" t="s">
        <v>12535</v>
      </c>
      <c r="EU8" t="s">
        <v>12202</v>
      </c>
      <c r="EZ8" t="s">
        <v>52</v>
      </c>
      <c r="FO8" t="s">
        <v>1548</v>
      </c>
      <c r="FT8" t="s">
        <v>3340</v>
      </c>
      <c r="GS8" t="s">
        <v>10732</v>
      </c>
      <c r="GX8" t="s">
        <v>12439</v>
      </c>
      <c r="HC8" t="s">
        <v>10851</v>
      </c>
      <c r="HH8" t="s">
        <v>12750</v>
      </c>
      <c r="HR8" t="s">
        <v>3519</v>
      </c>
      <c r="JK8" t="s">
        <v>11372</v>
      </c>
      <c r="JU8" t="s">
        <v>1548</v>
      </c>
      <c r="JZ8" t="s">
        <v>3340</v>
      </c>
      <c r="MC8" t="s">
        <v>11557</v>
      </c>
      <c r="MH8" t="s">
        <v>11761</v>
      </c>
      <c r="NQ8" t="s">
        <v>11337</v>
      </c>
      <c r="NV8" t="s">
        <v>10785</v>
      </c>
      <c r="OA8" t="s">
        <v>10851</v>
      </c>
      <c r="OF8" t="s">
        <v>10911</v>
      </c>
    </row>
    <row r="9" spans="1:396" x14ac:dyDescent="0.25">
      <c r="U9" t="s">
        <v>11088</v>
      </c>
      <c r="Z9" t="s">
        <v>10892</v>
      </c>
      <c r="AE9" t="s">
        <v>10829</v>
      </c>
      <c r="AT9" t="s">
        <v>2401</v>
      </c>
      <c r="DQ9" t="s">
        <v>12652</v>
      </c>
      <c r="DV9" t="s">
        <v>12619</v>
      </c>
      <c r="EA9" t="s">
        <v>12590</v>
      </c>
      <c r="EF9" t="s">
        <v>10892</v>
      </c>
      <c r="EU9" t="s">
        <v>12203</v>
      </c>
      <c r="EZ9" t="s">
        <v>972</v>
      </c>
      <c r="FO9" t="s">
        <v>10877</v>
      </c>
      <c r="FT9" t="s">
        <v>11174</v>
      </c>
      <c r="GS9" t="s">
        <v>12448</v>
      </c>
      <c r="GX9" t="s">
        <v>10986</v>
      </c>
      <c r="HC9" t="s">
        <v>11290</v>
      </c>
      <c r="HH9" t="s">
        <v>3239</v>
      </c>
      <c r="HR9" t="s">
        <v>10986</v>
      </c>
      <c r="JK9" t="s">
        <v>10987</v>
      </c>
      <c r="JU9" t="s">
        <v>10877</v>
      </c>
      <c r="JZ9" t="s">
        <v>11174</v>
      </c>
      <c r="MC9" t="s">
        <v>11465</v>
      </c>
      <c r="MH9" t="s">
        <v>11762</v>
      </c>
      <c r="NQ9" t="s">
        <v>5325</v>
      </c>
      <c r="NV9" t="s">
        <v>667</v>
      </c>
      <c r="OA9" t="s">
        <v>2111</v>
      </c>
      <c r="OF9" t="s">
        <v>6386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4858</v>
      </c>
      <c r="K1" s="1" t="s">
        <v>4859</v>
      </c>
      <c r="U1" s="1" t="s">
        <v>4860</v>
      </c>
      <c r="AE1" s="1" t="s">
        <v>4861</v>
      </c>
      <c r="AO1" s="1" t="s">
        <v>4862</v>
      </c>
      <c r="AY1" s="1" t="s">
        <v>4863</v>
      </c>
      <c r="BI1" s="1" t="s">
        <v>4864</v>
      </c>
      <c r="BS1" s="1" t="s">
        <v>4865</v>
      </c>
      <c r="CC1" s="1" t="s">
        <v>4866</v>
      </c>
      <c r="CM1" s="1" t="s">
        <v>4867</v>
      </c>
      <c r="CW1" s="1" t="s">
        <v>4868</v>
      </c>
      <c r="DG1" s="1" t="s">
        <v>4869</v>
      </c>
      <c r="DQ1" s="1" t="s">
        <v>4870</v>
      </c>
      <c r="EA1" s="1" t="s">
        <v>4871</v>
      </c>
      <c r="EK1" s="1" t="s">
        <v>4872</v>
      </c>
      <c r="EU1" s="1" t="s">
        <v>4873</v>
      </c>
      <c r="FE1" s="1" t="s">
        <v>4874</v>
      </c>
      <c r="FO1" s="1" t="s">
        <v>4875</v>
      </c>
      <c r="FY1" s="1" t="s">
        <v>4876</v>
      </c>
      <c r="GI1" s="1" t="s">
        <v>4877</v>
      </c>
      <c r="GS1" s="1" t="s">
        <v>4878</v>
      </c>
      <c r="HC1" s="1" t="s">
        <v>4879</v>
      </c>
      <c r="HM1" s="1" t="s">
        <v>4880</v>
      </c>
      <c r="HW1" s="1" t="s">
        <v>4881</v>
      </c>
      <c r="IG1" s="1" t="s">
        <v>4882</v>
      </c>
      <c r="IQ1" s="1" t="s">
        <v>4883</v>
      </c>
      <c r="JA1" s="1" t="s">
        <v>4884</v>
      </c>
      <c r="JK1" s="1" t="s">
        <v>4885</v>
      </c>
      <c r="JU1" s="1" t="s">
        <v>4886</v>
      </c>
      <c r="KE1" s="1" t="s">
        <v>4887</v>
      </c>
      <c r="KO1" s="1" t="s">
        <v>4888</v>
      </c>
      <c r="KY1" s="1" t="s">
        <v>4889</v>
      </c>
      <c r="LI1" s="1" t="s">
        <v>4890</v>
      </c>
      <c r="LS1" s="1" t="s">
        <v>4891</v>
      </c>
      <c r="MC1" s="1" t="s">
        <v>4892</v>
      </c>
      <c r="MM1" s="1" t="s">
        <v>4893</v>
      </c>
      <c r="MW1" s="1" t="s">
        <v>4894</v>
      </c>
      <c r="NG1" s="1" t="s">
        <v>4895</v>
      </c>
      <c r="NQ1" s="1" t="s">
        <v>4896</v>
      </c>
      <c r="OA1" s="1" t="s">
        <v>4897</v>
      </c>
    </row>
    <row r="2" spans="1:396" x14ac:dyDescent="0.25">
      <c r="A2" s="2" t="s">
        <v>64</v>
      </c>
      <c r="K2" s="2" t="s">
        <v>4898</v>
      </c>
      <c r="U2" s="2" t="s">
        <v>1927</v>
      </c>
      <c r="AE2" s="2" t="s">
        <v>4899</v>
      </c>
      <c r="AO2" s="2" t="s">
        <v>4900</v>
      </c>
      <c r="AY2" s="2" t="s">
        <v>4901</v>
      </c>
      <c r="BI2" s="2" t="s">
        <v>275</v>
      </c>
      <c r="BS2" s="2" t="s">
        <v>2301</v>
      </c>
      <c r="CC2" s="2" t="s">
        <v>167</v>
      </c>
      <c r="CM2" s="2" t="s">
        <v>4902</v>
      </c>
      <c r="CW2" s="2" t="s">
        <v>4903</v>
      </c>
      <c r="DG2" s="2" t="s">
        <v>4904</v>
      </c>
      <c r="DQ2" s="2" t="s">
        <v>155</v>
      </c>
      <c r="EA2" s="2" t="s">
        <v>2304</v>
      </c>
      <c r="EK2" s="2" t="s">
        <v>64</v>
      </c>
      <c r="EU2" s="2" t="s">
        <v>4905</v>
      </c>
      <c r="FE2" s="2" t="s">
        <v>4906</v>
      </c>
      <c r="FO2" s="2" t="s">
        <v>4907</v>
      </c>
      <c r="FY2" s="2" t="s">
        <v>1756</v>
      </c>
      <c r="GI2" s="2" t="s">
        <v>4908</v>
      </c>
      <c r="GS2" s="2" t="s">
        <v>4909</v>
      </c>
      <c r="HC2" s="2" t="s">
        <v>976</v>
      </c>
      <c r="HM2" s="2" t="s">
        <v>2308</v>
      </c>
      <c r="HW2" s="2" t="s">
        <v>3154</v>
      </c>
      <c r="IG2" s="2" t="s">
        <v>266</v>
      </c>
      <c r="IQ2" s="2" t="s">
        <v>4481</v>
      </c>
      <c r="JA2" s="2" t="s">
        <v>975</v>
      </c>
      <c r="JK2" s="2" t="s">
        <v>41</v>
      </c>
      <c r="JU2" s="2" t="s">
        <v>1644</v>
      </c>
      <c r="KE2" s="2" t="s">
        <v>1360</v>
      </c>
      <c r="KO2" s="2" t="s">
        <v>1543</v>
      </c>
      <c r="KY2" s="2" t="s">
        <v>4910</v>
      </c>
      <c r="LI2" s="2" t="s">
        <v>2875</v>
      </c>
      <c r="LS2" s="2" t="s">
        <v>2517</v>
      </c>
      <c r="MC2" s="2" t="s">
        <v>880</v>
      </c>
      <c r="MM2" s="2" t="s">
        <v>4911</v>
      </c>
      <c r="MW2" s="2" t="s">
        <v>3951</v>
      </c>
      <c r="NG2" s="2" t="s">
        <v>4912</v>
      </c>
      <c r="NQ2" s="2" t="s">
        <v>41</v>
      </c>
      <c r="OA2" s="2" t="s">
        <v>4913</v>
      </c>
    </row>
    <row r="3" spans="1:396" x14ac:dyDescent="0.25">
      <c r="A3" t="s">
        <v>1392</v>
      </c>
      <c r="K3" t="s">
        <v>4914</v>
      </c>
      <c r="U3" t="s">
        <v>4915</v>
      </c>
      <c r="AE3" t="s">
        <v>4916</v>
      </c>
      <c r="AO3" t="s">
        <v>1972</v>
      </c>
      <c r="AY3" t="s">
        <v>1761</v>
      </c>
      <c r="BI3" t="s">
        <v>4917</v>
      </c>
      <c r="BS3" t="s">
        <v>4918</v>
      </c>
      <c r="CC3" t="s">
        <v>4919</v>
      </c>
      <c r="CM3" t="s">
        <v>4413</v>
      </c>
      <c r="CW3" t="s">
        <v>4920</v>
      </c>
      <c r="DG3" t="s">
        <v>4921</v>
      </c>
      <c r="DQ3" t="s">
        <v>302</v>
      </c>
      <c r="EA3" t="s">
        <v>4922</v>
      </c>
      <c r="EK3" t="s">
        <v>4923</v>
      </c>
      <c r="EU3" t="s">
        <v>4924</v>
      </c>
      <c r="FE3" t="s">
        <v>4925</v>
      </c>
      <c r="FO3" t="s">
        <v>4314</v>
      </c>
      <c r="FY3" t="s">
        <v>4926</v>
      </c>
      <c r="GI3" t="s">
        <v>4927</v>
      </c>
      <c r="GS3" t="s">
        <v>4928</v>
      </c>
      <c r="HC3" t="s">
        <v>4929</v>
      </c>
      <c r="HM3" t="s">
        <v>4930</v>
      </c>
      <c r="HW3" t="s">
        <v>2640</v>
      </c>
      <c r="IG3" t="s">
        <v>4931</v>
      </c>
      <c r="IQ3" t="s">
        <v>4932</v>
      </c>
      <c r="JA3" t="s">
        <v>4933</v>
      </c>
      <c r="JK3" t="s">
        <v>3564</v>
      </c>
      <c r="JU3" t="s">
        <v>4934</v>
      </c>
      <c r="KE3" t="s">
        <v>4935</v>
      </c>
      <c r="KO3" t="s">
        <v>4936</v>
      </c>
      <c r="KY3" t="s">
        <v>4937</v>
      </c>
      <c r="LI3" t="s">
        <v>4331</v>
      </c>
      <c r="LS3" t="s">
        <v>4938</v>
      </c>
      <c r="MC3" t="s">
        <v>288</v>
      </c>
      <c r="MM3" t="s">
        <v>4939</v>
      </c>
      <c r="MW3" t="s">
        <v>4940</v>
      </c>
      <c r="NG3" t="s">
        <v>4941</v>
      </c>
      <c r="NQ3" t="s">
        <v>4942</v>
      </c>
      <c r="OA3" t="s">
        <v>4943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_xll.BDS("nan Equity","SUPPLY_CHAIN_SUPPLIERS","RELATIONSHIP_AS_OF_DATE","20210104")</f>
        <v>#N/A N/A</v>
      </c>
      <c r="F5" t="str">
        <f>_xll.BDS("nan Equity","SUPPLY_CHAIN_CUSTOMERS","RELATIONSHIP_AS_OF_DATE","20210104")</f>
        <v>#N/A N/A</v>
      </c>
      <c r="K5" t="str">
        <f>_xll.BDS("KLAC US Equity","SUPPLY_CHAIN_SUPPLIERS","RELATIONSHIP_AS_OF_DATE","20060223","cols=1;rows=5")</f>
        <v>COHR US Equity</v>
      </c>
      <c r="P5" t="str">
        <f>_xll.BDS("KLAC US Equity","SUPPLY_CHAIN_CUSTOMERS","RELATIONSHIP_AS_OF_DATE","20060223","cols=1;rows=5")</f>
        <v>2330 TT Equity</v>
      </c>
      <c r="U5" t="str">
        <f>_xll.BDS("ENDPQ US Equity","SUPPLY_CHAIN_SUPPLIERS","RELATIONSHIP_AS_OF_DATE","20090105","cols=1;rows=5")</f>
        <v>0177858D US Equity</v>
      </c>
      <c r="Z5" t="str">
        <f>_xll.BDS("ENDPQ US Equity","SUPPLY_CHAIN_CUSTOMERS","RELATIONSHIP_AS_OF_DATE","20090105","cols=1;rows=5")</f>
        <v>0219682Z US Equity</v>
      </c>
      <c r="AE5" t="str">
        <f>_xll.BDS("SGEN US Equity","SUPPLY_CHAIN_SUPPLIERS","RELATIONSHIP_AS_OF_DATE","20180131","cols=1;rows=5")</f>
        <v>0410347D US Equity</v>
      </c>
      <c r="AJ5" t="str">
        <f>_xll.BDS("SGEN US Equity","SUPPLY_CHAIN_CUSTOMERS","RELATIONSHIP_AS_OF_DATE","20180131","cols=1;rows=5")</f>
        <v>2701832Z LN Equity</v>
      </c>
      <c r="AO5" t="str">
        <f>_xll.BDS("9995577D US Equity","SUPPLY_CHAIN_SUPPLIERS","RELATIONSHIP_AS_OF_DATE","20190506")</f>
        <v>#N/A N/A</v>
      </c>
      <c r="AT5" t="str">
        <f>_xll.BDS("9995577D US Equity","SUPPLY_CHAIN_CUSTOMERS","RELATIONSHIP_AS_OF_DATE","20190506")</f>
        <v>#N/A N/A</v>
      </c>
      <c r="AY5" t="str">
        <f>_xll.BDS("0882814D US Equity","SUPPLY_CHAIN_SUPPLIERS","RELATIONSHIP_AS_OF_DATE","20000214")</f>
        <v>#N/A N/A</v>
      </c>
      <c r="BD5" t="str">
        <f>_xll.BDS("0882814D US Equity","SUPPLY_CHAIN_CUSTOMERS","RELATIONSHIP_AS_OF_DATE","20000214")</f>
        <v>#N/A N/A</v>
      </c>
      <c r="BI5" t="str">
        <f>_xll.BDS("GILD US Equity","SUPPLY_CHAIN_SUPPLIERS","RELATIONSHIP_AS_OF_DATE","20021204","cols=1;rows=5")</f>
        <v>JNJ US Equity</v>
      </c>
      <c r="BN5" t="str">
        <f>_xll.BDS("GILD US Equity","SUPPLY_CHAIN_CUSTOMERS","RELATIONSHIP_AS_OF_DATE","20021204","cols=1;rows=5")</f>
        <v>CAH US Equity</v>
      </c>
      <c r="BS5" t="str">
        <f>_xll.BDS("STCN US Equity","SUPPLY_CHAIN_SUPPLIERS","RELATIONSHIP_AS_OF_DATE","19991215")</f>
        <v>#N/A N/A</v>
      </c>
      <c r="BX5" t="str">
        <f>_xll.BDS("STCN US Equity","SUPPLY_CHAIN_CUSTOMERS","RELATIONSHIP_AS_OF_DATE","19991215","cols=1;rows=3")</f>
        <v>992 HK Equity</v>
      </c>
      <c r="CC5" t="str">
        <f>_xll.BDS("ABT US Equity","SUPPLY_CHAIN_SUPPLIERS","RELATIONSHIP_AS_OF_DATE","20100309","cols=1;rows=5")</f>
        <v>MSFT US Equity</v>
      </c>
      <c r="CH5" t="str">
        <f>_xll.BDS("ABT US Equity","SUPPLY_CHAIN_CUSTOMERS","RELATIONSHIP_AS_OF_DATE","20100309","cols=1;rows=5")</f>
        <v>SNX US Equity</v>
      </c>
      <c r="CM5" t="str">
        <f>_xll.BDS("987200Q US Equity","SUPPLY_CHAIN_SUPPLIERS","RELATIONSHIP_AS_OF_DATE","20000703")</f>
        <v>#N/A N/A</v>
      </c>
      <c r="CR5" t="str">
        <f>_xll.BDS("987200Q US Equity","SUPPLY_CHAIN_CUSTOMERS","RELATIONSHIP_AS_OF_DATE","20000703")</f>
        <v>#N/A N/A</v>
      </c>
      <c r="CW5" t="str">
        <f>_xll.BDS("IBEMQ US Equity","SUPPLY_CHAIN_SUPPLIERS","RELATIONSHIP_AS_OF_DATE","20000725")</f>
        <v>#N/A N/A</v>
      </c>
      <c r="DB5" t="str">
        <f>_xll.BDS("IBEMQ US Equity","SUPPLY_CHAIN_CUSTOMERS","RELATIONSHIP_AS_OF_DATE","20000725")</f>
        <v>#N/A N/A</v>
      </c>
      <c r="DG5" t="str">
        <f>_xll.BDS("RBPAA US Equity","SUPPLY_CHAIN_SUPPLIERS","RELATIONSHIP_AS_OF_DATE","20010313")</f>
        <v>#N/A N/A</v>
      </c>
      <c r="DL5" t="str">
        <f>_xll.BDS("RBPAA US Equity","SUPPLY_CHAIN_CUSTOMERS","RELATIONSHIP_AS_OF_DATE","20010313")</f>
        <v>#N/A N/A</v>
      </c>
      <c r="DQ5" t="str">
        <f>_xll.BDS("VIAV US Equity","SUPPLY_CHAIN_SUPPLIERS","RELATIONSHIP_AS_OF_DATE","19991004","cols=1;rows=5")</f>
        <v>TCS IN Equity</v>
      </c>
      <c r="DV5" t="str">
        <f>_xll.BDS("VIAV US Equity","SUPPLY_CHAIN_CUSTOMERS","RELATIONSHIP_AS_OF_DATE","19991004","cols=1;rows=5")</f>
        <v>582647Z SW Equity</v>
      </c>
      <c r="EA5" t="str">
        <f>_xll.BDS("BKB US Equity","SUPPLY_CHAIN_SUPPLIERS","RELATIONSHIP_AS_OF_DATE","19980529")</f>
        <v>#N/A N/A</v>
      </c>
      <c r="EF5" t="str">
        <f>_xll.BDS("BKB US Equity","SUPPLY_CHAIN_CUSTOMERS","RELATIONSHIP_AS_OF_DATE","19980529")</f>
        <v>#N/A N/A</v>
      </c>
      <c r="EK5" t="str">
        <f>_xll.BDS("nan Equity","SUPPLY_CHAIN_SUPPLIERS","RELATIONSHIP_AS_OF_DATE","20120806")</f>
        <v>#N/A N/A</v>
      </c>
      <c r="EP5" t="str">
        <f>_xll.BDS("nan Equity","SUPPLY_CHAIN_CUSTOMERS","RELATIONSHIP_AS_OF_DATE","20120806")</f>
        <v>#N/A N/A</v>
      </c>
      <c r="EU5" t="str">
        <f>_xll.BDS("SCHL US Equity","SUPPLY_CHAIN_SUPPLIERS","RELATIONSHIP_AS_OF_DATE","20000413","cols=1;rows=4")</f>
        <v>XPO US Equity</v>
      </c>
      <c r="EZ5" t="str">
        <f>_xll.BDS("SCHL US Equity","SUPPLY_CHAIN_CUSTOMERS","RELATIONSHIP_AS_OF_DATE","20000413")</f>
        <v>CNVS US Equity</v>
      </c>
      <c r="FE5" t="str">
        <f>_xll.BDS("IPIXQ US Equity","SUPPLY_CHAIN_SUPPLIERS","RELATIONSHIP_AS_OF_DATE","19991026")</f>
        <v>#N/A N/A</v>
      </c>
      <c r="FJ5" t="str">
        <f>_xll.BDS("IPIXQ US Equity","SUPPLY_CHAIN_CUSTOMERS","RELATIONSHIP_AS_OF_DATE","19991026")</f>
        <v>#N/A N/A</v>
      </c>
      <c r="FO5" t="str">
        <f>_xll.BDS("CCBI US Equity","SUPPLY_CHAIN_SUPPLIERS","RELATIONSHIP_AS_OF_DATE","20040127")</f>
        <v>#N/A N/A</v>
      </c>
      <c r="FT5" t="str">
        <f>_xll.BDS("CCBI US Equity","SUPPLY_CHAIN_CUSTOMERS","RELATIONSHIP_AS_OF_DATE","20040127")</f>
        <v>#N/A N/A</v>
      </c>
      <c r="FY5" t="str">
        <f>_xll.BDS("1920486D US Equity","SUPPLY_CHAIN_SUPPLIERS","RELATIONSHIP_AS_OF_DATE","20000919")</f>
        <v>#N/A N/A</v>
      </c>
      <c r="GD5" t="str">
        <f>_xll.BDS("1920486D US Equity","SUPPLY_CHAIN_CUSTOMERS","RELATIONSHIP_AS_OF_DATE","20000919")</f>
        <v>#N/A N/A</v>
      </c>
      <c r="GI5" t="str">
        <f>_xll.BDS("CMTL US Equity","SUPPLY_CHAIN_SUPPLIERS","RELATIONSHIP_AS_OF_DATE","20151123","cols=1;rows=5")</f>
        <v>FEIM US Equity</v>
      </c>
      <c r="GN5" t="str">
        <f>_xll.BDS("CMTL US Equity","SUPPLY_CHAIN_CUSTOMERS","RELATIONSHIP_AS_OF_DATE","20151123","cols=1;rows=5")</f>
        <v>3352Z US Equity</v>
      </c>
      <c r="GS5" t="str">
        <f>_xll.BDS("VPHM US Equity","SUPPLY_CHAIN_SUPPLIERS","RELATIONSHIP_AS_OF_DATE","20080715")</f>
        <v>#N/A N/A</v>
      </c>
      <c r="GX5" t="str">
        <f>_xll.BDS("VPHM US Equity","SUPPLY_CHAIN_CUSTOMERS","RELATIONSHIP_AS_OF_DATE","20080715")</f>
        <v>#N/A N/A</v>
      </c>
      <c r="HC5" t="str">
        <f>_xll.BDS("MTCH US Equity","SUPPLY_CHAIN_SUPPLIERS","RELATIONSHIP_AS_OF_DATE","20191220","cols=1;rows=5")</f>
        <v>053300 KS Equity</v>
      </c>
      <c r="HH5" t="str">
        <f>_xll.BDS("MTCH US Equity","SUPPLY_CHAIN_CUSTOMERS","RELATIONSHIP_AS_OF_DATE","20191220","cols=1;rows=3")</f>
        <v>AAPL US Equity</v>
      </c>
      <c r="HM5" t="str">
        <f>_xll.BDS("HI US Equity","SUPPLY_CHAIN_SUPPLIERS","RELATIONSHIP_AS_OF_DATE","20100111","cols=1;rows=5")</f>
        <v>1551592D US Equity</v>
      </c>
      <c r="HR5" t="str">
        <f>_xll.BDS("HI US Equity","SUPPLY_CHAIN_CUSTOMERS","RELATIONSHIP_AS_OF_DATE","20100111","cols=1;rows=5")</f>
        <v>4614Z US Equity</v>
      </c>
      <c r="HW5" t="str">
        <f>_xll.BDS("2596516D US Equity","SUPPLY_CHAIN_SUPPLIERS","RELATIONSHIP_AS_OF_DATE","19990920")</f>
        <v>#N/A N/A</v>
      </c>
      <c r="IB5" t="str">
        <f>_xll.BDS("2596516D US Equity","SUPPLY_CHAIN_CUSTOMERS","RELATIONSHIP_AS_OF_DATE","19990920")</f>
        <v>#N/A N/A</v>
      </c>
      <c r="IG5" t="str">
        <f>_xll.BDS("MSFT US Equity","SUPPLY_CHAIN_SUPPLIERS","RELATIONSHIP_AS_OF_DATE","20080829","cols=1;rows=5")</f>
        <v>NVDA US Equity</v>
      </c>
      <c r="IL5" t="str">
        <f>_xll.BDS("MSFT US Equity","SUPPLY_CHAIN_CUSTOMERS","RELATIONSHIP_AS_OF_DATE","20080829","cols=1;rows=5")</f>
        <v>SNX US Equity</v>
      </c>
      <c r="IQ5" t="str">
        <f>_xll.BDS("SUG US Equity","SUPPLY_CHAIN_SUPPLIERS","RELATIONSHIP_AS_OF_DATE","19991115")</f>
        <v>#N/A N/A</v>
      </c>
      <c r="IV5" t="str">
        <f>_xll.BDS("SUG US Equity","SUPPLY_CHAIN_CUSTOMERS","RELATIONSHIP_AS_OF_DATE","19991115")</f>
        <v>#N/A N/A</v>
      </c>
      <c r="JA5" t="str">
        <f>_xll.BDS("1715651D US Equity","SUPPLY_CHAIN_SUPPLIERS","RELATIONSHIP_AS_OF_DATE","20020723")</f>
        <v>FE US Equity</v>
      </c>
      <c r="JF5" t="str">
        <f>_xll.BDS("1715651D US Equity","SUPPLY_CHAIN_CUSTOMERS","RELATIONSHIP_AS_OF_DATE","20020723")</f>
        <v>#N/A N/A</v>
      </c>
      <c r="JK5" t="str">
        <f>_xll.BDS("T US Equity","SUPPLY_CHAIN_SUPPLIERS","RELATIONSHIP_AS_OF_DATE","19991103","cols=1;rows=5")</f>
        <v>AAPL US Equity</v>
      </c>
      <c r="JP5" t="str">
        <f>_xll.BDS("T US Equity","SUPPLY_CHAIN_CUSTOMERS","RELATIONSHIP_AS_OF_DATE","19991103","cols=1;rows=5")</f>
        <v>IBM US Equity</v>
      </c>
      <c r="JU5" t="str">
        <f>_xll.BDS("LQI US Equity","SUPPLY_CHAIN_SUPPLIERS","RELATIONSHIP_AS_OF_DATE","19980112")</f>
        <v>#N/A N/A</v>
      </c>
      <c r="JZ5" t="str">
        <f>_xll.BDS("LQI US Equity","SUPPLY_CHAIN_CUSTOMERS","RELATIONSHIP_AS_OF_DATE","19980112")</f>
        <v>#N/A N/A</v>
      </c>
      <c r="KE5" t="str">
        <f>_xll.BDS("EXPE US Equity","SUPPLY_CHAIN_SUPPLIERS","RELATIONSHIP_AS_OF_DATE","20151104","cols=1;rows=5")</f>
        <v>TRIP US Equity</v>
      </c>
      <c r="KJ5" t="str">
        <f>_xll.BDS("EXPE US Equity","SUPPLY_CHAIN_CUSTOMERS","RELATIONSHIP_AS_OF_DATE","20151104","cols=1;rows=5")</f>
        <v>2731 TT Equity</v>
      </c>
      <c r="KO5" t="str">
        <f>_xll.BDS("SOV US Equity","SUPPLY_CHAIN_SUPPLIERS","RELATIONSHIP_AS_OF_DATE","20030613")</f>
        <v>#N/A N/A</v>
      </c>
      <c r="KT5" t="str">
        <f>_xll.BDS("SOV US Equity","SUPPLY_CHAIN_CUSTOMERS","RELATIONSHIP_AS_OF_DATE","20030613")</f>
        <v>#N/A N/A</v>
      </c>
      <c r="KY5" t="str">
        <f>_xll.BDS("SGU US Equity","SUPPLY_CHAIN_SUPPLIERS","RELATIONSHIP_AS_OF_DATE","19980814","cols=1;rows=5")</f>
        <v>13277Z US Equity</v>
      </c>
      <c r="LD5" t="str">
        <f>_xll.BDS("SGU US Equity","SUPPLY_CHAIN_CUSTOMERS","RELATIONSHIP_AS_OF_DATE","19980814")</f>
        <v>#N/A N/A</v>
      </c>
      <c r="LI5" t="str">
        <f>_xll.BDS("3029830Q US Equity","SUPPLY_CHAIN_SUPPLIERS","RELATIONSHIP_AS_OF_DATE","19991011")</f>
        <v>#N/A N/A</v>
      </c>
      <c r="LN5" t="str">
        <f>_xll.BDS("3029830Q US Equity","SUPPLY_CHAIN_CUSTOMERS","RELATIONSHIP_AS_OF_DATE","19991011")</f>
        <v>#N/A N/A</v>
      </c>
      <c r="LS5" t="str">
        <f>_xll.BDS("OCR US Equity","SUPPLY_CHAIN_SUPPLIERS","RELATIONSHIP_AS_OF_DATE","20020729")</f>
        <v>#N/A N/A</v>
      </c>
      <c r="LX5" t="str">
        <f>_xll.BDS("OCR US Equity","SUPPLY_CHAIN_CUSTOMERS","RELATIONSHIP_AS_OF_DATE","20020729","cols=1;rows=2")</f>
        <v>3176 TT Equity</v>
      </c>
      <c r="MC5" t="str">
        <f>_xll.BDS("2860436Q US Equity","SUPPLY_CHAIN_SUPPLIERS","RELATIONSHIP_AS_OF_DATE","20051205")</f>
        <v>#N/A N/A</v>
      </c>
      <c r="MH5" t="str">
        <f>_xll.BDS("2860436Q US Equity","SUPPLY_CHAIN_CUSTOMERS","RELATIONSHIP_AS_OF_DATE","20051205")</f>
        <v>#N/A N/A</v>
      </c>
      <c r="MM5" t="str">
        <f>_xll.BDS("ABCB US Equity","SUPPLY_CHAIN_SUPPLIERS","RELATIONSHIP_AS_OF_DATE","20180126")</f>
        <v>5158754Z SS Equity</v>
      </c>
      <c r="MR5" t="str">
        <f>_xll.BDS("ABCB US Equity","SUPPLY_CHAIN_CUSTOMERS","RELATIONSHIP_AS_OF_DATE","20180126")</f>
        <v>#N/A N/A</v>
      </c>
      <c r="MW5" t="str">
        <f>_xll.BDS("GEO US Equity","SUPPLY_CHAIN_SUPPLIERS","RELATIONSHIP_AS_OF_DATE","20060920")</f>
        <v>VSEE US Equity</v>
      </c>
      <c r="NB5" t="str">
        <f>_xll.BDS("GEO US Equity","SUPPLY_CHAIN_CUSTOMERS","RELATIONSHIP_AS_OF_DATE","20060920","cols=1;rows=5")</f>
        <v>3352Z US Equity</v>
      </c>
      <c r="NG5" t="str">
        <f>_xll.BDS("OMTR US Equity","SUPPLY_CHAIN_SUPPLIERS","RELATIONSHIP_AS_OF_DATE","20071025")</f>
        <v>#N/A N/A</v>
      </c>
      <c r="NL5" t="str">
        <f>_xll.BDS("OMTR US Equity","SUPPLY_CHAIN_CUSTOMERS","RELATIONSHIP_AS_OF_DATE","20071025")</f>
        <v>#N/A N/A</v>
      </c>
      <c r="NQ5" t="str">
        <f>_xll.BDS("T US Equity","SUPPLY_CHAIN_SUPPLIERS","RELATIONSHIP_AS_OF_DATE","20010921","cols=1;rows=5")</f>
        <v>AAPL US Equity</v>
      </c>
      <c r="NV5" t="str">
        <f>_xll.BDS("T US Equity","SUPPLY_CHAIN_CUSTOMERS","RELATIONSHIP_AS_OF_DATE","20010921","cols=1;rows=5")</f>
        <v>IBM US Equity</v>
      </c>
      <c r="OA5" t="str">
        <f>_xll.BDS("MCF US Equity","SUPPLY_CHAIN_SUPPLIERS","RELATIONSHIP_AS_OF_DATE","20130430")</f>
        <v>#N/A N/A</v>
      </c>
      <c r="OF5" t="str">
        <f>_xll.BDS("MCF US Equity","SUPPLY_CHAIN_CUSTOMERS","RELATIONSHIP_AS_OF_DATE","20130430")</f>
        <v>#N/A N/A</v>
      </c>
    </row>
    <row r="6" spans="1:396" x14ac:dyDescent="0.25">
      <c r="K6" t="s">
        <v>11297</v>
      </c>
      <c r="P6" t="s">
        <v>10892</v>
      </c>
      <c r="U6" t="s">
        <v>11678</v>
      </c>
      <c r="Z6" t="s">
        <v>11870</v>
      </c>
      <c r="AE6" t="s">
        <v>11017</v>
      </c>
      <c r="AJ6" t="s">
        <v>10657</v>
      </c>
      <c r="BI6" t="s">
        <v>12260</v>
      </c>
      <c r="BN6" t="s">
        <v>385</v>
      </c>
      <c r="BX6" t="s">
        <v>12120</v>
      </c>
      <c r="CC6" t="s">
        <v>10838</v>
      </c>
      <c r="CH6" t="s">
        <v>6626</v>
      </c>
      <c r="DQ6" t="s">
        <v>5575</v>
      </c>
      <c r="DV6" t="s">
        <v>5236</v>
      </c>
      <c r="EU6" t="s">
        <v>12190</v>
      </c>
      <c r="GI6" t="s">
        <v>11965</v>
      </c>
      <c r="GN6" t="s">
        <v>49</v>
      </c>
      <c r="HC6" t="s">
        <v>11503</v>
      </c>
      <c r="HH6" t="s">
        <v>2705</v>
      </c>
      <c r="HM6" t="s">
        <v>12264</v>
      </c>
      <c r="HR6" t="s">
        <v>12229</v>
      </c>
      <c r="IG6" t="s">
        <v>11089</v>
      </c>
      <c r="IL6" t="s">
        <v>4219</v>
      </c>
      <c r="JK6" t="s">
        <v>10892</v>
      </c>
      <c r="JP6" t="s">
        <v>2881</v>
      </c>
      <c r="KE6" t="s">
        <v>6477</v>
      </c>
      <c r="KJ6" t="s">
        <v>2208</v>
      </c>
      <c r="KY6" t="s">
        <v>11711</v>
      </c>
      <c r="LX6" t="s">
        <v>11784</v>
      </c>
      <c r="NB6" t="s">
        <v>10801</v>
      </c>
      <c r="NQ6" t="s">
        <v>10892</v>
      </c>
      <c r="NV6" t="s">
        <v>2881</v>
      </c>
    </row>
    <row r="7" spans="1:396" x14ac:dyDescent="0.25">
      <c r="K7" t="s">
        <v>11298</v>
      </c>
      <c r="P7" t="s">
        <v>3611</v>
      </c>
      <c r="U7" t="s">
        <v>11894</v>
      </c>
      <c r="Z7" t="s">
        <v>10657</v>
      </c>
      <c r="AE7" t="s">
        <v>12322</v>
      </c>
      <c r="AJ7" t="s">
        <v>11017</v>
      </c>
      <c r="BI7" t="s">
        <v>12261</v>
      </c>
      <c r="BN7" t="s">
        <v>1468</v>
      </c>
      <c r="BX7" t="s">
        <v>383</v>
      </c>
      <c r="CC7" t="s">
        <v>10814</v>
      </c>
      <c r="CH7" t="s">
        <v>12013</v>
      </c>
      <c r="DQ7" t="s">
        <v>11675</v>
      </c>
      <c r="DV7" t="s">
        <v>41</v>
      </c>
      <c r="EU7" t="s">
        <v>12093</v>
      </c>
      <c r="GI7" t="s">
        <v>11966</v>
      </c>
      <c r="GN7" t="s">
        <v>41</v>
      </c>
      <c r="HC7" t="s">
        <v>11504</v>
      </c>
      <c r="HH7" t="s">
        <v>11037</v>
      </c>
      <c r="HM7" t="s">
        <v>12265</v>
      </c>
      <c r="HR7" t="s">
        <v>10916</v>
      </c>
      <c r="IG7" t="s">
        <v>10729</v>
      </c>
      <c r="IL7" t="s">
        <v>11368</v>
      </c>
      <c r="JK7" t="s">
        <v>10738</v>
      </c>
      <c r="JP7" t="s">
        <v>10680</v>
      </c>
      <c r="KE7" t="s">
        <v>11283</v>
      </c>
      <c r="KJ7" t="s">
        <v>7378</v>
      </c>
      <c r="KY7" t="s">
        <v>12194</v>
      </c>
      <c r="NB7" t="s">
        <v>11589</v>
      </c>
      <c r="NQ7" t="s">
        <v>10738</v>
      </c>
      <c r="NV7" t="s">
        <v>10680</v>
      </c>
    </row>
    <row r="8" spans="1:396" x14ac:dyDescent="0.25">
      <c r="K8" t="s">
        <v>2973</v>
      </c>
      <c r="P8" t="s">
        <v>383</v>
      </c>
      <c r="U8" t="s">
        <v>11895</v>
      </c>
      <c r="Z8" t="s">
        <v>11871</v>
      </c>
      <c r="AE8" t="s">
        <v>12342</v>
      </c>
      <c r="AJ8" t="s">
        <v>12322</v>
      </c>
      <c r="BI8" t="s">
        <v>12262</v>
      </c>
      <c r="BN8" t="s">
        <v>12230</v>
      </c>
      <c r="CC8" t="s">
        <v>11414</v>
      </c>
      <c r="CH8" t="s">
        <v>12014</v>
      </c>
      <c r="DQ8" t="s">
        <v>11676</v>
      </c>
      <c r="DV8" t="s">
        <v>969</v>
      </c>
      <c r="EU8" t="s">
        <v>12191</v>
      </c>
      <c r="GI8" t="s">
        <v>11967</v>
      </c>
      <c r="GN8" t="s">
        <v>2417</v>
      </c>
      <c r="HC8" t="s">
        <v>5236</v>
      </c>
      <c r="HM8" t="s">
        <v>10851</v>
      </c>
      <c r="HR8" t="s">
        <v>5236</v>
      </c>
      <c r="IG8" t="s">
        <v>12659</v>
      </c>
      <c r="IL8" t="s">
        <v>10918</v>
      </c>
      <c r="JK8" t="s">
        <v>670</v>
      </c>
      <c r="JP8" t="s">
        <v>3519</v>
      </c>
      <c r="KE8" t="s">
        <v>1548</v>
      </c>
      <c r="KJ8" t="s">
        <v>3244</v>
      </c>
      <c r="KY8" t="s">
        <v>12195</v>
      </c>
      <c r="NB8" t="s">
        <v>11590</v>
      </c>
      <c r="NQ8" t="s">
        <v>670</v>
      </c>
      <c r="NV8" t="s">
        <v>3519</v>
      </c>
    </row>
    <row r="9" spans="1:396" x14ac:dyDescent="0.25">
      <c r="K9" t="s">
        <v>2887</v>
      </c>
      <c r="P9" t="s">
        <v>10729</v>
      </c>
      <c r="U9" t="s">
        <v>11896</v>
      </c>
      <c r="Z9" t="s">
        <v>970</v>
      </c>
      <c r="AE9" t="s">
        <v>12088</v>
      </c>
      <c r="AJ9" t="s">
        <v>12323</v>
      </c>
      <c r="BI9" t="s">
        <v>12263</v>
      </c>
      <c r="BN9" t="s">
        <v>10795</v>
      </c>
      <c r="CC9" t="s">
        <v>2509</v>
      </c>
      <c r="CH9" t="s">
        <v>12015</v>
      </c>
      <c r="DQ9" t="s">
        <v>682</v>
      </c>
      <c r="DV9" t="s">
        <v>11376</v>
      </c>
      <c r="GI9" t="s">
        <v>11968</v>
      </c>
      <c r="GN9" t="s">
        <v>53</v>
      </c>
      <c r="HC9" t="s">
        <v>11505</v>
      </c>
      <c r="HM9" t="s">
        <v>2111</v>
      </c>
      <c r="HR9" t="s">
        <v>10814</v>
      </c>
      <c r="IG9" t="s">
        <v>12660</v>
      </c>
      <c r="IL9" t="s">
        <v>10676</v>
      </c>
      <c r="JK9" t="s">
        <v>6724</v>
      </c>
      <c r="JP9" t="s">
        <v>11366</v>
      </c>
      <c r="KE9" t="s">
        <v>1654</v>
      </c>
      <c r="KJ9" t="s">
        <v>12464</v>
      </c>
      <c r="KY9" t="s">
        <v>11540</v>
      </c>
      <c r="NB9" t="s">
        <v>11591</v>
      </c>
      <c r="NQ9" t="s">
        <v>6724</v>
      </c>
      <c r="NV9" t="s">
        <v>11366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4944</v>
      </c>
      <c r="K1" s="1" t="s">
        <v>4945</v>
      </c>
      <c r="U1" s="1" t="s">
        <v>4946</v>
      </c>
      <c r="AE1" s="1" t="s">
        <v>4947</v>
      </c>
      <c r="AO1" s="1" t="s">
        <v>4948</v>
      </c>
      <c r="AY1" s="1" t="s">
        <v>4949</v>
      </c>
      <c r="BI1" s="1" t="s">
        <v>4950</v>
      </c>
      <c r="BS1" s="1" t="s">
        <v>4951</v>
      </c>
      <c r="CC1" s="1" t="s">
        <v>4952</v>
      </c>
      <c r="CM1" s="1" t="s">
        <v>4953</v>
      </c>
      <c r="CW1" s="1" t="s">
        <v>4954</v>
      </c>
      <c r="DG1" s="1" t="s">
        <v>4955</v>
      </c>
      <c r="DQ1" s="1" t="s">
        <v>4956</v>
      </c>
      <c r="EA1" s="1" t="s">
        <v>4957</v>
      </c>
      <c r="EK1" s="1" t="s">
        <v>4958</v>
      </c>
      <c r="EU1" s="1" t="s">
        <v>4959</v>
      </c>
      <c r="FE1" s="1" t="s">
        <v>4960</v>
      </c>
      <c r="FO1" s="1" t="s">
        <v>4961</v>
      </c>
      <c r="FY1" s="1" t="s">
        <v>4962</v>
      </c>
      <c r="GI1" s="1" t="s">
        <v>4963</v>
      </c>
      <c r="GS1" s="1" t="s">
        <v>4964</v>
      </c>
      <c r="HC1" s="1" t="s">
        <v>4965</v>
      </c>
      <c r="HM1" s="1" t="s">
        <v>4966</v>
      </c>
      <c r="HW1" s="1" t="s">
        <v>4967</v>
      </c>
      <c r="IG1" s="1" t="s">
        <v>4968</v>
      </c>
      <c r="IQ1" s="1" t="s">
        <v>4969</v>
      </c>
      <c r="JA1" s="1" t="s">
        <v>4970</v>
      </c>
      <c r="JK1" s="1" t="s">
        <v>4971</v>
      </c>
      <c r="JU1" s="1" t="s">
        <v>4972</v>
      </c>
      <c r="KE1" s="1" t="s">
        <v>4973</v>
      </c>
      <c r="KO1" s="1" t="s">
        <v>4974</v>
      </c>
      <c r="KY1" s="1" t="s">
        <v>4975</v>
      </c>
      <c r="LI1" s="1" t="s">
        <v>4976</v>
      </c>
      <c r="LS1" s="1" t="s">
        <v>4977</v>
      </c>
      <c r="MC1" s="1" t="s">
        <v>4978</v>
      </c>
      <c r="MM1" s="1" t="s">
        <v>4979</v>
      </c>
      <c r="MW1" s="1" t="s">
        <v>4980</v>
      </c>
      <c r="NG1" s="1" t="s">
        <v>4981</v>
      </c>
      <c r="NQ1" s="1" t="s">
        <v>4982</v>
      </c>
      <c r="OA1" s="1" t="s">
        <v>4983</v>
      </c>
    </row>
    <row r="2" spans="1:396" x14ac:dyDescent="0.25">
      <c r="A2" s="2" t="s">
        <v>1164</v>
      </c>
      <c r="K2" s="2" t="s">
        <v>40</v>
      </c>
      <c r="U2" s="2" t="s">
        <v>4984</v>
      </c>
      <c r="AE2" s="2" t="s">
        <v>4985</v>
      </c>
      <c r="AO2" s="2" t="s">
        <v>1355</v>
      </c>
      <c r="AY2" s="2" t="s">
        <v>368</v>
      </c>
      <c r="BI2" s="2" t="s">
        <v>3258</v>
      </c>
      <c r="BS2" s="2" t="s">
        <v>4986</v>
      </c>
      <c r="CC2" s="2" t="s">
        <v>4987</v>
      </c>
      <c r="CM2" s="2" t="s">
        <v>4988</v>
      </c>
      <c r="CW2" s="2" t="s">
        <v>3514</v>
      </c>
      <c r="DG2" s="2" t="s">
        <v>4989</v>
      </c>
      <c r="DQ2" s="2" t="s">
        <v>1066</v>
      </c>
      <c r="EA2" s="2" t="s">
        <v>2306</v>
      </c>
      <c r="EK2" s="2" t="s">
        <v>4737</v>
      </c>
      <c r="EU2" s="2" t="s">
        <v>4990</v>
      </c>
      <c r="FE2" s="2" t="s">
        <v>4991</v>
      </c>
      <c r="FO2" s="2" t="s">
        <v>4992</v>
      </c>
      <c r="FY2" s="2" t="s">
        <v>4993</v>
      </c>
      <c r="GI2" s="2" t="s">
        <v>4994</v>
      </c>
      <c r="GS2" s="2" t="s">
        <v>4995</v>
      </c>
      <c r="HC2" s="2" t="s">
        <v>4996</v>
      </c>
      <c r="HM2" s="2" t="s">
        <v>3620</v>
      </c>
      <c r="HW2" s="2" t="s">
        <v>4395</v>
      </c>
      <c r="IG2" s="2" t="s">
        <v>793</v>
      </c>
      <c r="IQ2" s="2" t="s">
        <v>4382</v>
      </c>
      <c r="JA2" s="2" t="s">
        <v>4126</v>
      </c>
      <c r="JK2" s="2" t="s">
        <v>4997</v>
      </c>
      <c r="JU2" s="2" t="s">
        <v>2596</v>
      </c>
      <c r="KE2" s="2" t="s">
        <v>368</v>
      </c>
      <c r="KO2" s="2" t="s">
        <v>3056</v>
      </c>
      <c r="KY2" s="2" t="s">
        <v>870</v>
      </c>
      <c r="LI2" s="2" t="s">
        <v>4998</v>
      </c>
      <c r="LS2" s="2" t="s">
        <v>2210</v>
      </c>
      <c r="MC2" s="2" t="s">
        <v>2407</v>
      </c>
      <c r="MM2" s="2" t="s">
        <v>4999</v>
      </c>
      <c r="MW2" s="2" t="s">
        <v>5000</v>
      </c>
      <c r="NG2" s="2" t="s">
        <v>5001</v>
      </c>
      <c r="NQ2" s="2" t="s">
        <v>3428</v>
      </c>
      <c r="OA2" s="2" t="s">
        <v>175</v>
      </c>
    </row>
    <row r="3" spans="1:396" x14ac:dyDescent="0.25">
      <c r="A3" t="s">
        <v>590</v>
      </c>
      <c r="K3" t="s">
        <v>1192</v>
      </c>
      <c r="U3" t="s">
        <v>1959</v>
      </c>
      <c r="AE3" t="s">
        <v>5002</v>
      </c>
      <c r="AO3" t="s">
        <v>5003</v>
      </c>
      <c r="AY3" t="s">
        <v>5004</v>
      </c>
      <c r="BI3" t="s">
        <v>2898</v>
      </c>
      <c r="BS3" t="s">
        <v>83</v>
      </c>
      <c r="CC3" t="s">
        <v>3643</v>
      </c>
      <c r="CM3" t="s">
        <v>2439</v>
      </c>
      <c r="CW3" t="s">
        <v>5005</v>
      </c>
      <c r="DG3" t="s">
        <v>1301</v>
      </c>
      <c r="DQ3" t="s">
        <v>5006</v>
      </c>
      <c r="EA3" t="s">
        <v>590</v>
      </c>
      <c r="EK3" t="s">
        <v>5007</v>
      </c>
      <c r="EU3" t="s">
        <v>5008</v>
      </c>
      <c r="FE3" t="s">
        <v>5009</v>
      </c>
      <c r="FO3" t="s">
        <v>5010</v>
      </c>
      <c r="FY3" t="s">
        <v>5011</v>
      </c>
      <c r="GI3" t="s">
        <v>4675</v>
      </c>
      <c r="GS3" t="s">
        <v>713</v>
      </c>
      <c r="HC3" t="s">
        <v>1957</v>
      </c>
      <c r="HM3" t="s">
        <v>199</v>
      </c>
      <c r="HW3" t="s">
        <v>5012</v>
      </c>
      <c r="IG3" t="s">
        <v>5013</v>
      </c>
      <c r="IQ3" t="s">
        <v>1301</v>
      </c>
      <c r="JA3" t="s">
        <v>4411</v>
      </c>
      <c r="JK3" t="s">
        <v>5014</v>
      </c>
      <c r="JU3" t="s">
        <v>4404</v>
      </c>
      <c r="KE3" t="s">
        <v>5015</v>
      </c>
      <c r="KO3" t="s">
        <v>5016</v>
      </c>
      <c r="KY3" t="s">
        <v>5017</v>
      </c>
      <c r="LI3" t="s">
        <v>5018</v>
      </c>
      <c r="LS3" t="s">
        <v>5019</v>
      </c>
      <c r="MC3" t="s">
        <v>5020</v>
      </c>
      <c r="MM3" t="s">
        <v>5021</v>
      </c>
      <c r="MW3" t="s">
        <v>5022</v>
      </c>
      <c r="NG3" t="s">
        <v>1289</v>
      </c>
      <c r="NQ3" t="s">
        <v>5023</v>
      </c>
      <c r="OA3" t="s">
        <v>4841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_xll.BDS("GE US Equity","SUPPLY_CHAIN_SUPPLIERS","RELATIONSHIP_AS_OF_DATE","20000717","cols=1;rows=5")</f>
        <v>SAF FP Equity</v>
      </c>
      <c r="F5" t="str">
        <f>_xll.BDS("GE US Equity","SUPPLY_CHAIN_CUSTOMERS","RELATIONSHIP_AS_OF_DATE","20000717","cols=1;rows=5")</f>
        <v>3352Z US Equity</v>
      </c>
      <c r="K5" t="str">
        <f>_xll.BDS("TWX US Equity","SUPPLY_CHAIN_SUPPLIERS","RELATIONSHIP_AS_OF_DATE","19990201")</f>
        <v>#N/A N/A</v>
      </c>
      <c r="P5" t="str">
        <f>_xll.BDS("TWX US Equity","SUPPLY_CHAIN_CUSTOMERS","RELATIONSHIP_AS_OF_DATE","19990201")</f>
        <v>#N/A N/A</v>
      </c>
      <c r="U5" t="str">
        <f>_xll.BDS("EFSC US Equity","SUPPLY_CHAIN_SUPPLIERS","RELATIONSHIP_AS_OF_DATE","20210426")</f>
        <v>#N/A N/A</v>
      </c>
      <c r="Z5" t="str">
        <f>_xll.BDS("EFSC US Equity","SUPPLY_CHAIN_CUSTOMERS","RELATIONSHIP_AS_OF_DATE","20210426")</f>
        <v>#N/A N/A</v>
      </c>
      <c r="AE5" t="str">
        <f>_xll.BDS("YDKN US Equity","SUPPLY_CHAIN_SUPPLIERS","RELATIONSHIP_AS_OF_DATE","20151013")</f>
        <v>#N/A N/A</v>
      </c>
      <c r="AJ5" t="str">
        <f>_xll.BDS("YDKN US Equity","SUPPLY_CHAIN_CUSTOMERS","RELATIONSHIP_AS_OF_DATE","20151013")</f>
        <v>#N/A N/A</v>
      </c>
      <c r="AO5" t="str">
        <f>_xll.BDS("CF US Equity","SUPPLY_CHAIN_SUPPLIERS","RELATIONSHIP_AS_OF_DATE","20180207","cols=1;rows=5")</f>
        <v>JMAT LN Equity</v>
      </c>
      <c r="AT5" t="str">
        <f>_xll.BDS("CF US Equity","SUPPLY_CHAIN_CUSTOMERS","RELATIONSHIP_AS_OF_DATE","20180207","cols=1;rows=5")</f>
        <v>7165Z US Equity</v>
      </c>
      <c r="AY5" t="str">
        <f>_xll.BDS("JNJ US Equity","SUPPLY_CHAIN_SUPPLIERS","RELATIONSHIP_AS_OF_DATE","20100712","cols=1;rows=5")</f>
        <v>GMAB DC Equity</v>
      </c>
      <c r="BD5" t="str">
        <f>_xll.BDS("JNJ US Equity","SUPPLY_CHAIN_CUSTOMERS","RELATIONSHIP_AS_OF_DATE","20100712","cols=1;rows=5")</f>
        <v>MCK US Equity</v>
      </c>
      <c r="BI5" t="str">
        <f>_xll.BDS("PPBI US Equity","SUPPLY_CHAIN_SUPPLIERS","RELATIONSHIP_AS_OF_DATE","20161213")</f>
        <v>MUST SP Equity</v>
      </c>
      <c r="BN5" t="str">
        <f>_xll.BDS("PPBI US Equity","SUPPLY_CHAIN_CUSTOMERS","RELATIONSHIP_AS_OF_DATE","20161213")</f>
        <v>#N/A N/A</v>
      </c>
      <c r="BS5" t="str">
        <f>_xll.BDS("EPAC US Equity","SUPPLY_CHAIN_SUPPLIERS","RELATIONSHIP_AS_OF_DATE","19980406","cols=1;rows=5")</f>
        <v>002536 CH Equity</v>
      </c>
      <c r="BX5" t="str">
        <f>_xll.BDS("EPAC US Equity","SUPPLY_CHAIN_CUSTOMERS","RELATIONSHIP_AS_OF_DATE","19980406","cols=1;rows=5")</f>
        <v>DE US Equity</v>
      </c>
      <c r="CC5" t="str">
        <f>_xll.BDS("1280712D US Equity","SUPPLY_CHAIN_SUPPLIERS","RELATIONSHIP_AS_OF_DATE","20001025")</f>
        <v>#N/A N/A</v>
      </c>
      <c r="CH5" t="str">
        <f>_xll.BDS("1280712D US Equity","SUPPLY_CHAIN_CUSTOMERS","RELATIONSHIP_AS_OF_DATE","20001025")</f>
        <v>#N/A N/A</v>
      </c>
      <c r="CM5" t="str">
        <f>_xll.BDS("EQC US Equity","SUPPLY_CHAIN_SUPPLIERS","RELATIONSHIP_AS_OF_DATE","20040416")</f>
        <v>#N/A N/A</v>
      </c>
      <c r="CR5" t="str">
        <f>_xll.BDS("EQC US Equity","SUPPLY_CHAIN_CUSTOMERS","RELATIONSHIP_AS_OF_DATE","20040416","cols=1;rows=5")</f>
        <v>0712582D US Equity</v>
      </c>
      <c r="CW5" t="str">
        <f>_xll.BDS("AVNT US Equity","SUPPLY_CHAIN_SUPPLIERS","RELATIONSHIP_AS_OF_DATE","20121024","cols=1;rows=5")</f>
        <v>DOW US Equity</v>
      </c>
      <c r="DB5" t="str">
        <f>_xll.BDS("AVNT US Equity","SUPPLY_CHAIN_CUSTOMERS","RELATIONSHIP_AS_OF_DATE","20121024","cols=1;rows=5")</f>
        <v>TSLA US Equity</v>
      </c>
      <c r="DG5" t="str">
        <f>_xll.BDS("TFSM US Equity","SUPPLY_CHAIN_SUPPLIERS","RELATIONSHIP_AS_OF_DATE","20000229")</f>
        <v>#N/A N/A</v>
      </c>
      <c r="DL5" t="str">
        <f>_xll.BDS("TFSM US Equity","SUPPLY_CHAIN_CUSTOMERS","RELATIONSHIP_AS_OF_DATE","20000229")</f>
        <v>#N/A N/A</v>
      </c>
      <c r="DQ5" t="str">
        <f>_xll.BDS("PXP US Equity","SUPPLY_CHAIN_SUPPLIERS","RELATIONSHIP_AS_OF_DATE","20030203")</f>
        <v>#N/A N/A</v>
      </c>
      <c r="DV5" t="str">
        <f>_xll.BDS("PXP US Equity","SUPPLY_CHAIN_CUSTOMERS","RELATIONSHIP_AS_OF_DATE","20030203")</f>
        <v>#N/A N/A</v>
      </c>
      <c r="EA5" t="str">
        <f>_xll.BDS("EQR US Equity","SUPPLY_CHAIN_SUPPLIERS","RELATIONSHIP_AS_OF_DATE","20000717","cols=1;rows=2")</f>
        <v>BLNK US Equity</v>
      </c>
      <c r="EF5" t="str">
        <f>_xll.BDS("EQR US Equity","SUPPLY_CHAIN_CUSTOMERS","RELATIONSHIP_AS_OF_DATE","20000717")</f>
        <v>#N/A N/A</v>
      </c>
      <c r="EK5" t="str">
        <f>_xll.BDS("OK US Equity","SUPPLY_CHAIN_SUPPLIERS","RELATIONSHIP_AS_OF_DATE","19990910")</f>
        <v>#N/A N/A</v>
      </c>
      <c r="EP5" t="str">
        <f>_xll.BDS("OK US Equity","SUPPLY_CHAIN_CUSTOMERS","RELATIONSHIP_AS_OF_DATE","19990910")</f>
        <v>#N/A N/A</v>
      </c>
      <c r="EU5" t="str">
        <f>_xll.BDS("CITGQ US Equity","SUPPLY_CHAIN_SUPPLIERS","RELATIONSHIP_AS_OF_DATE","20050104")</f>
        <v>#N/A N/A</v>
      </c>
      <c r="EZ5" t="str">
        <f>_xll.BDS("CITGQ US Equity","SUPPLY_CHAIN_CUSTOMERS","RELATIONSHIP_AS_OF_DATE","20050104")</f>
        <v>#N/A N/A</v>
      </c>
      <c r="FE5" t="str">
        <f>_xll.BDS("NUVA US Equity","SUPPLY_CHAIN_SUPPLIERS","RELATIONSHIP_AS_OF_DATE","20160106","cols=1;rows=5")</f>
        <v>1783 TT Equity</v>
      </c>
      <c r="FJ5" t="str">
        <f>_xll.BDS("NUVA US Equity","SUPPLY_CHAIN_CUSTOMERS","RELATIONSHIP_AS_OF_DATE","20160106")</f>
        <v>1783 TT Equity</v>
      </c>
      <c r="FO5" t="str">
        <f>_xll.BDS("ELME US Equity","SUPPLY_CHAIN_SUPPLIERS","RELATIONSHIP_AS_OF_DATE","20190501","cols=1;rows=3")</f>
        <v>114208Z US Equity</v>
      </c>
      <c r="FT5" t="str">
        <f>_xll.BDS("ELME US Equity","SUPPLY_CHAIN_CUSTOMERS","RELATIONSHIP_AS_OF_DATE","20190501")</f>
        <v>#N/A N/A</v>
      </c>
      <c r="FY5" t="str">
        <f>_xll.BDS("ELAN US Equity","SUPPLY_CHAIN_SUPPLIERS","RELATIONSHIP_AS_OF_DATE","20210616","cols=1;rows=5")</f>
        <v>PCRX US Equity</v>
      </c>
      <c r="GD5" t="str">
        <f>_xll.BDS("ELAN US Equity","SUPPLY_CHAIN_CUSTOMERS","RELATIONSHIP_AS_OF_DATE","20210616","cols=1;rows=5")</f>
        <v>COR US Equity</v>
      </c>
      <c r="GI5" t="str">
        <f>_xll.BDS("AVID US Equity","SUPPLY_CHAIN_SUPPLIERS","RELATIONSHIP_AS_OF_DATE","20050321","cols=1;rows=5")</f>
        <v>0230214D LN Equity</v>
      </c>
      <c r="GN5" t="str">
        <f>_xll.BDS("AVID US Equity","SUPPLY_CHAIN_CUSTOMERS","RELATIONSHIP_AS_OF_DATE","20050321","cols=1;rows=5")</f>
        <v>0790631D IM Equity</v>
      </c>
      <c r="GS5" t="str">
        <f>_xll.BDS("2568368D US Equity","SUPPLY_CHAIN_SUPPLIERS","RELATIONSHIP_AS_OF_DATE","20160531")</f>
        <v>#N/A N/A</v>
      </c>
      <c r="GX5" t="str">
        <f>_xll.BDS("2568368D US Equity","SUPPLY_CHAIN_CUSTOMERS","RELATIONSHIP_AS_OF_DATE","20160531")</f>
        <v>#N/A N/A</v>
      </c>
      <c r="HC5" t="str">
        <f>_xll.BDS("PBI US Equity","SUPPLY_CHAIN_SUPPLIERS","RELATIONSHIP_AS_OF_DATE","20070315","cols=1;rows=5")</f>
        <v>XPO US Equity</v>
      </c>
      <c r="HH5" t="str">
        <f>_xll.BDS("PBI US Equity","SUPPLY_CHAIN_CUSTOMERS","RELATIONSHIP_AS_OF_DATE","20070315","cols=1;rows=5")</f>
        <v>0228856Z US Equity</v>
      </c>
      <c r="HM5" t="str">
        <f>_xll.BDS("VLY US Equity","SUPPLY_CHAIN_SUPPLIERS","RELATIONSHIP_AS_OF_DATE","20000906","cols=1;rows=2")</f>
        <v>VNO US Equity</v>
      </c>
      <c r="HR5" t="str">
        <f>_xll.BDS("VLY US Equity","SUPPLY_CHAIN_CUSTOMERS","RELATIONSHIP_AS_OF_DATE","20000906")</f>
        <v>#N/A N/A</v>
      </c>
      <c r="HW5" t="str">
        <f>_xll.BDS("WSBC US Equity","SUPPLY_CHAIN_SUPPLIERS","RELATIONSHIP_AS_OF_DATE","20180419")</f>
        <v>#N/A N/A</v>
      </c>
      <c r="IB5" t="str">
        <f>_xll.BDS("WSBC US Equity","SUPPLY_CHAIN_CUSTOMERS","RELATIONSHIP_AS_OF_DATE","20180419","cols=1;rows=2")</f>
        <v>NINE CN Equity</v>
      </c>
      <c r="IG5" t="str">
        <f>_xll.BDS("NOV US Equity","SUPPLY_CHAIN_SUPPLIERS","RELATIONSHIP_AS_OF_DATE","20040812","cols=1;rows=5")</f>
        <v>OERL SW Equity</v>
      </c>
      <c r="IL5" t="str">
        <f>_xll.BDS("NOV US Equity","SUPPLY_CHAIN_CUSTOMERS","RELATIONSHIP_AS_OF_DATE","20040812","cols=1;rows=5")</f>
        <v>329180 KS Equity</v>
      </c>
      <c r="IQ5" t="str">
        <f>_xll.BDS("VECO US Equity","SUPPLY_CHAIN_SUPPLIERS","RELATIONSHIP_AS_OF_DATE","20000229","cols=1;rows=5")</f>
        <v>IPGP US Equity</v>
      </c>
      <c r="IV5" t="str">
        <f>_xll.BDS("VECO US Equity","SUPPLY_CHAIN_CUSTOMERS","RELATIONSHIP_AS_OF_DATE","20000229","cols=1;rows=5")</f>
        <v>2330 TT Equity</v>
      </c>
      <c r="JA5" t="str">
        <f>_xll.BDS("MBFI US Equity","SUPPLY_CHAIN_SUPPLIERS","RELATIONSHIP_AS_OF_DATE","20060502")</f>
        <v>#N/A N/A</v>
      </c>
      <c r="JF5" t="str">
        <f>_xll.BDS("MBFI US Equity","SUPPLY_CHAIN_CUSTOMERS","RELATIONSHIP_AS_OF_DATE","20060502")</f>
        <v>#N/A N/A</v>
      </c>
      <c r="JK5" t="str">
        <f>_xll.BDS("NWACQ US Equity","SUPPLY_CHAIN_SUPPLIERS","RELATIONSHIP_AS_OF_DATE","19981120")</f>
        <v>#N/A N/A</v>
      </c>
      <c r="JP5" t="str">
        <f>_xll.BDS("NWACQ US Equity","SUPPLY_CHAIN_CUSTOMERS","RELATIONSHIP_AS_OF_DATE","19981120")</f>
        <v>#N/A N/A</v>
      </c>
      <c r="JU5" t="str">
        <f>_xll.BDS("ZION US Equity","SUPPLY_CHAIN_SUPPLIERS","RELATIONSHIP_AS_OF_DATE","19990507","cols=1;rows=2")</f>
        <v>MUST SP Equity</v>
      </c>
      <c r="JZ5" t="str">
        <f>_xll.BDS("ZION US Equity","SUPPLY_CHAIN_CUSTOMERS","RELATIONSHIP_AS_OF_DATE","19990507")</f>
        <v>#N/A N/A</v>
      </c>
      <c r="KE5" t="str">
        <f>_xll.BDS("JNJ US Equity","SUPPLY_CHAIN_SUPPLIERS","RELATIONSHIP_AS_OF_DATE","20050304","cols=1;rows=5")</f>
        <v>GMAB DC Equity</v>
      </c>
      <c r="KJ5" t="str">
        <f>_xll.BDS("JNJ US Equity","SUPPLY_CHAIN_CUSTOMERS","RELATIONSHIP_AS_OF_DATE","20050304","cols=1;rows=5")</f>
        <v>MCK US Equity</v>
      </c>
      <c r="KO5" t="str">
        <f>_xll.BDS("INTU US Equity","SUPPLY_CHAIN_SUPPLIERS","RELATIONSHIP_AS_OF_DATE","19991007","cols=1;rows=5")</f>
        <v>EMBASSY IN Equity</v>
      </c>
      <c r="KT5" t="str">
        <f>_xll.BDS("INTU US Equity","SUPPLY_CHAIN_CUSTOMERS","RELATIONSHIP_AS_OF_DATE","19991007","cols=1;rows=5")</f>
        <v>SNX US Equity</v>
      </c>
      <c r="KY5" t="str">
        <f>_xll.BDS("LLY US Equity","SUPPLY_CHAIN_SUPPLIERS","RELATIONSHIP_AS_OF_DATE","20031121","cols=1;rows=5")</f>
        <v>RIGL US Equity</v>
      </c>
      <c r="LD5" t="str">
        <f>_xll.BDS("LLY US Equity","SUPPLY_CHAIN_CUSTOMERS","RELATIONSHIP_AS_OF_DATE","20031121","cols=1;rows=5")</f>
        <v>MCK US Equity</v>
      </c>
      <c r="LI5" t="str">
        <f>_xll.BDS("MR US Equity","SUPPLY_CHAIN_SUPPLIERS","RELATIONSHIP_AS_OF_DATE","20180827")</f>
        <v>#N/A N/A</v>
      </c>
      <c r="LN5" t="str">
        <f>_xll.BDS("MR US Equity","SUPPLY_CHAIN_CUSTOMERS","RELATIONSHIP_AS_OF_DATE","20180827")</f>
        <v>#N/A N/A</v>
      </c>
      <c r="LS5" t="str">
        <f>_xll.BDS("HES US Equity","SUPPLY_CHAIN_SUPPLIERS","RELATIONSHIP_AS_OF_DATE","20100728","cols=1;rows=5")</f>
        <v>HESM US Equity</v>
      </c>
      <c r="LX5" t="str">
        <f>_xll.BDS("HES US Equity","SUPPLY_CHAIN_CUSTOMERS","RELATIONSHIP_AS_OF_DATE","20100728")</f>
        <v>#N/A N/A</v>
      </c>
      <c r="MC5" t="str">
        <f>_xll.BDS("UMPQ US Equity","SUPPLY_CHAIN_SUPPLIERS","RELATIONSHIP_AS_OF_DATE","20060208")</f>
        <v>#N/A N/A</v>
      </c>
      <c r="MH5" t="str">
        <f>_xll.BDS("UMPQ US Equity","SUPPLY_CHAIN_CUSTOMERS","RELATIONSHIP_AS_OF_DATE","20060208")</f>
        <v>#N/A N/A</v>
      </c>
      <c r="MM5" t="str">
        <f>_xll.BDS("TRMB US Equity","SUPPLY_CHAIN_SUPPLIERS","RELATIONSHIP_AS_OF_DATE","20061211","cols=1;rows=5")</f>
        <v>JBL US Equity</v>
      </c>
      <c r="MR5" t="str">
        <f>_xll.BDS("TRMB US Equity","SUPPLY_CHAIN_CUSTOMERS","RELATIONSHIP_AS_OF_DATE","20061211","cols=1;rows=5")</f>
        <v>PCAR US Equity</v>
      </c>
      <c r="MW5" t="str">
        <f>_xll.BDS("MTN US Equity","SUPPLY_CHAIN_SUPPLIERS","RELATIONSHIP_AS_OF_DATE","20190722","cols=1;rows=5")</f>
        <v>EXTR US Equity</v>
      </c>
      <c r="NB5" t="str">
        <f>_xll.BDS("MTN US Equity","SUPPLY_CHAIN_CUSTOMERS","RELATIONSHIP_AS_OF_DATE","20190722")</f>
        <v>GPRO US Equity</v>
      </c>
      <c r="NG5" t="str">
        <f>_xll.BDS("NDSN US Equity","SUPPLY_CHAIN_SUPPLIERS","RELATIONSHIP_AS_OF_DATE","20220808","cols=1;rows=5")</f>
        <v>6605 TT Equity</v>
      </c>
      <c r="NL5" t="str">
        <f>_xll.BDS("NDSN US Equity","SUPPLY_CHAIN_CUSTOMERS","RELATIONSHIP_AS_OF_DATE","20220808","cols=1;rows=5")</f>
        <v>000782 CH Equity</v>
      </c>
      <c r="NQ5" t="str">
        <f>_xll.BDS("ISIL US Equity","SUPPLY_CHAIN_SUPPLIERS","RELATIONSHIP_AS_OF_DATE","20100322")</f>
        <v>FE US Equity</v>
      </c>
      <c r="NV5" t="str">
        <f>_xll.BDS("ISIL US Equity","SUPPLY_CHAIN_CUSTOMERS","RELATIONSHIP_AS_OF_DATE","20100322")</f>
        <v>#N/A N/A</v>
      </c>
      <c r="OA5" t="str">
        <f>_xll.BDS("TFC US Equity","SUPPLY_CHAIN_SUPPLIERS","RELATIONSHIP_AS_OF_DATE","20061221","cols=1;rows=5")</f>
        <v>ADBE US Equity</v>
      </c>
      <c r="OF5" t="str">
        <f>_xll.BDS("TFC US Equity","SUPPLY_CHAIN_CUSTOMERS","RELATIONSHIP_AS_OF_DATE","20061221")</f>
        <v>RENG IN Equity</v>
      </c>
    </row>
    <row r="6" spans="1:396" x14ac:dyDescent="0.25">
      <c r="A6" t="s">
        <v>11008</v>
      </c>
      <c r="F6" t="s">
        <v>1363</v>
      </c>
      <c r="AO6" t="s">
        <v>11557</v>
      </c>
      <c r="AT6" t="s">
        <v>12236</v>
      </c>
      <c r="AY6" t="s">
        <v>10735</v>
      </c>
      <c r="BD6" t="s">
        <v>1468</v>
      </c>
      <c r="BS6" t="s">
        <v>158</v>
      </c>
      <c r="BX6" t="s">
        <v>11416</v>
      </c>
      <c r="CR6" t="s">
        <v>12507</v>
      </c>
      <c r="CW6" t="s">
        <v>11584</v>
      </c>
      <c r="DB6" t="s">
        <v>5248</v>
      </c>
      <c r="EA6" t="s">
        <v>12431</v>
      </c>
      <c r="FE6" t="s">
        <v>10851</v>
      </c>
      <c r="FO6" t="s">
        <v>12081</v>
      </c>
      <c r="FY6" t="s">
        <v>11012</v>
      </c>
      <c r="GD6" t="s">
        <v>11970</v>
      </c>
      <c r="GI6" t="s">
        <v>12343</v>
      </c>
      <c r="GN6" t="s">
        <v>12317</v>
      </c>
      <c r="HC6" t="s">
        <v>12067</v>
      </c>
      <c r="HH6" t="s">
        <v>11820</v>
      </c>
      <c r="HM6" t="s">
        <v>3162</v>
      </c>
      <c r="IB6" t="s">
        <v>11320</v>
      </c>
      <c r="IG6" t="s">
        <v>11312</v>
      </c>
      <c r="IL6" t="s">
        <v>11001</v>
      </c>
      <c r="IQ6" t="s">
        <v>12075</v>
      </c>
      <c r="IV6" t="s">
        <v>10892</v>
      </c>
      <c r="JU6" t="s">
        <v>11221</v>
      </c>
      <c r="KE6" t="s">
        <v>10735</v>
      </c>
      <c r="KJ6" t="s">
        <v>1468</v>
      </c>
      <c r="KO6" t="s">
        <v>2204</v>
      </c>
      <c r="KT6" t="s">
        <v>10787</v>
      </c>
      <c r="KY6" t="s">
        <v>10846</v>
      </c>
      <c r="LD6" t="s">
        <v>1468</v>
      </c>
      <c r="LS6" t="s">
        <v>281</v>
      </c>
      <c r="MM6" t="s">
        <v>10734</v>
      </c>
      <c r="MR6" t="s">
        <v>684</v>
      </c>
      <c r="MW6" t="s">
        <v>13002</v>
      </c>
      <c r="NG6" t="s">
        <v>10851</v>
      </c>
      <c r="NL6" t="s">
        <v>12672</v>
      </c>
      <c r="OA6" t="s">
        <v>11371</v>
      </c>
    </row>
    <row r="7" spans="1:396" x14ac:dyDescent="0.25">
      <c r="A7" t="s">
        <v>11009</v>
      </c>
      <c r="F7" t="s">
        <v>10939</v>
      </c>
      <c r="AO7" t="s">
        <v>11449</v>
      </c>
      <c r="AT7" t="s">
        <v>12655</v>
      </c>
      <c r="AY7" t="s">
        <v>45</v>
      </c>
      <c r="BD7" t="s">
        <v>970</v>
      </c>
      <c r="BS7" t="s">
        <v>693</v>
      </c>
      <c r="BX7" t="s">
        <v>684</v>
      </c>
      <c r="CR7" t="s">
        <v>12508</v>
      </c>
      <c r="CW7" t="s">
        <v>11345</v>
      </c>
      <c r="DB7" t="s">
        <v>11117</v>
      </c>
      <c r="FE7" t="s">
        <v>1265</v>
      </c>
      <c r="FO7" t="s">
        <v>12082</v>
      </c>
      <c r="FY7" t="s">
        <v>11520</v>
      </c>
      <c r="GD7" t="s">
        <v>11971</v>
      </c>
      <c r="GI7" t="s">
        <v>12344</v>
      </c>
      <c r="GN7" t="s">
        <v>10660</v>
      </c>
      <c r="HC7" t="s">
        <v>12068</v>
      </c>
      <c r="HH7" t="s">
        <v>10657</v>
      </c>
      <c r="IG7" t="s">
        <v>11859</v>
      </c>
      <c r="IL7" t="s">
        <v>12069</v>
      </c>
      <c r="IQ7" t="s">
        <v>9231</v>
      </c>
      <c r="IV7" t="s">
        <v>3611</v>
      </c>
      <c r="KE7" t="s">
        <v>45</v>
      </c>
      <c r="KJ7" t="s">
        <v>970</v>
      </c>
      <c r="KO7" t="s">
        <v>11074</v>
      </c>
      <c r="KT7" t="s">
        <v>10660</v>
      </c>
      <c r="KY7" t="s">
        <v>10847</v>
      </c>
      <c r="LD7" t="s">
        <v>970</v>
      </c>
      <c r="LS7" t="s">
        <v>11464</v>
      </c>
      <c r="MM7" t="s">
        <v>12341</v>
      </c>
      <c r="MR7" t="s">
        <v>12319</v>
      </c>
      <c r="MW7" t="s">
        <v>13003</v>
      </c>
      <c r="NG7" t="s">
        <v>10696</v>
      </c>
      <c r="NL7" t="s">
        <v>12673</v>
      </c>
      <c r="OA7" t="s">
        <v>10986</v>
      </c>
    </row>
    <row r="8" spans="1:396" x14ac:dyDescent="0.25">
      <c r="A8" t="s">
        <v>11010</v>
      </c>
      <c r="F8" t="s">
        <v>1652</v>
      </c>
      <c r="AO8" t="s">
        <v>12666</v>
      </c>
      <c r="AT8" t="s">
        <v>12656</v>
      </c>
      <c r="AY8" t="s">
        <v>3437</v>
      </c>
      <c r="BD8" t="s">
        <v>51</v>
      </c>
      <c r="BS8" t="s">
        <v>11104</v>
      </c>
      <c r="BX8" t="s">
        <v>10933</v>
      </c>
      <c r="CR8" t="s">
        <v>12509</v>
      </c>
      <c r="CW8" t="s">
        <v>2219</v>
      </c>
      <c r="DB8" t="s">
        <v>267</v>
      </c>
      <c r="FE8" t="s">
        <v>572</v>
      </c>
      <c r="FY8" t="s">
        <v>11999</v>
      </c>
      <c r="GD8" t="s">
        <v>11972</v>
      </c>
      <c r="GI8" t="s">
        <v>12345</v>
      </c>
      <c r="GN8" t="s">
        <v>10787</v>
      </c>
      <c r="HC8" t="s">
        <v>11284</v>
      </c>
      <c r="HH8" t="s">
        <v>11821</v>
      </c>
      <c r="IG8" t="s">
        <v>12131</v>
      </c>
      <c r="IL8" t="s">
        <v>12070</v>
      </c>
      <c r="IQ8" t="s">
        <v>10741</v>
      </c>
      <c r="IV8" t="s">
        <v>10729</v>
      </c>
      <c r="KE8" t="s">
        <v>3437</v>
      </c>
      <c r="KJ8" t="s">
        <v>51</v>
      </c>
      <c r="KO8" t="s">
        <v>12035</v>
      </c>
      <c r="KT8" t="s">
        <v>5236</v>
      </c>
      <c r="KY8" t="s">
        <v>2785</v>
      </c>
      <c r="LD8" t="s">
        <v>10799</v>
      </c>
      <c r="LS8" t="s">
        <v>12079</v>
      </c>
      <c r="MM8" t="s">
        <v>5575</v>
      </c>
      <c r="MR8" t="s">
        <v>12320</v>
      </c>
      <c r="MW8" t="s">
        <v>13004</v>
      </c>
      <c r="NG8" t="s">
        <v>1265</v>
      </c>
      <c r="NL8" t="s">
        <v>10744</v>
      </c>
      <c r="OA8" t="s">
        <v>11372</v>
      </c>
    </row>
    <row r="9" spans="1:396" x14ac:dyDescent="0.25">
      <c r="A9" t="s">
        <v>3625</v>
      </c>
      <c r="F9" t="s">
        <v>1740</v>
      </c>
      <c r="AO9" t="s">
        <v>11732</v>
      </c>
      <c r="AT9" t="s">
        <v>47</v>
      </c>
      <c r="AY9" t="s">
        <v>11012</v>
      </c>
      <c r="BD9" t="s">
        <v>10944</v>
      </c>
      <c r="BS9" t="s">
        <v>12192</v>
      </c>
      <c r="BX9" t="s">
        <v>10871</v>
      </c>
      <c r="CR9" t="s">
        <v>12510</v>
      </c>
      <c r="CW9" t="s">
        <v>10920</v>
      </c>
      <c r="DB9" t="s">
        <v>12410</v>
      </c>
      <c r="FE9" t="s">
        <v>2406</v>
      </c>
      <c r="FY9" t="s">
        <v>12000</v>
      </c>
      <c r="GD9" t="s">
        <v>11973</v>
      </c>
      <c r="GI9" t="s">
        <v>12346</v>
      </c>
      <c r="GN9" t="s">
        <v>12318</v>
      </c>
      <c r="HC9" t="s">
        <v>2111</v>
      </c>
      <c r="HH9" t="s">
        <v>10787</v>
      </c>
      <c r="IG9" t="s">
        <v>11849</v>
      </c>
      <c r="IL9" t="s">
        <v>11312</v>
      </c>
      <c r="IQ9" t="s">
        <v>10811</v>
      </c>
      <c r="IV9" t="s">
        <v>383</v>
      </c>
      <c r="KE9" t="s">
        <v>11012</v>
      </c>
      <c r="KJ9" t="s">
        <v>10944</v>
      </c>
      <c r="KO9" t="s">
        <v>12036</v>
      </c>
      <c r="KT9" t="s">
        <v>4655</v>
      </c>
      <c r="KY9" t="s">
        <v>10821</v>
      </c>
      <c r="LD9" t="s">
        <v>10800</v>
      </c>
      <c r="LS9" t="s">
        <v>12080</v>
      </c>
      <c r="MM9" t="s">
        <v>10878</v>
      </c>
      <c r="MR9" t="s">
        <v>12321</v>
      </c>
      <c r="MW9" t="s">
        <v>13005</v>
      </c>
      <c r="NG9" t="s">
        <v>10977</v>
      </c>
      <c r="NL9" t="s">
        <v>12674</v>
      </c>
      <c r="OA9" t="s">
        <v>10987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5024</v>
      </c>
      <c r="K1" s="1" t="s">
        <v>5025</v>
      </c>
      <c r="U1" s="1" t="s">
        <v>5026</v>
      </c>
      <c r="AE1" s="1" t="s">
        <v>5027</v>
      </c>
      <c r="AO1" s="1" t="s">
        <v>5028</v>
      </c>
      <c r="AY1" s="1" t="s">
        <v>5029</v>
      </c>
      <c r="BI1" s="1" t="s">
        <v>5030</v>
      </c>
      <c r="BS1" s="1" t="s">
        <v>5031</v>
      </c>
      <c r="CC1" s="1" t="s">
        <v>5032</v>
      </c>
      <c r="CM1" s="1" t="s">
        <v>5033</v>
      </c>
      <c r="CW1" s="1" t="s">
        <v>5034</v>
      </c>
      <c r="DG1" s="1" t="s">
        <v>5035</v>
      </c>
      <c r="DQ1" s="1" t="s">
        <v>5036</v>
      </c>
      <c r="EA1" s="1" t="s">
        <v>5037</v>
      </c>
      <c r="EK1" s="1" t="s">
        <v>5038</v>
      </c>
      <c r="EU1" s="1" t="s">
        <v>5039</v>
      </c>
      <c r="FE1" s="1" t="s">
        <v>5040</v>
      </c>
      <c r="FO1" s="1" t="s">
        <v>5041</v>
      </c>
      <c r="FY1" s="1" t="s">
        <v>5042</v>
      </c>
      <c r="GI1" s="1" t="s">
        <v>5043</v>
      </c>
      <c r="GS1" s="1" t="s">
        <v>5044</v>
      </c>
      <c r="HC1" s="1" t="s">
        <v>5045</v>
      </c>
      <c r="HM1" s="1" t="s">
        <v>5046</v>
      </c>
      <c r="HW1" s="1" t="s">
        <v>5047</v>
      </c>
      <c r="IG1" s="1" t="s">
        <v>5048</v>
      </c>
      <c r="IQ1" s="1" t="s">
        <v>5049</v>
      </c>
      <c r="JA1" s="1" t="s">
        <v>5050</v>
      </c>
      <c r="JK1" s="1" t="s">
        <v>5051</v>
      </c>
      <c r="JU1" s="1" t="s">
        <v>5052</v>
      </c>
      <c r="KE1" s="1" t="s">
        <v>5053</v>
      </c>
      <c r="KO1" s="1" t="s">
        <v>5054</v>
      </c>
      <c r="KY1" s="1" t="s">
        <v>5055</v>
      </c>
      <c r="LI1" s="1" t="s">
        <v>5056</v>
      </c>
      <c r="LS1" s="1" t="s">
        <v>5057</v>
      </c>
      <c r="MC1" s="1" t="s">
        <v>5058</v>
      </c>
      <c r="MM1" s="1" t="s">
        <v>5059</v>
      </c>
      <c r="MW1" s="1" t="s">
        <v>5060</v>
      </c>
      <c r="NG1" s="1" t="s">
        <v>5061</v>
      </c>
      <c r="NQ1" s="1" t="s">
        <v>5062</v>
      </c>
      <c r="OA1" s="1" t="s">
        <v>5063</v>
      </c>
    </row>
    <row r="2" spans="1:396" x14ac:dyDescent="0.25">
      <c r="A2" s="2" t="s">
        <v>1734</v>
      </c>
      <c r="K2" s="2" t="s">
        <v>5064</v>
      </c>
      <c r="U2" s="2" t="s">
        <v>5065</v>
      </c>
      <c r="AE2" s="2" t="s">
        <v>175</v>
      </c>
      <c r="AO2" s="2" t="s">
        <v>5066</v>
      </c>
      <c r="AY2" s="2" t="s">
        <v>5067</v>
      </c>
      <c r="BI2" s="2" t="s">
        <v>1163</v>
      </c>
      <c r="BS2" s="2" t="s">
        <v>369</v>
      </c>
      <c r="CC2" s="2" t="s">
        <v>5068</v>
      </c>
      <c r="CM2" s="2" t="s">
        <v>5069</v>
      </c>
      <c r="CW2" s="2" t="s">
        <v>68</v>
      </c>
      <c r="DG2" s="2" t="s">
        <v>5070</v>
      </c>
      <c r="DQ2" s="2" t="s">
        <v>2301</v>
      </c>
      <c r="EA2" s="2" t="s">
        <v>61</v>
      </c>
      <c r="EK2" s="2" t="s">
        <v>2299</v>
      </c>
      <c r="EU2" s="2" t="s">
        <v>5071</v>
      </c>
      <c r="FE2" s="2" t="s">
        <v>2786</v>
      </c>
      <c r="FO2" s="2" t="s">
        <v>4736</v>
      </c>
      <c r="FY2" s="2" t="s">
        <v>2209</v>
      </c>
      <c r="GI2" s="2" t="s">
        <v>1163</v>
      </c>
      <c r="GS2" s="2" t="s">
        <v>386</v>
      </c>
      <c r="HC2" s="2" t="s">
        <v>2214</v>
      </c>
      <c r="HM2" s="2" t="s">
        <v>5072</v>
      </c>
      <c r="HW2" s="2" t="s">
        <v>5073</v>
      </c>
      <c r="IG2" s="2" t="s">
        <v>175</v>
      </c>
      <c r="IQ2" s="2" t="s">
        <v>5074</v>
      </c>
      <c r="JA2" s="2" t="s">
        <v>5075</v>
      </c>
      <c r="JK2" s="2" t="s">
        <v>3156</v>
      </c>
      <c r="JU2" s="2" t="s">
        <v>969</v>
      </c>
      <c r="KE2" s="2" t="s">
        <v>368</v>
      </c>
      <c r="KO2" s="2" t="s">
        <v>5076</v>
      </c>
      <c r="KY2" s="2" t="s">
        <v>1270</v>
      </c>
      <c r="LI2" s="2" t="s">
        <v>778</v>
      </c>
      <c r="LS2" s="2" t="s">
        <v>2874</v>
      </c>
      <c r="MC2" s="2" t="s">
        <v>5077</v>
      </c>
      <c r="MM2" s="2" t="s">
        <v>5078</v>
      </c>
      <c r="MW2" s="2" t="s">
        <v>5079</v>
      </c>
      <c r="NG2" s="2" t="s">
        <v>171</v>
      </c>
      <c r="NQ2" s="2" t="s">
        <v>1642</v>
      </c>
      <c r="OA2" s="2" t="s">
        <v>5080</v>
      </c>
    </row>
    <row r="3" spans="1:396" x14ac:dyDescent="0.25">
      <c r="A3" t="s">
        <v>5081</v>
      </c>
      <c r="K3" t="s">
        <v>5082</v>
      </c>
      <c r="U3" t="s">
        <v>5083</v>
      </c>
      <c r="AE3" t="s">
        <v>3365</v>
      </c>
      <c r="AO3" t="s">
        <v>5084</v>
      </c>
      <c r="AY3" t="s">
        <v>5085</v>
      </c>
      <c r="BI3" t="s">
        <v>4671</v>
      </c>
      <c r="BS3" t="s">
        <v>2232</v>
      </c>
      <c r="CC3" t="s">
        <v>5086</v>
      </c>
      <c r="CM3" t="s">
        <v>5087</v>
      </c>
      <c r="CW3" t="s">
        <v>3903</v>
      </c>
      <c r="DG3" t="s">
        <v>418</v>
      </c>
      <c r="DQ3" t="s">
        <v>5088</v>
      </c>
      <c r="EA3" t="s">
        <v>1583</v>
      </c>
      <c r="EK3" t="s">
        <v>5089</v>
      </c>
      <c r="EU3" t="s">
        <v>5020</v>
      </c>
      <c r="FE3" t="s">
        <v>5090</v>
      </c>
      <c r="FO3" t="s">
        <v>5091</v>
      </c>
      <c r="FY3" t="s">
        <v>5092</v>
      </c>
      <c r="GI3" t="s">
        <v>5093</v>
      </c>
      <c r="GS3" t="s">
        <v>3359</v>
      </c>
      <c r="HC3" t="s">
        <v>5094</v>
      </c>
      <c r="HM3" t="s">
        <v>5095</v>
      </c>
      <c r="HW3" t="s">
        <v>4589</v>
      </c>
      <c r="IG3" t="s">
        <v>1967</v>
      </c>
      <c r="IQ3" t="s">
        <v>5096</v>
      </c>
      <c r="JA3" t="s">
        <v>5097</v>
      </c>
      <c r="JK3" t="s">
        <v>5098</v>
      </c>
      <c r="JU3" t="s">
        <v>5099</v>
      </c>
      <c r="KE3" t="s">
        <v>5100</v>
      </c>
      <c r="KO3" t="s">
        <v>5101</v>
      </c>
      <c r="KY3" t="s">
        <v>5102</v>
      </c>
      <c r="LI3" t="s">
        <v>5103</v>
      </c>
      <c r="LS3" t="s">
        <v>5104</v>
      </c>
      <c r="MC3" t="s">
        <v>5105</v>
      </c>
      <c r="MM3" t="s">
        <v>2613</v>
      </c>
      <c r="MW3" t="s">
        <v>5106</v>
      </c>
      <c r="NG3" t="s">
        <v>5107</v>
      </c>
      <c r="NQ3" t="s">
        <v>5108</v>
      </c>
      <c r="OA3" t="s">
        <v>5109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_xll.BDS("2326248D US Equity","SUPPLY_CHAIN_SUPPLIERS","RELATIONSHIP_AS_OF_DATE","20041006")</f>
        <v>#N/A N/A</v>
      </c>
      <c r="F5" t="str">
        <f>_xll.BDS("2326248D US Equity","SUPPLY_CHAIN_CUSTOMERS","RELATIONSHIP_AS_OF_DATE","20041006")</f>
        <v>#N/A N/A</v>
      </c>
      <c r="K5" t="str">
        <f>_xll.BDS("CFR US Equity","SUPPLY_CHAIN_SUPPLIERS","RELATIONSHIP_AS_OF_DATE","20060703","cols=1;rows=4")</f>
        <v>INFO IN Equity</v>
      </c>
      <c r="P5" t="str">
        <f>_xll.BDS("CFR US Equity","SUPPLY_CHAIN_CUSTOMERS","RELATIONSHIP_AS_OF_DATE","20060703")</f>
        <v>#N/A N/A</v>
      </c>
      <c r="U5" t="str">
        <f>_xll.BDS("TPB US Equity","SUPPLY_CHAIN_SUPPLIERS","RELATIONSHIP_AS_OF_DATE","20200408","cols=1;rows=5")</f>
        <v>1410917D US Equity</v>
      </c>
      <c r="Z5" t="str">
        <f>_xll.BDS("TPB US Equity","SUPPLY_CHAIN_CUSTOMERS","RELATIONSHIP_AS_OF_DATE","20200408","cols=1;rows=3")</f>
        <v>2771531Z SM Equity</v>
      </c>
      <c r="AE5" t="str">
        <f>_xll.BDS("TFC US Equity","SUPPLY_CHAIN_SUPPLIERS","RELATIONSHIP_AS_OF_DATE","20140908","cols=1;rows=5")</f>
        <v>ADBE US Equity</v>
      </c>
      <c r="AJ5" t="str">
        <f>_xll.BDS("TFC US Equity","SUPPLY_CHAIN_CUSTOMERS","RELATIONSHIP_AS_OF_DATE","20140908")</f>
        <v>RENG IN Equity</v>
      </c>
      <c r="AO5" t="str">
        <f>_xll.BDS("MDF US Equity","SUPPLY_CHAIN_SUPPLIERS","RELATIONSHIP_AS_OF_DATE","20110627")</f>
        <v>#N/A N/A</v>
      </c>
      <c r="AT5" t="str">
        <f>_xll.BDS("MDF US Equity","SUPPLY_CHAIN_CUSTOMERS","RELATIONSHIP_AS_OF_DATE","20110627")</f>
        <v>#N/A N/A</v>
      </c>
      <c r="AY5" t="str">
        <f>_xll.BDS("IBOC US Equity","SUPPLY_CHAIN_SUPPLIERS","RELATIONSHIP_AS_OF_DATE","20040122")</f>
        <v>CSGS US Equity</v>
      </c>
      <c r="BD5" t="str">
        <f>_xll.BDS("IBOC US Equity","SUPPLY_CHAIN_CUSTOMERS","RELATIONSHIP_AS_OF_DATE","20040122")</f>
        <v>#N/A N/A</v>
      </c>
      <c r="BI5" t="str">
        <f>_xll.BDS("MTB US Equity","SUPPLY_CHAIN_SUPPLIERS","RELATIONSHIP_AS_OF_DATE","20101101","cols=1;rows=5")</f>
        <v>ORCL US Equity</v>
      </c>
      <c r="BN5" t="str">
        <f>_xll.BDS("MTB US Equity","SUPPLY_CHAIN_CUSTOMERS","RELATIONSHIP_AS_OF_DATE","20101101","cols=1;rows=3")</f>
        <v>2610 TT Equity</v>
      </c>
      <c r="BS5" t="str">
        <f>_xll.BDS("TRV US Equity","SUPPLY_CHAIN_SUPPLIERS","RELATIONSHIP_AS_OF_DATE","19991220","cols=1;rows=5")</f>
        <v>1892140D US Equity</v>
      </c>
      <c r="BX5" t="str">
        <f>_xll.BDS("TRV US Equity","SUPPLY_CHAIN_CUSTOMERS","RELATIONSHIP_AS_OF_DATE","19991220")</f>
        <v>#N/A N/A</v>
      </c>
      <c r="CC5" t="str">
        <f>_xll.BDS("WNC US Equity","SUPPLY_CHAIN_SUPPLIERS","RELATIONSHIP_AS_OF_DATE","20170808","cols=1;rows=5")</f>
        <v>DOW US Equity</v>
      </c>
      <c r="CH5" t="str">
        <f>_xll.BDS("WNC US Equity","SUPPLY_CHAIN_CUSTOMERS","RELATIONSHIP_AS_OF_DATE","20170808","cols=1;rows=5")</f>
        <v>HTZ US Equity</v>
      </c>
      <c r="CM5" t="str">
        <f>_xll.BDS("ONIT US Equity","SUPPLY_CHAIN_SUPPLIERS","RELATIONSHIP_AS_OF_DATE","20180227","cols=1;rows=2")</f>
        <v>MDC US Equity</v>
      </c>
      <c r="CR5" t="str">
        <f>_xll.BDS("ONIT US Equity","SUPPLY_CHAIN_CUSTOMERS","RELATIONSHIP_AS_OF_DATE","20180227")</f>
        <v>MNTX US Equity</v>
      </c>
      <c r="CW5" t="str">
        <f>_xll.BDS("CVX US Equity","SUPPLY_CHAIN_SUPPLIERS","RELATIONSHIP_AS_OF_DATE","19981223","cols=1;rows=5")</f>
        <v>RIG US Equity</v>
      </c>
      <c r="DB5" t="str">
        <f>_xll.BDS("CVX US Equity","SUPPLY_CHAIN_CUSTOMERS","RELATIONSHIP_AS_OF_DATE","19981223","cols=1;rows=5")</f>
        <v>UGPA3 BZ Equity</v>
      </c>
      <c r="DG5" t="str">
        <f>_xll.BDS("DKS US Equity","SUPPLY_CHAIN_SUPPLIERS","RELATIONSHIP_AS_OF_DATE","20040621","cols=1;rows=5")</f>
        <v>NKE US Equity</v>
      </c>
      <c r="DL5" t="str">
        <f>_xll.BDS("DKS US Equity","SUPPLY_CHAIN_CUSTOMERS","RELATIONSHIP_AS_OF_DATE","20040621","cols=1;rows=4")</f>
        <v>1545896D US Equity</v>
      </c>
      <c r="DQ5" t="str">
        <f>_xll.BDS("STCN US Equity","SUPPLY_CHAIN_SUPPLIERS","RELATIONSHIP_AS_OF_DATE","20000210")</f>
        <v>#N/A N/A</v>
      </c>
      <c r="DV5" t="str">
        <f>_xll.BDS("STCN US Equity","SUPPLY_CHAIN_CUSTOMERS","RELATIONSHIP_AS_OF_DATE","20000210","cols=1;rows=3")</f>
        <v>992 HK Equity</v>
      </c>
      <c r="EA5" t="str">
        <f>_xll.BDS("JPM US Equity","SUPPLY_CHAIN_SUPPLIERS","RELATIONSHIP_AS_OF_DATE","20061106","cols=1;rows=5")</f>
        <v>LUV US Equity</v>
      </c>
      <c r="EF5" t="str">
        <f>_xll.BDS("JPM US Equity","SUPPLY_CHAIN_CUSTOMERS","RELATIONSHIP_AS_OF_DATE","20061106","cols=1;rows=5")</f>
        <v>000737 CH Equity</v>
      </c>
      <c r="EK5" t="str">
        <f>_xll.BDS("PB US Equity","SUPPLY_CHAIN_SUPPLIERS","RELATIONSHIP_AS_OF_DATE","20060719")</f>
        <v>#N/A N/A</v>
      </c>
      <c r="EP5" t="str">
        <f>_xll.BDS("PB US Equity","SUPPLY_CHAIN_CUSTOMERS","RELATIONSHIP_AS_OF_DATE","20060719")</f>
        <v>#N/A N/A</v>
      </c>
      <c r="EU5" t="str">
        <f>_xll.BDS("NUAN US Equity","SUPPLY_CHAIN_SUPPLIERS","RELATIONSHIP_AS_OF_DATE","20060208")</f>
        <v>#N/A N/A</v>
      </c>
      <c r="EZ5" t="str">
        <f>_xll.BDS("NUAN US Equity","SUPPLY_CHAIN_CUSTOMERS","RELATIONSHIP_AS_OF_DATE","20060208")</f>
        <v>#N/A N/A</v>
      </c>
      <c r="FE5" t="str">
        <f>_xll.BDS("JNY US Equity","SUPPLY_CHAIN_SUPPLIERS","RELATIONSHIP_AS_OF_DATE","20041111")</f>
        <v>#N/A N/A</v>
      </c>
      <c r="FJ5" t="str">
        <f>_xll.BDS("JNY US Equity","SUPPLY_CHAIN_CUSTOMERS","RELATIONSHIP_AS_OF_DATE","20041111")</f>
        <v>MAPI IJ Equity</v>
      </c>
      <c r="FO5" t="str">
        <f>_xll.BDS("AZTA US Equity","SUPPLY_CHAIN_SUPPLIERS","RELATIONSHIP_AS_OF_DATE","20011024","cols=1;rows=5")</f>
        <v>VACN SW Equity</v>
      </c>
      <c r="FT5" t="str">
        <f>_xll.BDS("AZTA US Equity","SUPPLY_CHAIN_CUSTOMERS","RELATIONSHIP_AS_OF_DATE","20011024","cols=1;rows=5")</f>
        <v>SAN FP Equity</v>
      </c>
      <c r="FY5" t="str">
        <f>_xll.BDS("STL US Equity","SUPPLY_CHAIN_SUPPLIERS","RELATIONSHIP_AS_OF_DATE","20130404")</f>
        <v>#N/A N/A</v>
      </c>
      <c r="GD5" t="str">
        <f>_xll.BDS("STL US Equity","SUPPLY_CHAIN_CUSTOMERS","RELATIONSHIP_AS_OF_DATE","20130404")</f>
        <v>#N/A N/A</v>
      </c>
      <c r="GI5" t="str">
        <f>_xll.BDS("MTB US Equity","SUPPLY_CHAIN_SUPPLIERS","RELATIONSHIP_AS_OF_DATE","20081219","cols=1;rows=5")</f>
        <v>ORCL US Equity</v>
      </c>
      <c r="GN5" t="str">
        <f>_xll.BDS("MTB US Equity","SUPPLY_CHAIN_CUSTOMERS","RELATIONSHIP_AS_OF_DATE","20081219","cols=1;rows=3")</f>
        <v>2610 TT Equity</v>
      </c>
      <c r="GS5" t="str">
        <f>_xll.BDS("WAMUQ US Equity","SUPPLY_CHAIN_SUPPLIERS","RELATIONSHIP_AS_OF_DATE","19990519")</f>
        <v>#N/A N/A</v>
      </c>
      <c r="GX5" t="str">
        <f>_xll.BDS("WAMUQ US Equity","SUPPLY_CHAIN_CUSTOMERS","RELATIONSHIP_AS_OF_DATE","19990519")</f>
        <v>#N/A N/A</v>
      </c>
      <c r="HC5" t="str">
        <f>_xll.BDS("RC US Equity","SUPPLY_CHAIN_SUPPLIERS","RELATIONSHIP_AS_OF_DATE","20160407")</f>
        <v>#N/A N/A</v>
      </c>
      <c r="HH5" t="str">
        <f>_xll.BDS("RC US Equity","SUPPLY_CHAIN_CUSTOMERS","RELATIONSHIP_AS_OF_DATE","20160407")</f>
        <v>#N/A N/A</v>
      </c>
      <c r="HM5" t="str">
        <f>_xll.BDS("27749Z US Equity","SUPPLY_CHAIN_SUPPLIERS","RELATIONSHIP_AS_OF_DATE","19981111")</f>
        <v>#N/A N/A</v>
      </c>
      <c r="HR5" t="str">
        <f>_xll.BDS("27749Z US Equity","SUPPLY_CHAIN_CUSTOMERS","RELATIONSHIP_AS_OF_DATE","19981111")</f>
        <v>#N/A N/A</v>
      </c>
      <c r="HW5" t="str">
        <f>_xll.BDS("HAIN US Equity","SUPPLY_CHAIN_SUPPLIERS","RELATIONSHIP_AS_OF_DATE","20000306","cols=1;rows=5")</f>
        <v>KDP US Equity</v>
      </c>
      <c r="IB5" t="str">
        <f>_xll.BDS("HAIN US Equity","SUPPLY_CHAIN_CUSTOMERS","RELATIONSHIP_AS_OF_DATE","20000306","cols=1;rows=5")</f>
        <v>WMT US Equity</v>
      </c>
      <c r="IG5" t="str">
        <f>_xll.BDS("TFC US Equity","SUPPLY_CHAIN_SUPPLIERS","RELATIONSHIP_AS_OF_DATE","20011108","cols=1;rows=5")</f>
        <v>ADBE US Equity</v>
      </c>
      <c r="IL5" t="str">
        <f>_xll.BDS("TFC US Equity","SUPPLY_CHAIN_CUSTOMERS","RELATIONSHIP_AS_OF_DATE","20011108")</f>
        <v>RENG IN Equity</v>
      </c>
      <c r="IQ5" t="str">
        <f>_xll.BDS("LGND US Equity","SUPPLY_CHAIN_SUPPLIERS","RELATIONSHIP_AS_OF_DATE","20200810","cols=1;rows=5")</f>
        <v>1108Z PL Equity</v>
      </c>
      <c r="IV5" t="str">
        <f>_xll.BDS("LGND US Equity","SUPPLY_CHAIN_CUSTOMERS","RELATIONSHIP_AS_OF_DATE","20200810","cols=1;rows=5")</f>
        <v>AMGN US Equity</v>
      </c>
      <c r="JA5" t="str">
        <f>_xll.BDS("TISI US Equity","SUPPLY_CHAIN_SUPPLIERS","RELATIONSHIP_AS_OF_DATE","20150504","cols=1;rows=4")</f>
        <v>CNP US Equity</v>
      </c>
      <c r="JF5" t="str">
        <f>_xll.BDS("TISI US Equity","SUPPLY_CHAIN_CUSTOMERS","RELATIONSHIP_AS_OF_DATE","20150504","cols=1;rows=5")</f>
        <v>KBR US Equity</v>
      </c>
      <c r="JK5" t="str">
        <f>_xll.BDS("838969Q US Equity","SUPPLY_CHAIN_SUPPLIERS","RELATIONSHIP_AS_OF_DATE","20030523")</f>
        <v>#N/A N/A</v>
      </c>
      <c r="JP5" t="str">
        <f>_xll.BDS("838969Q US Equity","SUPPLY_CHAIN_CUSTOMERS","RELATIONSHIP_AS_OF_DATE","20030523")</f>
        <v>#N/A N/A</v>
      </c>
      <c r="JU5" t="str">
        <f>_xll.BDS("CSCO US Equity","SUPPLY_CHAIN_SUPPLIERS","RELATIONSHIP_AS_OF_DATE","20001110","cols=1;rows=5")</f>
        <v>NVDA US Equity</v>
      </c>
      <c r="JZ5" t="str">
        <f>_xll.BDS("CSCO US Equity","SUPPLY_CHAIN_CUSTOMERS","RELATIONSHIP_AS_OF_DATE","20001110","cols=1;rows=5")</f>
        <v>SNX US Equity</v>
      </c>
      <c r="KE5" t="str">
        <f>_xll.BDS("JNJ US Equity","SUPPLY_CHAIN_SUPPLIERS","RELATIONSHIP_AS_OF_DATE","20081124","cols=1;rows=5")</f>
        <v>GMAB DC Equity</v>
      </c>
      <c r="KJ5" t="str">
        <f>_xll.BDS("JNJ US Equity","SUPPLY_CHAIN_CUSTOMERS","RELATIONSHIP_AS_OF_DATE","20081124","cols=1;rows=5")</f>
        <v>MCK US Equity</v>
      </c>
      <c r="KO5" t="str">
        <f>_xll.BDS("SFNT US Equity","SUPPLY_CHAIN_SUPPLIERS","RELATIONSHIP_AS_OF_DATE","20031022")</f>
        <v>#N/A N/A</v>
      </c>
      <c r="KT5" t="str">
        <f>_xll.BDS("SFNT US Equity","SUPPLY_CHAIN_CUSTOMERS","RELATIONSHIP_AS_OF_DATE","20031022")</f>
        <v>#N/A N/A</v>
      </c>
      <c r="KY5" t="str">
        <f>_xll.BDS("EMN US Equity","SUPPLY_CHAIN_SUPPLIERS","RELATIONSHIP_AS_OF_DATE","20000504","cols=1;rows=5")</f>
        <v>AI FP Equity</v>
      </c>
      <c r="LD5" t="str">
        <f>_xll.BDS("EMN US Equity","SUPPLY_CHAIN_CUSTOMERS","RELATIONSHIP_AS_OF_DATE","20000504","cols=1;rows=5")</f>
        <v>JNJ US Equity</v>
      </c>
      <c r="LI5" t="str">
        <f>_xll.BDS("1260972D US Equity","SUPPLY_CHAIN_SUPPLIERS","RELATIONSHIP_AS_OF_DATE","19990421")</f>
        <v>#N/A N/A</v>
      </c>
      <c r="LN5" t="str">
        <f>_xll.BDS("1260972D US Equity","SUPPLY_CHAIN_CUSTOMERS","RELATIONSHIP_AS_OF_DATE","19990421")</f>
        <v>#N/A N/A</v>
      </c>
      <c r="LS5" t="str">
        <f>_xll.BDS("FNB US Equity","SUPPLY_CHAIN_SUPPLIERS","RELATIONSHIP_AS_OF_DATE","20010614")</f>
        <v>HY US Equity</v>
      </c>
      <c r="LX5" t="str">
        <f>_xll.BDS("FNB US Equity","SUPPLY_CHAIN_CUSTOMERS","RELATIONSHIP_AS_OF_DATE","20010614")</f>
        <v>#N/A N/A</v>
      </c>
      <c r="MC5" t="str">
        <f>_xll.BDS("UBNK US Equity","SUPPLY_CHAIN_SUPPLIERS","RELATIONSHIP_AS_OF_DATE","20131115")</f>
        <v>#N/A N/A</v>
      </c>
      <c r="MH5" t="str">
        <f>_xll.BDS("UBNK US Equity","SUPPLY_CHAIN_CUSTOMERS","RELATIONSHIP_AS_OF_DATE","20131115")</f>
        <v>#N/A N/A</v>
      </c>
      <c r="MM5" t="str">
        <f>_xll.BDS("MDAS US Equity","SUPPLY_CHAIN_SUPPLIERS","RELATIONSHIP_AS_OF_DATE","20080430","cols=1;rows=5")</f>
        <v>300760 CH Equity</v>
      </c>
      <c r="MR5" t="str">
        <f>_xll.BDS("MDAS US Equity","SUPPLY_CHAIN_CUSTOMERS","RELATIONSHIP_AS_OF_DATE","20080430")</f>
        <v>#N/A N/A</v>
      </c>
      <c r="MW5" t="str">
        <f>_xll.BDS("1778808D US Equity","SUPPLY_CHAIN_SUPPLIERS","RELATIONSHIP_AS_OF_DATE","20041213")</f>
        <v>#N/A N/A</v>
      </c>
      <c r="NB5" t="str">
        <f>_xll.BDS("1778808D US Equity","SUPPLY_CHAIN_CUSTOMERS","RELATIONSHIP_AS_OF_DATE","20041213")</f>
        <v>#N/A N/A</v>
      </c>
      <c r="NG5" t="str">
        <f>_xll.BDS("ORCL US Equity","SUPPLY_CHAIN_SUPPLIERS","RELATIONSHIP_AS_OF_DATE","20061102","cols=1;rows=5")</f>
        <v>NVDA US Equity</v>
      </c>
      <c r="NL5" t="str">
        <f>_xll.BDS("ORCL US Equity","SUPPLY_CHAIN_CUSTOMERS","RELATIONSHIP_AS_OF_DATE","20061102","cols=1;rows=5")</f>
        <v>ACN US Equity</v>
      </c>
      <c r="NQ5" t="str">
        <f>_xll.BDS("SSB US Equity","SUPPLY_CHAIN_SUPPLIERS","RELATIONSHIP_AS_OF_DATE","20160617","cols=1;rows=4")</f>
        <v>BLND US Equity</v>
      </c>
      <c r="NV5" t="str">
        <f>_xll.BDS("SSB US Equity","SUPPLY_CHAIN_CUSTOMERS","RELATIONSHIP_AS_OF_DATE","20160617")</f>
        <v>#N/A N/A</v>
      </c>
      <c r="OA5" t="str">
        <f>_xll.BDS("FGPRQ US Equity","SUPPLY_CHAIN_SUPPLIERS","RELATIONSHIP_AS_OF_DATE","20040209")</f>
        <v>#N/A N/A</v>
      </c>
      <c r="OF5" t="str">
        <f>_xll.BDS("FGPRQ US Equity","SUPPLY_CHAIN_CUSTOMERS","RELATIONSHIP_AS_OF_DATE","20040209")</f>
        <v>#N/A N/A</v>
      </c>
    </row>
    <row r="6" spans="1:396" x14ac:dyDescent="0.25">
      <c r="K6" t="s">
        <v>11644</v>
      </c>
      <c r="U6" t="s">
        <v>12408</v>
      </c>
      <c r="Z6" t="s">
        <v>469</v>
      </c>
      <c r="AE6" t="s">
        <v>11371</v>
      </c>
      <c r="BI6" t="s">
        <v>12259</v>
      </c>
      <c r="BN6" t="s">
        <v>11577</v>
      </c>
      <c r="BS6" t="s">
        <v>11787</v>
      </c>
      <c r="CC6" t="s">
        <v>1549</v>
      </c>
      <c r="CH6" t="s">
        <v>12132</v>
      </c>
      <c r="CM6" t="s">
        <v>11341</v>
      </c>
      <c r="CW6" t="s">
        <v>11155</v>
      </c>
      <c r="DB6" t="s">
        <v>11640</v>
      </c>
      <c r="DG6" t="s">
        <v>12201</v>
      </c>
      <c r="DL6" t="s">
        <v>11996</v>
      </c>
      <c r="DV6" t="s">
        <v>12120</v>
      </c>
      <c r="EA6" t="s">
        <v>3865</v>
      </c>
      <c r="EF6" t="s">
        <v>12010</v>
      </c>
      <c r="FO6" t="s">
        <v>12075</v>
      </c>
      <c r="FT6" t="s">
        <v>10794</v>
      </c>
      <c r="GI6" t="s">
        <v>12259</v>
      </c>
      <c r="GN6" t="s">
        <v>11577</v>
      </c>
      <c r="HW6" t="s">
        <v>11255</v>
      </c>
      <c r="IB6" t="s">
        <v>5983</v>
      </c>
      <c r="IG6" t="s">
        <v>11371</v>
      </c>
      <c r="IQ6" t="s">
        <v>9006</v>
      </c>
      <c r="IV6" t="s">
        <v>10922</v>
      </c>
      <c r="JA6" t="s">
        <v>10740</v>
      </c>
      <c r="JF6" t="s">
        <v>12433</v>
      </c>
      <c r="JU6" t="s">
        <v>11089</v>
      </c>
      <c r="JZ6" t="s">
        <v>266</v>
      </c>
      <c r="KE6" t="s">
        <v>10735</v>
      </c>
      <c r="KJ6" t="s">
        <v>1468</v>
      </c>
      <c r="KY6" t="s">
        <v>11509</v>
      </c>
      <c r="LD6" t="s">
        <v>11946</v>
      </c>
      <c r="MM6" t="s">
        <v>2111</v>
      </c>
      <c r="NG6" t="s">
        <v>162</v>
      </c>
      <c r="NL6" t="s">
        <v>469</v>
      </c>
      <c r="NQ6" t="s">
        <v>10829</v>
      </c>
    </row>
    <row r="7" spans="1:396" x14ac:dyDescent="0.25">
      <c r="K7" t="s">
        <v>11372</v>
      </c>
      <c r="U7" t="s">
        <v>469</v>
      </c>
      <c r="Z7" t="s">
        <v>12409</v>
      </c>
      <c r="AE7" t="s">
        <v>10986</v>
      </c>
      <c r="BI7" t="s">
        <v>10718</v>
      </c>
      <c r="BN7" t="s">
        <v>11578</v>
      </c>
      <c r="BS7" t="s">
        <v>12188</v>
      </c>
      <c r="CC7" t="s">
        <v>11857</v>
      </c>
      <c r="CH7" t="s">
        <v>12133</v>
      </c>
      <c r="CW7" t="s">
        <v>12104</v>
      </c>
      <c r="DB7" t="s">
        <v>12417</v>
      </c>
      <c r="DG7" t="s">
        <v>12273</v>
      </c>
      <c r="DL7" t="s">
        <v>11997</v>
      </c>
      <c r="DV7" t="s">
        <v>383</v>
      </c>
      <c r="EA7" t="s">
        <v>12022</v>
      </c>
      <c r="EF7" t="s">
        <v>12011</v>
      </c>
      <c r="FO7" t="s">
        <v>12076</v>
      </c>
      <c r="FT7" t="s">
        <v>10834</v>
      </c>
      <c r="GI7" t="s">
        <v>10718</v>
      </c>
      <c r="GN7" t="s">
        <v>11578</v>
      </c>
      <c r="HW7" t="s">
        <v>11256</v>
      </c>
      <c r="IB7" t="s">
        <v>1736</v>
      </c>
      <c r="IG7" t="s">
        <v>10986</v>
      </c>
      <c r="IQ7" t="s">
        <v>43</v>
      </c>
      <c r="IV7" t="s">
        <v>65</v>
      </c>
      <c r="JA7" t="s">
        <v>12478</v>
      </c>
      <c r="JF7" t="s">
        <v>12255</v>
      </c>
      <c r="JU7" t="s">
        <v>11090</v>
      </c>
      <c r="JZ7" t="s">
        <v>10892</v>
      </c>
      <c r="KE7" t="s">
        <v>45</v>
      </c>
      <c r="KJ7" t="s">
        <v>970</v>
      </c>
      <c r="KY7" t="s">
        <v>11510</v>
      </c>
      <c r="LD7" t="s">
        <v>10939</v>
      </c>
      <c r="MM7" t="s">
        <v>158</v>
      </c>
      <c r="NG7" t="s">
        <v>279</v>
      </c>
      <c r="NL7" t="s">
        <v>2881</v>
      </c>
      <c r="NQ7" t="s">
        <v>11242</v>
      </c>
    </row>
    <row r="8" spans="1:396" x14ac:dyDescent="0.25">
      <c r="K8" t="s">
        <v>11645</v>
      </c>
      <c r="U8" t="s">
        <v>12624</v>
      </c>
      <c r="AE8" t="s">
        <v>11372</v>
      </c>
      <c r="BI8" t="s">
        <v>11386</v>
      </c>
      <c r="BS8" t="s">
        <v>11953</v>
      </c>
      <c r="CC8" t="s">
        <v>10874</v>
      </c>
      <c r="CH8" t="s">
        <v>12134</v>
      </c>
      <c r="CW8" t="s">
        <v>375</v>
      </c>
      <c r="DB8" t="s">
        <v>12418</v>
      </c>
      <c r="DG8" t="s">
        <v>12274</v>
      </c>
      <c r="DL8" t="s">
        <v>11998</v>
      </c>
      <c r="EA8" t="s">
        <v>171</v>
      </c>
      <c r="EF8" t="s">
        <v>10657</v>
      </c>
      <c r="FO8" t="s">
        <v>12077</v>
      </c>
      <c r="FT8" t="s">
        <v>12233</v>
      </c>
      <c r="GI8" t="s">
        <v>11386</v>
      </c>
      <c r="HW8" t="s">
        <v>10751</v>
      </c>
      <c r="IB8" t="s">
        <v>10646</v>
      </c>
      <c r="IG8" t="s">
        <v>11372</v>
      </c>
      <c r="IQ8" t="s">
        <v>260</v>
      </c>
      <c r="IV8" t="s">
        <v>10923</v>
      </c>
      <c r="JA8" t="s">
        <v>11205</v>
      </c>
      <c r="JF8" t="s">
        <v>12434</v>
      </c>
      <c r="JU8" t="s">
        <v>10734</v>
      </c>
      <c r="JZ8" t="s">
        <v>469</v>
      </c>
      <c r="KE8" t="s">
        <v>3437</v>
      </c>
      <c r="KJ8" t="s">
        <v>51</v>
      </c>
      <c r="KY8" t="s">
        <v>11511</v>
      </c>
      <c r="LD8" t="s">
        <v>58</v>
      </c>
      <c r="MM8" t="s">
        <v>260</v>
      </c>
      <c r="NG8" t="s">
        <v>10818</v>
      </c>
      <c r="NL8" t="s">
        <v>52</v>
      </c>
      <c r="NQ8" t="s">
        <v>3162</v>
      </c>
    </row>
    <row r="9" spans="1:396" x14ac:dyDescent="0.25">
      <c r="U9" t="s">
        <v>2401</v>
      </c>
      <c r="AE9" t="s">
        <v>10987</v>
      </c>
      <c r="BI9" t="s">
        <v>11964</v>
      </c>
      <c r="BS9" t="s">
        <v>12189</v>
      </c>
      <c r="CC9" t="s">
        <v>5491</v>
      </c>
      <c r="CH9" t="s">
        <v>12135</v>
      </c>
      <c r="CW9" t="s">
        <v>12105</v>
      </c>
      <c r="DB9" t="s">
        <v>12419</v>
      </c>
      <c r="DG9" t="s">
        <v>12275</v>
      </c>
      <c r="EA9" t="s">
        <v>1654</v>
      </c>
      <c r="EF9" t="s">
        <v>12012</v>
      </c>
      <c r="FO9" t="s">
        <v>1265</v>
      </c>
      <c r="FT9" t="s">
        <v>11012</v>
      </c>
      <c r="GI9" t="s">
        <v>11964</v>
      </c>
      <c r="HW9" t="s">
        <v>11257</v>
      </c>
      <c r="IB9" t="s">
        <v>10690</v>
      </c>
      <c r="IG9" t="s">
        <v>10987</v>
      </c>
      <c r="IQ9" t="s">
        <v>682</v>
      </c>
      <c r="IV9" t="s">
        <v>2971</v>
      </c>
      <c r="JF9" t="s">
        <v>12435</v>
      </c>
      <c r="JU9" t="s">
        <v>11170</v>
      </c>
      <c r="JZ9" t="s">
        <v>41</v>
      </c>
      <c r="KE9" t="s">
        <v>11012</v>
      </c>
      <c r="KJ9" t="s">
        <v>10944</v>
      </c>
      <c r="KY9" t="s">
        <v>11449</v>
      </c>
      <c r="LD9" t="s">
        <v>261</v>
      </c>
      <c r="MM9" t="s">
        <v>3150</v>
      </c>
      <c r="NG9" t="s">
        <v>384</v>
      </c>
      <c r="NL9" t="s">
        <v>472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5110</v>
      </c>
      <c r="K1" s="1" t="s">
        <v>5111</v>
      </c>
      <c r="U1" s="1" t="s">
        <v>5112</v>
      </c>
      <c r="AE1" s="1" t="s">
        <v>5113</v>
      </c>
      <c r="AO1" s="1" t="s">
        <v>5114</v>
      </c>
      <c r="AY1" s="1" t="s">
        <v>5115</v>
      </c>
      <c r="BI1" s="1" t="s">
        <v>5116</v>
      </c>
      <c r="BS1" s="1" t="s">
        <v>5117</v>
      </c>
      <c r="CC1" s="1" t="s">
        <v>5118</v>
      </c>
      <c r="CM1" s="1" t="s">
        <v>5119</v>
      </c>
      <c r="CW1" s="1" t="s">
        <v>5120</v>
      </c>
      <c r="DG1" s="1" t="s">
        <v>5121</v>
      </c>
      <c r="DQ1" s="1" t="s">
        <v>5122</v>
      </c>
      <c r="EA1" s="1" t="s">
        <v>5123</v>
      </c>
      <c r="EK1" s="1" t="s">
        <v>5124</v>
      </c>
      <c r="EU1" s="1" t="s">
        <v>5125</v>
      </c>
      <c r="FE1" s="1" t="s">
        <v>5126</v>
      </c>
      <c r="FO1" s="1" t="s">
        <v>5127</v>
      </c>
      <c r="FY1" s="1" t="s">
        <v>5128</v>
      </c>
      <c r="GI1" s="1" t="s">
        <v>5129</v>
      </c>
      <c r="GS1" s="1" t="s">
        <v>5130</v>
      </c>
      <c r="HC1" s="1" t="s">
        <v>5131</v>
      </c>
      <c r="HM1" s="1" t="s">
        <v>5132</v>
      </c>
      <c r="HW1" s="1" t="s">
        <v>5133</v>
      </c>
      <c r="IG1" s="1" t="s">
        <v>5134</v>
      </c>
      <c r="IQ1" s="1" t="s">
        <v>5135</v>
      </c>
      <c r="JA1" s="1" t="s">
        <v>5136</v>
      </c>
      <c r="JK1" s="1" t="s">
        <v>5137</v>
      </c>
      <c r="JU1" s="1" t="s">
        <v>5138</v>
      </c>
      <c r="KE1" s="1" t="s">
        <v>5139</v>
      </c>
      <c r="KO1" s="1" t="s">
        <v>5140</v>
      </c>
      <c r="KY1" s="1" t="s">
        <v>5141</v>
      </c>
      <c r="LI1" s="1" t="s">
        <v>5142</v>
      </c>
      <c r="LS1" s="1" t="s">
        <v>5143</v>
      </c>
      <c r="MC1" s="1" t="s">
        <v>5144</v>
      </c>
      <c r="MM1" s="1" t="s">
        <v>5145</v>
      </c>
      <c r="MW1" s="1" t="s">
        <v>5146</v>
      </c>
      <c r="NG1" s="1" t="s">
        <v>5147</v>
      </c>
      <c r="NQ1" s="1" t="s">
        <v>5148</v>
      </c>
      <c r="OA1" s="1" t="s">
        <v>5149</v>
      </c>
    </row>
    <row r="2" spans="1:396" x14ac:dyDescent="0.25">
      <c r="A2" s="2" t="s">
        <v>5150</v>
      </c>
      <c r="K2" s="2" t="s">
        <v>5151</v>
      </c>
      <c r="U2" s="2" t="s">
        <v>5152</v>
      </c>
      <c r="AE2" s="2" t="s">
        <v>261</v>
      </c>
      <c r="AO2" s="2" t="s">
        <v>5153</v>
      </c>
      <c r="AY2" s="2" t="s">
        <v>2689</v>
      </c>
      <c r="BI2" s="2" t="s">
        <v>5154</v>
      </c>
      <c r="BS2" s="2" t="s">
        <v>5155</v>
      </c>
      <c r="CC2" s="2" t="s">
        <v>5156</v>
      </c>
      <c r="CM2" s="2" t="s">
        <v>3247</v>
      </c>
      <c r="CW2" s="2" t="s">
        <v>2788</v>
      </c>
      <c r="DG2" s="2" t="s">
        <v>2027</v>
      </c>
      <c r="DQ2" s="2" t="s">
        <v>977</v>
      </c>
      <c r="EA2" s="2" t="s">
        <v>5157</v>
      </c>
      <c r="EK2" s="2" t="s">
        <v>5158</v>
      </c>
      <c r="EU2" s="2" t="s">
        <v>5159</v>
      </c>
      <c r="FE2" s="2" t="s">
        <v>1267</v>
      </c>
      <c r="FO2" s="2" t="s">
        <v>5160</v>
      </c>
      <c r="FY2" s="2" t="s">
        <v>262</v>
      </c>
      <c r="GI2" s="2" t="s">
        <v>2788</v>
      </c>
      <c r="GS2" s="2" t="s">
        <v>64</v>
      </c>
      <c r="HC2" s="2" t="s">
        <v>2500</v>
      </c>
      <c r="HM2" s="2" t="s">
        <v>5161</v>
      </c>
      <c r="HW2" s="2" t="s">
        <v>5162</v>
      </c>
      <c r="IG2" s="2" t="s">
        <v>5163</v>
      </c>
      <c r="IQ2" s="2" t="s">
        <v>267</v>
      </c>
      <c r="JA2" s="2" t="s">
        <v>5164</v>
      </c>
      <c r="JK2" s="2" t="s">
        <v>387</v>
      </c>
      <c r="JU2" s="2" t="s">
        <v>5165</v>
      </c>
      <c r="KE2" s="2" t="s">
        <v>3522</v>
      </c>
      <c r="KO2" s="2" t="s">
        <v>5166</v>
      </c>
      <c r="KY2" s="2" t="s">
        <v>5167</v>
      </c>
      <c r="LI2" s="2" t="s">
        <v>5168</v>
      </c>
      <c r="LS2" s="2" t="s">
        <v>3621</v>
      </c>
      <c r="MC2" s="2" t="s">
        <v>1163</v>
      </c>
      <c r="MM2" s="2" t="s">
        <v>5169</v>
      </c>
      <c r="MW2" s="2" t="s">
        <v>5170</v>
      </c>
      <c r="NG2" s="2" t="s">
        <v>5171</v>
      </c>
      <c r="NQ2" s="2" t="s">
        <v>2695</v>
      </c>
      <c r="OA2" s="2" t="s">
        <v>1264</v>
      </c>
    </row>
    <row r="3" spans="1:396" x14ac:dyDescent="0.25">
      <c r="A3" t="s">
        <v>5172</v>
      </c>
      <c r="K3" t="s">
        <v>1192</v>
      </c>
      <c r="U3" t="s">
        <v>5173</v>
      </c>
      <c r="AE3" t="s">
        <v>5174</v>
      </c>
      <c r="AO3" t="s">
        <v>5175</v>
      </c>
      <c r="AY3" t="s">
        <v>5176</v>
      </c>
      <c r="BI3" t="s">
        <v>5177</v>
      </c>
      <c r="BS3" t="s">
        <v>5178</v>
      </c>
      <c r="CC3" t="s">
        <v>614</v>
      </c>
      <c r="CM3" t="s">
        <v>4583</v>
      </c>
      <c r="CW3" t="s">
        <v>5179</v>
      </c>
      <c r="DG3" t="s">
        <v>5180</v>
      </c>
      <c r="DQ3" t="s">
        <v>5181</v>
      </c>
      <c r="EA3" t="s">
        <v>5182</v>
      </c>
      <c r="EK3" t="s">
        <v>4927</v>
      </c>
      <c r="EU3" t="s">
        <v>424</v>
      </c>
      <c r="FE3" t="s">
        <v>5183</v>
      </c>
      <c r="FO3" t="s">
        <v>2147</v>
      </c>
      <c r="FY3" t="s">
        <v>2993</v>
      </c>
      <c r="GI3" t="s">
        <v>1016</v>
      </c>
      <c r="GS3" t="s">
        <v>5184</v>
      </c>
      <c r="HC3" t="s">
        <v>3802</v>
      </c>
      <c r="HM3" t="s">
        <v>5185</v>
      </c>
      <c r="HW3" t="s">
        <v>5186</v>
      </c>
      <c r="IG3" t="s">
        <v>2056</v>
      </c>
      <c r="IQ3" t="s">
        <v>5187</v>
      </c>
      <c r="JA3" t="s">
        <v>5188</v>
      </c>
      <c r="JK3" t="s">
        <v>96</v>
      </c>
      <c r="JU3" t="s">
        <v>5189</v>
      </c>
      <c r="KE3" t="s">
        <v>5190</v>
      </c>
      <c r="KO3" t="s">
        <v>313</v>
      </c>
      <c r="KY3" t="s">
        <v>4580</v>
      </c>
      <c r="LI3" t="s">
        <v>5191</v>
      </c>
      <c r="LS3" t="s">
        <v>4246</v>
      </c>
      <c r="MC3" t="s">
        <v>181</v>
      </c>
      <c r="MM3" t="s">
        <v>5192</v>
      </c>
      <c r="MW3" t="s">
        <v>5193</v>
      </c>
      <c r="NG3" t="s">
        <v>3639</v>
      </c>
      <c r="NQ3" t="s">
        <v>5194</v>
      </c>
      <c r="OA3" t="s">
        <v>5195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_xll.BDS("3388162Z US Equity","SUPPLY_CHAIN_SUPPLIERS","RELATIONSHIP_AS_OF_DATE","20070725")</f>
        <v>#N/A N/A</v>
      </c>
      <c r="F5" t="str">
        <f>_xll.BDS("3388162Z US Equity","SUPPLY_CHAIN_CUSTOMERS","RELATIONSHIP_AS_OF_DATE","20070725")</f>
        <v>#N/A N/A</v>
      </c>
      <c r="K5" t="str">
        <f>_xll.BDS("3461945Q US Equity","SUPPLY_CHAIN_SUPPLIERS","RELATIONSHIP_AS_OF_DATE","19990201")</f>
        <v>#N/A N/A</v>
      </c>
      <c r="P5" t="str">
        <f>_xll.BDS("3461945Q US Equity","SUPPLY_CHAIN_CUSTOMERS","RELATIONSHIP_AS_OF_DATE","19990201")</f>
        <v>#N/A N/A</v>
      </c>
      <c r="U5" t="str">
        <f>_xll.BDS("TCR US Equity","SUPPLY_CHAIN_SUPPLIERS","RELATIONSHIP_AS_OF_DATE","19990331")</f>
        <v>#N/A N/A</v>
      </c>
      <c r="Z5" t="str">
        <f>_xll.BDS("TCR US Equity","SUPPLY_CHAIN_CUSTOMERS","RELATIONSHIP_AS_OF_DATE","19990331")</f>
        <v>#N/A N/A</v>
      </c>
      <c r="AE5" t="str">
        <f>_xll.BDS("HPQ US Equity","SUPPLY_CHAIN_SUPPLIERS","RELATIONSHIP_AS_OF_DATE","20010725","cols=1;rows=5")</f>
        <v>2356 TT Equity</v>
      </c>
      <c r="AJ5" t="str">
        <f>_xll.BDS("HPQ US Equity","SUPPLY_CHAIN_CUSTOMERS","RELATIONSHIP_AS_OF_DATE","20010725","cols=1;rows=5")</f>
        <v>SNX US Equity</v>
      </c>
      <c r="AO5" t="str">
        <f>_xll.BDS("1577770D US Equity","SUPPLY_CHAIN_SUPPLIERS","RELATIONSHIP_AS_OF_DATE","19980622")</f>
        <v>#N/A N/A</v>
      </c>
      <c r="AT5" t="str">
        <f>_xll.BDS("1577770D US Equity","SUPPLY_CHAIN_CUSTOMERS","RELATIONSHIP_AS_OF_DATE","19980622")</f>
        <v>#N/A N/A</v>
      </c>
      <c r="AY5" t="str">
        <f>_xll.BDS("ELNK US Equity","SUPPLY_CHAIN_SUPPLIERS","RELATIONSHIP_AS_OF_DATE","20000608")</f>
        <v>#N/A N/A</v>
      </c>
      <c r="BD5" t="str">
        <f>_xll.BDS("ELNK US Equity","SUPPLY_CHAIN_CUSTOMERS","RELATIONSHIP_AS_OF_DATE","20000608")</f>
        <v>#N/A N/A</v>
      </c>
      <c r="BI5" t="str">
        <f>_xll.BDS("PRTK US Equity","SUPPLY_CHAIN_SUPPLIERS","RELATIONSHIP_AS_OF_DATE","20140701","cols=1;rows=5")</f>
        <v>0141656D LN Equity</v>
      </c>
      <c r="BN5" t="str">
        <f>_xll.BDS("PRTK US Equity","SUPPLY_CHAIN_CUSTOMERS","RELATIONSHIP_AS_OF_DATE","20140701","cols=1;rows=5")</f>
        <v>0219354Z US Equity</v>
      </c>
      <c r="BS5" t="str">
        <f>_xll.BDS("EGHDQ US Equity","SUPPLY_CHAIN_SUPPLIERS","RELATIONSHIP_AS_OF_DATE","19990714")</f>
        <v>#N/A N/A</v>
      </c>
      <c r="BX5" t="str">
        <f>_xll.BDS("EGHDQ US Equity","SUPPLY_CHAIN_CUSTOMERS","RELATIONSHIP_AS_OF_DATE","19990714")</f>
        <v>#N/A N/A</v>
      </c>
      <c r="CC5" t="str">
        <f>_xll.BDS("1715399D US Equity","SUPPLY_CHAIN_SUPPLIERS","RELATIONSHIP_AS_OF_DATE","20060525")</f>
        <v>#N/A N/A</v>
      </c>
      <c r="CH5" t="str">
        <f>_xll.BDS("1715399D US Equity","SUPPLY_CHAIN_CUSTOMERS","RELATIONSHIP_AS_OF_DATE","20060525")</f>
        <v>#N/A N/A</v>
      </c>
      <c r="CM5" t="str">
        <f>_xll.BDS("SPNX US Equity","SUPPLY_CHAIN_SUPPLIERS","RELATIONSHIP_AS_OF_DATE","20060925")</f>
        <v>UDT IN Equity</v>
      </c>
      <c r="CR5" t="str">
        <f>_xll.BDS("SPNX US Equity","SUPPLY_CHAIN_CUSTOMERS","RELATIONSHIP_AS_OF_DATE","20060925")</f>
        <v>PETR4 BZ Equity</v>
      </c>
      <c r="CW5" t="str">
        <f>_xll.BDS("CNSL US Equity","SUPPLY_CHAIN_SUPPLIERS","RELATIONSHIP_AS_OF_DATE","20140630","cols=1;rows=5")</f>
        <v>DY US Equity</v>
      </c>
      <c r="DB5" t="str">
        <f>_xll.BDS("CNSL US Equity","SUPPLY_CHAIN_CUSTOMERS","RELATIONSHIP_AS_OF_DATE","20140630","cols=1;rows=2")</f>
        <v>SCSC US Equity</v>
      </c>
      <c r="DG5" t="str">
        <f>_xll.BDS("MSCC US Equity","SUPPLY_CHAIN_SUPPLIERS","RELATIONSHIP_AS_OF_DATE","20150318")</f>
        <v>FE US Equity</v>
      </c>
      <c r="DL5" t="str">
        <f>_xll.BDS("MSCC US Equity","SUPPLY_CHAIN_CUSTOMERS","RELATIONSHIP_AS_OF_DATE","20150318")</f>
        <v>#N/A N/A</v>
      </c>
      <c r="DQ5" t="str">
        <f>_xll.BDS("NFB US Equity","SUPPLY_CHAIN_SUPPLIERS","RELATIONSHIP_AS_OF_DATE","19990830")</f>
        <v>#N/A N/A</v>
      </c>
      <c r="DV5" t="str">
        <f>_xll.BDS("NFB US Equity","SUPPLY_CHAIN_CUSTOMERS","RELATIONSHIP_AS_OF_DATE","19990830")</f>
        <v>#N/A N/A</v>
      </c>
      <c r="EA5" t="str">
        <f>_xll.BDS("BUSE US Equity","SUPPLY_CHAIN_SUPPLIERS","RELATIONSHIP_AS_OF_DATE","20060921")</f>
        <v>#N/A N/A</v>
      </c>
      <c r="EF5" t="str">
        <f>_xll.BDS("BUSE US Equity","SUPPLY_CHAIN_CUSTOMERS","RELATIONSHIP_AS_OF_DATE","20060921")</f>
        <v>#N/A N/A</v>
      </c>
      <c r="EK5" t="str">
        <f>_xll.BDS("CBF US Equity","SUPPLY_CHAIN_SUPPLIERS","RELATIONSHIP_AS_OF_DATE","20151123")</f>
        <v>#N/A N/A</v>
      </c>
      <c r="EP5" t="str">
        <f>_xll.BDS("CBF US Equity","SUPPLY_CHAIN_CUSTOMERS","RELATIONSHIP_AS_OF_DATE","20151123")</f>
        <v>#N/A N/A</v>
      </c>
      <c r="EU5" t="str">
        <f>_xll.BDS("IDNX US Equity","SUPPLY_CHAIN_SUPPLIERS","RELATIONSHIP_AS_OF_DATE","20020222")</f>
        <v>#N/A N/A</v>
      </c>
      <c r="EZ5" t="str">
        <f>_xll.BDS("IDNX US Equity","SUPPLY_CHAIN_CUSTOMERS","RELATIONSHIP_AS_OF_DATE","20020222")</f>
        <v>#N/A N/A</v>
      </c>
      <c r="FE5" t="str">
        <f>_xll.BDS("AMAT US Equity","SUPPLY_CHAIN_SUPPLIERS","RELATIONSHIP_AS_OF_DATE","20091117","cols=1;rows=5")</f>
        <v>UCTT US Equity</v>
      </c>
      <c r="FJ5" t="str">
        <f>_xll.BDS("AMAT US Equity","SUPPLY_CHAIN_CUSTOMERS","RELATIONSHIP_AS_OF_DATE","20091117","cols=1;rows=5")</f>
        <v>2330 TT Equity</v>
      </c>
      <c r="FO5" t="str">
        <f>_xll.BDS("SPOK US Equity","SUPPLY_CHAIN_SUPPLIERS","RELATIONSHIP_AS_OF_DATE","20040329")</f>
        <v>STRO NO Equity</v>
      </c>
      <c r="FT5" t="str">
        <f>_xll.BDS("SPOK US Equity","SUPPLY_CHAIN_CUSTOMERS","RELATIONSHIP_AS_OF_DATE","20040329","cols=1;rows=5")</f>
        <v>STRO NO Equity</v>
      </c>
      <c r="FY5" t="str">
        <f>_xll.BDS("BSX US Equity","SUPPLY_CHAIN_SUPPLIERS","RELATIONSHIP_AS_OF_DATE","20010215","cols=1;rows=5")</f>
        <v>FLEX US Equity</v>
      </c>
      <c r="GD5" t="str">
        <f>_xll.BDS("BSX US Equity","SUPPLY_CHAIN_CUSTOMERS","RELATIONSHIP_AS_OF_DATE","20010215","cols=1;rows=5")</f>
        <v>000078 CH Equity</v>
      </c>
      <c r="GI5" t="str">
        <f>_xll.BDS("CNSL US Equity","SUPPLY_CHAIN_SUPPLIERS","RELATIONSHIP_AS_OF_DATE","20070702","cols=1;rows=5")</f>
        <v>DY US Equity</v>
      </c>
      <c r="GN5" t="str">
        <f>_xll.BDS("CNSL US Equity","SUPPLY_CHAIN_CUSTOMERS","RELATIONSHIP_AS_OF_DATE","20070702","cols=1;rows=2")</f>
        <v>SCSC US Equity</v>
      </c>
      <c r="GS5" t="str">
        <f>_xll.BDS("nan Equity","SUPPLY_CHAIN_SUPPLIERS","RELATIONSHIP_AS_OF_DATE","20091218")</f>
        <v>#N/A N/A</v>
      </c>
      <c r="GX5" t="str">
        <f>_xll.BDS("nan Equity","SUPPLY_CHAIN_CUSTOMERS","RELATIONSHIP_AS_OF_DATE","20091218")</f>
        <v>#N/A N/A</v>
      </c>
      <c r="HC5" t="str">
        <f>_xll.BDS("SWY US Equity","SUPPLY_CHAIN_SUPPLIERS","RELATIONSHIP_AS_OF_DATE","19980806")</f>
        <v>#N/A N/A</v>
      </c>
      <c r="HH5" t="str">
        <f>_xll.BDS("SWY US Equity","SUPPLY_CHAIN_CUSTOMERS","RELATIONSHIP_AS_OF_DATE","19980806")</f>
        <v>#N/A N/A</v>
      </c>
      <c r="HM5" t="str">
        <f>_xll.BDS("41018Q US Equity","SUPPLY_CHAIN_SUPPLIERS","RELATIONSHIP_AS_OF_DATE","20000130")</f>
        <v>#N/A N/A</v>
      </c>
      <c r="HR5" t="str">
        <f>_xll.BDS("41018Q US Equity","SUPPLY_CHAIN_CUSTOMERS","RELATIONSHIP_AS_OF_DATE","20000130")</f>
        <v>#N/A N/A</v>
      </c>
      <c r="HW5" t="str">
        <f>_xll.BDS("BGCP US Equity","SUPPLY_CHAIN_SUPPLIERS","RELATIONSHIP_AS_OF_DATE","20151223")</f>
        <v>#N/A N/A</v>
      </c>
      <c r="IB5" t="str">
        <f>_xll.BDS("BGCP US Equity","SUPPLY_CHAIN_CUSTOMERS","RELATIONSHIP_AS_OF_DATE","20151223")</f>
        <v>PGTK US Equity</v>
      </c>
      <c r="IG5" t="str">
        <f>_xll.BDS("GUIC US Equity","SUPPLY_CHAIN_SUPPLIERS","RELATIONSHIP_AS_OF_DATE","20000211")</f>
        <v>KXS CN Equity</v>
      </c>
      <c r="IL5" t="str">
        <f>_xll.BDS("GUIC US Equity","SUPPLY_CHAIN_CUSTOMERS","RELATIONSHIP_AS_OF_DATE","20000211")</f>
        <v>6116 TT Equity</v>
      </c>
      <c r="IQ5" t="str">
        <f>_xll.BDS("BDX US Equity","SUPPLY_CHAIN_SUPPLIERS","RELATIONSHIP_AS_OF_DATE","20060814","cols=1;rows=5")</f>
        <v>FLEX US Equity</v>
      </c>
      <c r="IV5" t="str">
        <f>_xll.BDS("BDX US Equity","SUPPLY_CHAIN_CUSTOMERS","RELATIONSHIP_AS_OF_DATE","20060814","cols=1;rows=5")</f>
        <v>300326 CH Equity</v>
      </c>
      <c r="JA5" t="str">
        <f>_xll.BDS("3122066Q US Equity","SUPPLY_CHAIN_SUPPLIERS","RELATIONSHIP_AS_OF_DATE","20070212")</f>
        <v>#N/A N/A</v>
      </c>
      <c r="JF5" t="str">
        <f>_xll.BDS("3122066Q US Equity","SUPPLY_CHAIN_CUSTOMERS","RELATIONSHIP_AS_OF_DATE","20070212")</f>
        <v>#N/A N/A</v>
      </c>
      <c r="JK5" t="str">
        <f>_xll.BDS("DHR US Equity","SUPPLY_CHAIN_SUPPLIERS","RELATIONSHIP_AS_OF_DATE","19990422","cols=1;rows=5")</f>
        <v>FLEX US Equity</v>
      </c>
      <c r="JP5" t="str">
        <f>_xll.BDS("DHR US Equity","SUPPLY_CHAIN_CUSTOMERS","RELATIONSHIP_AS_OF_DATE","19990422","cols=1;rows=5")</f>
        <v>CDW US Equity</v>
      </c>
      <c r="JU5" t="str">
        <f>_xll.BDS("594202Q US Equity","SUPPLY_CHAIN_SUPPLIERS","RELATIONSHIP_AS_OF_DATE","19980129")</f>
        <v>#N/A N/A</v>
      </c>
      <c r="JZ5" t="str">
        <f>_xll.BDS("594202Q US Equity","SUPPLY_CHAIN_CUSTOMERS","RELATIONSHIP_AS_OF_DATE","19980129")</f>
        <v>#N/A N/A</v>
      </c>
      <c r="KE5" t="str">
        <f>_xll.BDS("DGX US Equity","SUPPLY_CHAIN_SUPPLIERS","RELATIONSHIP_AS_OF_DATE","20110318","cols=1;rows=5")</f>
        <v>PLUS US Equity</v>
      </c>
      <c r="KJ5" t="str">
        <f>_xll.BDS("DGX US Equity","SUPPLY_CHAIN_CUSTOMERS","RELATIONSHIP_AS_OF_DATE","20110318","cols=1;rows=5")</f>
        <v>950220 KS Equity</v>
      </c>
      <c r="KO5" t="str">
        <f>_xll.BDS("NOVT US Equity","SUPPLY_CHAIN_SUPPLIERS","RELATIONSHIP_AS_OF_DATE","20080710","cols=1;rows=5")</f>
        <v>9501 JP Equity</v>
      </c>
      <c r="KT5" t="str">
        <f>_xll.BDS("NOVT US Equity","SUPPLY_CHAIN_CUSTOMERS","RELATIONSHIP_AS_OF_DATE","20080710","cols=1;rows=2")</f>
        <v>CDW US Equity</v>
      </c>
      <c r="KY5" t="str">
        <f>_xll.BDS("3097837Q US Equity","SUPPLY_CHAIN_SUPPLIERS","RELATIONSHIP_AS_OF_DATE","20031224")</f>
        <v>#N/A N/A</v>
      </c>
      <c r="LD5" t="str">
        <f>_xll.BDS("3097837Q US Equity","SUPPLY_CHAIN_CUSTOMERS","RELATIONSHIP_AS_OF_DATE","20031224")</f>
        <v>#N/A N/A</v>
      </c>
      <c r="LI5" t="str">
        <f>_xll.BDS("9994967D US Equity","SUPPLY_CHAIN_SUPPLIERS","RELATIONSHIP_AS_OF_DATE","20130411","cols=1;rows=5")</f>
        <v>0230214D LN Equity</v>
      </c>
      <c r="LN5" t="str">
        <f>_xll.BDS("9994967D US Equity","SUPPLY_CHAIN_CUSTOMERS","RELATIONSHIP_AS_OF_DATE","20130411","cols=1;rows=4")</f>
        <v>0130612D US Equity</v>
      </c>
      <c r="LS5" t="str">
        <f>_xll.BDS("SUSQ US Equity","SUPPLY_CHAIN_SUPPLIERS","RELATIONSHIP_AS_OF_DATE","20110620")</f>
        <v>#N/A N/A</v>
      </c>
      <c r="LX5" t="str">
        <f>_xll.BDS("SUSQ US Equity","SUPPLY_CHAIN_CUSTOMERS","RELATIONSHIP_AS_OF_DATE","20110620")</f>
        <v>#N/A N/A</v>
      </c>
      <c r="MC5" t="str">
        <f>_xll.BDS("MTB US Equity","SUPPLY_CHAIN_SUPPLIERS","RELATIONSHIP_AS_OF_DATE","20000710","cols=1;rows=5")</f>
        <v>ORCL US Equity</v>
      </c>
      <c r="MH5" t="str">
        <f>_xll.BDS("MTB US Equity","SUPPLY_CHAIN_CUSTOMERS","RELATIONSHIP_AS_OF_DATE","20000710","cols=1;rows=3")</f>
        <v>2610 TT Equity</v>
      </c>
      <c r="MM5" t="str">
        <f>_xll.BDS("INGR US Equity","SUPPLY_CHAIN_SUPPLIERS","RELATIONSHIP_AS_OF_DATE","20141015","cols=1;rows=5")</f>
        <v>RMPL PA Equity</v>
      </c>
      <c r="MR5" t="str">
        <f>_xll.BDS("INGR US Equity","SUPPLY_CHAIN_CUSTOMERS","RELATIONSHIP_AS_OF_DATE","20141015","cols=1;rows=5")</f>
        <v>RMPL PA Equity</v>
      </c>
      <c r="MW5" t="str">
        <f>_xll.BDS("NWBI US Equity","SUPPLY_CHAIN_SUPPLIERS","RELATIONSHIP_AS_OF_DATE","20191029")</f>
        <v>FISV US Equity</v>
      </c>
      <c r="NB5" t="str">
        <f>_xll.BDS("NWBI US Equity","SUPPLY_CHAIN_CUSTOMERS","RELATIONSHIP_AS_OF_DATE","20191029")</f>
        <v>#N/A N/A</v>
      </c>
      <c r="NG5" t="str">
        <f>_xll.BDS("RWY US Equity","SUPPLY_CHAIN_SUPPLIERS","RELATIONSHIP_AS_OF_DATE","19980902")</f>
        <v>#N/A N/A</v>
      </c>
      <c r="NL5" t="str">
        <f>_xll.BDS("RWY US Equity","SUPPLY_CHAIN_CUSTOMERS","RELATIONSHIP_AS_OF_DATE","19980902")</f>
        <v>#N/A N/A</v>
      </c>
      <c r="NQ5" t="str">
        <f>_xll.BDS("FNFG US Equity","SUPPLY_CHAIN_SUPPLIERS","RELATIONSHIP_AS_OF_DATE","20030811")</f>
        <v>#N/A N/A</v>
      </c>
      <c r="NV5" t="str">
        <f>_xll.BDS("FNFG US Equity","SUPPLY_CHAIN_CUSTOMERS","RELATIONSHIP_AS_OF_DATE","20030811")</f>
        <v>#N/A N/A</v>
      </c>
      <c r="OA5" t="str">
        <f>_xll.BDS("ATBA AV Equity","SUPPLY_CHAIN_SUPPLIERS","RELATIONSHIP_AS_OF_DATE","20011212","cols=1;rows=5")</f>
        <v>000676 CH Equity</v>
      </c>
      <c r="OF5" t="str">
        <f>_xll.BDS("ATBA AV Equity","SUPPLY_CHAIN_CUSTOMERS","RELATIONSHIP_AS_OF_DATE","20011212","cols=1;rows=5")</f>
        <v>066570 KS Equity</v>
      </c>
    </row>
    <row r="6" spans="1:396" x14ac:dyDescent="0.25">
      <c r="AE6" t="s">
        <v>383</v>
      </c>
      <c r="AJ6" t="s">
        <v>4139</v>
      </c>
      <c r="BI6" t="s">
        <v>11699</v>
      </c>
      <c r="BN6" t="s">
        <v>12227</v>
      </c>
      <c r="CW6" t="s">
        <v>3955</v>
      </c>
      <c r="DB6" t="s">
        <v>11113</v>
      </c>
      <c r="FE6" t="s">
        <v>11060</v>
      </c>
      <c r="FJ6" t="s">
        <v>10892</v>
      </c>
      <c r="FT6" t="s">
        <v>12614</v>
      </c>
      <c r="FY6" t="s">
        <v>10735</v>
      </c>
      <c r="GD6" t="s">
        <v>10744</v>
      </c>
      <c r="GI6" t="s">
        <v>3955</v>
      </c>
      <c r="GN6" t="s">
        <v>11113</v>
      </c>
      <c r="IQ6" t="s">
        <v>10813</v>
      </c>
      <c r="IV6" t="s">
        <v>10757</v>
      </c>
      <c r="JK6" t="s">
        <v>10735</v>
      </c>
      <c r="JP6" t="s">
        <v>2881</v>
      </c>
      <c r="KE6" t="s">
        <v>10829</v>
      </c>
      <c r="KJ6" t="s">
        <v>10753</v>
      </c>
      <c r="KO6" t="s">
        <v>10809</v>
      </c>
      <c r="KT6" t="s">
        <v>2881</v>
      </c>
      <c r="LI6" t="s">
        <v>12212</v>
      </c>
      <c r="LN6" t="s">
        <v>11548</v>
      </c>
      <c r="MC6" t="s">
        <v>12259</v>
      </c>
      <c r="MH6" t="s">
        <v>11577</v>
      </c>
      <c r="MM6" t="s">
        <v>772</v>
      </c>
      <c r="MR6" t="s">
        <v>12327</v>
      </c>
      <c r="OA6" t="s">
        <v>11224</v>
      </c>
      <c r="OF6" t="s">
        <v>11195</v>
      </c>
    </row>
    <row r="7" spans="1:396" x14ac:dyDescent="0.25">
      <c r="AE7" t="s">
        <v>11038</v>
      </c>
      <c r="AJ7" t="s">
        <v>11749</v>
      </c>
      <c r="BI7" t="s">
        <v>12257</v>
      </c>
      <c r="BN7" t="s">
        <v>10656</v>
      </c>
      <c r="CW7" t="s">
        <v>3712</v>
      </c>
      <c r="FE7" t="s">
        <v>9441</v>
      </c>
      <c r="FJ7" t="s">
        <v>3611</v>
      </c>
      <c r="FT7" t="s">
        <v>12615</v>
      </c>
      <c r="FY7" t="s">
        <v>10806</v>
      </c>
      <c r="GD7" t="s">
        <v>10745</v>
      </c>
      <c r="GI7" t="s">
        <v>3712</v>
      </c>
      <c r="IQ7" t="s">
        <v>10735</v>
      </c>
      <c r="IV7" t="s">
        <v>10758</v>
      </c>
      <c r="JK7" t="s">
        <v>273</v>
      </c>
      <c r="JP7" t="s">
        <v>10661</v>
      </c>
      <c r="KE7" t="s">
        <v>10830</v>
      </c>
      <c r="KJ7" t="s">
        <v>10754</v>
      </c>
      <c r="KO7" t="s">
        <v>10983</v>
      </c>
      <c r="LI7" t="s">
        <v>12405</v>
      </c>
      <c r="LN7" t="s">
        <v>11939</v>
      </c>
      <c r="MC7" t="s">
        <v>10718</v>
      </c>
      <c r="MH7" t="s">
        <v>11578</v>
      </c>
      <c r="MM7" t="s">
        <v>2111</v>
      </c>
      <c r="MR7" t="s">
        <v>12328</v>
      </c>
      <c r="OA7" t="s">
        <v>11225</v>
      </c>
      <c r="OF7" t="s">
        <v>11196</v>
      </c>
    </row>
    <row r="8" spans="1:396" x14ac:dyDescent="0.25">
      <c r="AE8" t="s">
        <v>11176</v>
      </c>
      <c r="AJ8" t="s">
        <v>10660</v>
      </c>
      <c r="BI8" t="s">
        <v>12228</v>
      </c>
      <c r="BN8" t="s">
        <v>10657</v>
      </c>
      <c r="CW8" t="s">
        <v>11139</v>
      </c>
      <c r="FE8" t="s">
        <v>5575</v>
      </c>
      <c r="FJ8" t="s">
        <v>383</v>
      </c>
      <c r="FT8" t="s">
        <v>12616</v>
      </c>
      <c r="FY8" t="s">
        <v>4043</v>
      </c>
      <c r="GD8" t="s">
        <v>10746</v>
      </c>
      <c r="GI8" t="s">
        <v>11139</v>
      </c>
      <c r="IQ8" t="s">
        <v>171</v>
      </c>
      <c r="IV8" t="s">
        <v>10759</v>
      </c>
      <c r="JK8" t="s">
        <v>6320</v>
      </c>
      <c r="JP8" t="s">
        <v>10662</v>
      </c>
      <c r="KE8" t="s">
        <v>10831</v>
      </c>
      <c r="KJ8" t="s">
        <v>10755</v>
      </c>
      <c r="KO8" t="s">
        <v>8464</v>
      </c>
      <c r="LI8" t="s">
        <v>12406</v>
      </c>
      <c r="LN8" t="s">
        <v>2705</v>
      </c>
      <c r="MC8" t="s">
        <v>11386</v>
      </c>
      <c r="MM8" t="s">
        <v>1265</v>
      </c>
      <c r="MR8" t="s">
        <v>12329</v>
      </c>
      <c r="OA8" t="s">
        <v>11226</v>
      </c>
      <c r="OF8" t="s">
        <v>11197</v>
      </c>
    </row>
    <row r="9" spans="1:396" x14ac:dyDescent="0.25">
      <c r="AE9" t="s">
        <v>10852</v>
      </c>
      <c r="AJ9" t="s">
        <v>10918</v>
      </c>
      <c r="BI9" t="s">
        <v>12258</v>
      </c>
      <c r="BN9" t="s">
        <v>12228</v>
      </c>
      <c r="CW9" t="s">
        <v>11140</v>
      </c>
      <c r="FE9" t="s">
        <v>11486</v>
      </c>
      <c r="FJ9" t="s">
        <v>10729</v>
      </c>
      <c r="FT9" t="s">
        <v>10657</v>
      </c>
      <c r="FY9" t="s">
        <v>10807</v>
      </c>
      <c r="GD9" t="s">
        <v>10747</v>
      </c>
      <c r="GI9" t="s">
        <v>11140</v>
      </c>
      <c r="IQ9" t="s">
        <v>10814</v>
      </c>
      <c r="IV9" t="s">
        <v>10760</v>
      </c>
      <c r="JK9" t="s">
        <v>1654</v>
      </c>
      <c r="JP9" t="s">
        <v>10663</v>
      </c>
      <c r="KE9" t="s">
        <v>10832</v>
      </c>
      <c r="KJ9" t="s">
        <v>10756</v>
      </c>
      <c r="KO9" t="s">
        <v>10957</v>
      </c>
      <c r="LI9" t="s">
        <v>12407</v>
      </c>
      <c r="MC9" t="s">
        <v>11964</v>
      </c>
      <c r="MM9" t="s">
        <v>12339</v>
      </c>
      <c r="MR9" t="s">
        <v>12330</v>
      </c>
      <c r="OA9" t="s">
        <v>11227</v>
      </c>
      <c r="OF9" t="s">
        <v>11198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5196</v>
      </c>
      <c r="K1" s="1" t="s">
        <v>5197</v>
      </c>
      <c r="U1" s="1" t="s">
        <v>5198</v>
      </c>
      <c r="AE1" s="1" t="s">
        <v>5199</v>
      </c>
      <c r="AO1" s="1" t="s">
        <v>5200</v>
      </c>
      <c r="AY1" s="1" t="s">
        <v>5201</v>
      </c>
      <c r="BI1" s="1" t="s">
        <v>5202</v>
      </c>
      <c r="BS1" s="1" t="s">
        <v>5203</v>
      </c>
      <c r="CC1" s="1" t="s">
        <v>5204</v>
      </c>
      <c r="CM1" s="1" t="s">
        <v>5205</v>
      </c>
      <c r="CW1" s="1" t="s">
        <v>5206</v>
      </c>
      <c r="DG1" s="1" t="s">
        <v>5207</v>
      </c>
      <c r="DQ1" s="1" t="s">
        <v>5208</v>
      </c>
      <c r="EA1" s="1" t="s">
        <v>5209</v>
      </c>
      <c r="EK1" s="1" t="s">
        <v>5210</v>
      </c>
      <c r="EU1" s="1" t="s">
        <v>5211</v>
      </c>
      <c r="FE1" s="1" t="s">
        <v>5212</v>
      </c>
      <c r="FO1" s="1" t="s">
        <v>5213</v>
      </c>
      <c r="FY1" s="1" t="s">
        <v>5214</v>
      </c>
      <c r="GI1" s="1" t="s">
        <v>5215</v>
      </c>
      <c r="GS1" s="1" t="s">
        <v>5216</v>
      </c>
      <c r="HC1" s="1" t="s">
        <v>5217</v>
      </c>
      <c r="HM1" s="1" t="s">
        <v>5218</v>
      </c>
      <c r="HW1" s="1" t="s">
        <v>5219</v>
      </c>
      <c r="IG1" s="1" t="s">
        <v>5220</v>
      </c>
      <c r="IQ1" s="1" t="s">
        <v>5221</v>
      </c>
      <c r="JA1" s="1" t="s">
        <v>5222</v>
      </c>
      <c r="JK1" s="1" t="s">
        <v>5223</v>
      </c>
      <c r="JU1" s="1" t="s">
        <v>5224</v>
      </c>
      <c r="KE1" s="1" t="s">
        <v>5225</v>
      </c>
      <c r="KO1" s="1" t="s">
        <v>5226</v>
      </c>
      <c r="KY1" s="1" t="s">
        <v>5227</v>
      </c>
      <c r="LI1" s="1" t="s">
        <v>5228</v>
      </c>
      <c r="LS1" s="1" t="s">
        <v>5229</v>
      </c>
      <c r="MC1" s="1" t="s">
        <v>5230</v>
      </c>
      <c r="MM1" s="1" t="s">
        <v>5231</v>
      </c>
      <c r="MW1" s="1" t="s">
        <v>5232</v>
      </c>
      <c r="NG1" s="1" t="s">
        <v>5233</v>
      </c>
      <c r="NQ1" s="1" t="s">
        <v>5234</v>
      </c>
      <c r="OA1" s="1" t="s">
        <v>5235</v>
      </c>
    </row>
    <row r="2" spans="1:396" x14ac:dyDescent="0.25">
      <c r="A2" s="2" t="s">
        <v>5236</v>
      </c>
      <c r="K2" s="2" t="s">
        <v>5237</v>
      </c>
      <c r="U2" s="2" t="s">
        <v>5238</v>
      </c>
      <c r="AE2" s="2" t="s">
        <v>2785</v>
      </c>
      <c r="AO2" s="2" t="s">
        <v>5239</v>
      </c>
      <c r="AY2" s="2" t="s">
        <v>5240</v>
      </c>
      <c r="BI2" s="2" t="s">
        <v>5241</v>
      </c>
      <c r="BS2" s="2" t="s">
        <v>1180</v>
      </c>
      <c r="CC2" s="2" t="s">
        <v>5242</v>
      </c>
      <c r="CM2" s="2" t="s">
        <v>5243</v>
      </c>
      <c r="CW2" s="2" t="s">
        <v>5244</v>
      </c>
      <c r="DG2" s="2" t="s">
        <v>5245</v>
      </c>
      <c r="DQ2" s="2" t="s">
        <v>57</v>
      </c>
      <c r="EA2" s="2" t="s">
        <v>2132</v>
      </c>
      <c r="EK2" s="2" t="s">
        <v>387</v>
      </c>
      <c r="EU2" s="2" t="s">
        <v>1079</v>
      </c>
      <c r="FE2" s="2" t="s">
        <v>5246</v>
      </c>
      <c r="FO2" s="2" t="s">
        <v>3069</v>
      </c>
      <c r="FY2" s="2" t="s">
        <v>4996</v>
      </c>
      <c r="GI2" s="2" t="s">
        <v>5247</v>
      </c>
      <c r="GS2" s="2" t="s">
        <v>5248</v>
      </c>
      <c r="HC2" s="2" t="s">
        <v>790</v>
      </c>
      <c r="HM2" s="2" t="s">
        <v>5249</v>
      </c>
      <c r="HW2" s="2" t="s">
        <v>5162</v>
      </c>
      <c r="IG2" s="2" t="s">
        <v>5250</v>
      </c>
      <c r="IQ2" s="2" t="s">
        <v>1929</v>
      </c>
      <c r="JA2" s="2" t="s">
        <v>5251</v>
      </c>
      <c r="JK2" s="2" t="s">
        <v>5252</v>
      </c>
      <c r="JU2" s="2" t="s">
        <v>986</v>
      </c>
      <c r="KE2" s="2" t="s">
        <v>5253</v>
      </c>
      <c r="KO2" s="2" t="s">
        <v>5254</v>
      </c>
      <c r="KY2" s="2" t="s">
        <v>65</v>
      </c>
      <c r="LI2" s="2" t="s">
        <v>2407</v>
      </c>
      <c r="LS2" s="2" t="s">
        <v>1172</v>
      </c>
      <c r="MC2" s="2" t="s">
        <v>2973</v>
      </c>
      <c r="MM2" s="2" t="s">
        <v>793</v>
      </c>
      <c r="MW2" s="2" t="s">
        <v>2412</v>
      </c>
      <c r="NG2" s="2" t="s">
        <v>3617</v>
      </c>
      <c r="NQ2" s="2" t="s">
        <v>5255</v>
      </c>
      <c r="OA2" s="2" t="s">
        <v>5256</v>
      </c>
    </row>
    <row r="3" spans="1:396" x14ac:dyDescent="0.25">
      <c r="A3" t="s">
        <v>5257</v>
      </c>
      <c r="K3" t="s">
        <v>5258</v>
      </c>
      <c r="U3" t="s">
        <v>5259</v>
      </c>
      <c r="AE3" t="s">
        <v>5260</v>
      </c>
      <c r="AO3" t="s">
        <v>5261</v>
      </c>
      <c r="AY3" t="s">
        <v>893</v>
      </c>
      <c r="BI3" t="s">
        <v>5262</v>
      </c>
      <c r="BS3" t="s">
        <v>2799</v>
      </c>
      <c r="CC3" t="s">
        <v>5263</v>
      </c>
      <c r="CM3" t="s">
        <v>3540</v>
      </c>
      <c r="CW3" t="s">
        <v>1479</v>
      </c>
      <c r="DG3" t="s">
        <v>3188</v>
      </c>
      <c r="DQ3" t="s">
        <v>3176</v>
      </c>
      <c r="EA3" t="s">
        <v>5264</v>
      </c>
      <c r="EK3" t="s">
        <v>5265</v>
      </c>
      <c r="EU3" t="s">
        <v>5266</v>
      </c>
      <c r="FE3" t="s">
        <v>2330</v>
      </c>
      <c r="FO3" t="s">
        <v>5267</v>
      </c>
      <c r="FY3" t="s">
        <v>5268</v>
      </c>
      <c r="GI3" t="s">
        <v>5269</v>
      </c>
      <c r="GS3" t="s">
        <v>5270</v>
      </c>
      <c r="HC3" t="s">
        <v>5271</v>
      </c>
      <c r="HM3" t="s">
        <v>5272</v>
      </c>
      <c r="HW3" t="s">
        <v>5273</v>
      </c>
      <c r="IG3" t="s">
        <v>5274</v>
      </c>
      <c r="IQ3" t="s">
        <v>5275</v>
      </c>
      <c r="JA3" t="s">
        <v>5276</v>
      </c>
      <c r="JK3" t="s">
        <v>5277</v>
      </c>
      <c r="JU3" t="s">
        <v>5278</v>
      </c>
      <c r="KE3" t="s">
        <v>2156</v>
      </c>
      <c r="KO3" t="s">
        <v>5279</v>
      </c>
      <c r="KY3" t="s">
        <v>5280</v>
      </c>
      <c r="LI3" t="s">
        <v>3808</v>
      </c>
      <c r="LS3" t="s">
        <v>3639</v>
      </c>
      <c r="MC3" t="s">
        <v>818</v>
      </c>
      <c r="MM3" t="s">
        <v>5261</v>
      </c>
      <c r="MW3" t="s">
        <v>5281</v>
      </c>
      <c r="NG3" t="s">
        <v>3452</v>
      </c>
      <c r="NQ3" t="s">
        <v>1182</v>
      </c>
      <c r="OA3" t="s">
        <v>5282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_xll.BDS("AAPL US Equity","SUPPLY_CHAIN_SUPPLIERS","RELATIONSHIP_AS_OF_DATE","20120727","cols=1;rows=5")</f>
        <v>2317 TT Equity</v>
      </c>
      <c r="F5" t="str">
        <f>_xll.BDS("AAPL US Equity","SUPPLY_CHAIN_CUSTOMERS","RELATIONSHIP_AS_OF_DATE","20120727","cols=1;rows=5")</f>
        <v>BBY US Equity</v>
      </c>
      <c r="K5" t="str">
        <f>_xll.BDS("DECC US Equity","SUPPLY_CHAIN_SUPPLIERS","RELATIONSHIP_AS_OF_DATE","20011121")</f>
        <v>#N/A N/A</v>
      </c>
      <c r="P5" t="str">
        <f>_xll.BDS("DECC US Equity","SUPPLY_CHAIN_CUSTOMERS","RELATIONSHIP_AS_OF_DATE","20011121")</f>
        <v>#N/A N/A</v>
      </c>
      <c r="U5" t="str">
        <f>_xll.BDS("3131657Q US Equity","SUPPLY_CHAIN_SUPPLIERS","RELATIONSHIP_AS_OF_DATE","19991122")</f>
        <v>#N/A N/A</v>
      </c>
      <c r="Z5" t="str">
        <f>_xll.BDS("3131657Q US Equity","SUPPLY_CHAIN_CUSTOMERS","RELATIONSHIP_AS_OF_DATE","19991122")</f>
        <v>#N/A N/A</v>
      </c>
      <c r="AE5" t="str">
        <f>_xll.BDS("CRL US Equity","SUPPLY_CHAIN_SUPPLIERS","RELATIONSHIP_AS_OF_DATE","20191216","cols=1;rows=5")</f>
        <v>ARE US Equity</v>
      </c>
      <c r="AJ5" t="str">
        <f>_xll.BDS("CRL US Equity","SUPPLY_CHAIN_CUSTOMERS","RELATIONSHIP_AS_OF_DATE","20191216","cols=1;rows=5")</f>
        <v>JNJ US Equity</v>
      </c>
      <c r="AO5" t="str">
        <f>_xll.BDS("EGAN US Equity","SUPPLY_CHAIN_SUPPLIERS","RELATIONSHIP_AS_OF_DATE","20000316","cols=1;rows=5")</f>
        <v>IBM US Equity</v>
      </c>
      <c r="AT5" t="str">
        <f>_xll.BDS("EGAN US Equity","SUPPLY_CHAIN_CUSTOMERS","RELATIONSHIP_AS_OF_DATE","20000316","cols=1;rows=5")</f>
        <v>0134282D LN Equity</v>
      </c>
      <c r="AY5" t="str">
        <f>_xll.BDS("CSSE US Equity","SUPPLY_CHAIN_SUPPLIERS","RELATIONSHIP_AS_OF_DATE","20220511","cols=1;rows=5")</f>
        <v>1445296D US Equity</v>
      </c>
      <c r="BD5" t="str">
        <f>_xll.BDS("CSSE US Equity","SUPPLY_CHAIN_CUSTOMERS","RELATIONSHIP_AS_OF_DATE","20220511","cols=1;rows=5")</f>
        <v>000100 CH Equity</v>
      </c>
      <c r="BI5" t="str">
        <f>_xll.BDS("TSA US Equity","SUPPLY_CHAIN_SUPPLIERS","RELATIONSHIP_AS_OF_DATE","20030220")</f>
        <v>#N/A N/A</v>
      </c>
      <c r="BN5" t="str">
        <f>_xll.BDS("TSA US Equity","SUPPLY_CHAIN_CUSTOMERS","RELATIONSHIP_AS_OF_DATE","20030220")</f>
        <v>#N/A N/A</v>
      </c>
      <c r="BS5" t="str">
        <f>_xll.BDS("SPB US Equity","SUPPLY_CHAIN_SUPPLIERS","RELATIONSHIP_AS_OF_DATE","20100913","cols=1;rows=5")</f>
        <v>SLGN US Equity</v>
      </c>
      <c r="BX5" t="str">
        <f>_xll.BDS("SPB US Equity","SUPPLY_CHAIN_CUSTOMERS","RELATIONSHIP_AS_OF_DATE","20100913","cols=1;rows=5")</f>
        <v>WMT US Equity</v>
      </c>
      <c r="CC5" t="str">
        <f>_xll.BDS("SKO US Equity","SUPPLY_CHAIN_SUPPLIERS","RELATIONSHIP_AS_OF_DATE","19990511","cols=1;rows=3")</f>
        <v>3557 TT Equity</v>
      </c>
      <c r="CH5" t="str">
        <f>_xll.BDS("SKO US Equity","SUPPLY_CHAIN_CUSTOMERS","RELATIONSHIP_AS_OF_DATE","19990511")</f>
        <v>#N/A N/A</v>
      </c>
      <c r="CM5" t="str">
        <f>_xll.BDS("9123456D US Equity","SUPPLY_CHAIN_SUPPLIERS","RELATIONSHIP_AS_OF_DATE","20100524")</f>
        <v>#N/A N/A</v>
      </c>
      <c r="CR5" t="str">
        <f>_xll.BDS("9123456D US Equity","SUPPLY_CHAIN_CUSTOMERS","RELATIONSHIP_AS_OF_DATE","20100524")</f>
        <v>#N/A N/A</v>
      </c>
      <c r="CW5" t="str">
        <f>_xll.BDS("236619Q US Equity","SUPPLY_CHAIN_SUPPLIERS","RELATIONSHIP_AS_OF_DATE","19980811")</f>
        <v>#N/A N/A</v>
      </c>
      <c r="DB5" t="str">
        <f>_xll.BDS("236619Q US Equity","SUPPLY_CHAIN_CUSTOMERS","RELATIONSHIP_AS_OF_DATE","19980811")</f>
        <v>#N/A N/A</v>
      </c>
      <c r="DG5" t="str">
        <f>_xll.BDS("1740293D US Equity","SUPPLY_CHAIN_SUPPLIERS","RELATIONSHIP_AS_OF_DATE","20060918")</f>
        <v>#N/A N/A</v>
      </c>
      <c r="DL5" t="str">
        <f>_xll.BDS("1740293D US Equity","SUPPLY_CHAIN_CUSTOMERS","RELATIONSHIP_AS_OF_DATE","20060918")</f>
        <v>#N/A N/A</v>
      </c>
      <c r="DQ5" t="str">
        <f>_xll.BDS("BAC US Equity","SUPPLY_CHAIN_SUPPLIERS","RELATIONSHIP_AS_OF_DATE","19981022","cols=1;rows=5")</f>
        <v>ORCL US Equity</v>
      </c>
      <c r="DV5" t="str">
        <f>_xll.BDS("BAC US Equity","SUPPLY_CHAIN_CUSTOMERS","RELATIONSHIP_AS_OF_DATE","19981022","cols=1;rows=4")</f>
        <v>3147564Z US Equity</v>
      </c>
      <c r="EA5" t="str">
        <f>_xll.BDS("WINMQ US Equity","SUPPLY_CHAIN_SUPPLIERS","RELATIONSHIP_AS_OF_DATE","20090511","cols=1;rows=5")</f>
        <v>DY US Equity</v>
      </c>
      <c r="EF5" t="str">
        <f>_xll.BDS("WINMQ US Equity","SUPPLY_CHAIN_CUSTOMERS","RELATIONSHIP_AS_OF_DATE","20090511","cols=1;rows=2")</f>
        <v>SCSC US Equity</v>
      </c>
      <c r="EK5" t="str">
        <f>_xll.BDS("DHR US Equity","SUPPLY_CHAIN_SUPPLIERS","RELATIONSHIP_AS_OF_DATE","20120917","cols=1;rows=5")</f>
        <v>FLEX US Equity</v>
      </c>
      <c r="EP5" t="str">
        <f>_xll.BDS("DHR US Equity","SUPPLY_CHAIN_CUSTOMERS","RELATIONSHIP_AS_OF_DATE","20120917","cols=1;rows=5")</f>
        <v>CDW US Equity</v>
      </c>
      <c r="EU5" t="str">
        <f>_xll.BDS("9980328D US Equity","SUPPLY_CHAIN_SUPPLIERS","RELATIONSHIP_AS_OF_DATE","20160727","cols=1;rows=5")</f>
        <v>1052024D US Equity</v>
      </c>
      <c r="EZ5" t="str">
        <f>_xll.BDS("9980328D US Equity","SUPPLY_CHAIN_CUSTOMERS","RELATIONSHIP_AS_OF_DATE","20160727","cols=1;rows=5")</f>
        <v>002630 KS Equity</v>
      </c>
      <c r="FE5" t="str">
        <f>_xll.BDS("HU US Equity","SUPPLY_CHAIN_SUPPLIERS","RELATIONSHIP_AS_OF_DATE","19990629")</f>
        <v>#N/A N/A</v>
      </c>
      <c r="FJ5" t="str">
        <f>_xll.BDS("HU US Equity","SUPPLY_CHAIN_CUSTOMERS","RELATIONSHIP_AS_OF_DATE","19990629")</f>
        <v>#N/A N/A</v>
      </c>
      <c r="FO5" t="str">
        <f>_xll.BDS("DHI US Equity","SUPPLY_CHAIN_SUPPLIERS","RELATIONSHIP_AS_OF_DATE","20170605","cols=1;rows=5")</f>
        <v>FOR US Equity</v>
      </c>
      <c r="FT5" t="str">
        <f>_xll.BDS("DHI US Equity","SUPPLY_CHAIN_CUSTOMERS","RELATIONSHIP_AS_OF_DATE","20170605")</f>
        <v>FOR US Equity</v>
      </c>
      <c r="FY5" t="str">
        <f>_xll.BDS("PBI US Equity","SUPPLY_CHAIN_SUPPLIERS","RELATIONSHIP_AS_OF_DATE","20040413","cols=1;rows=5")</f>
        <v>XPO US Equity</v>
      </c>
      <c r="GD5" t="str">
        <f>_xll.BDS("PBI US Equity","SUPPLY_CHAIN_CUSTOMERS","RELATIONSHIP_AS_OF_DATE","20040413","cols=1;rows=5")</f>
        <v>0228856Z US Equity</v>
      </c>
      <c r="GI5" t="str">
        <f>_xll.BDS("4513539Q US Equity","SUPPLY_CHAIN_SUPPLIERS","RELATIONSHIP_AS_OF_DATE","20001211")</f>
        <v>#N/A N/A</v>
      </c>
      <c r="GN5" t="str">
        <f>_xll.BDS("4513539Q US Equity","SUPPLY_CHAIN_CUSTOMERS","RELATIONSHIP_AS_OF_DATE","20001211")</f>
        <v>#N/A N/A</v>
      </c>
      <c r="GS5" t="str">
        <f>_xll.BDS("NKE US Equity","SUPPLY_CHAIN_SUPPLIERS","RELATIONSHIP_AS_OF_DATE","20030709","cols=1;rows=5")</f>
        <v>551 HK Equity</v>
      </c>
      <c r="GX5" t="str">
        <f>_xll.BDS("NKE US Equity","SUPPLY_CHAIN_CUSTOMERS","RELATIONSHIP_AS_OF_DATE","20030709","cols=1;rows=5")</f>
        <v>FL US Equity</v>
      </c>
      <c r="HC5" t="str">
        <f>_xll.BDS("APO US Equity","SUPPLY_CHAIN_SUPPLIERS","RELATIONSHIP_AS_OF_DATE","20210723","cols=1;rows=5")</f>
        <v>PG US Equity</v>
      </c>
      <c r="HH5" t="str">
        <f>_xll.BDS("APO US Equity","SUPPLY_CHAIN_CUSTOMERS","RELATIONSHIP_AS_OF_DATE","20210723","cols=1;rows=5")</f>
        <v>RTX US Equity</v>
      </c>
      <c r="HM5" t="str">
        <f>_xll.BDS("CHCO US Equity","SUPPLY_CHAIN_SUPPLIERS","RELATIONSHIP_AS_OF_DATE","19980807")</f>
        <v>#N/A N/A</v>
      </c>
      <c r="HR5" t="str">
        <f>_xll.BDS("CHCO US Equity","SUPPLY_CHAIN_CUSTOMERS","RELATIONSHIP_AS_OF_DATE","19980807")</f>
        <v>#N/A N/A</v>
      </c>
      <c r="HW5" t="str">
        <f>_xll.BDS("BGCP US Equity","SUPPLY_CHAIN_SUPPLIERS","RELATIONSHIP_AS_OF_DATE","20140909")</f>
        <v>#N/A N/A</v>
      </c>
      <c r="IB5" t="str">
        <f>_xll.BDS("BGCP US Equity","SUPPLY_CHAIN_CUSTOMERS","RELATIONSHIP_AS_OF_DATE","20140909")</f>
        <v>PGTK US Equity</v>
      </c>
      <c r="IG5" t="str">
        <f>_xll.BDS("HRC US Equity","SUPPLY_CHAIN_SUPPLIERS","RELATIONSHIP_AS_OF_DATE","20031030")</f>
        <v>#N/A N/A</v>
      </c>
      <c r="IL5" t="str">
        <f>_xll.BDS("HRC US Equity","SUPPLY_CHAIN_CUSTOMERS","RELATIONSHIP_AS_OF_DATE","20031030")</f>
        <v>#N/A N/A</v>
      </c>
      <c r="IQ5" t="str">
        <f>_xll.BDS("JEF US Equity","SUPPLY_CHAIN_SUPPLIERS","RELATIONSHIP_AS_OF_DATE","20020726","cols=1;rows=5")</f>
        <v>000063 CH Equity</v>
      </c>
      <c r="IV5" t="str">
        <f>_xll.BDS("JEF US Equity","SUPPLY_CHAIN_CUSTOMERS","RELATIONSHIP_AS_OF_DATE","20020726")</f>
        <v>#N/A N/A</v>
      </c>
      <c r="JA5" t="str">
        <f>_xll.BDS("GKNT US Equity","SUPPLY_CHAIN_SUPPLIERS","RELATIONSHIP_AS_OF_DATE","20000203")</f>
        <v>#N/A N/A</v>
      </c>
      <c r="JF5" t="str">
        <f>_xll.BDS("GKNT US Equity","SUPPLY_CHAIN_CUSTOMERS","RELATIONSHIP_AS_OF_DATE","20000203")</f>
        <v>#N/A N/A</v>
      </c>
      <c r="JK5" t="str">
        <f>_xll.BDS("LGTO US Equity","SUPPLY_CHAIN_SUPPLIERS","RELATIONSHIP_AS_OF_DATE","20020221")</f>
        <v>#N/A N/A</v>
      </c>
      <c r="JP5" t="str">
        <f>_xll.BDS("LGTO US Equity","SUPPLY_CHAIN_CUSTOMERS","RELATIONSHIP_AS_OF_DATE","20020221")</f>
        <v>256811Z US Equity</v>
      </c>
      <c r="JU5" t="str">
        <f>_xll.BDS("CG US Equity","SUPPLY_CHAIN_SUPPLIERS","RELATIONSHIP_AS_OF_DATE","20060106","cols=1;rows=5")</f>
        <v>SLG US Equity</v>
      </c>
      <c r="JZ5" t="str">
        <f>_xll.BDS("CG US Equity","SUPPLY_CHAIN_CUSTOMERS","RELATIONSHIP_AS_OF_DATE","20060106","cols=1;rows=5")</f>
        <v>POOL US Equity</v>
      </c>
      <c r="KE5" t="str">
        <f>_xll.BDS("1709056D US Equity","SUPPLY_CHAIN_SUPPLIERS","RELATIONSHIP_AS_OF_DATE","20010220")</f>
        <v>#N/A N/A</v>
      </c>
      <c r="KJ5" t="str">
        <f>_xll.BDS("1709056D US Equity","SUPPLY_CHAIN_CUSTOMERS","RELATIONSHIP_AS_OF_DATE","20010220")</f>
        <v>#N/A N/A</v>
      </c>
      <c r="KO5" t="str">
        <f>_xll.BDS("ACDC US Equity","SUPPLY_CHAIN_SUPPLIERS","RELATIONSHIP_AS_OF_DATE","20220621","cols=1;rows=3")</f>
        <v>FTK US Equity</v>
      </c>
      <c r="KT5" t="str">
        <f>_xll.BDS("ACDC US Equity","SUPPLY_CHAIN_CUSTOMERS","RELATIONSHIP_AS_OF_DATE","20220621","cols=1;rows=4")</f>
        <v>0689026D US Equity</v>
      </c>
      <c r="KY5" t="str">
        <f>_xll.BDS("MRK US Equity","SUPPLY_CHAIN_SUPPLIERS","RELATIONSHIP_AS_OF_DATE","20110405","cols=1;rows=5")</f>
        <v>AZN LN Equity</v>
      </c>
      <c r="LD5" t="str">
        <f>_xll.BDS("MRK US Equity","SUPPLY_CHAIN_CUSTOMERS","RELATIONSHIP_AS_OF_DATE","20110405","cols=1;rows=5")</f>
        <v>COR US Equity</v>
      </c>
      <c r="LI5" t="str">
        <f>_xll.BDS("UMPQ US Equity","SUPPLY_CHAIN_SUPPLIERS","RELATIONSHIP_AS_OF_DATE","20040315")</f>
        <v>#N/A N/A</v>
      </c>
      <c r="LN5" t="str">
        <f>_xll.BDS("UMPQ US Equity","SUPPLY_CHAIN_CUSTOMERS","RELATIONSHIP_AS_OF_DATE","20040315")</f>
        <v>#N/A N/A</v>
      </c>
      <c r="LS5" t="str">
        <f>_xll.BDS("SANM US Equity","SUPPLY_CHAIN_SUPPLIERS","RELATIONSHIP_AS_OF_DATE","19980902","cols=1;rows=5")</f>
        <v>MU US Equity</v>
      </c>
      <c r="LX5" t="str">
        <f>_xll.BDS("SANM US Equity","SUPPLY_CHAIN_CUSTOMERS","RELATIONSHIP_AS_OF_DATE","19980902","cols=1;rows=5")</f>
        <v>MSI US Equity</v>
      </c>
      <c r="MC5" t="str">
        <f>_xll.BDS("MKSI US Equity","SUPPLY_CHAIN_SUPPLIERS","RELATIONSHIP_AS_OF_DATE","20001002","cols=1;rows=5")</f>
        <v>LASR US Equity</v>
      </c>
      <c r="MH5" t="str">
        <f>_xll.BDS("MKSI US Equity","SUPPLY_CHAIN_CUSTOMERS","RELATIONSHIP_AS_OF_DATE","20001002","cols=1;rows=5")</f>
        <v>LRCX US Equity</v>
      </c>
      <c r="MM5" t="str">
        <f>_xll.BDS("NOV US Equity","SUPPLY_CHAIN_SUPPLIERS","RELATIONSHIP_AS_OF_DATE","20000316","cols=1;rows=5")</f>
        <v>OERL SW Equity</v>
      </c>
      <c r="MR5" t="str">
        <f>_xll.BDS("NOV US Equity","SUPPLY_CHAIN_CUSTOMERS","RELATIONSHIP_AS_OF_DATE","20000316","cols=1;rows=5")</f>
        <v>329180 KS Equity</v>
      </c>
      <c r="MW5" t="str">
        <f>_xll.BDS("PBCT US Equity","SUPPLY_CHAIN_SUPPLIERS","RELATIONSHIP_AS_OF_DATE","20181127")</f>
        <v>#N/A N/A</v>
      </c>
      <c r="NB5" t="str">
        <f>_xll.BDS("PBCT US Equity","SUPPLY_CHAIN_CUSTOMERS","RELATIONSHIP_AS_OF_DATE","20181127")</f>
        <v>#N/A N/A</v>
      </c>
      <c r="NG5" t="str">
        <f>_xll.BDS("540513Q US Equity","SUPPLY_CHAIN_SUPPLIERS","RELATIONSHIP_AS_OF_DATE","20010611")</f>
        <v>#N/A N/A</v>
      </c>
      <c r="NL5" t="str">
        <f>_xll.BDS("540513Q US Equity","SUPPLY_CHAIN_CUSTOMERS","RELATIONSHIP_AS_OF_DATE","20010611")</f>
        <v>#N/A N/A</v>
      </c>
      <c r="NQ5" t="str">
        <f>_xll.BDS("SONE US Equity","SUPPLY_CHAIN_SUPPLIERS","RELATIONSHIP_AS_OF_DATE","19990517")</f>
        <v>#N/A N/A</v>
      </c>
      <c r="NV5" t="str">
        <f>_xll.BDS("SONE US Equity","SUPPLY_CHAIN_CUSTOMERS","RELATIONSHIP_AS_OF_DATE","19990517")</f>
        <v>#N/A N/A</v>
      </c>
      <c r="OA5" t="str">
        <f>_xll.BDS("CBCGQ US Equity","SUPPLY_CHAIN_SUPPLIERS","RELATIONSHIP_AS_OF_DATE","20070123")</f>
        <v>#N/A N/A</v>
      </c>
      <c r="OF5" t="str">
        <f>_xll.BDS("CBCGQ US Equity","SUPPLY_CHAIN_CUSTOMERS","RELATIONSHIP_AS_OF_DATE","20070123")</f>
        <v>#N/A N/A</v>
      </c>
    </row>
    <row r="6" spans="1:396" x14ac:dyDescent="0.25">
      <c r="A6" t="s">
        <v>12515</v>
      </c>
      <c r="F6" t="s">
        <v>10791</v>
      </c>
      <c r="AE6" t="s">
        <v>12411</v>
      </c>
      <c r="AJ6" t="s">
        <v>43</v>
      </c>
      <c r="AO6" t="s">
        <v>969</v>
      </c>
      <c r="AT6" t="s">
        <v>12440</v>
      </c>
      <c r="AY6" t="s">
        <v>11120</v>
      </c>
      <c r="BD6" t="s">
        <v>10892</v>
      </c>
      <c r="BS6" t="s">
        <v>1274</v>
      </c>
      <c r="BX6" t="s">
        <v>469</v>
      </c>
      <c r="CC6" t="s">
        <v>10889</v>
      </c>
      <c r="DQ6" t="s">
        <v>1654</v>
      </c>
      <c r="DV6" t="s">
        <v>2208</v>
      </c>
      <c r="EA6" t="s">
        <v>11573</v>
      </c>
      <c r="EF6" t="s">
        <v>11546</v>
      </c>
      <c r="EK6" t="s">
        <v>10735</v>
      </c>
      <c r="EP6" t="s">
        <v>2881</v>
      </c>
      <c r="EU6" t="s">
        <v>11453</v>
      </c>
      <c r="EZ6" t="s">
        <v>11428</v>
      </c>
      <c r="FO6" t="s">
        <v>1552</v>
      </c>
      <c r="FY6" t="s">
        <v>12067</v>
      </c>
      <c r="GD6" t="s">
        <v>11820</v>
      </c>
      <c r="GS6" t="s">
        <v>12420</v>
      </c>
      <c r="GX6" t="s">
        <v>5070</v>
      </c>
      <c r="HC6" t="s">
        <v>3343</v>
      </c>
      <c r="HH6" t="s">
        <v>684</v>
      </c>
      <c r="IQ6" t="s">
        <v>10975</v>
      </c>
      <c r="JU6" t="s">
        <v>10877</v>
      </c>
      <c r="JZ6" t="s">
        <v>11686</v>
      </c>
      <c r="KO6" t="s">
        <v>10913</v>
      </c>
      <c r="KT6" t="s">
        <v>12296</v>
      </c>
      <c r="KY6" t="s">
        <v>368</v>
      </c>
      <c r="LD6" t="s">
        <v>385</v>
      </c>
      <c r="LS6" t="s">
        <v>12183</v>
      </c>
      <c r="LX6" t="s">
        <v>11376</v>
      </c>
      <c r="MC6" t="s">
        <v>12539</v>
      </c>
      <c r="MH6" t="s">
        <v>1267</v>
      </c>
      <c r="MM6" t="s">
        <v>11312</v>
      </c>
      <c r="MR6" t="s">
        <v>11001</v>
      </c>
    </row>
    <row r="7" spans="1:396" x14ac:dyDescent="0.25">
      <c r="A7" t="s">
        <v>11090</v>
      </c>
      <c r="F7" t="s">
        <v>49</v>
      </c>
      <c r="AE7" t="s">
        <v>12412</v>
      </c>
      <c r="AJ7" t="s">
        <v>11018</v>
      </c>
      <c r="AO7" t="s">
        <v>1654</v>
      </c>
      <c r="AT7" t="s">
        <v>12441</v>
      </c>
      <c r="AY7" t="s">
        <v>12425</v>
      </c>
      <c r="BD7" t="s">
        <v>11194</v>
      </c>
      <c r="BS7" t="s">
        <v>11346</v>
      </c>
      <c r="BX7" t="s">
        <v>11295</v>
      </c>
      <c r="CC7" t="s">
        <v>2699</v>
      </c>
      <c r="DQ7" t="s">
        <v>10986</v>
      </c>
      <c r="DV7" t="s">
        <v>11174</v>
      </c>
      <c r="EA7" t="s">
        <v>11574</v>
      </c>
      <c r="EK7" t="s">
        <v>273</v>
      </c>
      <c r="EP7" t="s">
        <v>10661</v>
      </c>
      <c r="EU7" t="s">
        <v>11289</v>
      </c>
      <c r="EZ7" t="s">
        <v>11429</v>
      </c>
      <c r="FO7" t="s">
        <v>2699</v>
      </c>
      <c r="FY7" t="s">
        <v>12068</v>
      </c>
      <c r="GD7" t="s">
        <v>10657</v>
      </c>
      <c r="GS7" t="s">
        <v>10837</v>
      </c>
      <c r="GX7" t="s">
        <v>10773</v>
      </c>
      <c r="HC7" t="s">
        <v>2219</v>
      </c>
      <c r="HH7" t="s">
        <v>12534</v>
      </c>
      <c r="IQ7" t="s">
        <v>10828</v>
      </c>
      <c r="JU7" t="s">
        <v>11282</v>
      </c>
      <c r="JZ7" t="s">
        <v>11114</v>
      </c>
      <c r="KO7" t="s">
        <v>11576</v>
      </c>
      <c r="KT7" t="s">
        <v>12297</v>
      </c>
      <c r="KY7" t="s">
        <v>11467</v>
      </c>
      <c r="LD7" t="s">
        <v>970</v>
      </c>
      <c r="LS7" t="s">
        <v>4043</v>
      </c>
      <c r="LX7" t="s">
        <v>10785</v>
      </c>
      <c r="MC7" t="s">
        <v>2887</v>
      </c>
      <c r="MH7" t="s">
        <v>10892</v>
      </c>
      <c r="MM7" t="s">
        <v>11859</v>
      </c>
      <c r="MR7" t="s">
        <v>12069</v>
      </c>
    </row>
    <row r="8" spans="1:396" x14ac:dyDescent="0.25">
      <c r="A8" t="s">
        <v>10892</v>
      </c>
      <c r="F8" t="s">
        <v>11749</v>
      </c>
      <c r="AE8" t="s">
        <v>12413</v>
      </c>
      <c r="AJ8" t="s">
        <v>870</v>
      </c>
      <c r="AO8" t="s">
        <v>12312</v>
      </c>
      <c r="AT8" t="s">
        <v>10925</v>
      </c>
      <c r="AY8" t="s">
        <v>9766</v>
      </c>
      <c r="BD8" t="s">
        <v>12764</v>
      </c>
      <c r="BS8" t="s">
        <v>11347</v>
      </c>
      <c r="BX8" t="s">
        <v>11296</v>
      </c>
      <c r="DQ8" t="s">
        <v>11188</v>
      </c>
      <c r="DV8" t="s">
        <v>11175</v>
      </c>
      <c r="EA8" t="s">
        <v>969</v>
      </c>
      <c r="EK8" t="s">
        <v>6320</v>
      </c>
      <c r="EP8" t="s">
        <v>10662</v>
      </c>
      <c r="EU8" t="s">
        <v>10996</v>
      </c>
      <c r="EZ8" t="s">
        <v>11430</v>
      </c>
      <c r="FO8" t="s">
        <v>487</v>
      </c>
      <c r="FY8" t="s">
        <v>11284</v>
      </c>
      <c r="GD8" t="s">
        <v>11821</v>
      </c>
      <c r="GS8" t="s">
        <v>10840</v>
      </c>
      <c r="GX8" t="s">
        <v>12348</v>
      </c>
      <c r="HC8" t="s">
        <v>874</v>
      </c>
      <c r="HH8" t="s">
        <v>1363</v>
      </c>
      <c r="IQ8" t="s">
        <v>10976</v>
      </c>
      <c r="JU8" t="s">
        <v>11283</v>
      </c>
      <c r="JZ8" t="s">
        <v>11010</v>
      </c>
      <c r="KT8" t="s">
        <v>12298</v>
      </c>
      <c r="KY8" t="s">
        <v>11468</v>
      </c>
      <c r="LD8" t="s">
        <v>43</v>
      </c>
      <c r="LS8" t="s">
        <v>155</v>
      </c>
      <c r="LX8" t="s">
        <v>2968</v>
      </c>
      <c r="MC8" t="s">
        <v>12540</v>
      </c>
      <c r="MH8" t="s">
        <v>11597</v>
      </c>
      <c r="MM8" t="s">
        <v>12131</v>
      </c>
      <c r="MR8" t="s">
        <v>12070</v>
      </c>
    </row>
    <row r="9" spans="1:396" x14ac:dyDescent="0.25">
      <c r="A9" t="s">
        <v>11038</v>
      </c>
      <c r="F9" t="s">
        <v>12125</v>
      </c>
      <c r="AE9" t="s">
        <v>12414</v>
      </c>
      <c r="AJ9" t="s">
        <v>44</v>
      </c>
      <c r="AO9" t="s">
        <v>8455</v>
      </c>
      <c r="AT9" t="s">
        <v>12442</v>
      </c>
      <c r="AY9" t="s">
        <v>790</v>
      </c>
      <c r="BD9" t="s">
        <v>12765</v>
      </c>
      <c r="BS9" t="s">
        <v>11348</v>
      </c>
      <c r="BX9" t="s">
        <v>10775</v>
      </c>
      <c r="DQ9" t="s">
        <v>10820</v>
      </c>
      <c r="EA9" t="s">
        <v>11575</v>
      </c>
      <c r="EK9" t="s">
        <v>1654</v>
      </c>
      <c r="EP9" t="s">
        <v>10663</v>
      </c>
      <c r="EU9" t="s">
        <v>11454</v>
      </c>
      <c r="EZ9" t="s">
        <v>11431</v>
      </c>
      <c r="FO9" t="s">
        <v>4307</v>
      </c>
      <c r="FY9" t="s">
        <v>2111</v>
      </c>
      <c r="GD9" t="s">
        <v>10787</v>
      </c>
      <c r="GS9" t="s">
        <v>10838</v>
      </c>
      <c r="GX9" t="s">
        <v>12349</v>
      </c>
      <c r="HC9" t="s">
        <v>11584</v>
      </c>
      <c r="HH9" t="s">
        <v>10939</v>
      </c>
      <c r="IQ9" t="s">
        <v>10829</v>
      </c>
      <c r="JU9" t="s">
        <v>11139</v>
      </c>
      <c r="JZ9" t="s">
        <v>10660</v>
      </c>
      <c r="KY9" t="s">
        <v>11159</v>
      </c>
      <c r="LD9" t="s">
        <v>11467</v>
      </c>
      <c r="LS9" t="s">
        <v>5592</v>
      </c>
      <c r="LX9" t="s">
        <v>667</v>
      </c>
      <c r="MC9" t="s">
        <v>12541</v>
      </c>
      <c r="MH9" t="s">
        <v>11810</v>
      </c>
      <c r="MM9" t="s">
        <v>11849</v>
      </c>
      <c r="MR9" t="s">
        <v>11312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5283</v>
      </c>
      <c r="K1" s="1" t="s">
        <v>5284</v>
      </c>
      <c r="U1" s="1" t="s">
        <v>5285</v>
      </c>
      <c r="AE1" s="1" t="s">
        <v>5286</v>
      </c>
      <c r="AO1" s="1" t="s">
        <v>5287</v>
      </c>
      <c r="AY1" s="1" t="s">
        <v>5288</v>
      </c>
      <c r="BI1" s="1" t="s">
        <v>5289</v>
      </c>
      <c r="BS1" s="1" t="s">
        <v>5290</v>
      </c>
      <c r="CC1" s="1" t="s">
        <v>5291</v>
      </c>
      <c r="CM1" s="1" t="s">
        <v>5292</v>
      </c>
      <c r="CW1" s="1" t="s">
        <v>5293</v>
      </c>
      <c r="DG1" s="1" t="s">
        <v>5294</v>
      </c>
      <c r="DQ1" s="1" t="s">
        <v>5295</v>
      </c>
      <c r="EA1" s="1" t="s">
        <v>5296</v>
      </c>
      <c r="EK1" s="1" t="s">
        <v>5297</v>
      </c>
      <c r="EU1" s="1" t="s">
        <v>5298</v>
      </c>
      <c r="FE1" s="1" t="s">
        <v>5299</v>
      </c>
      <c r="FO1" s="1" t="s">
        <v>5300</v>
      </c>
      <c r="FY1" s="1" t="s">
        <v>5301</v>
      </c>
      <c r="GI1" s="1" t="s">
        <v>5302</v>
      </c>
      <c r="GS1" s="1" t="s">
        <v>5303</v>
      </c>
      <c r="HC1" s="1" t="s">
        <v>5304</v>
      </c>
      <c r="HM1" s="1" t="s">
        <v>5305</v>
      </c>
      <c r="HW1" s="1" t="s">
        <v>5306</v>
      </c>
      <c r="IG1" s="1" t="s">
        <v>5307</v>
      </c>
      <c r="IQ1" s="1" t="s">
        <v>5308</v>
      </c>
      <c r="JA1" s="1" t="s">
        <v>5309</v>
      </c>
      <c r="JK1" s="1" t="s">
        <v>5310</v>
      </c>
      <c r="JU1" s="1" t="s">
        <v>5311</v>
      </c>
      <c r="KE1" s="1" t="s">
        <v>5312</v>
      </c>
      <c r="KO1" s="1" t="s">
        <v>5313</v>
      </c>
      <c r="KY1" s="1" t="s">
        <v>5314</v>
      </c>
      <c r="LI1" s="1" t="s">
        <v>5315</v>
      </c>
      <c r="LS1" s="1" t="s">
        <v>5316</v>
      </c>
      <c r="MC1" s="1" t="s">
        <v>5317</v>
      </c>
      <c r="MM1" s="1" t="s">
        <v>5318</v>
      </c>
      <c r="MW1" s="1" t="s">
        <v>5319</v>
      </c>
      <c r="NG1" s="1" t="s">
        <v>5320</v>
      </c>
      <c r="NQ1" s="1" t="s">
        <v>5321</v>
      </c>
      <c r="OA1" s="1" t="s">
        <v>5322</v>
      </c>
    </row>
    <row r="2" spans="1:396" x14ac:dyDescent="0.25">
      <c r="A2" s="2" t="s">
        <v>387</v>
      </c>
      <c r="K2" s="2" t="s">
        <v>1075</v>
      </c>
      <c r="U2" s="2" t="s">
        <v>5323</v>
      </c>
      <c r="AE2" s="2" t="s">
        <v>5324</v>
      </c>
      <c r="AO2" s="2" t="s">
        <v>44</v>
      </c>
      <c r="AY2" s="2" t="s">
        <v>3347</v>
      </c>
      <c r="BI2" s="2" t="s">
        <v>1926</v>
      </c>
      <c r="BS2" s="2" t="s">
        <v>5325</v>
      </c>
      <c r="CC2" s="2" t="s">
        <v>4996</v>
      </c>
      <c r="CM2" s="2" t="s">
        <v>167</v>
      </c>
      <c r="CW2" s="2" t="s">
        <v>5326</v>
      </c>
      <c r="DG2" s="2" t="s">
        <v>5327</v>
      </c>
      <c r="DQ2" s="2" t="s">
        <v>5328</v>
      </c>
      <c r="EA2" s="2" t="s">
        <v>55</v>
      </c>
      <c r="EK2" s="2" t="s">
        <v>5329</v>
      </c>
      <c r="EU2" s="2" t="s">
        <v>5330</v>
      </c>
      <c r="FE2" s="2" t="s">
        <v>5331</v>
      </c>
      <c r="FO2" s="2" t="s">
        <v>2403</v>
      </c>
      <c r="FY2" s="2" t="s">
        <v>5332</v>
      </c>
      <c r="GI2" s="2" t="s">
        <v>66</v>
      </c>
      <c r="GS2" s="2" t="s">
        <v>5333</v>
      </c>
      <c r="HC2" s="2" t="s">
        <v>1354</v>
      </c>
      <c r="HM2" s="2" t="s">
        <v>3620</v>
      </c>
      <c r="HW2" s="2" t="s">
        <v>167</v>
      </c>
      <c r="IG2" s="2" t="s">
        <v>5071</v>
      </c>
      <c r="IQ2" s="2" t="s">
        <v>2315</v>
      </c>
      <c r="JA2" s="2" t="s">
        <v>5334</v>
      </c>
      <c r="JK2" s="2" t="s">
        <v>586</v>
      </c>
      <c r="JU2" s="2" t="s">
        <v>4395</v>
      </c>
      <c r="KE2" s="2" t="s">
        <v>5335</v>
      </c>
      <c r="KO2" s="2" t="s">
        <v>5336</v>
      </c>
      <c r="KY2" s="2" t="s">
        <v>2127</v>
      </c>
      <c r="LI2" s="2" t="s">
        <v>5337</v>
      </c>
      <c r="LS2" s="2" t="s">
        <v>5338</v>
      </c>
      <c r="MC2" s="2" t="s">
        <v>2781</v>
      </c>
      <c r="MM2" s="2" t="s">
        <v>3954</v>
      </c>
      <c r="MW2" s="2" t="s">
        <v>3617</v>
      </c>
      <c r="NG2" s="2" t="s">
        <v>5339</v>
      </c>
      <c r="NQ2" s="2" t="s">
        <v>5164</v>
      </c>
      <c r="OA2" s="2" t="s">
        <v>171</v>
      </c>
    </row>
    <row r="3" spans="1:396" x14ac:dyDescent="0.25">
      <c r="A3" t="s">
        <v>5102</v>
      </c>
      <c r="K3" t="s">
        <v>4924</v>
      </c>
      <c r="U3" t="s">
        <v>5340</v>
      </c>
      <c r="AE3" t="s">
        <v>5341</v>
      </c>
      <c r="AO3" t="s">
        <v>5342</v>
      </c>
      <c r="AY3" t="s">
        <v>5343</v>
      </c>
      <c r="BI3" t="s">
        <v>5344</v>
      </c>
      <c r="BS3" t="s">
        <v>993</v>
      </c>
      <c r="CC3" t="s">
        <v>5345</v>
      </c>
      <c r="CM3" t="s">
        <v>1399</v>
      </c>
      <c r="CW3" t="s">
        <v>5346</v>
      </c>
      <c r="DG3" t="s">
        <v>5347</v>
      </c>
      <c r="DQ3" t="s">
        <v>5348</v>
      </c>
      <c r="EA3" t="s">
        <v>5349</v>
      </c>
      <c r="EK3" t="s">
        <v>2628</v>
      </c>
      <c r="EU3" t="s">
        <v>72</v>
      </c>
      <c r="FE3" t="s">
        <v>5261</v>
      </c>
      <c r="FO3" t="s">
        <v>5350</v>
      </c>
      <c r="FY3" t="s">
        <v>5351</v>
      </c>
      <c r="GI3" t="s">
        <v>5352</v>
      </c>
      <c r="GS3" t="s">
        <v>5353</v>
      </c>
      <c r="HC3" t="s">
        <v>5354</v>
      </c>
      <c r="HM3" t="s">
        <v>5355</v>
      </c>
      <c r="HW3" t="s">
        <v>5091</v>
      </c>
      <c r="IG3" t="s">
        <v>5356</v>
      </c>
      <c r="IQ3" t="s">
        <v>5357</v>
      </c>
      <c r="JA3" t="s">
        <v>1182</v>
      </c>
      <c r="JK3" t="s">
        <v>5358</v>
      </c>
      <c r="JU3" t="s">
        <v>5359</v>
      </c>
      <c r="KE3" t="s">
        <v>5360</v>
      </c>
      <c r="KO3" t="s">
        <v>5361</v>
      </c>
      <c r="KY3" t="s">
        <v>4757</v>
      </c>
      <c r="LI3" t="s">
        <v>5362</v>
      </c>
      <c r="LS3" t="s">
        <v>5342</v>
      </c>
      <c r="MC3" t="s">
        <v>5363</v>
      </c>
      <c r="MM3" t="s">
        <v>5364</v>
      </c>
      <c r="MW3" t="s">
        <v>707</v>
      </c>
      <c r="NG3" t="s">
        <v>1283</v>
      </c>
      <c r="NQ3" t="s">
        <v>5365</v>
      </c>
      <c r="OA3" t="s">
        <v>5366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_xll.BDS("DHR US Equity","SUPPLY_CHAIN_SUPPLIERS","RELATIONSHIP_AS_OF_DATE","20000504","cols=1;rows=5")</f>
        <v>FLEX US Equity</v>
      </c>
      <c r="F5" t="str">
        <f>_xll.BDS("DHR US Equity","SUPPLY_CHAIN_CUSTOMERS","RELATIONSHIP_AS_OF_DATE","20000504","cols=1;rows=5")</f>
        <v>CDW US Equity</v>
      </c>
      <c r="K5" t="str">
        <f>_xll.BDS("AA US Equity","SUPPLY_CHAIN_SUPPLIERS","RELATIONSHIP_AS_OF_DATE","20000413","cols=1;rows=5")</f>
        <v>MAADEN AB Equity</v>
      </c>
      <c r="P5" t="str">
        <f>_xll.BDS("AA US Equity","SUPPLY_CHAIN_CUSTOMERS","RELATIONSHIP_AS_OF_DATE","20000413","cols=1;rows=5")</f>
        <v>MAADEN AB Equity</v>
      </c>
      <c r="U5" t="str">
        <f>_xll.BDS("BCIC US Equity","SUPPLY_CHAIN_SUPPLIERS","RELATIONSHIP_AS_OF_DATE","20200624")</f>
        <v>#N/A N/A</v>
      </c>
      <c r="Z5" t="str">
        <f>_xll.BDS("BCIC US Equity","SUPPLY_CHAIN_CUSTOMERS","RELATIONSHIP_AS_OF_DATE","20200624")</f>
        <v>#N/A N/A</v>
      </c>
      <c r="AE5" t="str">
        <f>_xll.BDS("ENRNQ US Equity","SUPPLY_CHAIN_SUPPLIERS","RELATIONSHIP_AS_OF_DATE","20001215")</f>
        <v>ITT US Equity</v>
      </c>
      <c r="AJ5" t="str">
        <f>_xll.BDS("ENRNQ US Equity","SUPPLY_CHAIN_CUSTOMERS","RELATIONSHIP_AS_OF_DATE","20001215")</f>
        <v>#N/A N/A</v>
      </c>
      <c r="AO5" t="str">
        <f>_xll.BDS("PFE US Equity","SUPPLY_CHAIN_SUPPLIERS","RELATIONSHIP_AS_OF_DATE","20080220","cols=1;rows=5")</f>
        <v>BNTX US Equity</v>
      </c>
      <c r="AT5" t="str">
        <f>_xll.BDS("PFE US Equity","SUPPLY_CHAIN_CUSTOMERS","RELATIONSHIP_AS_OF_DATE","20080220","cols=1;rows=5")</f>
        <v>MCK US Equity</v>
      </c>
      <c r="AY5" t="str">
        <f>_xll.BDS("CNX US Equity","SUPPLY_CHAIN_SUPPLIERS","RELATIONSHIP_AS_OF_DATE","20200727","cols=1;rows=3")</f>
        <v>SLB US Equity</v>
      </c>
      <c r="BD5" t="str">
        <f>_xll.BDS("CNX US Equity","SUPPLY_CHAIN_CUSTOMERS","RELATIONSHIP_AS_OF_DATE","20200727","cols=1;rows=4")</f>
        <v>2348512D US Equity</v>
      </c>
      <c r="BI5" t="str">
        <f>_xll.BDS("9876567D US Equity","SUPPLY_CHAIN_SUPPLIERS","RELATIONSHIP_AS_OF_DATE","19980219")</f>
        <v>#N/A N/A</v>
      </c>
      <c r="BN5" t="str">
        <f>_xll.BDS("9876567D US Equity","SUPPLY_CHAIN_CUSTOMERS","RELATIONSHIP_AS_OF_DATE","19980219")</f>
        <v>#N/A N/A</v>
      </c>
      <c r="BS5" t="str">
        <f>_xll.BDS("DCO US Equity","SUPPLY_CHAIN_SUPPLIERS","RELATIONSHIP_AS_OF_DATE","20110404","cols=1;rows=5")</f>
        <v>RS US Equity</v>
      </c>
      <c r="BX5" t="str">
        <f>_xll.BDS("DCO US Equity","SUPPLY_CHAIN_CUSTOMERS","RELATIONSHIP_AS_OF_DATE","20110404","cols=1;rows=5")</f>
        <v>VSAT US Equity</v>
      </c>
      <c r="CC5" t="str">
        <f>_xll.BDS("PBI US Equity","SUPPLY_CHAIN_SUPPLIERS","RELATIONSHIP_AS_OF_DATE","20150505","cols=1;rows=5")</f>
        <v>XPO US Equity</v>
      </c>
      <c r="CH5" t="str">
        <f>_xll.BDS("PBI US Equity","SUPPLY_CHAIN_CUSTOMERS","RELATIONSHIP_AS_OF_DATE","20150505","cols=1;rows=5")</f>
        <v>0228856Z US Equity</v>
      </c>
      <c r="CM5" t="str">
        <f>_xll.BDS("ABT US Equity","SUPPLY_CHAIN_SUPPLIERS","RELATIONSHIP_AS_OF_DATE","20031215","cols=1;rows=5")</f>
        <v>MSFT US Equity</v>
      </c>
      <c r="CR5" t="str">
        <f>_xll.BDS("ABT US Equity","SUPPLY_CHAIN_CUSTOMERS","RELATIONSHIP_AS_OF_DATE","20031215","cols=1;rows=5")</f>
        <v>SNX US Equity</v>
      </c>
      <c r="CW5" t="str">
        <f>_xll.BDS("PLRE US Equity","SUPPLY_CHAIN_SUPPLIERS","RELATIONSHIP_AS_OF_DATE","20010321")</f>
        <v>#N/A N/A</v>
      </c>
      <c r="DB5" t="str">
        <f>_xll.BDS("PLRE US Equity","SUPPLY_CHAIN_CUSTOMERS","RELATIONSHIP_AS_OF_DATE","20010321")</f>
        <v>#N/A N/A</v>
      </c>
      <c r="DG5" t="str">
        <f>_xll.BDS("FNVG US Equity","SUPPLY_CHAIN_SUPPLIERS","RELATIONSHIP_AS_OF_DATE","19990107")</f>
        <v>#N/A N/A</v>
      </c>
      <c r="DL5" t="str">
        <f>_xll.BDS("FNVG US Equity","SUPPLY_CHAIN_CUSTOMERS","RELATIONSHIP_AS_OF_DATE","19990107")</f>
        <v>#N/A N/A</v>
      </c>
      <c r="DQ5" t="str">
        <f>_xll.BDS("OAK US Equity","SUPPLY_CHAIN_SUPPLIERS","RELATIONSHIP_AS_OF_DATE","20170714")</f>
        <v>#N/A N/A</v>
      </c>
      <c r="DV5" t="str">
        <f>_xll.BDS("OAK US Equity","SUPPLY_CHAIN_CUSTOMERS","RELATIONSHIP_AS_OF_DATE","20170714")</f>
        <v>#N/A N/A</v>
      </c>
      <c r="EA5" t="str">
        <f>_xll.BDS("AGN US Equity","SUPPLY_CHAIN_SUPPLIERS","RELATIONSHIP_AS_OF_DATE","19981025","cols=1;rows=5")</f>
        <v>AEE US Equity</v>
      </c>
      <c r="EF5" t="str">
        <f>_xll.BDS("AGN US Equity","SUPPLY_CHAIN_CUSTOMERS","RELATIONSHIP_AS_OF_DATE","19981025")</f>
        <v>4569 JP Equity</v>
      </c>
      <c r="EK5" t="str">
        <f>_xll.BDS("LII US Equity","SUPPLY_CHAIN_SUPPLIERS","RELATIONSHIP_AS_OF_DATE","19991027","cols=1;rows=5")</f>
        <v>BHE US Equity</v>
      </c>
      <c r="EP5" t="str">
        <f>_xll.BDS("LII US Equity","SUPPLY_CHAIN_CUSTOMERS","RELATIONSHIP_AS_OF_DATE","19991027","cols=1;rows=5")</f>
        <v>WSO US Equity</v>
      </c>
      <c r="EU5" t="str">
        <f>_xll.BDS("TSFG US Equity","SUPPLY_CHAIN_SUPPLIERS","RELATIONSHIP_AS_OF_DATE","20000110")</f>
        <v>#N/A N/A</v>
      </c>
      <c r="EZ5" t="str">
        <f>_xll.BDS("TSFG US Equity","SUPPLY_CHAIN_CUSTOMERS","RELATIONSHIP_AS_OF_DATE","20000110")</f>
        <v>#N/A N/A</v>
      </c>
      <c r="FE5" t="str">
        <f>_xll.BDS("TPP US Equity","SUPPLY_CHAIN_SUPPLIERS","RELATIONSHIP_AS_OF_DATE","20000316")</f>
        <v>CLMT US Equity</v>
      </c>
      <c r="FJ5" t="str">
        <f>_xll.BDS("TPP US Equity","SUPPLY_CHAIN_CUSTOMERS","RELATIONSHIP_AS_OF_DATE","20000316")</f>
        <v>#N/A N/A</v>
      </c>
      <c r="FO5" t="str">
        <f>_xll.BDS("SOGCQ US Equity","SUPPLY_CHAIN_SUPPLIERS","RELATIONSHIP_AS_OF_DATE","20040523")</f>
        <v>#N/A N/A</v>
      </c>
      <c r="FT5" t="str">
        <f>_xll.BDS("SOGCQ US Equity","SUPPLY_CHAIN_CUSTOMERS","RELATIONSHIP_AS_OF_DATE","20040523")</f>
        <v>#N/A N/A</v>
      </c>
      <c r="FY5" t="str">
        <f>_xll.BDS("NVEE US Equity","SUPPLY_CHAIN_SUPPLIERS","RELATIONSHIP_AS_OF_DATE","20191107")</f>
        <v>HEXAB SS Equity</v>
      </c>
      <c r="GD5" t="str">
        <f>_xll.BDS("NVEE US Equity","SUPPLY_CHAIN_CUSTOMERS","RELATIONSHIP_AS_OF_DATE","20191107","cols=1;rows=5")</f>
        <v>0009844D US Equity</v>
      </c>
      <c r="GI5" t="str">
        <f>_xll.BDS("MDT US Equity","SUPPLY_CHAIN_SUPPLIERS","RELATIONSHIP_AS_OF_DATE","20100429","cols=1;rows=5")</f>
        <v>FLEX US Equity</v>
      </c>
      <c r="GN5" t="str">
        <f>_xll.BDS("MDT US Equity","SUPPLY_CHAIN_CUSTOMERS","RELATIONSHIP_AS_OF_DATE","20100429","cols=1;rows=5")</f>
        <v>4104 TT Equity</v>
      </c>
      <c r="GS5" t="str">
        <f>_xll.BDS("CMTY US Equity","SUPPLY_CHAIN_SUPPLIERS","RELATIONSHIP_AS_OF_DATE","20041116")</f>
        <v>#N/A N/A</v>
      </c>
      <c r="GX5" t="str">
        <f>_xll.BDS("CMTY US Equity","SUPPLY_CHAIN_CUSTOMERS","RELATIONSHIP_AS_OF_DATE","20041116")</f>
        <v>#N/A N/A</v>
      </c>
      <c r="HC5" t="str">
        <f>_xll.BDS("RRC US Equity","SUPPLY_CHAIN_SUPPLIERS","RELATIONSHIP_AS_OF_DATE","19980512","cols=1;rows=3")</f>
        <v>PFIE US Equity</v>
      </c>
      <c r="HH5" t="str">
        <f>_xll.BDS("RRC US Equity","SUPPLY_CHAIN_CUSTOMERS","RELATIONSHIP_AS_OF_DATE","19980512")</f>
        <v>#N/A N/A</v>
      </c>
      <c r="HM5" t="str">
        <f>_xll.BDS("VLY US Equity","SUPPLY_CHAIN_SUPPLIERS","RELATIONSHIP_AS_OF_DATE","20140508","cols=1;rows=2")</f>
        <v>VNO US Equity</v>
      </c>
      <c r="HR5" t="str">
        <f>_xll.BDS("VLY US Equity","SUPPLY_CHAIN_CUSTOMERS","RELATIONSHIP_AS_OF_DATE","20140508")</f>
        <v>#N/A N/A</v>
      </c>
      <c r="HW5" t="str">
        <f>_xll.BDS("ABT US Equity","SUPPLY_CHAIN_SUPPLIERS","RELATIONSHIP_AS_OF_DATE","20011024","cols=1;rows=5")</f>
        <v>MSFT US Equity</v>
      </c>
      <c r="IB5" t="str">
        <f>_xll.BDS("ABT US Equity","SUPPLY_CHAIN_CUSTOMERS","RELATIONSHIP_AS_OF_DATE","20011024","cols=1;rows=5")</f>
        <v>SNX US Equity</v>
      </c>
      <c r="IG5" t="str">
        <f>_xll.BDS("NUAN US Equity","SUPPLY_CHAIN_SUPPLIERS","RELATIONSHIP_AS_OF_DATE","20120307")</f>
        <v>#N/A N/A</v>
      </c>
      <c r="IL5" t="str">
        <f>_xll.BDS("NUAN US Equity","SUPPLY_CHAIN_CUSTOMERS","RELATIONSHIP_AS_OF_DATE","20120307")</f>
        <v>#N/A N/A</v>
      </c>
      <c r="IQ5" t="str">
        <f>_xll.BDS("VFC US Equity","SUPPLY_CHAIN_SUPPLIERS","RELATIONSHIP_AS_OF_DATE","20040427","cols=1;rows=5")</f>
        <v>300979 CH Equity</v>
      </c>
      <c r="IV5" t="str">
        <f>_xll.BDS("VFC US Equity","SUPPLY_CHAIN_CUSTOMERS","RELATIONSHIP_AS_OF_DATE","20040427","cols=1;rows=5")</f>
        <v>JD/ LN Equity</v>
      </c>
      <c r="JA5" t="str">
        <f>_xll.BDS("SITEQ US Equity","SUPPLY_CHAIN_SUPPLIERS","RELATIONSHIP_AS_OF_DATE","19990517")</f>
        <v>#N/A N/A</v>
      </c>
      <c r="JF5" t="str">
        <f>_xll.BDS("SITEQ US Equity","SUPPLY_CHAIN_CUSTOMERS","RELATIONSHIP_AS_OF_DATE","19990517")</f>
        <v>#N/A N/A</v>
      </c>
      <c r="JK5" t="str">
        <f>_xll.BDS("MCHP US Equity","SUPPLY_CHAIN_SUPPLIERS","RELATIONSHIP_AS_OF_DATE","20001027","cols=1;rows=5")</f>
        <v>GFS US Equity</v>
      </c>
      <c r="JP5" t="str">
        <f>_xll.BDS("MCHP US Equity","SUPPLY_CHAIN_CUSTOMERS","RELATIONSHIP_AS_OF_DATE","20001027","cols=1;rows=5")</f>
        <v>ARW US Equity</v>
      </c>
      <c r="JU5" t="str">
        <f>_xll.BDS("WSBC US Equity","SUPPLY_CHAIN_SUPPLIERS","RELATIONSHIP_AS_OF_DATE","20141029")</f>
        <v>#N/A N/A</v>
      </c>
      <c r="JZ5" t="str">
        <f>_xll.BDS("WSBC US Equity","SUPPLY_CHAIN_CUSTOMERS","RELATIONSHIP_AS_OF_DATE","20141029","cols=1;rows=2")</f>
        <v>NINE CN Equity</v>
      </c>
      <c r="KE5" t="str">
        <f>_xll.BDS("2502261D US Equity","SUPPLY_CHAIN_SUPPLIERS","RELATIONSHIP_AS_OF_DATE","20040629")</f>
        <v>#N/A N/A</v>
      </c>
      <c r="KJ5" t="str">
        <f>_xll.BDS("2502261D US Equity","SUPPLY_CHAIN_CUSTOMERS","RELATIONSHIP_AS_OF_DATE","20040629")</f>
        <v>#N/A N/A</v>
      </c>
      <c r="KO5" t="str">
        <f>_xll.BDS("AFG US Equity","SUPPLY_CHAIN_SUPPLIERS","RELATIONSHIP_AS_OF_DATE","20160708")</f>
        <v>INFA US Equity</v>
      </c>
      <c r="KT5" t="str">
        <f>_xll.BDS("AFG US Equity","SUPPLY_CHAIN_CUSTOMERS","RELATIONSHIP_AS_OF_DATE","20160708")</f>
        <v>#N/A N/A</v>
      </c>
      <c r="KY5" t="str">
        <f>_xll.BDS("DFODQ US Equity","SUPPLY_CHAIN_SUPPLIERS","RELATIONSHIP_AS_OF_DATE","19980115","cols=1;rows=5")</f>
        <v>AEE US Equity</v>
      </c>
      <c r="LD5" t="str">
        <f>_xll.BDS("DFODQ US Equity","SUPPLY_CHAIN_CUSTOMERS","RELATIONSHIP_AS_OF_DATE","19980115")</f>
        <v>#N/A N/A</v>
      </c>
      <c r="LI5" t="str">
        <f>_xll.BDS("CBU US Equity","SUPPLY_CHAIN_SUPPLIERS","RELATIONSHIP_AS_OF_DATE","20161024")</f>
        <v>#N/A N/A</v>
      </c>
      <c r="LN5" t="str">
        <f>_xll.BDS("CBU US Equity","SUPPLY_CHAIN_CUSTOMERS","RELATIONSHIP_AS_OF_DATE","20161024")</f>
        <v>#N/A N/A</v>
      </c>
      <c r="LS5" t="str">
        <f>_xll.BDS("1849855D US Equity","SUPPLY_CHAIN_SUPPLIERS","RELATIONSHIP_AS_OF_DATE","20080220")</f>
        <v>#N/A N/A</v>
      </c>
      <c r="LX5" t="str">
        <f>_xll.BDS("1849855D US Equity","SUPPLY_CHAIN_CUSTOMERS","RELATIONSHIP_AS_OF_DATE","20080220")</f>
        <v>#N/A N/A</v>
      </c>
      <c r="MC5" t="str">
        <f>_xll.BDS("EXE US Equity","SUPPLY_CHAIN_SUPPLIERS","RELATIONSHIP_AS_OF_DATE","20110415","cols=1;rows=5")</f>
        <v>PRIM US Equity</v>
      </c>
      <c r="MH5" t="str">
        <f>_xll.BDS("EXE US Equity","SUPPLY_CHAIN_CUSTOMERS","RELATIONSHIP_AS_OF_DATE","20110415","cols=1;rows=3")</f>
        <v>37895Z CY Equity</v>
      </c>
      <c r="MM5" t="str">
        <f>_xll.BDS("2674129Q US Equity","SUPPLY_CHAIN_SUPPLIERS","RELATIONSHIP_AS_OF_DATE","20040108")</f>
        <v>#N/A N/A</v>
      </c>
      <c r="MR5" t="str">
        <f>_xll.BDS("2674129Q US Equity","SUPPLY_CHAIN_CUSTOMERS","RELATIONSHIP_AS_OF_DATE","20040108")</f>
        <v>#N/A N/A</v>
      </c>
      <c r="MW5" t="str">
        <f>_xll.BDS("540513Q US Equity","SUPPLY_CHAIN_SUPPLIERS","RELATIONSHIP_AS_OF_DATE","19980720")</f>
        <v>#N/A N/A</v>
      </c>
      <c r="NB5" t="str">
        <f>_xll.BDS("540513Q US Equity","SUPPLY_CHAIN_CUSTOMERS","RELATIONSHIP_AS_OF_DATE","19980720")</f>
        <v>#N/A N/A</v>
      </c>
      <c r="NG5" t="str">
        <f>_xll.BDS("FBNC US Equity","SUPPLY_CHAIN_SUPPLIERS","RELATIONSHIP_AS_OF_DATE","20210601")</f>
        <v>#N/A N/A</v>
      </c>
      <c r="NL5" t="str">
        <f>_xll.BDS("FBNC US Equity","SUPPLY_CHAIN_CUSTOMERS","RELATIONSHIP_AS_OF_DATE","20210601")</f>
        <v>#N/A N/A</v>
      </c>
      <c r="NQ5" t="str">
        <f>_xll.BDS("3122066Q US Equity","SUPPLY_CHAIN_SUPPLIERS","RELATIONSHIP_AS_OF_DATE","20040301")</f>
        <v>#N/A N/A</v>
      </c>
      <c r="NV5" t="str">
        <f>_xll.BDS("3122066Q US Equity","SUPPLY_CHAIN_CUSTOMERS","RELATIONSHIP_AS_OF_DATE","20040301")</f>
        <v>#N/A N/A</v>
      </c>
      <c r="OA5" t="str">
        <f>_xll.BDS("ORCL US Equity","SUPPLY_CHAIN_SUPPLIERS","RELATIONSHIP_AS_OF_DATE","20070515","cols=1;rows=5")</f>
        <v>NVDA US Equity</v>
      </c>
      <c r="OF5" t="str">
        <f>_xll.BDS("ORCL US Equity","SUPPLY_CHAIN_CUSTOMERS","RELATIONSHIP_AS_OF_DATE","20070515","cols=1;rows=5")</f>
        <v>ACN US Equity</v>
      </c>
    </row>
    <row r="6" spans="1:396" x14ac:dyDescent="0.25">
      <c r="A6" t="s">
        <v>10735</v>
      </c>
      <c r="F6" t="s">
        <v>2881</v>
      </c>
      <c r="K6" t="s">
        <v>12250</v>
      </c>
      <c r="P6" t="s">
        <v>12161</v>
      </c>
      <c r="AO6" t="s">
        <v>171</v>
      </c>
      <c r="AT6" t="s">
        <v>1468</v>
      </c>
      <c r="AY6" t="s">
        <v>12382</v>
      </c>
      <c r="BD6" t="s">
        <v>1359</v>
      </c>
      <c r="BS6" t="s">
        <v>12526</v>
      </c>
      <c r="BX6" t="s">
        <v>12294</v>
      </c>
      <c r="CC6" t="s">
        <v>12067</v>
      </c>
      <c r="CH6" t="s">
        <v>11820</v>
      </c>
      <c r="CM6" t="s">
        <v>10838</v>
      </c>
      <c r="CR6" t="s">
        <v>6626</v>
      </c>
      <c r="EA6" t="s">
        <v>10696</v>
      </c>
      <c r="EK6" t="s">
        <v>11194</v>
      </c>
      <c r="EP6" t="s">
        <v>3239</v>
      </c>
      <c r="GD6" t="s">
        <v>11825</v>
      </c>
      <c r="GI6" t="s">
        <v>11060</v>
      </c>
      <c r="GN6" t="s">
        <v>11016</v>
      </c>
      <c r="HC6" t="s">
        <v>7835</v>
      </c>
      <c r="HM6" t="s">
        <v>3162</v>
      </c>
      <c r="HW6" t="s">
        <v>10838</v>
      </c>
      <c r="IB6" t="s">
        <v>6626</v>
      </c>
      <c r="IQ6" t="s">
        <v>10838</v>
      </c>
      <c r="IV6" t="s">
        <v>10676</v>
      </c>
      <c r="JK6" t="s">
        <v>11203</v>
      </c>
      <c r="JP6" t="s">
        <v>10659</v>
      </c>
      <c r="JZ6" t="s">
        <v>11320</v>
      </c>
      <c r="KY6" t="s">
        <v>10696</v>
      </c>
      <c r="MC6" t="s">
        <v>4211</v>
      </c>
      <c r="MH6" t="s">
        <v>11540</v>
      </c>
      <c r="OA6" t="s">
        <v>162</v>
      </c>
      <c r="OF6" t="s">
        <v>469</v>
      </c>
    </row>
    <row r="7" spans="1:396" x14ac:dyDescent="0.25">
      <c r="A7" t="s">
        <v>273</v>
      </c>
      <c r="F7" t="s">
        <v>10661</v>
      </c>
      <c r="K7" t="s">
        <v>12204</v>
      </c>
      <c r="P7" t="s">
        <v>12162</v>
      </c>
      <c r="AO7" t="s">
        <v>10816</v>
      </c>
      <c r="AT7" t="s">
        <v>970</v>
      </c>
      <c r="AY7" t="s">
        <v>12383</v>
      </c>
      <c r="BD7" t="s">
        <v>11370</v>
      </c>
      <c r="BS7" t="s">
        <v>12527</v>
      </c>
      <c r="BX7" t="s">
        <v>667</v>
      </c>
      <c r="CC7" t="s">
        <v>12068</v>
      </c>
      <c r="CH7" t="s">
        <v>10657</v>
      </c>
      <c r="CM7" t="s">
        <v>10814</v>
      </c>
      <c r="CR7" t="s">
        <v>12013</v>
      </c>
      <c r="EA7" t="s">
        <v>1265</v>
      </c>
      <c r="EK7" t="s">
        <v>12400</v>
      </c>
      <c r="EP7" t="s">
        <v>11471</v>
      </c>
      <c r="GD7" t="s">
        <v>11826</v>
      </c>
      <c r="GI7" t="s">
        <v>10735</v>
      </c>
      <c r="GN7" t="s">
        <v>8926</v>
      </c>
      <c r="HC7" t="s">
        <v>12119</v>
      </c>
      <c r="HW7" t="s">
        <v>10814</v>
      </c>
      <c r="IB7" t="s">
        <v>12013</v>
      </c>
      <c r="IQ7" t="s">
        <v>10839</v>
      </c>
      <c r="IV7" t="s">
        <v>10774</v>
      </c>
      <c r="JK7" t="s">
        <v>3611</v>
      </c>
      <c r="JP7" t="s">
        <v>3519</v>
      </c>
      <c r="KY7" t="s">
        <v>158</v>
      </c>
      <c r="MC7" t="s">
        <v>11312</v>
      </c>
      <c r="MH7" t="s">
        <v>780</v>
      </c>
      <c r="OA7" t="s">
        <v>279</v>
      </c>
      <c r="OF7" t="s">
        <v>2881</v>
      </c>
    </row>
    <row r="8" spans="1:396" x14ac:dyDescent="0.25">
      <c r="A8" t="s">
        <v>6320</v>
      </c>
      <c r="F8" t="s">
        <v>10662</v>
      </c>
      <c r="K8" t="s">
        <v>772</v>
      </c>
      <c r="P8" t="s">
        <v>12163</v>
      </c>
      <c r="AO8" t="s">
        <v>43</v>
      </c>
      <c r="AT8" t="s">
        <v>43</v>
      </c>
      <c r="BD8" t="s">
        <v>11245</v>
      </c>
      <c r="BS8" t="s">
        <v>12528</v>
      </c>
      <c r="BX8" t="s">
        <v>10939</v>
      </c>
      <c r="CC8" t="s">
        <v>11284</v>
      </c>
      <c r="CH8" t="s">
        <v>11821</v>
      </c>
      <c r="CM8" t="s">
        <v>11414</v>
      </c>
      <c r="CR8" t="s">
        <v>12014</v>
      </c>
      <c r="EA8" t="s">
        <v>158</v>
      </c>
      <c r="EK8" t="s">
        <v>12401</v>
      </c>
      <c r="EP8" t="s">
        <v>12347</v>
      </c>
      <c r="GD8" t="s">
        <v>11827</v>
      </c>
      <c r="GI8" t="s">
        <v>3439</v>
      </c>
      <c r="GN8" t="s">
        <v>10140</v>
      </c>
      <c r="HW8" t="s">
        <v>11414</v>
      </c>
      <c r="IB8" t="s">
        <v>12014</v>
      </c>
      <c r="IQ8" t="s">
        <v>10840</v>
      </c>
      <c r="IV8" t="s">
        <v>10775</v>
      </c>
      <c r="JK8" t="s">
        <v>11094</v>
      </c>
      <c r="JP8" t="s">
        <v>11194</v>
      </c>
      <c r="KY8" t="s">
        <v>6710</v>
      </c>
      <c r="MC8" t="s">
        <v>11355</v>
      </c>
      <c r="OA8" t="s">
        <v>10818</v>
      </c>
      <c r="OF8" t="s">
        <v>52</v>
      </c>
    </row>
    <row r="9" spans="1:396" x14ac:dyDescent="0.25">
      <c r="A9" t="s">
        <v>1654</v>
      </c>
      <c r="F9" t="s">
        <v>10663</v>
      </c>
      <c r="K9" t="s">
        <v>10940</v>
      </c>
      <c r="P9" t="s">
        <v>12164</v>
      </c>
      <c r="AO9" t="s">
        <v>10817</v>
      </c>
      <c r="AT9" t="s">
        <v>10657</v>
      </c>
      <c r="BS9" t="s">
        <v>11086</v>
      </c>
      <c r="BX9" t="s">
        <v>10786</v>
      </c>
      <c r="CC9" t="s">
        <v>2111</v>
      </c>
      <c r="CH9" t="s">
        <v>10787</v>
      </c>
      <c r="CM9" t="s">
        <v>2509</v>
      </c>
      <c r="CR9" t="s">
        <v>12015</v>
      </c>
      <c r="EA9" t="s">
        <v>260</v>
      </c>
      <c r="EK9" t="s">
        <v>8602</v>
      </c>
      <c r="EP9" t="s">
        <v>469</v>
      </c>
      <c r="GD9" t="s">
        <v>11828</v>
      </c>
      <c r="GI9" t="s">
        <v>10806</v>
      </c>
      <c r="GN9" t="s">
        <v>10746</v>
      </c>
      <c r="HW9" t="s">
        <v>2509</v>
      </c>
      <c r="IB9" t="s">
        <v>12015</v>
      </c>
      <c r="IQ9" t="s">
        <v>10841</v>
      </c>
      <c r="IV9" t="s">
        <v>5070</v>
      </c>
      <c r="JK9" t="s">
        <v>4898</v>
      </c>
      <c r="JP9" t="s">
        <v>10688</v>
      </c>
      <c r="KY9" t="s">
        <v>693</v>
      </c>
      <c r="MC9" t="s">
        <v>11356</v>
      </c>
      <c r="OA9" t="s">
        <v>384</v>
      </c>
      <c r="OF9" t="s">
        <v>472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5367</v>
      </c>
      <c r="K1" s="1" t="s">
        <v>5368</v>
      </c>
      <c r="U1" s="1" t="s">
        <v>5369</v>
      </c>
      <c r="AE1" s="1" t="s">
        <v>5370</v>
      </c>
      <c r="AO1" s="1" t="s">
        <v>5371</v>
      </c>
      <c r="AY1" s="1" t="s">
        <v>5372</v>
      </c>
      <c r="BI1" s="1" t="s">
        <v>5373</v>
      </c>
      <c r="BS1" s="1" t="s">
        <v>5374</v>
      </c>
      <c r="CC1" s="1" t="s">
        <v>5375</v>
      </c>
      <c r="CM1" s="1" t="s">
        <v>5376</v>
      </c>
      <c r="CW1" s="1" t="s">
        <v>5377</v>
      </c>
      <c r="DG1" s="1" t="s">
        <v>5378</v>
      </c>
      <c r="DQ1" s="1" t="s">
        <v>5379</v>
      </c>
      <c r="EA1" s="1" t="s">
        <v>5380</v>
      </c>
      <c r="EK1" s="1" t="s">
        <v>5381</v>
      </c>
      <c r="EU1" s="1" t="s">
        <v>5382</v>
      </c>
      <c r="FE1" s="1" t="s">
        <v>5383</v>
      </c>
      <c r="FO1" s="1" t="s">
        <v>5384</v>
      </c>
      <c r="FY1" s="1" t="s">
        <v>5385</v>
      </c>
      <c r="GI1" s="1" t="s">
        <v>5386</v>
      </c>
      <c r="GS1" s="1" t="s">
        <v>5387</v>
      </c>
      <c r="HC1" s="1" t="s">
        <v>5388</v>
      </c>
      <c r="HM1" s="1" t="s">
        <v>5389</v>
      </c>
      <c r="HW1" s="1" t="s">
        <v>5390</v>
      </c>
      <c r="IG1" s="1" t="s">
        <v>5391</v>
      </c>
      <c r="IQ1" s="1" t="s">
        <v>5392</v>
      </c>
      <c r="JA1" s="1" t="s">
        <v>5393</v>
      </c>
      <c r="JK1" s="1" t="s">
        <v>5394</v>
      </c>
      <c r="JU1" s="1" t="s">
        <v>5395</v>
      </c>
      <c r="KE1" s="1" t="s">
        <v>5396</v>
      </c>
      <c r="KO1" s="1" t="s">
        <v>5397</v>
      </c>
      <c r="KY1" s="1" t="s">
        <v>5398</v>
      </c>
      <c r="LI1" s="1" t="s">
        <v>5399</v>
      </c>
      <c r="LS1" s="1" t="s">
        <v>5400</v>
      </c>
      <c r="MC1" s="1" t="s">
        <v>5401</v>
      </c>
      <c r="MM1" s="1" t="s">
        <v>5402</v>
      </c>
      <c r="MW1" s="1" t="s">
        <v>5403</v>
      </c>
      <c r="NG1" s="1" t="s">
        <v>5404</v>
      </c>
      <c r="NQ1" s="1" t="s">
        <v>5405</v>
      </c>
      <c r="OA1" s="1" t="s">
        <v>5406</v>
      </c>
    </row>
    <row r="2" spans="1:396" x14ac:dyDescent="0.25">
      <c r="A2" s="2" t="s">
        <v>1274</v>
      </c>
      <c r="K2" s="2" t="s">
        <v>5407</v>
      </c>
      <c r="U2" s="2" t="s">
        <v>5408</v>
      </c>
      <c r="AE2" s="2" t="s">
        <v>5409</v>
      </c>
      <c r="AO2" s="2" t="s">
        <v>1177</v>
      </c>
      <c r="AY2" s="2" t="s">
        <v>5410</v>
      </c>
      <c r="BI2" s="2" t="s">
        <v>2792</v>
      </c>
      <c r="BS2" s="2" t="s">
        <v>5411</v>
      </c>
      <c r="CC2" s="2" t="s">
        <v>5412</v>
      </c>
      <c r="CM2" s="2" t="s">
        <v>5413</v>
      </c>
      <c r="CW2" s="2" t="s">
        <v>1361</v>
      </c>
      <c r="DG2" s="2" t="s">
        <v>1753</v>
      </c>
      <c r="DQ2" s="2" t="s">
        <v>5414</v>
      </c>
      <c r="EA2" s="2" t="s">
        <v>3954</v>
      </c>
      <c r="EK2" s="2" t="s">
        <v>5415</v>
      </c>
      <c r="EU2" s="2" t="s">
        <v>1168</v>
      </c>
      <c r="FE2" s="2" t="s">
        <v>5416</v>
      </c>
      <c r="FO2" s="2" t="s">
        <v>5417</v>
      </c>
      <c r="FY2" s="2" t="s">
        <v>870</v>
      </c>
      <c r="GI2" s="2" t="s">
        <v>5418</v>
      </c>
      <c r="GS2" s="2" t="s">
        <v>5419</v>
      </c>
      <c r="HC2" s="2" t="s">
        <v>387</v>
      </c>
      <c r="HM2" s="2" t="s">
        <v>41</v>
      </c>
      <c r="HW2" s="2" t="s">
        <v>5420</v>
      </c>
      <c r="IG2" s="2" t="s">
        <v>56</v>
      </c>
      <c r="IQ2" s="2" t="s">
        <v>4655</v>
      </c>
      <c r="JA2" s="2" t="s">
        <v>5421</v>
      </c>
      <c r="JK2" s="2" t="s">
        <v>5422</v>
      </c>
      <c r="JU2" s="2" t="s">
        <v>5423</v>
      </c>
      <c r="KE2" s="2" t="s">
        <v>3617</v>
      </c>
      <c r="KO2" s="2" t="s">
        <v>1642</v>
      </c>
      <c r="KY2" s="2" t="s">
        <v>64</v>
      </c>
      <c r="LI2" s="2" t="s">
        <v>5424</v>
      </c>
      <c r="LS2" s="2" t="s">
        <v>4730</v>
      </c>
      <c r="MC2" s="2" t="s">
        <v>3435</v>
      </c>
      <c r="MM2" s="2" t="s">
        <v>874</v>
      </c>
      <c r="MW2" s="2" t="s">
        <v>5425</v>
      </c>
      <c r="NG2" s="2" t="s">
        <v>5426</v>
      </c>
      <c r="NQ2" s="2" t="s">
        <v>2294</v>
      </c>
      <c r="OA2" s="2" t="s">
        <v>3707</v>
      </c>
    </row>
    <row r="3" spans="1:396" x14ac:dyDescent="0.25">
      <c r="A3" t="s">
        <v>5427</v>
      </c>
      <c r="K3" t="s">
        <v>3080</v>
      </c>
      <c r="U3" t="s">
        <v>2518</v>
      </c>
      <c r="AE3" t="s">
        <v>3812</v>
      </c>
      <c r="AO3" t="s">
        <v>5428</v>
      </c>
      <c r="AY3" t="s">
        <v>996</v>
      </c>
      <c r="BI3" t="s">
        <v>5429</v>
      </c>
      <c r="BS3" t="s">
        <v>2803</v>
      </c>
      <c r="CC3" t="s">
        <v>5430</v>
      </c>
      <c r="CM3" t="s">
        <v>5431</v>
      </c>
      <c r="CW3" t="s">
        <v>5432</v>
      </c>
      <c r="DG3" t="s">
        <v>5433</v>
      </c>
      <c r="DQ3" t="s">
        <v>5362</v>
      </c>
      <c r="EA3" t="s">
        <v>402</v>
      </c>
      <c r="EK3" t="s">
        <v>2640</v>
      </c>
      <c r="EU3" t="s">
        <v>5434</v>
      </c>
      <c r="FE3" t="s">
        <v>1479</v>
      </c>
      <c r="FO3" t="s">
        <v>5435</v>
      </c>
      <c r="FY3" t="s">
        <v>5436</v>
      </c>
      <c r="GI3" t="s">
        <v>5437</v>
      </c>
      <c r="GS3" t="s">
        <v>5438</v>
      </c>
      <c r="HC3" t="s">
        <v>4672</v>
      </c>
      <c r="HM3" t="s">
        <v>5439</v>
      </c>
      <c r="HW3" t="s">
        <v>5440</v>
      </c>
      <c r="IG3" t="s">
        <v>5441</v>
      </c>
      <c r="IQ3" t="s">
        <v>5442</v>
      </c>
      <c r="JA3" t="s">
        <v>5443</v>
      </c>
      <c r="JK3" t="s">
        <v>3992</v>
      </c>
      <c r="JU3" t="s">
        <v>1590</v>
      </c>
      <c r="KE3" t="s">
        <v>5444</v>
      </c>
      <c r="KO3" t="s">
        <v>2729</v>
      </c>
      <c r="KY3" t="s">
        <v>5184</v>
      </c>
      <c r="LI3" t="s">
        <v>5445</v>
      </c>
      <c r="LS3" t="s">
        <v>4578</v>
      </c>
      <c r="MC3" t="s">
        <v>305</v>
      </c>
      <c r="MM3" t="s">
        <v>4502</v>
      </c>
      <c r="MW3" t="s">
        <v>5446</v>
      </c>
      <c r="NG3" t="s">
        <v>5447</v>
      </c>
      <c r="NQ3" t="s">
        <v>5448</v>
      </c>
      <c r="OA3" t="s">
        <v>4829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_xll.BDS("SWK US Equity","SUPPLY_CHAIN_SUPPLIERS","RELATIONSHIP_AS_OF_DATE","20021010","cols=1;rows=5")</f>
        <v>HCLT IN Equity</v>
      </c>
      <c r="F5" t="str">
        <f>_xll.BDS("SWK US Equity","SUPPLY_CHAIN_CUSTOMERS","RELATIONSHIP_AS_OF_DATE","20021010","cols=1;rows=5")</f>
        <v>HD US Equity</v>
      </c>
      <c r="K5" t="str">
        <f>_xll.BDS("LZB US Equity","SUPPLY_CHAIN_SUPPLIERS","RELATIONSHIP_AS_OF_DATE","19990928","cols=1;rows=5")</f>
        <v>CULP US Equity</v>
      </c>
      <c r="P5" t="str">
        <f>_xll.BDS("LZB US Equity","SUPPLY_CHAIN_CUSTOMERS","RELATIONSHIP_AS_OF_DATE","19990928","cols=1;rows=5")</f>
        <v>0108766D US Equity</v>
      </c>
      <c r="U5" t="str">
        <f>_xll.BDS("SBSI US Equity","SUPPLY_CHAIN_SUPPLIERS","RELATIONSHIP_AS_OF_DATE","20140429")</f>
        <v>#N/A N/A</v>
      </c>
      <c r="Z5" t="str">
        <f>_xll.BDS("SBSI US Equity","SUPPLY_CHAIN_CUSTOMERS","RELATIONSHIP_AS_OF_DATE","20140429")</f>
        <v>#N/A N/A</v>
      </c>
      <c r="AE5" t="str">
        <f>_xll.BDS("EXTR US Equity","SUPPLY_CHAIN_SUPPLIERS","RELATIONSHIP_AS_OF_DATE","20190626","cols=1;rows=5")</f>
        <v>2317 TT Equity</v>
      </c>
      <c r="AJ5" t="str">
        <f>_xll.BDS("EXTR US Equity","SUPPLY_CHAIN_CUSTOMERS","RELATIONSHIP_AS_OF_DATE","20190626","cols=1;rows=5")</f>
        <v>DTC SJ Equity</v>
      </c>
      <c r="AO5" t="str">
        <f>_xll.BDS("SYK US Equity","SUPPLY_CHAIN_SUPPLIERS","RELATIONSHIP_AS_OF_DATE","20110516","cols=1;rows=5")</f>
        <v>FLEX US Equity</v>
      </c>
      <c r="AT5" t="str">
        <f>_xll.BDS("SYK US Equity","SUPPLY_CHAIN_CUSTOMERS","RELATIONSHIP_AS_OF_DATE","20110516","cols=1;rows=5")</f>
        <v>CNXN US Equity</v>
      </c>
      <c r="AY5" t="str">
        <f>_xll.BDS("CPPRQ US Equity","SUPPLY_CHAIN_SUPPLIERS","RELATIONSHIP_AS_OF_DATE","19981124","cols=1;rows=5")</f>
        <v>SPG US Equity</v>
      </c>
      <c r="BD5" t="str">
        <f>_xll.BDS("CPPRQ US Equity","SUPPLY_CHAIN_CUSTOMERS","RELATIONSHIP_AS_OF_DATE","19981124")</f>
        <v>#N/A N/A</v>
      </c>
      <c r="BI5" t="str">
        <f>_xll.BDS("TXT US Equity","SUPPLY_CHAIN_SUPPLIERS","RELATIONSHIP_AS_OF_DATE","20170125","cols=1;rows=5")</f>
        <v>RR/ LN Equity</v>
      </c>
      <c r="BN5" t="str">
        <f>_xll.BDS("TXT US Equity","SUPPLY_CHAIN_CUSTOMERS","RELATIONSHIP_AS_OF_DATE","20170125","cols=1;rows=5")</f>
        <v>3352Z US Equity</v>
      </c>
      <c r="BS5" t="str">
        <f>_xll.BDS("MYPT US Equity","SUPPLY_CHAIN_SUPPLIERS","RELATIONSHIP_AS_OF_DATE","20000417")</f>
        <v>#N/A N/A</v>
      </c>
      <c r="BX5" t="str">
        <f>_xll.BDS("MYPT US Equity","SUPPLY_CHAIN_CUSTOMERS","RELATIONSHIP_AS_OF_DATE","20000417")</f>
        <v>#N/A N/A</v>
      </c>
      <c r="CC5" t="str">
        <f>_xll.BDS("FULT US Equity","SUPPLY_CHAIN_SUPPLIERS","RELATIONSHIP_AS_OF_DATE","20050726","cols=1;rows=2")</f>
        <v>DLX US Equity</v>
      </c>
      <c r="CH5" t="str">
        <f>_xll.BDS("FULT US Equity","SUPPLY_CHAIN_CUSTOMERS","RELATIONSHIP_AS_OF_DATE","20050726")</f>
        <v>#N/A N/A</v>
      </c>
      <c r="CM5" t="str">
        <f>_xll.BDS("RRA US Equity","SUPPLY_CHAIN_SUPPLIERS","RELATIONSHIP_AS_OF_DATE","19991015")</f>
        <v>#N/A N/A</v>
      </c>
      <c r="CR5" t="str">
        <f>_xll.BDS("RRA US Equity","SUPPLY_CHAIN_CUSTOMERS","RELATIONSHIP_AS_OF_DATE","19991015")</f>
        <v>#N/A N/A</v>
      </c>
      <c r="CW5" t="str">
        <f>_xll.BDS("K US Equity","SUPPLY_CHAIN_SUPPLIERS","RELATIONSHIP_AS_OF_DATE","19991001","cols=1;rows=5")</f>
        <v>AMCR US Equity</v>
      </c>
      <c r="DB5" t="str">
        <f>_xll.BDS("K US Equity","SUPPLY_CHAIN_CUSTOMERS","RELATIONSHIP_AS_OF_DATE","19991001","cols=1;rows=5")</f>
        <v>WMT US Equity</v>
      </c>
      <c r="DG5" t="str">
        <f>_xll.BDS("IEP US Equity","SUPPLY_CHAIN_SUPPLIERS","RELATIONSHIP_AS_OF_DATE","20160229","cols=1;rows=5")</f>
        <v>SMP US Equity</v>
      </c>
      <c r="DL5" t="str">
        <f>_xll.BDS("IEP US Equity","SUPPLY_CHAIN_CUSTOMERS","RELATIONSHIP_AS_OF_DATE","20160229","cols=1;rows=2")</f>
        <v>FMGI IN Equity</v>
      </c>
      <c r="DQ5" t="str">
        <f>_xll.BDS("2072499D US Equity","SUPPLY_CHAIN_SUPPLIERS","RELATIONSHIP_AS_OF_DATE","20161024")</f>
        <v>#N/A N/A</v>
      </c>
      <c r="DV5" t="str">
        <f>_xll.BDS("2072499D US Equity","SUPPLY_CHAIN_CUSTOMERS","RELATIONSHIP_AS_OF_DATE","20161024")</f>
        <v>#N/A N/A</v>
      </c>
      <c r="EA5" t="str">
        <f>_xll.BDS("2674129Q US Equity","SUPPLY_CHAIN_SUPPLIERS","RELATIONSHIP_AS_OF_DATE","19990607")</f>
        <v>#N/A N/A</v>
      </c>
      <c r="EF5" t="str">
        <f>_xll.BDS("2674129Q US Equity","SUPPLY_CHAIN_CUSTOMERS","RELATIONSHIP_AS_OF_DATE","19990607")</f>
        <v>#N/A N/A</v>
      </c>
      <c r="EK5" t="str">
        <f>_xll.BDS("1288652D US Equity","SUPPLY_CHAIN_SUPPLIERS","RELATIONSHIP_AS_OF_DATE","19990920")</f>
        <v>#N/A N/A</v>
      </c>
      <c r="EP5" t="str">
        <f>_xll.BDS("1288652D US Equity","SUPPLY_CHAIN_CUSTOMERS","RELATIONSHIP_AS_OF_DATE","19990920")</f>
        <v>#N/A N/A</v>
      </c>
      <c r="EU5" t="str">
        <f>_xll.BDS("LNWO US Equity","SUPPLY_CHAIN_SUPPLIERS","RELATIONSHIP_AS_OF_DATE","20000519","cols=1;rows=5")</f>
        <v>HAS US Equity</v>
      </c>
      <c r="EZ5" t="str">
        <f>_xll.BDS("LNWO US Equity","SUPPLY_CHAIN_CUSTOMERS","RELATIONSHIP_AS_OF_DATE","20000519","cols=1;rows=5")</f>
        <v>ENT LN Equity</v>
      </c>
      <c r="FE5" t="str">
        <f>_xll.BDS("KEGX US Equity","SUPPLY_CHAIN_SUPPLIERS","RELATIONSHIP_AS_OF_DATE","19980811")</f>
        <v>#N/A N/A</v>
      </c>
      <c r="FJ5" t="str">
        <f>_xll.BDS("KEGX US Equity","SUPPLY_CHAIN_CUSTOMERS","RELATIONSHIP_AS_OF_DATE","19980811")</f>
        <v>#N/A N/A</v>
      </c>
      <c r="FO5" t="str">
        <f>_xll.BDS("AOS US Equity","SUPPLY_CHAIN_SUPPLIERS","RELATIONSHIP_AS_OF_DATE","20081209","cols=1;rows=5")</f>
        <v>BABA US Equity</v>
      </c>
      <c r="FT5" t="str">
        <f>_xll.BDS("AOS US Equity","SUPPLY_CHAIN_CUSTOMERS","RELATIONSHIP_AS_OF_DATE","20081209","cols=1;rows=5")</f>
        <v>LOW US Equity</v>
      </c>
      <c r="FY5" t="str">
        <f>_xll.BDS("LLY US Equity","SUPPLY_CHAIN_SUPPLIERS","RELATIONSHIP_AS_OF_DATE","20221018","cols=1;rows=5")</f>
        <v>RIGL US Equity</v>
      </c>
      <c r="GD5" t="str">
        <f>_xll.BDS("LLY US Equity","SUPPLY_CHAIN_CUSTOMERS","RELATIONSHIP_AS_OF_DATE","20221018","cols=1;rows=5")</f>
        <v>MCK US Equity</v>
      </c>
      <c r="GI5" t="str">
        <f>_xll.BDS("CVI US Equity","SUPPLY_CHAIN_SUPPLIERS","RELATIONSHIP_AS_OF_DATE","20190118","cols=1;rows=4")</f>
        <v>1448460D US Equity</v>
      </c>
      <c r="GN5" t="str">
        <f>_xll.BDS("CVI US Equity","SUPPLY_CHAIN_CUSTOMERS","RELATIONSHIP_AS_OF_DATE","20190118","cols=1;rows=3")</f>
        <v>0219682Z US Equity</v>
      </c>
      <c r="GS5" t="str">
        <f>_xll.BDS("TCBK US Equity","SUPPLY_CHAIN_SUPPLIERS","RELATIONSHIP_AS_OF_DATE","20171211")</f>
        <v>#N/A N/A</v>
      </c>
      <c r="GX5" t="str">
        <f>_xll.BDS("TCBK US Equity","SUPPLY_CHAIN_CUSTOMERS","RELATIONSHIP_AS_OF_DATE","20171211")</f>
        <v>#N/A N/A</v>
      </c>
      <c r="HC5" t="str">
        <f>_xll.BDS("DHR US Equity","SUPPLY_CHAIN_SUPPLIERS","RELATIONSHIP_AS_OF_DATE","20100929","cols=1;rows=5")</f>
        <v>FLEX US Equity</v>
      </c>
      <c r="HH5" t="str">
        <f>_xll.BDS("DHR US Equity","SUPPLY_CHAIN_CUSTOMERS","RELATIONSHIP_AS_OF_DATE","20100929","cols=1;rows=5")</f>
        <v>CDW US Equity</v>
      </c>
      <c r="HM5" t="str">
        <f>_xll.BDS("T US Equity","SUPPLY_CHAIN_SUPPLIERS","RELATIONSHIP_AS_OF_DATE","20060912","cols=1;rows=5")</f>
        <v>AAPL US Equity</v>
      </c>
      <c r="HR5" t="str">
        <f>_xll.BDS("T US Equity","SUPPLY_CHAIN_CUSTOMERS","RELATIONSHIP_AS_OF_DATE","20060912","cols=1;rows=5")</f>
        <v>IBM US Equity</v>
      </c>
      <c r="HW5" t="str">
        <f>_xll.BDS("PMCS US Equity","SUPPLY_CHAIN_SUPPLIERS","RELATIONSHIP_AS_OF_DATE","20060404")</f>
        <v>FE US Equity</v>
      </c>
      <c r="IB5" t="str">
        <f>_xll.BDS("PMCS US Equity","SUPPLY_CHAIN_CUSTOMERS","RELATIONSHIP_AS_OF_DATE","20060404")</f>
        <v>#N/A N/A</v>
      </c>
      <c r="IG5" t="str">
        <f>_xll.BDS("ET US Equity","SUPPLY_CHAIN_SUPPLIERS","RELATIONSHIP_AS_OF_DATE","20100511","cols=1;rows=5")</f>
        <v>CNR CN Equity</v>
      </c>
      <c r="IL5" t="str">
        <f>_xll.BDS("ET US Equity","SUPPLY_CHAIN_CUSTOMERS","RELATIONSHIP_AS_OF_DATE","20100511","cols=1;rows=5")</f>
        <v>384 HK Equity</v>
      </c>
      <c r="IQ5" t="str">
        <f>_xll.BDS("ADP US Equity","SUPPLY_CHAIN_SUPPLIERS","RELATIONSHIP_AS_OF_DATE","19981203","cols=1;rows=5")</f>
        <v>CUZ US Equity</v>
      </c>
      <c r="IV5" t="str">
        <f>_xll.BDS("ADP US Equity","SUPPLY_CHAIN_CUSTOMERS","RELATIONSHIP_AS_OF_DATE","19981203","cols=1;rows=2")</f>
        <v>SGE LN Equity</v>
      </c>
      <c r="JA5" t="str">
        <f>_xll.BDS("TER US Equity","SUPPLY_CHAIN_SUPPLIERS","RELATIONSHIP_AS_OF_DATE","20071212","cols=1;rows=5")</f>
        <v>NVDA US Equity</v>
      </c>
      <c r="JF5" t="str">
        <f>_xll.BDS("TER US Equity","SUPPLY_CHAIN_CUSTOMERS","RELATIONSHIP_AS_OF_DATE","20071212","cols=1;rows=5")</f>
        <v>005930 KS Equity</v>
      </c>
      <c r="JK5" t="str">
        <f>_xll.BDS("TOWN US Equity","SUPPLY_CHAIN_SUPPLIERS","RELATIONSHIP_AS_OF_DATE","20170427")</f>
        <v>#N/A N/A</v>
      </c>
      <c r="JP5" t="str">
        <f>_xll.BDS("TOWN US Equity","SUPPLY_CHAIN_CUSTOMERS","RELATIONSHIP_AS_OF_DATE","20170427")</f>
        <v>#N/A N/A</v>
      </c>
      <c r="JU5" t="str">
        <f>_xll.BDS("AGCO US Equity","SUPPLY_CHAIN_SUPPLIERS","RELATIONSHIP_AS_OF_DATE","20001120","cols=1;rows=5")</f>
        <v>MOTHERSO IN Equity</v>
      </c>
      <c r="JZ5" t="str">
        <f>_xll.BDS("AGCO US Equity","SUPPLY_CHAIN_CUSTOMERS","RELATIONSHIP_AS_OF_DATE","20001120","cols=1;rows=5")</f>
        <v>INCH LN Equity</v>
      </c>
      <c r="KE5" t="str">
        <f>_xll.BDS("540513Q US Equity","SUPPLY_CHAIN_SUPPLIERS","RELATIONSHIP_AS_OF_DATE","20031209")</f>
        <v>#N/A N/A</v>
      </c>
      <c r="KJ5" t="str">
        <f>_xll.BDS("540513Q US Equity","SUPPLY_CHAIN_CUSTOMERS","RELATIONSHIP_AS_OF_DATE","20031209")</f>
        <v>#N/A N/A</v>
      </c>
      <c r="KO5" t="str">
        <f>_xll.BDS("SSB US Equity","SUPPLY_CHAIN_SUPPLIERS","RELATIONSHIP_AS_OF_DATE","20130220","cols=1;rows=4")</f>
        <v>BLND US Equity</v>
      </c>
      <c r="KT5" t="str">
        <f>_xll.BDS("SSB US Equity","SUPPLY_CHAIN_CUSTOMERS","RELATIONSHIP_AS_OF_DATE","20130220")</f>
        <v>#N/A N/A</v>
      </c>
      <c r="KY5" t="str">
        <f>_xll.BDS("nan Equity","SUPPLY_CHAIN_SUPPLIERS","RELATIONSHIP_AS_OF_DATE","20091218")</f>
        <v>#N/A N/A</v>
      </c>
      <c r="LD5" t="str">
        <f>_xll.BDS("nan Equity","SUPPLY_CHAIN_CUSTOMERS","RELATIONSHIP_AS_OF_DATE","20091218")</f>
        <v>#N/A N/A</v>
      </c>
      <c r="LI5" t="str">
        <f>_xll.BDS("FORM US Equity","SUPPLY_CHAIN_SUPPLIERS","RELATIONSHIP_AS_OF_DATE","20160204","cols=1;rows=5")</f>
        <v>131290 KS Equity</v>
      </c>
      <c r="LN5" t="str">
        <f>_xll.BDS("FORM US Equity","SUPPLY_CHAIN_CUSTOMERS","RELATIONSHIP_AS_OF_DATE","20160204","cols=1;rows=5")</f>
        <v>000660 KS Equity</v>
      </c>
      <c r="LS5" t="str">
        <f>_xll.BDS("CVOVQ US Equity","SUPPLY_CHAIN_SUPPLIERS","RELATIONSHIP_AS_OF_DATE","20000114")</f>
        <v>FRSH US Equity</v>
      </c>
      <c r="LX5" t="str">
        <f>_xll.BDS("CVOVQ US Equity","SUPPLY_CHAIN_CUSTOMERS","RELATIONSHIP_AS_OF_DATE","20000114")</f>
        <v>#N/A N/A</v>
      </c>
      <c r="MC5" t="str">
        <f>_xll.BDS("GENZ US Equity","SUPPLY_CHAIN_SUPPLIERS","RELATIONSHIP_AS_OF_DATE","20070529")</f>
        <v>#N/A N/A</v>
      </c>
      <c r="MH5" t="str">
        <f>_xll.BDS("GENZ US Equity","SUPPLY_CHAIN_CUSTOMERS","RELATIONSHIP_AS_OF_DATE","20070529")</f>
        <v>#N/A N/A</v>
      </c>
      <c r="MM5" t="str">
        <f>_xll.BDS("VTR US Equity","SUPPLY_CHAIN_SUPPLIERS","RELATIONSHIP_AS_OF_DATE","20031120")</f>
        <v>#N/A N/A</v>
      </c>
      <c r="MR5" t="str">
        <f>_xll.BDS("VTR US Equity","SUPPLY_CHAIN_CUSTOMERS","RELATIONSHIP_AS_OF_DATE","20031120","cols=1;rows=3")</f>
        <v>BKD US Equity</v>
      </c>
      <c r="MW5" t="str">
        <f>_xll.BDS("FNIS US Equity","SUPPLY_CHAIN_SUPPLIERS","RELATIONSHIP_AS_OF_DATE","20020430")</f>
        <v>#N/A N/A</v>
      </c>
      <c r="NB5" t="str">
        <f>_xll.BDS("FNIS US Equity","SUPPLY_CHAIN_CUSTOMERS","RELATIONSHIP_AS_OF_DATE","20020430")</f>
        <v>#N/A N/A</v>
      </c>
      <c r="NG5" t="str">
        <f>_xll.BDS("8258290Q US Equity","SUPPLY_CHAIN_SUPPLIERS","RELATIONSHIP_AS_OF_DATE","20040617")</f>
        <v>#N/A N/A</v>
      </c>
      <c r="NL5" t="str">
        <f>_xll.BDS("8258290Q US Equity","SUPPLY_CHAIN_CUSTOMERS","RELATIONSHIP_AS_OF_DATE","20040617")</f>
        <v>#N/A N/A</v>
      </c>
      <c r="NQ5" t="str">
        <f>_xll.BDS("2258717D US Equity","SUPPLY_CHAIN_SUPPLIERS","RELATIONSHIP_AS_OF_DATE","20051020")</f>
        <v>#N/A N/A</v>
      </c>
      <c r="NV5" t="str">
        <f>_xll.BDS("2258717D US Equity","SUPPLY_CHAIN_CUSTOMERS","RELATIONSHIP_AS_OF_DATE","20051020")</f>
        <v>#N/A N/A</v>
      </c>
      <c r="OA5" t="str">
        <f>_xll.BDS("RRD US Equity","SUPPLY_CHAIN_SUPPLIERS","RELATIONSHIP_AS_OF_DATE","20150127","cols=1;rows=5")</f>
        <v>FNOVA17 MM Equity</v>
      </c>
      <c r="OF5" t="str">
        <f>_xll.BDS("RRD US Equity","SUPPLY_CHAIN_CUSTOMERS","RELATIONSHIP_AS_OF_DATE","20150127","cols=1;rows=5")</f>
        <v>1646058D US Equity</v>
      </c>
    </row>
    <row r="6" spans="1:396" x14ac:dyDescent="0.25">
      <c r="A6" t="s">
        <v>11160</v>
      </c>
      <c r="F6" t="s">
        <v>3239</v>
      </c>
      <c r="K6" t="s">
        <v>12052</v>
      </c>
      <c r="P6" t="s">
        <v>12396</v>
      </c>
      <c r="AE6" t="s">
        <v>11038</v>
      </c>
      <c r="AJ6" t="s">
        <v>2881</v>
      </c>
      <c r="AO6" t="s">
        <v>11412</v>
      </c>
      <c r="AT6" t="s">
        <v>11830</v>
      </c>
      <c r="AY6" t="s">
        <v>11373</v>
      </c>
      <c r="BI6" t="s">
        <v>42</v>
      </c>
      <c r="BN6" t="s">
        <v>158</v>
      </c>
      <c r="CC6" t="s">
        <v>154</v>
      </c>
      <c r="CW6" t="s">
        <v>11585</v>
      </c>
      <c r="DB6" t="s">
        <v>10805</v>
      </c>
      <c r="DG6" t="s">
        <v>10873</v>
      </c>
      <c r="DL6" t="s">
        <v>10812</v>
      </c>
      <c r="EU6" t="s">
        <v>10711</v>
      </c>
      <c r="EZ6" t="s">
        <v>10698</v>
      </c>
      <c r="FO6" t="s">
        <v>12184</v>
      </c>
      <c r="FT6" t="s">
        <v>570</v>
      </c>
      <c r="FY6" t="s">
        <v>10846</v>
      </c>
      <c r="GD6" t="s">
        <v>1468</v>
      </c>
      <c r="GI6" t="s">
        <v>11369</v>
      </c>
      <c r="GN6" t="s">
        <v>10657</v>
      </c>
      <c r="HC6" t="s">
        <v>10735</v>
      </c>
      <c r="HH6" t="s">
        <v>2881</v>
      </c>
      <c r="HM6" t="s">
        <v>10892</v>
      </c>
      <c r="HR6" t="s">
        <v>2881</v>
      </c>
      <c r="IG6" t="s">
        <v>684</v>
      </c>
      <c r="IL6" t="s">
        <v>68</v>
      </c>
      <c r="IQ6" t="s">
        <v>1473</v>
      </c>
      <c r="IV6" t="s">
        <v>11439</v>
      </c>
      <c r="JA6" t="s">
        <v>10734</v>
      </c>
      <c r="JF6" t="s">
        <v>10729</v>
      </c>
      <c r="JU6" t="s">
        <v>12143</v>
      </c>
      <c r="JZ6" t="s">
        <v>12530</v>
      </c>
      <c r="KO6" t="s">
        <v>10829</v>
      </c>
      <c r="LI6" t="s">
        <v>12340</v>
      </c>
      <c r="LN6" t="s">
        <v>11090</v>
      </c>
      <c r="MR6" t="s">
        <v>790</v>
      </c>
      <c r="OA6" t="s">
        <v>11290</v>
      </c>
      <c r="OF6" t="s">
        <v>11284</v>
      </c>
    </row>
    <row r="7" spans="1:396" x14ac:dyDescent="0.25">
      <c r="A7" t="s">
        <v>1270</v>
      </c>
      <c r="F7" t="s">
        <v>10676</v>
      </c>
      <c r="K7" t="s">
        <v>10748</v>
      </c>
      <c r="P7" t="s">
        <v>12397</v>
      </c>
      <c r="AE7" t="s">
        <v>266</v>
      </c>
      <c r="AJ7" t="s">
        <v>12324</v>
      </c>
      <c r="AO7" t="s">
        <v>11413</v>
      </c>
      <c r="AT7" t="s">
        <v>11831</v>
      </c>
      <c r="AY7" t="s">
        <v>12090</v>
      </c>
      <c r="BI7" t="s">
        <v>371</v>
      </c>
      <c r="BN7" t="s">
        <v>3073</v>
      </c>
      <c r="CW7" t="s">
        <v>11868</v>
      </c>
      <c r="DB7" t="s">
        <v>477</v>
      </c>
      <c r="DG7" t="s">
        <v>10874</v>
      </c>
      <c r="EU7" t="s">
        <v>10712</v>
      </c>
      <c r="EZ7" t="s">
        <v>10699</v>
      </c>
      <c r="FO7" t="s">
        <v>12185</v>
      </c>
      <c r="FT7" t="s">
        <v>12003</v>
      </c>
      <c r="FY7" t="s">
        <v>10847</v>
      </c>
      <c r="GD7" t="s">
        <v>970</v>
      </c>
      <c r="GI7" t="s">
        <v>3441</v>
      </c>
      <c r="GN7" t="s">
        <v>3441</v>
      </c>
      <c r="HC7" t="s">
        <v>273</v>
      </c>
      <c r="HH7" t="s">
        <v>10661</v>
      </c>
      <c r="HM7" t="s">
        <v>10738</v>
      </c>
      <c r="HR7" t="s">
        <v>10680</v>
      </c>
      <c r="IG7" t="s">
        <v>12295</v>
      </c>
      <c r="IL7" t="s">
        <v>6710</v>
      </c>
      <c r="IQ7" t="s">
        <v>11460</v>
      </c>
      <c r="JA7" t="s">
        <v>273</v>
      </c>
      <c r="JF7" t="s">
        <v>11090</v>
      </c>
      <c r="JU7" t="s">
        <v>12144</v>
      </c>
      <c r="JZ7" t="s">
        <v>12531</v>
      </c>
      <c r="KO7" t="s">
        <v>11242</v>
      </c>
      <c r="LI7" t="s">
        <v>2406</v>
      </c>
      <c r="LN7" t="s">
        <v>10892</v>
      </c>
      <c r="MR7" t="s">
        <v>12154</v>
      </c>
      <c r="OA7" t="s">
        <v>1654</v>
      </c>
      <c r="OF7" t="s">
        <v>11285</v>
      </c>
    </row>
    <row r="8" spans="1:396" x14ac:dyDescent="0.25">
      <c r="A8" t="s">
        <v>11161</v>
      </c>
      <c r="F8" t="s">
        <v>469</v>
      </c>
      <c r="K8" t="s">
        <v>11151</v>
      </c>
      <c r="P8" t="s">
        <v>12398</v>
      </c>
      <c r="AE8" t="s">
        <v>792</v>
      </c>
      <c r="AJ8" t="s">
        <v>10680</v>
      </c>
      <c r="AO8" t="s">
        <v>11414</v>
      </c>
      <c r="AT8" t="s">
        <v>11832</v>
      </c>
      <c r="AY8" t="s">
        <v>12432</v>
      </c>
      <c r="BI8" t="s">
        <v>1164</v>
      </c>
      <c r="BN8" t="s">
        <v>10953</v>
      </c>
      <c r="CW8" t="s">
        <v>177</v>
      </c>
      <c r="DB8" t="s">
        <v>10944</v>
      </c>
      <c r="DG8" t="s">
        <v>10875</v>
      </c>
      <c r="EU8" t="s">
        <v>41</v>
      </c>
      <c r="EZ8" t="s">
        <v>10700</v>
      </c>
      <c r="FO8" t="s">
        <v>12186</v>
      </c>
      <c r="FT8" t="s">
        <v>469</v>
      </c>
      <c r="FY8" t="s">
        <v>2785</v>
      </c>
      <c r="GD8" t="s">
        <v>10799</v>
      </c>
      <c r="GI8" t="s">
        <v>7835</v>
      </c>
      <c r="HC8" t="s">
        <v>6320</v>
      </c>
      <c r="HH8" t="s">
        <v>10662</v>
      </c>
      <c r="HM8" t="s">
        <v>670</v>
      </c>
      <c r="HR8" t="s">
        <v>3519</v>
      </c>
      <c r="IG8" t="s">
        <v>11757</v>
      </c>
      <c r="IL8" t="s">
        <v>10740</v>
      </c>
      <c r="IQ8" t="s">
        <v>11461</v>
      </c>
      <c r="JA8" t="s">
        <v>3439</v>
      </c>
      <c r="JF8" t="s">
        <v>11204</v>
      </c>
      <c r="JU8" t="s">
        <v>12145</v>
      </c>
      <c r="JZ8" t="s">
        <v>12532</v>
      </c>
      <c r="KO8" t="s">
        <v>3162</v>
      </c>
      <c r="LI8" t="s">
        <v>12075</v>
      </c>
      <c r="LN8" t="s">
        <v>383</v>
      </c>
      <c r="OA8" t="s">
        <v>2111</v>
      </c>
      <c r="OF8" t="s">
        <v>5236</v>
      </c>
    </row>
    <row r="9" spans="1:396" x14ac:dyDescent="0.25">
      <c r="A9" t="s">
        <v>11162</v>
      </c>
      <c r="F9" t="s">
        <v>10948</v>
      </c>
      <c r="K9" t="s">
        <v>12492</v>
      </c>
      <c r="P9" t="s">
        <v>12399</v>
      </c>
      <c r="AE9" t="s">
        <v>12350</v>
      </c>
      <c r="AJ9" t="s">
        <v>12325</v>
      </c>
      <c r="AO9" t="s">
        <v>5575</v>
      </c>
      <c r="AT9" t="s">
        <v>11833</v>
      </c>
      <c r="AY9" t="s">
        <v>12217</v>
      </c>
      <c r="BI9" t="s">
        <v>1172</v>
      </c>
      <c r="BN9" t="s">
        <v>10660</v>
      </c>
      <c r="CW9" t="s">
        <v>11414</v>
      </c>
      <c r="DB9" t="s">
        <v>11811</v>
      </c>
      <c r="DG9" t="s">
        <v>10876</v>
      </c>
      <c r="EU9" t="s">
        <v>5236</v>
      </c>
      <c r="EZ9" t="s">
        <v>10701</v>
      </c>
      <c r="FO9" t="s">
        <v>12187</v>
      </c>
      <c r="FT9" t="s">
        <v>11416</v>
      </c>
      <c r="FY9" t="s">
        <v>10821</v>
      </c>
      <c r="GD9" t="s">
        <v>10800</v>
      </c>
      <c r="HC9" t="s">
        <v>1654</v>
      </c>
      <c r="HH9" t="s">
        <v>10663</v>
      </c>
      <c r="HM9" t="s">
        <v>6724</v>
      </c>
      <c r="HR9" t="s">
        <v>11366</v>
      </c>
      <c r="IG9" t="s">
        <v>11449</v>
      </c>
      <c r="IL9" t="s">
        <v>12617</v>
      </c>
      <c r="IQ9" t="s">
        <v>11462</v>
      </c>
      <c r="JA9" t="s">
        <v>11867</v>
      </c>
      <c r="JF9" t="s">
        <v>881</v>
      </c>
      <c r="JU9" t="s">
        <v>11557</v>
      </c>
      <c r="JZ9" t="s">
        <v>12533</v>
      </c>
      <c r="LI9" t="s">
        <v>10716</v>
      </c>
      <c r="LN9" t="s">
        <v>3611</v>
      </c>
      <c r="OA9" t="s">
        <v>10696</v>
      </c>
      <c r="OF9" t="s">
        <v>10992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5449</v>
      </c>
      <c r="K1" s="1" t="s">
        <v>5450</v>
      </c>
      <c r="U1" s="1" t="s">
        <v>5451</v>
      </c>
      <c r="AE1" s="1" t="s">
        <v>5452</v>
      </c>
      <c r="AO1" s="1" t="s">
        <v>5453</v>
      </c>
      <c r="AY1" s="1" t="s">
        <v>5454</v>
      </c>
      <c r="BI1" s="1" t="s">
        <v>5455</v>
      </c>
      <c r="BS1" s="1" t="s">
        <v>5456</v>
      </c>
      <c r="CC1" s="1" t="s">
        <v>5457</v>
      </c>
      <c r="CM1" s="1" t="s">
        <v>5458</v>
      </c>
      <c r="CW1" s="1" t="s">
        <v>5459</v>
      </c>
      <c r="DG1" s="1" t="s">
        <v>5460</v>
      </c>
      <c r="DQ1" s="1" t="s">
        <v>5461</v>
      </c>
      <c r="EA1" s="1" t="s">
        <v>5462</v>
      </c>
      <c r="EK1" s="1" t="s">
        <v>5463</v>
      </c>
      <c r="EU1" s="1" t="s">
        <v>5464</v>
      </c>
      <c r="FE1" s="1" t="s">
        <v>5465</v>
      </c>
      <c r="FO1" s="1" t="s">
        <v>5466</v>
      </c>
      <c r="FY1" s="1" t="s">
        <v>5467</v>
      </c>
      <c r="GI1" s="1" t="s">
        <v>5468</v>
      </c>
      <c r="GS1" s="1" t="s">
        <v>5469</v>
      </c>
      <c r="HC1" s="1" t="s">
        <v>5470</v>
      </c>
      <c r="HM1" s="1" t="s">
        <v>5471</v>
      </c>
      <c r="HW1" s="1" t="s">
        <v>5472</v>
      </c>
      <c r="IG1" s="1" t="s">
        <v>5473</v>
      </c>
      <c r="IQ1" s="1" t="s">
        <v>5474</v>
      </c>
      <c r="JA1" s="1" t="s">
        <v>5475</v>
      </c>
      <c r="JK1" s="1" t="s">
        <v>5476</v>
      </c>
      <c r="JU1" s="1" t="s">
        <v>5477</v>
      </c>
      <c r="KE1" s="1" t="s">
        <v>5478</v>
      </c>
      <c r="KO1" s="1" t="s">
        <v>5479</v>
      </c>
      <c r="KY1" s="1" t="s">
        <v>5480</v>
      </c>
      <c r="LI1" s="1" t="s">
        <v>5481</v>
      </c>
      <c r="LS1" s="1" t="s">
        <v>5482</v>
      </c>
      <c r="MC1" s="1" t="s">
        <v>5483</v>
      </c>
      <c r="MM1" s="1" t="s">
        <v>5484</v>
      </c>
      <c r="MW1" s="1" t="s">
        <v>5485</v>
      </c>
      <c r="NG1" s="1" t="s">
        <v>5486</v>
      </c>
      <c r="NQ1" s="1" t="s">
        <v>5487</v>
      </c>
      <c r="OA1" s="1" t="s">
        <v>5488</v>
      </c>
    </row>
    <row r="2" spans="1:396" x14ac:dyDescent="0.25">
      <c r="A2" s="2" t="s">
        <v>5489</v>
      </c>
      <c r="K2" s="2" t="s">
        <v>5490</v>
      </c>
      <c r="U2" s="2" t="s">
        <v>3880</v>
      </c>
      <c r="AE2" s="2" t="s">
        <v>5491</v>
      </c>
      <c r="AO2" s="2" t="s">
        <v>376</v>
      </c>
      <c r="AY2" s="2" t="s">
        <v>2018</v>
      </c>
      <c r="BI2" s="2" t="s">
        <v>5492</v>
      </c>
      <c r="BS2" s="2" t="s">
        <v>1756</v>
      </c>
      <c r="CC2" s="2" t="s">
        <v>64</v>
      </c>
      <c r="CM2" s="2" t="s">
        <v>5493</v>
      </c>
      <c r="CW2" s="2" t="s">
        <v>5494</v>
      </c>
      <c r="DG2" s="2" t="s">
        <v>1267</v>
      </c>
      <c r="DQ2" s="2" t="s">
        <v>3157</v>
      </c>
      <c r="EA2" s="2" t="s">
        <v>5495</v>
      </c>
      <c r="EK2" s="2" t="s">
        <v>371</v>
      </c>
      <c r="EU2" s="2" t="s">
        <v>5496</v>
      </c>
      <c r="FE2" s="2" t="s">
        <v>1272</v>
      </c>
      <c r="FO2" s="2" t="s">
        <v>1646</v>
      </c>
      <c r="FY2" s="2" t="s">
        <v>3154</v>
      </c>
      <c r="GI2" s="2" t="s">
        <v>3534</v>
      </c>
      <c r="GS2" s="2" t="s">
        <v>5497</v>
      </c>
      <c r="HC2" s="2" t="s">
        <v>5498</v>
      </c>
      <c r="HM2" s="2" t="s">
        <v>5499</v>
      </c>
      <c r="HW2" s="2" t="s">
        <v>1469</v>
      </c>
      <c r="IG2" s="2" t="s">
        <v>3867</v>
      </c>
      <c r="IQ2" s="2" t="s">
        <v>1463</v>
      </c>
      <c r="JA2" s="2" t="s">
        <v>5500</v>
      </c>
      <c r="JK2" s="2" t="s">
        <v>1372</v>
      </c>
      <c r="JU2" s="2" t="s">
        <v>5501</v>
      </c>
      <c r="KE2" s="2" t="s">
        <v>5502</v>
      </c>
      <c r="KO2" s="2" t="s">
        <v>5503</v>
      </c>
      <c r="KY2" s="2" t="s">
        <v>5504</v>
      </c>
      <c r="LI2" s="2" t="s">
        <v>1164</v>
      </c>
      <c r="LS2" s="2" t="s">
        <v>5505</v>
      </c>
      <c r="MC2" s="2" t="s">
        <v>690</v>
      </c>
      <c r="MM2" s="2" t="s">
        <v>2684</v>
      </c>
      <c r="MW2" s="2" t="s">
        <v>4034</v>
      </c>
      <c r="NG2" s="2" t="s">
        <v>5506</v>
      </c>
      <c r="NQ2" s="2" t="s">
        <v>2415</v>
      </c>
      <c r="OA2" s="2" t="s">
        <v>5507</v>
      </c>
    </row>
    <row r="3" spans="1:396" x14ac:dyDescent="0.25">
      <c r="A3" t="s">
        <v>4752</v>
      </c>
      <c r="K3" t="s">
        <v>5181</v>
      </c>
      <c r="U3" t="s">
        <v>5508</v>
      </c>
      <c r="AE3" t="s">
        <v>5509</v>
      </c>
      <c r="AO3" t="s">
        <v>2423</v>
      </c>
      <c r="AY3" t="s">
        <v>5510</v>
      </c>
      <c r="BI3" t="s">
        <v>5511</v>
      </c>
      <c r="BS3" t="s">
        <v>5512</v>
      </c>
      <c r="CC3" t="s">
        <v>1858</v>
      </c>
      <c r="CM3" t="s">
        <v>5513</v>
      </c>
      <c r="CW3" t="s">
        <v>4063</v>
      </c>
      <c r="DG3" t="s">
        <v>5514</v>
      </c>
      <c r="DQ3" t="s">
        <v>5515</v>
      </c>
      <c r="EA3" t="s">
        <v>5516</v>
      </c>
      <c r="EK3" t="s">
        <v>5517</v>
      </c>
      <c r="EU3" t="s">
        <v>83</v>
      </c>
      <c r="FE3" t="s">
        <v>5518</v>
      </c>
      <c r="FO3" t="s">
        <v>5519</v>
      </c>
      <c r="FY3" t="s">
        <v>5520</v>
      </c>
      <c r="GI3" t="s">
        <v>3899</v>
      </c>
      <c r="GS3" t="s">
        <v>1413</v>
      </c>
      <c r="HC3" t="s">
        <v>3978</v>
      </c>
      <c r="HM3" t="s">
        <v>5521</v>
      </c>
      <c r="HW3" t="s">
        <v>5522</v>
      </c>
      <c r="IG3" t="s">
        <v>5523</v>
      </c>
      <c r="IQ3" t="s">
        <v>2990</v>
      </c>
      <c r="JA3" t="s">
        <v>3970</v>
      </c>
      <c r="JK3" t="s">
        <v>4249</v>
      </c>
      <c r="JU3" t="s">
        <v>5524</v>
      </c>
      <c r="KE3" t="s">
        <v>5525</v>
      </c>
      <c r="KO3" t="s">
        <v>1574</v>
      </c>
      <c r="KY3" t="s">
        <v>5526</v>
      </c>
      <c r="LI3" t="s">
        <v>5527</v>
      </c>
      <c r="LS3" t="s">
        <v>5528</v>
      </c>
      <c r="MC3" t="s">
        <v>5529</v>
      </c>
      <c r="MM3" t="s">
        <v>5530</v>
      </c>
      <c r="MW3" t="s">
        <v>5531</v>
      </c>
      <c r="NG3" t="s">
        <v>5532</v>
      </c>
      <c r="NQ3" t="s">
        <v>5533</v>
      </c>
      <c r="OA3" t="s">
        <v>5534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_xll.BDS("ICII US Equity","SUPPLY_CHAIN_SUPPLIERS","RELATIONSHIP_AS_OF_DATE","19990513")</f>
        <v>#N/A N/A</v>
      </c>
      <c r="F5" t="str">
        <f>_xll.BDS("ICII US Equity","SUPPLY_CHAIN_CUSTOMERS","RELATIONSHIP_AS_OF_DATE","19990513")</f>
        <v>#N/A N/A</v>
      </c>
      <c r="K5" t="str">
        <f>_xll.BDS("GDT US Equity","SUPPLY_CHAIN_SUPPLIERS","RELATIONSHIP_AS_OF_DATE","19990830")</f>
        <v>#N/A N/A</v>
      </c>
      <c r="P5" t="str">
        <f>_xll.BDS("GDT US Equity","SUPPLY_CHAIN_CUSTOMERS","RELATIONSHIP_AS_OF_DATE","19990830")</f>
        <v>#N/A N/A</v>
      </c>
      <c r="U5" t="str">
        <f>_xll.BDS("SNPS US Equity","SUPPLY_CHAIN_SUPPLIERS","RELATIONSHIP_AS_OF_DATE","20100610","cols=1;rows=5")</f>
        <v>000660 KS Equity</v>
      </c>
      <c r="Z5" t="str">
        <f>_xll.BDS("SNPS US Equity","SUPPLY_CHAIN_CUSTOMERS","RELATIONSHIP_AS_OF_DATE","20100610","cols=1;rows=5")</f>
        <v>2454 TT Equity</v>
      </c>
      <c r="AE5" t="str">
        <f>_xll.BDS("STLD US Equity","SUPPLY_CHAIN_SUPPLIERS","RELATIONSHIP_AS_OF_DATE","20051018","cols=1;rows=5")</f>
        <v>ERA FP Equity</v>
      </c>
      <c r="AJ5" t="str">
        <f>_xll.BDS("STLD US Equity","SUPPLY_CHAIN_CUSTOMERS","RELATIONSHIP_AS_OF_DATE","20051018","cols=1;rows=5")</f>
        <v>VOW GR Equity</v>
      </c>
      <c r="AO5" t="str">
        <f>_xll.BDS("1996074D US Equity","SUPPLY_CHAIN_SUPPLIERS","RELATIONSHIP_AS_OF_DATE","19980302")</f>
        <v>#N/A N/A</v>
      </c>
      <c r="AT5" t="str">
        <f>_xll.BDS("1996074D US Equity","SUPPLY_CHAIN_CUSTOMERS","RELATIONSHIP_AS_OF_DATE","19980302")</f>
        <v>#N/A N/A</v>
      </c>
      <c r="AY5" t="str">
        <f>_xll.BDS("COV US Equity","SUPPLY_CHAIN_SUPPLIERS","RELATIONSHIP_AS_OF_DATE","20100616")</f>
        <v>#N/A N/A</v>
      </c>
      <c r="BD5" t="str">
        <f>_xll.BDS("COV US Equity","SUPPLY_CHAIN_CUSTOMERS","RELATIONSHIP_AS_OF_DATE","20100616")</f>
        <v>#N/A N/A</v>
      </c>
      <c r="BI5" t="str">
        <f>_xll.BDS("3075558Q US Equity","SUPPLY_CHAIN_SUPPLIERS","RELATIONSHIP_AS_OF_DATE","19990218")</f>
        <v>#N/A N/A</v>
      </c>
      <c r="BN5" t="str">
        <f>_xll.BDS("3075558Q US Equity","SUPPLY_CHAIN_CUSTOMERS","RELATIONSHIP_AS_OF_DATE","19990218")</f>
        <v>#N/A N/A</v>
      </c>
      <c r="BS5" t="str">
        <f>_xll.BDS("1920486D US Equity","SUPPLY_CHAIN_SUPPLIERS","RELATIONSHIP_AS_OF_DATE","20050628")</f>
        <v>#N/A N/A</v>
      </c>
      <c r="BX5" t="str">
        <f>_xll.BDS("1920486D US Equity","SUPPLY_CHAIN_CUSTOMERS","RELATIONSHIP_AS_OF_DATE","20050628")</f>
        <v>#N/A N/A</v>
      </c>
      <c r="CC5" t="str">
        <f>_xll.BDS("nan Equity","SUPPLY_CHAIN_SUPPLIERS","RELATIONSHIP_AS_OF_DATE","20181008")</f>
        <v>#N/A N/A</v>
      </c>
      <c r="CH5" t="str">
        <f>_xll.BDS("nan Equity","SUPPLY_CHAIN_CUSTOMERS","RELATIONSHIP_AS_OF_DATE","20181008")</f>
        <v>#N/A N/A</v>
      </c>
      <c r="CM5" t="str">
        <f>_xll.BDS("GNK US Equity","SUPPLY_CHAIN_SUPPLIERS","RELATIONSHIP_AS_OF_DATE","20150408")</f>
        <v>AEGCZ HK Equity</v>
      </c>
      <c r="CR5" t="str">
        <f>_xll.BDS("GNK US Equity","SUPPLY_CHAIN_CUSTOMERS","RELATIONSHIP_AS_OF_DATE","20150408","cols=1;rows=5")</f>
        <v>GLEN LN Equity</v>
      </c>
      <c r="CW5" t="str">
        <f>_xll.BDS("HAFC US Equity","SUPPLY_CHAIN_SUPPLIERS","RELATIONSHIP_AS_OF_DATE","20031222","cols=1;rows=2")</f>
        <v>003490 KS Equity</v>
      </c>
      <c r="DB5" t="str">
        <f>_xll.BDS("HAFC US Equity","SUPPLY_CHAIN_CUSTOMERS","RELATIONSHIP_AS_OF_DATE","20031222")</f>
        <v>#N/A N/A</v>
      </c>
      <c r="DG5" t="str">
        <f>_xll.BDS("AMAT US Equity","SUPPLY_CHAIN_SUPPLIERS","RELATIONSHIP_AS_OF_DATE","20060504","cols=1;rows=5")</f>
        <v>UCTT US Equity</v>
      </c>
      <c r="DL5" t="str">
        <f>_xll.BDS("AMAT US Equity","SUPPLY_CHAIN_CUSTOMERS","RELATIONSHIP_AS_OF_DATE","20060504","cols=1;rows=5")</f>
        <v>2330 TT Equity</v>
      </c>
      <c r="DQ5" t="str">
        <f>_xll.BDS("PPC US Equity","SUPPLY_CHAIN_SUPPLIERS","RELATIONSHIP_AS_OF_DATE","20000927","cols=1;rows=5")</f>
        <v>JBS US Equity</v>
      </c>
      <c r="DV5" t="str">
        <f>_xll.BDS("PPC US Equity","SUPPLY_CHAIN_CUSTOMERS","RELATIONSHIP_AS_OF_DATE","20000927","cols=1;rows=5")</f>
        <v>COST US Equity</v>
      </c>
      <c r="EA5" t="str">
        <f>_xll.BDS("PEBO US Equity","SUPPLY_CHAIN_SUPPLIERS","RELATIONSHIP_AS_OF_DATE","20210329")</f>
        <v>#N/A N/A</v>
      </c>
      <c r="EF5" t="str">
        <f>_xll.BDS("PEBO US Equity","SUPPLY_CHAIN_CUSTOMERS","RELATIONSHIP_AS_OF_DATE","20210329")</f>
        <v>#N/A N/A</v>
      </c>
      <c r="EK5" t="str">
        <f>_xll.BDS("HON US Equity","SUPPLY_CHAIN_SUPPLIERS","RELATIONSHIP_AS_OF_DATE","19991101","cols=1;rows=5")</f>
        <v>CLS CN Equity</v>
      </c>
      <c r="EP5" t="str">
        <f>_xll.BDS("HON US Equity","SUPPLY_CHAIN_CUSTOMERS","RELATIONSHIP_AS_OF_DATE","19991101","cols=1;rows=5")</f>
        <v>3352Z US Equity</v>
      </c>
      <c r="EU5" t="str">
        <f>_xll.BDS("PRSU US Equity","SUPPLY_CHAIN_SUPPLIERS","RELATIONSHIP_AS_OF_DATE","19980406","cols=1;rows=3")</f>
        <v>1972 HK Equity</v>
      </c>
      <c r="EZ5" t="str">
        <f>_xll.BDS("PRSU US Equity","SUPPLY_CHAIN_CUSTOMERS","RELATIONSHIP_AS_OF_DATE","19980406")</f>
        <v>TMB VN Equity</v>
      </c>
      <c r="FE5" t="str">
        <f>_xll.BDS("FITB US Equity","SUPPLY_CHAIN_SUPPLIERS","RELATIONSHIP_AS_OF_DATE","20020724","cols=1;rows=5")</f>
        <v>004800 KS Equity</v>
      </c>
      <c r="FJ5" t="str">
        <f>_xll.BDS("FITB US Equity","SUPPLY_CHAIN_CUSTOMERS","RELATIONSHIP_AS_OF_DATE","20020724")</f>
        <v>USIO US Equity</v>
      </c>
      <c r="FO5" t="str">
        <f>_xll.BDS("XRX US Equity","SUPPLY_CHAIN_SUPPLIERS","RELATIONSHIP_AS_OF_DATE","19980305","cols=1;rows=5")</f>
        <v>4901 JP Equity</v>
      </c>
      <c r="FT5" t="str">
        <f>_xll.BDS("XRX US Equity","SUPPLY_CHAIN_CUSTOMERS","RELATIONSHIP_AS_OF_DATE","19980305","cols=1;rows=5")</f>
        <v>SNX US Equity</v>
      </c>
      <c r="FY5" t="str">
        <f>_xll.BDS("2596516D US Equity","SUPPLY_CHAIN_SUPPLIERS","RELATIONSHIP_AS_OF_DATE","20071031")</f>
        <v>#N/A N/A</v>
      </c>
      <c r="GD5" t="str">
        <f>_xll.BDS("2596516D US Equity","SUPPLY_CHAIN_CUSTOMERS","RELATIONSHIP_AS_OF_DATE","20071031")</f>
        <v>#N/A N/A</v>
      </c>
      <c r="GI5" t="str">
        <f>_xll.BDS("BMC US Equity","SUPPLY_CHAIN_SUPPLIERS","RELATIONSHIP_AS_OF_DATE","19980202")</f>
        <v>AMZN US Equity</v>
      </c>
      <c r="GN5" t="str">
        <f>_xll.BDS("BMC US Equity","SUPPLY_CHAIN_CUSTOMERS","RELATIONSHIP_AS_OF_DATE","19980202")</f>
        <v>#N/A N/A</v>
      </c>
      <c r="GS5" t="str">
        <f>_xll.BDS("FRME US Equity","SUPPLY_CHAIN_SUPPLIERS","RELATIONSHIP_AS_OF_DATE","20181010")</f>
        <v>#N/A N/A</v>
      </c>
      <c r="GX5" t="str">
        <f>_xll.BDS("FRME US Equity","SUPPLY_CHAIN_CUSTOMERS","RELATIONSHIP_AS_OF_DATE","20181010")</f>
        <v>#N/A N/A</v>
      </c>
      <c r="HC5" t="str">
        <f>_xll.BDS("UPBD US Equity","SUPPLY_CHAIN_SUPPLIERS","RELATIONSHIP_AS_OF_DATE","20060808","cols=1;rows=5")</f>
        <v>066570 KS Equity</v>
      </c>
      <c r="HH5" t="str">
        <f>_xll.BDS("UPBD US Equity","SUPPLY_CHAIN_CUSTOMERS","RELATIONSHIP_AS_OF_DATE","20060808")</f>
        <v>0112951Z US Equity</v>
      </c>
      <c r="HM5" t="str">
        <f>_xll.BDS("PBKS US Equity","SUPPLY_CHAIN_SUPPLIERS","RELATIONSHIP_AS_OF_DATE","20031103")</f>
        <v>#N/A N/A</v>
      </c>
      <c r="HR5" t="str">
        <f>_xll.BDS("PBKS US Equity","SUPPLY_CHAIN_CUSTOMERS","RELATIONSHIP_AS_OF_DATE","20031103")</f>
        <v>#N/A N/A</v>
      </c>
      <c r="HW5" t="str">
        <f>_xll.BDS("FSH US Equity","SUPPLY_CHAIN_SUPPLIERS","RELATIONSHIP_AS_OF_DATE","20060316")</f>
        <v>#N/A N/A</v>
      </c>
      <c r="IB5" t="str">
        <f>_xll.BDS("FSH US Equity","SUPPLY_CHAIN_CUSTOMERS","RELATIONSHIP_AS_OF_DATE","20060316")</f>
        <v>#N/A N/A</v>
      </c>
      <c r="IG5" t="str">
        <f>_xll.BDS("ANSS US Equity","SUPPLY_CHAIN_SUPPLIERS","RELATIONSHIP_AS_OF_DATE","20110630","cols=1;rows=5")</f>
        <v>NVDA US Equity</v>
      </c>
      <c r="IL5" t="str">
        <f>_xll.BDS("ANSS US Equity","SUPPLY_CHAIN_CUSTOMERS","RELATIONSHIP_AS_OF_DATE","20110630","cols=1;rows=5")</f>
        <v>CAT US Equity</v>
      </c>
      <c r="IQ5" t="str">
        <f>_xll.BDS("ITW US Equity","SUPPLY_CHAIN_SUPPLIERS","RELATIONSHIP_AS_OF_DATE","20060905","cols=1;rows=5")</f>
        <v>179 HK Equity</v>
      </c>
      <c r="IV5" t="str">
        <f>_xll.BDS("ITW US Equity","SUPPLY_CHAIN_CUSTOMERS","RELATIONSHIP_AS_OF_DATE","20060905","cols=1;rows=5")</f>
        <v>TSCO US Equity</v>
      </c>
      <c r="JA5" t="str">
        <f>_xll.BDS("CDNS US Equity","SUPPLY_CHAIN_SUPPLIERS","RELATIONSHIP_AS_OF_DATE","19981209","cols=1;rows=5")</f>
        <v>JBL US Equity</v>
      </c>
      <c r="JF5" t="str">
        <f>_xll.BDS("CDNS US Equity","SUPPLY_CHAIN_CUSTOMERS","RELATIONSHIP_AS_OF_DATE","19981209","cols=1;rows=5")</f>
        <v>IBM US Equity</v>
      </c>
      <c r="JK5" t="str">
        <f>_xll.BDS("1023761D US Equity","SUPPLY_CHAIN_SUPPLIERS","RELATIONSHIP_AS_OF_DATE","20120206")</f>
        <v>#N/A N/A</v>
      </c>
      <c r="JP5" t="str">
        <f>_xll.BDS("1023761D US Equity","SUPPLY_CHAIN_CUSTOMERS","RELATIONSHIP_AS_OF_DATE","20120206")</f>
        <v>#N/A N/A</v>
      </c>
      <c r="JU5" t="str">
        <f>_xll.BDS("0941825D US Equity","SUPPLY_CHAIN_SUPPLIERS","RELATIONSHIP_AS_OF_DATE","20010116")</f>
        <v>#N/A N/A</v>
      </c>
      <c r="JZ5" t="str">
        <f>_xll.BDS("0941825D US Equity","SUPPLY_CHAIN_CUSTOMERS","RELATIONSHIP_AS_OF_DATE","20010116")</f>
        <v>#N/A N/A</v>
      </c>
      <c r="KE5" t="str">
        <f>_xll.BDS("GLK US Equity","SUPPLY_CHAIN_SUPPLIERS","RELATIONSHIP_AS_OF_DATE","19990311")</f>
        <v>#N/A N/A</v>
      </c>
      <c r="KJ5" t="str">
        <f>_xll.BDS("GLK US Equity","SUPPLY_CHAIN_CUSTOMERS","RELATIONSHIP_AS_OF_DATE","19990311")</f>
        <v>#N/A N/A</v>
      </c>
      <c r="KO5" t="str">
        <f>_xll.BDS("MCDTA US Equity","SUPPLY_CHAIN_SUPPLIERS","RELATIONSHIP_AS_OF_DATE","20050118")</f>
        <v>#N/A N/A</v>
      </c>
      <c r="KT5" t="str">
        <f>_xll.BDS("MCDTA US Equity","SUPPLY_CHAIN_CUSTOMERS","RELATIONSHIP_AS_OF_DATE","20050118")</f>
        <v>#N/A N/A</v>
      </c>
      <c r="KY5" t="str">
        <f>_xll.BDS("2313711D US Equity","SUPPLY_CHAIN_SUPPLIERS","RELATIONSHIP_AS_OF_DATE","20000824")</f>
        <v>#N/A N/A</v>
      </c>
      <c r="LD5" t="str">
        <f>_xll.BDS("2313711D US Equity","SUPPLY_CHAIN_CUSTOMERS","RELATIONSHIP_AS_OF_DATE","20000824")</f>
        <v>#N/A N/A</v>
      </c>
      <c r="LI5" t="str">
        <f>_xll.BDS("GE US Equity","SUPPLY_CHAIN_SUPPLIERS","RELATIONSHIP_AS_OF_DATE","20021104","cols=1;rows=5")</f>
        <v>SAF FP Equity</v>
      </c>
      <c r="LN5" t="str">
        <f>_xll.BDS("GE US Equity","SUPPLY_CHAIN_CUSTOMERS","RELATIONSHIP_AS_OF_DATE","20021104","cols=1;rows=5")</f>
        <v>3352Z US Equity</v>
      </c>
      <c r="LS5" t="str">
        <f>_xll.BDS("CRI US Equity","SUPPLY_CHAIN_SUPPLIERS","RELATIONSHIP_AS_OF_DATE","20050510","cols=1;rows=5")</f>
        <v>MUST SP Equity</v>
      </c>
      <c r="LX5" t="str">
        <f>_xll.BDS("CRI US Equity","SUPPLY_CHAIN_CUSTOMERS","RELATIONSHIP_AS_OF_DATE","20050510","cols=1;rows=5")</f>
        <v>AMZN US Equity</v>
      </c>
      <c r="MC5" t="str">
        <f>_xll.BDS("HAL US Equity","SUPPLY_CHAIN_SUPPLIERS","RELATIONSHIP_AS_OF_DATE","20100410","cols=1;rows=5")</f>
        <v>KEMIRA FH Equity</v>
      </c>
      <c r="MH5" t="str">
        <f>_xll.BDS("HAL US Equity","SUPPLY_CHAIN_CUSTOMERS","RELATIONSHIP_AS_OF_DATE","20100410","cols=1;rows=5")</f>
        <v>0318891D GR Equity</v>
      </c>
      <c r="MM5" t="str">
        <f>_xll.BDS("ACH US Equity","SUPPLY_CHAIN_SUPPLIERS","RELATIONSHIP_AS_OF_DATE","20140625","cols=1;rows=5")</f>
        <v>CAH US Equity</v>
      </c>
      <c r="MR5" t="str">
        <f>_xll.BDS("ACH US Equity","SUPPLY_CHAIN_CUSTOMERS","RELATIONSHIP_AS_OF_DATE","20140625","cols=1;rows=4")</f>
        <v>1339564D US Equity</v>
      </c>
      <c r="MW5" t="str">
        <f>_xll.BDS("COLB US Equity","SUPPLY_CHAIN_SUPPLIERS","RELATIONSHIP_AS_OF_DATE","20210623")</f>
        <v>INVE US Equity</v>
      </c>
      <c r="NB5" t="str">
        <f>_xll.BDS("COLB US Equity","SUPPLY_CHAIN_CUSTOMERS","RELATIONSHIP_AS_OF_DATE","20210623")</f>
        <v>#N/A N/A</v>
      </c>
      <c r="NG5" t="str">
        <f>_xll.BDS("AME US Equity","SUPPLY_CHAIN_SUPPLIERS","RELATIONSHIP_AS_OF_DATE","20140411","cols=1;rows=5")</f>
        <v>COHR US Equity</v>
      </c>
      <c r="NL5" t="str">
        <f>_xll.BDS("AME US Equity","SUPPLY_CHAIN_CUSTOMERS","RELATIONSHIP_AS_OF_DATE","20140411","cols=1;rows=5")</f>
        <v>SNX US Equity</v>
      </c>
      <c r="NQ5" t="str">
        <f>_xll.BDS("9993232D US Equity","SUPPLY_CHAIN_SUPPLIERS","RELATIONSHIP_AS_OF_DATE","20131223")</f>
        <v>#N/A N/A</v>
      </c>
      <c r="NV5" t="str">
        <f>_xll.BDS("9993232D US Equity","SUPPLY_CHAIN_CUSTOMERS","RELATIONSHIP_AS_OF_DATE","20131223")</f>
        <v>#N/A N/A</v>
      </c>
      <c r="OA5" t="str">
        <f>_xll.BDS("0687288D US Equity","SUPPLY_CHAIN_SUPPLIERS","RELATIONSHIP_AS_OF_DATE","19990310")</f>
        <v>#N/A N/A</v>
      </c>
      <c r="OF5" t="str">
        <f>_xll.BDS("0687288D US Equity","SUPPLY_CHAIN_CUSTOMERS","RELATIONSHIP_AS_OF_DATE","19990310")</f>
        <v>#N/A N/A</v>
      </c>
    </row>
    <row r="6" spans="1:396" x14ac:dyDescent="0.25">
      <c r="U6" t="s">
        <v>11065</v>
      </c>
      <c r="Z6" t="s">
        <v>684</v>
      </c>
      <c r="AE6" t="s">
        <v>11508</v>
      </c>
      <c r="AJ6" t="s">
        <v>3875</v>
      </c>
      <c r="CR6" t="s">
        <v>12072</v>
      </c>
      <c r="CW6" t="s">
        <v>164</v>
      </c>
      <c r="DG6" t="s">
        <v>11060</v>
      </c>
      <c r="DL6" t="s">
        <v>10892</v>
      </c>
      <c r="DQ6" t="s">
        <v>12394</v>
      </c>
      <c r="DV6" t="s">
        <v>477</v>
      </c>
      <c r="EK6" t="s">
        <v>2599</v>
      </c>
      <c r="EP6" t="s">
        <v>1363</v>
      </c>
      <c r="EU6" t="s">
        <v>12280</v>
      </c>
      <c r="FE6" t="s">
        <v>4388</v>
      </c>
      <c r="FO6" t="s">
        <v>10734</v>
      </c>
      <c r="FT6" t="s">
        <v>10955</v>
      </c>
      <c r="HC6" t="s">
        <v>11368</v>
      </c>
      <c r="IG6" t="s">
        <v>266</v>
      </c>
      <c r="IL6" t="s">
        <v>10939</v>
      </c>
      <c r="IQ6" t="s">
        <v>11335</v>
      </c>
      <c r="IV6" t="s">
        <v>10660</v>
      </c>
      <c r="JA6" t="s">
        <v>11779</v>
      </c>
      <c r="JF6" t="s">
        <v>11194</v>
      </c>
      <c r="LI6" t="s">
        <v>11008</v>
      </c>
      <c r="LN6" t="s">
        <v>1363</v>
      </c>
      <c r="LS6" t="s">
        <v>12391</v>
      </c>
      <c r="LX6" t="s">
        <v>10676</v>
      </c>
      <c r="MC6" t="s">
        <v>11858</v>
      </c>
      <c r="MH6" t="s">
        <v>11813</v>
      </c>
      <c r="MM6" t="s">
        <v>44</v>
      </c>
      <c r="MR6" t="s">
        <v>10883</v>
      </c>
      <c r="NG6" t="s">
        <v>12110</v>
      </c>
      <c r="NL6" t="s">
        <v>6386</v>
      </c>
    </row>
    <row r="7" spans="1:396" x14ac:dyDescent="0.25">
      <c r="U7" t="s">
        <v>6477</v>
      </c>
      <c r="Z7" t="s">
        <v>6473</v>
      </c>
      <c r="AE7" t="s">
        <v>10696</v>
      </c>
      <c r="AJ7" t="s">
        <v>12050</v>
      </c>
      <c r="CR7" t="s">
        <v>12073</v>
      </c>
      <c r="DG7" t="s">
        <v>9441</v>
      </c>
      <c r="DL7" t="s">
        <v>3611</v>
      </c>
      <c r="DQ7" t="s">
        <v>12395</v>
      </c>
      <c r="DV7" t="s">
        <v>11114</v>
      </c>
      <c r="EK7" t="s">
        <v>11010</v>
      </c>
      <c r="EP7" t="s">
        <v>10939</v>
      </c>
      <c r="EU7" t="s">
        <v>12281</v>
      </c>
      <c r="FE7" t="s">
        <v>11522</v>
      </c>
      <c r="FO7" t="s">
        <v>2968</v>
      </c>
      <c r="FT7" t="s">
        <v>10918</v>
      </c>
      <c r="HC7" t="s">
        <v>10912</v>
      </c>
      <c r="IG7" t="s">
        <v>12501</v>
      </c>
      <c r="IL7" t="s">
        <v>2967</v>
      </c>
      <c r="IQ7" t="s">
        <v>10807</v>
      </c>
      <c r="IV7" t="s">
        <v>10998</v>
      </c>
      <c r="JA7" t="s">
        <v>7300</v>
      </c>
      <c r="JF7" t="s">
        <v>11090</v>
      </c>
      <c r="LI7" t="s">
        <v>11009</v>
      </c>
      <c r="LN7" t="s">
        <v>10939</v>
      </c>
      <c r="LS7" t="s">
        <v>11378</v>
      </c>
      <c r="LX7" t="s">
        <v>10775</v>
      </c>
      <c r="MC7" t="s">
        <v>11464</v>
      </c>
      <c r="MH7" t="s">
        <v>11814</v>
      </c>
      <c r="MM7" t="s">
        <v>10743</v>
      </c>
      <c r="MR7" t="s">
        <v>10909</v>
      </c>
      <c r="NG7" t="s">
        <v>11849</v>
      </c>
      <c r="NL7" t="s">
        <v>10939</v>
      </c>
    </row>
    <row r="8" spans="1:396" x14ac:dyDescent="0.25">
      <c r="U8" t="s">
        <v>266</v>
      </c>
      <c r="Z8" t="s">
        <v>11248</v>
      </c>
      <c r="AE8" t="s">
        <v>1265</v>
      </c>
      <c r="AJ8" t="s">
        <v>1080</v>
      </c>
      <c r="CR8" t="s">
        <v>11712</v>
      </c>
      <c r="DG8" t="s">
        <v>5575</v>
      </c>
      <c r="DL8" t="s">
        <v>383</v>
      </c>
      <c r="DQ8" t="s">
        <v>2111</v>
      </c>
      <c r="DV8" t="s">
        <v>11811</v>
      </c>
      <c r="EK8" t="s">
        <v>11802</v>
      </c>
      <c r="EP8" t="s">
        <v>10785</v>
      </c>
      <c r="FE8" t="s">
        <v>11523</v>
      </c>
      <c r="FO8" t="s">
        <v>11049</v>
      </c>
      <c r="FT8" t="s">
        <v>10660</v>
      </c>
      <c r="HC8" t="s">
        <v>2024</v>
      </c>
      <c r="IG8" t="s">
        <v>12502</v>
      </c>
      <c r="IL8" t="s">
        <v>11944</v>
      </c>
      <c r="IQ8" t="s">
        <v>11336</v>
      </c>
      <c r="IV8" t="s">
        <v>6473</v>
      </c>
      <c r="JA8" t="s">
        <v>11780</v>
      </c>
      <c r="JF8" t="s">
        <v>11567</v>
      </c>
      <c r="LI8" t="s">
        <v>11010</v>
      </c>
      <c r="LN8" t="s">
        <v>1652</v>
      </c>
      <c r="LS8" t="s">
        <v>12392</v>
      </c>
      <c r="LX8" t="s">
        <v>11524</v>
      </c>
      <c r="MC8" t="s">
        <v>11859</v>
      </c>
      <c r="MH8" t="s">
        <v>11815</v>
      </c>
      <c r="MM8" t="s">
        <v>10851</v>
      </c>
      <c r="MR8" t="s">
        <v>12745</v>
      </c>
      <c r="NG8" t="s">
        <v>11031</v>
      </c>
      <c r="NL8" t="s">
        <v>5423</v>
      </c>
    </row>
    <row r="9" spans="1:396" x14ac:dyDescent="0.25">
      <c r="U9" t="s">
        <v>11466</v>
      </c>
      <c r="Z9" t="s">
        <v>2967</v>
      </c>
      <c r="AE9" t="s">
        <v>12311</v>
      </c>
      <c r="AJ9" t="s">
        <v>11449</v>
      </c>
      <c r="CR9" t="s">
        <v>12074</v>
      </c>
      <c r="DG9" t="s">
        <v>11486</v>
      </c>
      <c r="DL9" t="s">
        <v>10729</v>
      </c>
      <c r="DQ9" t="s">
        <v>10696</v>
      </c>
      <c r="DV9" t="s">
        <v>10944</v>
      </c>
      <c r="EK9" t="s">
        <v>12211</v>
      </c>
      <c r="EP9" t="s">
        <v>1652</v>
      </c>
      <c r="FE9" t="s">
        <v>8762</v>
      </c>
      <c r="FO9" t="s">
        <v>10735</v>
      </c>
      <c r="FT9" t="s">
        <v>4219</v>
      </c>
      <c r="HC9" t="s">
        <v>11139</v>
      </c>
      <c r="IG9" t="s">
        <v>12503</v>
      </c>
      <c r="IL9" t="s">
        <v>11945</v>
      </c>
      <c r="IQ9" t="s">
        <v>11337</v>
      </c>
      <c r="IV9" t="s">
        <v>3239</v>
      </c>
      <c r="JA9" t="s">
        <v>11361</v>
      </c>
      <c r="JF9" t="s">
        <v>11568</v>
      </c>
      <c r="LI9" t="s">
        <v>3625</v>
      </c>
      <c r="LN9" t="s">
        <v>1740</v>
      </c>
      <c r="LS9" t="s">
        <v>12393</v>
      </c>
      <c r="LX9" t="s">
        <v>10994</v>
      </c>
      <c r="MC9" t="s">
        <v>11860</v>
      </c>
      <c r="MH9" t="s">
        <v>11816</v>
      </c>
      <c r="MM9" t="s">
        <v>2111</v>
      </c>
      <c r="NG9" t="s">
        <v>12111</v>
      </c>
      <c r="NL9" t="s">
        <v>12029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5535</v>
      </c>
      <c r="K1" s="1" t="s">
        <v>5536</v>
      </c>
      <c r="U1" s="1" t="s">
        <v>5537</v>
      </c>
      <c r="AE1" s="1" t="s">
        <v>5538</v>
      </c>
      <c r="AO1" s="1" t="s">
        <v>5539</v>
      </c>
      <c r="AY1" s="1" t="s">
        <v>5540</v>
      </c>
      <c r="BI1" s="1" t="s">
        <v>5541</v>
      </c>
      <c r="BS1" s="1" t="s">
        <v>5542</v>
      </c>
      <c r="CC1" s="1" t="s">
        <v>5543</v>
      </c>
      <c r="CM1" s="1" t="s">
        <v>5544</v>
      </c>
      <c r="CW1" s="1" t="s">
        <v>5545</v>
      </c>
      <c r="DG1" s="1" t="s">
        <v>5546</v>
      </c>
      <c r="DQ1" s="1" t="s">
        <v>5547</v>
      </c>
      <c r="EA1" s="1" t="s">
        <v>5548</v>
      </c>
      <c r="EK1" s="1" t="s">
        <v>5549</v>
      </c>
      <c r="EU1" s="1" t="s">
        <v>5550</v>
      </c>
      <c r="FE1" s="1" t="s">
        <v>5551</v>
      </c>
      <c r="FO1" s="1" t="s">
        <v>5552</v>
      </c>
      <c r="FY1" s="1" t="s">
        <v>5553</v>
      </c>
      <c r="GI1" s="1" t="s">
        <v>5554</v>
      </c>
      <c r="GS1" s="1" t="s">
        <v>5555</v>
      </c>
      <c r="HC1" s="1" t="s">
        <v>5556</v>
      </c>
      <c r="HM1" s="1" t="s">
        <v>5557</v>
      </c>
      <c r="HW1" s="1" t="s">
        <v>5558</v>
      </c>
      <c r="IG1" s="1" t="s">
        <v>5559</v>
      </c>
      <c r="IQ1" s="1" t="s">
        <v>5560</v>
      </c>
      <c r="JA1" s="1" t="s">
        <v>5561</v>
      </c>
      <c r="JK1" s="1" t="s">
        <v>5562</v>
      </c>
      <c r="JU1" s="1" t="s">
        <v>5563</v>
      </c>
      <c r="KE1" s="1" t="s">
        <v>5564</v>
      </c>
      <c r="KO1" s="1" t="s">
        <v>5565</v>
      </c>
      <c r="KY1" s="1" t="s">
        <v>5566</v>
      </c>
      <c r="LI1" s="1" t="s">
        <v>5567</v>
      </c>
      <c r="LS1" s="1" t="s">
        <v>5568</v>
      </c>
      <c r="MC1" s="1" t="s">
        <v>5569</v>
      </c>
      <c r="MM1" s="1" t="s">
        <v>5570</v>
      </c>
      <c r="MW1" s="1" t="s">
        <v>5571</v>
      </c>
      <c r="NG1" s="1" t="s">
        <v>5572</v>
      </c>
      <c r="NQ1" s="1" t="s">
        <v>5573</v>
      </c>
      <c r="OA1" s="1" t="s">
        <v>5574</v>
      </c>
    </row>
    <row r="2" spans="1:396" x14ac:dyDescent="0.25">
      <c r="A2" s="2" t="s">
        <v>5575</v>
      </c>
      <c r="K2" s="2" t="s">
        <v>483</v>
      </c>
      <c r="U2" s="2" t="s">
        <v>5421</v>
      </c>
      <c r="AE2" s="2" t="s">
        <v>5576</v>
      </c>
      <c r="AO2" s="2" t="s">
        <v>4135</v>
      </c>
      <c r="AY2" s="2" t="s">
        <v>5497</v>
      </c>
      <c r="BI2" s="2" t="s">
        <v>3336</v>
      </c>
      <c r="BS2" s="2" t="s">
        <v>677</v>
      </c>
      <c r="CC2" s="2" t="s">
        <v>5577</v>
      </c>
      <c r="CM2" s="2" t="s">
        <v>5578</v>
      </c>
      <c r="CW2" s="2" t="s">
        <v>2124</v>
      </c>
      <c r="DG2" s="2" t="s">
        <v>5579</v>
      </c>
      <c r="DQ2" s="2" t="s">
        <v>1749</v>
      </c>
      <c r="EA2" s="2" t="s">
        <v>5580</v>
      </c>
      <c r="EK2" s="2" t="s">
        <v>5581</v>
      </c>
      <c r="EU2" s="2" t="s">
        <v>5582</v>
      </c>
      <c r="FE2" s="2" t="s">
        <v>5583</v>
      </c>
      <c r="FO2" s="2" t="s">
        <v>3872</v>
      </c>
      <c r="FY2" s="2" t="s">
        <v>5584</v>
      </c>
      <c r="GI2" s="2" t="s">
        <v>3333</v>
      </c>
      <c r="GS2" s="2" t="s">
        <v>1734</v>
      </c>
      <c r="HC2" s="2" t="s">
        <v>5585</v>
      </c>
      <c r="HM2" s="2" t="s">
        <v>5586</v>
      </c>
      <c r="HW2" s="2" t="s">
        <v>46</v>
      </c>
      <c r="IG2" s="2" t="s">
        <v>1931</v>
      </c>
      <c r="IQ2" s="2" t="s">
        <v>471</v>
      </c>
      <c r="JA2" s="2" t="s">
        <v>5587</v>
      </c>
      <c r="JK2" s="2" t="s">
        <v>5588</v>
      </c>
      <c r="JU2" s="2" t="s">
        <v>4039</v>
      </c>
      <c r="KE2" s="2" t="s">
        <v>5589</v>
      </c>
      <c r="KO2" s="2" t="s">
        <v>278</v>
      </c>
      <c r="KY2" s="2" t="s">
        <v>1745</v>
      </c>
      <c r="LI2" s="2" t="s">
        <v>2606</v>
      </c>
      <c r="LS2" s="2" t="s">
        <v>5590</v>
      </c>
      <c r="MC2" s="2" t="s">
        <v>5422</v>
      </c>
      <c r="MM2" s="2" t="s">
        <v>5591</v>
      </c>
      <c r="MW2" s="2" t="s">
        <v>1656</v>
      </c>
      <c r="NG2" s="2" t="s">
        <v>4819</v>
      </c>
      <c r="NQ2" s="2" t="s">
        <v>5592</v>
      </c>
      <c r="OA2" s="2" t="s">
        <v>5593</v>
      </c>
    </row>
    <row r="3" spans="1:396" x14ac:dyDescent="0.25">
      <c r="A3" t="s">
        <v>695</v>
      </c>
      <c r="K3" t="s">
        <v>5594</v>
      </c>
      <c r="U3" t="s">
        <v>5595</v>
      </c>
      <c r="AE3" t="s">
        <v>80</v>
      </c>
      <c r="AO3" t="s">
        <v>4675</v>
      </c>
      <c r="AY3" t="s">
        <v>3719</v>
      </c>
      <c r="BI3" t="s">
        <v>5596</v>
      </c>
      <c r="BS3" t="s">
        <v>2247</v>
      </c>
      <c r="CC3" t="s">
        <v>3277</v>
      </c>
      <c r="CM3" t="s">
        <v>5597</v>
      </c>
      <c r="CW3" t="s">
        <v>3717</v>
      </c>
      <c r="DG3" t="s">
        <v>5598</v>
      </c>
      <c r="DQ3" t="s">
        <v>5599</v>
      </c>
      <c r="EA3" t="s">
        <v>5600</v>
      </c>
      <c r="EK3" t="s">
        <v>5601</v>
      </c>
      <c r="EU3" t="s">
        <v>5602</v>
      </c>
      <c r="FE3" t="s">
        <v>5603</v>
      </c>
      <c r="FO3" t="s">
        <v>5604</v>
      </c>
      <c r="FY3" t="s">
        <v>5605</v>
      </c>
      <c r="GI3" t="s">
        <v>5606</v>
      </c>
      <c r="GS3" t="s">
        <v>5607</v>
      </c>
      <c r="HC3" t="s">
        <v>5608</v>
      </c>
      <c r="HM3" t="s">
        <v>5609</v>
      </c>
      <c r="HW3" t="s">
        <v>2138</v>
      </c>
      <c r="IG3" t="s">
        <v>5107</v>
      </c>
      <c r="IQ3" t="s">
        <v>5610</v>
      </c>
      <c r="JA3" t="s">
        <v>891</v>
      </c>
      <c r="JK3" t="s">
        <v>5611</v>
      </c>
      <c r="JU3" t="s">
        <v>5612</v>
      </c>
      <c r="KE3" t="s">
        <v>5613</v>
      </c>
      <c r="KO3" t="s">
        <v>5614</v>
      </c>
      <c r="KY3" t="s">
        <v>3819</v>
      </c>
      <c r="LI3" t="s">
        <v>5094</v>
      </c>
      <c r="LS3" t="s">
        <v>5615</v>
      </c>
      <c r="MC3" t="s">
        <v>215</v>
      </c>
      <c r="MM3" t="s">
        <v>5616</v>
      </c>
      <c r="MW3" t="s">
        <v>5617</v>
      </c>
      <c r="NG3" t="s">
        <v>2344</v>
      </c>
      <c r="NQ3" t="s">
        <v>5618</v>
      </c>
      <c r="OA3" t="s">
        <v>5619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_xll.BDS("BHE US Equity","SUPPLY_CHAIN_SUPPLIERS","RELATIONSHIP_AS_OF_DATE","20061017","cols=1;rows=5")</f>
        <v>FTG CN Equity</v>
      </c>
      <c r="F5" t="str">
        <f>_xll.BDS("BHE US Equity","SUPPLY_CHAIN_CUSTOMERS","RELATIONSHIP_AS_OF_DATE","20061017","cols=1;rows=5")</f>
        <v>AMAT US Equity</v>
      </c>
      <c r="K5" t="str">
        <f>_xll.BDS("BAX US Equity","SUPPLY_CHAIN_SUPPLIERS","RELATIONSHIP_AS_OF_DATE","20111213","cols=1;rows=5")</f>
        <v>BHE US Equity</v>
      </c>
      <c r="P5" t="str">
        <f>_xll.BDS("BAX US Equity","SUPPLY_CHAIN_CUSTOMERS","RELATIONSHIP_AS_OF_DATE","20111213","cols=1;rows=5")</f>
        <v>1788 TT Equity</v>
      </c>
      <c r="U5" t="str">
        <f>_xll.BDS("TER US Equity","SUPPLY_CHAIN_SUPPLIERS","RELATIONSHIP_AS_OF_DATE","20080902","cols=1;rows=5")</f>
        <v>NVDA US Equity</v>
      </c>
      <c r="Z5" t="str">
        <f>_xll.BDS("TER US Equity","SUPPLY_CHAIN_CUSTOMERS","RELATIONSHIP_AS_OF_DATE","20080902","cols=1;rows=5")</f>
        <v>005930 KS Equity</v>
      </c>
      <c r="AE5" t="str">
        <f>_xll.BDS("1567696D US Equity","SUPPLY_CHAIN_SUPPLIERS","RELATIONSHIP_AS_OF_DATE","19981201")</f>
        <v>#N/A N/A</v>
      </c>
      <c r="AJ5" t="str">
        <f>_xll.BDS("1567696D US Equity","SUPPLY_CHAIN_CUSTOMERS","RELATIONSHIP_AS_OF_DATE","19981201")</f>
        <v>#N/A N/A</v>
      </c>
      <c r="AO5" t="str">
        <f>_xll.BDS("ASB US Equity","SUPPLY_CHAIN_SUPPLIERS","RELATIONSHIP_AS_OF_DATE","20050321","cols=1;rows=2")</f>
        <v>NICE IT Equity</v>
      </c>
      <c r="AT5" t="str">
        <f>_xll.BDS("ASB US Equity","SUPPLY_CHAIN_CUSTOMERS","RELATIONSHIP_AS_OF_DATE","20050321")</f>
        <v>#N/A N/A</v>
      </c>
      <c r="AY5" t="str">
        <f>_xll.BDS("FRME US Equity","SUPPLY_CHAIN_SUPPLIERS","RELATIONSHIP_AS_OF_DATE","20211104")</f>
        <v>#N/A N/A</v>
      </c>
      <c r="BD5" t="str">
        <f>_xll.BDS("FRME US Equity","SUPPLY_CHAIN_CUSTOMERS","RELATIONSHIP_AS_OF_DATE","20211104")</f>
        <v>#N/A N/A</v>
      </c>
      <c r="BI5" t="str">
        <f>_xll.BDS("3346Q US Equity","SUPPLY_CHAIN_SUPPLIERS","RELATIONSHIP_AS_OF_DATE","19990219")</f>
        <v>#N/A N/A</v>
      </c>
      <c r="BN5" t="str">
        <f>_xll.BDS("3346Q US Equity","SUPPLY_CHAIN_CUSTOMERS","RELATIONSHIP_AS_OF_DATE","19990219")</f>
        <v>#N/A N/A</v>
      </c>
      <c r="BS5" t="str">
        <f>_xll.BDS("DLTR US Equity","SUPPLY_CHAIN_SUPPLIERS","RELATIONSHIP_AS_OF_DATE","20000405","cols=1;rows=5")</f>
        <v>PG US Equity</v>
      </c>
      <c r="BX5" t="str">
        <f>_xll.BDS("DLTR US Equity","SUPPLY_CHAIN_CUSTOMERS","RELATIONSHIP_AS_OF_DATE","20000405","cols=1;rows=2")</f>
        <v>CART US Equity</v>
      </c>
      <c r="CC5" t="str">
        <f>_xll.BDS("GNLN US Equity","SUPPLY_CHAIN_SUPPLIERS","RELATIONSHIP_AS_OF_DATE","20210331","cols=1;rows=5")</f>
        <v>1002988D US Equity</v>
      </c>
      <c r="CH5" t="str">
        <f>_xll.BDS("GNLN US Equity","SUPPLY_CHAIN_CUSTOMERS","RELATIONSHIP_AS_OF_DATE","20210331","cols=1;rows=3")</f>
        <v>AMZN US Equity</v>
      </c>
      <c r="CM5" t="str">
        <f>_xll.BDS("1537336D US Equity","SUPPLY_CHAIN_SUPPLIERS","RELATIONSHIP_AS_OF_DATE","20130508")</f>
        <v>#N/A N/A</v>
      </c>
      <c r="CR5" t="str">
        <f>_xll.BDS("1537336D US Equity","SUPPLY_CHAIN_CUSTOMERS","RELATIONSHIP_AS_OF_DATE","20130508")</f>
        <v>#N/A N/A</v>
      </c>
      <c r="CW5" t="str">
        <f>_xll.BDS("PACW US Equity","SUPPLY_CHAIN_SUPPLIERS","RELATIONSHIP_AS_OF_DATE","20060516")</f>
        <v>#N/A N/A</v>
      </c>
      <c r="DB5" t="str">
        <f>_xll.BDS("PACW US Equity","SUPPLY_CHAIN_CUSTOMERS","RELATIONSHIP_AS_OF_DATE","20060516")</f>
        <v>SNX US Equity</v>
      </c>
      <c r="DG5" t="str">
        <f>_xll.BDS("SCUR US Equity","SUPPLY_CHAIN_SUPPLIERS","RELATIONSHIP_AS_OF_DATE","20050818")</f>
        <v>#N/A N/A</v>
      </c>
      <c r="DL5" t="str">
        <f>_xll.BDS("SCUR US Equity","SUPPLY_CHAIN_CUSTOMERS","RELATIONSHIP_AS_OF_DATE","20050818")</f>
        <v>#N/A N/A</v>
      </c>
      <c r="DQ5" t="str">
        <f>_xll.BDS("TWC US Equity","SUPPLY_CHAIN_SUPPLIERS","RELATIONSHIP_AS_OF_DATE","20110201")</f>
        <v>#N/A N/A</v>
      </c>
      <c r="DV5" t="str">
        <f>_xll.BDS("TWC US Equity","SUPPLY_CHAIN_CUSTOMERS","RELATIONSHIP_AS_OF_DATE","20110201")</f>
        <v>#N/A N/A</v>
      </c>
      <c r="EA5" t="str">
        <f>_xll.BDS("TDW US Equity","SUPPLY_CHAIN_SUPPLIERS","RELATIONSHIP_AS_OF_DATE","20180716","cols=1;rows=5")</f>
        <v>0180636D CH Equity</v>
      </c>
      <c r="EF5" t="str">
        <f>_xll.BDS("TDW US Equity","SUPPLY_CHAIN_CUSTOMERS","RELATIONSHIP_AS_OF_DATE","20180716","cols=1;rows=5")</f>
        <v>ENI IM Equity</v>
      </c>
      <c r="EK5" t="str">
        <f>_xll.BDS("FCHDQ US Equity","SUPPLY_CHAIN_SUPPLIERS","RELATIONSHIP_AS_OF_DATE","19981227")</f>
        <v>#N/A N/A</v>
      </c>
      <c r="EP5" t="str">
        <f>_xll.BDS("FCHDQ US Equity","SUPPLY_CHAIN_CUSTOMERS","RELATIONSHIP_AS_OF_DATE","19981227")</f>
        <v>#N/A N/A</v>
      </c>
      <c r="EU5" t="str">
        <f>_xll.BDS("BLKB US Equity","SUPPLY_CHAIN_SUPPLIERS","RELATIONSHIP_AS_OF_DATE","20120117","cols=1;rows=2")</f>
        <v>0170016D US Equity</v>
      </c>
      <c r="EZ5" t="str">
        <f>_xll.BDS("BLKB US Equity","SUPPLY_CHAIN_CUSTOMERS","RELATIONSHIP_AS_OF_DATE","20120117","cols=1;rows=5")</f>
        <v>0153039D US Equity</v>
      </c>
      <c r="FE5" t="str">
        <f>_xll.BDS("2217881D US Equity","SUPPLY_CHAIN_SUPPLIERS","RELATIONSHIP_AS_OF_DATE","19981029")</f>
        <v>#N/A N/A</v>
      </c>
      <c r="FJ5" t="str">
        <f>_xll.BDS("2217881D US Equity","SUPPLY_CHAIN_CUSTOMERS","RELATIONSHIP_AS_OF_DATE","19981029")</f>
        <v>#N/A N/A</v>
      </c>
      <c r="FO5" t="str">
        <f>_xll.BDS("1847569D US Equity","SUPPLY_CHAIN_SUPPLIERS","RELATIONSHIP_AS_OF_DATE","20080324")</f>
        <v>#N/A N/A</v>
      </c>
      <c r="FT5" t="str">
        <f>_xll.BDS("1847569D US Equity","SUPPLY_CHAIN_CUSTOMERS","RELATIONSHIP_AS_OF_DATE","20080324")</f>
        <v>#N/A N/A</v>
      </c>
      <c r="FY5" t="str">
        <f>_xll.BDS("3017264Q US Equity","SUPPLY_CHAIN_SUPPLIERS","RELATIONSHIP_AS_OF_DATE","19990323")</f>
        <v>#N/A N/A</v>
      </c>
      <c r="GD5" t="str">
        <f>_xll.BDS("3017264Q US Equity","SUPPLY_CHAIN_CUSTOMERS","RELATIONSHIP_AS_OF_DATE","19990323")</f>
        <v>#N/A N/A</v>
      </c>
      <c r="GI5" t="str">
        <f>_xll.BDS("UBSI US Equity","SUPPLY_CHAIN_SUPPLIERS","RELATIONSHIP_AS_OF_DATE","20210603")</f>
        <v>FICO US Equity</v>
      </c>
      <c r="GN5" t="str">
        <f>_xll.BDS("UBSI US Equity","SUPPLY_CHAIN_CUSTOMERS","RELATIONSHIP_AS_OF_DATE","20210603")</f>
        <v>#N/A N/A</v>
      </c>
      <c r="GS5" t="str">
        <f>_xll.BDS("2326248D US Equity","SUPPLY_CHAIN_SUPPLIERS","RELATIONSHIP_AS_OF_DATE","20050609")</f>
        <v>#N/A N/A</v>
      </c>
      <c r="GX5" t="str">
        <f>_xll.BDS("2326248D US Equity","SUPPLY_CHAIN_CUSTOMERS","RELATIONSHIP_AS_OF_DATE","20050609")</f>
        <v>#N/A N/A</v>
      </c>
      <c r="HC5" t="str">
        <f>_xll.BDS("BGGSQ US Equity","SUPPLY_CHAIN_SUPPLIERS","RELATIONSHIP_AS_OF_DATE","20010301","cols=1;rows=5")</f>
        <v>6042 JP Equity</v>
      </c>
      <c r="HH5" t="str">
        <f>_xll.BDS("BGGSQ US Equity","SUPPLY_CHAIN_CUSTOMERS","RELATIONSHIP_AS_OF_DATE","20010301","cols=1;rows=5")</f>
        <v>000816 CH Equity</v>
      </c>
      <c r="HM5" t="str">
        <f>_xll.BDS("CVG US Equity","SUPPLY_CHAIN_SUPPLIERS","RELATIONSHIP_AS_OF_DATE","20080716")</f>
        <v>#N/A N/A</v>
      </c>
      <c r="HR5" t="str">
        <f>_xll.BDS("CVG US Equity","SUPPLY_CHAIN_CUSTOMERS","RELATIONSHIP_AS_OF_DATE","20080716")</f>
        <v>#N/A N/A</v>
      </c>
      <c r="HW5" t="str">
        <f>_xll.BDS("DIS US Equity","SUPPLY_CHAIN_SUPPLIERS","RELATIONSHIP_AS_OF_DATE","20010129","cols=1;rows=5")</f>
        <v>GTN US Equity</v>
      </c>
      <c r="IB5" t="str">
        <f>_xll.BDS("DIS US Equity","SUPPLY_CHAIN_CUSTOMERS","RELATIONSHIP_AS_OF_DATE","20010129","cols=1;rows=5")</f>
        <v>AD NA Equity</v>
      </c>
      <c r="IG5" t="str">
        <f>_xll.BDS("FLG US Equity","SUPPLY_CHAIN_SUPPLIERS","RELATIONSHIP_AS_OF_DATE","20061102","cols=1;rows=5")</f>
        <v>CXM US Equity</v>
      </c>
      <c r="IL5" t="str">
        <f>_xll.BDS("FLG US Equity","SUPPLY_CHAIN_CUSTOMERS","RELATIONSHIP_AS_OF_DATE","20061102")</f>
        <v>#N/A N/A</v>
      </c>
      <c r="IQ5" t="str">
        <f>_xll.BDS("BHC CN Equity","SUPPLY_CHAIN_SUPPLIERS","RELATIONSHIP_AS_OF_DATE","20181212","cols=1;rows=5")</f>
        <v>ATR US Equity</v>
      </c>
      <c r="IV5" t="str">
        <f>_xll.BDS("BHC CN Equity","SUPPLY_CHAIN_CUSTOMERS","RELATIONSHIP_AS_OF_DATE","20181212","cols=1;rows=5")</f>
        <v>COR US Equity</v>
      </c>
      <c r="JA5" t="str">
        <f>_xll.BDS("KTOS US Equity","SUPPLY_CHAIN_SUPPLIERS","RELATIONSHIP_AS_OF_DATE","20110207","cols=1;rows=5")</f>
        <v>EMKR US Equity</v>
      </c>
      <c r="JF5" t="str">
        <f>_xll.BDS("KTOS US Equity","SUPPLY_CHAIN_CUSTOMERS","RELATIONSHIP_AS_OF_DATE","20110207","cols=1;rows=5")</f>
        <v>3352Z US Equity</v>
      </c>
      <c r="JK5" t="str">
        <f>_xll.BDS("SYBT US Equity","SUPPLY_CHAIN_SUPPLIERS","RELATIONSHIP_AS_OF_DATE","20210127")</f>
        <v>#N/A N/A</v>
      </c>
      <c r="JP5" t="str">
        <f>_xll.BDS("SYBT US Equity","SUPPLY_CHAIN_CUSTOMERS","RELATIONSHIP_AS_OF_DATE","20210127")</f>
        <v>#N/A N/A</v>
      </c>
      <c r="JU5" t="str">
        <f>_xll.BDS("PFS US Equity","SUPPLY_CHAIN_SUPPLIERS","RELATIONSHIP_AS_OF_DATE","20200312","cols=1;rows=2")</f>
        <v>1747628D US Equity</v>
      </c>
      <c r="JZ5" t="str">
        <f>_xll.BDS("PFS US Equity","SUPPLY_CHAIN_CUSTOMERS","RELATIONSHIP_AS_OF_DATE","20200312")</f>
        <v>#N/A N/A</v>
      </c>
      <c r="KE5" t="str">
        <f>_xll.BDS("ZLC US Equity","SUPPLY_CHAIN_SUPPLIERS","RELATIONSHIP_AS_OF_DATE","20000811")</f>
        <v>#N/A N/A</v>
      </c>
      <c r="KJ5" t="str">
        <f>_xll.BDS("ZLC US Equity","SUPPLY_CHAIN_CUSTOMERS","RELATIONSHIP_AS_OF_DATE","20000811")</f>
        <v>#N/A N/A</v>
      </c>
      <c r="KO5" t="str">
        <f>_xll.BDS("APC US Equity","SUPPLY_CHAIN_SUPPLIERS","RELATIONSHIP_AS_OF_DATE","20020930")</f>
        <v>#N/A N/A</v>
      </c>
      <c r="KT5" t="str">
        <f>_xll.BDS("APC US Equity","SUPPLY_CHAIN_CUSTOMERS","RELATIONSHIP_AS_OF_DATE","20020930")</f>
        <v>#N/A N/A</v>
      </c>
      <c r="KY5" t="str">
        <f>_xll.BDS("KG US Equity","SUPPLY_CHAIN_SUPPLIERS","RELATIONSHIP_AS_OF_DATE","19991201")</f>
        <v>#N/A N/A</v>
      </c>
      <c r="LD5" t="str">
        <f>_xll.BDS("KG US Equity","SUPPLY_CHAIN_CUSTOMERS","RELATIONSHIP_AS_OF_DATE","19991201")</f>
        <v>#N/A N/A</v>
      </c>
      <c r="LI5" t="str">
        <f>_xll.BDS("GLW US Equity","SUPPLY_CHAIN_SUPPLIERS","RELATIONSHIP_AS_OF_DATE","20160407","cols=1;rows=5")</f>
        <v>300570 CH Equity</v>
      </c>
      <c r="LN5" t="str">
        <f>_xll.BDS("GLW US Equity","SUPPLY_CHAIN_CUSTOMERS","RELATIONSHIP_AS_OF_DATE","20160407","cols=1;rows=5")</f>
        <v>005930 KS Equity</v>
      </c>
      <c r="LS5" t="str">
        <f>_xll.BDS("TRA US Equity","SUPPLY_CHAIN_SUPPLIERS","RELATIONSHIP_AS_OF_DATE","20040809")</f>
        <v>#N/A N/A</v>
      </c>
      <c r="LX5" t="str">
        <f>_xll.BDS("TRA US Equity","SUPPLY_CHAIN_CUSTOMERS","RELATIONSHIP_AS_OF_DATE","20040809")</f>
        <v>#N/A N/A</v>
      </c>
      <c r="MC5" t="str">
        <f>_xll.BDS("TOWN US Equity","SUPPLY_CHAIN_SUPPLIERS","RELATIONSHIP_AS_OF_DATE","20140715")</f>
        <v>#N/A N/A</v>
      </c>
      <c r="MH5" t="str">
        <f>_xll.BDS("TOWN US Equity","SUPPLY_CHAIN_CUSTOMERS","RELATIONSHIP_AS_OF_DATE","20140715")</f>
        <v>#N/A N/A</v>
      </c>
      <c r="MM5" t="str">
        <f>_xll.BDS("CLM US Equity","SUPPLY_CHAIN_SUPPLIERS","RELATIONSHIP_AS_OF_DATE","20150227")</f>
        <v>#N/A N/A</v>
      </c>
      <c r="MR5" t="str">
        <f>_xll.BDS("CLM US Equity","SUPPLY_CHAIN_CUSTOMERS","RELATIONSHIP_AS_OF_DATE","20150227")</f>
        <v>#N/A N/A</v>
      </c>
      <c r="MW5" t="str">
        <f>_xll.BDS("CAR US Equity","SUPPLY_CHAIN_SUPPLIERS","RELATIONSHIP_AS_OF_DATE","20010813","cols=1;rows=5")</f>
        <v>VRRM US Equity</v>
      </c>
      <c r="NB5" t="str">
        <f>_xll.BDS("CAR US Equity","SUPPLY_CHAIN_CUSTOMERS","RELATIONSHIP_AS_OF_DATE","20010813","cols=1;rows=5")</f>
        <v>EIH IN Equity</v>
      </c>
      <c r="NG5" t="str">
        <f>_xll.BDS("MFE US Equity","SUPPLY_CHAIN_SUPPLIERS","RELATIONSHIP_AS_OF_DATE","19980223","cols=1;rows=2")</f>
        <v>EMBASSY IN Equity</v>
      </c>
      <c r="NL5" t="str">
        <f>_xll.BDS("MFE US Equity","SUPPLY_CHAIN_CUSTOMERS","RELATIONSHIP_AS_OF_DATE","19980223","cols=1;rows=5")</f>
        <v>2760 JP Equity</v>
      </c>
      <c r="NQ5" t="str">
        <f>_xll.BDS("DIOD US Equity","SUPPLY_CHAIN_SUPPLIERS","RELATIONSHIP_AS_OF_DATE","20150903","cols=1;rows=5")</f>
        <v>3675 TT Equity</v>
      </c>
      <c r="NV5" t="str">
        <f>_xll.BDS("DIOD US Equity","SUPPLY_CHAIN_CUSTOMERS","RELATIONSHIP_AS_OF_DATE","20150903","cols=1;rows=5")</f>
        <v>ARW US Equity</v>
      </c>
      <c r="OA5" t="str">
        <f>_xll.BDS("3024Q US Equity","SUPPLY_CHAIN_SUPPLIERS","RELATIONSHIP_AS_OF_DATE","19980731")</f>
        <v>#N/A N/A</v>
      </c>
      <c r="OF5" t="str">
        <f>_xll.BDS("3024Q US Equity","SUPPLY_CHAIN_CUSTOMERS","RELATIONSHIP_AS_OF_DATE","19980731")</f>
        <v>#N/A N/A</v>
      </c>
    </row>
    <row r="6" spans="1:396" x14ac:dyDescent="0.25">
      <c r="A6" t="s">
        <v>12076</v>
      </c>
      <c r="F6" t="s">
        <v>11597</v>
      </c>
      <c r="K6" t="s">
        <v>11924</v>
      </c>
      <c r="P6" t="s">
        <v>11948</v>
      </c>
      <c r="U6" t="s">
        <v>10734</v>
      </c>
      <c r="Z6" t="s">
        <v>10729</v>
      </c>
      <c r="AO6" t="s">
        <v>3162</v>
      </c>
      <c r="BS6" t="s">
        <v>378</v>
      </c>
      <c r="BX6" t="s">
        <v>12006</v>
      </c>
      <c r="CC6" t="s">
        <v>12276</v>
      </c>
      <c r="CH6" t="s">
        <v>2401</v>
      </c>
      <c r="EA6" t="s">
        <v>12114</v>
      </c>
      <c r="EF6" t="s">
        <v>11540</v>
      </c>
      <c r="EU6" t="s">
        <v>11157</v>
      </c>
      <c r="EZ6" t="s">
        <v>10702</v>
      </c>
      <c r="HC6" t="s">
        <v>12218</v>
      </c>
      <c r="HH6" t="s">
        <v>12219</v>
      </c>
      <c r="HW6" t="s">
        <v>266</v>
      </c>
      <c r="IB6" t="s">
        <v>10944</v>
      </c>
      <c r="IG6" t="s">
        <v>11962</v>
      </c>
      <c r="IQ6" t="s">
        <v>10814</v>
      </c>
      <c r="IV6" t="s">
        <v>385</v>
      </c>
      <c r="JA6" t="s">
        <v>11086</v>
      </c>
      <c r="JF6" t="s">
        <v>388</v>
      </c>
      <c r="JU6" t="s">
        <v>11371</v>
      </c>
      <c r="LI6" t="s">
        <v>792</v>
      </c>
      <c r="LN6" t="s">
        <v>11942</v>
      </c>
      <c r="MW6" t="s">
        <v>12031</v>
      </c>
      <c r="NB6" t="s">
        <v>11677</v>
      </c>
      <c r="NG6" t="s">
        <v>11452</v>
      </c>
      <c r="NL6" t="s">
        <v>11107</v>
      </c>
      <c r="NQ6" t="s">
        <v>10688</v>
      </c>
      <c r="NV6" t="s">
        <v>10659</v>
      </c>
    </row>
    <row r="7" spans="1:396" x14ac:dyDescent="0.25">
      <c r="A7" t="s">
        <v>10977</v>
      </c>
      <c r="F7" t="s">
        <v>1841</v>
      </c>
      <c r="K7" t="s">
        <v>10814</v>
      </c>
      <c r="P7" t="s">
        <v>11925</v>
      </c>
      <c r="U7" t="s">
        <v>273</v>
      </c>
      <c r="Z7" t="s">
        <v>11090</v>
      </c>
      <c r="BS7" t="s">
        <v>11946</v>
      </c>
      <c r="CC7" t="s">
        <v>12277</v>
      </c>
      <c r="CH7" t="s">
        <v>11941</v>
      </c>
      <c r="EA7" t="s">
        <v>12115</v>
      </c>
      <c r="EF7" t="s">
        <v>12078</v>
      </c>
      <c r="EZ7" t="s">
        <v>10703</v>
      </c>
      <c r="HC7" t="s">
        <v>12252</v>
      </c>
      <c r="HH7" t="s">
        <v>12034</v>
      </c>
      <c r="HW7" t="s">
        <v>12482</v>
      </c>
      <c r="IB7" t="s">
        <v>10661</v>
      </c>
      <c r="IG7" t="s">
        <v>11963</v>
      </c>
      <c r="IQ7" t="s">
        <v>11152</v>
      </c>
      <c r="IV7" t="s">
        <v>970</v>
      </c>
      <c r="JA7" t="s">
        <v>11087</v>
      </c>
      <c r="JF7" t="s">
        <v>10785</v>
      </c>
      <c r="LI7" t="s">
        <v>12250</v>
      </c>
      <c r="LN7" t="s">
        <v>11943</v>
      </c>
      <c r="MW7" t="s">
        <v>10807</v>
      </c>
      <c r="NB7" t="s">
        <v>11678</v>
      </c>
      <c r="NL7" t="s">
        <v>10771</v>
      </c>
      <c r="NQ7" t="s">
        <v>12589</v>
      </c>
      <c r="NV7" t="s">
        <v>3519</v>
      </c>
    </row>
    <row r="8" spans="1:396" x14ac:dyDescent="0.25">
      <c r="A8" t="s">
        <v>693</v>
      </c>
      <c r="F8" t="s">
        <v>42</v>
      </c>
      <c r="K8" t="s">
        <v>11412</v>
      </c>
      <c r="P8" t="s">
        <v>11949</v>
      </c>
      <c r="U8" t="s">
        <v>3439</v>
      </c>
      <c r="Z8" t="s">
        <v>11204</v>
      </c>
      <c r="BS8" t="s">
        <v>366</v>
      </c>
      <c r="CC8" t="s">
        <v>12278</v>
      </c>
      <c r="EA8" t="s">
        <v>12116</v>
      </c>
      <c r="EF8" t="s">
        <v>68</v>
      </c>
      <c r="EZ8" t="s">
        <v>10704</v>
      </c>
      <c r="HC8" t="s">
        <v>12253</v>
      </c>
      <c r="HH8" t="s">
        <v>10661</v>
      </c>
      <c r="HW8" t="s">
        <v>11838</v>
      </c>
      <c r="IB8" t="s">
        <v>12027</v>
      </c>
      <c r="IG8" t="s">
        <v>154</v>
      </c>
      <c r="IQ8" t="s">
        <v>11153</v>
      </c>
      <c r="IV8" t="s">
        <v>10646</v>
      </c>
      <c r="JA8" t="s">
        <v>10696</v>
      </c>
      <c r="JF8" t="s">
        <v>42</v>
      </c>
      <c r="LI8" t="s">
        <v>11584</v>
      </c>
      <c r="LN8" t="s">
        <v>5236</v>
      </c>
      <c r="MW8" t="s">
        <v>171</v>
      </c>
      <c r="NB8" t="s">
        <v>11679</v>
      </c>
      <c r="NL8" t="s">
        <v>3519</v>
      </c>
      <c r="NQ8" t="s">
        <v>11248</v>
      </c>
      <c r="NV8" t="s">
        <v>11566</v>
      </c>
    </row>
    <row r="9" spans="1:396" x14ac:dyDescent="0.25">
      <c r="A9" t="s">
        <v>382</v>
      </c>
      <c r="F9" t="s">
        <v>49</v>
      </c>
      <c r="K9" t="s">
        <v>11925</v>
      </c>
      <c r="P9" t="s">
        <v>11833</v>
      </c>
      <c r="U9" t="s">
        <v>11867</v>
      </c>
      <c r="Z9" t="s">
        <v>881</v>
      </c>
      <c r="BS9" t="s">
        <v>11150</v>
      </c>
      <c r="CC9" t="s">
        <v>12279</v>
      </c>
      <c r="EA9" t="s">
        <v>12117</v>
      </c>
      <c r="EF9" t="s">
        <v>11711</v>
      </c>
      <c r="EZ9" t="s">
        <v>10705</v>
      </c>
      <c r="HC9" t="s">
        <v>12254</v>
      </c>
      <c r="HH9" t="s">
        <v>10871</v>
      </c>
      <c r="HW9" t="s">
        <v>12483</v>
      </c>
      <c r="IB9" t="s">
        <v>10647</v>
      </c>
      <c r="IG9" t="s">
        <v>11964</v>
      </c>
      <c r="IQ9" t="s">
        <v>2111</v>
      </c>
      <c r="IV9" t="s">
        <v>11145</v>
      </c>
      <c r="JA9" t="s">
        <v>1265</v>
      </c>
      <c r="JF9" t="s">
        <v>1363</v>
      </c>
      <c r="LI9" t="s">
        <v>11307</v>
      </c>
      <c r="LN9" t="s">
        <v>49</v>
      </c>
      <c r="MW9" t="s">
        <v>12032</v>
      </c>
      <c r="NB9" t="s">
        <v>11680</v>
      </c>
      <c r="NL9" t="s">
        <v>10986</v>
      </c>
      <c r="NQ9" t="s">
        <v>12706</v>
      </c>
      <c r="NV9" t="s">
        <v>158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5620</v>
      </c>
      <c r="K1" s="1" t="s">
        <v>5621</v>
      </c>
      <c r="U1" s="1" t="s">
        <v>5622</v>
      </c>
      <c r="AE1" s="1" t="s">
        <v>5623</v>
      </c>
      <c r="AO1" s="1" t="s">
        <v>5624</v>
      </c>
      <c r="AY1" s="1" t="s">
        <v>5625</v>
      </c>
      <c r="BI1" s="1" t="s">
        <v>5626</v>
      </c>
      <c r="BS1" s="1" t="s">
        <v>5627</v>
      </c>
      <c r="CC1" s="1" t="s">
        <v>5628</v>
      </c>
      <c r="CM1" s="1" t="s">
        <v>5629</v>
      </c>
      <c r="CW1" s="1" t="s">
        <v>5630</v>
      </c>
      <c r="DG1" s="1" t="s">
        <v>5631</v>
      </c>
      <c r="DQ1" s="1" t="s">
        <v>5632</v>
      </c>
      <c r="EA1" s="1" t="s">
        <v>5633</v>
      </c>
      <c r="EK1" s="1" t="s">
        <v>5634</v>
      </c>
      <c r="EU1" s="1" t="s">
        <v>5635</v>
      </c>
      <c r="FE1" s="1" t="s">
        <v>5636</v>
      </c>
      <c r="FO1" s="1" t="s">
        <v>5637</v>
      </c>
      <c r="FY1" s="1" t="s">
        <v>5638</v>
      </c>
      <c r="GI1" s="1" t="s">
        <v>5639</v>
      </c>
      <c r="GS1" s="1" t="s">
        <v>5640</v>
      </c>
      <c r="HC1" s="1" t="s">
        <v>5641</v>
      </c>
      <c r="HM1" s="1" t="s">
        <v>5642</v>
      </c>
      <c r="HW1" s="1" t="s">
        <v>5643</v>
      </c>
      <c r="IG1" s="1" t="s">
        <v>5644</v>
      </c>
      <c r="IQ1" s="1" t="s">
        <v>5645</v>
      </c>
      <c r="JA1" s="1" t="s">
        <v>5646</v>
      </c>
      <c r="JK1" s="1" t="s">
        <v>5647</v>
      </c>
      <c r="JU1" s="1" t="s">
        <v>5648</v>
      </c>
      <c r="KE1" s="1" t="s">
        <v>5649</v>
      </c>
      <c r="KO1" s="1" t="s">
        <v>5650</v>
      </c>
      <c r="KY1" s="1" t="s">
        <v>5651</v>
      </c>
      <c r="LI1" s="1" t="s">
        <v>5652</v>
      </c>
      <c r="LS1" s="1" t="s">
        <v>5653</v>
      </c>
      <c r="MC1" s="1" t="s">
        <v>5654</v>
      </c>
      <c r="MM1" s="1" t="s">
        <v>5655</v>
      </c>
      <c r="MW1" s="1" t="s">
        <v>5656</v>
      </c>
      <c r="NG1" s="1" t="s">
        <v>5657</v>
      </c>
      <c r="NQ1" s="1" t="s">
        <v>5658</v>
      </c>
      <c r="OA1" s="1" t="s">
        <v>5659</v>
      </c>
    </row>
    <row r="2" spans="1:396" x14ac:dyDescent="0.25">
      <c r="A2" s="2" t="s">
        <v>3613</v>
      </c>
      <c r="K2" s="2" t="s">
        <v>5660</v>
      </c>
      <c r="U2" s="2" t="s">
        <v>1649</v>
      </c>
      <c r="AE2" s="2" t="s">
        <v>166</v>
      </c>
      <c r="AO2" s="2" t="s">
        <v>5661</v>
      </c>
      <c r="AY2" s="2" t="s">
        <v>5662</v>
      </c>
      <c r="BI2" s="2" t="s">
        <v>5663</v>
      </c>
      <c r="BS2" s="2" t="s">
        <v>2786</v>
      </c>
      <c r="CC2" s="2" t="s">
        <v>3708</v>
      </c>
      <c r="CM2" s="2" t="s">
        <v>3621</v>
      </c>
      <c r="CW2" s="2" t="s">
        <v>64</v>
      </c>
      <c r="DG2" s="2" t="s">
        <v>5664</v>
      </c>
      <c r="DQ2" s="2" t="s">
        <v>471</v>
      </c>
      <c r="EA2" s="2" t="s">
        <v>5665</v>
      </c>
      <c r="EK2" s="2" t="s">
        <v>1746</v>
      </c>
      <c r="EU2" s="2" t="s">
        <v>5666</v>
      </c>
      <c r="FE2" s="2" t="s">
        <v>5667</v>
      </c>
      <c r="FO2" s="2" t="s">
        <v>3331</v>
      </c>
      <c r="FY2" s="2" t="s">
        <v>5668</v>
      </c>
      <c r="GI2" s="2" t="s">
        <v>772</v>
      </c>
      <c r="GS2" s="2" t="s">
        <v>5587</v>
      </c>
      <c r="HC2" s="2" t="s">
        <v>1927</v>
      </c>
      <c r="HM2" s="2" t="s">
        <v>3069</v>
      </c>
      <c r="HW2" s="2" t="s">
        <v>277</v>
      </c>
      <c r="IG2" s="2" t="s">
        <v>5669</v>
      </c>
      <c r="IQ2" s="2" t="s">
        <v>2507</v>
      </c>
      <c r="JA2" s="2" t="s">
        <v>5670</v>
      </c>
      <c r="JK2" s="2" t="s">
        <v>5671</v>
      </c>
      <c r="JU2" s="2" t="s">
        <v>5672</v>
      </c>
      <c r="KE2" s="2" t="s">
        <v>5673</v>
      </c>
      <c r="KO2" s="2" t="s">
        <v>880</v>
      </c>
      <c r="KY2" s="2" t="s">
        <v>2781</v>
      </c>
      <c r="LI2" s="2" t="s">
        <v>5674</v>
      </c>
      <c r="LS2" s="2" t="s">
        <v>5675</v>
      </c>
      <c r="MC2" s="2" t="s">
        <v>175</v>
      </c>
      <c r="MM2" s="2" t="s">
        <v>5676</v>
      </c>
      <c r="MW2" s="2" t="s">
        <v>1264</v>
      </c>
      <c r="NG2" s="2" t="s">
        <v>5677</v>
      </c>
      <c r="NQ2" s="2" t="s">
        <v>2305</v>
      </c>
      <c r="OA2" s="2" t="s">
        <v>5678</v>
      </c>
    </row>
    <row r="3" spans="1:396" x14ac:dyDescent="0.25">
      <c r="A3" t="s">
        <v>4934</v>
      </c>
      <c r="K3" t="s">
        <v>5679</v>
      </c>
      <c r="U3" t="s">
        <v>5680</v>
      </c>
      <c r="AE3" t="s">
        <v>5681</v>
      </c>
      <c r="AO3" t="s">
        <v>5682</v>
      </c>
      <c r="AY3" t="s">
        <v>5683</v>
      </c>
      <c r="BI3" t="s">
        <v>5684</v>
      </c>
      <c r="BS3" t="s">
        <v>5685</v>
      </c>
      <c r="CC3" t="s">
        <v>5686</v>
      </c>
      <c r="CM3" t="s">
        <v>5687</v>
      </c>
      <c r="CW3" t="s">
        <v>5688</v>
      </c>
      <c r="DG3" t="s">
        <v>5689</v>
      </c>
      <c r="DQ3" t="s">
        <v>2042</v>
      </c>
      <c r="EA3" t="s">
        <v>5690</v>
      </c>
      <c r="EK3" t="s">
        <v>5691</v>
      </c>
      <c r="EU3" t="s">
        <v>5692</v>
      </c>
      <c r="FE3" t="s">
        <v>2428</v>
      </c>
      <c r="FO3" t="s">
        <v>5693</v>
      </c>
      <c r="FY3" t="s">
        <v>5694</v>
      </c>
      <c r="GI3" t="s">
        <v>5695</v>
      </c>
      <c r="GS3" t="s">
        <v>5428</v>
      </c>
      <c r="HC3" t="s">
        <v>5696</v>
      </c>
      <c r="HM3" t="s">
        <v>5697</v>
      </c>
      <c r="HW3" t="s">
        <v>5698</v>
      </c>
      <c r="IG3" t="s">
        <v>5606</v>
      </c>
      <c r="IQ3" t="s">
        <v>5699</v>
      </c>
      <c r="JA3" t="s">
        <v>5700</v>
      </c>
      <c r="JK3" t="s">
        <v>4922</v>
      </c>
      <c r="JU3" t="s">
        <v>3553</v>
      </c>
      <c r="KE3" t="s">
        <v>2327</v>
      </c>
      <c r="KO3" t="s">
        <v>5517</v>
      </c>
      <c r="KY3" t="s">
        <v>5701</v>
      </c>
      <c r="LI3" t="s">
        <v>623</v>
      </c>
      <c r="LS3" t="s">
        <v>5702</v>
      </c>
      <c r="MC3" t="s">
        <v>1668</v>
      </c>
      <c r="MM3" t="s">
        <v>178</v>
      </c>
      <c r="MW3" t="s">
        <v>5703</v>
      </c>
      <c r="NG3" t="s">
        <v>5704</v>
      </c>
      <c r="NQ3" t="s">
        <v>5705</v>
      </c>
      <c r="OA3" t="s">
        <v>5706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_xll.BDS("390297Q US Equity","SUPPLY_CHAIN_SUPPLIERS","RELATIONSHIP_AS_OF_DATE","19980112")</f>
        <v>#N/A N/A</v>
      </c>
      <c r="F5" t="str">
        <f>_xll.BDS("390297Q US Equity","SUPPLY_CHAIN_CUSTOMERS","RELATIONSHIP_AS_OF_DATE","19980112")</f>
        <v>#N/A N/A</v>
      </c>
      <c r="K5" t="str">
        <f>_xll.BDS("ANAT US Equity","SUPPLY_CHAIN_SUPPLIERS","RELATIONSHIP_AS_OF_DATE","20001031")</f>
        <v>#N/A N/A</v>
      </c>
      <c r="P5" t="str">
        <f>_xll.BDS("ANAT US Equity","SUPPLY_CHAIN_CUSTOMERS","RELATIONSHIP_AS_OF_DATE","20001031")</f>
        <v>#N/A N/A</v>
      </c>
      <c r="U5" t="str">
        <f>_xll.BDS("STJ US Equity","SUPPLY_CHAIN_SUPPLIERS","RELATIONSHIP_AS_OF_DATE","20040923")</f>
        <v>#N/A N/A</v>
      </c>
      <c r="Z5" t="str">
        <f>_xll.BDS("STJ US Equity","SUPPLY_CHAIN_CUSTOMERS","RELATIONSHIP_AS_OF_DATE","20040923")</f>
        <v>#N/A N/A</v>
      </c>
      <c r="AE5" t="str">
        <f>_xll.BDS("WFC US Equity","SUPPLY_CHAIN_SUPPLIERS","RELATIONSHIP_AS_OF_DATE","19990730","cols=1;rows=5")</f>
        <v>ADBE US Equity</v>
      </c>
      <c r="AJ5" t="str">
        <f>_xll.BDS("WFC US Equity","SUPPLY_CHAIN_CUSTOMERS","RELATIONSHIP_AS_OF_DATE","19990730","cols=1;rows=5")</f>
        <v>CDW US Equity</v>
      </c>
      <c r="AO5" t="str">
        <f>_xll.BDS("HTRN US Equity","SUPPLY_CHAIN_SUPPLIERS","RELATIONSHIP_AS_OF_DATE","20040614")</f>
        <v>#N/A N/A</v>
      </c>
      <c r="AT5" t="str">
        <f>_xll.BDS("HTRN US Equity","SUPPLY_CHAIN_CUSTOMERS","RELATIONSHIP_AS_OF_DATE","20040614")</f>
        <v>#N/A N/A</v>
      </c>
      <c r="AY5" t="str">
        <f>_xll.BDS("HCBK US Equity","SUPPLY_CHAIN_SUPPLIERS","RELATIONSHIP_AS_OF_DATE","20060209")</f>
        <v>#N/A N/A</v>
      </c>
      <c r="BD5" t="str">
        <f>_xll.BDS("HCBK US Equity","SUPPLY_CHAIN_CUSTOMERS","RELATIONSHIP_AS_OF_DATE","20060209")</f>
        <v>#N/A N/A</v>
      </c>
      <c r="BI5" t="str">
        <f>_xll.BDS("MAFB US Equity","SUPPLY_CHAIN_SUPPLIERS","RELATIONSHIP_AS_OF_DATE","20030521")</f>
        <v>#N/A N/A</v>
      </c>
      <c r="BN5" t="str">
        <f>_xll.BDS("MAFB US Equity","SUPPLY_CHAIN_CUSTOMERS","RELATIONSHIP_AS_OF_DATE","20030521")</f>
        <v>#N/A N/A</v>
      </c>
      <c r="BS5" t="str">
        <f>_xll.BDS("JNY US Equity","SUPPLY_CHAIN_SUPPLIERS","RELATIONSHIP_AS_OF_DATE","20040225")</f>
        <v>#N/A N/A</v>
      </c>
      <c r="BX5" t="str">
        <f>_xll.BDS("JNY US Equity","SUPPLY_CHAIN_CUSTOMERS","RELATIONSHIP_AS_OF_DATE","20040225")</f>
        <v>MAPI IJ Equity</v>
      </c>
      <c r="CC5" t="str">
        <f>_xll.BDS("KMB US Equity","SUPPLY_CHAIN_SUPPLIERS","RELATIONSHIP_AS_OF_DATE","20091009","cols=1;rows=5")</f>
        <v>GPK US Equity</v>
      </c>
      <c r="CH5" t="str">
        <f>_xll.BDS("KMB US Equity","SUPPLY_CHAIN_CUSTOMERS","RELATIONSHIP_AS_OF_DATE","20091009","cols=1;rows=5")</f>
        <v>WMT US Equity</v>
      </c>
      <c r="CM5" t="str">
        <f>_xll.BDS("SUSQ US Equity","SUPPLY_CHAIN_SUPPLIERS","RELATIONSHIP_AS_OF_DATE","20110126")</f>
        <v>#N/A N/A</v>
      </c>
      <c r="CR5" t="str">
        <f>_xll.BDS("SUSQ US Equity","SUPPLY_CHAIN_CUSTOMERS","RELATIONSHIP_AS_OF_DATE","20110126")</f>
        <v>#N/A N/A</v>
      </c>
      <c r="CW5" t="str">
        <f>_xll.BDS("nan Equity","SUPPLY_CHAIN_SUPPLIERS","RELATIONSHIP_AS_OF_DATE","20071023")</f>
        <v>#N/A N/A</v>
      </c>
      <c r="DB5" t="str">
        <f>_xll.BDS("nan Equity","SUPPLY_CHAIN_CUSTOMERS","RELATIONSHIP_AS_OF_DATE","20071023")</f>
        <v>#N/A N/A</v>
      </c>
      <c r="DG5" t="str">
        <f>_xll.BDS("JDAS US Equity","SUPPLY_CHAIN_SUPPLIERS","RELATIONSHIP_AS_OF_DATE","20060424")</f>
        <v>MSFT US Equity</v>
      </c>
      <c r="DL5" t="str">
        <f>_xll.BDS("JDAS US Equity","SUPPLY_CHAIN_CUSTOMERS","RELATIONSHIP_AS_OF_DATE","20060424")</f>
        <v>#N/A N/A</v>
      </c>
      <c r="DQ5" t="str">
        <f>_xll.BDS("BHC CN Equity","SUPPLY_CHAIN_SUPPLIERS","RELATIONSHIP_AS_OF_DATE","20131216","cols=1;rows=5")</f>
        <v>ATR US Equity</v>
      </c>
      <c r="DV5" t="str">
        <f>_xll.BDS("BHC CN Equity","SUPPLY_CHAIN_CUSTOMERS","RELATIONSHIP_AS_OF_DATE","20131216","cols=1;rows=5")</f>
        <v>COR US Equity</v>
      </c>
      <c r="EA5" t="str">
        <f>_xll.BDS("MEDQ US Equity","SUPPLY_CHAIN_SUPPLIERS","RELATIONSHIP_AS_OF_DATE","19980918")</f>
        <v>#N/A N/A</v>
      </c>
      <c r="EF5" t="str">
        <f>_xll.BDS("MEDQ US Equity","SUPPLY_CHAIN_CUSTOMERS","RELATIONSHIP_AS_OF_DATE","19980918")</f>
        <v>#N/A N/A</v>
      </c>
      <c r="EK5" t="str">
        <f>_xll.BDS("XPO US Equity","SUPPLY_CHAIN_SUPPLIERS","RELATIONSHIP_AS_OF_DATE","20140106","cols=1;rows=5")</f>
        <v>EXTR US Equity</v>
      </c>
      <c r="EP5" t="str">
        <f>_xll.BDS("XPO US Equity","SUPPLY_CHAIN_CUSTOMERS","RELATIONSHIP_AS_OF_DATE","20140106","cols=1;rows=5")</f>
        <v>BP/ LN Equity</v>
      </c>
      <c r="EU5" t="str">
        <f>_xll.BDS("PGR US Equity","SUPPLY_CHAIN_SUPPLIERS","RELATIONSHIP_AS_OF_DATE","20210216","cols=1;rows=5")</f>
        <v>0374933Z US Equity</v>
      </c>
      <c r="EZ5" t="str">
        <f>_xll.BDS("PGR US Equity","SUPPLY_CHAIN_CUSTOMERS","RELATIONSHIP_AS_OF_DATE","20210216")</f>
        <v>#N/A N/A</v>
      </c>
      <c r="FE5" t="str">
        <f>_xll.BDS("ATNY US Equity","SUPPLY_CHAIN_SUPPLIERS","RELATIONSHIP_AS_OF_DATE","20110328","cols=1;rows=5")</f>
        <v>AQN CN Equity</v>
      </c>
      <c r="FJ5" t="str">
        <f>_xll.BDS("ATNY US Equity","SUPPLY_CHAIN_CUSTOMERS","RELATIONSHIP_AS_OF_DATE","20110328")</f>
        <v>SNX US Equity</v>
      </c>
      <c r="FO5" t="str">
        <f>_xll.BDS("HOPE US Equity","SUPPLY_CHAIN_SUPPLIERS","RELATIONSHIP_AS_OF_DATE","20101209")</f>
        <v>NICE IT Equity</v>
      </c>
      <c r="FT5" t="str">
        <f>_xll.BDS("HOPE US Equity","SUPPLY_CHAIN_CUSTOMERS","RELATIONSHIP_AS_OF_DATE","20101209")</f>
        <v>#N/A N/A</v>
      </c>
      <c r="FY5" t="str">
        <f>_xll.BDS("SRGAQ US Equity","SUPPLY_CHAIN_SUPPLIERS","RELATIONSHIP_AS_OF_DATE","20071113","cols=1;rows=5")</f>
        <v>2307356Z US Equity</v>
      </c>
      <c r="GD5" t="str">
        <f>_xll.BDS("SRGAQ US Equity","SUPPLY_CHAIN_CUSTOMERS","RELATIONSHIP_AS_OF_DATE","20071113")</f>
        <v>1868126D US Equity</v>
      </c>
      <c r="GI5" t="str">
        <f>_xll.BDS("ECL US Equity","SUPPLY_CHAIN_SUPPLIERS","RELATIONSHIP_AS_OF_DATE","20070807","cols=1;rows=5")</f>
        <v>CLN SW Equity</v>
      </c>
      <c r="GN5" t="str">
        <f>_xll.BDS("ECL US Equity","SUPPLY_CHAIN_CUSTOMERS","RELATIONSHIP_AS_OF_DATE","20070807","cols=1;rows=5")</f>
        <v>WMT US Equity</v>
      </c>
      <c r="GS5" t="str">
        <f>_xll.BDS("KTOS US Equity","SUPPLY_CHAIN_SUPPLIERS","RELATIONSHIP_AS_OF_DATE","20110516","cols=1;rows=5")</f>
        <v>EMKR US Equity</v>
      </c>
      <c r="GX5" t="str">
        <f>_xll.BDS("KTOS US Equity","SUPPLY_CHAIN_CUSTOMERS","RELATIONSHIP_AS_OF_DATE","20110516","cols=1;rows=5")</f>
        <v>3352Z US Equity</v>
      </c>
      <c r="HC5" t="str">
        <f>_xll.BDS("ENDPQ US Equity","SUPPLY_CHAIN_SUPPLIERS","RELATIONSHIP_AS_OF_DATE","20100506","cols=1;rows=5")</f>
        <v>0177858D US Equity</v>
      </c>
      <c r="HH5" t="str">
        <f>_xll.BDS("ENDPQ US Equity","SUPPLY_CHAIN_CUSTOMERS","RELATIONSHIP_AS_OF_DATE","20100506","cols=1;rows=5")</f>
        <v>0219682Z US Equity</v>
      </c>
      <c r="HM5" t="str">
        <f>_xll.BDS("DHI US Equity","SUPPLY_CHAIN_SUPPLIERS","RELATIONSHIP_AS_OF_DATE","20220414","cols=1;rows=5")</f>
        <v>FOR US Equity</v>
      </c>
      <c r="HR5" t="str">
        <f>_xll.BDS("DHI US Equity","SUPPLY_CHAIN_CUSTOMERS","RELATIONSHIP_AS_OF_DATE","20220414")</f>
        <v>FOR US Equity</v>
      </c>
      <c r="HW5" t="str">
        <f>_xll.BDS("MO US Equity","SUPPLY_CHAIN_SUPPLIERS","RELATIONSHIP_AS_OF_DATE","20000121","cols=1;rows=5")</f>
        <v>UVV US Equity</v>
      </c>
      <c r="IB5" t="str">
        <f>_xll.BDS("MO US Equity","SUPPLY_CHAIN_CUSTOMERS","RELATIONSHIP_AS_OF_DATE","20000121","cols=1;rows=5")</f>
        <v>0835017D US Equity</v>
      </c>
      <c r="IG5" t="str">
        <f>_xll.BDS("FFWM US Equity","SUPPLY_CHAIN_SUPPLIERS","RELATIONSHIP_AS_OF_DATE","20210603")</f>
        <v>#N/A N/A</v>
      </c>
      <c r="IL5" t="str">
        <f>_xll.BDS("FFWM US Equity","SUPPLY_CHAIN_CUSTOMERS","RELATIONSHIP_AS_OF_DATE","20210603")</f>
        <v>#N/A N/A</v>
      </c>
      <c r="IQ5" t="str">
        <f>_xll.BDS("CMLS US Equity","SUPPLY_CHAIN_SUPPLIERS","RELATIONSHIP_AS_OF_DATE","20130830","cols=1;rows=5")</f>
        <v>0322986Z US Equity</v>
      </c>
      <c r="IV5" t="str">
        <f>_xll.BDS("CMLS US Equity","SUPPLY_CHAIN_CUSTOMERS","RELATIONSHIP_AS_OF_DATE","20130830")</f>
        <v>0571898D US Equity</v>
      </c>
      <c r="JA5" t="str">
        <f>_xll.BDS("GHC US Equity","SUPPLY_CHAIN_SUPPLIERS","RELATIONSHIP_AS_OF_DATE","20210405","cols=1;rows=5")</f>
        <v>000270 KS Equity</v>
      </c>
      <c r="JF5" t="str">
        <f>_xll.BDS("GHC US Equity","SUPPLY_CHAIN_CUSTOMERS","RELATIONSHIP_AS_OF_DATE","20210405","cols=1;rows=4")</f>
        <v>9877893Z US Equity</v>
      </c>
      <c r="JK5" t="str">
        <f>_xll.BDS("496112Q US Equity","SUPPLY_CHAIN_SUPPLIERS","RELATIONSHIP_AS_OF_DATE","19980529")</f>
        <v>#N/A N/A</v>
      </c>
      <c r="JP5" t="str">
        <f>_xll.BDS("496112Q US Equity","SUPPLY_CHAIN_CUSTOMERS","RELATIONSHIP_AS_OF_DATE","19980529")</f>
        <v>#N/A N/A</v>
      </c>
      <c r="JU5" t="str">
        <f>_xll.BDS("0964591D US Equity","SUPPLY_CHAIN_SUPPLIERS","RELATIONSHIP_AS_OF_DATE","20040308")</f>
        <v>#N/A N/A</v>
      </c>
      <c r="JZ5" t="str">
        <f>_xll.BDS("0964591D US Equity","SUPPLY_CHAIN_CUSTOMERS","RELATIONSHIP_AS_OF_DATE","20040308")</f>
        <v>#N/A N/A</v>
      </c>
      <c r="KE5" t="str">
        <f>_xll.BDS("1642488D US Equity","SUPPLY_CHAIN_SUPPLIERS","RELATIONSHIP_AS_OF_DATE","19991108")</f>
        <v>#N/A N/A</v>
      </c>
      <c r="KJ5" t="str">
        <f>_xll.BDS("1642488D US Equity","SUPPLY_CHAIN_CUSTOMERS","RELATIONSHIP_AS_OF_DATE","19991108")</f>
        <v>#N/A N/A</v>
      </c>
      <c r="KO5" t="str">
        <f>_xll.BDS("2860436Q US Equity","SUPPLY_CHAIN_SUPPLIERS","RELATIONSHIP_AS_OF_DATE","19991101")</f>
        <v>#N/A N/A</v>
      </c>
      <c r="KT5" t="str">
        <f>_xll.BDS("2860436Q US Equity","SUPPLY_CHAIN_CUSTOMERS","RELATIONSHIP_AS_OF_DATE","19991101")</f>
        <v>#N/A N/A</v>
      </c>
      <c r="KY5" t="str">
        <f>_xll.BDS("EXE US Equity","SUPPLY_CHAIN_SUPPLIERS","RELATIONSHIP_AS_OF_DATE","20000630","cols=1;rows=5")</f>
        <v>PRIM US Equity</v>
      </c>
      <c r="LD5" t="str">
        <f>_xll.BDS("EXE US Equity","SUPPLY_CHAIN_CUSTOMERS","RELATIONSHIP_AS_OF_DATE","20000630","cols=1;rows=3")</f>
        <v>37895Z CY Equity</v>
      </c>
      <c r="LI5" t="str">
        <f>_xll.BDS("HFWA US Equity","SUPPLY_CHAIN_SUPPLIERS","RELATIONSHIP_AS_OF_DATE","20131023")</f>
        <v>#N/A N/A</v>
      </c>
      <c r="LN5" t="str">
        <f>_xll.BDS("HFWA US Equity","SUPPLY_CHAIN_CUSTOMERS","RELATIONSHIP_AS_OF_DATE","20131023")</f>
        <v>#N/A N/A</v>
      </c>
      <c r="LS5" t="str">
        <f>_xll.BDS("RFH US Equity","SUPPLY_CHAIN_SUPPLIERS","RELATIONSHIP_AS_OF_DATE","19980409")</f>
        <v>#N/A N/A</v>
      </c>
      <c r="LX5" t="str">
        <f>_xll.BDS("RFH US Equity","SUPPLY_CHAIN_CUSTOMERS","RELATIONSHIP_AS_OF_DATE","19980409")</f>
        <v>#N/A N/A</v>
      </c>
      <c r="MC5" t="str">
        <f>_xll.BDS("TFC US Equity","SUPPLY_CHAIN_SUPPLIERS","RELATIONSHIP_AS_OF_DATE","19990128","cols=1;rows=5")</f>
        <v>ADBE US Equity</v>
      </c>
      <c r="MH5" t="str">
        <f>_xll.BDS("TFC US Equity","SUPPLY_CHAIN_CUSTOMERS","RELATIONSHIP_AS_OF_DATE","19990128")</f>
        <v>RENG IN Equity</v>
      </c>
      <c r="MM5" t="str">
        <f>_xll.BDS("2993Q US Equity","SUPPLY_CHAIN_SUPPLIERS","RELATIONSHIP_AS_OF_DATE","19980624")</f>
        <v>#N/A N/A</v>
      </c>
      <c r="MR5" t="str">
        <f>_xll.BDS("2993Q US Equity","SUPPLY_CHAIN_CUSTOMERS","RELATIONSHIP_AS_OF_DATE","19980624")</f>
        <v>#N/A N/A</v>
      </c>
      <c r="MW5" t="str">
        <f>_xll.BDS("ATBA AV Equity","SUPPLY_CHAIN_SUPPLIERS","RELATIONSHIP_AS_OF_DATE","20021223","cols=1;rows=5")</f>
        <v>000676 CH Equity</v>
      </c>
      <c r="NB5" t="str">
        <f>_xll.BDS("ATBA AV Equity","SUPPLY_CHAIN_CUSTOMERS","RELATIONSHIP_AS_OF_DATE","20021223","cols=1;rows=5")</f>
        <v>066570 KS Equity</v>
      </c>
      <c r="NG5" t="str">
        <f>_xll.BDS("EWBC US Equity","SUPPLY_CHAIN_SUPPLIERS","RELATIONSHIP_AS_OF_DATE","20130918")</f>
        <v>BRX US Equity</v>
      </c>
      <c r="NL5" t="str">
        <f>_xll.BDS("EWBC US Equity","SUPPLY_CHAIN_CUSTOMERS","RELATIONSHIP_AS_OF_DATE","20130918")</f>
        <v>#N/A N/A</v>
      </c>
      <c r="NQ5" t="str">
        <f>_xll.BDS("ASNAQ US Equity","SUPPLY_CHAIN_SUPPLIERS","RELATIONSHIP_AS_OF_DATE","20090625","cols=1;rows=4")</f>
        <v>AEP US Equity</v>
      </c>
      <c r="NV5" t="str">
        <f>_xll.BDS("ASNAQ US Equity","SUPPLY_CHAIN_CUSTOMERS","RELATIONSHIP_AS_OF_DATE","20090625")</f>
        <v>#N/A N/A</v>
      </c>
      <c r="OA5" t="str">
        <f>_xll.BDS("SXC US Equity","SUPPLY_CHAIN_SUPPLIERS","RELATIONSHIP_AS_OF_DATE","20190205","cols=1;rows=5")</f>
        <v>AEE US Equity</v>
      </c>
      <c r="OF5" t="str">
        <f>_xll.BDS("SXC US Equity","SUPPLY_CHAIN_CUSTOMERS","RELATIONSHIP_AS_OF_DATE","20190205","cols=1;rows=5")</f>
        <v>CLF US Equity</v>
      </c>
    </row>
    <row r="6" spans="1:396" x14ac:dyDescent="0.25">
      <c r="AE6" t="s">
        <v>10986</v>
      </c>
      <c r="AJ6" t="s">
        <v>11473</v>
      </c>
      <c r="CC6" t="s">
        <v>11846</v>
      </c>
      <c r="CH6" t="s">
        <v>10805</v>
      </c>
      <c r="DQ6" t="s">
        <v>10814</v>
      </c>
      <c r="DV6" t="s">
        <v>385</v>
      </c>
      <c r="EK6" t="s">
        <v>1265</v>
      </c>
      <c r="EP6" t="s">
        <v>3239</v>
      </c>
      <c r="EU6" t="s">
        <v>11787</v>
      </c>
      <c r="FE6" t="s">
        <v>1545</v>
      </c>
      <c r="FY6" t="s">
        <v>11861</v>
      </c>
      <c r="GI6" t="s">
        <v>10855</v>
      </c>
      <c r="GN6" t="s">
        <v>5236</v>
      </c>
      <c r="GS6" t="s">
        <v>11086</v>
      </c>
      <c r="GX6" t="s">
        <v>388</v>
      </c>
      <c r="HC6" t="s">
        <v>11678</v>
      </c>
      <c r="HH6" t="s">
        <v>11870</v>
      </c>
      <c r="HM6" t="s">
        <v>1552</v>
      </c>
      <c r="HW6" t="s">
        <v>11667</v>
      </c>
      <c r="IB6" t="s">
        <v>12007</v>
      </c>
      <c r="IQ6" t="s">
        <v>11917</v>
      </c>
      <c r="JA6" t="s">
        <v>10915</v>
      </c>
      <c r="JF6" t="s">
        <v>10869</v>
      </c>
      <c r="KY6" t="s">
        <v>4211</v>
      </c>
      <c r="LD6" t="s">
        <v>11540</v>
      </c>
      <c r="MC6" t="s">
        <v>11371</v>
      </c>
      <c r="MW6" t="s">
        <v>11224</v>
      </c>
      <c r="NB6" t="s">
        <v>11195</v>
      </c>
      <c r="NQ6" t="s">
        <v>260</v>
      </c>
      <c r="OA6" t="s">
        <v>12313</v>
      </c>
      <c r="OF6" t="s">
        <v>2322</v>
      </c>
    </row>
    <row r="7" spans="1:396" x14ac:dyDescent="0.25">
      <c r="AE7" t="s">
        <v>988</v>
      </c>
      <c r="AJ7" t="s">
        <v>10787</v>
      </c>
      <c r="CC7" t="s">
        <v>10814</v>
      </c>
      <c r="CH7" t="s">
        <v>469</v>
      </c>
      <c r="DQ7" t="s">
        <v>11152</v>
      </c>
      <c r="DV7" t="s">
        <v>970</v>
      </c>
      <c r="EK7" t="s">
        <v>12310</v>
      </c>
      <c r="EP7" t="s">
        <v>12524</v>
      </c>
      <c r="EU7" t="s">
        <v>12293</v>
      </c>
      <c r="FE7" t="s">
        <v>260</v>
      </c>
      <c r="FY7" t="s">
        <v>11862</v>
      </c>
      <c r="GI7" t="s">
        <v>1746</v>
      </c>
      <c r="GN7" t="s">
        <v>10805</v>
      </c>
      <c r="GS7" t="s">
        <v>11087</v>
      </c>
      <c r="GX7" t="s">
        <v>10785</v>
      </c>
      <c r="HC7" t="s">
        <v>11894</v>
      </c>
      <c r="HH7" t="s">
        <v>10657</v>
      </c>
      <c r="HM7" t="s">
        <v>2699</v>
      </c>
      <c r="HW7" t="s">
        <v>12475</v>
      </c>
      <c r="IB7" t="s">
        <v>12008</v>
      </c>
      <c r="IQ7" t="s">
        <v>11918</v>
      </c>
      <c r="JA7" t="s">
        <v>10916</v>
      </c>
      <c r="JF7" t="s">
        <v>10870</v>
      </c>
      <c r="KY7" t="s">
        <v>11312</v>
      </c>
      <c r="LD7" t="s">
        <v>780</v>
      </c>
      <c r="MC7" t="s">
        <v>10986</v>
      </c>
      <c r="MW7" t="s">
        <v>11225</v>
      </c>
      <c r="NB7" t="s">
        <v>11196</v>
      </c>
      <c r="NQ7" t="s">
        <v>12365</v>
      </c>
      <c r="OA7" t="s">
        <v>686</v>
      </c>
      <c r="OF7" t="s">
        <v>11243</v>
      </c>
    </row>
    <row r="8" spans="1:396" x14ac:dyDescent="0.25">
      <c r="AE8" t="s">
        <v>1548</v>
      </c>
      <c r="AJ8" t="s">
        <v>3340</v>
      </c>
      <c r="CC8" t="s">
        <v>12367</v>
      </c>
      <c r="CH8" t="s">
        <v>477</v>
      </c>
      <c r="DQ8" t="s">
        <v>11153</v>
      </c>
      <c r="DV8" t="s">
        <v>10646</v>
      </c>
      <c r="EK8" t="s">
        <v>11205</v>
      </c>
      <c r="EP8" t="s">
        <v>11946</v>
      </c>
      <c r="EU8" t="s">
        <v>12084</v>
      </c>
      <c r="FE8" t="s">
        <v>872</v>
      </c>
      <c r="FY8" t="s">
        <v>11863</v>
      </c>
      <c r="GI8" t="s">
        <v>10856</v>
      </c>
      <c r="GN8" t="s">
        <v>2705</v>
      </c>
      <c r="GS8" t="s">
        <v>10696</v>
      </c>
      <c r="GX8" t="s">
        <v>42</v>
      </c>
      <c r="HC8" t="s">
        <v>11895</v>
      </c>
      <c r="HH8" t="s">
        <v>11871</v>
      </c>
      <c r="HM8" t="s">
        <v>487</v>
      </c>
      <c r="HW8" t="s">
        <v>12476</v>
      </c>
      <c r="IB8" t="s">
        <v>11126</v>
      </c>
      <c r="IQ8" t="s">
        <v>11919</v>
      </c>
      <c r="JA8" t="s">
        <v>10917</v>
      </c>
      <c r="JF8" t="s">
        <v>10871</v>
      </c>
      <c r="KY8" t="s">
        <v>11355</v>
      </c>
      <c r="MC8" t="s">
        <v>11372</v>
      </c>
      <c r="MW8" t="s">
        <v>11226</v>
      </c>
      <c r="NB8" t="s">
        <v>11197</v>
      </c>
      <c r="NQ8" t="s">
        <v>10717</v>
      </c>
      <c r="OA8" t="s">
        <v>10740</v>
      </c>
      <c r="OF8" t="s">
        <v>12020</v>
      </c>
    </row>
    <row r="9" spans="1:396" x14ac:dyDescent="0.25">
      <c r="AE9" t="s">
        <v>10877</v>
      </c>
      <c r="AJ9" t="s">
        <v>11174</v>
      </c>
      <c r="CC9" t="s">
        <v>11516</v>
      </c>
      <c r="CH9" t="s">
        <v>10944</v>
      </c>
      <c r="DQ9" t="s">
        <v>2111</v>
      </c>
      <c r="DV9" t="s">
        <v>11145</v>
      </c>
      <c r="EK9" t="s">
        <v>10715</v>
      </c>
      <c r="EP9" t="s">
        <v>12525</v>
      </c>
      <c r="EU9" t="s">
        <v>10927</v>
      </c>
      <c r="FE9" t="s">
        <v>10740</v>
      </c>
      <c r="FY9" t="s">
        <v>11864</v>
      </c>
      <c r="GI9" t="s">
        <v>10857</v>
      </c>
      <c r="GN9" t="s">
        <v>5983</v>
      </c>
      <c r="GS9" t="s">
        <v>1265</v>
      </c>
      <c r="GX9" t="s">
        <v>1363</v>
      </c>
      <c r="HC9" t="s">
        <v>11896</v>
      </c>
      <c r="HH9" t="s">
        <v>970</v>
      </c>
      <c r="HM9" t="s">
        <v>4307</v>
      </c>
      <c r="HW9" t="s">
        <v>11787</v>
      </c>
      <c r="IB9" t="s">
        <v>12009</v>
      </c>
      <c r="IQ9" t="s">
        <v>11920</v>
      </c>
      <c r="JA9" t="s">
        <v>10696</v>
      </c>
      <c r="KY9" t="s">
        <v>11356</v>
      </c>
      <c r="MC9" t="s">
        <v>10987</v>
      </c>
      <c r="MW9" t="s">
        <v>11227</v>
      </c>
      <c r="NB9" t="s">
        <v>11198</v>
      </c>
      <c r="OA9" t="s">
        <v>260</v>
      </c>
      <c r="OF9" t="s">
        <v>12021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5707</v>
      </c>
      <c r="K1" s="1" t="s">
        <v>5708</v>
      </c>
      <c r="U1" s="1" t="s">
        <v>5709</v>
      </c>
      <c r="AE1" s="1" t="s">
        <v>5710</v>
      </c>
      <c r="AO1" s="1" t="s">
        <v>5711</v>
      </c>
      <c r="AY1" s="1" t="s">
        <v>5712</v>
      </c>
      <c r="BI1" s="1" t="s">
        <v>5713</v>
      </c>
      <c r="BS1" s="1" t="s">
        <v>5714</v>
      </c>
      <c r="CC1" s="1" t="s">
        <v>5715</v>
      </c>
      <c r="CM1" s="1" t="s">
        <v>5716</v>
      </c>
      <c r="CW1" s="1" t="s">
        <v>5717</v>
      </c>
      <c r="DG1" s="1" t="s">
        <v>5718</v>
      </c>
      <c r="DQ1" s="1" t="s">
        <v>5719</v>
      </c>
      <c r="EA1" s="1" t="s">
        <v>5720</v>
      </c>
      <c r="EK1" s="1" t="s">
        <v>5721</v>
      </c>
      <c r="EU1" s="1" t="s">
        <v>5722</v>
      </c>
      <c r="FE1" s="1" t="s">
        <v>5723</v>
      </c>
      <c r="FO1" s="1" t="s">
        <v>5724</v>
      </c>
      <c r="FY1" s="1" t="s">
        <v>5725</v>
      </c>
      <c r="GI1" s="1" t="s">
        <v>5726</v>
      </c>
      <c r="GS1" s="1" t="s">
        <v>5727</v>
      </c>
      <c r="HC1" s="1" t="s">
        <v>5728</v>
      </c>
      <c r="HM1" s="1" t="s">
        <v>5729</v>
      </c>
      <c r="HW1" s="1" t="s">
        <v>5730</v>
      </c>
      <c r="IG1" s="1" t="s">
        <v>5731</v>
      </c>
      <c r="IQ1" s="1" t="s">
        <v>5732</v>
      </c>
      <c r="JA1" s="1" t="s">
        <v>5733</v>
      </c>
      <c r="JK1" s="1" t="s">
        <v>5734</v>
      </c>
      <c r="JU1" s="1" t="s">
        <v>5735</v>
      </c>
      <c r="KE1" s="1" t="s">
        <v>5736</v>
      </c>
      <c r="KO1" s="1" t="s">
        <v>5737</v>
      </c>
      <c r="KY1" s="1" t="s">
        <v>5738</v>
      </c>
      <c r="LI1" s="1" t="s">
        <v>5739</v>
      </c>
      <c r="LS1" s="1" t="s">
        <v>5740</v>
      </c>
      <c r="MC1" s="1" t="s">
        <v>5741</v>
      </c>
      <c r="MM1" s="1" t="s">
        <v>5742</v>
      </c>
      <c r="MW1" s="1" t="s">
        <v>5743</v>
      </c>
      <c r="NG1" s="1" t="s">
        <v>5744</v>
      </c>
      <c r="NQ1" s="1" t="s">
        <v>5745</v>
      </c>
      <c r="OA1" s="1" t="s">
        <v>5746</v>
      </c>
    </row>
    <row r="2" spans="1:396" x14ac:dyDescent="0.25">
      <c r="A2" s="2" t="s">
        <v>3610</v>
      </c>
      <c r="K2" s="2" t="s">
        <v>5747</v>
      </c>
      <c r="U2" s="2" t="s">
        <v>5748</v>
      </c>
      <c r="AE2" s="2" t="s">
        <v>3698</v>
      </c>
      <c r="AO2" s="2" t="s">
        <v>4985</v>
      </c>
      <c r="AY2" s="2" t="s">
        <v>2127</v>
      </c>
      <c r="BI2" s="2" t="s">
        <v>5749</v>
      </c>
      <c r="BS2" s="2" t="s">
        <v>5500</v>
      </c>
      <c r="CC2" s="2" t="s">
        <v>5750</v>
      </c>
      <c r="CM2" s="2" t="s">
        <v>3706</v>
      </c>
      <c r="CW2" s="2" t="s">
        <v>175</v>
      </c>
      <c r="DG2" s="2" t="s">
        <v>3865</v>
      </c>
      <c r="DQ2" s="2" t="s">
        <v>5751</v>
      </c>
      <c r="EA2" s="2" t="s">
        <v>5168</v>
      </c>
      <c r="EK2" s="2" t="s">
        <v>5752</v>
      </c>
      <c r="EU2" s="2" t="s">
        <v>778</v>
      </c>
      <c r="FE2" s="2" t="s">
        <v>1734</v>
      </c>
      <c r="FO2" s="2" t="s">
        <v>2968</v>
      </c>
      <c r="FY2" s="2" t="s">
        <v>4471</v>
      </c>
      <c r="GI2" s="2" t="s">
        <v>5753</v>
      </c>
      <c r="GS2" s="2" t="s">
        <v>3874</v>
      </c>
      <c r="HC2" s="2" t="s">
        <v>4732</v>
      </c>
      <c r="HM2" s="2" t="s">
        <v>4221</v>
      </c>
      <c r="HW2" s="2" t="s">
        <v>5754</v>
      </c>
      <c r="IG2" s="2" t="s">
        <v>3698</v>
      </c>
      <c r="IQ2" s="2" t="s">
        <v>5755</v>
      </c>
      <c r="JA2" s="2" t="s">
        <v>4380</v>
      </c>
      <c r="JK2" s="2" t="s">
        <v>5756</v>
      </c>
      <c r="JU2" s="2" t="s">
        <v>5757</v>
      </c>
      <c r="KE2" s="2" t="s">
        <v>5421</v>
      </c>
      <c r="KO2" s="2" t="s">
        <v>3531</v>
      </c>
      <c r="KY2" s="2" t="s">
        <v>5758</v>
      </c>
      <c r="LI2" s="2" t="s">
        <v>4641</v>
      </c>
      <c r="LS2" s="2" t="s">
        <v>1747</v>
      </c>
      <c r="MC2" s="2" t="s">
        <v>2700</v>
      </c>
      <c r="MM2" s="2" t="s">
        <v>5759</v>
      </c>
      <c r="MW2" s="2" t="s">
        <v>5760</v>
      </c>
      <c r="NG2" s="2" t="s">
        <v>3058</v>
      </c>
      <c r="NQ2" s="2" t="s">
        <v>5761</v>
      </c>
      <c r="OA2" s="2" t="s">
        <v>5762</v>
      </c>
    </row>
    <row r="3" spans="1:396" x14ac:dyDescent="0.25">
      <c r="A3" t="s">
        <v>5763</v>
      </c>
      <c r="K3" t="s">
        <v>5344</v>
      </c>
      <c r="U3" t="s">
        <v>892</v>
      </c>
      <c r="AE3" t="s">
        <v>3176</v>
      </c>
      <c r="AO3" t="s">
        <v>5764</v>
      </c>
      <c r="AY3" t="s">
        <v>5765</v>
      </c>
      <c r="BI3" t="s">
        <v>3002</v>
      </c>
      <c r="BS3" t="s">
        <v>5766</v>
      </c>
      <c r="CC3" t="s">
        <v>1206</v>
      </c>
      <c r="CM3" t="s">
        <v>5767</v>
      </c>
      <c r="CW3" t="s">
        <v>5768</v>
      </c>
      <c r="DG3" t="s">
        <v>5769</v>
      </c>
      <c r="DQ3" t="s">
        <v>5770</v>
      </c>
      <c r="EA3" t="s">
        <v>5771</v>
      </c>
      <c r="EK3" t="s">
        <v>1186</v>
      </c>
      <c r="EU3" t="s">
        <v>5772</v>
      </c>
      <c r="FE3" t="s">
        <v>5773</v>
      </c>
      <c r="FO3" t="s">
        <v>5774</v>
      </c>
      <c r="FY3" t="s">
        <v>5775</v>
      </c>
      <c r="GI3" t="s">
        <v>5776</v>
      </c>
      <c r="GS3" t="s">
        <v>5777</v>
      </c>
      <c r="HC3" t="s">
        <v>5778</v>
      </c>
      <c r="HM3" t="s">
        <v>5779</v>
      </c>
      <c r="HW3" t="s">
        <v>3803</v>
      </c>
      <c r="IG3" t="s">
        <v>5780</v>
      </c>
      <c r="IQ3" t="s">
        <v>4763</v>
      </c>
      <c r="JA3" t="s">
        <v>5781</v>
      </c>
      <c r="JK3" t="s">
        <v>5782</v>
      </c>
      <c r="JU3" t="s">
        <v>1102</v>
      </c>
      <c r="KE3" t="s">
        <v>5783</v>
      </c>
      <c r="KO3" t="s">
        <v>5784</v>
      </c>
      <c r="KY3" t="s">
        <v>5785</v>
      </c>
      <c r="LI3" t="s">
        <v>5786</v>
      </c>
      <c r="LS3" t="s">
        <v>5787</v>
      </c>
      <c r="MC3" t="s">
        <v>5788</v>
      </c>
      <c r="MM3" t="s">
        <v>3643</v>
      </c>
      <c r="MW3" t="s">
        <v>4841</v>
      </c>
      <c r="NG3" t="s">
        <v>5789</v>
      </c>
      <c r="NQ3" t="s">
        <v>5790</v>
      </c>
      <c r="OA3" t="s">
        <v>1851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_xll.BDS("AIV US Equity","SUPPLY_CHAIN_SUPPLIERS","RELATIONSHIP_AS_OF_DATE","20001130")</f>
        <v>MS US Equity</v>
      </c>
      <c r="F5" t="str">
        <f>_xll.BDS("AIV US Equity","SUPPLY_CHAIN_CUSTOMERS","RELATIONSHIP_AS_OF_DATE","20001130")</f>
        <v>29326Z US Equity</v>
      </c>
      <c r="K5" t="str">
        <f>_xll.BDS("FSCO US Equity","SUPPLY_CHAIN_SUPPLIERS","RELATIONSHIP_AS_OF_DATE","19980219")</f>
        <v>#N/A N/A</v>
      </c>
      <c r="P5" t="str">
        <f>_xll.BDS("FSCO US Equity","SUPPLY_CHAIN_CUSTOMERS","RELATIONSHIP_AS_OF_DATE","19980219")</f>
        <v>#N/A N/A</v>
      </c>
      <c r="U5" t="str">
        <f>_xll.BDS("2319518D US Equity","SUPPLY_CHAIN_SUPPLIERS","RELATIONSHIP_AS_OF_DATE","19980701","cols=1;rows=2")</f>
        <v>9924155Z US Equity</v>
      </c>
      <c r="Z5" t="str">
        <f>_xll.BDS("2319518D US Equity","SUPPLY_CHAIN_CUSTOMERS","RELATIONSHIP_AS_OF_DATE","19980701")</f>
        <v>#N/A N/A</v>
      </c>
      <c r="AE5" t="str">
        <f>_xll.BDS("RVTY US Equity","SUPPLY_CHAIN_SUPPLIERS","RELATIONSHIP_AS_OF_DATE","19981022","cols=1;rows=5")</f>
        <v>UPS US Equity</v>
      </c>
      <c r="AJ5" t="str">
        <f>_xll.BDS("RVTY US Equity","SUPPLY_CHAIN_CUSTOMERS","RELATIONSHIP_AS_OF_DATE","19981022","cols=1;rows=5")</f>
        <v>002971 CH Equity</v>
      </c>
      <c r="AO5" t="str">
        <f>_xll.BDS("YDKN US Equity","SUPPLY_CHAIN_SUPPLIERS","RELATIONSHIP_AS_OF_DATE","20140127")</f>
        <v>#N/A N/A</v>
      </c>
      <c r="AT5" t="str">
        <f>_xll.BDS("YDKN US Equity","SUPPLY_CHAIN_CUSTOMERS","RELATIONSHIP_AS_OF_DATE","20140127")</f>
        <v>#N/A N/A</v>
      </c>
      <c r="AY5" t="str">
        <f>_xll.BDS("DFODQ US Equity","SUPPLY_CHAIN_SUPPLIERS","RELATIONSHIP_AS_OF_DATE","20030630","cols=1;rows=5")</f>
        <v>AEE US Equity</v>
      </c>
      <c r="BD5" t="str">
        <f>_xll.BDS("DFODQ US Equity","SUPPLY_CHAIN_CUSTOMERS","RELATIONSHIP_AS_OF_DATE","20030630")</f>
        <v>#N/A N/A</v>
      </c>
      <c r="BI5" t="str">
        <f>_xll.BDS("MCO US Equity","SUPPLY_CHAIN_SUPPLIERS","RELATIONSHIP_AS_OF_DATE","20180830","cols=1;rows=5")</f>
        <v>ICRA IN Equity</v>
      </c>
      <c r="BN5" t="str">
        <f>_xll.BDS("MCO US Equity","SUPPLY_CHAIN_CUSTOMERS","RELATIONSHIP_AS_OF_DATE","20180830","cols=1;rows=2")</f>
        <v>ICRA IN Equity</v>
      </c>
      <c r="BS5" t="str">
        <f>_xll.BDS("CDNS US Equity","SUPPLY_CHAIN_SUPPLIERS","RELATIONSHIP_AS_OF_DATE","20020424","cols=1;rows=5")</f>
        <v>JBL US Equity</v>
      </c>
      <c r="BX5" t="str">
        <f>_xll.BDS("CDNS US Equity","SUPPLY_CHAIN_CUSTOMERS","RELATIONSHIP_AS_OF_DATE","20020424","cols=1;rows=5")</f>
        <v>IBM US Equity</v>
      </c>
      <c r="CC5" t="str">
        <f>_xll.BDS("1742858D US Equity","SUPPLY_CHAIN_SUPPLIERS","RELATIONSHIP_AS_OF_DATE","19981008")</f>
        <v>#N/A N/A</v>
      </c>
      <c r="CH5" t="str">
        <f>_xll.BDS("1742858D US Equity","SUPPLY_CHAIN_CUSTOMERS","RELATIONSHIP_AS_OF_DATE","19981008")</f>
        <v>#N/A N/A</v>
      </c>
      <c r="CM5" t="str">
        <f>_xll.BDS("STEL US Equity","SUPPLY_CHAIN_SUPPLIERS","RELATIONSHIP_AS_OF_DATE","20070726")</f>
        <v>#N/A N/A</v>
      </c>
      <c r="CR5" t="str">
        <f>_xll.BDS("STEL US Equity","SUPPLY_CHAIN_CUSTOMERS","RELATIONSHIP_AS_OF_DATE","20070726")</f>
        <v>#N/A N/A</v>
      </c>
      <c r="CW5" t="str">
        <f>_xll.BDS("TFC US Equity","SUPPLY_CHAIN_SUPPLIERS","RELATIONSHIP_AS_OF_DATE","19980225","cols=1;rows=5")</f>
        <v>ADBE US Equity</v>
      </c>
      <c r="DB5" t="str">
        <f>_xll.BDS("TFC US Equity","SUPPLY_CHAIN_CUSTOMERS","RELATIONSHIP_AS_OF_DATE","19980225")</f>
        <v>RENG IN Equity</v>
      </c>
      <c r="DG5" t="str">
        <f>_xll.BDS("NEM US Equity","SUPPLY_CHAIN_SUPPLIERS","RELATIONSHIP_AS_OF_DATE","19980929","cols=1;rows=5")</f>
        <v>LUG CN Equity</v>
      </c>
      <c r="DL5" t="str">
        <f>_xll.BDS("NEM US Equity","SUPPLY_CHAIN_CUSTOMERS","RELATIONSHIP_AS_OF_DATE","19980929","cols=1;rows=5")</f>
        <v>STAN LN Equity</v>
      </c>
      <c r="DQ5" t="str">
        <f>_xll.BDS("9749933D US Equity","SUPPLY_CHAIN_SUPPLIERS","RELATIONSHIP_AS_OF_DATE","20151007")</f>
        <v>#N/A N/A</v>
      </c>
      <c r="DV5" t="str">
        <f>_xll.BDS("9749933D US Equity","SUPPLY_CHAIN_CUSTOMERS","RELATIONSHIP_AS_OF_DATE","20151007")</f>
        <v>#N/A N/A</v>
      </c>
      <c r="EA5" t="str">
        <f>_xll.BDS("9994967D US Equity","SUPPLY_CHAIN_SUPPLIERS","RELATIONSHIP_AS_OF_DATE","20021127","cols=1;rows=5")</f>
        <v>0230214D LN Equity</v>
      </c>
      <c r="EF5" t="str">
        <f>_xll.BDS("9994967D US Equity","SUPPLY_CHAIN_CUSTOMERS","RELATIONSHIP_AS_OF_DATE","20021127","cols=1;rows=4")</f>
        <v>0130612D US Equity</v>
      </c>
      <c r="EK5" t="str">
        <f>_xll.BDS("ESGR US Equity","SUPPLY_CHAIN_SUPPLIERS","RELATIONSHIP_AS_OF_DATE","20120827","cols=1;rows=2")</f>
        <v>ALIC IN Equity</v>
      </c>
      <c r="EP5" t="str">
        <f>_xll.BDS("ESGR US Equity","SUPPLY_CHAIN_CUSTOMERS","RELATIONSHIP_AS_OF_DATE","20120827","cols=1;rows=4")</f>
        <v>000320 KS Equity</v>
      </c>
      <c r="EU5" t="str">
        <f>_xll.BDS("1260972D US Equity","SUPPLY_CHAIN_SUPPLIERS","RELATIONSHIP_AS_OF_DATE","20000216")</f>
        <v>#N/A N/A</v>
      </c>
      <c r="EZ5" t="str">
        <f>_xll.BDS("1260972D US Equity","SUPPLY_CHAIN_CUSTOMERS","RELATIONSHIP_AS_OF_DATE","20000216")</f>
        <v>#N/A N/A</v>
      </c>
      <c r="FE5" t="str">
        <f>_xll.BDS("2326248D US Equity","SUPPLY_CHAIN_SUPPLIERS","RELATIONSHIP_AS_OF_DATE","20050407")</f>
        <v>#N/A N/A</v>
      </c>
      <c r="FJ5" t="str">
        <f>_xll.BDS("2326248D US Equity","SUPPLY_CHAIN_CUSTOMERS","RELATIONSHIP_AS_OF_DATE","20050407")</f>
        <v>#N/A N/A</v>
      </c>
      <c r="FO5" t="str">
        <f>_xll.BDS("HPE US Equity","SUPPLY_CHAIN_SUPPLIERS","RELATIONSHIP_AS_OF_DATE","20160811","cols=1;rows=5")</f>
        <v>2356 TT Equity</v>
      </c>
      <c r="FT5" t="str">
        <f>_xll.BDS("HPE US Equity","SUPPLY_CHAIN_CUSTOMERS","RELATIONSHIP_AS_OF_DATE","20160811","cols=1;rows=5")</f>
        <v>ARW US Equity</v>
      </c>
      <c r="FY5" t="str">
        <f>_xll.BDS("2269312Q US Equity","SUPPLY_CHAIN_SUPPLIERS","RELATIONSHIP_AS_OF_DATE","19990715")</f>
        <v>#N/A N/A</v>
      </c>
      <c r="GD5" t="str">
        <f>_xll.BDS("2269312Q US Equity","SUPPLY_CHAIN_CUSTOMERS","RELATIONSHIP_AS_OF_DATE","19990715")</f>
        <v>#N/A N/A</v>
      </c>
      <c r="GI5" t="str">
        <f>_xll.BDS("AXNT US Equity","SUPPLY_CHAIN_SUPPLIERS","RELATIONSHIP_AS_OF_DATE","19971201")</f>
        <v>#N/A N/A</v>
      </c>
      <c r="GN5" t="str">
        <f>_xll.BDS("AXNT US Equity","SUPPLY_CHAIN_CUSTOMERS","RELATIONSHIP_AS_OF_DATE","19971201")</f>
        <v>#N/A N/A</v>
      </c>
      <c r="GS5" t="str">
        <f>_xll.BDS("2213185D US Equity","SUPPLY_CHAIN_SUPPLIERS","RELATIONSHIP_AS_OF_DATE","20010430")</f>
        <v>#N/A N/A</v>
      </c>
      <c r="GX5" t="str">
        <f>_xll.BDS("2213185D US Equity","SUPPLY_CHAIN_CUSTOMERS","RELATIONSHIP_AS_OF_DATE","20010430")</f>
        <v>#N/A N/A</v>
      </c>
      <c r="HC5" t="str">
        <f>_xll.BDS("3499164Q US Equity","SUPPLY_CHAIN_SUPPLIERS","RELATIONSHIP_AS_OF_DATE","20000228")</f>
        <v>DELL US Equity</v>
      </c>
      <c r="HH5" t="str">
        <f>_xll.BDS("3499164Q US Equity","SUPPLY_CHAIN_CUSTOMERS","RELATIONSHIP_AS_OF_DATE","20000228","cols=1;rows=4")</f>
        <v>6166 TT Equity</v>
      </c>
      <c r="HM5" t="str">
        <f>_xll.BDS("MTSI US Equity","SUPPLY_CHAIN_SUPPLIERS","RELATIONSHIP_AS_OF_DATE","20131105","cols=1;rows=5")</f>
        <v>3711 TT Equity</v>
      </c>
      <c r="HR5" t="str">
        <f>_xll.BDS("MTSI US Equity","SUPPLY_CHAIN_CUSTOMERS","RELATIONSHIP_AS_OF_DATE","20131105","cols=1;rows=5")</f>
        <v>941 HK Equity</v>
      </c>
      <c r="HW5" t="str">
        <f>_xll.BDS("FPI US Equity","SUPPLY_CHAIN_SUPPLIERS","RELATIONSHIP_AS_OF_DATE","20160912")</f>
        <v>#N/A N/A</v>
      </c>
      <c r="IB5" t="str">
        <f>_xll.BDS("FPI US Equity","SUPPLY_CHAIN_CUSTOMERS","RELATIONSHIP_AS_OF_DATE","20160912")</f>
        <v>#N/A N/A</v>
      </c>
      <c r="IG5" t="str">
        <f>_xll.BDS("RVTY US Equity","SUPPLY_CHAIN_SUPPLIERS","RELATIONSHIP_AS_OF_DATE","20071001","cols=1;rows=5")</f>
        <v>UPS US Equity</v>
      </c>
      <c r="IL5" t="str">
        <f>_xll.BDS("RVTY US Equity","SUPPLY_CHAIN_CUSTOMERS","RELATIONSHIP_AS_OF_DATE","20071001","cols=1;rows=5")</f>
        <v>002971 CH Equity</v>
      </c>
      <c r="IQ5" t="str">
        <f>_xll.BDS("TTEC US Equity","SUPPLY_CHAIN_SUPPLIERS","RELATIONSHIP_AS_OF_DATE","20000822","cols=1;rows=5")</f>
        <v>CSCO US Equity</v>
      </c>
      <c r="IV5" t="str">
        <f>_xll.BDS("TTEC US Equity","SUPPLY_CHAIN_CUSTOMERS","RELATIONSHIP_AS_OF_DATE","20000822","cols=1;rows=5")</f>
        <v>0170016D US Equity</v>
      </c>
      <c r="JA5" t="str">
        <f>_xll.BDS("UCB US Equity","SUPPLY_CHAIN_SUPPLIERS","RELATIONSHIP_AS_OF_DATE","20150422")</f>
        <v>3764228Z US Equity</v>
      </c>
      <c r="JF5" t="str">
        <f>_xll.BDS("UCB US Equity","SUPPLY_CHAIN_CUSTOMERS","RELATIONSHIP_AS_OF_DATE","20150422")</f>
        <v>#N/A N/A</v>
      </c>
      <c r="JK5" t="str">
        <f>_xll.BDS("RNST US Equity","SUPPLY_CHAIN_SUPPLIERS","RELATIONSHIP_AS_OF_DATE","20141210")</f>
        <v>#N/A N/A</v>
      </c>
      <c r="JP5" t="str">
        <f>_xll.BDS("RNST US Equity","SUPPLY_CHAIN_CUSTOMERS","RELATIONSHIP_AS_OF_DATE","20141210")</f>
        <v>#N/A N/A</v>
      </c>
      <c r="JU5" t="str">
        <f>_xll.BDS("MOLX US Equity","SUPPLY_CHAIN_SUPPLIERS","RELATIONSHIP_AS_OF_DATE","20060630","cols=1;rows=5")</f>
        <v>002130 CH Equity</v>
      </c>
      <c r="JZ5" t="str">
        <f>_xll.BDS("MOLX US Equity","SUPPLY_CHAIN_CUSTOMERS","RELATIONSHIP_AS_OF_DATE","20060630","cols=1;rows=5")</f>
        <v>001287 CH Equity</v>
      </c>
      <c r="KE5" t="str">
        <f>_xll.BDS("TER US Equity","SUPPLY_CHAIN_SUPPLIERS","RELATIONSHIP_AS_OF_DATE","20010802","cols=1;rows=5")</f>
        <v>NVDA US Equity</v>
      </c>
      <c r="KJ5" t="str">
        <f>_xll.BDS("TER US Equity","SUPPLY_CHAIN_CUSTOMERS","RELATIONSHIP_AS_OF_DATE","20010802","cols=1;rows=5")</f>
        <v>005930 KS Equity</v>
      </c>
      <c r="KO5" t="str">
        <f>_xll.BDS("244630Q US Equity","SUPPLY_CHAIN_SUPPLIERS","RELATIONSHIP_AS_OF_DATE","19980723")</f>
        <v>#N/A N/A</v>
      </c>
      <c r="KT5" t="str">
        <f>_xll.BDS("244630Q US Equity","SUPPLY_CHAIN_CUSTOMERS","RELATIONSHIP_AS_OF_DATE","19980723")</f>
        <v>#N/A N/A</v>
      </c>
      <c r="KY5" t="str">
        <f>_xll.BDS("ELX US Equity","SUPPLY_CHAIN_SUPPLIERS","RELATIONSHIP_AS_OF_DATE","20031008")</f>
        <v>#N/A N/A</v>
      </c>
      <c r="LD5" t="str">
        <f>_xll.BDS("ELX US Equity","SUPPLY_CHAIN_CUSTOMERS","RELATIONSHIP_AS_OF_DATE","20031008")</f>
        <v>#N/A N/A</v>
      </c>
      <c r="LI5" t="str">
        <f>_xll.BDS("CHZ US Equity","SUPPLY_CHAIN_SUPPLIERS","RELATIONSHIP_AS_OF_DATE","20021107")</f>
        <v>#N/A N/A</v>
      </c>
      <c r="LN5" t="str">
        <f>_xll.BDS("CHZ US Equity","SUPPLY_CHAIN_CUSTOMERS","RELATIONSHIP_AS_OF_DATE","20021107")</f>
        <v>#N/A N/A</v>
      </c>
      <c r="LS5" t="str">
        <f>_xll.BDS("SKS US Equity","SUPPLY_CHAIN_SUPPLIERS","RELATIONSHIP_AS_OF_DATE","19951023")</f>
        <v>UE US Equity</v>
      </c>
      <c r="LX5" t="str">
        <f>_xll.BDS("SKS US Equity","SUPPLY_CHAIN_CUSTOMERS","RELATIONSHIP_AS_OF_DATE","19951023")</f>
        <v>GCARSOA1 MM Equity</v>
      </c>
      <c r="MC5" t="str">
        <f>_xll.BDS("1986522D US Equity","SUPPLY_CHAIN_SUPPLIERS","RELATIONSHIP_AS_OF_DATE","20070604")</f>
        <v>FE US Equity</v>
      </c>
      <c r="MH5" t="str">
        <f>_xll.BDS("1986522D US Equity","SUPPLY_CHAIN_CUSTOMERS","RELATIONSHIP_AS_OF_DATE","20070604")</f>
        <v>#N/A N/A</v>
      </c>
      <c r="MM5" t="str">
        <f>_xll.BDS("STFC US Equity","SUPPLY_CHAIN_SUPPLIERS","RELATIONSHIP_AS_OF_DATE","20001025")</f>
        <v>OSPN US Equity</v>
      </c>
      <c r="MR5" t="str">
        <f>_xll.BDS("STFC US Equity","SUPPLY_CHAIN_CUSTOMERS","RELATIONSHIP_AS_OF_DATE","20001025")</f>
        <v>#N/A N/A</v>
      </c>
      <c r="MW5" t="str">
        <f>_xll.BDS("NHC US Equity","SUPPLY_CHAIN_SUPPLIERS","RELATIONSHIP_AS_OF_DATE","20061221","cols=1;rows=3")</f>
        <v>NHI US Equity</v>
      </c>
      <c r="NB5" t="str">
        <f>_xll.BDS("NHC US Equity","SUPPLY_CHAIN_CUSTOMERS","RELATIONSHIP_AS_OF_DATE","20061221")</f>
        <v>9877893Z US Equity</v>
      </c>
      <c r="NG5" t="str">
        <f>_xll.BDS("605018Q US Equity","SUPPLY_CHAIN_SUPPLIERS","RELATIONSHIP_AS_OF_DATE","20010123")</f>
        <v>#N/A N/A</v>
      </c>
      <c r="NL5" t="str">
        <f>_xll.BDS("605018Q US Equity","SUPPLY_CHAIN_CUSTOMERS","RELATIONSHIP_AS_OF_DATE","20010123")</f>
        <v>#N/A N/A</v>
      </c>
      <c r="NQ5" t="str">
        <f>_xll.BDS("CNOB US Equity","SUPPLY_CHAIN_SUPPLIERS","RELATIONSHIP_AS_OF_DATE","20140121")</f>
        <v>NCNO US Equity</v>
      </c>
      <c r="NV5" t="str">
        <f>_xll.BDS("CNOB US Equity","SUPPLY_CHAIN_CUSTOMERS","RELATIONSHIP_AS_OF_DATE","20140121")</f>
        <v>#N/A N/A</v>
      </c>
      <c r="OA5" t="str">
        <f>_xll.BDS("PRA US Equity","SUPPLY_CHAIN_SUPPLIERS","RELATIONSHIP_AS_OF_DATE","20000623")</f>
        <v>#N/A N/A</v>
      </c>
      <c r="OF5" t="str">
        <f>_xll.BDS("PRA US Equity","SUPPLY_CHAIN_CUSTOMERS","RELATIONSHIP_AS_OF_DATE","20000623")</f>
        <v>#N/A N/A</v>
      </c>
    </row>
    <row r="6" spans="1:396" x14ac:dyDescent="0.25">
      <c r="U6" t="s">
        <v>11841</v>
      </c>
      <c r="AE6" t="s">
        <v>11168</v>
      </c>
      <c r="AJ6" t="s">
        <v>11581</v>
      </c>
      <c r="AY6" t="s">
        <v>10696</v>
      </c>
      <c r="BI6" t="s">
        <v>11014</v>
      </c>
      <c r="BN6" t="s">
        <v>12139</v>
      </c>
      <c r="BS6" t="s">
        <v>11779</v>
      </c>
      <c r="BX6" t="s">
        <v>11194</v>
      </c>
      <c r="CW6" t="s">
        <v>11371</v>
      </c>
      <c r="DG6" t="s">
        <v>12099</v>
      </c>
      <c r="DL6" t="s">
        <v>61</v>
      </c>
      <c r="EA6" t="s">
        <v>12212</v>
      </c>
      <c r="EF6" t="s">
        <v>11548</v>
      </c>
      <c r="EK6" t="s">
        <v>12308</v>
      </c>
      <c r="EP6" t="s">
        <v>10952</v>
      </c>
      <c r="FO6" t="s">
        <v>11176</v>
      </c>
      <c r="FT6" t="s">
        <v>10660</v>
      </c>
      <c r="HH6" t="s">
        <v>10786</v>
      </c>
      <c r="HM6" t="s">
        <v>11042</v>
      </c>
      <c r="HR6" t="s">
        <v>6473</v>
      </c>
      <c r="IG6" t="s">
        <v>11168</v>
      </c>
      <c r="IL6" t="s">
        <v>11581</v>
      </c>
      <c r="IQ6" t="s">
        <v>7475</v>
      </c>
      <c r="IV6" t="s">
        <v>12516</v>
      </c>
      <c r="JU6" t="s">
        <v>12388</v>
      </c>
      <c r="JZ6" t="s">
        <v>12334</v>
      </c>
      <c r="KE6" t="s">
        <v>10734</v>
      </c>
      <c r="KJ6" t="s">
        <v>10729</v>
      </c>
      <c r="MW6" t="s">
        <v>12210</v>
      </c>
    </row>
    <row r="7" spans="1:396" x14ac:dyDescent="0.25">
      <c r="AE7" t="s">
        <v>10884</v>
      </c>
      <c r="AJ7" t="s">
        <v>11430</v>
      </c>
      <c r="AY7" t="s">
        <v>158</v>
      </c>
      <c r="BI7" t="s">
        <v>12193</v>
      </c>
      <c r="BS7" t="s">
        <v>7300</v>
      </c>
      <c r="BX7" t="s">
        <v>11090</v>
      </c>
      <c r="CW7" t="s">
        <v>10986</v>
      </c>
      <c r="DG7" t="s">
        <v>684</v>
      </c>
      <c r="DL7" t="s">
        <v>12094</v>
      </c>
      <c r="EA7" t="s">
        <v>12405</v>
      </c>
      <c r="EF7" t="s">
        <v>11939</v>
      </c>
      <c r="EP7" t="s">
        <v>12306</v>
      </c>
      <c r="FO7" t="s">
        <v>6477</v>
      </c>
      <c r="FT7" t="s">
        <v>2881</v>
      </c>
      <c r="HH7" t="s">
        <v>10876</v>
      </c>
      <c r="HM7" t="s">
        <v>10726</v>
      </c>
      <c r="HR7" t="s">
        <v>42</v>
      </c>
      <c r="IG7" t="s">
        <v>10884</v>
      </c>
      <c r="IL7" t="s">
        <v>11430</v>
      </c>
      <c r="IQ7" t="s">
        <v>11922</v>
      </c>
      <c r="IV7" t="s">
        <v>12517</v>
      </c>
      <c r="JU7" t="s">
        <v>12389</v>
      </c>
      <c r="JZ7" t="s">
        <v>12335</v>
      </c>
      <c r="KE7" t="s">
        <v>273</v>
      </c>
      <c r="KJ7" t="s">
        <v>11090</v>
      </c>
      <c r="MW7" t="s">
        <v>1544</v>
      </c>
    </row>
    <row r="8" spans="1:396" x14ac:dyDescent="0.25">
      <c r="AE8" t="s">
        <v>10830</v>
      </c>
      <c r="AJ8" t="s">
        <v>11582</v>
      </c>
      <c r="AY8" t="s">
        <v>6710</v>
      </c>
      <c r="BI8" t="s">
        <v>11921</v>
      </c>
      <c r="BS8" t="s">
        <v>11780</v>
      </c>
      <c r="BX8" t="s">
        <v>11567</v>
      </c>
      <c r="CW8" t="s">
        <v>11372</v>
      </c>
      <c r="DG8" t="s">
        <v>11730</v>
      </c>
      <c r="DL8" t="s">
        <v>12095</v>
      </c>
      <c r="EA8" t="s">
        <v>12406</v>
      </c>
      <c r="EF8" t="s">
        <v>2705</v>
      </c>
      <c r="EP8" t="s">
        <v>268</v>
      </c>
      <c r="FO8" t="s">
        <v>11089</v>
      </c>
      <c r="FT8" t="s">
        <v>11183</v>
      </c>
      <c r="HH8" t="s">
        <v>12141</v>
      </c>
      <c r="HM8" t="s">
        <v>12289</v>
      </c>
      <c r="HR8" t="s">
        <v>10893</v>
      </c>
      <c r="IG8" t="s">
        <v>10830</v>
      </c>
      <c r="IL8" t="s">
        <v>11582</v>
      </c>
      <c r="IQ8" t="s">
        <v>11923</v>
      </c>
      <c r="IV8" t="s">
        <v>12518</v>
      </c>
      <c r="JU8" t="s">
        <v>11596</v>
      </c>
      <c r="JZ8" t="s">
        <v>12336</v>
      </c>
      <c r="KE8" t="s">
        <v>3439</v>
      </c>
      <c r="KJ8" t="s">
        <v>11204</v>
      </c>
    </row>
    <row r="9" spans="1:396" x14ac:dyDescent="0.25">
      <c r="AE9" t="s">
        <v>11169</v>
      </c>
      <c r="AJ9" t="s">
        <v>11583</v>
      </c>
      <c r="AY9" t="s">
        <v>693</v>
      </c>
      <c r="BI9" t="s">
        <v>11260</v>
      </c>
      <c r="BS9" t="s">
        <v>11361</v>
      </c>
      <c r="BX9" t="s">
        <v>11568</v>
      </c>
      <c r="CW9" t="s">
        <v>10987</v>
      </c>
      <c r="DG9" t="s">
        <v>11130</v>
      </c>
      <c r="DL9" t="s">
        <v>12096</v>
      </c>
      <c r="EA9" t="s">
        <v>12407</v>
      </c>
      <c r="FO9" t="s">
        <v>10853</v>
      </c>
      <c r="FT9" t="s">
        <v>266</v>
      </c>
      <c r="HM9" t="s">
        <v>12529</v>
      </c>
      <c r="HR9" t="s">
        <v>12129</v>
      </c>
      <c r="IG9" t="s">
        <v>11169</v>
      </c>
      <c r="IL9" t="s">
        <v>11583</v>
      </c>
      <c r="IQ9" t="s">
        <v>469</v>
      </c>
      <c r="IV9" t="s">
        <v>12519</v>
      </c>
      <c r="JU9" t="s">
        <v>12390</v>
      </c>
      <c r="JZ9" t="s">
        <v>11566</v>
      </c>
      <c r="KE9" t="s">
        <v>11867</v>
      </c>
      <c r="KJ9" t="s">
        <v>881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5791</v>
      </c>
      <c r="K1" s="1" t="s">
        <v>5792</v>
      </c>
      <c r="U1" s="1" t="s">
        <v>5793</v>
      </c>
      <c r="AE1" s="1" t="s">
        <v>5794</v>
      </c>
      <c r="AO1" s="1" t="s">
        <v>5795</v>
      </c>
      <c r="AY1" s="1" t="s">
        <v>5796</v>
      </c>
      <c r="BI1" s="1" t="s">
        <v>5797</v>
      </c>
      <c r="BS1" s="1" t="s">
        <v>5798</v>
      </c>
      <c r="CC1" s="1" t="s">
        <v>5799</v>
      </c>
      <c r="CM1" s="1" t="s">
        <v>5800</v>
      </c>
      <c r="CW1" s="1" t="s">
        <v>5801</v>
      </c>
      <c r="DG1" s="1" t="s">
        <v>5802</v>
      </c>
      <c r="DQ1" s="1" t="s">
        <v>5803</v>
      </c>
      <c r="EA1" s="1" t="s">
        <v>5804</v>
      </c>
      <c r="EK1" s="1" t="s">
        <v>5805</v>
      </c>
      <c r="EU1" s="1" t="s">
        <v>5806</v>
      </c>
      <c r="FE1" s="1" t="s">
        <v>5807</v>
      </c>
      <c r="FO1" s="1" t="s">
        <v>5808</v>
      </c>
      <c r="FY1" s="1" t="s">
        <v>5809</v>
      </c>
      <c r="GI1" s="1" t="s">
        <v>5810</v>
      </c>
      <c r="GS1" s="1" t="s">
        <v>5811</v>
      </c>
      <c r="HC1" s="1" t="s">
        <v>5812</v>
      </c>
      <c r="HM1" s="1" t="s">
        <v>5813</v>
      </c>
      <c r="HW1" s="1" t="s">
        <v>5814</v>
      </c>
      <c r="IG1" s="1" t="s">
        <v>5815</v>
      </c>
      <c r="IQ1" s="1" t="s">
        <v>5816</v>
      </c>
      <c r="JA1" s="1" t="s">
        <v>5817</v>
      </c>
      <c r="JK1" s="1" t="s">
        <v>5818</v>
      </c>
      <c r="JU1" s="1" t="s">
        <v>5819</v>
      </c>
      <c r="KE1" s="1" t="s">
        <v>5820</v>
      </c>
      <c r="KO1" s="1" t="s">
        <v>5821</v>
      </c>
      <c r="KY1" s="1" t="s">
        <v>5822</v>
      </c>
      <c r="LI1" s="1" t="s">
        <v>5823</v>
      </c>
      <c r="LS1" s="1" t="s">
        <v>5824</v>
      </c>
      <c r="MC1" s="1" t="s">
        <v>5825</v>
      </c>
      <c r="MM1" s="1" t="s">
        <v>5826</v>
      </c>
      <c r="MW1" s="1" t="s">
        <v>5827</v>
      </c>
      <c r="NG1" s="1" t="s">
        <v>5828</v>
      </c>
      <c r="NQ1" s="1" t="s">
        <v>5829</v>
      </c>
      <c r="OA1" s="1" t="s">
        <v>5830</v>
      </c>
    </row>
    <row r="2" spans="1:396" x14ac:dyDescent="0.25">
      <c r="A2" s="2" t="s">
        <v>5831</v>
      </c>
      <c r="K2" s="2" t="s">
        <v>2299</v>
      </c>
      <c r="U2" s="2" t="s">
        <v>5832</v>
      </c>
      <c r="AE2" s="2" t="s">
        <v>5833</v>
      </c>
      <c r="AO2" s="2" t="s">
        <v>4638</v>
      </c>
      <c r="AY2" s="2" t="s">
        <v>5064</v>
      </c>
      <c r="BI2" s="2" t="s">
        <v>1164</v>
      </c>
      <c r="BS2" s="2" t="s">
        <v>165</v>
      </c>
      <c r="CC2" s="2" t="s">
        <v>5834</v>
      </c>
      <c r="CM2" s="2" t="s">
        <v>5835</v>
      </c>
      <c r="CW2" s="2" t="s">
        <v>2795</v>
      </c>
      <c r="DG2" s="2" t="s">
        <v>477</v>
      </c>
      <c r="DQ2" s="2" t="s">
        <v>1079</v>
      </c>
      <c r="EA2" s="2" t="s">
        <v>1272</v>
      </c>
      <c r="EK2" s="2" t="s">
        <v>1365</v>
      </c>
      <c r="EU2" s="2" t="s">
        <v>281</v>
      </c>
      <c r="FE2" s="2" t="s">
        <v>5836</v>
      </c>
      <c r="FO2" s="2" t="s">
        <v>4379</v>
      </c>
      <c r="FY2" s="2" t="s">
        <v>2395</v>
      </c>
      <c r="GI2" s="2" t="s">
        <v>5837</v>
      </c>
      <c r="GS2" s="2" t="s">
        <v>5838</v>
      </c>
      <c r="HC2" s="2" t="s">
        <v>667</v>
      </c>
      <c r="HM2" s="2" t="s">
        <v>5839</v>
      </c>
      <c r="HW2" s="2" t="s">
        <v>4737</v>
      </c>
      <c r="IG2" s="2" t="s">
        <v>667</v>
      </c>
      <c r="IQ2" s="2" t="s">
        <v>2407</v>
      </c>
      <c r="JA2" s="2" t="s">
        <v>5840</v>
      </c>
      <c r="JK2" s="2" t="s">
        <v>1162</v>
      </c>
      <c r="JU2" s="2" t="s">
        <v>5841</v>
      </c>
      <c r="KE2" s="2" t="s">
        <v>5842</v>
      </c>
      <c r="KO2" s="2" t="s">
        <v>5843</v>
      </c>
      <c r="KY2" s="2" t="s">
        <v>4043</v>
      </c>
      <c r="LI2" s="2" t="s">
        <v>5412</v>
      </c>
      <c r="LS2" s="2" t="s">
        <v>64</v>
      </c>
      <c r="MC2" s="2" t="s">
        <v>375</v>
      </c>
      <c r="MM2" s="2" t="s">
        <v>2214</v>
      </c>
      <c r="MW2" s="2" t="s">
        <v>5844</v>
      </c>
      <c r="NG2" s="2" t="s">
        <v>5845</v>
      </c>
      <c r="NQ2" s="2" t="s">
        <v>5846</v>
      </c>
      <c r="OA2" s="2" t="s">
        <v>5847</v>
      </c>
    </row>
    <row r="3" spans="1:396" x14ac:dyDescent="0.25">
      <c r="A3" t="s">
        <v>3902</v>
      </c>
      <c r="K3" t="s">
        <v>5848</v>
      </c>
      <c r="U3" t="s">
        <v>5849</v>
      </c>
      <c r="AE3" t="s">
        <v>5850</v>
      </c>
      <c r="AO3" t="s">
        <v>323</v>
      </c>
      <c r="AY3" t="s">
        <v>3821</v>
      </c>
      <c r="BI3" t="s">
        <v>5851</v>
      </c>
      <c r="BS3" t="s">
        <v>3799</v>
      </c>
      <c r="CC3" t="s">
        <v>3366</v>
      </c>
      <c r="CM3" t="s">
        <v>3355</v>
      </c>
      <c r="CW3" t="s">
        <v>5852</v>
      </c>
      <c r="DG3" t="s">
        <v>5853</v>
      </c>
      <c r="DQ3" t="s">
        <v>5854</v>
      </c>
      <c r="EA3" t="s">
        <v>3643</v>
      </c>
      <c r="EK3" t="s">
        <v>5855</v>
      </c>
      <c r="EU3" t="s">
        <v>1185</v>
      </c>
      <c r="FE3" t="s">
        <v>5856</v>
      </c>
      <c r="FO3" t="s">
        <v>5857</v>
      </c>
      <c r="FY3" t="s">
        <v>2423</v>
      </c>
      <c r="GI3" t="s">
        <v>5858</v>
      </c>
      <c r="GS3" t="s">
        <v>5859</v>
      </c>
      <c r="HC3" t="s">
        <v>5860</v>
      </c>
      <c r="HM3" t="s">
        <v>5508</v>
      </c>
      <c r="HW3" t="s">
        <v>5861</v>
      </c>
      <c r="IG3" t="s">
        <v>4495</v>
      </c>
      <c r="IQ3" t="s">
        <v>4933</v>
      </c>
      <c r="JA3" t="s">
        <v>2614</v>
      </c>
      <c r="JK3" t="s">
        <v>606</v>
      </c>
      <c r="JU3" t="s">
        <v>1021</v>
      </c>
      <c r="KE3" t="s">
        <v>5862</v>
      </c>
      <c r="KO3" t="s">
        <v>5863</v>
      </c>
      <c r="KY3" t="s">
        <v>5864</v>
      </c>
      <c r="LI3" t="s">
        <v>5865</v>
      </c>
      <c r="LS3" t="s">
        <v>5866</v>
      </c>
      <c r="MC3" t="s">
        <v>5867</v>
      </c>
      <c r="MM3" t="s">
        <v>3286</v>
      </c>
      <c r="MW3" t="s">
        <v>5868</v>
      </c>
      <c r="NG3" t="s">
        <v>5869</v>
      </c>
      <c r="NQ3" t="s">
        <v>4587</v>
      </c>
      <c r="OA3" t="s">
        <v>5870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_xll.BDS("CTITQ US Equity","SUPPLY_CHAIN_SUPPLIERS","RELATIONSHIP_AS_OF_DATE","19990216")</f>
        <v>#N/A N/A</v>
      </c>
      <c r="F5" t="str">
        <f>_xll.BDS("CTITQ US Equity","SUPPLY_CHAIN_CUSTOMERS","RELATIONSHIP_AS_OF_DATE","19990216")</f>
        <v>#N/A N/A</v>
      </c>
      <c r="K5" t="str">
        <f>_xll.BDS("PB US Equity","SUPPLY_CHAIN_SUPPLIERS","RELATIONSHIP_AS_OF_DATE","20130829")</f>
        <v>#N/A N/A</v>
      </c>
      <c r="P5" t="str">
        <f>_xll.BDS("PB US Equity","SUPPLY_CHAIN_CUSTOMERS","RELATIONSHIP_AS_OF_DATE","20130829")</f>
        <v>#N/A N/A</v>
      </c>
      <c r="U5" t="str">
        <f>_xll.BDS("VIAS US Equity","SUPPLY_CHAIN_SUPPLIERS","RELATIONSHIP_AS_OF_DATE","20120404")</f>
        <v>#N/A N/A</v>
      </c>
      <c r="Z5" t="str">
        <f>_xll.BDS("VIAS US Equity","SUPPLY_CHAIN_CUSTOMERS","RELATIONSHIP_AS_OF_DATE","20120404")</f>
        <v>#N/A N/A</v>
      </c>
      <c r="AE5" t="str">
        <f>_xll.BDS("LFGRQ US Equity","SUPPLY_CHAIN_SUPPLIERS","RELATIONSHIP_AS_OF_DATE","20060329")</f>
        <v>#N/A N/A</v>
      </c>
      <c r="AJ5" t="str">
        <f>_xll.BDS("LFGRQ US Equity","SUPPLY_CHAIN_CUSTOMERS","RELATIONSHIP_AS_OF_DATE","20060329")</f>
        <v>#N/A N/A</v>
      </c>
      <c r="AO5" t="str">
        <f>_xll.BDS("NIC US Equity","SUPPLY_CHAIN_SUPPLIERS","RELATIONSHIP_AS_OF_DATE","20210412")</f>
        <v>VYX US Equity</v>
      </c>
      <c r="AT5" t="str">
        <f>_xll.BDS("NIC US Equity","SUPPLY_CHAIN_CUSTOMERS","RELATIONSHIP_AS_OF_DATE","20210412")</f>
        <v>#N/A N/A</v>
      </c>
      <c r="AY5" t="str">
        <f>_xll.BDS("CFR US Equity","SUPPLY_CHAIN_SUPPLIERS","RELATIONSHIP_AS_OF_DATE","19980217","cols=1;rows=4")</f>
        <v>INFO IN Equity</v>
      </c>
      <c r="BD5" t="str">
        <f>_xll.BDS("CFR US Equity","SUPPLY_CHAIN_CUSTOMERS","RELATIONSHIP_AS_OF_DATE","19980217")</f>
        <v>#N/A N/A</v>
      </c>
      <c r="BI5" t="str">
        <f>_xll.BDS("GE US Equity","SUPPLY_CHAIN_SUPPLIERS","RELATIONSHIP_AS_OF_DATE","20040601","cols=1;rows=5")</f>
        <v>SAF FP Equity</v>
      </c>
      <c r="BN5" t="str">
        <f>_xll.BDS("GE US Equity","SUPPLY_CHAIN_CUSTOMERS","RELATIONSHIP_AS_OF_DATE","20040601","cols=1;rows=5")</f>
        <v>3352Z US Equity</v>
      </c>
      <c r="BS5" t="str">
        <f>_xll.BDS("IBM US Equity","SUPPLY_CHAIN_SUPPLIERS","RELATIONSHIP_AS_OF_DATE","19990727","cols=1;rows=5")</f>
        <v>005930 KS Equity</v>
      </c>
      <c r="BX5" t="str">
        <f>_xll.BDS("IBM US Equity","SUPPLY_CHAIN_CUSTOMERS","RELATIONSHIP_AS_OF_DATE","19990727","cols=1;rows=5")</f>
        <v>AMZN US Equity</v>
      </c>
      <c r="CC5" t="str">
        <f>_xll.BDS("345605Q US Equity","SUPPLY_CHAIN_SUPPLIERS","RELATIONSHIP_AS_OF_DATE","19991214")</f>
        <v>#N/A N/A</v>
      </c>
      <c r="CH5" t="str">
        <f>_xll.BDS("345605Q US Equity","SUPPLY_CHAIN_CUSTOMERS","RELATIONSHIP_AS_OF_DATE","19991214")</f>
        <v>#N/A N/A</v>
      </c>
      <c r="CM5" t="str">
        <f>_xll.BDS("UVSP US Equity","SUPPLY_CHAIN_SUPPLIERS","RELATIONSHIP_AS_OF_DATE","20151208")</f>
        <v>#N/A N/A</v>
      </c>
      <c r="CR5" t="str">
        <f>_xll.BDS("UVSP US Equity","SUPPLY_CHAIN_CUSTOMERS","RELATIONSHIP_AS_OF_DATE","20151208")</f>
        <v>#N/A N/A</v>
      </c>
      <c r="CW5" t="str">
        <f>_xll.BDS("A US Equity","SUPPLY_CHAIN_SUPPLIERS","RELATIONSHIP_AS_OF_DATE","20070406","cols=1;rows=5")</f>
        <v>FLEX US Equity</v>
      </c>
      <c r="DB5" t="str">
        <f>_xll.BDS("A US Equity","SUPPLY_CHAIN_CUSTOMERS","RELATIONSHIP_AS_OF_DATE","20070406","cols=1;rows=5")</f>
        <v>6661 TT Equity</v>
      </c>
      <c r="DG5" t="str">
        <f>_xll.BDS("KR US Equity","SUPPLY_CHAIN_SUPPLIERS","RELATIONSHIP_AS_OF_DATE","20140702","cols=1;rows=5")</f>
        <v>CAH US Equity</v>
      </c>
      <c r="DL5" t="str">
        <f>_xll.BDS("KR US Equity","SUPPLY_CHAIN_CUSTOMERS","RELATIONSHIP_AS_OF_DATE","20140702")</f>
        <v>TTD US Equity</v>
      </c>
      <c r="DQ5" t="str">
        <f>_xll.BDS("9980328D US Equity","SUPPLY_CHAIN_SUPPLIERS","RELATIONSHIP_AS_OF_DATE","20120604","cols=1;rows=5")</f>
        <v>1052024D US Equity</v>
      </c>
      <c r="DV5" t="str">
        <f>_xll.BDS("9980328D US Equity","SUPPLY_CHAIN_CUSTOMERS","RELATIONSHIP_AS_OF_DATE","20120604","cols=1;rows=5")</f>
        <v>002630 KS Equity</v>
      </c>
      <c r="EA5" t="str">
        <f>_xll.BDS("FITB US Equity","SUPPLY_CHAIN_SUPPLIERS","RELATIONSHIP_AS_OF_DATE","20001025","cols=1;rows=5")</f>
        <v>004800 KS Equity</v>
      </c>
      <c r="EF5" t="str">
        <f>_xll.BDS("FITB US Equity","SUPPLY_CHAIN_CUSTOMERS","RELATIONSHIP_AS_OF_DATE","20001025")</f>
        <v>USIO US Equity</v>
      </c>
      <c r="EK5" t="str">
        <f>_xll.BDS("TDY US Equity","SUPPLY_CHAIN_SUPPLIERS","RELATIONSHIP_AS_OF_DATE","20120529","cols=1;rows=5")</f>
        <v>VOYG US Equity</v>
      </c>
      <c r="EP5" t="str">
        <f>_xll.BDS("TDY US Equity","SUPPLY_CHAIN_CUSTOMERS","RELATIONSHIP_AS_OF_DATE","20120529","cols=1;rows=5")</f>
        <v>3352Z US Equity</v>
      </c>
      <c r="EU5" t="str">
        <f>_xll.BDS("RIG US Equity","SUPPLY_CHAIN_SUPPLIERS","RELATIONSHIP_AS_OF_DATE","20160801","cols=1;rows=5")</f>
        <v>PDM US Equity</v>
      </c>
      <c r="EZ5" t="str">
        <f>_xll.BDS("RIG US Equity","SUPPLY_CHAIN_CUSTOMERS","RELATIONSHIP_AS_OF_DATE","20160801","cols=1;rows=5")</f>
        <v>PETR4 BZ Equity</v>
      </c>
      <c r="FE5" t="str">
        <f>_xll.BDS("SAH US Equity","SUPPLY_CHAIN_SUPPLIERS","RELATIONSHIP_AS_OF_DATE","19990825","cols=1;rows=5")</f>
        <v>BMW GR Equity</v>
      </c>
      <c r="FJ5" t="str">
        <f>_xll.BDS("SAH US Equity","SUPPLY_CHAIN_CUSTOMERS","RELATIONSHIP_AS_OF_DATE","19990825")</f>
        <v>#N/A N/A</v>
      </c>
      <c r="FO5" t="str">
        <f>_xll.BDS("SF US Equity","SUPPLY_CHAIN_SUPPLIERS","RELATIONSHIP_AS_OF_DATE","20100426","cols=1;rows=4")</f>
        <v>AHRT US Equity</v>
      </c>
      <c r="FT5" t="str">
        <f>_xll.BDS("SF US Equity","SUPPLY_CHAIN_CUSTOMERS","RELATIONSHIP_AS_OF_DATE","20100426")</f>
        <v>MRX US Equity</v>
      </c>
      <c r="FY5" t="str">
        <f>_xll.BDS("SOCNQ US Equity","SUPPLY_CHAIN_SUPPLIERS","RELATIONSHIP_AS_OF_DATE","19980302")</f>
        <v>#N/A N/A</v>
      </c>
      <c r="GD5" t="str">
        <f>_xll.BDS("SOCNQ US Equity","SUPPLY_CHAIN_CUSTOMERS","RELATIONSHIP_AS_OF_DATE","19980302")</f>
        <v>GSANBOB1 MM Equity</v>
      </c>
      <c r="GI5" t="str">
        <f>_xll.BDS("201998Q US Equity","SUPPLY_CHAIN_SUPPLIERS","RELATIONSHIP_AS_OF_DATE","19981121")</f>
        <v>#N/A N/A</v>
      </c>
      <c r="GN5" t="str">
        <f>_xll.BDS("201998Q US Equity","SUPPLY_CHAIN_CUSTOMERS","RELATIONSHIP_AS_OF_DATE","19981121")</f>
        <v>#N/A N/A</v>
      </c>
      <c r="GS5" t="str">
        <f>_xll.BDS("RCNI US Equity","SUPPLY_CHAIN_SUPPLIERS","RELATIONSHIP_AS_OF_DATE","20070625")</f>
        <v>#N/A N/A</v>
      </c>
      <c r="GX5" t="str">
        <f>_xll.BDS("RCNI US Equity","SUPPLY_CHAIN_CUSTOMERS","RELATIONSHIP_AS_OF_DATE","20070625")</f>
        <v>#N/A N/A</v>
      </c>
      <c r="HC5" t="str">
        <f>_xll.BDS("GD US Equity","SUPPLY_CHAIN_SUPPLIERS","RELATIONSHIP_AS_OF_DATE","20020502","cols=1;rows=5")</f>
        <v>RTX US Equity</v>
      </c>
      <c r="HH5" t="str">
        <f>_xll.BDS("GD US Equity","SUPPLY_CHAIN_CUSTOMERS","RELATIONSHIP_AS_OF_DATE","20020502","cols=1;rows=5")</f>
        <v>3352Z US Equity</v>
      </c>
      <c r="HM5" t="str">
        <f>_xll.BDS("ORI US Equity","SUPPLY_CHAIN_SUPPLIERS","RELATIONSHIP_AS_OF_DATE","20100610")</f>
        <v>#N/A N/A</v>
      </c>
      <c r="HR5" t="str">
        <f>_xll.BDS("ORI US Equity","SUPPLY_CHAIN_CUSTOMERS","RELATIONSHIP_AS_OF_DATE","20100610")</f>
        <v>#N/A N/A</v>
      </c>
      <c r="HW5" t="str">
        <f>_xll.BDS("OK US Equity","SUPPLY_CHAIN_SUPPLIERS","RELATIONSHIP_AS_OF_DATE","19990319")</f>
        <v>#N/A N/A</v>
      </c>
      <c r="IB5" t="str">
        <f>_xll.BDS("OK US Equity","SUPPLY_CHAIN_CUSTOMERS","RELATIONSHIP_AS_OF_DATE","19990319")</f>
        <v>#N/A N/A</v>
      </c>
      <c r="IG5" t="str">
        <f>_xll.BDS("GD US Equity","SUPPLY_CHAIN_SUPPLIERS","RELATIONSHIP_AS_OF_DATE","20111107","cols=1;rows=5")</f>
        <v>RTX US Equity</v>
      </c>
      <c r="IL5" t="str">
        <f>_xll.BDS("GD US Equity","SUPPLY_CHAIN_CUSTOMERS","RELATIONSHIP_AS_OF_DATE","20111107","cols=1;rows=5")</f>
        <v>3352Z US Equity</v>
      </c>
      <c r="IQ5" t="str">
        <f>_xll.BDS("UMPQ US Equity","SUPPLY_CHAIN_SUPPLIERS","RELATIONSHIP_AS_OF_DATE","20020723")</f>
        <v>#N/A N/A</v>
      </c>
      <c r="IV5" t="str">
        <f>_xll.BDS("UMPQ US Equity","SUPPLY_CHAIN_CUSTOMERS","RELATIONSHIP_AS_OF_DATE","20020723")</f>
        <v>#N/A N/A</v>
      </c>
      <c r="JA5" t="str">
        <f>_xll.BDS("PLCM US Equity","SUPPLY_CHAIN_SUPPLIERS","RELATIONSHIP_AS_OF_DATE","20010524")</f>
        <v>#N/A N/A</v>
      </c>
      <c r="JF5" t="str">
        <f>_xll.BDS("PLCM US Equity","SUPPLY_CHAIN_CUSTOMERS","RELATIONSHIP_AS_OF_DATE","20010524")</f>
        <v>#N/A N/A</v>
      </c>
      <c r="JK5" t="str">
        <f>_xll.BDS("TSLA US Equity","SUPPLY_CHAIN_SUPPLIERS","RELATIONSHIP_AS_OF_DATE","20190204","cols=1;rows=5")</f>
        <v>300750 CH Equity</v>
      </c>
      <c r="JP5" t="str">
        <f>_xll.BDS("TSLA US Equity","SUPPLY_CHAIN_CUSTOMERS","RELATIONSHIP_AS_OF_DATE","20190204","cols=1;rows=5")</f>
        <v>HTZ US Equity</v>
      </c>
      <c r="JU5" t="str">
        <f>_xll.BDS("WCG US Equity","SUPPLY_CHAIN_SUPPLIERS","RELATIONSHIP_AS_OF_DATE","20161117")</f>
        <v>#N/A N/A</v>
      </c>
      <c r="JZ5" t="str">
        <f>_xll.BDS("WCG US Equity","SUPPLY_CHAIN_CUSTOMERS","RELATIONSHIP_AS_OF_DATE","20161117")</f>
        <v>#N/A N/A</v>
      </c>
      <c r="KE5" t="str">
        <f>_xll.BDS("INAPQ US Equity","SUPPLY_CHAIN_SUPPLIERS","RELATIONSHIP_AS_OF_DATE","20000530","cols=1;rows=2")</f>
        <v>JNPR US Equity</v>
      </c>
      <c r="KJ5" t="str">
        <f>_xll.BDS("INAPQ US Equity","SUPPLY_CHAIN_CUSTOMERS","RELATIONSHIP_AS_OF_DATE","20000530")</f>
        <v>#N/A N/A</v>
      </c>
      <c r="KO5" t="str">
        <f>_xll.BDS("ISLE US Equity","SUPPLY_CHAIN_SUPPLIERS","RELATIONSHIP_AS_OF_DATE","19991006")</f>
        <v>#N/A N/A</v>
      </c>
      <c r="KT5" t="str">
        <f>_xll.BDS("ISLE US Equity","SUPPLY_CHAIN_CUSTOMERS","RELATIONSHIP_AS_OF_DATE","19991006")</f>
        <v>#N/A N/A</v>
      </c>
      <c r="KY5" t="str">
        <f>_xll.BDS("VSH US Equity","SUPPLY_CHAIN_SUPPLIERS","RELATIONSHIP_AS_OF_DATE","20050303","cols=1;rows=5")</f>
        <v>TSEM IT Equity</v>
      </c>
      <c r="LD5" t="str">
        <f>_xll.BDS("VSH US Equity","SUPPLY_CHAIN_CUSTOMERS","RELATIONSHIP_AS_OF_DATE","20050303","cols=1;rows=5")</f>
        <v>BRK/A US Equity</v>
      </c>
      <c r="LI5" t="str">
        <f>_xll.BDS("FULT US Equity","SUPPLY_CHAIN_SUPPLIERS","RELATIONSHIP_AS_OF_DATE","20220302","cols=1;rows=2")</f>
        <v>DLX US Equity</v>
      </c>
      <c r="LN5" t="str">
        <f>_xll.BDS("FULT US Equity","SUPPLY_CHAIN_CUSTOMERS","RELATIONSHIP_AS_OF_DATE","20220302")</f>
        <v>#N/A N/A</v>
      </c>
      <c r="LS5" t="str">
        <f>_xll.BDS("nan Equity","SUPPLY_CHAIN_SUPPLIERS","RELATIONSHIP_AS_OF_DATE","19980313")</f>
        <v>#N/A N/A</v>
      </c>
      <c r="LX5" t="str">
        <f>_xll.BDS("nan Equity","SUPPLY_CHAIN_CUSTOMERS","RELATIONSHIP_AS_OF_DATE","19980313")</f>
        <v>#N/A N/A</v>
      </c>
      <c r="MC5" t="str">
        <f>_xll.BDS("SLB US Equity","SUPPLY_CHAIN_SUPPLIERS","RELATIONSHIP_AS_OF_DATE","20000201","cols=1;rows=5")</f>
        <v>ARABIAND AB Equity</v>
      </c>
      <c r="MH5" t="str">
        <f>_xll.BDS("SLB US Equity","SUPPLY_CHAIN_CUSTOMERS","RELATIONSHIP_AS_OF_DATE","20000201","cols=1;rows=5")</f>
        <v>PETR4 BZ Equity</v>
      </c>
      <c r="MM5" t="str">
        <f>_xll.BDS("RC US Equity","SUPPLY_CHAIN_SUPPLIERS","RELATIONSHIP_AS_OF_DATE","20181107")</f>
        <v>#N/A N/A</v>
      </c>
      <c r="MR5" t="str">
        <f>_xll.BDS("RC US Equity","SUPPLY_CHAIN_CUSTOMERS","RELATIONSHIP_AS_OF_DATE","20181107")</f>
        <v>#N/A N/A</v>
      </c>
      <c r="MW5" t="str">
        <f>_xll.BDS("RLR US Equity","SUPPLY_CHAIN_SUPPLIERS","RELATIONSHIP_AS_OF_DATE","19990722")</f>
        <v>#N/A N/A</v>
      </c>
      <c r="NB5" t="str">
        <f>_xll.BDS("RLR US Equity","SUPPLY_CHAIN_CUSTOMERS","RELATIONSHIP_AS_OF_DATE","19990722")</f>
        <v>#N/A N/A</v>
      </c>
      <c r="NG5" t="str">
        <f>_xll.BDS("PRDO US Equity","SUPPLY_CHAIN_SUPPLIERS","RELATIONSHIP_AS_OF_DATE","20030326")</f>
        <v>#N/A N/A</v>
      </c>
      <c r="NL5" t="str">
        <f>_xll.BDS("PRDO US Equity","SUPPLY_CHAIN_CUSTOMERS","RELATIONSHIP_AS_OF_DATE","20030326")</f>
        <v>#N/A N/A</v>
      </c>
      <c r="NQ5" t="str">
        <f>_xll.BDS("AVX US Equity","SUPPLY_CHAIN_SUPPLIERS","RELATIONSHIP_AS_OF_DATE","20070618")</f>
        <v>#N/A N/A</v>
      </c>
      <c r="NV5" t="str">
        <f>_xll.BDS("AVX US Equity","SUPPLY_CHAIN_CUSTOMERS","RELATIONSHIP_AS_OF_DATE","20070618")</f>
        <v>#N/A N/A</v>
      </c>
      <c r="OA5" t="str">
        <f>_xll.BDS("BCR US Equity","SUPPLY_CHAIN_SUPPLIERS","RELATIONSHIP_AS_OF_DATE","20130904")</f>
        <v>FE US Equity</v>
      </c>
      <c r="OF5" t="str">
        <f>_xll.BDS("BCR US Equity","SUPPLY_CHAIN_CUSTOMERS","RELATIONSHIP_AS_OF_DATE","20130904")</f>
        <v>#N/A N/A</v>
      </c>
    </row>
    <row r="6" spans="1:396" x14ac:dyDescent="0.25">
      <c r="AY6" t="s">
        <v>11644</v>
      </c>
      <c r="BI6" t="s">
        <v>11008</v>
      </c>
      <c r="BN6" t="s">
        <v>1363</v>
      </c>
      <c r="BS6" t="s">
        <v>41</v>
      </c>
      <c r="BX6" t="s">
        <v>266</v>
      </c>
      <c r="CW6" t="s">
        <v>11168</v>
      </c>
      <c r="DB6" t="s">
        <v>10980</v>
      </c>
      <c r="DG6" t="s">
        <v>378</v>
      </c>
      <c r="DQ6" t="s">
        <v>11453</v>
      </c>
      <c r="DV6" t="s">
        <v>11428</v>
      </c>
      <c r="EA6" t="s">
        <v>4388</v>
      </c>
      <c r="EK6" t="s">
        <v>7220</v>
      </c>
      <c r="EP6" t="s">
        <v>1363</v>
      </c>
      <c r="EU6" t="s">
        <v>11312</v>
      </c>
      <c r="EZ6" t="s">
        <v>68</v>
      </c>
      <c r="FE6" t="s">
        <v>10916</v>
      </c>
      <c r="FO6" t="s">
        <v>11911</v>
      </c>
      <c r="HC6" t="s">
        <v>11007</v>
      </c>
      <c r="HH6" t="s">
        <v>11193</v>
      </c>
      <c r="IG6" t="s">
        <v>11007</v>
      </c>
      <c r="IL6" t="s">
        <v>11193</v>
      </c>
      <c r="JK6" t="s">
        <v>12136</v>
      </c>
      <c r="JP6" t="s">
        <v>12059</v>
      </c>
      <c r="KE6" t="s">
        <v>11614</v>
      </c>
      <c r="KY6" t="s">
        <v>10727</v>
      </c>
      <c r="LD6" t="s">
        <v>6473</v>
      </c>
      <c r="LI6" t="s">
        <v>154</v>
      </c>
      <c r="MC6" t="s">
        <v>11846</v>
      </c>
      <c r="MH6" t="s">
        <v>11808</v>
      </c>
    </row>
    <row r="7" spans="1:396" x14ac:dyDescent="0.25">
      <c r="AY7" t="s">
        <v>11372</v>
      </c>
      <c r="BI7" t="s">
        <v>11009</v>
      </c>
      <c r="BN7" t="s">
        <v>10939</v>
      </c>
      <c r="BS7" t="s">
        <v>469</v>
      </c>
      <c r="BX7" t="s">
        <v>10892</v>
      </c>
      <c r="CW7" t="s">
        <v>273</v>
      </c>
      <c r="DB7" t="s">
        <v>11580</v>
      </c>
      <c r="DG7" t="s">
        <v>11946</v>
      </c>
      <c r="DQ7" t="s">
        <v>11289</v>
      </c>
      <c r="DV7" t="s">
        <v>11429</v>
      </c>
      <c r="EA7" t="s">
        <v>11522</v>
      </c>
      <c r="EK7" t="s">
        <v>10878</v>
      </c>
      <c r="EP7" t="s">
        <v>10939</v>
      </c>
      <c r="EU7" t="s">
        <v>11842</v>
      </c>
      <c r="EZ7" t="s">
        <v>11540</v>
      </c>
      <c r="FE7" t="s">
        <v>11740</v>
      </c>
      <c r="FO7" t="s">
        <v>10829</v>
      </c>
      <c r="HC7" t="s">
        <v>11756</v>
      </c>
      <c r="HH7" t="s">
        <v>11955</v>
      </c>
      <c r="IG7" t="s">
        <v>11756</v>
      </c>
      <c r="IL7" t="s">
        <v>11955</v>
      </c>
      <c r="JK7" t="s">
        <v>10892</v>
      </c>
      <c r="JP7" t="s">
        <v>12060</v>
      </c>
      <c r="KY7" t="s">
        <v>10728</v>
      </c>
      <c r="LD7" t="s">
        <v>3519</v>
      </c>
      <c r="MC7" t="s">
        <v>266</v>
      </c>
      <c r="MH7" t="s">
        <v>11809</v>
      </c>
    </row>
    <row r="8" spans="1:396" x14ac:dyDescent="0.25">
      <c r="AY8" t="s">
        <v>11645</v>
      </c>
      <c r="BI8" t="s">
        <v>11010</v>
      </c>
      <c r="BN8" t="s">
        <v>1652</v>
      </c>
      <c r="BS8" t="s">
        <v>2881</v>
      </c>
      <c r="BX8" t="s">
        <v>6473</v>
      </c>
      <c r="CW8" t="s">
        <v>8602</v>
      </c>
      <c r="DB8" t="s">
        <v>11803</v>
      </c>
      <c r="DG8" t="s">
        <v>58</v>
      </c>
      <c r="DQ8" t="s">
        <v>10996</v>
      </c>
      <c r="DV8" t="s">
        <v>11430</v>
      </c>
      <c r="EA8" t="s">
        <v>11523</v>
      </c>
      <c r="EK8" t="s">
        <v>11247</v>
      </c>
      <c r="EP8" t="s">
        <v>274</v>
      </c>
      <c r="EU8" t="s">
        <v>12337</v>
      </c>
      <c r="EZ8" t="s">
        <v>11808</v>
      </c>
      <c r="FE8" t="s">
        <v>10917</v>
      </c>
      <c r="FO8" t="s">
        <v>11053</v>
      </c>
      <c r="HC8" t="s">
        <v>1353</v>
      </c>
      <c r="HH8" t="s">
        <v>10660</v>
      </c>
      <c r="IG8" t="s">
        <v>1353</v>
      </c>
      <c r="IL8" t="s">
        <v>10660</v>
      </c>
      <c r="JK8" t="s">
        <v>12071</v>
      </c>
      <c r="JP8" t="s">
        <v>10997</v>
      </c>
      <c r="KY8" t="s">
        <v>10729</v>
      </c>
      <c r="LD8" t="s">
        <v>10658</v>
      </c>
      <c r="MC8" t="s">
        <v>11847</v>
      </c>
      <c r="MH8" t="s">
        <v>11711</v>
      </c>
    </row>
    <row r="9" spans="1:396" x14ac:dyDescent="0.25">
      <c r="BI9" t="s">
        <v>3625</v>
      </c>
      <c r="BN9" t="s">
        <v>1740</v>
      </c>
      <c r="BS9" t="s">
        <v>10853</v>
      </c>
      <c r="BX9" t="s">
        <v>969</v>
      </c>
      <c r="CW9" t="s">
        <v>10878</v>
      </c>
      <c r="DB9" t="s">
        <v>11804</v>
      </c>
      <c r="DG9" t="s">
        <v>687</v>
      </c>
      <c r="DQ9" t="s">
        <v>11454</v>
      </c>
      <c r="DV9" t="s">
        <v>11431</v>
      </c>
      <c r="EA9" t="s">
        <v>8762</v>
      </c>
      <c r="EK9" t="s">
        <v>155</v>
      </c>
      <c r="EP9" t="s">
        <v>6473</v>
      </c>
      <c r="EU9" t="s">
        <v>12338</v>
      </c>
      <c r="EZ9" t="s">
        <v>2210</v>
      </c>
      <c r="FE9" t="s">
        <v>10953</v>
      </c>
      <c r="HC9" t="s">
        <v>1172</v>
      </c>
      <c r="HH9" t="s">
        <v>11956</v>
      </c>
      <c r="IG9" t="s">
        <v>1172</v>
      </c>
      <c r="IL9" t="s">
        <v>11956</v>
      </c>
      <c r="JK9" t="s">
        <v>11694</v>
      </c>
      <c r="JP9" t="s">
        <v>11659</v>
      </c>
      <c r="KY9" t="s">
        <v>10730</v>
      </c>
      <c r="LD9" t="s">
        <v>10659</v>
      </c>
      <c r="MC9" t="s">
        <v>11848</v>
      </c>
      <c r="MH9" t="s">
        <v>11540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5871</v>
      </c>
      <c r="K1" s="1" t="s">
        <v>5872</v>
      </c>
      <c r="U1" s="1" t="s">
        <v>5873</v>
      </c>
      <c r="AE1" s="1" t="s">
        <v>5874</v>
      </c>
      <c r="AO1" s="1" t="s">
        <v>5875</v>
      </c>
      <c r="AY1" s="1" t="s">
        <v>5876</v>
      </c>
      <c r="BI1" s="1" t="s">
        <v>5877</v>
      </c>
      <c r="BS1" s="1" t="s">
        <v>5878</v>
      </c>
      <c r="CC1" s="1" t="s">
        <v>5879</v>
      </c>
      <c r="CM1" s="1" t="s">
        <v>5880</v>
      </c>
      <c r="CW1" s="1" t="s">
        <v>5881</v>
      </c>
      <c r="DG1" s="1" t="s">
        <v>5882</v>
      </c>
      <c r="DQ1" s="1" t="s">
        <v>5883</v>
      </c>
      <c r="EA1" s="1" t="s">
        <v>5884</v>
      </c>
      <c r="EK1" s="1" t="s">
        <v>5885</v>
      </c>
      <c r="EU1" s="1" t="s">
        <v>5886</v>
      </c>
      <c r="FE1" s="1" t="s">
        <v>5887</v>
      </c>
      <c r="FO1" s="1" t="s">
        <v>5888</v>
      </c>
      <c r="FY1" s="1" t="s">
        <v>5889</v>
      </c>
      <c r="GI1" s="1" t="s">
        <v>5890</v>
      </c>
      <c r="GS1" s="1" t="s">
        <v>5891</v>
      </c>
      <c r="HC1" s="1" t="s">
        <v>5892</v>
      </c>
      <c r="HM1" s="1" t="s">
        <v>5893</v>
      </c>
      <c r="HW1" s="1" t="s">
        <v>5894</v>
      </c>
      <c r="IG1" s="1" t="s">
        <v>5895</v>
      </c>
      <c r="IQ1" s="1" t="s">
        <v>5896</v>
      </c>
      <c r="JA1" s="1" t="s">
        <v>5897</v>
      </c>
      <c r="JK1" s="1" t="s">
        <v>5898</v>
      </c>
      <c r="JU1" s="1" t="s">
        <v>5899</v>
      </c>
      <c r="KE1" s="1" t="s">
        <v>5900</v>
      </c>
      <c r="KO1" s="1" t="s">
        <v>5901</v>
      </c>
      <c r="KY1" s="1" t="s">
        <v>5902</v>
      </c>
      <c r="LI1" s="1" t="s">
        <v>5903</v>
      </c>
      <c r="LS1" s="1" t="s">
        <v>5904</v>
      </c>
      <c r="MC1" s="1" t="s">
        <v>5905</v>
      </c>
      <c r="MM1" s="1" t="s">
        <v>5906</v>
      </c>
      <c r="MW1" s="1" t="s">
        <v>5907</v>
      </c>
      <c r="NG1" s="1" t="s">
        <v>5908</v>
      </c>
      <c r="NQ1" s="1" t="s">
        <v>5909</v>
      </c>
      <c r="OA1" s="1" t="s">
        <v>5910</v>
      </c>
    </row>
    <row r="2" spans="1:396" x14ac:dyDescent="0.25">
      <c r="A2" s="2" t="s">
        <v>1264</v>
      </c>
      <c r="K2" s="2" t="s">
        <v>66</v>
      </c>
      <c r="U2" s="2" t="s">
        <v>2027</v>
      </c>
      <c r="AE2" s="2" t="s">
        <v>2517</v>
      </c>
      <c r="AO2" s="2" t="s">
        <v>1927</v>
      </c>
      <c r="AY2" s="2" t="s">
        <v>4987</v>
      </c>
      <c r="BI2" s="2" t="s">
        <v>2695</v>
      </c>
      <c r="BS2" s="2" t="s">
        <v>2786</v>
      </c>
      <c r="CC2" s="2" t="s">
        <v>483</v>
      </c>
      <c r="CM2" s="2" t="s">
        <v>5911</v>
      </c>
      <c r="CW2" s="2" t="s">
        <v>2701</v>
      </c>
      <c r="DG2" s="2" t="s">
        <v>2299</v>
      </c>
      <c r="DQ2" s="2" t="s">
        <v>4811</v>
      </c>
      <c r="EA2" s="2" t="s">
        <v>5912</v>
      </c>
      <c r="EK2" s="2" t="s">
        <v>3147</v>
      </c>
      <c r="EU2" s="2" t="s">
        <v>2699</v>
      </c>
      <c r="FE2" s="2" t="s">
        <v>5913</v>
      </c>
      <c r="FO2" s="2" t="s">
        <v>5497</v>
      </c>
      <c r="FY2" s="2" t="s">
        <v>166</v>
      </c>
      <c r="GI2" s="2" t="s">
        <v>5914</v>
      </c>
      <c r="GS2" s="2" t="s">
        <v>469</v>
      </c>
      <c r="HC2" s="2" t="s">
        <v>5915</v>
      </c>
      <c r="HM2" s="2" t="s">
        <v>5916</v>
      </c>
      <c r="HW2" s="2" t="s">
        <v>5840</v>
      </c>
      <c r="IG2" s="2" t="s">
        <v>5762</v>
      </c>
      <c r="IQ2" s="2" t="s">
        <v>3609</v>
      </c>
      <c r="JA2" s="2" t="s">
        <v>5157</v>
      </c>
      <c r="JK2" s="2" t="s">
        <v>3153</v>
      </c>
      <c r="JU2" s="2" t="s">
        <v>5917</v>
      </c>
      <c r="KE2" s="2" t="s">
        <v>5918</v>
      </c>
      <c r="KO2" s="2" t="s">
        <v>67</v>
      </c>
      <c r="KY2" s="2" t="s">
        <v>4737</v>
      </c>
      <c r="LI2" s="2" t="s">
        <v>3964</v>
      </c>
      <c r="LS2" s="2" t="s">
        <v>5256</v>
      </c>
      <c r="MC2" s="2" t="s">
        <v>4807</v>
      </c>
      <c r="MM2" s="2" t="s">
        <v>5919</v>
      </c>
      <c r="MW2" s="2" t="s">
        <v>5664</v>
      </c>
      <c r="NG2" s="2" t="s">
        <v>5920</v>
      </c>
      <c r="NQ2" s="2" t="s">
        <v>175</v>
      </c>
      <c r="OA2" s="2" t="s">
        <v>586</v>
      </c>
    </row>
    <row r="3" spans="1:396" x14ac:dyDescent="0.25">
      <c r="A3" t="s">
        <v>5921</v>
      </c>
      <c r="K3" t="s">
        <v>2535</v>
      </c>
      <c r="U3" t="s">
        <v>5922</v>
      </c>
      <c r="AE3" t="s">
        <v>5923</v>
      </c>
      <c r="AO3" t="s">
        <v>5924</v>
      </c>
      <c r="AY3" t="s">
        <v>5925</v>
      </c>
      <c r="BI3" t="s">
        <v>2829</v>
      </c>
      <c r="BS3" t="s">
        <v>5926</v>
      </c>
      <c r="CC3" t="s">
        <v>5927</v>
      </c>
      <c r="CM3" t="s">
        <v>5176</v>
      </c>
      <c r="CW3" t="s">
        <v>5928</v>
      </c>
      <c r="DG3" t="s">
        <v>5929</v>
      </c>
      <c r="DQ3" t="s">
        <v>1278</v>
      </c>
      <c r="EA3" t="s">
        <v>5702</v>
      </c>
      <c r="EK3" t="s">
        <v>3463</v>
      </c>
      <c r="EU3" t="s">
        <v>4241</v>
      </c>
      <c r="FE3" t="s">
        <v>4761</v>
      </c>
      <c r="FO3" t="s">
        <v>5930</v>
      </c>
      <c r="FY3" t="s">
        <v>5931</v>
      </c>
      <c r="GI3" t="s">
        <v>1287</v>
      </c>
      <c r="GS3" t="s">
        <v>5932</v>
      </c>
      <c r="HC3" t="s">
        <v>5933</v>
      </c>
      <c r="HM3" t="s">
        <v>5362</v>
      </c>
      <c r="HW3" t="s">
        <v>1863</v>
      </c>
      <c r="IG3" t="s">
        <v>5934</v>
      </c>
      <c r="IQ3" t="s">
        <v>5935</v>
      </c>
      <c r="JA3" t="s">
        <v>5936</v>
      </c>
      <c r="JK3" t="s">
        <v>5525</v>
      </c>
      <c r="JU3" t="s">
        <v>2224</v>
      </c>
      <c r="KE3" t="s">
        <v>5937</v>
      </c>
      <c r="KO3" t="s">
        <v>5938</v>
      </c>
      <c r="KY3" t="s">
        <v>5939</v>
      </c>
      <c r="LI3" t="s">
        <v>5940</v>
      </c>
      <c r="LS3" t="s">
        <v>1574</v>
      </c>
      <c r="MC3" t="s">
        <v>421</v>
      </c>
      <c r="MM3" t="s">
        <v>4069</v>
      </c>
      <c r="MW3" t="s">
        <v>5941</v>
      </c>
      <c r="NG3" t="s">
        <v>2438</v>
      </c>
      <c r="NQ3" t="s">
        <v>3900</v>
      </c>
      <c r="OA3" t="s">
        <v>5942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_xll.BDS("ATBA AV Equity","SUPPLY_CHAIN_SUPPLIERS","RELATIONSHIP_AS_OF_DATE","20111101","cols=1;rows=5")</f>
        <v>000676 CH Equity</v>
      </c>
      <c r="F5" t="str">
        <f>_xll.BDS("ATBA AV Equity","SUPPLY_CHAIN_CUSTOMERS","RELATIONSHIP_AS_OF_DATE","20111101","cols=1;rows=5")</f>
        <v>066570 KS Equity</v>
      </c>
      <c r="K5" t="str">
        <f>_xll.BDS("MDT US Equity","SUPPLY_CHAIN_SUPPLIERS","RELATIONSHIP_AS_OF_DATE","20011206","cols=1;rows=5")</f>
        <v>FLEX US Equity</v>
      </c>
      <c r="P5" t="str">
        <f>_xll.BDS("MDT US Equity","SUPPLY_CHAIN_CUSTOMERS","RELATIONSHIP_AS_OF_DATE","20011206","cols=1;rows=5")</f>
        <v>4104 TT Equity</v>
      </c>
      <c r="U5" t="str">
        <f>_xll.BDS("MSCC US Equity","SUPPLY_CHAIN_SUPPLIERS","RELATIONSHIP_AS_OF_DATE","20131021")</f>
        <v>FE US Equity</v>
      </c>
      <c r="Z5" t="str">
        <f>_xll.BDS("MSCC US Equity","SUPPLY_CHAIN_CUSTOMERS","RELATIONSHIP_AS_OF_DATE","20131021")</f>
        <v>#N/A N/A</v>
      </c>
      <c r="AE5" t="str">
        <f>_xll.BDS("OCR US Equity","SUPPLY_CHAIN_SUPPLIERS","RELATIONSHIP_AS_OF_DATE","19970808")</f>
        <v>#N/A N/A</v>
      </c>
      <c r="AJ5" t="str">
        <f>_xll.BDS("OCR US Equity","SUPPLY_CHAIN_CUSTOMERS","RELATIONSHIP_AS_OF_DATE","19970808","cols=1;rows=2")</f>
        <v>3176 TT Equity</v>
      </c>
      <c r="AO5" t="str">
        <f>_xll.BDS("ENDPQ US Equity","SUPPLY_CHAIN_SUPPLIERS","RELATIONSHIP_AS_OF_DATE","19991129","cols=1;rows=5")</f>
        <v>0177858D US Equity</v>
      </c>
      <c r="AT5" t="str">
        <f>_xll.BDS("ENDPQ US Equity","SUPPLY_CHAIN_CUSTOMERS","RELATIONSHIP_AS_OF_DATE","19991129","cols=1;rows=5")</f>
        <v>0219682Z US Equity</v>
      </c>
      <c r="AY5" t="str">
        <f>_xll.BDS("1280712D US Equity","SUPPLY_CHAIN_SUPPLIERS","RELATIONSHIP_AS_OF_DATE","20020812")</f>
        <v>#N/A N/A</v>
      </c>
      <c r="BD5" t="str">
        <f>_xll.BDS("1280712D US Equity","SUPPLY_CHAIN_CUSTOMERS","RELATIONSHIP_AS_OF_DATE","20020812")</f>
        <v>#N/A N/A</v>
      </c>
      <c r="BI5" t="str">
        <f>_xll.BDS("FNFG US Equity","SUPPLY_CHAIN_SUPPLIERS","RELATIONSHIP_AS_OF_DATE","20090727")</f>
        <v>#N/A N/A</v>
      </c>
      <c r="BN5" t="str">
        <f>_xll.BDS("FNFG US Equity","SUPPLY_CHAIN_CUSTOMERS","RELATIONSHIP_AS_OF_DATE","20090727")</f>
        <v>#N/A N/A</v>
      </c>
      <c r="BS5" t="str">
        <f>_xll.BDS("JNY US Equity","SUPPLY_CHAIN_SUPPLIERS","RELATIONSHIP_AS_OF_DATE","20030805")</f>
        <v>#N/A N/A</v>
      </c>
      <c r="BX5" t="str">
        <f>_xll.BDS("JNY US Equity","SUPPLY_CHAIN_CUSTOMERS","RELATIONSHIP_AS_OF_DATE","20030805")</f>
        <v>MAPI IJ Equity</v>
      </c>
      <c r="CC5" t="str">
        <f>_xll.BDS("BAX US Equity","SUPPLY_CHAIN_SUPPLIERS","RELATIONSHIP_AS_OF_DATE","19991118","cols=1;rows=5")</f>
        <v>BHE US Equity</v>
      </c>
      <c r="CH5" t="str">
        <f>_xll.BDS("BAX US Equity","SUPPLY_CHAIN_CUSTOMERS","RELATIONSHIP_AS_OF_DATE","19991118","cols=1;rows=5")</f>
        <v>1788 TT Equity</v>
      </c>
      <c r="CM5" t="str">
        <f>_xll.BDS("MDCC US Equity","SUPPLY_CHAIN_SUPPLIERS","RELATIONSHIP_AS_OF_DATE","20000608")</f>
        <v>#N/A N/A</v>
      </c>
      <c r="CR5" t="str">
        <f>_xll.BDS("MDCC US Equity","SUPPLY_CHAIN_CUSTOMERS","RELATIONSHIP_AS_OF_DATE","20000608")</f>
        <v>#N/A N/A</v>
      </c>
      <c r="CW5" t="str">
        <f>_xll.BDS("QTRN US Equity","SUPPLY_CHAIN_SUPPLIERS","RELATIONSHIP_AS_OF_DATE","19981215")</f>
        <v>#N/A N/A</v>
      </c>
      <c r="DB5" t="str">
        <f>_xll.BDS("QTRN US Equity","SUPPLY_CHAIN_CUSTOMERS","RELATIONSHIP_AS_OF_DATE","19981215")</f>
        <v>#N/A N/A</v>
      </c>
      <c r="DG5" t="str">
        <f>_xll.BDS("PB US Equity","SUPPLY_CHAIN_SUPPLIERS","RELATIONSHIP_AS_OF_DATE","20051116")</f>
        <v>#N/A N/A</v>
      </c>
      <c r="DL5" t="str">
        <f>_xll.BDS("PB US Equity","SUPPLY_CHAIN_CUSTOMERS","RELATIONSHIP_AS_OF_DATE","20051116")</f>
        <v>#N/A N/A</v>
      </c>
      <c r="DQ5" t="str">
        <f>_xll.BDS("ILA US Equity","SUPPLY_CHAIN_SUPPLIERS","RELATIONSHIP_AS_OF_DATE","19990305")</f>
        <v>#N/A N/A</v>
      </c>
      <c r="DV5" t="str">
        <f>_xll.BDS("ILA US Equity","SUPPLY_CHAIN_CUSTOMERS","RELATIONSHIP_AS_OF_DATE","19990305")</f>
        <v>#N/A N/A</v>
      </c>
      <c r="EA5" t="str">
        <f>_xll.BDS("2983744Q US Equity","SUPPLY_CHAIN_SUPPLIERS","RELATIONSHIP_AS_OF_DATE","19980409")</f>
        <v>#N/A N/A</v>
      </c>
      <c r="EF5" t="str">
        <f>_xll.BDS("2983744Q US Equity","SUPPLY_CHAIN_CUSTOMERS","RELATIONSHIP_AS_OF_DATE","19980409")</f>
        <v>#N/A N/A</v>
      </c>
      <c r="EK5" t="str">
        <f>_xll.BDS("JAH US Equity","SUPPLY_CHAIN_SUPPLIERS","RELATIONSHIP_AS_OF_DATE","20040226")</f>
        <v>#N/A N/A</v>
      </c>
      <c r="EP5" t="str">
        <f>_xll.BDS("JAH US Equity","SUPPLY_CHAIN_CUSTOMERS","RELATIONSHIP_AS_OF_DATE","20040226")</f>
        <v>#N/A N/A</v>
      </c>
      <c r="EU5" t="str">
        <f>_xll.BDS("MHK US Equity","SUPPLY_CHAIN_SUPPLIERS","RELATIONSHIP_AS_OF_DATE","19981112","cols=1;rows=5")</f>
        <v>XPO US Equity</v>
      </c>
      <c r="EZ5" t="str">
        <f>_xll.BDS("MHK US Equity","SUPPLY_CHAIN_CUSTOMERS","RELATIONSHIP_AS_OF_DATE","19981112","cols=1;rows=5")</f>
        <v>HD US Equity</v>
      </c>
      <c r="FE5" t="str">
        <f>_xll.BDS("HIB US Equity","SUPPLY_CHAIN_SUPPLIERS","RELATIONSHIP_AS_OF_DATE","20031202")</f>
        <v>#N/A N/A</v>
      </c>
      <c r="FJ5" t="str">
        <f>_xll.BDS("HIB US Equity","SUPPLY_CHAIN_CUSTOMERS","RELATIONSHIP_AS_OF_DATE","20031202")</f>
        <v>#N/A N/A</v>
      </c>
      <c r="FO5" t="str">
        <f>_xll.BDS("FRME US Equity","SUPPLY_CHAIN_SUPPLIERS","RELATIONSHIP_AS_OF_DATE","20170217")</f>
        <v>#N/A N/A</v>
      </c>
      <c r="FT5" t="str">
        <f>_xll.BDS("FRME US Equity","SUPPLY_CHAIN_CUSTOMERS","RELATIONSHIP_AS_OF_DATE","20170217")</f>
        <v>#N/A N/A</v>
      </c>
      <c r="FY5" t="str">
        <f>_xll.BDS("WFC US Equity","SUPPLY_CHAIN_SUPPLIERS","RELATIONSHIP_AS_OF_DATE","20000707","cols=1;rows=5")</f>
        <v>ADBE US Equity</v>
      </c>
      <c r="GD5" t="str">
        <f>_xll.BDS("WFC US Equity","SUPPLY_CHAIN_CUSTOMERS","RELATIONSHIP_AS_OF_DATE","20000707","cols=1;rows=5")</f>
        <v>CDW US Equity</v>
      </c>
      <c r="GI5" t="str">
        <f>_xll.BDS("BRKL US Equity","SUPPLY_CHAIN_SUPPLIERS","RELATIONSHIP_AS_OF_DATE","20110420")</f>
        <v>#N/A N/A</v>
      </c>
      <c r="GN5" t="str">
        <f>_xll.BDS("BRKL US Equity","SUPPLY_CHAIN_CUSTOMERS","RELATIONSHIP_AS_OF_DATE","20110420")</f>
        <v>#N/A N/A</v>
      </c>
      <c r="GS5" t="str">
        <f>_xll.BDS("AMZN US Equity","SUPPLY_CHAIN_SUPPLIERS","RELATIONSHIP_AS_OF_DATE","20080131","cols=1;rows=5")</f>
        <v>NVDA US Equity</v>
      </c>
      <c r="GX5" t="str">
        <f>_xll.BDS("AMZN US Equity","SUPPLY_CHAIN_CUSTOMERS","RELATIONSHIP_AS_OF_DATE","20080131","cols=1;rows=5")</f>
        <v>SNX US Equity</v>
      </c>
      <c r="HC5" t="str">
        <f>_xll.BDS("NBTB US Equity","SUPPLY_CHAIN_SUPPLIERS","RELATIONSHIP_AS_OF_DATE","20121008")</f>
        <v>FRSH US Equity</v>
      </c>
      <c r="HH5" t="str">
        <f>_xll.BDS("NBTB US Equity","SUPPLY_CHAIN_CUSTOMERS","RELATIONSHIP_AS_OF_DATE","20121008")</f>
        <v>#N/A N/A</v>
      </c>
      <c r="HM5" t="str">
        <f>_xll.BDS("ANCX US Equity","SUPPLY_CHAIN_SUPPLIERS","RELATIONSHIP_AS_OF_DATE","20161024")</f>
        <v>#N/A N/A</v>
      </c>
      <c r="HR5" t="str">
        <f>_xll.BDS("ANCX US Equity","SUPPLY_CHAIN_CUSTOMERS","RELATIONSHIP_AS_OF_DATE","20161024")</f>
        <v>#N/A N/A</v>
      </c>
      <c r="HW5" t="str">
        <f>_xll.BDS("PLCM US Equity","SUPPLY_CHAIN_SUPPLIERS","RELATIONSHIP_AS_OF_DATE","20070207")</f>
        <v>#N/A N/A</v>
      </c>
      <c r="IB5" t="str">
        <f>_xll.BDS("PLCM US Equity","SUPPLY_CHAIN_CUSTOMERS","RELATIONSHIP_AS_OF_DATE","20070207")</f>
        <v>#N/A N/A</v>
      </c>
      <c r="IG5" t="str">
        <f>_xll.BDS("PRA US Equity","SUPPLY_CHAIN_SUPPLIERS","RELATIONSHIP_AS_OF_DATE","20100901")</f>
        <v>#N/A N/A</v>
      </c>
      <c r="IL5" t="str">
        <f>_xll.BDS("PRA US Equity","SUPPLY_CHAIN_CUSTOMERS","RELATIONSHIP_AS_OF_DATE","20100901")</f>
        <v>#N/A N/A</v>
      </c>
      <c r="IQ5" t="str">
        <f>_xll.BDS("CSFL US Equity","SUPPLY_CHAIN_SUPPLIERS","RELATIONSHIP_AS_OF_DATE","20180424")</f>
        <v>#N/A N/A</v>
      </c>
      <c r="IV5" t="str">
        <f>_xll.BDS("CSFL US Equity","SUPPLY_CHAIN_CUSTOMERS","RELATIONSHIP_AS_OF_DATE","20180424")</f>
        <v>#N/A N/A</v>
      </c>
      <c r="JA5" t="str">
        <f>_xll.BDS("BUSE US Equity","SUPPLY_CHAIN_SUPPLIERS","RELATIONSHIP_AS_OF_DATE","20170206")</f>
        <v>#N/A N/A</v>
      </c>
      <c r="JF5" t="str">
        <f>_xll.BDS("BUSE US Equity","SUPPLY_CHAIN_CUSTOMERS","RELATIONSHIP_AS_OF_DATE","20170206")</f>
        <v>#N/A N/A</v>
      </c>
      <c r="JK5" t="str">
        <f>_xll.BDS("9876544D US Equity","SUPPLY_CHAIN_SUPPLIERS","RELATIONSHIP_AS_OF_DATE","19990311")</f>
        <v>#N/A N/A</v>
      </c>
      <c r="JP5" t="str">
        <f>_xll.BDS("9876544D US Equity","SUPPLY_CHAIN_CUSTOMERS","RELATIONSHIP_AS_OF_DATE","19990311")</f>
        <v>#N/A N/A</v>
      </c>
      <c r="JU5" t="str">
        <f>_xll.BDS("VSAT US Equity","SUPPLY_CHAIN_SUPPLIERS","RELATIONSHIP_AS_OF_DATE","20201221","cols=1;rows=5")</f>
        <v>STE SP Equity</v>
      </c>
      <c r="JZ5" t="str">
        <f>_xll.BDS("VSAT US Equity","SUPPLY_CHAIN_CUSTOMERS","RELATIONSHIP_AS_OF_DATE","20201221","cols=1;rows=5")</f>
        <v>3352Z US Equity</v>
      </c>
      <c r="KE5" t="str">
        <f>_xll.BDS("FLIR US Equity","SUPPLY_CHAIN_SUPPLIERS","RELATIONSHIP_AS_OF_DATE","20100816")</f>
        <v>FE US Equity</v>
      </c>
      <c r="KJ5" t="str">
        <f>_xll.BDS("FLIR US Equity","SUPPLY_CHAIN_CUSTOMERS","RELATIONSHIP_AS_OF_DATE","20100816")</f>
        <v>#N/A N/A</v>
      </c>
      <c r="KO5" t="str">
        <f>_xll.BDS("0772031D US Equity","SUPPLY_CHAIN_SUPPLIERS","RELATIONSHIP_AS_OF_DATE","19980914")</f>
        <v>#N/A N/A</v>
      </c>
      <c r="KT5" t="str">
        <f>_xll.BDS("0772031D US Equity","SUPPLY_CHAIN_CUSTOMERS","RELATIONSHIP_AS_OF_DATE","19980914")</f>
        <v>#N/A N/A</v>
      </c>
      <c r="KY5" t="str">
        <f>_xll.BDS("OK US Equity","SUPPLY_CHAIN_SUPPLIERS","RELATIONSHIP_AS_OF_DATE","19990224")</f>
        <v>#N/A N/A</v>
      </c>
      <c r="LD5" t="str">
        <f>_xll.BDS("OK US Equity","SUPPLY_CHAIN_CUSTOMERS","RELATIONSHIP_AS_OF_DATE","19990224")</f>
        <v>#N/A N/A</v>
      </c>
      <c r="LI5" t="str">
        <f>_xll.BDS("SSP US Equity","SUPPLY_CHAIN_SUPPLIERS","RELATIONSHIP_AS_OF_DATE","20031219","cols=1;rows=5")</f>
        <v>HLIT US Equity</v>
      </c>
      <c r="LN5" t="str">
        <f>_xll.BDS("SSP US Equity","SUPPLY_CHAIN_CUSTOMERS","RELATIONSHIP_AS_OF_DATE","20031219","cols=1;rows=2")</f>
        <v>FUBO US Equity</v>
      </c>
      <c r="LS5" t="str">
        <f>_xll.BDS("CBCGQ US Equity","SUPPLY_CHAIN_SUPPLIERS","RELATIONSHIP_AS_OF_DATE","20050118")</f>
        <v>#N/A N/A</v>
      </c>
      <c r="LX5" t="str">
        <f>_xll.BDS("CBCGQ US Equity","SUPPLY_CHAIN_CUSTOMERS","RELATIONSHIP_AS_OF_DATE","20050118")</f>
        <v>#N/A N/A</v>
      </c>
      <c r="MC5" t="str">
        <f>_xll.BDS("NBR US Equity","SUPPLY_CHAIN_SUPPLIERS","RELATIONSHIP_AS_OF_DATE","19981019","cols=1;rows=4")</f>
        <v>DNOW US Equity</v>
      </c>
      <c r="MH5" t="str">
        <f>_xll.BDS("NBR US Equity","SUPPLY_CHAIN_CUSTOMERS","RELATIONSHIP_AS_OF_DATE","19981019","cols=1;rows=4")</f>
        <v>ARAMCO AB Equity</v>
      </c>
      <c r="MM5" t="str">
        <f>_xll.BDS("TDS US Equity","SUPPLY_CHAIN_SUPPLIERS","RELATIONSHIP_AS_OF_DATE","20001127","cols=1;rows=5")</f>
        <v>PWR US Equity</v>
      </c>
      <c r="MR5" t="str">
        <f>_xll.BDS("TDS US Equity","SUPPLY_CHAIN_CUSTOMERS","RELATIONSHIP_AS_OF_DATE","20001127","cols=1;rows=3")</f>
        <v>1766298D IT Equity</v>
      </c>
      <c r="MW5" t="str">
        <f>_xll.BDS("JDAS US Equity","SUPPLY_CHAIN_SUPPLIERS","RELATIONSHIP_AS_OF_DATE","20091105")</f>
        <v>MSFT US Equity</v>
      </c>
      <c r="NB5" t="str">
        <f>_xll.BDS("JDAS US Equity","SUPPLY_CHAIN_CUSTOMERS","RELATIONSHIP_AS_OF_DATE","20091105")</f>
        <v>#N/A N/A</v>
      </c>
      <c r="NG5" t="str">
        <f>_xll.BDS("SNEX US Equity","SUPPLY_CHAIN_SUPPLIERS","RELATIONSHIP_AS_OF_DATE","20200227","cols=1;rows=5")</f>
        <v>CMCL US Equity</v>
      </c>
      <c r="NL5" t="str">
        <f>_xll.BDS("SNEX US Equity","SUPPLY_CHAIN_CUSTOMERS","RELATIONSHIP_AS_OF_DATE","20200227","cols=1;rows=3")</f>
        <v>ANTM IJ Equity</v>
      </c>
      <c r="NQ5" t="str">
        <f>_xll.BDS("TFC US Equity","SUPPLY_CHAIN_SUPPLIERS","RELATIONSHIP_AS_OF_DATE","20000727","cols=1;rows=5")</f>
        <v>ADBE US Equity</v>
      </c>
      <c r="NV5" t="str">
        <f>_xll.BDS("TFC US Equity","SUPPLY_CHAIN_CUSTOMERS","RELATIONSHIP_AS_OF_DATE","20000727")</f>
        <v>RENG IN Equity</v>
      </c>
      <c r="OA5" t="str">
        <f>_xll.BDS("MCHP US Equity","SUPPLY_CHAIN_SUPPLIERS","RELATIONSHIP_AS_OF_DATE","20140210","cols=1;rows=5")</f>
        <v>GFS US Equity</v>
      </c>
      <c r="OF5" t="str">
        <f>_xll.BDS("MCHP US Equity","SUPPLY_CHAIN_CUSTOMERS","RELATIONSHIP_AS_OF_DATE","20140210","cols=1;rows=5")</f>
        <v>ARW US Equity</v>
      </c>
    </row>
    <row r="6" spans="1:396" x14ac:dyDescent="0.25">
      <c r="A6" t="s">
        <v>11224</v>
      </c>
      <c r="F6" t="s">
        <v>11195</v>
      </c>
      <c r="K6" t="s">
        <v>11060</v>
      </c>
      <c r="P6" t="s">
        <v>11016</v>
      </c>
      <c r="AJ6" t="s">
        <v>11784</v>
      </c>
      <c r="AO6" t="s">
        <v>11678</v>
      </c>
      <c r="AT6" t="s">
        <v>11870</v>
      </c>
      <c r="CC6" t="s">
        <v>11924</v>
      </c>
      <c r="CH6" t="s">
        <v>11948</v>
      </c>
      <c r="EU6" t="s">
        <v>12130</v>
      </c>
      <c r="EZ6" t="s">
        <v>3239</v>
      </c>
      <c r="FY6" t="s">
        <v>10986</v>
      </c>
      <c r="GD6" t="s">
        <v>11473</v>
      </c>
      <c r="GS6" t="s">
        <v>11089</v>
      </c>
      <c r="GX6" t="s">
        <v>165</v>
      </c>
      <c r="JU6" t="s">
        <v>5325</v>
      </c>
      <c r="JZ6" t="s">
        <v>1363</v>
      </c>
      <c r="LI6" t="s">
        <v>11979</v>
      </c>
      <c r="LN6" t="s">
        <v>11364</v>
      </c>
      <c r="MC6" t="s">
        <v>11842</v>
      </c>
      <c r="MH6" t="s">
        <v>690</v>
      </c>
      <c r="MM6" t="s">
        <v>11099</v>
      </c>
      <c r="MR6" t="s">
        <v>12065</v>
      </c>
      <c r="NG6" t="s">
        <v>11783</v>
      </c>
      <c r="NL6" t="s">
        <v>12055</v>
      </c>
      <c r="NQ6" t="s">
        <v>11371</v>
      </c>
      <c r="OA6" t="s">
        <v>11203</v>
      </c>
      <c r="OF6" t="s">
        <v>10659</v>
      </c>
    </row>
    <row r="7" spans="1:396" x14ac:dyDescent="0.25">
      <c r="A7" t="s">
        <v>11225</v>
      </c>
      <c r="F7" t="s">
        <v>11196</v>
      </c>
      <c r="K7" t="s">
        <v>10735</v>
      </c>
      <c r="P7" t="s">
        <v>8926</v>
      </c>
      <c r="AO7" t="s">
        <v>11894</v>
      </c>
      <c r="AT7" t="s">
        <v>10657</v>
      </c>
      <c r="CC7" t="s">
        <v>10814</v>
      </c>
      <c r="CH7" t="s">
        <v>11925</v>
      </c>
      <c r="EU7" t="s">
        <v>11614</v>
      </c>
      <c r="EZ7" t="s">
        <v>12003</v>
      </c>
      <c r="FY7" t="s">
        <v>988</v>
      </c>
      <c r="GD7" t="s">
        <v>10787</v>
      </c>
      <c r="GS7" t="s">
        <v>2967</v>
      </c>
      <c r="GX7" t="s">
        <v>10660</v>
      </c>
      <c r="JU7" t="s">
        <v>1172</v>
      </c>
      <c r="JZ7" t="s">
        <v>10680</v>
      </c>
      <c r="LI7" t="s">
        <v>11980</v>
      </c>
      <c r="MC7" t="s">
        <v>11843</v>
      </c>
      <c r="MH7" t="s">
        <v>2210</v>
      </c>
      <c r="MM7" t="s">
        <v>11376</v>
      </c>
      <c r="MR7" t="s">
        <v>12066</v>
      </c>
      <c r="NG7" t="s">
        <v>10731</v>
      </c>
      <c r="NL7" t="s">
        <v>12056</v>
      </c>
      <c r="NQ7" t="s">
        <v>10986</v>
      </c>
      <c r="OA7" t="s">
        <v>3611</v>
      </c>
      <c r="OF7" t="s">
        <v>3519</v>
      </c>
    </row>
    <row r="8" spans="1:396" x14ac:dyDescent="0.25">
      <c r="A8" t="s">
        <v>11226</v>
      </c>
      <c r="F8" t="s">
        <v>11197</v>
      </c>
      <c r="K8" t="s">
        <v>3439</v>
      </c>
      <c r="P8" t="s">
        <v>10140</v>
      </c>
      <c r="AO8" t="s">
        <v>11895</v>
      </c>
      <c r="AT8" t="s">
        <v>11871</v>
      </c>
      <c r="CC8" t="s">
        <v>11412</v>
      </c>
      <c r="CH8" t="s">
        <v>11949</v>
      </c>
      <c r="EU8" t="s">
        <v>12667</v>
      </c>
      <c r="EZ8" t="s">
        <v>3069</v>
      </c>
      <c r="FY8" t="s">
        <v>1548</v>
      </c>
      <c r="GD8" t="s">
        <v>3340</v>
      </c>
      <c r="GS8" t="s">
        <v>10853</v>
      </c>
      <c r="GX8" t="s">
        <v>10918</v>
      </c>
      <c r="JU8" t="s">
        <v>5575</v>
      </c>
      <c r="JZ8" t="s">
        <v>11085</v>
      </c>
      <c r="LI8" t="s">
        <v>11981</v>
      </c>
      <c r="MC8" t="s">
        <v>11844</v>
      </c>
      <c r="MH8" t="s">
        <v>11799</v>
      </c>
      <c r="MM8" t="s">
        <v>12309</v>
      </c>
      <c r="NG8" t="s">
        <v>154</v>
      </c>
      <c r="NQ8" t="s">
        <v>11372</v>
      </c>
      <c r="OA8" t="s">
        <v>11094</v>
      </c>
      <c r="OF8" t="s">
        <v>11194</v>
      </c>
    </row>
    <row r="9" spans="1:396" x14ac:dyDescent="0.25">
      <c r="A9" t="s">
        <v>11227</v>
      </c>
      <c r="F9" t="s">
        <v>11198</v>
      </c>
      <c r="K9" t="s">
        <v>10806</v>
      </c>
      <c r="P9" t="s">
        <v>10746</v>
      </c>
      <c r="AO9" t="s">
        <v>11896</v>
      </c>
      <c r="AT9" t="s">
        <v>970</v>
      </c>
      <c r="CC9" t="s">
        <v>11925</v>
      </c>
      <c r="CH9" t="s">
        <v>11833</v>
      </c>
      <c r="EU9" t="s">
        <v>12668</v>
      </c>
      <c r="EZ9" t="s">
        <v>469</v>
      </c>
      <c r="FY9" t="s">
        <v>10877</v>
      </c>
      <c r="GD9" t="s">
        <v>11174</v>
      </c>
      <c r="GS9" t="s">
        <v>58</v>
      </c>
      <c r="GX9" t="s">
        <v>6473</v>
      </c>
      <c r="JU9" t="s">
        <v>12140</v>
      </c>
      <c r="JZ9" t="s">
        <v>10802</v>
      </c>
      <c r="LI9" t="s">
        <v>11982</v>
      </c>
      <c r="MM9" t="s">
        <v>7294</v>
      </c>
      <c r="NG9" t="s">
        <v>11292</v>
      </c>
      <c r="NQ9" t="s">
        <v>10987</v>
      </c>
      <c r="OA9" t="s">
        <v>4898</v>
      </c>
      <c r="OF9" t="s">
        <v>10688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5943</v>
      </c>
      <c r="K1" s="1" t="s">
        <v>5944</v>
      </c>
      <c r="U1" s="1" t="s">
        <v>5945</v>
      </c>
      <c r="AE1" s="1" t="s">
        <v>5946</v>
      </c>
      <c r="AO1" s="1" t="s">
        <v>5947</v>
      </c>
      <c r="AY1" s="1" t="s">
        <v>5948</v>
      </c>
      <c r="BI1" s="1" t="s">
        <v>5949</v>
      </c>
      <c r="BS1" s="1" t="s">
        <v>5950</v>
      </c>
      <c r="CC1" s="1" t="s">
        <v>5951</v>
      </c>
      <c r="CM1" s="1" t="s">
        <v>5952</v>
      </c>
      <c r="CW1" s="1" t="s">
        <v>5953</v>
      </c>
      <c r="DG1" s="1" t="s">
        <v>5954</v>
      </c>
      <c r="DQ1" s="1" t="s">
        <v>5955</v>
      </c>
      <c r="EA1" s="1" t="s">
        <v>5956</v>
      </c>
      <c r="EK1" s="1" t="s">
        <v>5957</v>
      </c>
      <c r="EU1" s="1" t="s">
        <v>5958</v>
      </c>
      <c r="FE1" s="1" t="s">
        <v>5959</v>
      </c>
      <c r="FO1" s="1" t="s">
        <v>5960</v>
      </c>
      <c r="FY1" s="1" t="s">
        <v>5961</v>
      </c>
      <c r="GI1" s="1" t="s">
        <v>5962</v>
      </c>
      <c r="GS1" s="1" t="s">
        <v>5963</v>
      </c>
      <c r="HC1" s="1" t="s">
        <v>5964</v>
      </c>
      <c r="HM1" s="1" t="s">
        <v>5965</v>
      </c>
      <c r="HW1" s="1" t="s">
        <v>5966</v>
      </c>
      <c r="IG1" s="1" t="s">
        <v>5967</v>
      </c>
      <c r="IQ1" s="1" t="s">
        <v>5968</v>
      </c>
      <c r="JA1" s="1" t="s">
        <v>5969</v>
      </c>
      <c r="JK1" s="1" t="s">
        <v>5970</v>
      </c>
      <c r="JU1" s="1" t="s">
        <v>5971</v>
      </c>
      <c r="KE1" s="1" t="s">
        <v>5972</v>
      </c>
      <c r="KO1" s="1" t="s">
        <v>5973</v>
      </c>
      <c r="KY1" s="1" t="s">
        <v>5974</v>
      </c>
      <c r="LI1" s="1" t="s">
        <v>5975</v>
      </c>
      <c r="LS1" s="1" t="s">
        <v>5976</v>
      </c>
      <c r="MC1" s="1" t="s">
        <v>5977</v>
      </c>
      <c r="MM1" s="1" t="s">
        <v>5978</v>
      </c>
      <c r="MW1" s="1" t="s">
        <v>5979</v>
      </c>
      <c r="NG1" s="1" t="s">
        <v>5980</v>
      </c>
      <c r="NQ1" s="1" t="s">
        <v>5981</v>
      </c>
      <c r="OA1" s="1" t="s">
        <v>5982</v>
      </c>
    </row>
    <row r="2" spans="1:396" x14ac:dyDescent="0.25">
      <c r="A2" s="2" t="s">
        <v>3162</v>
      </c>
      <c r="K2" s="2" t="s">
        <v>5983</v>
      </c>
      <c r="U2" s="2" t="s">
        <v>64</v>
      </c>
      <c r="AE2" s="2" t="s">
        <v>5984</v>
      </c>
      <c r="AO2" s="2" t="s">
        <v>5161</v>
      </c>
      <c r="AY2" s="2" t="s">
        <v>2124</v>
      </c>
      <c r="BI2" s="2" t="s">
        <v>65</v>
      </c>
      <c r="BS2" s="2" t="s">
        <v>5834</v>
      </c>
      <c r="CC2" s="2" t="s">
        <v>58</v>
      </c>
      <c r="CM2" s="2" t="s">
        <v>5985</v>
      </c>
      <c r="CW2" s="2" t="s">
        <v>5986</v>
      </c>
      <c r="DG2" s="2" t="s">
        <v>5987</v>
      </c>
      <c r="DQ2" s="2" t="s">
        <v>5988</v>
      </c>
      <c r="EA2" s="2" t="s">
        <v>5989</v>
      </c>
      <c r="EK2" s="2" t="s">
        <v>2400</v>
      </c>
      <c r="EU2" s="2" t="s">
        <v>5336</v>
      </c>
      <c r="FE2" s="2" t="s">
        <v>5990</v>
      </c>
      <c r="FO2" s="2" t="s">
        <v>3258</v>
      </c>
      <c r="FY2" s="2" t="s">
        <v>3715</v>
      </c>
      <c r="GI2" s="2" t="s">
        <v>5991</v>
      </c>
      <c r="GS2" s="2" t="s">
        <v>5992</v>
      </c>
      <c r="HC2" s="2" t="s">
        <v>49</v>
      </c>
      <c r="HM2" s="2" t="s">
        <v>3620</v>
      </c>
      <c r="HW2" s="2" t="s">
        <v>5993</v>
      </c>
      <c r="IG2" s="2" t="s">
        <v>5246</v>
      </c>
      <c r="IQ2" s="2" t="s">
        <v>5994</v>
      </c>
      <c r="JA2" s="2" t="s">
        <v>5995</v>
      </c>
      <c r="JK2" s="2" t="s">
        <v>5996</v>
      </c>
      <c r="JU2" s="2" t="s">
        <v>5997</v>
      </c>
      <c r="KE2" s="2" t="s">
        <v>5998</v>
      </c>
      <c r="KO2" s="2" t="s">
        <v>5999</v>
      </c>
      <c r="KY2" s="2" t="s">
        <v>2693</v>
      </c>
      <c r="LI2" s="2" t="s">
        <v>6000</v>
      </c>
      <c r="LS2" s="2" t="s">
        <v>1164</v>
      </c>
      <c r="MC2" s="2" t="s">
        <v>64</v>
      </c>
      <c r="MM2" s="2" t="s">
        <v>2401</v>
      </c>
      <c r="MW2" s="2" t="s">
        <v>4469</v>
      </c>
      <c r="NG2" s="2" t="s">
        <v>1745</v>
      </c>
      <c r="NQ2" s="2" t="s">
        <v>6001</v>
      </c>
      <c r="OA2" s="2" t="s">
        <v>6002</v>
      </c>
    </row>
    <row r="3" spans="1:396" x14ac:dyDescent="0.25">
      <c r="A3" t="s">
        <v>6003</v>
      </c>
      <c r="K3" t="s">
        <v>6004</v>
      </c>
      <c r="U3" t="s">
        <v>6005</v>
      </c>
      <c r="AE3" t="s">
        <v>2522</v>
      </c>
      <c r="AO3" t="s">
        <v>6006</v>
      </c>
      <c r="AY3" t="s">
        <v>4053</v>
      </c>
      <c r="BI3" t="s">
        <v>5102</v>
      </c>
      <c r="BS3" t="s">
        <v>2238</v>
      </c>
      <c r="CC3" t="s">
        <v>997</v>
      </c>
      <c r="CM3" t="s">
        <v>6007</v>
      </c>
      <c r="CW3" t="s">
        <v>6008</v>
      </c>
      <c r="DG3" t="s">
        <v>6009</v>
      </c>
      <c r="DQ3" t="s">
        <v>6010</v>
      </c>
      <c r="EA3" t="s">
        <v>3558</v>
      </c>
      <c r="EK3" t="s">
        <v>903</v>
      </c>
      <c r="EU3" t="s">
        <v>6011</v>
      </c>
      <c r="FE3" t="s">
        <v>4332</v>
      </c>
      <c r="FO3" t="s">
        <v>6012</v>
      </c>
      <c r="FY3" t="s">
        <v>6013</v>
      </c>
      <c r="GI3" t="s">
        <v>6014</v>
      </c>
      <c r="GS3" t="s">
        <v>6015</v>
      </c>
      <c r="HC3" t="s">
        <v>5618</v>
      </c>
      <c r="HM3" t="s">
        <v>615</v>
      </c>
      <c r="HW3" t="s">
        <v>4412</v>
      </c>
      <c r="IG3" t="s">
        <v>6016</v>
      </c>
      <c r="IQ3" t="s">
        <v>6017</v>
      </c>
      <c r="JA3" t="s">
        <v>6018</v>
      </c>
      <c r="JK3" t="s">
        <v>3083</v>
      </c>
      <c r="JU3" t="s">
        <v>3076</v>
      </c>
      <c r="KE3" t="s">
        <v>707</v>
      </c>
      <c r="KO3" t="s">
        <v>3445</v>
      </c>
      <c r="KY3" t="s">
        <v>5008</v>
      </c>
      <c r="LI3" t="s">
        <v>6019</v>
      </c>
      <c r="LS3" t="s">
        <v>6020</v>
      </c>
      <c r="MC3" t="s">
        <v>4766</v>
      </c>
      <c r="MM3" t="s">
        <v>3192</v>
      </c>
      <c r="MW3" t="s">
        <v>6021</v>
      </c>
      <c r="NG3" t="s">
        <v>6022</v>
      </c>
      <c r="NQ3" t="s">
        <v>6023</v>
      </c>
      <c r="OA3" t="s">
        <v>181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_xll.BDS("VYX US Equity","SUPPLY_CHAIN_SUPPLIERS","RELATIONSHIP_AS_OF_DATE","20000803","cols=1;rows=5")</f>
        <v>CUZ US Equity</v>
      </c>
      <c r="F5" t="str">
        <f>_xll.BDS("VYX US Equity","SUPPLY_CHAIN_CUSTOMERS","RELATIONSHIP_AS_OF_DATE","20000803","cols=1;rows=5")</f>
        <v>TSCO LN Equity</v>
      </c>
      <c r="K5" t="str">
        <f>_xll.BDS("SYY US Equity","SUPPLY_CHAIN_SUPPLIERS","RELATIONSHIP_AS_OF_DATE","20010122","cols=1;rows=5")</f>
        <v>TSN US Equity</v>
      </c>
      <c r="P5" t="str">
        <f>_xll.BDS("SYY US Equity","SUPPLY_CHAIN_CUSTOMERS","RELATIONSHIP_AS_OF_DATE","20010122","cols=1;rows=5")</f>
        <v>ARMK US Equity</v>
      </c>
      <c r="U5" t="str">
        <f>_xll.BDS("nan Equity","SUPPLY_CHAIN_SUPPLIERS","RELATIONSHIP_AS_OF_DATE","20010613")</f>
        <v>#N/A N/A</v>
      </c>
      <c r="Z5" t="str">
        <f>_xll.BDS("nan Equity","SUPPLY_CHAIN_CUSTOMERS","RELATIONSHIP_AS_OF_DATE","20010613")</f>
        <v>#N/A N/A</v>
      </c>
      <c r="AE5" t="str">
        <f>_xll.BDS("FOXA US Equity","SUPPLY_CHAIN_SUPPLIERS","RELATIONSHIP_AS_OF_DATE","20190805","cols=1;rows=5")</f>
        <v>GTN US Equity</v>
      </c>
      <c r="AJ5" t="str">
        <f>_xll.BDS("FOXA US Equity","SUPPLY_CHAIN_CUSTOMERS","RELATIONSHIP_AS_OF_DATE","20190805","cols=1;rows=5")</f>
        <v>AXFO SS Equity</v>
      </c>
      <c r="AO5" t="str">
        <f>_xll.BDS("41018Q US Equity","SUPPLY_CHAIN_SUPPLIERS","RELATIONSHIP_AS_OF_DATE","19981028")</f>
        <v>#N/A N/A</v>
      </c>
      <c r="AT5" t="str">
        <f>_xll.BDS("41018Q US Equity","SUPPLY_CHAIN_CUSTOMERS","RELATIONSHIP_AS_OF_DATE","19981028")</f>
        <v>#N/A N/A</v>
      </c>
      <c r="AY5" t="str">
        <f>_xll.BDS("PACW US Equity","SUPPLY_CHAIN_SUPPLIERS","RELATIONSHIP_AS_OF_DATE","20051215")</f>
        <v>#N/A N/A</v>
      </c>
      <c r="BD5" t="str">
        <f>_xll.BDS("PACW US Equity","SUPPLY_CHAIN_CUSTOMERS","RELATIONSHIP_AS_OF_DATE","20051215")</f>
        <v>SNX US Equity</v>
      </c>
      <c r="BI5" t="str">
        <f>_xll.BDS("MRK US Equity","SUPPLY_CHAIN_SUPPLIERS","RELATIONSHIP_AS_OF_DATE","20000504","cols=1;rows=5")</f>
        <v>AZN LN Equity</v>
      </c>
      <c r="BN5" t="str">
        <f>_xll.BDS("MRK US Equity","SUPPLY_CHAIN_CUSTOMERS","RELATIONSHIP_AS_OF_DATE","20000504","cols=1;rows=5")</f>
        <v>COR US Equity</v>
      </c>
      <c r="BS5" t="str">
        <f>_xll.BDS("345605Q US Equity","SUPPLY_CHAIN_SUPPLIERS","RELATIONSHIP_AS_OF_DATE","20010330")</f>
        <v>#N/A N/A</v>
      </c>
      <c r="BX5" t="str">
        <f>_xll.BDS("345605Q US Equity","SUPPLY_CHAIN_CUSTOMERS","RELATIONSHIP_AS_OF_DATE","20010330")</f>
        <v>#N/A N/A</v>
      </c>
      <c r="CC5" t="str">
        <f>_xll.BDS("PG US Equity","SUPPLY_CHAIN_SUPPLIERS","RELATIONSHIP_AS_OF_DATE","19990826","cols=1;rows=5")</f>
        <v>BABA US Equity</v>
      </c>
      <c r="CH5" t="str">
        <f>_xll.BDS("PG US Equity","SUPPLY_CHAIN_CUSTOMERS","RELATIONSHIP_AS_OF_DATE","19990826","cols=1;rows=5")</f>
        <v>WMT US Equity</v>
      </c>
      <c r="CM5" t="str">
        <f>_xll.BDS("BANC US Equity","SUPPLY_CHAIN_SUPPLIERS","RELATIONSHIP_AS_OF_DATE","20210322","cols=1;rows=2")</f>
        <v>003490 KS Equity</v>
      </c>
      <c r="CR5" t="str">
        <f>_xll.BDS("BANC US Equity","SUPPLY_CHAIN_CUSTOMERS","RELATIONSHIP_AS_OF_DATE","20210322")</f>
        <v>SNX US Equity</v>
      </c>
      <c r="CW5" t="str">
        <f>_xll.BDS("UNIZ US Equity","SUPPLY_CHAIN_SUPPLIERS","RELATIONSHIP_AS_OF_DATE","20010906")</f>
        <v>#N/A N/A</v>
      </c>
      <c r="DB5" t="str">
        <f>_xll.BDS("UNIZ US Equity","SUPPLY_CHAIN_CUSTOMERS","RELATIONSHIP_AS_OF_DATE","20010906")</f>
        <v>#N/A N/A</v>
      </c>
      <c r="DG5" t="str">
        <f>_xll.BDS("9998522D US Equity","SUPPLY_CHAIN_SUPPLIERS","RELATIONSHIP_AS_OF_DATE","20161010")</f>
        <v>#N/A N/A</v>
      </c>
      <c r="DL5" t="str">
        <f>_xll.BDS("9998522D US Equity","SUPPLY_CHAIN_CUSTOMERS","RELATIONSHIP_AS_OF_DATE","20161010")</f>
        <v>#N/A N/A</v>
      </c>
      <c r="DQ5" t="str">
        <f>_xll.BDS("68335Q US Equity","SUPPLY_CHAIN_SUPPLIERS","RELATIONSHIP_AS_OF_DATE","19990406")</f>
        <v>#N/A N/A</v>
      </c>
      <c r="DV5" t="str">
        <f>_xll.BDS("68335Q US Equity","SUPPLY_CHAIN_CUSTOMERS","RELATIONSHIP_AS_OF_DATE","19990406")</f>
        <v>#N/A N/A</v>
      </c>
      <c r="EA5" t="str">
        <f>_xll.BDS("HAS US Equity","SUPPLY_CHAIN_SUPPLIERS","RELATIONSHIP_AS_OF_DATE","19980928","cols=1;rows=5")</f>
        <v>PTC US Equity</v>
      </c>
      <c r="EF5" t="str">
        <f>_xll.BDS("HAS US Equity","SUPPLY_CHAIN_CUSTOMERS","RELATIONSHIP_AS_OF_DATE","19980928","cols=1;rows=5")</f>
        <v>AMZN US Equity</v>
      </c>
      <c r="EK5" t="str">
        <f>_xll.BDS("2598Q US Equity","SUPPLY_CHAIN_SUPPLIERS","RELATIONSHIP_AS_OF_DATE","19980105")</f>
        <v>#N/A N/A</v>
      </c>
      <c r="EP5" t="str">
        <f>_xll.BDS("2598Q US Equity","SUPPLY_CHAIN_CUSTOMERS","RELATIONSHIP_AS_OF_DATE","19980105")</f>
        <v>#N/A N/A</v>
      </c>
      <c r="EU5" t="str">
        <f>_xll.BDS("AFG US Equity","SUPPLY_CHAIN_SUPPLIERS","RELATIONSHIP_AS_OF_DATE","20070222")</f>
        <v>INFA US Equity</v>
      </c>
      <c r="EZ5" t="str">
        <f>_xll.BDS("AFG US Equity","SUPPLY_CHAIN_CUSTOMERS","RELATIONSHIP_AS_OF_DATE","20070222")</f>
        <v>#N/A N/A</v>
      </c>
      <c r="FE5" t="str">
        <f>_xll.BDS("ZRAN US Equity","SUPPLY_CHAIN_SUPPLIERS","RELATIONSHIP_AS_OF_DATE","20030505")</f>
        <v>#N/A N/A</v>
      </c>
      <c r="FJ5" t="str">
        <f>_xll.BDS("ZRAN US Equity","SUPPLY_CHAIN_CUSTOMERS","RELATIONSHIP_AS_OF_DATE","20030505")</f>
        <v>#N/A N/A</v>
      </c>
      <c r="FO5" t="str">
        <f>_xll.BDS("PPBI US Equity","SUPPLY_CHAIN_SUPPLIERS","RELATIONSHIP_AS_OF_DATE","20170809")</f>
        <v>MUST SP Equity</v>
      </c>
      <c r="FT5" t="str">
        <f>_xll.BDS("PPBI US Equity","SUPPLY_CHAIN_CUSTOMERS","RELATIONSHIP_AS_OF_DATE","20170809")</f>
        <v>#N/A N/A</v>
      </c>
      <c r="FY5" t="str">
        <f>_xll.BDS("WBA US Equity","SUPPLY_CHAIN_SUPPLIERS","RELATIONSHIP_AS_OF_DATE","20070516","cols=1;rows=5")</f>
        <v>COR US Equity</v>
      </c>
      <c r="GD5" t="str">
        <f>_xll.BDS("WBA US Equity","SUPPLY_CHAIN_CUSTOMERS","RELATIONSHIP_AS_OF_DATE","20070516","cols=1;rows=5")</f>
        <v>1920799D US Equity</v>
      </c>
      <c r="GI5" t="str">
        <f>_xll.BDS("MSSN US Equity","SUPPLY_CHAIN_SUPPLIERS","RELATIONSHIP_AS_OF_DATE","20010125")</f>
        <v>#N/A N/A</v>
      </c>
      <c r="GN5" t="str">
        <f>_xll.BDS("MSSN US Equity","SUPPLY_CHAIN_CUSTOMERS","RELATIONSHIP_AS_OF_DATE","20010125")</f>
        <v>#N/A N/A</v>
      </c>
      <c r="GS5" t="str">
        <f>_xll.BDS("EIG US Equity","SUPPLY_CHAIN_SUPPLIERS","RELATIONSHIP_AS_OF_DATE","20080110")</f>
        <v>#N/A N/A</v>
      </c>
      <c r="GX5" t="str">
        <f>_xll.BDS("EIG US Equity","SUPPLY_CHAIN_CUSTOMERS","RELATIONSHIP_AS_OF_DATE","20080110")</f>
        <v>#N/A N/A</v>
      </c>
      <c r="HC5" t="str">
        <f>_xll.BDS("VZ US Equity","SUPPLY_CHAIN_SUPPLIERS","RELATIONSHIP_AS_OF_DATE","20150903","cols=1;rows=5")</f>
        <v>AAPL US Equity</v>
      </c>
      <c r="HH5" t="str">
        <f>_xll.BDS("VZ US Equity","SUPPLY_CHAIN_CUSTOMERS","RELATIONSHIP_AS_OF_DATE","20150903","cols=1;rows=5")</f>
        <v>SNX US Equity</v>
      </c>
      <c r="HM5" t="str">
        <f>_xll.BDS("VLY US Equity","SUPPLY_CHAIN_SUPPLIERS","RELATIONSHIP_AS_OF_DATE","20110428","cols=1;rows=2")</f>
        <v>VNO US Equity</v>
      </c>
      <c r="HR5" t="str">
        <f>_xll.BDS("VLY US Equity","SUPPLY_CHAIN_CUSTOMERS","RELATIONSHIP_AS_OF_DATE","20110428")</f>
        <v>#N/A N/A</v>
      </c>
      <c r="HW5" t="str">
        <f>_xll.BDS("DRYS US Equity","SUPPLY_CHAIN_SUPPLIERS","RELATIONSHIP_AS_OF_DATE","20110726")</f>
        <v>#N/A N/A</v>
      </c>
      <c r="IB5" t="str">
        <f>_xll.BDS("DRYS US Equity","SUPPLY_CHAIN_CUSTOMERS","RELATIONSHIP_AS_OF_DATE","20110726")</f>
        <v>#N/A N/A</v>
      </c>
      <c r="IG5" t="str">
        <f>_xll.BDS("HU US Equity","SUPPLY_CHAIN_SUPPLIERS","RELATIONSHIP_AS_OF_DATE","19980331")</f>
        <v>#N/A N/A</v>
      </c>
      <c r="IL5" t="str">
        <f>_xll.BDS("HU US Equity","SUPPLY_CHAIN_CUSTOMERS","RELATIONSHIP_AS_OF_DATE","19980331")</f>
        <v>#N/A N/A</v>
      </c>
      <c r="IQ5" t="str">
        <f>_xll.BDS("ANGO US Equity","SUPPLY_CHAIN_SUPPLIERS","RELATIONSHIP_AS_OF_DATE","20061128","cols=1;rows=4")</f>
        <v>NG/ LN Equity</v>
      </c>
      <c r="IV5" t="str">
        <f>_xll.BDS("ANGO US Equity","SUPPLY_CHAIN_CUSTOMERS","RELATIONSHIP_AS_OF_DATE","20061128")</f>
        <v>ALIFB SS Equity</v>
      </c>
      <c r="JA5" t="str">
        <f>_xll.BDS("KEA US Equity","SUPPLY_CHAIN_SUPPLIERS","RELATIONSHIP_AS_OF_DATE","20010821")</f>
        <v>#N/A N/A</v>
      </c>
      <c r="JF5" t="str">
        <f>_xll.BDS("KEA US Equity","SUPPLY_CHAIN_CUSTOMERS","RELATIONSHIP_AS_OF_DATE","20010821")</f>
        <v>#N/A N/A</v>
      </c>
      <c r="JK5" t="str">
        <f>_xll.BDS("CKFR US Equity","SUPPLY_CHAIN_SUPPLIERS","RELATIONSHIP_AS_OF_DATE","20070214")</f>
        <v>#N/A N/A</v>
      </c>
      <c r="JP5" t="str">
        <f>_xll.BDS("CKFR US Equity","SUPPLY_CHAIN_CUSTOMERS","RELATIONSHIP_AS_OF_DATE","20070214")</f>
        <v>#N/A N/A</v>
      </c>
      <c r="JU5" t="str">
        <f>_xll.BDS("CPTH US Equity","SUPPLY_CHAIN_SUPPLIERS","RELATIONSHIP_AS_OF_DATE","19991021")</f>
        <v>#N/A N/A</v>
      </c>
      <c r="JZ5" t="str">
        <f>_xll.BDS("CPTH US Equity","SUPPLY_CHAIN_CUSTOMERS","RELATIONSHIP_AS_OF_DATE","19991021")</f>
        <v>#N/A N/A</v>
      </c>
      <c r="KE5" t="str">
        <f>_xll.BDS("1339658D US Equity","SUPPLY_CHAIN_SUPPLIERS","RELATIONSHIP_AS_OF_DATE","19980720")</f>
        <v>#N/A N/A</v>
      </c>
      <c r="KJ5" t="str">
        <f>_xll.BDS("1339658D US Equity","SUPPLY_CHAIN_CUSTOMERS","RELATIONSHIP_AS_OF_DATE","19980720")</f>
        <v>#N/A N/A</v>
      </c>
      <c r="KO5" t="str">
        <f>_xll.BDS("CPNLQ US Equity","SUPPLY_CHAIN_SUPPLIERS","RELATIONSHIP_AS_OF_DATE","19990827")</f>
        <v>#N/A N/A</v>
      </c>
      <c r="KT5" t="str">
        <f>_xll.BDS("CPNLQ US Equity","SUPPLY_CHAIN_CUSTOMERS","RELATIONSHIP_AS_OF_DATE","19990827")</f>
        <v>#N/A N/A</v>
      </c>
      <c r="KY5" t="str">
        <f>_xll.BDS("SVU US Equity","SUPPLY_CHAIN_SUPPLIERS","RELATIONSHIP_AS_OF_DATE","20050104")</f>
        <v>#N/A N/A</v>
      </c>
      <c r="LD5" t="str">
        <f>_xll.BDS("SVU US Equity","SUPPLY_CHAIN_CUSTOMERS","RELATIONSHIP_AS_OF_DATE","20050104")</f>
        <v>#N/A N/A</v>
      </c>
      <c r="LI5" t="str">
        <f>_xll.BDS("1581410D US Equity","SUPPLY_CHAIN_SUPPLIERS","RELATIONSHIP_AS_OF_DATE","19980729")</f>
        <v>#N/A N/A</v>
      </c>
      <c r="LN5" t="str">
        <f>_xll.BDS("1581410D US Equity","SUPPLY_CHAIN_CUSTOMERS","RELATIONSHIP_AS_OF_DATE","19980729")</f>
        <v>#N/A N/A</v>
      </c>
      <c r="LS5" t="str">
        <f>_xll.BDS("GE US Equity","SUPPLY_CHAIN_SUPPLIERS","RELATIONSHIP_AS_OF_DATE","20060320","cols=1;rows=5")</f>
        <v>SAF FP Equity</v>
      </c>
      <c r="LX5" t="str">
        <f>_xll.BDS("GE US Equity","SUPPLY_CHAIN_CUSTOMERS","RELATIONSHIP_AS_OF_DATE","20060320","cols=1;rows=5")</f>
        <v>3352Z US Equity</v>
      </c>
      <c r="MC5" t="str">
        <f>_xll.BDS("nan Equity","SUPPLY_CHAIN_SUPPLIERS","RELATIONSHIP_AS_OF_DATE","20210107")</f>
        <v>#N/A N/A</v>
      </c>
      <c r="MH5" t="str">
        <f>_xll.BDS("nan Equity","SUPPLY_CHAIN_CUSTOMERS","RELATIONSHIP_AS_OF_DATE","20210107")</f>
        <v>#N/A N/A</v>
      </c>
      <c r="MM5" t="str">
        <f>_xll.BDS("EBAY US Equity","SUPPLY_CHAIN_SUPPLIERS","RELATIONSHIP_AS_OF_DATE","19990426","cols=1;rows=5")</f>
        <v>NVDA US Equity</v>
      </c>
      <c r="MR5" t="str">
        <f>_xll.BDS("EBAY US Equity","SUPPLY_CHAIN_CUSTOMERS","RELATIONSHIP_AS_OF_DATE","19990426","cols=1;rows=5")</f>
        <v>3048 JP Equity</v>
      </c>
      <c r="MW5" t="str">
        <f>_xll.BDS("OZK US Equity","SUPPLY_CHAIN_SUPPLIERS","RELATIONSHIP_AS_OF_DATE","20140731")</f>
        <v>#N/A N/A</v>
      </c>
      <c r="NB5" t="str">
        <f>_xll.BDS("OZK US Equity","SUPPLY_CHAIN_CUSTOMERS","RELATIONSHIP_AS_OF_DATE","20140731")</f>
        <v>#N/A N/A</v>
      </c>
      <c r="NG5" t="str">
        <f>_xll.BDS("KG US Equity","SUPPLY_CHAIN_SUPPLIERS","RELATIONSHIP_AS_OF_DATE","20021021")</f>
        <v>#N/A N/A</v>
      </c>
      <c r="NL5" t="str">
        <f>_xll.BDS("KG US Equity","SUPPLY_CHAIN_CUSTOMERS","RELATIONSHIP_AS_OF_DATE","20021021")</f>
        <v>#N/A N/A</v>
      </c>
      <c r="NQ5" t="str">
        <f>_xll.BDS("BPFH US Equity","SUPPLY_CHAIN_SUPPLIERS","RELATIONSHIP_AS_OF_DATE","20050419")</f>
        <v>#N/A N/A</v>
      </c>
      <c r="NV5" t="str">
        <f>_xll.BDS("BPFH US Equity","SUPPLY_CHAIN_CUSTOMERS","RELATIONSHIP_AS_OF_DATE","20050419")</f>
        <v>#N/A N/A</v>
      </c>
      <c r="OA5" t="str">
        <f>_xll.BDS("WLMR US Equity","SUPPLY_CHAIN_SUPPLIERS","RELATIONSHIP_AS_OF_DATE","20000710")</f>
        <v>#N/A N/A</v>
      </c>
      <c r="OF5" t="str">
        <f>_xll.BDS("WLMR US Equity","SUPPLY_CHAIN_CUSTOMERS","RELATIONSHIP_AS_OF_DATE","20000710")</f>
        <v>#N/A N/A</v>
      </c>
    </row>
    <row r="6" spans="1:396" x14ac:dyDescent="0.25">
      <c r="A6" t="s">
        <v>10735</v>
      </c>
      <c r="F6" t="s">
        <v>11394</v>
      </c>
      <c r="K6" t="s">
        <v>11220</v>
      </c>
      <c r="P6" t="s">
        <v>10925</v>
      </c>
      <c r="AE6" t="s">
        <v>7913</v>
      </c>
      <c r="AJ6" t="s">
        <v>11118</v>
      </c>
      <c r="BI6" t="s">
        <v>368</v>
      </c>
      <c r="BN6" t="s">
        <v>385</v>
      </c>
      <c r="CC6" t="s">
        <v>11946</v>
      </c>
      <c r="CH6" t="s">
        <v>469</v>
      </c>
      <c r="CM6" t="s">
        <v>10829</v>
      </c>
      <c r="EA6" t="s">
        <v>11517</v>
      </c>
      <c r="EF6" t="s">
        <v>10676</v>
      </c>
      <c r="FY6" t="s">
        <v>11117</v>
      </c>
      <c r="GD6" t="s">
        <v>11805</v>
      </c>
      <c r="HC6" t="s">
        <v>10892</v>
      </c>
      <c r="HH6" t="s">
        <v>6473</v>
      </c>
      <c r="HM6" t="s">
        <v>3162</v>
      </c>
      <c r="IQ6" t="s">
        <v>4127</v>
      </c>
      <c r="LS6" t="s">
        <v>11008</v>
      </c>
      <c r="LX6" t="s">
        <v>1363</v>
      </c>
      <c r="MM6" t="s">
        <v>12302</v>
      </c>
      <c r="MR6" t="s">
        <v>11650</v>
      </c>
    </row>
    <row r="7" spans="1:396" x14ac:dyDescent="0.25">
      <c r="A7" t="s">
        <v>11984</v>
      </c>
      <c r="F7" t="s">
        <v>10680</v>
      </c>
      <c r="K7" t="s">
        <v>2604</v>
      </c>
      <c r="P7" t="s">
        <v>10797</v>
      </c>
      <c r="AE7" t="s">
        <v>2608</v>
      </c>
      <c r="AJ7" t="s">
        <v>10892</v>
      </c>
      <c r="BI7" t="s">
        <v>11467</v>
      </c>
      <c r="BN7" t="s">
        <v>970</v>
      </c>
      <c r="CC7" t="s">
        <v>266</v>
      </c>
      <c r="CH7" t="s">
        <v>10775</v>
      </c>
      <c r="EA7" t="s">
        <v>10912</v>
      </c>
      <c r="EF7" t="s">
        <v>10805</v>
      </c>
      <c r="FY7" t="s">
        <v>58</v>
      </c>
      <c r="GD7" t="s">
        <v>1468</v>
      </c>
      <c r="HC7" t="s">
        <v>670</v>
      </c>
      <c r="HH7" t="s">
        <v>10660</v>
      </c>
      <c r="IQ7" t="s">
        <v>482</v>
      </c>
      <c r="LS7" t="s">
        <v>11009</v>
      </c>
      <c r="LX7" t="s">
        <v>10939</v>
      </c>
      <c r="MM7" t="s">
        <v>11139</v>
      </c>
      <c r="MR7" t="s">
        <v>11651</v>
      </c>
    </row>
    <row r="8" spans="1:396" x14ac:dyDescent="0.25">
      <c r="A8" t="s">
        <v>11516</v>
      </c>
      <c r="F8" t="s">
        <v>10660</v>
      </c>
      <c r="K8" t="s">
        <v>3701</v>
      </c>
      <c r="P8" t="s">
        <v>10926</v>
      </c>
      <c r="AE8" t="s">
        <v>12146</v>
      </c>
      <c r="AJ8" t="s">
        <v>11919</v>
      </c>
      <c r="BI8" t="s">
        <v>11468</v>
      </c>
      <c r="BN8" t="s">
        <v>43</v>
      </c>
      <c r="CC8" t="s">
        <v>11978</v>
      </c>
      <c r="CH8" t="s">
        <v>52</v>
      </c>
      <c r="EA8" t="s">
        <v>11518</v>
      </c>
      <c r="EF8" t="s">
        <v>10775</v>
      </c>
      <c r="FY8" t="s">
        <v>6897</v>
      </c>
      <c r="GD8" t="s">
        <v>11572</v>
      </c>
      <c r="HC8" t="s">
        <v>2705</v>
      </c>
      <c r="HH8" t="s">
        <v>4219</v>
      </c>
      <c r="IQ8" t="s">
        <v>10811</v>
      </c>
      <c r="LS8" t="s">
        <v>11010</v>
      </c>
      <c r="LX8" t="s">
        <v>1652</v>
      </c>
      <c r="MM8" t="s">
        <v>2204</v>
      </c>
      <c r="MR8" t="s">
        <v>11652</v>
      </c>
    </row>
    <row r="9" spans="1:396" x14ac:dyDescent="0.25">
      <c r="A9" t="s">
        <v>4646</v>
      </c>
      <c r="F9" t="s">
        <v>10787</v>
      </c>
      <c r="K9" t="s">
        <v>10941</v>
      </c>
      <c r="P9" t="s">
        <v>10657</v>
      </c>
      <c r="AE9" t="s">
        <v>12147</v>
      </c>
      <c r="AJ9" t="s">
        <v>12064</v>
      </c>
      <c r="BI9" t="s">
        <v>11159</v>
      </c>
      <c r="BN9" t="s">
        <v>11467</v>
      </c>
      <c r="CC9" t="s">
        <v>11414</v>
      </c>
      <c r="CH9" t="s">
        <v>477</v>
      </c>
      <c r="EA9" t="s">
        <v>11519</v>
      </c>
      <c r="EF9" t="s">
        <v>11114</v>
      </c>
      <c r="FY9" t="s">
        <v>11852</v>
      </c>
      <c r="GD9" t="s">
        <v>11806</v>
      </c>
      <c r="HC9" t="s">
        <v>10738</v>
      </c>
      <c r="HH9" t="s">
        <v>10680</v>
      </c>
      <c r="LS9" t="s">
        <v>3625</v>
      </c>
      <c r="LX9" t="s">
        <v>1740</v>
      </c>
      <c r="MM9" t="s">
        <v>12303</v>
      </c>
      <c r="MR9" t="s">
        <v>11653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6024</v>
      </c>
      <c r="K1" s="1" t="s">
        <v>6025</v>
      </c>
      <c r="U1" s="1" t="s">
        <v>6026</v>
      </c>
      <c r="AE1" s="1" t="s">
        <v>6027</v>
      </c>
      <c r="AO1" s="1" t="s">
        <v>6028</v>
      </c>
      <c r="AY1" s="1" t="s">
        <v>6029</v>
      </c>
      <c r="BI1" s="1" t="s">
        <v>6030</v>
      </c>
      <c r="BS1" s="1" t="s">
        <v>6031</v>
      </c>
      <c r="CC1" s="1" t="s">
        <v>6032</v>
      </c>
      <c r="CM1" s="1" t="s">
        <v>6033</v>
      </c>
      <c r="CW1" s="1" t="s">
        <v>6034</v>
      </c>
      <c r="DG1" s="1" t="s">
        <v>6035</v>
      </c>
      <c r="DQ1" s="1" t="s">
        <v>6036</v>
      </c>
      <c r="EA1" s="1" t="s">
        <v>6037</v>
      </c>
      <c r="EK1" s="1" t="s">
        <v>6038</v>
      </c>
      <c r="EU1" s="1" t="s">
        <v>6039</v>
      </c>
      <c r="FE1" s="1" t="s">
        <v>6040</v>
      </c>
      <c r="FO1" s="1" t="s">
        <v>6041</v>
      </c>
      <c r="FY1" s="1" t="s">
        <v>6042</v>
      </c>
      <c r="GI1" s="1" t="s">
        <v>6043</v>
      </c>
      <c r="GS1" s="1" t="s">
        <v>6044</v>
      </c>
      <c r="HC1" s="1" t="s">
        <v>6045</v>
      </c>
      <c r="HM1" s="1" t="s">
        <v>6046</v>
      </c>
      <c r="HW1" s="1" t="s">
        <v>6047</v>
      </c>
      <c r="IG1" s="1" t="s">
        <v>6048</v>
      </c>
      <c r="IQ1" s="1" t="s">
        <v>6049</v>
      </c>
      <c r="JA1" s="1" t="s">
        <v>6050</v>
      </c>
      <c r="JK1" s="1" t="s">
        <v>6051</v>
      </c>
      <c r="JU1" s="1" t="s">
        <v>6052</v>
      </c>
      <c r="KE1" s="1" t="s">
        <v>6053</v>
      </c>
      <c r="KO1" s="1" t="s">
        <v>6054</v>
      </c>
      <c r="KY1" s="1" t="s">
        <v>6055</v>
      </c>
      <c r="LI1" s="1" t="s">
        <v>6056</v>
      </c>
      <c r="LS1" s="1" t="s">
        <v>6057</v>
      </c>
      <c r="MC1" s="1" t="s">
        <v>6058</v>
      </c>
      <c r="MM1" s="1" t="s">
        <v>6059</v>
      </c>
      <c r="MW1" s="1" t="s">
        <v>6060</v>
      </c>
      <c r="NG1" s="1" t="s">
        <v>6061</v>
      </c>
      <c r="NQ1" s="1" t="s">
        <v>6062</v>
      </c>
      <c r="OA1" s="1" t="s">
        <v>6063</v>
      </c>
    </row>
    <row r="2" spans="1:396" x14ac:dyDescent="0.25">
      <c r="A2" s="2" t="s">
        <v>990</v>
      </c>
      <c r="K2" s="2" t="s">
        <v>1945</v>
      </c>
      <c r="U2" s="2" t="s">
        <v>6064</v>
      </c>
      <c r="AE2" s="2" t="s">
        <v>158</v>
      </c>
      <c r="AO2" s="2" t="s">
        <v>6065</v>
      </c>
      <c r="AY2" s="2" t="s">
        <v>6066</v>
      </c>
      <c r="BI2" s="2" t="s">
        <v>6067</v>
      </c>
      <c r="BS2" s="2" t="s">
        <v>2873</v>
      </c>
      <c r="CC2" s="2" t="s">
        <v>6068</v>
      </c>
      <c r="CM2" s="2" t="s">
        <v>6069</v>
      </c>
      <c r="CW2" s="2" t="s">
        <v>6070</v>
      </c>
      <c r="DG2" s="2" t="s">
        <v>6071</v>
      </c>
      <c r="DQ2" s="2" t="s">
        <v>6072</v>
      </c>
      <c r="EA2" s="2" t="s">
        <v>6073</v>
      </c>
      <c r="EK2" s="2" t="s">
        <v>4219</v>
      </c>
      <c r="EU2" s="2" t="s">
        <v>1757</v>
      </c>
      <c r="FE2" s="2" t="s">
        <v>6074</v>
      </c>
      <c r="FO2" s="2" t="s">
        <v>573</v>
      </c>
      <c r="FY2" s="2" t="s">
        <v>990</v>
      </c>
      <c r="GI2" s="2" t="s">
        <v>4299</v>
      </c>
      <c r="GS2" s="2" t="s">
        <v>64</v>
      </c>
      <c r="HC2" s="2" t="s">
        <v>2296</v>
      </c>
      <c r="HM2" s="2" t="s">
        <v>6075</v>
      </c>
      <c r="HW2" s="2" t="s">
        <v>2132</v>
      </c>
      <c r="IG2" s="2" t="s">
        <v>6076</v>
      </c>
      <c r="IQ2" s="2" t="s">
        <v>5157</v>
      </c>
      <c r="JA2" s="2" t="s">
        <v>387</v>
      </c>
      <c r="JK2" s="2" t="s">
        <v>41</v>
      </c>
      <c r="JU2" s="2" t="s">
        <v>261</v>
      </c>
      <c r="KE2" s="2" t="s">
        <v>6077</v>
      </c>
      <c r="KO2" s="2" t="s">
        <v>4395</v>
      </c>
      <c r="KY2" s="2" t="s">
        <v>5070</v>
      </c>
      <c r="LI2" s="2" t="s">
        <v>3621</v>
      </c>
      <c r="LS2" s="2" t="s">
        <v>6078</v>
      </c>
      <c r="MC2" s="2" t="s">
        <v>6079</v>
      </c>
      <c r="MM2" s="2" t="s">
        <v>3442</v>
      </c>
      <c r="MW2" s="2" t="s">
        <v>6080</v>
      </c>
      <c r="NG2" s="2" t="s">
        <v>6081</v>
      </c>
      <c r="NQ2" s="2" t="s">
        <v>6082</v>
      </c>
      <c r="OA2" s="2" t="s">
        <v>3333</v>
      </c>
    </row>
    <row r="3" spans="1:396" x14ac:dyDescent="0.25">
      <c r="A3" t="s">
        <v>6083</v>
      </c>
      <c r="K3" t="s">
        <v>5681</v>
      </c>
      <c r="U3" t="s">
        <v>6084</v>
      </c>
      <c r="AE3" t="s">
        <v>6085</v>
      </c>
      <c r="AO3" t="s">
        <v>6086</v>
      </c>
      <c r="AY3" t="s">
        <v>4419</v>
      </c>
      <c r="BI3" t="s">
        <v>3887</v>
      </c>
      <c r="BS3" t="s">
        <v>6087</v>
      </c>
      <c r="CC3" t="s">
        <v>6088</v>
      </c>
      <c r="CM3" t="s">
        <v>6089</v>
      </c>
      <c r="CW3" t="s">
        <v>6090</v>
      </c>
      <c r="DG3" t="s">
        <v>2161</v>
      </c>
      <c r="DQ3" t="s">
        <v>6091</v>
      </c>
      <c r="EA3" t="s">
        <v>1281</v>
      </c>
      <c r="EK3" t="s">
        <v>3263</v>
      </c>
      <c r="EU3" t="s">
        <v>1562</v>
      </c>
      <c r="FE3" t="s">
        <v>729</v>
      </c>
      <c r="FO3" t="s">
        <v>915</v>
      </c>
      <c r="FY3" t="s">
        <v>4247</v>
      </c>
      <c r="GI3" t="s">
        <v>6092</v>
      </c>
      <c r="GS3" t="s">
        <v>6093</v>
      </c>
      <c r="HC3" t="s">
        <v>6094</v>
      </c>
      <c r="HM3" t="s">
        <v>6095</v>
      </c>
      <c r="HW3" t="s">
        <v>4084</v>
      </c>
      <c r="IG3" t="s">
        <v>6096</v>
      </c>
      <c r="IQ3" t="s">
        <v>2899</v>
      </c>
      <c r="JA3" t="s">
        <v>5772</v>
      </c>
      <c r="JK3" t="s">
        <v>6097</v>
      </c>
      <c r="JU3" t="s">
        <v>320</v>
      </c>
      <c r="KE3" t="s">
        <v>3821</v>
      </c>
      <c r="KO3" t="s">
        <v>508</v>
      </c>
      <c r="KY3" t="s">
        <v>4504</v>
      </c>
      <c r="LI3" t="s">
        <v>6098</v>
      </c>
      <c r="LS3" t="s">
        <v>6099</v>
      </c>
      <c r="MC3" t="s">
        <v>3173</v>
      </c>
      <c r="MM3" t="s">
        <v>5007</v>
      </c>
      <c r="MW3" t="s">
        <v>6100</v>
      </c>
      <c r="NG3" t="s">
        <v>6101</v>
      </c>
      <c r="NQ3" t="s">
        <v>2143</v>
      </c>
      <c r="OA3" t="s">
        <v>1580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_xll.BDS("WBS US Equity","SUPPLY_CHAIN_SUPPLIERS","RELATIONSHIP_AS_OF_DATE","19991202","cols=1;rows=2")</f>
        <v>FISV US Equity</v>
      </c>
      <c r="F5" t="str">
        <f>_xll.BDS("WBS US Equity","SUPPLY_CHAIN_CUSTOMERS","RELATIONSHIP_AS_OF_DATE","19991202")</f>
        <v>CNXN US Equity</v>
      </c>
      <c r="K5" t="str">
        <f>_xll.BDS("ONB US Equity","SUPPLY_CHAIN_SUPPLIERS","RELATIONSHIP_AS_OF_DATE","19990730","cols=1;rows=3")</f>
        <v>FCPT US Equity</v>
      </c>
      <c r="P5" t="str">
        <f>_xll.BDS("ONB US Equity","SUPPLY_CHAIN_CUSTOMERS","RELATIONSHIP_AS_OF_DATE","19990730")</f>
        <v>#N/A N/A</v>
      </c>
      <c r="U5" t="str">
        <f>_xll.BDS("FCF US Equity","SUPPLY_CHAIN_SUPPLIERS","RELATIONSHIP_AS_OF_DATE","19980716")</f>
        <v>#N/A N/A</v>
      </c>
      <c r="Z5" t="str">
        <f>_xll.BDS("FCF US Equity","SUPPLY_CHAIN_CUSTOMERS","RELATIONSHIP_AS_OF_DATE","19980716")</f>
        <v>#N/A N/A</v>
      </c>
      <c r="AE5" t="str">
        <f>_xll.BDS("BRK/A US Equity","SUPPLY_CHAIN_SUPPLIERS","RELATIONSHIP_AS_OF_DATE","20020702","cols=1;rows=5")</f>
        <v>HSY US Equity</v>
      </c>
      <c r="AJ5" t="str">
        <f>_xll.BDS("BRK/A US Equity","SUPPLY_CHAIN_CUSTOMERS","RELATIONSHIP_AS_OF_DATE","20020702","cols=1;rows=5")</f>
        <v>WMT US Equity</v>
      </c>
      <c r="AO5" t="str">
        <f>_xll.BDS("1885807D US Equity","SUPPLY_CHAIN_SUPPLIERS","RELATIONSHIP_AS_OF_DATE","20130107","cols=1;rows=5")</f>
        <v>1615475D US Equity</v>
      </c>
      <c r="AT5" t="str">
        <f>_xll.BDS("1885807D US Equity","SUPPLY_CHAIN_CUSTOMERS","RELATIONSHIP_AS_OF_DATE","20130107","cols=1;rows=5")</f>
        <v>0440985D US Equity</v>
      </c>
      <c r="AY5" t="str">
        <f>_xll.BDS("DVERQ US Equity","SUPPLY_CHAIN_SUPPLIERS","RELATIONSHIP_AS_OF_DATE","19980629")</f>
        <v>#N/A N/A</v>
      </c>
      <c r="BD5" t="str">
        <f>_xll.BDS("DVERQ US Equity","SUPPLY_CHAIN_CUSTOMERS","RELATIONSHIP_AS_OF_DATE","19980629")</f>
        <v>#N/A N/A</v>
      </c>
      <c r="BI5" t="str">
        <f>_xll.BDS("GMCR US Equity","SUPPLY_CHAIN_SUPPLIERS","RELATIONSHIP_AS_OF_DATE","20091123")</f>
        <v>#N/A N/A</v>
      </c>
      <c r="BN5" t="str">
        <f>_xll.BDS("GMCR US Equity","SUPPLY_CHAIN_CUSTOMERS","RELATIONSHIP_AS_OF_DATE","20091123")</f>
        <v>#N/A N/A</v>
      </c>
      <c r="BS5" t="str">
        <f>_xll.BDS("HWC US Equity","SUPPLY_CHAIN_SUPPLIERS","RELATIONSHIP_AS_OF_DATE","20190430")</f>
        <v>NMRK US Equity</v>
      </c>
      <c r="BX5" t="str">
        <f>_xll.BDS("HWC US Equity","SUPPLY_CHAIN_CUSTOMERS","RELATIONSHIP_AS_OF_DATE","20190430")</f>
        <v>#N/A N/A</v>
      </c>
      <c r="CC5" t="str">
        <f>_xll.BDS("KW US Equity","SUPPLY_CHAIN_SUPPLIERS","RELATIONSHIP_AS_OF_DATE","20090909")</f>
        <v>ACM US Equity</v>
      </c>
      <c r="CH5" t="str">
        <f>_xll.BDS("KW US Equity","SUPPLY_CHAIN_CUSTOMERS","RELATIONSHIP_AS_OF_DATE","20090909")</f>
        <v>#N/A N/A</v>
      </c>
      <c r="CM5" t="str">
        <f>_xll.BDS("TIPT US Equity","SUPPLY_CHAIN_SUPPLIERS","RELATIONSHIP_AS_OF_DATE","20140812")</f>
        <v>#N/A N/A</v>
      </c>
      <c r="CR5" t="str">
        <f>_xll.BDS("TIPT US Equity","SUPPLY_CHAIN_CUSTOMERS","RELATIONSHIP_AS_OF_DATE","20140812")</f>
        <v>CONNQ US Equity</v>
      </c>
      <c r="CW5" t="str">
        <f>_xll.BDS("ITXG US Equity","SUPPLY_CHAIN_SUPPLIERS","RELATIONSHIP_AS_OF_DATE","19980224")</f>
        <v>#N/A N/A</v>
      </c>
      <c r="DB5" t="str">
        <f>_xll.BDS("ITXG US Equity","SUPPLY_CHAIN_CUSTOMERS","RELATIONSHIP_AS_OF_DATE","19980224")</f>
        <v>#N/A N/A</v>
      </c>
      <c r="DG5" t="str">
        <f>_xll.BDS("1723125D US Equity","SUPPLY_CHAIN_SUPPLIERS","RELATIONSHIP_AS_OF_DATE","19980304")</f>
        <v>#N/A N/A</v>
      </c>
      <c r="DL5" t="str">
        <f>_xll.BDS("1723125D US Equity","SUPPLY_CHAIN_CUSTOMERS","RELATIONSHIP_AS_OF_DATE","19980304")</f>
        <v>#N/A N/A</v>
      </c>
      <c r="DQ5" t="str">
        <f>_xll.BDS("EVRC US Equity","SUPPLY_CHAIN_SUPPLIERS","RELATIONSHIP_AS_OF_DATE","20201214","cols=1;rows=5")</f>
        <v>002735 CH Equity</v>
      </c>
      <c r="DV5" t="str">
        <f>_xll.BDS("EVRC US Equity","SUPPLY_CHAIN_CUSTOMERS","RELATIONSHIP_AS_OF_DATE","20201214","cols=1;rows=5")</f>
        <v>005930 KS Equity</v>
      </c>
      <c r="EA5" t="str">
        <f>_xll.BDS("LPX US Equity","SUPPLY_CHAIN_SUPPLIERS","RELATIONSHIP_AS_OF_DATE","19990119","cols=1;rows=5")</f>
        <v>HUN US Equity</v>
      </c>
      <c r="EF5" t="str">
        <f>_xll.BDS("LPX US Equity","SUPPLY_CHAIN_CUSTOMERS","RELATIONSHIP_AS_OF_DATE","19990119","cols=1;rows=5")</f>
        <v>HD US Equity</v>
      </c>
      <c r="EK5" t="str">
        <f>_xll.BDS("NSIT US Equity","SUPPLY_CHAIN_SUPPLIERS","RELATIONSHIP_AS_OF_DATE","20161107","cols=1;rows=5")</f>
        <v>MSFT US Equity</v>
      </c>
      <c r="EP5" t="str">
        <f>_xll.BDS("NSIT US Equity","SUPPLY_CHAIN_CUSTOMERS","RELATIONSHIP_AS_OF_DATE","20161107","cols=1;rows=5")</f>
        <v>SNX US Equity</v>
      </c>
      <c r="EU5" t="str">
        <f>_xll.BDS("LEHMQ US Equity","SUPPLY_CHAIN_SUPPLIERS","RELATIONSHIP_AS_OF_DATE","20060919")</f>
        <v>#N/A N/A</v>
      </c>
      <c r="EZ5" t="str">
        <f>_xll.BDS("LEHMQ US Equity","SUPPLY_CHAIN_CUSTOMERS","RELATIONSHIP_AS_OF_DATE","20060919")</f>
        <v>#N/A N/A</v>
      </c>
      <c r="FE5" t="str">
        <f>_xll.BDS("IPCS US Equity","SUPPLY_CHAIN_SUPPLIERS","RELATIONSHIP_AS_OF_DATE","20050317")</f>
        <v>#N/A N/A</v>
      </c>
      <c r="FJ5" t="str">
        <f>_xll.BDS("IPCS US Equity","SUPPLY_CHAIN_CUSTOMERS","RELATIONSHIP_AS_OF_DATE","20050317")</f>
        <v>#N/A N/A</v>
      </c>
      <c r="FO5" t="str">
        <f>_xll.BDS("CAG US Equity","SUPPLY_CHAIN_SUPPLIERS","RELATIONSHIP_AS_OF_DATE","19980618","cols=1;rows=5")</f>
        <v>AMCR US Equity</v>
      </c>
      <c r="FT5" t="str">
        <f>_xll.BDS("CAG US Equity","SUPPLY_CHAIN_CUSTOMERS","RELATIONSHIP_AS_OF_DATE","19980618","cols=1;rows=5")</f>
        <v>WMT US Equity</v>
      </c>
      <c r="FY5" t="str">
        <f>_xll.BDS("WBS US Equity","SUPPLY_CHAIN_SUPPLIERS","RELATIONSHIP_AS_OF_DATE","19990630","cols=1;rows=2")</f>
        <v>FISV US Equity</v>
      </c>
      <c r="GD5" t="str">
        <f>_xll.BDS("WBS US Equity","SUPPLY_CHAIN_CUSTOMERS","RELATIONSHIP_AS_OF_DATE","19990630")</f>
        <v>CNXN US Equity</v>
      </c>
      <c r="GI5" t="str">
        <f>_xll.BDS("1552309D US Equity","SUPPLY_CHAIN_SUPPLIERS","RELATIONSHIP_AS_OF_DATE","20050125")</f>
        <v>#N/A N/A</v>
      </c>
      <c r="GN5" t="str">
        <f>_xll.BDS("1552309D US Equity","SUPPLY_CHAIN_CUSTOMERS","RELATIONSHIP_AS_OF_DATE","20050125")</f>
        <v>#N/A N/A</v>
      </c>
      <c r="GS5" t="str">
        <f>_xll.BDS("nan Equity","SUPPLY_CHAIN_SUPPLIERS","RELATIONSHIP_AS_OF_DATE","20070110")</f>
        <v>#N/A N/A</v>
      </c>
      <c r="GX5" t="str">
        <f>_xll.BDS("nan Equity","SUPPLY_CHAIN_CUSTOMERS","RELATIONSHIP_AS_OF_DATE","20070110")</f>
        <v>#N/A N/A</v>
      </c>
      <c r="HC5" t="str">
        <f>_xll.BDS("FCNCA US Equity","SUPPLY_CHAIN_SUPPLIERS","RELATIONSHIP_AS_OF_DATE","20190424","cols=1;rows=5")</f>
        <v>RAIL US Equity</v>
      </c>
      <c r="HH5" t="str">
        <f>_xll.BDS("FCNCA US Equity","SUPPLY_CHAIN_CUSTOMERS","RELATIONSHIP_AS_OF_DATE","20190424")</f>
        <v>#N/A N/A</v>
      </c>
      <c r="HM5" t="str">
        <f>_xll.BDS("CCS US Equity","SUPPLY_CHAIN_SUPPLIERS","RELATIONSHIP_AS_OF_DATE","20170411","cols=1;rows=4")</f>
        <v>WMS US Equity</v>
      </c>
      <c r="HR5" t="str">
        <f>_xll.BDS("CCS US Equity","SUPPLY_CHAIN_CUSTOMERS","RELATIONSHIP_AS_OF_DATE","20170411")</f>
        <v>#N/A N/A</v>
      </c>
      <c r="HW5" t="str">
        <f>_xll.BDS("WINMQ US Equity","SUPPLY_CHAIN_SUPPLIERS","RELATIONSHIP_AS_OF_DATE","20170413","cols=1;rows=5")</f>
        <v>DY US Equity</v>
      </c>
      <c r="IB5" t="str">
        <f>_xll.BDS("WINMQ US Equity","SUPPLY_CHAIN_CUSTOMERS","RELATIONSHIP_AS_OF_DATE","20170413","cols=1;rows=2")</f>
        <v>SCSC US Equity</v>
      </c>
      <c r="IG5" t="str">
        <f>_xll.BDS("EXCO US Equity","SUPPLY_CHAIN_SUPPLIERS","RELATIONSHIP_AS_OF_DATE","20031126")</f>
        <v>#N/A N/A</v>
      </c>
      <c r="IL5" t="str">
        <f>_xll.BDS("EXCO US Equity","SUPPLY_CHAIN_CUSTOMERS","RELATIONSHIP_AS_OF_DATE","20031126")</f>
        <v>#N/A N/A</v>
      </c>
      <c r="IQ5" t="str">
        <f>_xll.BDS("BUSE US Equity","SUPPLY_CHAIN_SUPPLIERS","RELATIONSHIP_AS_OF_DATE","20151203")</f>
        <v>#N/A N/A</v>
      </c>
      <c r="IV5" t="str">
        <f>_xll.BDS("BUSE US Equity","SUPPLY_CHAIN_CUSTOMERS","RELATIONSHIP_AS_OF_DATE","20151203")</f>
        <v>#N/A N/A</v>
      </c>
      <c r="JA5" t="str">
        <f>_xll.BDS("DHR US Equity","SUPPLY_CHAIN_SUPPLIERS","RELATIONSHIP_AS_OF_DATE","20000216","cols=1;rows=5")</f>
        <v>FLEX US Equity</v>
      </c>
      <c r="JF5" t="str">
        <f>_xll.BDS("DHR US Equity","SUPPLY_CHAIN_CUSTOMERS","RELATIONSHIP_AS_OF_DATE","20000216","cols=1;rows=5")</f>
        <v>CDW US Equity</v>
      </c>
      <c r="JK5" t="str">
        <f>_xll.BDS("T US Equity","SUPPLY_CHAIN_SUPPLIERS","RELATIONSHIP_AS_OF_DATE","20180209","cols=1;rows=5")</f>
        <v>AAPL US Equity</v>
      </c>
      <c r="JP5" t="str">
        <f>_xll.BDS("T US Equity","SUPPLY_CHAIN_CUSTOMERS","RELATIONSHIP_AS_OF_DATE","20180209","cols=1;rows=5")</f>
        <v>IBM US Equity</v>
      </c>
      <c r="JU5" t="str">
        <f>_xll.BDS("HPQ US Equity","SUPPLY_CHAIN_SUPPLIERS","RELATIONSHIP_AS_OF_DATE","20070723","cols=1;rows=5")</f>
        <v>2356 TT Equity</v>
      </c>
      <c r="JZ5" t="str">
        <f>_xll.BDS("HPQ US Equity","SUPPLY_CHAIN_CUSTOMERS","RELATIONSHIP_AS_OF_DATE","20070723","cols=1;rows=5")</f>
        <v>SNX US Equity</v>
      </c>
      <c r="KE5" t="str">
        <f>_xll.BDS("HDC US Equity","SUPPLY_CHAIN_SUPPLIERS","RELATIONSHIP_AS_OF_DATE","19980217")</f>
        <v>#N/A N/A</v>
      </c>
      <c r="KJ5" t="str">
        <f>_xll.BDS("HDC US Equity","SUPPLY_CHAIN_CUSTOMERS","RELATIONSHIP_AS_OF_DATE","19980217")</f>
        <v>#N/A N/A</v>
      </c>
      <c r="KO5" t="str">
        <f>_xll.BDS("WSBC US Equity","SUPPLY_CHAIN_SUPPLIERS","RELATIONSHIP_AS_OF_DATE","20160503")</f>
        <v>#N/A N/A</v>
      </c>
      <c r="KT5" t="str">
        <f>_xll.BDS("WSBC US Equity","SUPPLY_CHAIN_CUSTOMERS","RELATIONSHIP_AS_OF_DATE","20160503","cols=1;rows=2")</f>
        <v>NINE CN Equity</v>
      </c>
      <c r="KY5" t="str">
        <f>_xll.BDS("DKS US Equity","SUPPLY_CHAIN_SUPPLIERS","RELATIONSHIP_AS_OF_DATE","20061113","cols=1;rows=5")</f>
        <v>NKE US Equity</v>
      </c>
      <c r="LD5" t="str">
        <f>_xll.BDS("DKS US Equity","SUPPLY_CHAIN_CUSTOMERS","RELATIONSHIP_AS_OF_DATE","20061113","cols=1;rows=4")</f>
        <v>1545896D US Equity</v>
      </c>
      <c r="LI5" t="str">
        <f>_xll.BDS("SUSQ US Equity","SUPPLY_CHAIN_SUPPLIERS","RELATIONSHIP_AS_OF_DATE","20031211")</f>
        <v>#N/A N/A</v>
      </c>
      <c r="LN5" t="str">
        <f>_xll.BDS("SUSQ US Equity","SUPPLY_CHAIN_CUSTOMERS","RELATIONSHIP_AS_OF_DATE","20031211")</f>
        <v>#N/A N/A</v>
      </c>
      <c r="LS5" t="str">
        <f>_xll.BDS("DVW US Equity","SUPPLY_CHAIN_SUPPLIERS","RELATIONSHIP_AS_OF_DATE","20000616")</f>
        <v>#N/A N/A</v>
      </c>
      <c r="LX5" t="str">
        <f>_xll.BDS("DVW US Equity","SUPPLY_CHAIN_CUSTOMERS","RELATIONSHIP_AS_OF_DATE","20000616")</f>
        <v>#N/A N/A</v>
      </c>
      <c r="MC5" t="str">
        <f>_xll.BDS("SYKE US Equity","SUPPLY_CHAIN_SUPPLIERS","RELATIONSHIP_AS_OF_DATE","20091006")</f>
        <v>#N/A N/A</v>
      </c>
      <c r="MH5" t="str">
        <f>_xll.BDS("SYKE US Equity","SUPPLY_CHAIN_CUSTOMERS","RELATIONSHIP_AS_OF_DATE","20091006")</f>
        <v>1718696D US Equity</v>
      </c>
      <c r="MM5" t="str">
        <f>_xll.BDS("GBCI US Equity","SUPPLY_CHAIN_SUPPLIERS","RELATIONSHIP_AS_OF_DATE","19990910")</f>
        <v>VYX US Equity</v>
      </c>
      <c r="MR5" t="str">
        <f>_xll.BDS("GBCI US Equity","SUPPLY_CHAIN_CUSTOMERS","RELATIONSHIP_AS_OF_DATE","19990910")</f>
        <v>#N/A N/A</v>
      </c>
      <c r="MW5" t="str">
        <f>_xll.BDS("BONTQ US Equity","SUPPLY_CHAIN_SUPPLIERS","RELATIONSHIP_AS_OF_DATE","20030729","cols=1;rows=5")</f>
        <v>8932 TT Equity</v>
      </c>
      <c r="NB5" t="str">
        <f>_xll.BDS("BONTQ US Equity","SUPPLY_CHAIN_CUSTOMERS","RELATIONSHIP_AS_OF_DATE","20030729")</f>
        <v>#N/A N/A</v>
      </c>
      <c r="NG5" t="str">
        <f>_xll.BDS("STBA US Equity","SUPPLY_CHAIN_SUPPLIERS","RELATIONSHIP_AS_OF_DATE","20190605")</f>
        <v>#N/A N/A</v>
      </c>
      <c r="NL5" t="str">
        <f>_xll.BDS("STBA US Equity","SUPPLY_CHAIN_CUSTOMERS","RELATIONSHIP_AS_OF_DATE","20190605")</f>
        <v>#N/A N/A</v>
      </c>
      <c r="NQ5" t="str">
        <f>_xll.BDS("TTN US Equity","SUPPLY_CHAIN_SUPPLIERS","RELATIONSHIP_AS_OF_DATE","20000327")</f>
        <v>#N/A N/A</v>
      </c>
      <c r="NV5" t="str">
        <f>_xll.BDS("TTN US Equity","SUPPLY_CHAIN_CUSTOMERS","RELATIONSHIP_AS_OF_DATE","20000327")</f>
        <v>#N/A N/A</v>
      </c>
      <c r="OA5" t="str">
        <f>_xll.BDS("UBSI US Equity","SUPPLY_CHAIN_SUPPLIERS","RELATIONSHIP_AS_OF_DATE","20070129")</f>
        <v>FICO US Equity</v>
      </c>
      <c r="OF5" t="str">
        <f>_xll.BDS("UBSI US Equity","SUPPLY_CHAIN_CUSTOMERS","RELATIONSHIP_AS_OF_DATE","20070129")</f>
        <v>#N/A N/A</v>
      </c>
    </row>
    <row r="6" spans="1:396" x14ac:dyDescent="0.25">
      <c r="A6" t="s">
        <v>10739</v>
      </c>
      <c r="K6" t="s">
        <v>8932</v>
      </c>
      <c r="AE6" t="s">
        <v>2792</v>
      </c>
      <c r="AJ6" t="s">
        <v>10677</v>
      </c>
      <c r="AO6" t="s">
        <v>12223</v>
      </c>
      <c r="AT6" t="s">
        <v>12179</v>
      </c>
      <c r="DQ6" t="s">
        <v>12402</v>
      </c>
      <c r="DV6" t="s">
        <v>11194</v>
      </c>
      <c r="EA6" t="s">
        <v>10940</v>
      </c>
      <c r="EF6" t="s">
        <v>3239</v>
      </c>
      <c r="EK6" t="s">
        <v>2881</v>
      </c>
      <c r="EP6" t="s">
        <v>12284</v>
      </c>
      <c r="FO6" t="s">
        <v>11254</v>
      </c>
      <c r="FT6" t="s">
        <v>477</v>
      </c>
      <c r="FY6" t="s">
        <v>10739</v>
      </c>
      <c r="HC6" t="s">
        <v>10972</v>
      </c>
      <c r="HM6" t="s">
        <v>11194</v>
      </c>
      <c r="HW6" t="s">
        <v>11573</v>
      </c>
      <c r="IB6" t="s">
        <v>11546</v>
      </c>
      <c r="JA6" t="s">
        <v>10735</v>
      </c>
      <c r="JF6" t="s">
        <v>2881</v>
      </c>
      <c r="JK6" t="s">
        <v>10892</v>
      </c>
      <c r="JP6" t="s">
        <v>2881</v>
      </c>
      <c r="JU6" t="s">
        <v>383</v>
      </c>
      <c r="JZ6" t="s">
        <v>4139</v>
      </c>
      <c r="KT6" t="s">
        <v>11320</v>
      </c>
      <c r="KY6" t="s">
        <v>12201</v>
      </c>
      <c r="LD6" t="s">
        <v>11996</v>
      </c>
      <c r="MW6" t="s">
        <v>1265</v>
      </c>
    </row>
    <row r="7" spans="1:396" x14ac:dyDescent="0.25">
      <c r="K7" t="s">
        <v>3162</v>
      </c>
      <c r="AE7" t="s">
        <v>10737</v>
      </c>
      <c r="AJ7" t="s">
        <v>4642</v>
      </c>
      <c r="AO7" t="s">
        <v>10820</v>
      </c>
      <c r="AT7" t="s">
        <v>12180</v>
      </c>
      <c r="DQ7" t="s">
        <v>12403</v>
      </c>
      <c r="DV7" t="s">
        <v>11366</v>
      </c>
      <c r="EA7" t="s">
        <v>2111</v>
      </c>
      <c r="EF7" t="s">
        <v>1850</v>
      </c>
      <c r="EK7" t="s">
        <v>2705</v>
      </c>
      <c r="EP7" t="s">
        <v>12285</v>
      </c>
      <c r="FO7" t="s">
        <v>10978</v>
      </c>
      <c r="FT7" t="s">
        <v>11811</v>
      </c>
      <c r="HC7" t="s">
        <v>10939</v>
      </c>
      <c r="HM7" t="s">
        <v>12113</v>
      </c>
      <c r="HW7" t="s">
        <v>11574</v>
      </c>
      <c r="JA7" t="s">
        <v>273</v>
      </c>
      <c r="JF7" t="s">
        <v>10661</v>
      </c>
      <c r="JK7" t="s">
        <v>10738</v>
      </c>
      <c r="JP7" t="s">
        <v>10680</v>
      </c>
      <c r="JU7" t="s">
        <v>11038</v>
      </c>
      <c r="JZ7" t="s">
        <v>11749</v>
      </c>
      <c r="KY7" t="s">
        <v>12273</v>
      </c>
      <c r="LD7" t="s">
        <v>11997</v>
      </c>
      <c r="MW7" t="s">
        <v>10889</v>
      </c>
    </row>
    <row r="8" spans="1:396" x14ac:dyDescent="0.25">
      <c r="AE8" t="s">
        <v>4475</v>
      </c>
      <c r="AJ8" t="s">
        <v>1363</v>
      </c>
      <c r="AO8" t="s">
        <v>10772</v>
      </c>
      <c r="AT8" t="s">
        <v>12181</v>
      </c>
      <c r="DQ8" t="s">
        <v>11788</v>
      </c>
      <c r="DV8" t="s">
        <v>5236</v>
      </c>
      <c r="EA8" t="s">
        <v>10696</v>
      </c>
      <c r="EF8" t="s">
        <v>673</v>
      </c>
      <c r="EK8" t="s">
        <v>969</v>
      </c>
      <c r="EP8" t="s">
        <v>12286</v>
      </c>
      <c r="FO8" t="s">
        <v>11585</v>
      </c>
      <c r="FT8" t="s">
        <v>10992</v>
      </c>
      <c r="HC8" t="s">
        <v>10973</v>
      </c>
      <c r="HM8" t="s">
        <v>8230</v>
      </c>
      <c r="HW8" t="s">
        <v>969</v>
      </c>
      <c r="JA8" t="s">
        <v>6320</v>
      </c>
      <c r="JF8" t="s">
        <v>10662</v>
      </c>
      <c r="JK8" t="s">
        <v>670</v>
      </c>
      <c r="JP8" t="s">
        <v>3519</v>
      </c>
      <c r="JU8" t="s">
        <v>11176</v>
      </c>
      <c r="JZ8" t="s">
        <v>10660</v>
      </c>
      <c r="KY8" t="s">
        <v>12274</v>
      </c>
      <c r="LD8" t="s">
        <v>11998</v>
      </c>
      <c r="MW8" t="s">
        <v>480</v>
      </c>
    </row>
    <row r="9" spans="1:396" x14ac:dyDescent="0.25">
      <c r="AE9" t="s">
        <v>10738</v>
      </c>
      <c r="AJ9" t="s">
        <v>42</v>
      </c>
      <c r="AO9" t="s">
        <v>12224</v>
      </c>
      <c r="AT9" t="s">
        <v>12182</v>
      </c>
      <c r="DQ9" t="s">
        <v>12404</v>
      </c>
      <c r="DV9" t="s">
        <v>4139</v>
      </c>
      <c r="EA9" t="s">
        <v>11689</v>
      </c>
      <c r="EF9" t="s">
        <v>469</v>
      </c>
      <c r="EK9" t="s">
        <v>10732</v>
      </c>
      <c r="EP9" t="s">
        <v>12287</v>
      </c>
      <c r="FO9" t="s">
        <v>10748</v>
      </c>
      <c r="FT9" t="s">
        <v>10805</v>
      </c>
      <c r="HC9" t="s">
        <v>10974</v>
      </c>
      <c r="HW9" t="s">
        <v>11575</v>
      </c>
      <c r="JA9" t="s">
        <v>1654</v>
      </c>
      <c r="JF9" t="s">
        <v>10663</v>
      </c>
      <c r="JK9" t="s">
        <v>6724</v>
      </c>
      <c r="JP9" t="s">
        <v>11366</v>
      </c>
      <c r="JU9" t="s">
        <v>10852</v>
      </c>
      <c r="JZ9" t="s">
        <v>10918</v>
      </c>
      <c r="KY9" t="s">
        <v>12275</v>
      </c>
      <c r="MW9" t="s">
        <v>572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6102</v>
      </c>
      <c r="K1" s="1" t="s">
        <v>6103</v>
      </c>
      <c r="U1" s="1" t="s">
        <v>6104</v>
      </c>
      <c r="AE1" s="1" t="s">
        <v>6105</v>
      </c>
      <c r="AO1" s="1" t="s">
        <v>6106</v>
      </c>
      <c r="AY1" s="1" t="s">
        <v>6107</v>
      </c>
      <c r="BI1" s="1" t="s">
        <v>6108</v>
      </c>
      <c r="BS1" s="1" t="s">
        <v>6109</v>
      </c>
      <c r="CC1" s="1" t="s">
        <v>6110</v>
      </c>
      <c r="CM1" s="1" t="s">
        <v>6111</v>
      </c>
      <c r="CW1" s="1" t="s">
        <v>6112</v>
      </c>
      <c r="DG1" s="1" t="s">
        <v>6113</v>
      </c>
      <c r="DQ1" s="1" t="s">
        <v>6114</v>
      </c>
      <c r="EA1" s="1" t="s">
        <v>6115</v>
      </c>
      <c r="EK1" s="1" t="s">
        <v>6116</v>
      </c>
      <c r="EU1" s="1" t="s">
        <v>6117</v>
      </c>
      <c r="FE1" s="1" t="s">
        <v>6118</v>
      </c>
      <c r="FO1" s="1" t="s">
        <v>6119</v>
      </c>
      <c r="FY1" s="1" t="s">
        <v>6120</v>
      </c>
      <c r="GI1" s="1" t="s">
        <v>6121</v>
      </c>
      <c r="GS1" s="1" t="s">
        <v>6122</v>
      </c>
      <c r="HC1" s="1" t="s">
        <v>6123</v>
      </c>
      <c r="HM1" s="1" t="s">
        <v>6124</v>
      </c>
      <c r="HW1" s="1" t="s">
        <v>6125</v>
      </c>
      <c r="IG1" s="1" t="s">
        <v>6126</v>
      </c>
      <c r="IQ1" s="1" t="s">
        <v>6127</v>
      </c>
      <c r="JA1" s="1" t="s">
        <v>6128</v>
      </c>
      <c r="JK1" s="1" t="s">
        <v>6129</v>
      </c>
      <c r="JU1" s="1" t="s">
        <v>6130</v>
      </c>
      <c r="KE1" s="1" t="s">
        <v>6131</v>
      </c>
      <c r="KO1" s="1" t="s">
        <v>6132</v>
      </c>
      <c r="KY1" s="1" t="s">
        <v>6133</v>
      </c>
      <c r="LI1" s="1" t="s">
        <v>6134</v>
      </c>
      <c r="LS1" s="1" t="s">
        <v>6135</v>
      </c>
      <c r="MC1" s="1" t="s">
        <v>6136</v>
      </c>
      <c r="MM1" s="1" t="s">
        <v>6137</v>
      </c>
      <c r="MW1" s="1" t="s">
        <v>6138</v>
      </c>
      <c r="NG1" s="1" t="s">
        <v>6139</v>
      </c>
      <c r="NQ1" s="1" t="s">
        <v>6140</v>
      </c>
      <c r="OA1" s="1" t="s">
        <v>6141</v>
      </c>
    </row>
    <row r="2" spans="1:396" x14ac:dyDescent="0.25">
      <c r="A2" s="2" t="s">
        <v>6142</v>
      </c>
      <c r="K2" s="2" t="s">
        <v>2037</v>
      </c>
      <c r="U2" s="2" t="s">
        <v>6143</v>
      </c>
      <c r="AE2" s="2" t="s">
        <v>3951</v>
      </c>
      <c r="AO2" s="2" t="s">
        <v>6144</v>
      </c>
      <c r="AY2" s="2" t="s">
        <v>3242</v>
      </c>
      <c r="BI2" s="2" t="s">
        <v>6145</v>
      </c>
      <c r="BS2" s="2" t="s">
        <v>6146</v>
      </c>
      <c r="CC2" s="2" t="s">
        <v>1272</v>
      </c>
      <c r="CM2" s="2" t="s">
        <v>4395</v>
      </c>
      <c r="CW2" s="2" t="s">
        <v>6147</v>
      </c>
      <c r="DG2" s="2" t="s">
        <v>3530</v>
      </c>
      <c r="DQ2" s="2" t="s">
        <v>4486</v>
      </c>
      <c r="EA2" s="2" t="s">
        <v>6148</v>
      </c>
      <c r="EK2" s="2" t="s">
        <v>6149</v>
      </c>
      <c r="EU2" s="2" t="s">
        <v>2295</v>
      </c>
      <c r="FE2" s="2" t="s">
        <v>1272</v>
      </c>
      <c r="FO2" s="2" t="s">
        <v>6150</v>
      </c>
      <c r="FY2" s="2" t="s">
        <v>64</v>
      </c>
      <c r="GI2" s="2" t="s">
        <v>880</v>
      </c>
      <c r="GS2" s="2" t="s">
        <v>2779</v>
      </c>
      <c r="HC2" s="2" t="s">
        <v>6151</v>
      </c>
      <c r="HM2" s="2" t="s">
        <v>1164</v>
      </c>
      <c r="HW2" s="2" t="s">
        <v>6152</v>
      </c>
      <c r="IG2" s="2" t="s">
        <v>4908</v>
      </c>
      <c r="IQ2" s="2" t="s">
        <v>6153</v>
      </c>
      <c r="JA2" s="2" t="s">
        <v>6154</v>
      </c>
      <c r="JK2" s="2" t="s">
        <v>6155</v>
      </c>
      <c r="JU2" s="2" t="s">
        <v>64</v>
      </c>
      <c r="KE2" s="2" t="s">
        <v>3332</v>
      </c>
      <c r="KO2" s="2" t="s">
        <v>6156</v>
      </c>
      <c r="KY2" s="2" t="s">
        <v>6157</v>
      </c>
      <c r="LI2" s="2" t="s">
        <v>6158</v>
      </c>
      <c r="LS2" s="2" t="s">
        <v>2124</v>
      </c>
      <c r="MC2" s="2" t="s">
        <v>6159</v>
      </c>
      <c r="MM2" s="2" t="s">
        <v>376</v>
      </c>
      <c r="MW2" s="2" t="s">
        <v>6160</v>
      </c>
      <c r="NG2" s="2" t="s">
        <v>6161</v>
      </c>
      <c r="NQ2" s="2" t="s">
        <v>6162</v>
      </c>
      <c r="OA2" s="2" t="s">
        <v>6163</v>
      </c>
    </row>
    <row r="3" spans="1:396" x14ac:dyDescent="0.25">
      <c r="A3" t="s">
        <v>2338</v>
      </c>
      <c r="K3" t="s">
        <v>730</v>
      </c>
      <c r="U3" t="s">
        <v>5778</v>
      </c>
      <c r="AE3" t="s">
        <v>6164</v>
      </c>
      <c r="AO3" t="s">
        <v>6165</v>
      </c>
      <c r="AY3" t="s">
        <v>3819</v>
      </c>
      <c r="BI3" t="s">
        <v>6166</v>
      </c>
      <c r="BS3" t="s">
        <v>6167</v>
      </c>
      <c r="CC3" t="s">
        <v>2544</v>
      </c>
      <c r="CM3" t="s">
        <v>6168</v>
      </c>
      <c r="CW3" t="s">
        <v>5533</v>
      </c>
      <c r="DG3" t="s">
        <v>6169</v>
      </c>
      <c r="DQ3" t="s">
        <v>6170</v>
      </c>
      <c r="EA3" t="s">
        <v>4589</v>
      </c>
      <c r="EK3" t="s">
        <v>1014</v>
      </c>
      <c r="EU3" t="s">
        <v>6171</v>
      </c>
      <c r="FE3" t="s">
        <v>6172</v>
      </c>
      <c r="FO3" t="s">
        <v>6173</v>
      </c>
      <c r="FY3" t="s">
        <v>6174</v>
      </c>
      <c r="GI3" t="s">
        <v>6175</v>
      </c>
      <c r="GS3" t="s">
        <v>402</v>
      </c>
      <c r="HC3" t="s">
        <v>3821</v>
      </c>
      <c r="HM3" t="s">
        <v>3088</v>
      </c>
      <c r="HW3" t="s">
        <v>1953</v>
      </c>
      <c r="IG3" t="s">
        <v>6176</v>
      </c>
      <c r="IQ3" t="s">
        <v>3564</v>
      </c>
      <c r="JA3" t="s">
        <v>6177</v>
      </c>
      <c r="JK3" t="s">
        <v>6178</v>
      </c>
      <c r="JU3" t="s">
        <v>6179</v>
      </c>
      <c r="KE3" t="s">
        <v>6180</v>
      </c>
      <c r="KO3" t="s">
        <v>1669</v>
      </c>
      <c r="KY3" t="s">
        <v>6181</v>
      </c>
      <c r="LI3" t="s">
        <v>6182</v>
      </c>
      <c r="LS3" t="s">
        <v>6183</v>
      </c>
      <c r="MC3" t="s">
        <v>2808</v>
      </c>
      <c r="MM3" t="s">
        <v>5431</v>
      </c>
      <c r="MW3" t="s">
        <v>1279</v>
      </c>
      <c r="NG3" t="s">
        <v>6184</v>
      </c>
      <c r="NQ3" t="s">
        <v>6185</v>
      </c>
      <c r="OA3" t="s">
        <v>6186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_xll.BDS("GFR US Equity","SUPPLY_CHAIN_SUPPLIERS","RELATIONSHIP_AS_OF_DATE","20060501","cols=1;rows=3")</f>
        <v>1817971D CN Equity</v>
      </c>
      <c r="F5" t="str">
        <f>_xll.BDS("GFR US Equity","SUPPLY_CHAIN_CUSTOMERS","RELATIONSHIP_AS_OF_DATE","20060501","cols=1;rows=2")</f>
        <v>1188058D SP Equity</v>
      </c>
      <c r="K5" t="str">
        <f>_xll.BDS("SPXC US Equity","SUPPLY_CHAIN_SUPPLIERS","RELATIONSHIP_AS_OF_DATE","20180423","cols=1;rows=5")</f>
        <v>CRS US Equity</v>
      </c>
      <c r="P5" t="str">
        <f>_xll.BDS("SPXC US Equity","SUPPLY_CHAIN_CUSTOMERS","RELATIONSHIP_AS_OF_DATE","20180423","cols=1;rows=5")</f>
        <v>002564 CH Equity</v>
      </c>
      <c r="U5" t="str">
        <f>_xll.BDS("QNTSQ US Equity","SUPPLY_CHAIN_SUPPLIERS","RELATIONSHIP_AS_OF_DATE","20000228")</f>
        <v>#N/A N/A</v>
      </c>
      <c r="Z5" t="str">
        <f>_xll.BDS("QNTSQ US Equity","SUPPLY_CHAIN_CUSTOMERS","RELATIONSHIP_AS_OF_DATE","20000228")</f>
        <v>#N/A N/A</v>
      </c>
      <c r="AE5" t="str">
        <f>_xll.BDS("GEO US Equity","SUPPLY_CHAIN_SUPPLIERS","RELATIONSHIP_AS_OF_DATE","20050714")</f>
        <v>VSEE US Equity</v>
      </c>
      <c r="AJ5" t="str">
        <f>_xll.BDS("GEO US Equity","SUPPLY_CHAIN_CUSTOMERS","RELATIONSHIP_AS_OF_DATE","20050714","cols=1;rows=5")</f>
        <v>3352Z US Equity</v>
      </c>
      <c r="AO5" t="str">
        <f>_xll.BDS("BCSI US Equity","SUPPLY_CHAIN_SUPPLIERS","RELATIONSHIP_AS_OF_DATE","20080421")</f>
        <v>#N/A N/A</v>
      </c>
      <c r="AT5" t="str">
        <f>_xll.BDS("BCSI US Equity","SUPPLY_CHAIN_CUSTOMERS","RELATIONSHIP_AS_OF_DATE","20080421")</f>
        <v>#N/A N/A</v>
      </c>
      <c r="AY5" t="str">
        <f>_xll.BDS("OMX US Equity","SUPPLY_CHAIN_SUPPLIERS","RELATIONSHIP_AS_OF_DATE","19991201")</f>
        <v>BRX US Equity</v>
      </c>
      <c r="BD5" t="str">
        <f>_xll.BDS("OMX US Equity","SUPPLY_CHAIN_CUSTOMERS","RELATIONSHIP_AS_OF_DATE","19991201")</f>
        <v>#N/A N/A</v>
      </c>
      <c r="BI5" t="str">
        <f>_xll.BDS("RDNT US Equity","SUPPLY_CHAIN_SUPPLIERS","RELATIONSHIP_AS_OF_DATE","20060707","cols=1;rows=5")</f>
        <v>0055802D US Equity</v>
      </c>
      <c r="BN5" t="str">
        <f>_xll.BDS("RDNT US Equity","SUPPLY_CHAIN_CUSTOMERS","RELATIONSHIP_AS_OF_DATE","20060707","cols=1;rows=2")</f>
        <v>9877893Z US Equity</v>
      </c>
      <c r="BS5" t="str">
        <f>_xll.BDS("GPUI US Equity","SUPPLY_CHAIN_SUPPLIERS","RELATIONSHIP_AS_OF_DATE","19991222")</f>
        <v>#N/A N/A</v>
      </c>
      <c r="BX5" t="str">
        <f>_xll.BDS("GPUI US Equity","SUPPLY_CHAIN_CUSTOMERS","RELATIONSHIP_AS_OF_DATE","19991222")</f>
        <v>#N/A N/A</v>
      </c>
      <c r="CC5" t="str">
        <f>_xll.BDS("FITB US Equity","SUPPLY_CHAIN_SUPPLIERS","RELATIONSHIP_AS_OF_DATE","19990301","cols=1;rows=5")</f>
        <v>004800 KS Equity</v>
      </c>
      <c r="CH5" t="str">
        <f>_xll.BDS("FITB US Equity","SUPPLY_CHAIN_CUSTOMERS","RELATIONSHIP_AS_OF_DATE","19990301")</f>
        <v>USIO US Equity</v>
      </c>
      <c r="CM5" t="str">
        <f>_xll.BDS("WSBC US Equity","SUPPLY_CHAIN_SUPPLIERS","RELATIONSHIP_AS_OF_DATE","20070720")</f>
        <v>#N/A N/A</v>
      </c>
      <c r="CR5" t="str">
        <f>_xll.BDS("WSBC US Equity","SUPPLY_CHAIN_CUSTOMERS","RELATIONSHIP_AS_OF_DATE","20070720","cols=1;rows=2")</f>
        <v>NINE CN Equity</v>
      </c>
      <c r="CW5" t="str">
        <f>_xll.BDS("EGL US Equity","SUPPLY_CHAIN_SUPPLIERS","RELATIONSHIP_AS_OF_DATE","20131223")</f>
        <v>#N/A N/A</v>
      </c>
      <c r="DB5" t="str">
        <f>_xll.BDS("EGL US Equity","SUPPLY_CHAIN_CUSTOMERS","RELATIONSHIP_AS_OF_DATE","20131223")</f>
        <v>#N/A N/A</v>
      </c>
      <c r="DG5" t="str">
        <f>_xll.BDS("CVBF US Equity","SUPPLY_CHAIN_SUPPLIERS","RELATIONSHIP_AS_OF_DATE","20210727")</f>
        <v>#N/A N/A</v>
      </c>
      <c r="DL5" t="str">
        <f>_xll.BDS("CVBF US Equity","SUPPLY_CHAIN_CUSTOMERS","RELATIONSHIP_AS_OF_DATE","20210727")</f>
        <v>#N/A N/A</v>
      </c>
      <c r="DQ5" t="str">
        <f>_xll.BDS("OCFC US Equity","SUPPLY_CHAIN_SUPPLIERS","RELATIONSHIP_AS_OF_DATE","20160105")</f>
        <v>#N/A N/A</v>
      </c>
      <c r="DV5" t="str">
        <f>_xll.BDS("OCFC US Equity","SUPPLY_CHAIN_CUSTOMERS","RELATIONSHIP_AS_OF_DATE","20160105")</f>
        <v>#N/A N/A</v>
      </c>
      <c r="EA5" t="str">
        <f>_xll.BDS("CMVT US Equity","SUPPLY_CHAIN_SUPPLIERS","RELATIONSHIP_AS_OF_DATE","20000306")</f>
        <v>#N/A N/A</v>
      </c>
      <c r="EF5" t="str">
        <f>_xll.BDS("CMVT US Equity","SUPPLY_CHAIN_CUSTOMERS","RELATIONSHIP_AS_OF_DATE","20000306")</f>
        <v>#N/A N/A</v>
      </c>
      <c r="EK5" t="str">
        <f>_xll.BDS("1718309D US Equity","SUPPLY_CHAIN_SUPPLIERS","RELATIONSHIP_AS_OF_DATE","19980316")</f>
        <v>#N/A N/A</v>
      </c>
      <c r="EP5" t="str">
        <f>_xll.BDS("1718309D US Equity","SUPPLY_CHAIN_CUSTOMERS","RELATIONSHIP_AS_OF_DATE","19980316")</f>
        <v>#N/A N/A</v>
      </c>
      <c r="EU5" t="str">
        <f>_xll.BDS("PNFP US Equity","SUPPLY_CHAIN_SUPPLIERS","RELATIONSHIP_AS_OF_DATE","20160128")</f>
        <v>VYX US Equity</v>
      </c>
      <c r="EZ5" t="str">
        <f>_xll.BDS("PNFP US Equity","SUPPLY_CHAIN_CUSTOMERS","RELATIONSHIP_AS_OF_DATE","20160128")</f>
        <v>#N/A N/A</v>
      </c>
      <c r="FE5" t="str">
        <f>_xll.BDS("FITB US Equity","SUPPLY_CHAIN_SUPPLIERS","RELATIONSHIP_AS_OF_DATE","19990712","cols=1;rows=5")</f>
        <v>004800 KS Equity</v>
      </c>
      <c r="FJ5" t="str">
        <f>_xll.BDS("FITB US Equity","SUPPLY_CHAIN_CUSTOMERS","RELATIONSHIP_AS_OF_DATE","19990712")</f>
        <v>USIO US Equity</v>
      </c>
      <c r="FO5" t="str">
        <f>_xll.BDS("ECPG US Equity","SUPPLY_CHAIN_SUPPLIERS","RELATIONSHIP_AS_OF_DATE","20130306","cols=1;rows=2")</f>
        <v>IREIT SP Equity</v>
      </c>
      <c r="FT5" t="str">
        <f>_xll.BDS("ECPG US Equity","SUPPLY_CHAIN_CUSTOMERS","RELATIONSHIP_AS_OF_DATE","20130306")</f>
        <v>#N/A N/A</v>
      </c>
      <c r="FY5" t="str">
        <f>_xll.BDS("nan Equity","SUPPLY_CHAIN_SUPPLIERS","RELATIONSHIP_AS_OF_DATE","20000607")</f>
        <v>#N/A N/A</v>
      </c>
      <c r="GD5" t="str">
        <f>_xll.BDS("nan Equity","SUPPLY_CHAIN_CUSTOMERS","RELATIONSHIP_AS_OF_DATE","20000607")</f>
        <v>#N/A N/A</v>
      </c>
      <c r="GI5" t="str">
        <f>_xll.BDS("2860436Q US Equity","SUPPLY_CHAIN_SUPPLIERS","RELATIONSHIP_AS_OF_DATE","20010529")</f>
        <v>#N/A N/A</v>
      </c>
      <c r="GN5" t="str">
        <f>_xll.BDS("2860436Q US Equity","SUPPLY_CHAIN_CUSTOMERS","RELATIONSHIP_AS_OF_DATE","20010529")</f>
        <v>#N/A N/A</v>
      </c>
      <c r="GS5" t="str">
        <f>_xll.BDS("YELLQ US Equity","SUPPLY_CHAIN_SUPPLIERS","RELATIONSHIP_AS_OF_DATE","19990607","cols=1;rows=5")</f>
        <v>ML FP Equity</v>
      </c>
      <c r="GX5" t="str">
        <f>_xll.BDS("YELLQ US Equity","SUPPLY_CHAIN_CUSTOMERS","RELATIONSHIP_AS_OF_DATE","19990607","cols=1;rows=5")</f>
        <v>0219682Z US Equity</v>
      </c>
      <c r="HC5" t="str">
        <f>_xll.BDS("FLTWQ US Equity","SUPPLY_CHAIN_SUPPLIERS","RELATIONSHIP_AS_OF_DATE","19980217")</f>
        <v>#N/A N/A</v>
      </c>
      <c r="HH5" t="str">
        <f>_xll.BDS("FLTWQ US Equity","SUPPLY_CHAIN_CUSTOMERS","RELATIONSHIP_AS_OF_DATE","19980217")</f>
        <v>#N/A N/A</v>
      </c>
      <c r="HM5" t="str">
        <f>_xll.BDS("GE US Equity","SUPPLY_CHAIN_SUPPLIERS","RELATIONSHIP_AS_OF_DATE","20010924","cols=1;rows=5")</f>
        <v>SAF FP Equity</v>
      </c>
      <c r="HR5" t="str">
        <f>_xll.BDS("GE US Equity","SUPPLY_CHAIN_CUSTOMERS","RELATIONSHIP_AS_OF_DATE","20010924","cols=1;rows=5")</f>
        <v>3352Z US Equity</v>
      </c>
      <c r="HW5" t="str">
        <f>_xll.BDS("EXAR US Equity","SUPPLY_CHAIN_SUPPLIERS","RELATIONSHIP_AS_OF_DATE","20070508")</f>
        <v>#N/A N/A</v>
      </c>
      <c r="IB5" t="str">
        <f>_xll.BDS("EXAR US Equity","SUPPLY_CHAIN_CUSTOMERS","RELATIONSHIP_AS_OF_DATE","20070508")</f>
        <v>#N/A N/A</v>
      </c>
      <c r="IG5" t="str">
        <f>_xll.BDS("CMTL US Equity","SUPPLY_CHAIN_SUPPLIERS","RELATIONSHIP_AS_OF_DATE","20080512","cols=1;rows=5")</f>
        <v>FEIM US Equity</v>
      </c>
      <c r="IL5" t="str">
        <f>_xll.BDS("CMTL US Equity","SUPPLY_CHAIN_CUSTOMERS","RELATIONSHIP_AS_OF_DATE","20080512","cols=1;rows=5")</f>
        <v>3352Z US Equity</v>
      </c>
      <c r="IQ5" t="str">
        <f>_xll.BDS("510639Q US Equity","SUPPLY_CHAIN_SUPPLIERS","RELATIONSHIP_AS_OF_DATE","19991103")</f>
        <v>#N/A N/A</v>
      </c>
      <c r="IV5" t="str">
        <f>_xll.BDS("510639Q US Equity","SUPPLY_CHAIN_CUSTOMERS","RELATIONSHIP_AS_OF_DATE","19991103")</f>
        <v>#N/A N/A</v>
      </c>
      <c r="JA5" t="str">
        <f>_xll.BDS("ORA US Equity","SUPPLY_CHAIN_SUPPLIERS","RELATIONSHIP_AS_OF_DATE","20180124","cols=1;rows=4")</f>
        <v>SLB US Equity</v>
      </c>
      <c r="JF5" t="str">
        <f>_xll.BDS("ORA US Equity","SUPPLY_CHAIN_CUSTOMERS","RELATIONSHIP_AS_OF_DATE","20180124","cols=1;rows=5")</f>
        <v>854171Z US Equity</v>
      </c>
      <c r="JK5" t="str">
        <f>_xll.BDS("SHLM US Equity","SUPPLY_CHAIN_SUPPLIERS","RELATIONSHIP_AS_OF_DATE","20091203")</f>
        <v>FE US Equity</v>
      </c>
      <c r="JP5" t="str">
        <f>_xll.BDS("SHLM US Equity","SUPPLY_CHAIN_CUSTOMERS","RELATIONSHIP_AS_OF_DATE","20091203")</f>
        <v>#N/A N/A</v>
      </c>
      <c r="JU5" t="str">
        <f>_xll.BDS("nan Equity","SUPPLY_CHAIN_SUPPLIERS","RELATIONSHIP_AS_OF_DATE","20130912")</f>
        <v>#N/A N/A</v>
      </c>
      <c r="JZ5" t="str">
        <f>_xll.BDS("nan Equity","SUPPLY_CHAIN_CUSTOMERS","RELATIONSHIP_AS_OF_DATE","20130912")</f>
        <v>#N/A N/A</v>
      </c>
      <c r="KE5" t="str">
        <f>_xll.BDS("1746513D US Equity","SUPPLY_CHAIN_SUPPLIERS","RELATIONSHIP_AS_OF_DATE","20000609")</f>
        <v>#N/A N/A</v>
      </c>
      <c r="KJ5" t="str">
        <f>_xll.BDS("1746513D US Equity","SUPPLY_CHAIN_CUSTOMERS","RELATIONSHIP_AS_OF_DATE","20000609")</f>
        <v>#N/A N/A</v>
      </c>
      <c r="KO5" t="str">
        <f>_xll.BDS("PONE US Equity","SUPPLY_CHAIN_SUPPLIERS","RELATIONSHIP_AS_OF_DATE","20061220")</f>
        <v>#N/A N/A</v>
      </c>
      <c r="KT5" t="str">
        <f>_xll.BDS("PONE US Equity","SUPPLY_CHAIN_CUSTOMERS","RELATIONSHIP_AS_OF_DATE","20061220")</f>
        <v>#N/A N/A</v>
      </c>
      <c r="KY5" t="str">
        <f>_xll.BDS("THG US Equity","SUPPLY_CHAIN_SUPPLIERS","RELATIONSHIP_AS_OF_DATE","19981027")</f>
        <v>#N/A N/A</v>
      </c>
      <c r="LD5" t="str">
        <f>_xll.BDS("THG US Equity","SUPPLY_CHAIN_CUSTOMERS","RELATIONSHIP_AS_OF_DATE","19981027")</f>
        <v>#N/A N/A</v>
      </c>
      <c r="LI5" t="str">
        <f>_xll.BDS("SFAM US Equity","SUPPLY_CHAIN_SUPPLIERS","RELATIONSHIP_AS_OF_DATE","19981119")</f>
        <v>#N/A N/A</v>
      </c>
      <c r="LN5" t="str">
        <f>_xll.BDS("SFAM US Equity","SUPPLY_CHAIN_CUSTOMERS","RELATIONSHIP_AS_OF_DATE","19981119")</f>
        <v>#N/A N/A</v>
      </c>
      <c r="LS5" t="str">
        <f>_xll.BDS("PACW US Equity","SUPPLY_CHAIN_SUPPLIERS","RELATIONSHIP_AS_OF_DATE","20120508")</f>
        <v>#N/A N/A</v>
      </c>
      <c r="LX5" t="str">
        <f>_xll.BDS("PACW US Equity","SUPPLY_CHAIN_CUSTOMERS","RELATIONSHIP_AS_OF_DATE","20120508")</f>
        <v>SNX US Equity</v>
      </c>
      <c r="MC5" t="str">
        <f>_xll.BDS("AXAS US Equity","SUPPLY_CHAIN_SUPPLIERS","RELATIONSHIP_AS_OF_DATE","20090618")</f>
        <v>#N/A N/A</v>
      </c>
      <c r="MH5" t="str">
        <f>_xll.BDS("AXAS US Equity","SUPPLY_CHAIN_CUSTOMERS","RELATIONSHIP_AS_OF_DATE","20090618")</f>
        <v>#N/A N/A</v>
      </c>
      <c r="MM5" t="str">
        <f>_xll.BDS("1996074D US Equity","SUPPLY_CHAIN_SUPPLIERS","RELATIONSHIP_AS_OF_DATE","19991015")</f>
        <v>#N/A N/A</v>
      </c>
      <c r="MR5" t="str">
        <f>_xll.BDS("1996074D US Equity","SUPPLY_CHAIN_CUSTOMERS","RELATIONSHIP_AS_OF_DATE","19991015")</f>
        <v>#N/A N/A</v>
      </c>
      <c r="MW5" t="str">
        <f>_xll.BDS("WSTL US Equity","SUPPLY_CHAIN_SUPPLIERS","RELATIONSHIP_AS_OF_DATE","19991213","cols=1;rows=3")</f>
        <v>AQN CN Equity</v>
      </c>
      <c r="NB5" t="str">
        <f>_xll.BDS("WSTL US Equity","SUPPLY_CHAIN_CUSTOMERS","RELATIONSHIP_AS_OF_DATE","19991213","cols=1;rows=2")</f>
        <v>TESS US Equity</v>
      </c>
      <c r="NG5" t="str">
        <f>_xll.BDS("HTH US Equity","SUPPLY_CHAIN_SUPPLIERS","RELATIONSHIP_AS_OF_DATE","20140110")</f>
        <v>QMCI US Equity</v>
      </c>
      <c r="NL5" t="str">
        <f>_xll.BDS("HTH US Equity","SUPPLY_CHAIN_CUSTOMERS","RELATIONSHIP_AS_OF_DATE","20140110")</f>
        <v>0630640D US Equity</v>
      </c>
      <c r="NQ5" t="str">
        <f>_xll.BDS("FLWS US Equity","SUPPLY_CHAIN_SUPPLIERS","RELATIONSHIP_AS_OF_DATE","20140902","cols=1;rows=5")</f>
        <v>FDX US Equity</v>
      </c>
      <c r="NV5" t="str">
        <f>_xll.BDS("FLWS US Equity","SUPPLY_CHAIN_CUSTOMERS","RELATIONSHIP_AS_OF_DATE","20140902","cols=1;rows=2")</f>
        <v>BBBYQ US Equity</v>
      </c>
      <c r="OA5" t="str">
        <f>_xll.BDS("CLRN US Equity","SUPPLY_CHAIN_SUPPLIERS","RELATIONSHIP_AS_OF_DATE","20000502")</f>
        <v>#N/A N/A</v>
      </c>
      <c r="OF5" t="str">
        <f>_xll.BDS("CLRN US Equity","SUPPLY_CHAIN_CUSTOMERS","RELATIONSHIP_AS_OF_DATE","20000502")</f>
        <v>#N/A N/A</v>
      </c>
    </row>
    <row r="6" spans="1:396" x14ac:dyDescent="0.25">
      <c r="A6" t="s">
        <v>11654</v>
      </c>
      <c r="F6" t="s">
        <v>11600</v>
      </c>
      <c r="K6" t="s">
        <v>10986</v>
      </c>
      <c r="P6" t="s">
        <v>10960</v>
      </c>
      <c r="AJ6" t="s">
        <v>10801</v>
      </c>
      <c r="BI6" t="s">
        <v>12288</v>
      </c>
      <c r="BN6" t="s">
        <v>12283</v>
      </c>
      <c r="CC6" t="s">
        <v>4388</v>
      </c>
      <c r="CR6" t="s">
        <v>11320</v>
      </c>
      <c r="FE6" t="s">
        <v>4388</v>
      </c>
      <c r="FO6" t="s">
        <v>11921</v>
      </c>
      <c r="GS6" t="s">
        <v>12647</v>
      </c>
      <c r="GX6" t="s">
        <v>10657</v>
      </c>
      <c r="HM6" t="s">
        <v>11008</v>
      </c>
      <c r="HR6" t="s">
        <v>1363</v>
      </c>
      <c r="IG6" t="s">
        <v>11965</v>
      </c>
      <c r="IL6" t="s">
        <v>49</v>
      </c>
      <c r="JA6" t="s">
        <v>11834</v>
      </c>
      <c r="JF6" t="s">
        <v>10715</v>
      </c>
      <c r="MW6" t="s">
        <v>872</v>
      </c>
      <c r="NB6" t="s">
        <v>1366</v>
      </c>
      <c r="NQ6" t="s">
        <v>10696</v>
      </c>
      <c r="NV6" t="s">
        <v>12333</v>
      </c>
    </row>
    <row r="7" spans="1:396" x14ac:dyDescent="0.25">
      <c r="A7" t="s">
        <v>11655</v>
      </c>
      <c r="K7" t="s">
        <v>10959</v>
      </c>
      <c r="P7" t="s">
        <v>10961</v>
      </c>
      <c r="AJ7" t="s">
        <v>11589</v>
      </c>
      <c r="BI7" t="s">
        <v>7288</v>
      </c>
      <c r="CC7" t="s">
        <v>11522</v>
      </c>
      <c r="FE7" t="s">
        <v>11522</v>
      </c>
      <c r="GS7" t="s">
        <v>12648</v>
      </c>
      <c r="GX7" t="s">
        <v>469</v>
      </c>
      <c r="HM7" t="s">
        <v>11009</v>
      </c>
      <c r="HR7" t="s">
        <v>10939</v>
      </c>
      <c r="IG7" t="s">
        <v>11966</v>
      </c>
      <c r="IL7" t="s">
        <v>41</v>
      </c>
      <c r="JA7" t="s">
        <v>11835</v>
      </c>
      <c r="JF7" t="s">
        <v>11800</v>
      </c>
      <c r="MW7" t="s">
        <v>480</v>
      </c>
      <c r="NQ7" t="s">
        <v>158</v>
      </c>
    </row>
    <row r="8" spans="1:396" x14ac:dyDescent="0.25">
      <c r="K8" t="s">
        <v>10987</v>
      </c>
      <c r="P8" t="s">
        <v>10933</v>
      </c>
      <c r="AJ8" t="s">
        <v>11590</v>
      </c>
      <c r="BI8" t="s">
        <v>10713</v>
      </c>
      <c r="CC8" t="s">
        <v>11523</v>
      </c>
      <c r="FE8" t="s">
        <v>11523</v>
      </c>
      <c r="GS8" t="s">
        <v>790</v>
      </c>
      <c r="GX8" t="s">
        <v>4045</v>
      </c>
      <c r="HM8" t="s">
        <v>11010</v>
      </c>
      <c r="HR8" t="s">
        <v>1652</v>
      </c>
      <c r="IG8" t="s">
        <v>11967</v>
      </c>
      <c r="IL8" t="s">
        <v>2417</v>
      </c>
      <c r="JA8" t="s">
        <v>11836</v>
      </c>
      <c r="JF8" t="s">
        <v>158</v>
      </c>
      <c r="NQ8" t="s">
        <v>11996</v>
      </c>
    </row>
    <row r="9" spans="1:396" x14ac:dyDescent="0.25">
      <c r="K9" t="s">
        <v>10696</v>
      </c>
      <c r="P9" t="s">
        <v>10962</v>
      </c>
      <c r="AJ9" t="s">
        <v>11591</v>
      </c>
      <c r="BI9" t="s">
        <v>1074</v>
      </c>
      <c r="CC9" t="s">
        <v>8762</v>
      </c>
      <c r="FE9" t="s">
        <v>8762</v>
      </c>
      <c r="GS9" t="s">
        <v>158</v>
      </c>
      <c r="GX9" t="s">
        <v>12380</v>
      </c>
      <c r="HM9" t="s">
        <v>3625</v>
      </c>
      <c r="HR9" t="s">
        <v>1740</v>
      </c>
      <c r="IG9" t="s">
        <v>11968</v>
      </c>
      <c r="IL9" t="s">
        <v>53</v>
      </c>
      <c r="JF9" t="s">
        <v>11801</v>
      </c>
      <c r="NQ9" t="s">
        <v>12379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6187</v>
      </c>
      <c r="K1" s="1" t="s">
        <v>6188</v>
      </c>
      <c r="U1" s="1" t="s">
        <v>6189</v>
      </c>
      <c r="AE1" s="1" t="s">
        <v>6190</v>
      </c>
      <c r="AO1" s="1" t="s">
        <v>6191</v>
      </c>
      <c r="AY1" s="1" t="s">
        <v>6192</v>
      </c>
      <c r="BI1" s="1" t="s">
        <v>6193</v>
      </c>
      <c r="BS1" s="1" t="s">
        <v>6194</v>
      </c>
      <c r="CC1" s="1" t="s">
        <v>6195</v>
      </c>
      <c r="CM1" s="1" t="s">
        <v>6196</v>
      </c>
      <c r="CW1" s="1" t="s">
        <v>6197</v>
      </c>
      <c r="DG1" s="1" t="s">
        <v>6198</v>
      </c>
      <c r="DQ1" s="1" t="s">
        <v>6199</v>
      </c>
      <c r="EA1" s="1" t="s">
        <v>6200</v>
      </c>
      <c r="EK1" s="1" t="s">
        <v>6201</v>
      </c>
      <c r="EU1" s="1" t="s">
        <v>6202</v>
      </c>
      <c r="FE1" s="1" t="s">
        <v>6203</v>
      </c>
      <c r="FO1" s="1" t="s">
        <v>6204</v>
      </c>
      <c r="FY1" s="1" t="s">
        <v>6205</v>
      </c>
      <c r="GI1" s="1" t="s">
        <v>6206</v>
      </c>
      <c r="GS1" s="1" t="s">
        <v>6207</v>
      </c>
      <c r="HC1" s="1" t="s">
        <v>6208</v>
      </c>
      <c r="HM1" s="1" t="s">
        <v>6209</v>
      </c>
      <c r="HW1" s="1" t="s">
        <v>6210</v>
      </c>
      <c r="IG1" s="1" t="s">
        <v>6211</v>
      </c>
      <c r="IQ1" s="1" t="s">
        <v>6212</v>
      </c>
      <c r="JA1" s="1" t="s">
        <v>6213</v>
      </c>
      <c r="JK1" s="1" t="s">
        <v>6214</v>
      </c>
      <c r="JU1" s="1" t="s">
        <v>6215</v>
      </c>
      <c r="KE1" s="1" t="s">
        <v>6216</v>
      </c>
      <c r="KO1" s="1" t="s">
        <v>6217</v>
      </c>
      <c r="KY1" s="1" t="s">
        <v>6218</v>
      </c>
      <c r="LI1" s="1" t="s">
        <v>6219</v>
      </c>
      <c r="LS1" s="1" t="s">
        <v>6220</v>
      </c>
      <c r="MC1" s="1" t="s">
        <v>6221</v>
      </c>
      <c r="MM1" s="1" t="s">
        <v>6222</v>
      </c>
      <c r="MW1" s="1" t="s">
        <v>6223</v>
      </c>
      <c r="NG1" s="1" t="s">
        <v>6224</v>
      </c>
      <c r="NQ1" s="1" t="s">
        <v>6225</v>
      </c>
      <c r="OA1" s="1" t="s">
        <v>6226</v>
      </c>
    </row>
    <row r="2" spans="1:396" x14ac:dyDescent="0.25">
      <c r="A2" s="2" t="s">
        <v>262</v>
      </c>
      <c r="K2" s="2" t="s">
        <v>6227</v>
      </c>
      <c r="U2" s="2" t="s">
        <v>6228</v>
      </c>
      <c r="AE2" s="2" t="s">
        <v>6229</v>
      </c>
      <c r="AO2" s="2" t="s">
        <v>5842</v>
      </c>
      <c r="AY2" s="2" t="s">
        <v>6230</v>
      </c>
      <c r="BI2" s="2" t="s">
        <v>6231</v>
      </c>
      <c r="BS2" s="2" t="s">
        <v>3617</v>
      </c>
      <c r="CC2" s="2" t="s">
        <v>1940</v>
      </c>
      <c r="CM2" s="2" t="s">
        <v>6232</v>
      </c>
      <c r="CW2" s="2" t="s">
        <v>5762</v>
      </c>
      <c r="DG2" s="2" t="s">
        <v>6233</v>
      </c>
      <c r="DQ2" s="2" t="s">
        <v>1458</v>
      </c>
      <c r="EA2" s="2" t="s">
        <v>6234</v>
      </c>
      <c r="EK2" s="2" t="s">
        <v>6235</v>
      </c>
      <c r="EU2" s="2" t="s">
        <v>4819</v>
      </c>
      <c r="FE2" s="2" t="s">
        <v>6236</v>
      </c>
      <c r="FO2" s="2" t="s">
        <v>6237</v>
      </c>
      <c r="FY2" s="2" t="s">
        <v>6238</v>
      </c>
      <c r="GI2" s="2" t="s">
        <v>5847</v>
      </c>
      <c r="GS2" s="2" t="s">
        <v>6239</v>
      </c>
      <c r="HC2" s="2" t="s">
        <v>6240</v>
      </c>
      <c r="HM2" s="2" t="s">
        <v>4135</v>
      </c>
      <c r="HW2" s="2" t="s">
        <v>64</v>
      </c>
      <c r="IG2" s="2" t="s">
        <v>6241</v>
      </c>
      <c r="IQ2" s="2" t="s">
        <v>6242</v>
      </c>
      <c r="JA2" s="2" t="s">
        <v>4993</v>
      </c>
      <c r="JK2" s="2" t="s">
        <v>5673</v>
      </c>
      <c r="JU2" s="2" t="s">
        <v>59</v>
      </c>
      <c r="KE2" s="2" t="s">
        <v>6243</v>
      </c>
      <c r="KO2" s="2" t="s">
        <v>6244</v>
      </c>
      <c r="KY2" s="2" t="s">
        <v>166</v>
      </c>
      <c r="LI2" s="2" t="s">
        <v>3948</v>
      </c>
      <c r="LS2" s="2" t="s">
        <v>6245</v>
      </c>
      <c r="MC2" s="2" t="s">
        <v>6246</v>
      </c>
      <c r="MM2" s="2" t="s">
        <v>1931</v>
      </c>
      <c r="MW2" s="2" t="s">
        <v>6247</v>
      </c>
      <c r="NG2" s="2" t="s">
        <v>160</v>
      </c>
      <c r="NQ2" s="2" t="s">
        <v>1375</v>
      </c>
      <c r="OA2" s="2" t="s">
        <v>2607</v>
      </c>
    </row>
    <row r="3" spans="1:396" x14ac:dyDescent="0.25">
      <c r="A3" t="s">
        <v>6248</v>
      </c>
      <c r="K3" t="s">
        <v>6249</v>
      </c>
      <c r="U3" t="s">
        <v>6250</v>
      </c>
      <c r="AE3" t="s">
        <v>3187</v>
      </c>
      <c r="AO3" t="s">
        <v>6251</v>
      </c>
      <c r="AY3" t="s">
        <v>6252</v>
      </c>
      <c r="BI3" t="s">
        <v>6253</v>
      </c>
      <c r="BS3" t="s">
        <v>418</v>
      </c>
      <c r="CC3" t="s">
        <v>6254</v>
      </c>
      <c r="CM3" t="s">
        <v>5263</v>
      </c>
      <c r="CW3" t="s">
        <v>6255</v>
      </c>
      <c r="DG3" t="s">
        <v>200</v>
      </c>
      <c r="DQ3" t="s">
        <v>4932</v>
      </c>
      <c r="EA3" t="s">
        <v>823</v>
      </c>
      <c r="EK3" t="s">
        <v>421</v>
      </c>
      <c r="EU3" t="s">
        <v>3735</v>
      </c>
      <c r="FE3" t="s">
        <v>4163</v>
      </c>
      <c r="FO3" t="s">
        <v>6256</v>
      </c>
      <c r="FY3" t="s">
        <v>5783</v>
      </c>
      <c r="GI3" t="s">
        <v>6257</v>
      </c>
      <c r="GS3" t="s">
        <v>6258</v>
      </c>
      <c r="HC3" t="s">
        <v>4757</v>
      </c>
      <c r="HM3" t="s">
        <v>2063</v>
      </c>
      <c r="HW3" t="s">
        <v>6259</v>
      </c>
      <c r="IG3" t="s">
        <v>3541</v>
      </c>
      <c r="IQ3" t="s">
        <v>6260</v>
      </c>
      <c r="JA3" t="s">
        <v>6261</v>
      </c>
      <c r="JK3" t="s">
        <v>1771</v>
      </c>
      <c r="JU3" t="s">
        <v>1761</v>
      </c>
      <c r="KE3" t="s">
        <v>820</v>
      </c>
      <c r="KO3" t="s">
        <v>6262</v>
      </c>
      <c r="KY3" t="s">
        <v>3564</v>
      </c>
      <c r="LI3" t="s">
        <v>1960</v>
      </c>
      <c r="LS3" t="s">
        <v>6263</v>
      </c>
      <c r="MC3" t="s">
        <v>6264</v>
      </c>
      <c r="MM3" t="s">
        <v>4507</v>
      </c>
      <c r="MW3" t="s">
        <v>6265</v>
      </c>
      <c r="NG3" t="s">
        <v>5861</v>
      </c>
      <c r="NQ3" t="s">
        <v>6266</v>
      </c>
      <c r="OA3" t="s">
        <v>2133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_xll.BDS("BSX US Equity","SUPPLY_CHAIN_SUPPLIERS","RELATIONSHIP_AS_OF_DATE","20160927","cols=1;rows=5")</f>
        <v>FLEX US Equity</v>
      </c>
      <c r="F5" t="str">
        <f>_xll.BDS("BSX US Equity","SUPPLY_CHAIN_CUSTOMERS","RELATIONSHIP_AS_OF_DATE","20160927","cols=1;rows=5")</f>
        <v>000078 CH Equity</v>
      </c>
      <c r="K5" t="str">
        <f>_xll.BDS("FHB US Equity","SUPPLY_CHAIN_SUPPLIERS","RELATIONSHIP_AS_OF_DATE","19990225")</f>
        <v>NTWK US Equity</v>
      </c>
      <c r="P5" t="str">
        <f>_xll.BDS("FHB US Equity","SUPPLY_CHAIN_CUSTOMERS","RELATIONSHIP_AS_OF_DATE","19990225")</f>
        <v>#N/A N/A</v>
      </c>
      <c r="U5" t="str">
        <f>_xll.BDS("NOVL US Equity","SUPPLY_CHAIN_SUPPLIERS","RELATIONSHIP_AS_OF_DATE","20010312")</f>
        <v>#N/A N/A</v>
      </c>
      <c r="Z5" t="str">
        <f>_xll.BDS("NOVL US Equity","SUPPLY_CHAIN_CUSTOMERS","RELATIONSHIP_AS_OF_DATE","20010312")</f>
        <v>#N/A N/A</v>
      </c>
      <c r="AE5" t="str">
        <f>_xll.BDS("WFRD US Equity","SUPPLY_CHAIN_SUPPLIERS","RELATIONSHIP_AS_OF_DATE","19990521","cols=1;rows=5")</f>
        <v>TCS IN Equity</v>
      </c>
      <c r="AJ5" t="str">
        <f>_xll.BDS("WFRD US Equity","SUPPLY_CHAIN_CUSTOMERS","RELATIONSHIP_AS_OF_DATE","19990521","cols=1;rows=5")</f>
        <v>0790415D BI Equity</v>
      </c>
      <c r="AO5" t="str">
        <f>_xll.BDS("INAPQ US Equity","SUPPLY_CHAIN_SUPPLIERS","RELATIONSHIP_AS_OF_DATE","20061012","cols=1;rows=2")</f>
        <v>JNPR US Equity</v>
      </c>
      <c r="AT5" t="str">
        <f>_xll.BDS("INAPQ US Equity","SUPPLY_CHAIN_CUSTOMERS","RELATIONSHIP_AS_OF_DATE","20061012")</f>
        <v>#N/A N/A</v>
      </c>
      <c r="AY5" t="str">
        <f>_xll.BDS("KLIC US Equity","SUPPLY_CHAIN_SUPPLIERS","RELATIONSHIP_AS_OF_DATE","20001012","cols=1;rows=5")</f>
        <v>412350 KS Equity</v>
      </c>
      <c r="BD5" t="str">
        <f>_xll.BDS("KLIC US Equity","SUPPLY_CHAIN_CUSTOMERS","RELATIONSHIP_AS_OF_DATE","20001012","cols=1;rows=5")</f>
        <v>002185 CH Equity</v>
      </c>
      <c r="BI5" t="str">
        <f>_xll.BDS("HCKT US Equity","SUPPLY_CHAIN_SUPPLIERS","RELATIONSHIP_AS_OF_DATE","19990625","cols=1;rows=3")</f>
        <v>COUP US Equity</v>
      </c>
      <c r="BN5" t="str">
        <f>_xll.BDS("HCKT US Equity","SUPPLY_CHAIN_CUSTOMERS","RELATIONSHIP_AS_OF_DATE","19990625")</f>
        <v>COUP US Equity</v>
      </c>
      <c r="BS5" t="str">
        <f>_xll.BDS("540513Q US Equity","SUPPLY_CHAIN_SUPPLIERS","RELATIONSHIP_AS_OF_DATE","20040621")</f>
        <v>#N/A N/A</v>
      </c>
      <c r="BX5" t="str">
        <f>_xll.BDS("540513Q US Equity","SUPPLY_CHAIN_CUSTOMERS","RELATIONSHIP_AS_OF_DATE","20040621")</f>
        <v>#N/A N/A</v>
      </c>
      <c r="CC5" t="str">
        <f>_xll.BDS("ANDX US Equity","SUPPLY_CHAIN_SUPPLIERS","RELATIONSHIP_AS_OF_DATE","20141212")</f>
        <v>#N/A N/A</v>
      </c>
      <c r="CH5" t="str">
        <f>_xll.BDS("ANDX US Equity","SUPPLY_CHAIN_CUSTOMERS","RELATIONSHIP_AS_OF_DATE","20141212")</f>
        <v>#N/A N/A</v>
      </c>
      <c r="CM5" t="str">
        <f>_xll.BDS("JLG US Equity","SUPPLY_CHAIN_SUPPLIERS","RELATIONSHIP_AS_OF_DATE","19990511")</f>
        <v>#N/A N/A</v>
      </c>
      <c r="CR5" t="str">
        <f>_xll.BDS("JLG US Equity","SUPPLY_CHAIN_CUSTOMERS","RELATIONSHIP_AS_OF_DATE","19990511")</f>
        <v>#N/A N/A</v>
      </c>
      <c r="CW5" t="str">
        <f>_xll.BDS("PRA US Equity","SUPPLY_CHAIN_SUPPLIERS","RELATIONSHIP_AS_OF_DATE","20130924")</f>
        <v>#N/A N/A</v>
      </c>
      <c r="DB5" t="str">
        <f>_xll.BDS("PRA US Equity","SUPPLY_CHAIN_CUSTOMERS","RELATIONSHIP_AS_OF_DATE","20130924")</f>
        <v>#N/A N/A</v>
      </c>
      <c r="DG5" t="str">
        <f>_xll.BDS("9996201D US Equity","SUPPLY_CHAIN_SUPPLIERS","RELATIONSHIP_AS_OF_DATE","20160428")</f>
        <v>#N/A N/A</v>
      </c>
      <c r="DL5" t="str">
        <f>_xll.BDS("9996201D US Equity","SUPPLY_CHAIN_CUSTOMERS","RELATIONSHIP_AS_OF_DATE","20160428")</f>
        <v>#N/A N/A</v>
      </c>
      <c r="DQ5" t="str">
        <f>_xll.BDS("ASFZ US Equity","SUPPLY_CHAIN_SUPPLIERS","RELATIONSHIP_AS_OF_DATE","19991115")</f>
        <v>#N/A N/A</v>
      </c>
      <c r="DV5" t="str">
        <f>_xll.BDS("ASFZ US Equity","SUPPLY_CHAIN_CUSTOMERS","RELATIONSHIP_AS_OF_DATE","19991115")</f>
        <v>#N/A N/A</v>
      </c>
      <c r="EA5" t="str">
        <f>_xll.BDS("0758969D US Equity","SUPPLY_CHAIN_SUPPLIERS","RELATIONSHIP_AS_OF_DATE","19990923")</f>
        <v>#N/A N/A</v>
      </c>
      <c r="EF5" t="str">
        <f>_xll.BDS("0758969D US Equity","SUPPLY_CHAIN_CUSTOMERS","RELATIONSHIP_AS_OF_DATE","19990923")</f>
        <v>#N/A N/A</v>
      </c>
      <c r="EK5" t="str">
        <f>_xll.BDS("SRZ US Equity","SUPPLY_CHAIN_SUPPLIERS","RELATIONSHIP_AS_OF_DATE","19981019","cols=1;rows=3")</f>
        <v>WELL US Equity</v>
      </c>
      <c r="EP5" t="str">
        <f>_xll.BDS("SRZ US Equity","SUPPLY_CHAIN_CUSTOMERS","RELATIONSHIP_AS_OF_DATE","19981019")</f>
        <v>#N/A N/A</v>
      </c>
      <c r="EU5" t="str">
        <f>_xll.BDS("MFE US Equity","SUPPLY_CHAIN_SUPPLIERS","RELATIONSHIP_AS_OF_DATE","20020318","cols=1;rows=2")</f>
        <v>EMBASSY IN Equity</v>
      </c>
      <c r="EZ5" t="str">
        <f>_xll.BDS("MFE US Equity","SUPPLY_CHAIN_CUSTOMERS","RELATIONSHIP_AS_OF_DATE","20020318","cols=1;rows=5")</f>
        <v>2760 JP Equity</v>
      </c>
      <c r="FE5" t="str">
        <f>_xll.BDS("534689Q US Equity","SUPPLY_CHAIN_SUPPLIERS","RELATIONSHIP_AS_OF_DATE","19990816")</f>
        <v>#N/A N/A</v>
      </c>
      <c r="FJ5" t="str">
        <f>_xll.BDS("534689Q US Equity","SUPPLY_CHAIN_CUSTOMERS","RELATIONSHIP_AS_OF_DATE","19990816")</f>
        <v>#N/A N/A</v>
      </c>
      <c r="FO5" t="str">
        <f>_xll.BDS("ADSK US Equity","SUPPLY_CHAIN_SUPPLIERS","RELATIONSHIP_AS_OF_DATE","20080501","cols=1;rows=5")</f>
        <v>NVDA US Equity</v>
      </c>
      <c r="FT5" t="str">
        <f>_xll.BDS("ADSK US Equity","SUPPLY_CHAIN_CUSTOMERS","RELATIONSHIP_AS_OF_DATE","20080501","cols=1;rows=5")</f>
        <v>SNX US Equity</v>
      </c>
      <c r="FY5" t="str">
        <f>_xll.BDS("DMLP US Equity","SUPPLY_CHAIN_SUPPLIERS","RELATIONSHIP_AS_OF_DATE","20010802")</f>
        <v>#N/A N/A</v>
      </c>
      <c r="GD5" t="str">
        <f>_xll.BDS("DMLP US Equity","SUPPLY_CHAIN_CUSTOMERS","RELATIONSHIP_AS_OF_DATE","20010802","cols=1;rows=3")</f>
        <v>XOM US Equity</v>
      </c>
      <c r="GI5" t="str">
        <f>_xll.BDS("BCR US Equity","SUPPLY_CHAIN_SUPPLIERS","RELATIONSHIP_AS_OF_DATE","20100505")</f>
        <v>FE US Equity</v>
      </c>
      <c r="GN5" t="str">
        <f>_xll.BDS("BCR US Equity","SUPPLY_CHAIN_CUSTOMERS","RELATIONSHIP_AS_OF_DATE","20100505")</f>
        <v>#N/A N/A</v>
      </c>
      <c r="GS5" t="str">
        <f>_xll.BDS("CYNO US Equity","SUPPLY_CHAIN_SUPPLIERS","RELATIONSHIP_AS_OF_DATE","20130318","cols=1;rows=5")</f>
        <v>085370 KS Equity</v>
      </c>
      <c r="GX5" t="str">
        <f>_xll.BDS("CYNO US Equity","SUPPLY_CHAIN_CUSTOMERS","RELATIONSHIP_AS_OF_DATE","20130318")</f>
        <v>085370 KS Equity</v>
      </c>
      <c r="HC5" t="str">
        <f>_xll.BDS("3546Q US Equity","SUPPLY_CHAIN_SUPPLIERS","RELATIONSHIP_AS_OF_DATE","19980115")</f>
        <v>#N/A N/A</v>
      </c>
      <c r="HH5" t="str">
        <f>_xll.BDS("3546Q US Equity","SUPPLY_CHAIN_CUSTOMERS","RELATIONSHIP_AS_OF_DATE","19980115")</f>
        <v>#N/A N/A</v>
      </c>
      <c r="HM5" t="str">
        <f>_xll.BDS("ASB US Equity","SUPPLY_CHAIN_SUPPLIERS","RELATIONSHIP_AS_OF_DATE","20010910","cols=1;rows=2")</f>
        <v>NICE IT Equity</v>
      </c>
      <c r="HR5" t="str">
        <f>_xll.BDS("ASB US Equity","SUPPLY_CHAIN_CUSTOMERS","RELATIONSHIP_AS_OF_DATE","20010910")</f>
        <v>#N/A N/A</v>
      </c>
      <c r="HW5" t="str">
        <f>_xll.BDS("nan Equity","SUPPLY_CHAIN_SUPPLIERS","RELATIONSHIP_AS_OF_DATE","20050901")</f>
        <v>#N/A N/A</v>
      </c>
      <c r="IB5" t="str">
        <f>_xll.BDS("nan Equity","SUPPLY_CHAIN_CUSTOMERS","RELATIONSHIP_AS_OF_DATE","20050901")</f>
        <v>#N/A N/A</v>
      </c>
      <c r="IG5" t="str">
        <f>_xll.BDS("GON US Equity","SUPPLY_CHAIN_SUPPLIERS","RELATIONSHIP_AS_OF_DATE","19990602")</f>
        <v>#N/A N/A</v>
      </c>
      <c r="IL5" t="str">
        <f>_xll.BDS("GON US Equity","SUPPLY_CHAIN_CUSTOMERS","RELATIONSHIP_AS_OF_DATE","19990602")</f>
        <v>#N/A N/A</v>
      </c>
      <c r="IQ5" t="str">
        <f>_xll.BDS("UFCS US Equity","SUPPLY_CHAIN_SUPPLIERS","RELATIONSHIP_AS_OF_DATE","20101130")</f>
        <v>#N/A N/A</v>
      </c>
      <c r="IV5" t="str">
        <f>_xll.BDS("UFCS US Equity","SUPPLY_CHAIN_CUSTOMERS","RELATIONSHIP_AS_OF_DATE","20101130")</f>
        <v>#N/A N/A</v>
      </c>
      <c r="JA5" t="str">
        <f>_xll.BDS("ELAN US Equity","SUPPLY_CHAIN_SUPPLIERS","RELATIONSHIP_AS_OF_DATE","20190426","cols=1;rows=5")</f>
        <v>PCRX US Equity</v>
      </c>
      <c r="JF5" t="str">
        <f>_xll.BDS("ELAN US Equity","SUPPLY_CHAIN_CUSTOMERS","RELATIONSHIP_AS_OF_DATE","20190426","cols=1;rows=5")</f>
        <v>COR US Equity</v>
      </c>
      <c r="JK5" t="str">
        <f>_xll.BDS("1642488D US Equity","SUPPLY_CHAIN_SUPPLIERS","RELATIONSHIP_AS_OF_DATE","19980518")</f>
        <v>#N/A N/A</v>
      </c>
      <c r="JP5" t="str">
        <f>_xll.BDS("1642488D US Equity","SUPPLY_CHAIN_CUSTOMERS","RELATIONSHIP_AS_OF_DATE","19980518")</f>
        <v>#N/A N/A</v>
      </c>
      <c r="JU5" t="str">
        <f>_xll.BDS("653707Q US Equity","SUPPLY_CHAIN_SUPPLIERS","RELATIONSHIP_AS_OF_DATE","20000214")</f>
        <v>#N/A N/A</v>
      </c>
      <c r="JZ5" t="str">
        <f>_xll.BDS("653707Q US Equity","SUPPLY_CHAIN_CUSTOMERS","RELATIONSHIP_AS_OF_DATE","20000214")</f>
        <v>#N/A N/A</v>
      </c>
      <c r="KE5" t="str">
        <f>_xll.BDS("MIMOQ US Equity","SUPPLY_CHAIN_SUPPLIERS","RELATIONSHIP_AS_OF_DATE","20210308","cols=1;rows=5")</f>
        <v>1178718D GR Equity</v>
      </c>
      <c r="KJ5" t="str">
        <f>_xll.BDS("MIMOQ US Equity","SUPPLY_CHAIN_CUSTOMERS","RELATIONSHIP_AS_OF_DATE","20210308","cols=1;rows=5")</f>
        <v>1073718D FP Equity</v>
      </c>
      <c r="KO5" t="str">
        <f>_xll.BDS("BBT US Equity","SUPPLY_CHAIN_SUPPLIERS","RELATIONSHIP_AS_OF_DATE","20181211")</f>
        <v>#N/A N/A</v>
      </c>
      <c r="KT5" t="str">
        <f>_xll.BDS("BBT US Equity","SUPPLY_CHAIN_CUSTOMERS","RELATIONSHIP_AS_OF_DATE","20181211")</f>
        <v>#N/A N/A</v>
      </c>
      <c r="KY5" t="str">
        <f>_xll.BDS("WFC US Equity","SUPPLY_CHAIN_SUPPLIERS","RELATIONSHIP_AS_OF_DATE","19991103","cols=1;rows=5")</f>
        <v>ADBE US Equity</v>
      </c>
      <c r="LD5" t="str">
        <f>_xll.BDS("WFC US Equity","SUPPLY_CHAIN_CUSTOMERS","RELATIONSHIP_AS_OF_DATE","19991103","cols=1;rows=5")</f>
        <v>CDW US Equity</v>
      </c>
      <c r="LI5" t="str">
        <f>_xll.BDS("TYG US Equity","SUPPLY_CHAIN_SUPPLIERS","RELATIONSHIP_AS_OF_DATE","20140128")</f>
        <v>#N/A N/A</v>
      </c>
      <c r="LN5" t="str">
        <f>_xll.BDS("TYG US Equity","SUPPLY_CHAIN_CUSTOMERS","RELATIONSHIP_AS_OF_DATE","20140128")</f>
        <v>#N/A N/A</v>
      </c>
      <c r="LS5" t="str">
        <f>_xll.BDS("CAZA US Equity","SUPPLY_CHAIN_SUPPLIERS","RELATIONSHIP_AS_OF_DATE","20120612")</f>
        <v>#N/A N/A</v>
      </c>
      <c r="LX5" t="str">
        <f>_xll.BDS("CAZA US Equity","SUPPLY_CHAIN_CUSTOMERS","RELATIONSHIP_AS_OF_DATE","20120612")</f>
        <v>#N/A N/A</v>
      </c>
      <c r="MC5" t="str">
        <f>_xll.BDS("BAGL US Equity","SUPPLY_CHAIN_SUPPLIERS","RELATIONSHIP_AS_OF_DATE","20010604")</f>
        <v>ENGI FP Equity</v>
      </c>
      <c r="MH5" t="str">
        <f>_xll.BDS("BAGL US Equity","SUPPLY_CHAIN_CUSTOMERS","RELATIONSHIP_AS_OF_DATE","20010604")</f>
        <v>BGS US Equity</v>
      </c>
      <c r="MM5" t="str">
        <f>_xll.BDS("FLG US Equity","SUPPLY_CHAIN_SUPPLIERS","RELATIONSHIP_AS_OF_DATE","20000627","cols=1;rows=5")</f>
        <v>CXM US Equity</v>
      </c>
      <c r="MR5" t="str">
        <f>_xll.BDS("FLG US Equity","SUPPLY_CHAIN_CUSTOMERS","RELATIONSHIP_AS_OF_DATE","20000627")</f>
        <v>#N/A N/A</v>
      </c>
      <c r="MW5" t="str">
        <f>_xll.BDS("1477687D US Equity","SUPPLY_CHAIN_SUPPLIERS","RELATIONSHIP_AS_OF_DATE","20100224")</f>
        <v>#N/A N/A</v>
      </c>
      <c r="NB5" t="str">
        <f>_xll.BDS("1477687D US Equity","SUPPLY_CHAIN_CUSTOMERS","RELATIONSHIP_AS_OF_DATE","20100224")</f>
        <v>#N/A N/A</v>
      </c>
      <c r="NG5" t="str">
        <f>_xll.BDS("PARA US Equity","SUPPLY_CHAIN_SUPPLIERS","RELATIONSHIP_AS_OF_DATE","19990319","cols=1;rows=5")</f>
        <v>GTN US Equity</v>
      </c>
      <c r="NL5" t="str">
        <f>_xll.BDS("PARA US Equity","SUPPLY_CHAIN_CUSTOMERS","RELATIONSHIP_AS_OF_DATE","19990319","cols=1;rows=5")</f>
        <v>002293 CH Equity</v>
      </c>
      <c r="NQ5" t="str">
        <f>_xll.BDS("KEY US Equity","SUPPLY_CHAIN_SUPPLIERS","RELATIONSHIP_AS_OF_DATE","20040625","cols=1;rows=5")</f>
        <v>BILL US Equity</v>
      </c>
      <c r="NV5" t="str">
        <f>_xll.BDS("KEY US Equity","SUPPLY_CHAIN_CUSTOMERS","RELATIONSHIP_AS_OF_DATE","20040625")</f>
        <v>#N/A N/A</v>
      </c>
      <c r="OA5" t="str">
        <f>_xll.BDS("IDTI US Equity","SUPPLY_CHAIN_SUPPLIERS","RELATIONSHIP_AS_OF_DATE","20170213")</f>
        <v>#N/A N/A</v>
      </c>
      <c r="OF5" t="str">
        <f>_xll.BDS("IDTI US Equity","SUPPLY_CHAIN_CUSTOMERS","RELATIONSHIP_AS_OF_DATE","20170213")</f>
        <v>#N/A N/A</v>
      </c>
    </row>
    <row r="6" spans="1:396" x14ac:dyDescent="0.25">
      <c r="A6" t="s">
        <v>10735</v>
      </c>
      <c r="F6" t="s">
        <v>10744</v>
      </c>
      <c r="AE6" t="s">
        <v>11464</v>
      </c>
      <c r="AJ6" t="s">
        <v>11794</v>
      </c>
      <c r="AO6" t="s">
        <v>11614</v>
      </c>
      <c r="AY6" t="s">
        <v>12292</v>
      </c>
      <c r="BD6" t="s">
        <v>12291</v>
      </c>
      <c r="BI6" t="s">
        <v>171</v>
      </c>
      <c r="EK6" t="s">
        <v>3427</v>
      </c>
      <c r="EU6" t="s">
        <v>11452</v>
      </c>
      <c r="EZ6" t="s">
        <v>11107</v>
      </c>
      <c r="FO6" t="s">
        <v>11221</v>
      </c>
      <c r="FT6" t="s">
        <v>10660</v>
      </c>
      <c r="GD6" t="s">
        <v>675</v>
      </c>
      <c r="GS6" t="s">
        <v>11829</v>
      </c>
      <c r="HM6" t="s">
        <v>3162</v>
      </c>
      <c r="JA6" t="s">
        <v>11012</v>
      </c>
      <c r="JF6" t="s">
        <v>11970</v>
      </c>
      <c r="KE6" t="s">
        <v>11789</v>
      </c>
      <c r="KJ6" t="s">
        <v>11763</v>
      </c>
      <c r="KY6" t="s">
        <v>10986</v>
      </c>
      <c r="LD6" t="s">
        <v>11473</v>
      </c>
      <c r="MM6" t="s">
        <v>11962</v>
      </c>
      <c r="NG6" t="s">
        <v>11838</v>
      </c>
      <c r="NL6" t="s">
        <v>11076</v>
      </c>
      <c r="NQ6" t="s">
        <v>10772</v>
      </c>
    </row>
    <row r="7" spans="1:396" x14ac:dyDescent="0.25">
      <c r="A7" t="s">
        <v>10806</v>
      </c>
      <c r="F7" t="s">
        <v>10745</v>
      </c>
      <c r="AE7" t="s">
        <v>11849</v>
      </c>
      <c r="AJ7" t="s">
        <v>11795</v>
      </c>
      <c r="AY7" t="s">
        <v>11091</v>
      </c>
      <c r="BD7" t="s">
        <v>383</v>
      </c>
      <c r="BI7" t="s">
        <v>11135</v>
      </c>
      <c r="EK7" t="s">
        <v>988</v>
      </c>
      <c r="EZ7" t="s">
        <v>10771</v>
      </c>
      <c r="FO7" t="s">
        <v>266</v>
      </c>
      <c r="FT7" t="s">
        <v>4219</v>
      </c>
      <c r="GD7" t="s">
        <v>788</v>
      </c>
      <c r="GS7" t="s">
        <v>10878</v>
      </c>
      <c r="JA7" t="s">
        <v>11520</v>
      </c>
      <c r="JF7" t="s">
        <v>11971</v>
      </c>
      <c r="KE7" t="s">
        <v>10718</v>
      </c>
      <c r="KJ7" t="s">
        <v>11764</v>
      </c>
      <c r="KY7" t="s">
        <v>988</v>
      </c>
      <c r="LD7" t="s">
        <v>10787</v>
      </c>
      <c r="MM7" t="s">
        <v>11963</v>
      </c>
      <c r="NG7" t="s">
        <v>7300</v>
      </c>
      <c r="NL7" t="s">
        <v>11077</v>
      </c>
      <c r="NQ7" t="s">
        <v>11232</v>
      </c>
    </row>
    <row r="8" spans="1:396" x14ac:dyDescent="0.25">
      <c r="A8" t="s">
        <v>4043</v>
      </c>
      <c r="F8" t="s">
        <v>10746</v>
      </c>
      <c r="AE8" t="s">
        <v>11850</v>
      </c>
      <c r="AJ8" t="s">
        <v>11796</v>
      </c>
      <c r="AY8" t="s">
        <v>10715</v>
      </c>
      <c r="BD8" t="s">
        <v>11204</v>
      </c>
      <c r="EZ8" t="s">
        <v>3519</v>
      </c>
      <c r="FO8" t="s">
        <v>2204</v>
      </c>
      <c r="FT8" t="s">
        <v>10787</v>
      </c>
      <c r="GS8" t="s">
        <v>10957</v>
      </c>
      <c r="JA8" t="s">
        <v>11999</v>
      </c>
      <c r="JF8" t="s">
        <v>11972</v>
      </c>
      <c r="KE8" t="s">
        <v>3073</v>
      </c>
      <c r="KJ8" t="s">
        <v>11765</v>
      </c>
      <c r="KY8" t="s">
        <v>1548</v>
      </c>
      <c r="LD8" t="s">
        <v>3340</v>
      </c>
      <c r="MM8" t="s">
        <v>154</v>
      </c>
      <c r="NG8" t="s">
        <v>11839</v>
      </c>
      <c r="NL8" t="s">
        <v>11078</v>
      </c>
      <c r="NQ8" t="s">
        <v>11233</v>
      </c>
    </row>
    <row r="9" spans="1:396" x14ac:dyDescent="0.25">
      <c r="A9" t="s">
        <v>10807</v>
      </c>
      <c r="F9" t="s">
        <v>10747</v>
      </c>
      <c r="AE9" t="s">
        <v>11851</v>
      </c>
      <c r="AJ9" t="s">
        <v>10908</v>
      </c>
      <c r="AY9" t="s">
        <v>480</v>
      </c>
      <c r="BD9" t="s">
        <v>881</v>
      </c>
      <c r="EZ9" t="s">
        <v>10986</v>
      </c>
      <c r="FO9" t="s">
        <v>7300</v>
      </c>
      <c r="FT9" t="s">
        <v>12002</v>
      </c>
      <c r="GS9" t="s">
        <v>10811</v>
      </c>
      <c r="JA9" t="s">
        <v>12000</v>
      </c>
      <c r="JF9" t="s">
        <v>11973</v>
      </c>
      <c r="KE9" t="s">
        <v>164</v>
      </c>
      <c r="KJ9" t="s">
        <v>11766</v>
      </c>
      <c r="KY9" t="s">
        <v>10877</v>
      </c>
      <c r="LD9" t="s">
        <v>11174</v>
      </c>
      <c r="MM9" t="s">
        <v>11964</v>
      </c>
      <c r="NG9" t="s">
        <v>11840</v>
      </c>
      <c r="NL9" t="s">
        <v>11079</v>
      </c>
      <c r="NQ9" t="s">
        <v>11234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6267</v>
      </c>
      <c r="K1" s="1" t="s">
        <v>6268</v>
      </c>
      <c r="U1" s="1" t="s">
        <v>6269</v>
      </c>
      <c r="AE1" s="1" t="s">
        <v>6270</v>
      </c>
      <c r="AO1" s="1" t="s">
        <v>6271</v>
      </c>
      <c r="AY1" s="1" t="s">
        <v>6272</v>
      </c>
      <c r="BI1" s="1" t="s">
        <v>6273</v>
      </c>
      <c r="BS1" s="1" t="s">
        <v>6274</v>
      </c>
      <c r="CC1" s="1" t="s">
        <v>6275</v>
      </c>
      <c r="CM1" s="1" t="s">
        <v>6276</v>
      </c>
      <c r="CW1" s="1" t="s">
        <v>6277</v>
      </c>
      <c r="DG1" s="1" t="s">
        <v>6278</v>
      </c>
      <c r="DQ1" s="1" t="s">
        <v>6279</v>
      </c>
      <c r="EA1" s="1" t="s">
        <v>6280</v>
      </c>
      <c r="EK1" s="1" t="s">
        <v>6281</v>
      </c>
      <c r="EU1" s="1" t="s">
        <v>6282</v>
      </c>
      <c r="FE1" s="1" t="s">
        <v>6283</v>
      </c>
      <c r="FO1" s="1" t="s">
        <v>6284</v>
      </c>
      <c r="FY1" s="1" t="s">
        <v>6285</v>
      </c>
      <c r="GI1" s="1" t="s">
        <v>6286</v>
      </c>
      <c r="GS1" s="1" t="s">
        <v>6287</v>
      </c>
      <c r="HC1" s="1" t="s">
        <v>6288</v>
      </c>
      <c r="HM1" s="1" t="s">
        <v>6289</v>
      </c>
      <c r="HW1" s="1" t="s">
        <v>6290</v>
      </c>
      <c r="IG1" s="1" t="s">
        <v>6291</v>
      </c>
      <c r="IQ1" s="1" t="s">
        <v>6292</v>
      </c>
      <c r="JA1" s="1" t="s">
        <v>6293</v>
      </c>
      <c r="JK1" s="1" t="s">
        <v>6294</v>
      </c>
      <c r="JU1" s="1" t="s">
        <v>6295</v>
      </c>
      <c r="KE1" s="1" t="s">
        <v>6296</v>
      </c>
      <c r="KO1" s="1" t="s">
        <v>6297</v>
      </c>
      <c r="KY1" s="1" t="s">
        <v>6298</v>
      </c>
      <c r="LI1" s="1" t="s">
        <v>6299</v>
      </c>
      <c r="LS1" s="1" t="s">
        <v>6300</v>
      </c>
      <c r="MC1" s="1" t="s">
        <v>6301</v>
      </c>
      <c r="MM1" s="1" t="s">
        <v>6302</v>
      </c>
      <c r="MW1" s="1" t="s">
        <v>6303</v>
      </c>
      <c r="NG1" s="1" t="s">
        <v>6304</v>
      </c>
      <c r="NQ1" s="1" t="s">
        <v>6305</v>
      </c>
      <c r="OA1" s="1" t="s">
        <v>6306</v>
      </c>
    </row>
    <row r="2" spans="1:396" x14ac:dyDescent="0.25">
      <c r="A2" s="2" t="s">
        <v>2018</v>
      </c>
      <c r="K2" s="2" t="s">
        <v>6307</v>
      </c>
      <c r="U2" s="2" t="s">
        <v>483</v>
      </c>
      <c r="AE2" s="2" t="s">
        <v>6308</v>
      </c>
      <c r="AO2" s="2" t="s">
        <v>6309</v>
      </c>
      <c r="AY2" s="2" t="s">
        <v>1177</v>
      </c>
      <c r="BI2" s="2" t="s">
        <v>384</v>
      </c>
      <c r="BS2" s="2" t="s">
        <v>6310</v>
      </c>
      <c r="CC2" s="2" t="s">
        <v>64</v>
      </c>
      <c r="CM2" s="2" t="s">
        <v>166</v>
      </c>
      <c r="CW2" s="2" t="s">
        <v>1929</v>
      </c>
      <c r="DG2" s="2" t="s">
        <v>6311</v>
      </c>
      <c r="DQ2" s="2" t="s">
        <v>6312</v>
      </c>
      <c r="EA2" s="2" t="s">
        <v>6313</v>
      </c>
      <c r="EK2" s="2" t="s">
        <v>6314</v>
      </c>
      <c r="EU2" s="2" t="s">
        <v>272</v>
      </c>
      <c r="FE2" s="2" t="s">
        <v>6315</v>
      </c>
      <c r="FO2" s="2" t="s">
        <v>6316</v>
      </c>
      <c r="FY2" s="2" t="s">
        <v>6317</v>
      </c>
      <c r="GI2" s="2" t="s">
        <v>3423</v>
      </c>
      <c r="GS2" s="2" t="s">
        <v>5584</v>
      </c>
      <c r="HC2" s="2" t="s">
        <v>380</v>
      </c>
      <c r="HM2" s="2" t="s">
        <v>4737</v>
      </c>
      <c r="HW2" s="2" t="s">
        <v>2302</v>
      </c>
      <c r="IG2" s="2" t="s">
        <v>5170</v>
      </c>
      <c r="IQ2" s="2" t="s">
        <v>6064</v>
      </c>
      <c r="JA2" s="2" t="s">
        <v>64</v>
      </c>
      <c r="JK2" s="2" t="s">
        <v>6318</v>
      </c>
      <c r="JU2" s="2" t="s">
        <v>3444</v>
      </c>
      <c r="KE2" s="2" t="s">
        <v>6319</v>
      </c>
      <c r="KO2" s="2" t="s">
        <v>5246</v>
      </c>
      <c r="KY2" s="2" t="s">
        <v>6320</v>
      </c>
      <c r="LI2" s="2" t="s">
        <v>6321</v>
      </c>
      <c r="LS2" s="2" t="s">
        <v>3517</v>
      </c>
      <c r="MC2" s="2" t="s">
        <v>1642</v>
      </c>
      <c r="MM2" s="2" t="s">
        <v>6081</v>
      </c>
      <c r="MW2" s="2" t="s">
        <v>6322</v>
      </c>
      <c r="NG2" s="2" t="s">
        <v>1938</v>
      </c>
      <c r="NQ2" s="2" t="s">
        <v>6323</v>
      </c>
      <c r="OA2" s="2" t="s">
        <v>5419</v>
      </c>
    </row>
    <row r="3" spans="1:396" x14ac:dyDescent="0.25">
      <c r="A3" t="s">
        <v>1675</v>
      </c>
      <c r="K3" t="s">
        <v>6324</v>
      </c>
      <c r="U3" t="s">
        <v>6090</v>
      </c>
      <c r="AE3" t="s">
        <v>1016</v>
      </c>
      <c r="AO3" t="s">
        <v>6325</v>
      </c>
      <c r="AY3" t="s">
        <v>6326</v>
      </c>
      <c r="BI3" t="s">
        <v>2623</v>
      </c>
      <c r="BS3" t="s">
        <v>422</v>
      </c>
      <c r="CC3" t="s">
        <v>2818</v>
      </c>
      <c r="CM3" t="s">
        <v>2058</v>
      </c>
      <c r="CW3" t="s">
        <v>1292</v>
      </c>
      <c r="DG3" t="s">
        <v>4834</v>
      </c>
      <c r="DQ3" t="s">
        <v>6327</v>
      </c>
      <c r="EA3" t="s">
        <v>2895</v>
      </c>
      <c r="EK3" t="s">
        <v>5926</v>
      </c>
      <c r="EU3" t="s">
        <v>6328</v>
      </c>
      <c r="FE3" t="s">
        <v>392</v>
      </c>
      <c r="FO3" t="s">
        <v>2896</v>
      </c>
      <c r="FY3" t="s">
        <v>6329</v>
      </c>
      <c r="GI3" t="s">
        <v>6330</v>
      </c>
      <c r="GS3" t="s">
        <v>1860</v>
      </c>
      <c r="HC3" t="s">
        <v>6331</v>
      </c>
      <c r="HM3" t="s">
        <v>5681</v>
      </c>
      <c r="HW3" t="s">
        <v>6332</v>
      </c>
      <c r="IG3" t="s">
        <v>6333</v>
      </c>
      <c r="IQ3" t="s">
        <v>6334</v>
      </c>
      <c r="JA3" t="s">
        <v>3273</v>
      </c>
      <c r="JK3" t="s">
        <v>1570</v>
      </c>
      <c r="JU3" t="s">
        <v>83</v>
      </c>
      <c r="KE3" t="s">
        <v>6335</v>
      </c>
      <c r="KO3" t="s">
        <v>6016</v>
      </c>
      <c r="KY3" t="s">
        <v>6336</v>
      </c>
      <c r="LI3" t="s">
        <v>5682</v>
      </c>
      <c r="LS3" t="s">
        <v>3639</v>
      </c>
      <c r="MC3" t="s">
        <v>5271</v>
      </c>
      <c r="MM3" t="s">
        <v>528</v>
      </c>
      <c r="MW3" t="s">
        <v>6337</v>
      </c>
      <c r="NG3" t="s">
        <v>808</v>
      </c>
      <c r="NQ3" t="s">
        <v>3278</v>
      </c>
      <c r="OA3" t="s">
        <v>5790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_xll.BDS("COV US Equity","SUPPLY_CHAIN_SUPPLIERS","RELATIONSHIP_AS_OF_DATE","20090928")</f>
        <v>#N/A N/A</v>
      </c>
      <c r="F5" t="str">
        <f>_xll.BDS("COV US Equity","SUPPLY_CHAIN_CUSTOMERS","RELATIONSHIP_AS_OF_DATE","20090928")</f>
        <v>#N/A N/A</v>
      </c>
      <c r="K5" t="str">
        <f>_xll.BDS("AN US Equity","SUPPLY_CHAIN_SUPPLIERS","RELATIONSHIP_AS_OF_DATE","19980903","cols=1;rows=5")</f>
        <v>7203 JP Equity</v>
      </c>
      <c r="P5" t="str">
        <f>_xll.BDS("AN US Equity","SUPPLY_CHAIN_CUSTOMERS","RELATIONSHIP_AS_OF_DATE","19980903")</f>
        <v>#N/A N/A</v>
      </c>
      <c r="U5" t="str">
        <f>_xll.BDS("BAX US Equity","SUPPLY_CHAIN_SUPPLIERS","RELATIONSHIP_AS_OF_DATE","19980224","cols=1;rows=5")</f>
        <v>BHE US Equity</v>
      </c>
      <c r="Z5" t="str">
        <f>_xll.BDS("BAX US Equity","SUPPLY_CHAIN_CUSTOMERS","RELATIONSHIP_AS_OF_DATE","19980224","cols=1;rows=5")</f>
        <v>1788 TT Equity</v>
      </c>
      <c r="AE5" t="str">
        <f>_xll.BDS("WAFD US Equity","SUPPLY_CHAIN_SUPPLIERS","RELATIONSHIP_AS_OF_DATE","20070702","cols=1;rows=2")</f>
        <v>ORCL US Equity</v>
      </c>
      <c r="AJ5" t="str">
        <f>_xll.BDS("WAFD US Equity","SUPPLY_CHAIN_CUSTOMERS","RELATIONSHIP_AS_OF_DATE","20070702")</f>
        <v>#N/A N/A</v>
      </c>
      <c r="AO5" t="str">
        <f>_xll.BDS("SNIC US Equity","SUPPLY_CHAIN_SUPPLIERS","RELATIONSHIP_AS_OF_DATE","20100602")</f>
        <v>#N/A N/A</v>
      </c>
      <c r="AT5" t="str">
        <f>_xll.BDS("SNIC US Equity","SUPPLY_CHAIN_CUSTOMERS","RELATIONSHIP_AS_OF_DATE","20100602")</f>
        <v>#N/A N/A</v>
      </c>
      <c r="AY5" t="str">
        <f>_xll.BDS("SYK US Equity","SUPPLY_CHAIN_SUPPLIERS","RELATIONSHIP_AS_OF_DATE","20180911","cols=1;rows=5")</f>
        <v>FLEX US Equity</v>
      </c>
      <c r="BD5" t="str">
        <f>_xll.BDS("SYK US Equity","SUPPLY_CHAIN_CUSTOMERS","RELATIONSHIP_AS_OF_DATE","20180911","cols=1;rows=5")</f>
        <v>CNXN US Equity</v>
      </c>
      <c r="BI5" t="str">
        <f>_xll.BDS("WDC US Equity","SUPPLY_CHAIN_SUPPLIERS","RELATIONSHIP_AS_OF_DATE","20130624","cols=1;rows=5")</f>
        <v>000660 KS Equity</v>
      </c>
      <c r="BN5" t="str">
        <f>_xll.BDS("WDC US Equity","SUPPLY_CHAIN_CUSTOMERS","RELATIONSHIP_AS_OF_DATE","20130624","cols=1;rows=5")</f>
        <v>AMZN US Equity</v>
      </c>
      <c r="BS5" t="str">
        <f>_xll.BDS("GBBK US Equity","SUPPLY_CHAIN_SUPPLIERS","RELATIONSHIP_AS_OF_DATE","20010625")</f>
        <v>#N/A N/A</v>
      </c>
      <c r="BX5" t="str">
        <f>_xll.BDS("GBBK US Equity","SUPPLY_CHAIN_CUSTOMERS","RELATIONSHIP_AS_OF_DATE","20010625")</f>
        <v>#N/A N/A</v>
      </c>
      <c r="CC5" t="str">
        <f>_xll.BDS("nan Equity","SUPPLY_CHAIN_SUPPLIERS","RELATIONSHIP_AS_OF_DATE","20070216")</f>
        <v>#N/A N/A</v>
      </c>
      <c r="CH5" t="str">
        <f>_xll.BDS("nan Equity","SUPPLY_CHAIN_CUSTOMERS","RELATIONSHIP_AS_OF_DATE","20070216")</f>
        <v>#N/A N/A</v>
      </c>
      <c r="CM5" t="str">
        <f>_xll.BDS("WFC US Equity","SUPPLY_CHAIN_SUPPLIERS","RELATIONSHIP_AS_OF_DATE","19990804","cols=1;rows=5")</f>
        <v>ADBE US Equity</v>
      </c>
      <c r="CR5" t="str">
        <f>_xll.BDS("WFC US Equity","SUPPLY_CHAIN_CUSTOMERS","RELATIONSHIP_AS_OF_DATE","19990804","cols=1;rows=5")</f>
        <v>CDW US Equity</v>
      </c>
      <c r="CW5" t="str">
        <f>_xll.BDS("JEF US Equity","SUPPLY_CHAIN_SUPPLIERS","RELATIONSHIP_AS_OF_DATE","20190415","cols=1;rows=5")</f>
        <v>000063 CH Equity</v>
      </c>
      <c r="DB5" t="str">
        <f>_xll.BDS("JEF US Equity","SUPPLY_CHAIN_CUSTOMERS","RELATIONSHIP_AS_OF_DATE","20190415")</f>
        <v>#N/A N/A</v>
      </c>
      <c r="DG5" t="str">
        <f>_xll.BDS("2898Q US Equity","SUPPLY_CHAIN_SUPPLIERS","RELATIONSHIP_AS_OF_DATE","19980724")</f>
        <v>#N/A N/A</v>
      </c>
      <c r="DL5" t="str">
        <f>_xll.BDS("2898Q US Equity","SUPPLY_CHAIN_CUSTOMERS","RELATIONSHIP_AS_OF_DATE","19980724")</f>
        <v>#N/A N/A</v>
      </c>
      <c r="DQ5" t="str">
        <f>_xll.BDS("QTWWQ US Equity","SUPPLY_CHAIN_SUPPLIERS","RELATIONSHIP_AS_OF_DATE","20041123")</f>
        <v>EIX US Equity</v>
      </c>
      <c r="DV5" t="str">
        <f>_xll.BDS("QTWWQ US Equity","SUPPLY_CHAIN_CUSTOMERS","RELATIONSHIP_AS_OF_DATE","20041123","cols=1;rows=2")</f>
        <v>1693407D CN Equity</v>
      </c>
      <c r="EA5" t="str">
        <f>_xll.BDS("4107485Q US Equity","SUPPLY_CHAIN_SUPPLIERS","RELATIONSHIP_AS_OF_DATE","20030602")</f>
        <v>#N/A N/A</v>
      </c>
      <c r="EF5" t="str">
        <f>_xll.BDS("4107485Q US Equity","SUPPLY_CHAIN_CUSTOMERS","RELATIONSHIP_AS_OF_DATE","20030602")</f>
        <v>#N/A N/A</v>
      </c>
      <c r="EK5" t="str">
        <f>_xll.BDS("RHP US Equity","SUPPLY_CHAIN_SUPPLIERS","RELATIONSHIP_AS_OF_DATE","20030805","cols=1;rows=2")</f>
        <v>2153972Z LN Equity</v>
      </c>
      <c r="EP5" t="str">
        <f>_xll.BDS("RHP US Equity","SUPPLY_CHAIN_CUSTOMERS","RELATIONSHIP_AS_OF_DATE","20030805")</f>
        <v>#N/A N/A</v>
      </c>
      <c r="EU5" t="str">
        <f>_xll.BDS("TMO US Equity","SUPPLY_CHAIN_SUPPLIERS","RELATIONSHIP_AS_OF_DATE","19991217","cols=1;rows=5")</f>
        <v>EMR US Equity</v>
      </c>
      <c r="EZ5" t="str">
        <f>_xll.BDS("TMO US Equity","SUPPLY_CHAIN_CUSTOMERS","RELATIONSHIP_AS_OF_DATE","19991217","cols=1;rows=5")</f>
        <v>4195 TT Equity</v>
      </c>
      <c r="FE5" t="str">
        <f>_xll.BDS("DFIB US Equity","SUPPLY_CHAIN_SUPPLIERS","RELATIONSHIP_AS_OF_DATE","20050228")</f>
        <v>#N/A N/A</v>
      </c>
      <c r="FJ5" t="str">
        <f>_xll.BDS("DFIB US Equity","SUPPLY_CHAIN_CUSTOMERS","RELATIONSHIP_AS_OF_DATE","20050228")</f>
        <v>#N/A N/A</v>
      </c>
      <c r="FO5" t="str">
        <f>_xll.BDS("AHMH US Equity","SUPPLY_CHAIN_SUPPLIERS","RELATIONSHIP_AS_OF_DATE","20030714")</f>
        <v>#N/A N/A</v>
      </c>
      <c r="FT5" t="str">
        <f>_xll.BDS("AHMH US Equity","SUPPLY_CHAIN_CUSTOMERS","RELATIONSHIP_AS_OF_DATE","20030714")</f>
        <v>#N/A N/A</v>
      </c>
      <c r="FY5" t="str">
        <f>_xll.BDS("HTBK US Equity","SUPPLY_CHAIN_SUPPLIERS","RELATIONSHIP_AS_OF_DATE","20190516")</f>
        <v>#N/A N/A</v>
      </c>
      <c r="GD5" t="str">
        <f>_xll.BDS("HTBK US Equity","SUPPLY_CHAIN_CUSTOMERS","RELATIONSHIP_AS_OF_DATE","20190516")</f>
        <v>#N/A N/A</v>
      </c>
      <c r="GI5" t="str">
        <f>_xll.BDS("BATL US Equity","SUPPLY_CHAIN_SUPPLIERS","RELATIONSHIP_AS_OF_DATE","20071016")</f>
        <v>#N/A N/A</v>
      </c>
      <c r="GN5" t="str">
        <f>_xll.BDS("BATL US Equity","SUPPLY_CHAIN_CUSTOMERS","RELATIONSHIP_AS_OF_DATE","20071016","cols=1;rows=3")</f>
        <v>ET US Equity</v>
      </c>
      <c r="GS5" t="str">
        <f>_xll.BDS("3017264Q US Equity","SUPPLY_CHAIN_SUPPLIERS","RELATIONSHIP_AS_OF_DATE","19981102")</f>
        <v>#N/A N/A</v>
      </c>
      <c r="GX5" t="str">
        <f>_xll.BDS("3017264Q US Equity","SUPPLY_CHAIN_CUSTOMERS","RELATIONSHIP_AS_OF_DATE","19981102")</f>
        <v>#N/A N/A</v>
      </c>
      <c r="HC5" t="str">
        <f>_xll.BDS("COF US Equity","SUPPLY_CHAIN_SUPPLIERS","RELATIONSHIP_AS_OF_DATE","20040922","cols=1;rows=5")</f>
        <v>MTZ US Equity</v>
      </c>
      <c r="HH5" t="str">
        <f>_xll.BDS("COF US Equity","SUPPLY_CHAIN_CUSTOMERS","RELATIONSHIP_AS_OF_DATE","20040922","cols=1;rows=4")</f>
        <v>ASC LN Equity</v>
      </c>
      <c r="HM5" t="str">
        <f>_xll.BDS("OK US Equity","SUPPLY_CHAIN_SUPPLIERS","RELATIONSHIP_AS_OF_DATE","19990730")</f>
        <v>#N/A N/A</v>
      </c>
      <c r="HR5" t="str">
        <f>_xll.BDS("OK US Equity","SUPPLY_CHAIN_CUSTOMERS","RELATIONSHIP_AS_OF_DATE","19990730")</f>
        <v>#N/A N/A</v>
      </c>
      <c r="HW5" t="str">
        <f>_xll.BDS("FIBK US Equity","SUPPLY_CHAIN_SUPPLIERS","RELATIONSHIP_AS_OF_DATE","20181011")</f>
        <v>FISV US Equity</v>
      </c>
      <c r="IB5" t="str">
        <f>_xll.BDS("FIBK US Equity","SUPPLY_CHAIN_CUSTOMERS","RELATIONSHIP_AS_OF_DATE","20181011")</f>
        <v>#N/A N/A</v>
      </c>
      <c r="IG5" t="str">
        <f>_xll.BDS("NWBI US Equity","SUPPLY_CHAIN_SUPPLIERS","RELATIONSHIP_AS_OF_DATE","20141215")</f>
        <v>FISV US Equity</v>
      </c>
      <c r="IL5" t="str">
        <f>_xll.BDS("NWBI US Equity","SUPPLY_CHAIN_CUSTOMERS","RELATIONSHIP_AS_OF_DATE","20141215")</f>
        <v>#N/A N/A</v>
      </c>
      <c r="IQ5" t="str">
        <f>_xll.BDS("FCF US Equity","SUPPLY_CHAIN_SUPPLIERS","RELATIONSHIP_AS_OF_DATE","20031212")</f>
        <v>#N/A N/A</v>
      </c>
      <c r="IV5" t="str">
        <f>_xll.BDS("FCF US Equity","SUPPLY_CHAIN_CUSTOMERS","RELATIONSHIP_AS_OF_DATE","20031212")</f>
        <v>#N/A N/A</v>
      </c>
      <c r="JA5" t="str">
        <f>_xll.BDS("nan Equity","SUPPLY_CHAIN_SUPPLIERS","RELATIONSHIP_AS_OF_DATE","20060627")</f>
        <v>#N/A N/A</v>
      </c>
      <c r="JF5" t="str">
        <f>_xll.BDS("nan Equity","SUPPLY_CHAIN_CUSTOMERS","RELATIONSHIP_AS_OF_DATE","20060627")</f>
        <v>#N/A N/A</v>
      </c>
      <c r="JK5" t="str">
        <f>_xll.BDS("EGBN US Equity","SUPPLY_CHAIN_SUPPLIERS","RELATIONSHIP_AS_OF_DATE","20140609")</f>
        <v>#N/A N/A</v>
      </c>
      <c r="JP5" t="str">
        <f>_xll.BDS("EGBN US Equity","SUPPLY_CHAIN_CUSTOMERS","RELATIONSHIP_AS_OF_DATE","20140609")</f>
        <v>#N/A N/A</v>
      </c>
      <c r="JU5" t="str">
        <f>_xll.BDS("FMER US Equity","SUPPLY_CHAIN_SUPPLIERS","RELATIONSHIP_AS_OF_DATE","19980406")</f>
        <v>#N/A N/A</v>
      </c>
      <c r="JZ5" t="str">
        <f>_xll.BDS("FMER US Equity","SUPPLY_CHAIN_CUSTOMERS","RELATIONSHIP_AS_OF_DATE","19980406")</f>
        <v>#N/A N/A</v>
      </c>
      <c r="KE5" t="str">
        <f>_xll.BDS("COWN US Equity","SUPPLY_CHAIN_SUPPLIERS","RELATIONSHIP_AS_OF_DATE","20110217","cols=1;rows=2")</f>
        <v>APVO US Equity</v>
      </c>
      <c r="KJ5" t="str">
        <f>_xll.BDS("COWN US Equity","SUPPLY_CHAIN_CUSTOMERS","RELATIONSHIP_AS_OF_DATE","20110217")</f>
        <v>ALSEA* MM Equity</v>
      </c>
      <c r="KO5" t="str">
        <f>_xll.BDS("HU US Equity","SUPPLY_CHAIN_SUPPLIERS","RELATIONSHIP_AS_OF_DATE","19980331")</f>
        <v>#N/A N/A</v>
      </c>
      <c r="KT5" t="str">
        <f>_xll.BDS("HU US Equity","SUPPLY_CHAIN_CUSTOMERS","RELATIONSHIP_AS_OF_DATE","19980331")</f>
        <v>#N/A N/A</v>
      </c>
      <c r="KY5" t="str">
        <f>_xll.BDS("OSIS US Equity","SUPPLY_CHAIN_SUPPLIERS","RELATIONSHIP_AS_OF_DATE","20160621","cols=1;rows=5")</f>
        <v>VREX US Equity</v>
      </c>
      <c r="LD5" t="str">
        <f>_xll.BDS("OSIS US Equity","SUPPLY_CHAIN_CUSTOMERS","RELATIONSHIP_AS_OF_DATE","20160621","cols=1;rows=5")</f>
        <v>3352Z US Equity</v>
      </c>
      <c r="LI5" t="str">
        <f>_xll.BDS("BOBE US Equity","SUPPLY_CHAIN_SUPPLIERS","RELATIONSHIP_AS_OF_DATE","20040614")</f>
        <v>#N/A N/A</v>
      </c>
      <c r="LN5" t="str">
        <f>_xll.BDS("BOBE US Equity","SUPPLY_CHAIN_CUSTOMERS","RELATIONSHIP_AS_OF_DATE","20040614")</f>
        <v>#N/A N/A</v>
      </c>
      <c r="LS5" t="str">
        <f>_xll.BDS("MKL US Equity","SUPPLY_CHAIN_SUPPLIERS","RELATIONSHIP_AS_OF_DATE","19980902","cols=1;rows=2")</f>
        <v>ABL NO Equity</v>
      </c>
      <c r="LX5" t="str">
        <f>_xll.BDS("MKL US Equity","SUPPLY_CHAIN_CUSTOMERS","RELATIONSHIP_AS_OF_DATE","19980902","cols=1;rows=2")</f>
        <v>005380 KS Equity</v>
      </c>
      <c r="MC5" t="str">
        <f>_xll.BDS("SSB US Equity","SUPPLY_CHAIN_SUPPLIERS","RELATIONSHIP_AS_OF_DATE","20210723","cols=1;rows=4")</f>
        <v>BLND US Equity</v>
      </c>
      <c r="MH5" t="str">
        <f>_xll.BDS("SSB US Equity","SUPPLY_CHAIN_CUSTOMERS","RELATIONSHIP_AS_OF_DATE","20210723")</f>
        <v>#N/A N/A</v>
      </c>
      <c r="MM5" t="str">
        <f>_xll.BDS("STBA US Equity","SUPPLY_CHAIN_SUPPLIERS","RELATIONSHIP_AS_OF_DATE","20071217")</f>
        <v>#N/A N/A</v>
      </c>
      <c r="MR5" t="str">
        <f>_xll.BDS("STBA US Equity","SUPPLY_CHAIN_CUSTOMERS","RELATIONSHIP_AS_OF_DATE","20071217")</f>
        <v>#N/A N/A</v>
      </c>
      <c r="MW5" t="str">
        <f>_xll.BDS("CNVR US Equity","SUPPLY_CHAIN_SUPPLIERS","RELATIONSHIP_AS_OF_DATE","20050811")</f>
        <v>#N/A N/A</v>
      </c>
      <c r="NB5" t="str">
        <f>_xll.BDS("CNVR US Equity","SUPPLY_CHAIN_CUSTOMERS","RELATIONSHIP_AS_OF_DATE","20050811")</f>
        <v>#N/A N/A</v>
      </c>
      <c r="NG5" t="str">
        <f>_xll.BDS("NCC US Equity","SUPPLY_CHAIN_SUPPLIERS","RELATIONSHIP_AS_OF_DATE","20040604")</f>
        <v>#N/A N/A</v>
      </c>
      <c r="NL5" t="str">
        <f>_xll.BDS("NCC US Equity","SUPPLY_CHAIN_CUSTOMERS","RELATIONSHIP_AS_OF_DATE","20040604")</f>
        <v>#N/A N/A</v>
      </c>
      <c r="NQ5" t="str">
        <f>_xll.BDS("DNA US Equity","SUPPLY_CHAIN_SUPPLIERS","RELATIONSHIP_AS_OF_DATE","20220725","cols=1;rows=4")</f>
        <v>ILMN US Equity</v>
      </c>
      <c r="NV5" t="str">
        <f>_xll.BDS("DNA US Equity","SUPPLY_CHAIN_CUSTOMERS","RELATIONSHIP_AS_OF_DATE","20220725","cols=1;rows=5")</f>
        <v>0219354Z US Equity</v>
      </c>
      <c r="OA5" t="str">
        <f>_xll.BDS("TCBK US Equity","SUPPLY_CHAIN_SUPPLIERS","RELATIONSHIP_AS_OF_DATE","20140121")</f>
        <v>#N/A N/A</v>
      </c>
      <c r="OF5" t="str">
        <f>_xll.BDS("TCBK US Equity","SUPPLY_CHAIN_CUSTOMERS","RELATIONSHIP_AS_OF_DATE","20140121")</f>
        <v>#N/A N/A</v>
      </c>
    </row>
    <row r="6" spans="1:396" x14ac:dyDescent="0.25">
      <c r="K6" t="s">
        <v>11185</v>
      </c>
      <c r="U6" t="s">
        <v>11924</v>
      </c>
      <c r="Z6" t="s">
        <v>11948</v>
      </c>
      <c r="AE6" t="s">
        <v>154</v>
      </c>
      <c r="AY6" t="s">
        <v>11412</v>
      </c>
      <c r="BD6" t="s">
        <v>11830</v>
      </c>
      <c r="BI6" t="s">
        <v>11374</v>
      </c>
      <c r="BN6" t="s">
        <v>11084</v>
      </c>
      <c r="CM6" t="s">
        <v>10986</v>
      </c>
      <c r="CR6" t="s">
        <v>11473</v>
      </c>
      <c r="CW6" t="s">
        <v>10975</v>
      </c>
      <c r="DV6" t="s">
        <v>11940</v>
      </c>
      <c r="EK6" t="s">
        <v>11837</v>
      </c>
      <c r="EU6" t="s">
        <v>44</v>
      </c>
      <c r="EZ6" t="s">
        <v>10662</v>
      </c>
      <c r="GN6" t="s">
        <v>170</v>
      </c>
      <c r="HC6" t="s">
        <v>1654</v>
      </c>
      <c r="HH6" t="s">
        <v>3244</v>
      </c>
      <c r="KE6" t="s">
        <v>11969</v>
      </c>
      <c r="KY6" t="s">
        <v>10956</v>
      </c>
      <c r="LD6" t="s">
        <v>10908</v>
      </c>
      <c r="LS6" t="s">
        <v>11739</v>
      </c>
      <c r="LX6" t="s">
        <v>5068</v>
      </c>
      <c r="MC6" t="s">
        <v>10829</v>
      </c>
      <c r="NQ6" t="s">
        <v>11936</v>
      </c>
      <c r="NV6" t="s">
        <v>10901</v>
      </c>
    </row>
    <row r="7" spans="1:396" x14ac:dyDescent="0.25">
      <c r="K7" t="s">
        <v>3875</v>
      </c>
      <c r="U7" t="s">
        <v>10814</v>
      </c>
      <c r="Z7" t="s">
        <v>11925</v>
      </c>
      <c r="AY7" t="s">
        <v>11413</v>
      </c>
      <c r="BD7" t="s">
        <v>11831</v>
      </c>
      <c r="BI7" t="s">
        <v>11797</v>
      </c>
      <c r="BN7" t="s">
        <v>266</v>
      </c>
      <c r="CM7" t="s">
        <v>988</v>
      </c>
      <c r="CR7" t="s">
        <v>10787</v>
      </c>
      <c r="CW7" t="s">
        <v>10828</v>
      </c>
      <c r="EU7" t="s">
        <v>10734</v>
      </c>
      <c r="EZ7" t="s">
        <v>10761</v>
      </c>
      <c r="GN7" t="s">
        <v>485</v>
      </c>
      <c r="HC7" t="s">
        <v>11691</v>
      </c>
      <c r="HH7" t="s">
        <v>11053</v>
      </c>
      <c r="KY7" t="s">
        <v>10957</v>
      </c>
      <c r="LD7" t="s">
        <v>42</v>
      </c>
      <c r="MC7" t="s">
        <v>11242</v>
      </c>
      <c r="NQ7" t="s">
        <v>11937</v>
      </c>
      <c r="NV7" t="s">
        <v>11898</v>
      </c>
    </row>
    <row r="8" spans="1:396" x14ac:dyDescent="0.25">
      <c r="K8" t="s">
        <v>11740</v>
      </c>
      <c r="U8" t="s">
        <v>11412</v>
      </c>
      <c r="Z8" t="s">
        <v>11949</v>
      </c>
      <c r="AY8" t="s">
        <v>11414</v>
      </c>
      <c r="BD8" t="s">
        <v>11832</v>
      </c>
      <c r="BI8" t="s">
        <v>279</v>
      </c>
      <c r="BN8" t="s">
        <v>11771</v>
      </c>
      <c r="CM8" t="s">
        <v>1548</v>
      </c>
      <c r="CR8" t="s">
        <v>3340</v>
      </c>
      <c r="CW8" t="s">
        <v>10976</v>
      </c>
      <c r="EU8" t="s">
        <v>10735</v>
      </c>
      <c r="EZ8" t="s">
        <v>10762</v>
      </c>
      <c r="HC8" t="s">
        <v>11934</v>
      </c>
      <c r="HH8" t="s">
        <v>11897</v>
      </c>
      <c r="KY8" t="s">
        <v>1263</v>
      </c>
      <c r="LD8" t="s">
        <v>10909</v>
      </c>
      <c r="MC8" t="s">
        <v>3162</v>
      </c>
      <c r="NQ8" t="s">
        <v>11938</v>
      </c>
      <c r="NV8" t="s">
        <v>11899</v>
      </c>
    </row>
    <row r="9" spans="1:396" x14ac:dyDescent="0.25">
      <c r="K9" t="s">
        <v>10953</v>
      </c>
      <c r="U9" t="s">
        <v>11925</v>
      </c>
      <c r="Z9" t="s">
        <v>11833</v>
      </c>
      <c r="AY9" t="s">
        <v>5575</v>
      </c>
      <c r="BD9" t="s">
        <v>11833</v>
      </c>
      <c r="BI9" t="s">
        <v>11798</v>
      </c>
      <c r="BN9" t="s">
        <v>10732</v>
      </c>
      <c r="CM9" t="s">
        <v>10877</v>
      </c>
      <c r="CR9" t="s">
        <v>11174</v>
      </c>
      <c r="CW9" t="s">
        <v>10829</v>
      </c>
      <c r="EU9" t="s">
        <v>3073</v>
      </c>
      <c r="EZ9" t="s">
        <v>10763</v>
      </c>
      <c r="HC9" t="s">
        <v>11935</v>
      </c>
      <c r="KY9" t="s">
        <v>10958</v>
      </c>
      <c r="LD9" t="s">
        <v>10910</v>
      </c>
      <c r="NV9" t="s">
        <v>11900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6338</v>
      </c>
      <c r="K1" s="1" t="s">
        <v>6339</v>
      </c>
      <c r="U1" s="1" t="s">
        <v>6340</v>
      </c>
      <c r="AE1" s="1" t="s">
        <v>6341</v>
      </c>
      <c r="AO1" s="1" t="s">
        <v>6342</v>
      </c>
      <c r="AY1" s="1" t="s">
        <v>6343</v>
      </c>
      <c r="BI1" s="1" t="s">
        <v>6344</v>
      </c>
      <c r="BS1" s="1" t="s">
        <v>6345</v>
      </c>
      <c r="CC1" s="1" t="s">
        <v>6346</v>
      </c>
      <c r="CM1" s="1" t="s">
        <v>6347</v>
      </c>
      <c r="CW1" s="1" t="s">
        <v>6348</v>
      </c>
      <c r="DG1" s="1" t="s">
        <v>6349</v>
      </c>
      <c r="DQ1" s="1" t="s">
        <v>6350</v>
      </c>
      <c r="EA1" s="1" t="s">
        <v>6351</v>
      </c>
      <c r="EK1" s="1" t="s">
        <v>6352</v>
      </c>
      <c r="EU1" s="1" t="s">
        <v>6353</v>
      </c>
      <c r="FE1" s="1" t="s">
        <v>6354</v>
      </c>
      <c r="FO1" s="1" t="s">
        <v>6355</v>
      </c>
      <c r="FY1" s="1" t="s">
        <v>6356</v>
      </c>
      <c r="GI1" s="1" t="s">
        <v>6357</v>
      </c>
      <c r="GS1" s="1" t="s">
        <v>6358</v>
      </c>
      <c r="HC1" s="1" t="s">
        <v>6359</v>
      </c>
      <c r="HM1" s="1" t="s">
        <v>6360</v>
      </c>
      <c r="HW1" s="1" t="s">
        <v>6361</v>
      </c>
      <c r="IG1" s="1" t="s">
        <v>6362</v>
      </c>
      <c r="IQ1" s="1" t="s">
        <v>6363</v>
      </c>
      <c r="JA1" s="1" t="s">
        <v>6364</v>
      </c>
      <c r="JK1" s="1" t="s">
        <v>6365</v>
      </c>
      <c r="JU1" s="1" t="s">
        <v>6366</v>
      </c>
      <c r="KE1" s="1" t="s">
        <v>6367</v>
      </c>
      <c r="KO1" s="1" t="s">
        <v>6368</v>
      </c>
      <c r="KY1" s="1" t="s">
        <v>6369</v>
      </c>
      <c r="LI1" s="1" t="s">
        <v>6370</v>
      </c>
      <c r="LS1" s="1" t="s">
        <v>6371</v>
      </c>
      <c r="MC1" s="1" t="s">
        <v>6372</v>
      </c>
      <c r="MM1" s="1" t="s">
        <v>6373</v>
      </c>
      <c r="MW1" s="1" t="s">
        <v>6374</v>
      </c>
      <c r="NG1" s="1" t="s">
        <v>6375</v>
      </c>
      <c r="NQ1" s="1" t="s">
        <v>6376</v>
      </c>
      <c r="OA1" s="1" t="s">
        <v>6377</v>
      </c>
    </row>
    <row r="2" spans="1:396" x14ac:dyDescent="0.25">
      <c r="A2" s="2" t="s">
        <v>6378</v>
      </c>
      <c r="K2" s="2" t="s">
        <v>4129</v>
      </c>
      <c r="U2" s="2" t="s">
        <v>4380</v>
      </c>
      <c r="AE2" s="2" t="s">
        <v>6379</v>
      </c>
      <c r="AO2" s="2" t="s">
        <v>6380</v>
      </c>
      <c r="AY2" s="2" t="s">
        <v>6381</v>
      </c>
      <c r="BI2" s="2" t="s">
        <v>3880</v>
      </c>
      <c r="BS2" s="2" t="s">
        <v>6382</v>
      </c>
      <c r="CC2" s="2" t="s">
        <v>6383</v>
      </c>
      <c r="CM2" s="2" t="s">
        <v>2700</v>
      </c>
      <c r="CW2" s="2" t="s">
        <v>6384</v>
      </c>
      <c r="DG2" s="2" t="s">
        <v>6385</v>
      </c>
      <c r="DQ2" s="2" t="s">
        <v>43</v>
      </c>
      <c r="EA2" s="2" t="s">
        <v>6386</v>
      </c>
      <c r="EK2" s="2" t="s">
        <v>6387</v>
      </c>
      <c r="EU2" s="2" t="s">
        <v>5412</v>
      </c>
      <c r="FE2" s="2" t="s">
        <v>990</v>
      </c>
      <c r="FO2" s="2" t="s">
        <v>6388</v>
      </c>
      <c r="FY2" s="2" t="s">
        <v>158</v>
      </c>
      <c r="GI2" s="2" t="s">
        <v>970</v>
      </c>
      <c r="GS2" s="2" t="s">
        <v>64</v>
      </c>
      <c r="HC2" s="2" t="s">
        <v>6389</v>
      </c>
      <c r="HM2" s="2" t="s">
        <v>586</v>
      </c>
      <c r="HW2" s="2" t="s">
        <v>3534</v>
      </c>
      <c r="IG2" s="2" t="s">
        <v>1356</v>
      </c>
      <c r="IQ2" s="2" t="s">
        <v>6390</v>
      </c>
      <c r="JA2" s="2" t="s">
        <v>6391</v>
      </c>
      <c r="JK2" s="2" t="s">
        <v>6392</v>
      </c>
      <c r="JU2" s="2" t="s">
        <v>64</v>
      </c>
      <c r="KE2" s="2" t="s">
        <v>6082</v>
      </c>
      <c r="KO2" s="2" t="s">
        <v>6393</v>
      </c>
      <c r="KY2" s="2" t="s">
        <v>6394</v>
      </c>
      <c r="LI2" s="2" t="s">
        <v>6395</v>
      </c>
      <c r="LS2" s="2" t="s">
        <v>2395</v>
      </c>
      <c r="MC2" s="2" t="s">
        <v>6396</v>
      </c>
      <c r="MM2" s="2" t="s">
        <v>6397</v>
      </c>
      <c r="MW2" s="2" t="s">
        <v>6398</v>
      </c>
      <c r="NG2" s="2" t="s">
        <v>6399</v>
      </c>
      <c r="NQ2" s="2" t="s">
        <v>65</v>
      </c>
      <c r="OA2" s="2" t="s">
        <v>5506</v>
      </c>
    </row>
    <row r="3" spans="1:396" x14ac:dyDescent="0.25">
      <c r="A3" t="s">
        <v>6400</v>
      </c>
      <c r="K3" t="s">
        <v>5439</v>
      </c>
      <c r="U3" t="s">
        <v>6401</v>
      </c>
      <c r="AE3" t="s">
        <v>2830</v>
      </c>
      <c r="AO3" t="s">
        <v>4579</v>
      </c>
      <c r="AY3" t="s">
        <v>914</v>
      </c>
      <c r="BI3" t="s">
        <v>6402</v>
      </c>
      <c r="BS3" t="s">
        <v>6403</v>
      </c>
      <c r="CC3" t="s">
        <v>6404</v>
      </c>
      <c r="CM3" t="s">
        <v>6405</v>
      </c>
      <c r="CW3" t="s">
        <v>6406</v>
      </c>
      <c r="DG3" t="s">
        <v>6407</v>
      </c>
      <c r="DQ3" t="s">
        <v>6408</v>
      </c>
      <c r="EA3" t="s">
        <v>1772</v>
      </c>
      <c r="EK3" t="s">
        <v>178</v>
      </c>
      <c r="EU3" t="s">
        <v>6409</v>
      </c>
      <c r="FE3" t="s">
        <v>3104</v>
      </c>
      <c r="FO3" t="s">
        <v>6410</v>
      </c>
      <c r="FY3" t="s">
        <v>6411</v>
      </c>
      <c r="GI3" t="s">
        <v>6412</v>
      </c>
      <c r="GS3" t="s">
        <v>6413</v>
      </c>
      <c r="HC3" t="s">
        <v>5617</v>
      </c>
      <c r="HM3" t="s">
        <v>6414</v>
      </c>
      <c r="HW3" t="s">
        <v>6415</v>
      </c>
      <c r="IG3" t="s">
        <v>4763</v>
      </c>
      <c r="IQ3" t="s">
        <v>1562</v>
      </c>
      <c r="JA3" t="s">
        <v>6416</v>
      </c>
      <c r="JK3" t="s">
        <v>312</v>
      </c>
      <c r="JU3" t="s">
        <v>4936</v>
      </c>
      <c r="KE3" t="s">
        <v>6417</v>
      </c>
      <c r="KO3" t="s">
        <v>2634</v>
      </c>
      <c r="KY3" t="s">
        <v>504</v>
      </c>
      <c r="LI3" t="s">
        <v>6418</v>
      </c>
      <c r="LS3" t="s">
        <v>2423</v>
      </c>
      <c r="MC3" t="s">
        <v>6419</v>
      </c>
      <c r="MM3" t="s">
        <v>6420</v>
      </c>
      <c r="MW3" t="s">
        <v>6421</v>
      </c>
      <c r="NG3" t="s">
        <v>6422</v>
      </c>
      <c r="NQ3" t="s">
        <v>6423</v>
      </c>
      <c r="OA3" t="s">
        <v>6424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_xll.BDS("XRIT US Equity","SUPPLY_CHAIN_SUPPLIERS","RELATIONSHIP_AS_OF_DATE","20070823")</f>
        <v>#N/A N/A</v>
      </c>
      <c r="F5" t="str">
        <f>_xll.BDS("XRIT US Equity","SUPPLY_CHAIN_CUSTOMERS","RELATIONSHIP_AS_OF_DATE","20070823")</f>
        <v>#N/A N/A</v>
      </c>
      <c r="K5" t="str">
        <f>_xll.BDS("NUE US Equity","SUPPLY_CHAIN_SUPPLIERS","RELATIONSHIP_AS_OF_DATE","20060912","cols=1;rows=5")</f>
        <v>ERA FP Equity</v>
      </c>
      <c r="P5" t="str">
        <f>_xll.BDS("NUE US Equity","SUPPLY_CHAIN_CUSTOMERS","RELATIONSHIP_AS_OF_DATE","20060912","cols=1;rows=5")</f>
        <v>TEN IM Equity</v>
      </c>
      <c r="U5" t="str">
        <f>_xll.BDS("UCB US Equity","SUPPLY_CHAIN_SUPPLIERS","RELATIONSHIP_AS_OF_DATE","20200309")</f>
        <v>3764228Z US Equity</v>
      </c>
      <c r="Z5" t="str">
        <f>_xll.BDS("UCB US Equity","SUPPLY_CHAIN_CUSTOMERS","RELATIONSHIP_AS_OF_DATE","20200309")</f>
        <v>#N/A N/A</v>
      </c>
      <c r="AE5" t="str">
        <f>_xll.BDS("1850242D US Equity","SUPPLY_CHAIN_SUPPLIERS","RELATIONSHIP_AS_OF_DATE","20170802")</f>
        <v>#N/A N/A</v>
      </c>
      <c r="AJ5" t="str">
        <f>_xll.BDS("1850242D US Equity","SUPPLY_CHAIN_CUSTOMERS","RELATIONSHIP_AS_OF_DATE","20170802")</f>
        <v>#N/A N/A</v>
      </c>
      <c r="AO5" t="str">
        <f>_xll.BDS("UBSN SW Equity","SUPPLY_CHAIN_SUPPLIERS","RELATIONSHIP_AS_OF_DATE","20160112")</f>
        <v>#N/A N/A</v>
      </c>
      <c r="AT5" t="str">
        <f>_xll.BDS("UBSN SW Equity","SUPPLY_CHAIN_CUSTOMERS","RELATIONSHIP_AS_OF_DATE","20160112")</f>
        <v>#N/A N/A</v>
      </c>
      <c r="AY5" t="str">
        <f>_xll.BDS("ELGXQ US Equity","SUPPLY_CHAIN_SUPPLIERS","RELATIONSHIP_AS_OF_DATE","20151026","cols=1;rows=2")</f>
        <v>EIX US Equity</v>
      </c>
      <c r="BD5" t="str">
        <f>_xll.BDS("ELGXQ US Equity","SUPPLY_CHAIN_CUSTOMERS","RELATIONSHIP_AS_OF_DATE","20151026")</f>
        <v>7575 JP Equity</v>
      </c>
      <c r="BI5" t="str">
        <f>_xll.BDS("SNPS US Equity","SUPPLY_CHAIN_SUPPLIERS","RELATIONSHIP_AS_OF_DATE","20080320","cols=1;rows=5")</f>
        <v>000660 KS Equity</v>
      </c>
      <c r="BN5" t="str">
        <f>_xll.BDS("SNPS US Equity","SUPPLY_CHAIN_CUSTOMERS","RELATIONSHIP_AS_OF_DATE","20080320","cols=1;rows=5")</f>
        <v>2454 TT Equity</v>
      </c>
      <c r="BS5" t="str">
        <f>_xll.BDS("PFLT US Equity","SUPPLY_CHAIN_SUPPLIERS","RELATIONSHIP_AS_OF_DATE","20150429")</f>
        <v>IQST US Equity</v>
      </c>
      <c r="BX5" t="str">
        <f>_xll.BDS("PFLT US Equity","SUPPLY_CHAIN_CUSTOMERS","RELATIONSHIP_AS_OF_DATE","20150429")</f>
        <v>#N/A N/A</v>
      </c>
      <c r="CC5" t="str">
        <f>_xll.BDS("62553Q US Equity","SUPPLY_CHAIN_SUPPLIERS","RELATIONSHIP_AS_OF_DATE","19980323")</f>
        <v>#N/A N/A</v>
      </c>
      <c r="CH5" t="str">
        <f>_xll.BDS("62553Q US Equity","SUPPLY_CHAIN_CUSTOMERS","RELATIONSHIP_AS_OF_DATE","19980323","cols=1;rows=2")</f>
        <v>5998Z US Equity</v>
      </c>
      <c r="CM5" t="str">
        <f>_xll.BDS("1986522D US Equity","SUPPLY_CHAIN_SUPPLIERS","RELATIONSHIP_AS_OF_DATE","20070806")</f>
        <v>FE US Equity</v>
      </c>
      <c r="CR5" t="str">
        <f>_xll.BDS("1986522D US Equity","SUPPLY_CHAIN_CUSTOMERS","RELATIONSHIP_AS_OF_DATE","20070806")</f>
        <v>#N/A N/A</v>
      </c>
      <c r="CW5" t="str">
        <f>_xll.BDS("2761917Q US Equity","SUPPLY_CHAIN_SUPPLIERS","RELATIONSHIP_AS_OF_DATE","20060522")</f>
        <v>#N/A N/A</v>
      </c>
      <c r="DB5" t="str">
        <f>_xll.BDS("2761917Q US Equity","SUPPLY_CHAIN_CUSTOMERS","RELATIONSHIP_AS_OF_DATE","20060522")</f>
        <v>#N/A N/A</v>
      </c>
      <c r="DG5" t="str">
        <f>_xll.BDS("OMEF US Equity","SUPPLY_CHAIN_SUPPLIERS","RELATIONSHIP_AS_OF_DATE","20040420")</f>
        <v>#N/A N/A</v>
      </c>
      <c r="DL5" t="str">
        <f>_xll.BDS("OMEF US Equity","SUPPLY_CHAIN_CUSTOMERS","RELATIONSHIP_AS_OF_DATE","20040420")</f>
        <v>#N/A N/A</v>
      </c>
      <c r="DQ5" t="str">
        <f>_xll.BDS("BMY US Equity","SUPPLY_CHAIN_SUPPLIERS","RELATIONSHIP_AS_OF_DATE","20080529","cols=1;rows=5")</f>
        <v>PFE US Equity</v>
      </c>
      <c r="DV5" t="str">
        <f>_xll.BDS("BMY US Equity","SUPPLY_CHAIN_CUSTOMERS","RELATIONSHIP_AS_OF_DATE","20080529","cols=1;rows=5")</f>
        <v>MCK US Equity</v>
      </c>
      <c r="EA5" t="str">
        <f>_xll.BDS("DE US Equity","SUPPLY_CHAIN_SUPPLIERS","RELATIONSHIP_AS_OF_DATE","20010530","cols=1;rows=5")</f>
        <v>NVDA US Equity</v>
      </c>
      <c r="EF5" t="str">
        <f>_xll.BDS("DE US Equity","SUPPLY_CHAIN_CUSTOMERS","RELATIONSHIP_AS_OF_DATE","20010530","cols=1;rows=5")</f>
        <v>LOW US Equity</v>
      </c>
      <c r="EK5" t="str">
        <f>_xll.BDS("MYL US Equity","SUPPLY_CHAIN_SUPPLIERS","RELATIONSHIP_AS_OF_DATE","19980624")</f>
        <v>FE US Equity</v>
      </c>
      <c r="EP5" t="str">
        <f>_xll.BDS("MYL US Equity","SUPPLY_CHAIN_CUSTOMERS","RELATIONSHIP_AS_OF_DATE","19980624")</f>
        <v>#N/A N/A</v>
      </c>
      <c r="EU5" t="str">
        <f>_xll.BDS("FULT US Equity","SUPPLY_CHAIN_SUPPLIERS","RELATIONSHIP_AS_OF_DATE","20030825","cols=1;rows=2")</f>
        <v>DLX US Equity</v>
      </c>
      <c r="EZ5" t="str">
        <f>_xll.BDS("FULT US Equity","SUPPLY_CHAIN_CUSTOMERS","RELATIONSHIP_AS_OF_DATE","20030825")</f>
        <v>#N/A N/A</v>
      </c>
      <c r="FE5" t="str">
        <f>_xll.BDS("WBS US Equity","SUPPLY_CHAIN_SUPPLIERS","RELATIONSHIP_AS_OF_DATE","20060425","cols=1;rows=2")</f>
        <v>FISV US Equity</v>
      </c>
      <c r="FJ5" t="str">
        <f>_xll.BDS("WBS US Equity","SUPPLY_CHAIN_CUSTOMERS","RELATIONSHIP_AS_OF_DATE","20060425")</f>
        <v>CNXN US Equity</v>
      </c>
      <c r="FO5" t="str">
        <f>_xll.BDS("SLRC US Equity","SUPPLY_CHAIN_SUPPLIERS","RELATIONSHIP_AS_OF_DATE","20211202")</f>
        <v>#N/A N/A</v>
      </c>
      <c r="FT5" t="str">
        <f>_xll.BDS("SLRC US Equity","SUPPLY_CHAIN_CUSTOMERS","RELATIONSHIP_AS_OF_DATE","20211202")</f>
        <v>#N/A N/A</v>
      </c>
      <c r="FY5" t="str">
        <f>_xll.BDS("BRK/A US Equity","SUPPLY_CHAIN_SUPPLIERS","RELATIONSHIP_AS_OF_DATE","20020819","cols=1;rows=5")</f>
        <v>HSY US Equity</v>
      </c>
      <c r="GD5" t="str">
        <f>_xll.BDS("BRK/A US Equity","SUPPLY_CHAIN_CUSTOMERS","RELATIONSHIP_AS_OF_DATE","20020819","cols=1;rows=5")</f>
        <v>WMT US Equity</v>
      </c>
      <c r="GI5" t="str">
        <f>_xll.BDS("CAH US Equity","SUPPLY_CHAIN_SUPPLIERS","RELATIONSHIP_AS_OF_DATE","20020627","cols=1;rows=5")</f>
        <v>LLY US Equity</v>
      </c>
      <c r="GN5" t="str">
        <f>_xll.BDS("CAH US Equity","SUPPLY_CHAIN_CUSTOMERS","RELATIONSHIP_AS_OF_DATE","20020627","cols=1;rows=5")</f>
        <v>CVS US Equity</v>
      </c>
      <c r="GS5" t="str">
        <f>_xll.BDS("nan Equity","SUPPLY_CHAIN_SUPPLIERS","RELATIONSHIP_AS_OF_DATE","20101116")</f>
        <v>#N/A N/A</v>
      </c>
      <c r="GX5" t="str">
        <f>_xll.BDS("nan Equity","SUPPLY_CHAIN_CUSTOMERS","RELATIONSHIP_AS_OF_DATE","20101116")</f>
        <v>#N/A N/A</v>
      </c>
      <c r="HC5" t="str">
        <f>_xll.BDS("WLY US Equity","SUPPLY_CHAIN_SUPPLIERS","RELATIONSHIP_AS_OF_DATE","20010813","cols=1;rows=5")</f>
        <v>0257612Z AU Equity</v>
      </c>
      <c r="HH5" t="str">
        <f>_xll.BDS("WLY US Equity","SUPPLY_CHAIN_CUSTOMERS","RELATIONSHIP_AS_OF_DATE","20010813","cols=1;rows=5")</f>
        <v>0030366D US Equity</v>
      </c>
      <c r="HM5" t="str">
        <f>_xll.BDS("MCHP US Equity","SUPPLY_CHAIN_SUPPLIERS","RELATIONSHIP_AS_OF_DATE","20100203","cols=1;rows=5")</f>
        <v>GFS US Equity</v>
      </c>
      <c r="HR5" t="str">
        <f>_xll.BDS("MCHP US Equity","SUPPLY_CHAIN_CUSTOMERS","RELATIONSHIP_AS_OF_DATE","20100203","cols=1;rows=5")</f>
        <v>ARW US Equity</v>
      </c>
      <c r="HW5" t="str">
        <f>_xll.BDS("BMC US Equity","SUPPLY_CHAIN_SUPPLIERS","RELATIONSHIP_AS_OF_DATE","20040429")</f>
        <v>AMZN US Equity</v>
      </c>
      <c r="IB5" t="str">
        <f>_xll.BDS("BMC US Equity","SUPPLY_CHAIN_CUSTOMERS","RELATIONSHIP_AS_OF_DATE","20040429")</f>
        <v>#N/A N/A</v>
      </c>
      <c r="IG5" t="str">
        <f>_xll.BDS("TCF US Equity","SUPPLY_CHAIN_SUPPLIERS","RELATIONSHIP_AS_OF_DATE","20000822")</f>
        <v>#N/A N/A</v>
      </c>
      <c r="IL5" t="str">
        <f>_xll.BDS("TCF US Equity","SUPPLY_CHAIN_CUSTOMERS","RELATIONSHIP_AS_OF_DATE","20000822")</f>
        <v>#N/A N/A</v>
      </c>
      <c r="IQ5" t="str">
        <f>_xll.BDS("UCBHQ US Equity","SUPPLY_CHAIN_SUPPLIERS","RELATIONSHIP_AS_OF_DATE","20060919")</f>
        <v>#N/A N/A</v>
      </c>
      <c r="IV5" t="str">
        <f>_xll.BDS("UCBHQ US Equity","SUPPLY_CHAIN_CUSTOMERS","RELATIONSHIP_AS_OF_DATE","20060919")</f>
        <v>#N/A N/A</v>
      </c>
      <c r="JA5" t="str">
        <f>_xll.BDS("CARO US Equity","SUPPLY_CHAIN_SUPPLIERS","RELATIONSHIP_AS_OF_DATE","20170612")</f>
        <v>#N/A N/A</v>
      </c>
      <c r="JF5" t="str">
        <f>_xll.BDS("CARO US Equity","SUPPLY_CHAIN_CUSTOMERS","RELATIONSHIP_AS_OF_DATE","20170612")</f>
        <v>#N/A N/A</v>
      </c>
      <c r="JK5" t="str">
        <f>_xll.BDS("1947467D US Equity","SUPPLY_CHAIN_SUPPLIERS","RELATIONSHIP_AS_OF_DATE","19980311")</f>
        <v>#N/A N/A</v>
      </c>
      <c r="JP5" t="str">
        <f>_xll.BDS("1947467D US Equity","SUPPLY_CHAIN_CUSTOMERS","RELATIONSHIP_AS_OF_DATE","19980311")</f>
        <v>#N/A N/A</v>
      </c>
      <c r="JU5" t="str">
        <f>_xll.BDS("nan Equity","SUPPLY_CHAIN_SUPPLIERS","RELATIONSHIP_AS_OF_DATE","20030613")</f>
        <v>#N/A N/A</v>
      </c>
      <c r="JZ5" t="str">
        <f>_xll.BDS("nan Equity","SUPPLY_CHAIN_CUSTOMERS","RELATIONSHIP_AS_OF_DATE","20030613")</f>
        <v>#N/A N/A</v>
      </c>
      <c r="KE5" t="str">
        <f>_xll.BDS("TTN US Equity","SUPPLY_CHAIN_SUPPLIERS","RELATIONSHIP_AS_OF_DATE","19991209")</f>
        <v>#N/A N/A</v>
      </c>
      <c r="KJ5" t="str">
        <f>_xll.BDS("TTN US Equity","SUPPLY_CHAIN_CUSTOMERS","RELATIONSHIP_AS_OF_DATE","19991209")</f>
        <v>#N/A N/A</v>
      </c>
      <c r="KO5" t="str">
        <f>_xll.BDS("NEQSQ US Equity","SUPPLY_CHAIN_SUPPLIERS","RELATIONSHIP_AS_OF_DATE","19980402")</f>
        <v>#N/A N/A</v>
      </c>
      <c r="KT5" t="str">
        <f>_xll.BDS("NEQSQ US Equity","SUPPLY_CHAIN_CUSTOMERS","RELATIONSHIP_AS_OF_DATE","19980402")</f>
        <v>#N/A N/A</v>
      </c>
      <c r="KY5" t="str">
        <f>_xll.BDS("COEP US Equity","SUPPLY_CHAIN_SUPPLIERS","RELATIONSHIP_AS_OF_DATE","20220419","cols=1;rows=3")</f>
        <v>1742357D US Equity</v>
      </c>
      <c r="LD5" t="str">
        <f>_xll.BDS("COEP US Equity","SUPPLY_CHAIN_CUSTOMERS","RELATIONSHIP_AS_OF_DATE","20220419")</f>
        <v>1742357D US Equity</v>
      </c>
      <c r="LI5" t="str">
        <f>_xll.BDS("STNR US Equity","SUPPLY_CHAIN_SUPPLIERS","RELATIONSHIP_AS_OF_DATE","20111017")</f>
        <v>#N/A N/A</v>
      </c>
      <c r="LN5" t="str">
        <f>_xll.BDS("STNR US Equity","SUPPLY_CHAIN_CUSTOMERS","RELATIONSHIP_AS_OF_DATE","20111017")</f>
        <v>#N/A N/A</v>
      </c>
      <c r="LS5" t="str">
        <f>_xll.BDS("SOCNQ US Equity","SUPPLY_CHAIN_SUPPLIERS","RELATIONSHIP_AS_OF_DATE","19980302")</f>
        <v>#N/A N/A</v>
      </c>
      <c r="LX5" t="str">
        <f>_xll.BDS("SOCNQ US Equity","SUPPLY_CHAIN_CUSTOMERS","RELATIONSHIP_AS_OF_DATE","19980302")</f>
        <v>GSANBOB1 MM Equity</v>
      </c>
      <c r="MC5" t="str">
        <f>_xll.BDS("CBRL US Equity","SUPPLY_CHAIN_SUPPLIERS","RELATIONSHIP_AS_OF_DATE","19981211","cols=1;rows=5")</f>
        <v>BGS US Equity</v>
      </c>
      <c r="MH5" t="str">
        <f>_xll.BDS("CBRL US Equity","SUPPLY_CHAIN_CUSTOMERS","RELATIONSHIP_AS_OF_DATE","19981211","cols=1;rows=3")</f>
        <v>DASH US Equity</v>
      </c>
      <c r="MM5" t="str">
        <f>_xll.BDS("PERFQ US Equity","SUPPLY_CHAIN_SUPPLIERS","RELATIONSHIP_AS_OF_DATE","20111223")</f>
        <v>PEG US Equity</v>
      </c>
      <c r="MR5" t="str">
        <f>_xll.BDS("PERFQ US Equity","SUPPLY_CHAIN_CUSTOMERS","RELATIONSHIP_AS_OF_DATE","20111223")</f>
        <v>#N/A N/A</v>
      </c>
      <c r="MW5" t="str">
        <f>_xll.BDS("CMCO US Equity","SUPPLY_CHAIN_SUPPLIERS","RELATIONSHIP_AS_OF_DATE","20150727","cols=1;rows=5")</f>
        <v>AEE US Equity</v>
      </c>
      <c r="NB5" t="str">
        <f>_xll.BDS("CMCO US Equity","SUPPLY_CHAIN_CUSTOMERS","RELATIONSHIP_AS_OF_DATE","20150727","cols=1;rows=5")</f>
        <v>0228856Z US Equity</v>
      </c>
      <c r="NG5" t="str">
        <f>_xll.BDS("597946Q US Equity","SUPPLY_CHAIN_SUPPLIERS","RELATIONSHIP_AS_OF_DATE","19990716")</f>
        <v>#N/A N/A</v>
      </c>
      <c r="NL5" t="str">
        <f>_xll.BDS("597946Q US Equity","SUPPLY_CHAIN_CUSTOMERS","RELATIONSHIP_AS_OF_DATE","19990716")</f>
        <v>#N/A N/A</v>
      </c>
      <c r="NQ5" t="str">
        <f>_xll.BDS("MRK US Equity","SUPPLY_CHAIN_SUPPLIERS","RELATIONSHIP_AS_OF_DATE","20190221","cols=1;rows=5")</f>
        <v>AZN LN Equity</v>
      </c>
      <c r="NV5" t="str">
        <f>_xll.BDS("MRK US Equity","SUPPLY_CHAIN_CUSTOMERS","RELATIONSHIP_AS_OF_DATE","20190221","cols=1;rows=5")</f>
        <v>COR US Equity</v>
      </c>
      <c r="OA5" t="str">
        <f>_xll.BDS("AME US Equity","SUPPLY_CHAIN_SUPPLIERS","RELATIONSHIP_AS_OF_DATE","20170417","cols=1;rows=5")</f>
        <v>COHR US Equity</v>
      </c>
      <c r="OF5" t="str">
        <f>_xll.BDS("AME US Equity","SUPPLY_CHAIN_CUSTOMERS","RELATIONSHIP_AS_OF_DATE","20170417","cols=1;rows=5")</f>
        <v>SNX US Equity</v>
      </c>
    </row>
    <row r="6" spans="1:396" x14ac:dyDescent="0.25">
      <c r="K6" t="s">
        <v>11446</v>
      </c>
      <c r="P6" t="s">
        <v>489</v>
      </c>
      <c r="AY6" t="s">
        <v>10810</v>
      </c>
      <c r="BI6" t="s">
        <v>11065</v>
      </c>
      <c r="BN6" t="s">
        <v>684</v>
      </c>
      <c r="CH6" t="s">
        <v>11785</v>
      </c>
      <c r="DQ6" t="s">
        <v>12214</v>
      </c>
      <c r="DV6" t="s">
        <v>1468</v>
      </c>
      <c r="EA6" t="s">
        <v>11237</v>
      </c>
      <c r="EF6" t="s">
        <v>2398</v>
      </c>
      <c r="EU6" t="s">
        <v>154</v>
      </c>
      <c r="FE6" t="s">
        <v>10739</v>
      </c>
      <c r="FY6" t="s">
        <v>2792</v>
      </c>
      <c r="GD6" t="s">
        <v>10677</v>
      </c>
      <c r="GI6" t="s">
        <v>45</v>
      </c>
      <c r="GN6" t="s">
        <v>10882</v>
      </c>
      <c r="HC6" t="s">
        <v>12708</v>
      </c>
      <c r="HH6" t="s">
        <v>12384</v>
      </c>
      <c r="HM6" t="s">
        <v>11203</v>
      </c>
      <c r="HR6" t="s">
        <v>10659</v>
      </c>
      <c r="KY6" t="s">
        <v>12004</v>
      </c>
      <c r="MC6" t="s">
        <v>10888</v>
      </c>
      <c r="MH6" t="s">
        <v>11790</v>
      </c>
      <c r="MW6" t="s">
        <v>10696</v>
      </c>
      <c r="NB6" t="s">
        <v>11143</v>
      </c>
      <c r="NQ6" t="s">
        <v>368</v>
      </c>
      <c r="NV6" t="s">
        <v>385</v>
      </c>
      <c r="OA6" t="s">
        <v>12110</v>
      </c>
      <c r="OF6" t="s">
        <v>6386</v>
      </c>
    </row>
    <row r="7" spans="1:396" x14ac:dyDescent="0.25">
      <c r="K7" t="s">
        <v>11447</v>
      </c>
      <c r="P7" t="s">
        <v>684</v>
      </c>
      <c r="BI7" t="s">
        <v>6477</v>
      </c>
      <c r="BN7" t="s">
        <v>6473</v>
      </c>
      <c r="DQ7" t="s">
        <v>12215</v>
      </c>
      <c r="DV7" t="s">
        <v>970</v>
      </c>
      <c r="EA7" t="s">
        <v>11544</v>
      </c>
      <c r="EF7" t="s">
        <v>11544</v>
      </c>
      <c r="FY7" t="s">
        <v>10737</v>
      </c>
      <c r="GD7" t="s">
        <v>4642</v>
      </c>
      <c r="GI7" t="s">
        <v>368</v>
      </c>
      <c r="GN7" t="s">
        <v>10883</v>
      </c>
      <c r="HC7" t="s">
        <v>259</v>
      </c>
      <c r="HH7" t="s">
        <v>12385</v>
      </c>
      <c r="HM7" t="s">
        <v>3611</v>
      </c>
      <c r="HR7" t="s">
        <v>3519</v>
      </c>
      <c r="KY7" t="s">
        <v>12005</v>
      </c>
      <c r="MC7" t="s">
        <v>8762</v>
      </c>
      <c r="MH7" t="s">
        <v>11433</v>
      </c>
      <c r="MW7" t="s">
        <v>12251</v>
      </c>
      <c r="NB7" t="s">
        <v>10657</v>
      </c>
      <c r="NQ7" t="s">
        <v>11467</v>
      </c>
      <c r="NV7" t="s">
        <v>970</v>
      </c>
      <c r="OA7" t="s">
        <v>11849</v>
      </c>
      <c r="OF7" t="s">
        <v>10939</v>
      </c>
    </row>
    <row r="8" spans="1:396" x14ac:dyDescent="0.25">
      <c r="K8" t="s">
        <v>11448</v>
      </c>
      <c r="P8" t="s">
        <v>11156</v>
      </c>
      <c r="BI8" t="s">
        <v>266</v>
      </c>
      <c r="BN8" t="s">
        <v>11248</v>
      </c>
      <c r="DQ8" t="s">
        <v>65</v>
      </c>
      <c r="DV8" t="s">
        <v>51</v>
      </c>
      <c r="EA8" t="s">
        <v>11545</v>
      </c>
      <c r="EF8" t="s">
        <v>570</v>
      </c>
      <c r="FY8" t="s">
        <v>4475</v>
      </c>
      <c r="GD8" t="s">
        <v>1363</v>
      </c>
      <c r="GI8" t="s">
        <v>43</v>
      </c>
      <c r="GN8" t="s">
        <v>477</v>
      </c>
      <c r="HC8" t="s">
        <v>12709</v>
      </c>
      <c r="HH8" t="s">
        <v>12386</v>
      </c>
      <c r="HM8" t="s">
        <v>11094</v>
      </c>
      <c r="HR8" t="s">
        <v>11194</v>
      </c>
      <c r="MC8" t="s">
        <v>6478</v>
      </c>
      <c r="MW8" t="s">
        <v>158</v>
      </c>
      <c r="NB8" t="s">
        <v>12216</v>
      </c>
      <c r="NQ8" t="s">
        <v>11468</v>
      </c>
      <c r="NV8" t="s">
        <v>43</v>
      </c>
      <c r="OA8" t="s">
        <v>11031</v>
      </c>
      <c r="OF8" t="s">
        <v>5423</v>
      </c>
    </row>
    <row r="9" spans="1:396" x14ac:dyDescent="0.25">
      <c r="K9" t="s">
        <v>11449</v>
      </c>
      <c r="P9" t="s">
        <v>11040</v>
      </c>
      <c r="BI9" t="s">
        <v>11466</v>
      </c>
      <c r="BN9" t="s">
        <v>2967</v>
      </c>
      <c r="DQ9" t="s">
        <v>368</v>
      </c>
      <c r="DV9" t="s">
        <v>472</v>
      </c>
      <c r="EA9" t="s">
        <v>1549</v>
      </c>
      <c r="EF9" t="s">
        <v>12030</v>
      </c>
      <c r="FY9" t="s">
        <v>10738</v>
      </c>
      <c r="GD9" t="s">
        <v>42</v>
      </c>
      <c r="GI9" t="s">
        <v>275</v>
      </c>
      <c r="GN9" t="s">
        <v>10634</v>
      </c>
      <c r="HC9" t="s">
        <v>12710</v>
      </c>
      <c r="HH9" t="s">
        <v>12387</v>
      </c>
      <c r="HM9" t="s">
        <v>4898</v>
      </c>
      <c r="HR9" t="s">
        <v>10688</v>
      </c>
      <c r="MC9" t="s">
        <v>11743</v>
      </c>
      <c r="MW9" t="s">
        <v>1545</v>
      </c>
      <c r="NB9" t="s">
        <v>10933</v>
      </c>
      <c r="NQ9" t="s">
        <v>11159</v>
      </c>
      <c r="NV9" t="s">
        <v>11467</v>
      </c>
      <c r="OA9" t="s">
        <v>12111</v>
      </c>
      <c r="OF9" t="s">
        <v>12029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6425</v>
      </c>
      <c r="K1" s="1" t="s">
        <v>6426</v>
      </c>
      <c r="U1" s="1" t="s">
        <v>6427</v>
      </c>
      <c r="AE1" s="1" t="s">
        <v>6428</v>
      </c>
      <c r="AO1" s="1" t="s">
        <v>6429</v>
      </c>
      <c r="AY1" s="1" t="s">
        <v>6430</v>
      </c>
      <c r="BI1" s="1" t="s">
        <v>6431</v>
      </c>
      <c r="BS1" s="1" t="s">
        <v>6432</v>
      </c>
      <c r="CC1" s="1" t="s">
        <v>6433</v>
      </c>
      <c r="CM1" s="1" t="s">
        <v>6434</v>
      </c>
      <c r="CW1" s="1" t="s">
        <v>6435</v>
      </c>
      <c r="DG1" s="1" t="s">
        <v>6436</v>
      </c>
      <c r="DQ1" s="1" t="s">
        <v>6437</v>
      </c>
      <c r="EA1" s="1" t="s">
        <v>6438</v>
      </c>
      <c r="EK1" s="1" t="s">
        <v>6439</v>
      </c>
      <c r="EU1" s="1" t="s">
        <v>6440</v>
      </c>
      <c r="FE1" s="1" t="s">
        <v>6441</v>
      </c>
      <c r="FO1" s="1" t="s">
        <v>6442</v>
      </c>
      <c r="FY1" s="1" t="s">
        <v>6443</v>
      </c>
      <c r="GI1" s="1" t="s">
        <v>6444</v>
      </c>
      <c r="GS1" s="1" t="s">
        <v>6445</v>
      </c>
      <c r="HC1" s="1" t="s">
        <v>6446</v>
      </c>
      <c r="HM1" s="1" t="s">
        <v>6447</v>
      </c>
      <c r="HW1" s="1" t="s">
        <v>6448</v>
      </c>
      <c r="IG1" s="1" t="s">
        <v>6449</v>
      </c>
      <c r="IQ1" s="1" t="s">
        <v>6450</v>
      </c>
      <c r="JA1" s="1" t="s">
        <v>6451</v>
      </c>
      <c r="JK1" s="1" t="s">
        <v>6452</v>
      </c>
      <c r="JU1" s="1" t="s">
        <v>6453</v>
      </c>
      <c r="KE1" s="1" t="s">
        <v>6454</v>
      </c>
      <c r="KO1" s="1" t="s">
        <v>6455</v>
      </c>
      <c r="KY1" s="1" t="s">
        <v>6456</v>
      </c>
      <c r="LI1" s="1" t="s">
        <v>6457</v>
      </c>
      <c r="LS1" s="1" t="s">
        <v>6458</v>
      </c>
      <c r="MC1" s="1" t="s">
        <v>6459</v>
      </c>
      <c r="MM1" s="1" t="s">
        <v>6460</v>
      </c>
      <c r="MW1" s="1" t="s">
        <v>6461</v>
      </c>
      <c r="NG1" s="1" t="s">
        <v>6462</v>
      </c>
      <c r="NQ1" s="1" t="s">
        <v>6463</v>
      </c>
      <c r="OA1" s="1" t="s">
        <v>6464</v>
      </c>
    </row>
    <row r="2" spans="1:396" x14ac:dyDescent="0.25">
      <c r="A2" s="2" t="s">
        <v>4570</v>
      </c>
      <c r="K2" s="2" t="s">
        <v>6465</v>
      </c>
      <c r="U2" s="2" t="s">
        <v>5422</v>
      </c>
      <c r="AE2" s="2" t="s">
        <v>3336</v>
      </c>
      <c r="AO2" s="2" t="s">
        <v>6466</v>
      </c>
      <c r="AY2" s="2" t="s">
        <v>2294</v>
      </c>
      <c r="BI2" s="2" t="s">
        <v>4227</v>
      </c>
      <c r="BS2" s="2" t="s">
        <v>6467</v>
      </c>
      <c r="CC2" s="2" t="s">
        <v>6468</v>
      </c>
      <c r="CM2" s="2" t="s">
        <v>6469</v>
      </c>
      <c r="CW2" s="2" t="s">
        <v>6470</v>
      </c>
      <c r="DG2" s="2" t="s">
        <v>2303</v>
      </c>
      <c r="DQ2" s="2" t="s">
        <v>390</v>
      </c>
      <c r="EA2" s="2" t="s">
        <v>6471</v>
      </c>
      <c r="EK2" s="2" t="s">
        <v>5339</v>
      </c>
      <c r="EU2" s="2" t="s">
        <v>175</v>
      </c>
      <c r="FE2" s="2" t="s">
        <v>4126</v>
      </c>
      <c r="FO2" s="2" t="s">
        <v>272</v>
      </c>
      <c r="FY2" s="2" t="s">
        <v>5996</v>
      </c>
      <c r="GI2" s="2" t="s">
        <v>5847</v>
      </c>
      <c r="GS2" s="2" t="s">
        <v>1468</v>
      </c>
      <c r="HC2" s="2" t="s">
        <v>6472</v>
      </c>
      <c r="HM2" s="2" t="s">
        <v>2792</v>
      </c>
      <c r="HW2" s="2" t="s">
        <v>6473</v>
      </c>
      <c r="IG2" s="2" t="s">
        <v>1376</v>
      </c>
      <c r="IQ2" s="2" t="s">
        <v>1543</v>
      </c>
      <c r="JA2" s="2" t="s">
        <v>479</v>
      </c>
      <c r="JK2" s="2" t="s">
        <v>5330</v>
      </c>
      <c r="JU2" s="2" t="s">
        <v>4822</v>
      </c>
      <c r="KE2" s="2" t="s">
        <v>3609</v>
      </c>
      <c r="KO2" s="2" t="s">
        <v>6474</v>
      </c>
      <c r="KY2" s="2" t="s">
        <v>6475</v>
      </c>
      <c r="LI2" s="2" t="s">
        <v>6476</v>
      </c>
      <c r="LS2" s="2" t="s">
        <v>4215</v>
      </c>
      <c r="MC2" s="2" t="s">
        <v>6477</v>
      </c>
      <c r="MM2" s="2" t="s">
        <v>1365</v>
      </c>
      <c r="MW2" s="2" t="s">
        <v>2313</v>
      </c>
      <c r="NG2" s="2" t="s">
        <v>977</v>
      </c>
      <c r="NQ2" s="2" t="s">
        <v>1945</v>
      </c>
      <c r="OA2" s="2" t="s">
        <v>6478</v>
      </c>
    </row>
    <row r="3" spans="1:396" x14ac:dyDescent="0.25">
      <c r="A3" t="s">
        <v>6479</v>
      </c>
      <c r="K3" t="s">
        <v>6480</v>
      </c>
      <c r="U3" t="s">
        <v>6481</v>
      </c>
      <c r="AE3" t="s">
        <v>4507</v>
      </c>
      <c r="AO3" t="s">
        <v>6482</v>
      </c>
      <c r="AY3" t="s">
        <v>3466</v>
      </c>
      <c r="BI3" t="s">
        <v>1489</v>
      </c>
      <c r="BS3" t="s">
        <v>1499</v>
      </c>
      <c r="CC3" t="s">
        <v>6483</v>
      </c>
      <c r="CM3" t="s">
        <v>6484</v>
      </c>
      <c r="CW3" t="s">
        <v>6485</v>
      </c>
      <c r="DG3" t="s">
        <v>6486</v>
      </c>
      <c r="DQ3" t="s">
        <v>626</v>
      </c>
      <c r="EA3" t="s">
        <v>6487</v>
      </c>
      <c r="EK3" t="s">
        <v>5279</v>
      </c>
      <c r="EU3" t="s">
        <v>3353</v>
      </c>
      <c r="FE3" t="s">
        <v>6488</v>
      </c>
      <c r="FO3" t="s">
        <v>6489</v>
      </c>
      <c r="FY3" t="s">
        <v>6490</v>
      </c>
      <c r="GI3" t="s">
        <v>6491</v>
      </c>
      <c r="GS3" t="s">
        <v>6492</v>
      </c>
      <c r="HC3" t="s">
        <v>6493</v>
      </c>
      <c r="HM3" t="s">
        <v>823</v>
      </c>
      <c r="HW3" t="s">
        <v>2615</v>
      </c>
      <c r="IG3" t="s">
        <v>6494</v>
      </c>
      <c r="IQ3" t="s">
        <v>6495</v>
      </c>
      <c r="JA3" t="s">
        <v>2813</v>
      </c>
      <c r="JK3" t="s">
        <v>1496</v>
      </c>
      <c r="JU3" t="s">
        <v>6496</v>
      </c>
      <c r="KE3" t="s">
        <v>6497</v>
      </c>
      <c r="KO3" t="s">
        <v>6498</v>
      </c>
      <c r="KY3" t="s">
        <v>6499</v>
      </c>
      <c r="LI3" t="s">
        <v>5860</v>
      </c>
      <c r="LS3" t="s">
        <v>6500</v>
      </c>
      <c r="MC3" t="s">
        <v>1583</v>
      </c>
      <c r="MM3" t="s">
        <v>6501</v>
      </c>
      <c r="MW3" t="s">
        <v>6502</v>
      </c>
      <c r="NG3" t="s">
        <v>6503</v>
      </c>
      <c r="NQ3" t="s">
        <v>6504</v>
      </c>
      <c r="OA3" t="s">
        <v>1861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_xll.BDS("TEX US Equity","SUPPLY_CHAIN_SUPPLIERS","RELATIONSHIP_AS_OF_DATE","20010628","cols=1;rows=5")</f>
        <v>RS US Equity</v>
      </c>
      <c r="F5" t="str">
        <f>_xll.BDS("TEX US Equity","SUPPLY_CHAIN_CUSTOMERS","RELATIONSHIP_AS_OF_DATE","20010628","cols=1;rows=5")</f>
        <v>URI US Equity</v>
      </c>
      <c r="K5" t="str">
        <f>_xll.BDS("MSBI US Equity","SUPPLY_CHAIN_SUPPLIERS","RELATIONSHIP_AS_OF_DATE","20170126")</f>
        <v>#N/A N/A</v>
      </c>
      <c r="P5" t="str">
        <f>_xll.BDS("MSBI US Equity","SUPPLY_CHAIN_CUSTOMERS","RELATIONSHIP_AS_OF_DATE","20170126")</f>
        <v>#N/A N/A</v>
      </c>
      <c r="U5" t="str">
        <f>_xll.BDS("TOWN US Equity","SUPPLY_CHAIN_SUPPLIERS","RELATIONSHIP_AS_OF_DATE","20151217")</f>
        <v>#N/A N/A</v>
      </c>
      <c r="Z5" t="str">
        <f>_xll.BDS("TOWN US Equity","SUPPLY_CHAIN_CUSTOMERS","RELATIONSHIP_AS_OF_DATE","20151217")</f>
        <v>#N/A N/A</v>
      </c>
      <c r="AE5" t="str">
        <f>_xll.BDS("3346Q US Equity","SUPPLY_CHAIN_SUPPLIERS","RELATIONSHIP_AS_OF_DATE","20000627")</f>
        <v>#N/A N/A</v>
      </c>
      <c r="AJ5" t="str">
        <f>_xll.BDS("3346Q US Equity","SUPPLY_CHAIN_CUSTOMERS","RELATIONSHIP_AS_OF_DATE","20000627")</f>
        <v>#N/A N/A</v>
      </c>
      <c r="AO5" t="str">
        <f>_xll.BDS("1498499D US Equity","SUPPLY_CHAIN_SUPPLIERS","RELATIONSHIP_AS_OF_DATE","19991012")</f>
        <v>#N/A N/A</v>
      </c>
      <c r="AT5" t="str">
        <f>_xll.BDS("1498499D US Equity","SUPPLY_CHAIN_CUSTOMERS","RELATIONSHIP_AS_OF_DATE","19991012")</f>
        <v>#N/A N/A</v>
      </c>
      <c r="AY5" t="str">
        <f>_xll.BDS("2258717D US Equity","SUPPLY_CHAIN_SUPPLIERS","RELATIONSHIP_AS_OF_DATE","19991221")</f>
        <v>#N/A N/A</v>
      </c>
      <c r="BD5" t="str">
        <f>_xll.BDS("2258717D US Equity","SUPPLY_CHAIN_CUSTOMERS","RELATIONSHIP_AS_OF_DATE","19991221")</f>
        <v>#N/A N/A</v>
      </c>
      <c r="BI5" t="str">
        <f>_xll.BDS("CBST US Equity","SUPPLY_CHAIN_SUPPLIERS","RELATIONSHIP_AS_OF_DATE","20111024")</f>
        <v>#N/A N/A</v>
      </c>
      <c r="BN5" t="str">
        <f>_xll.BDS("CBST US Equity","SUPPLY_CHAIN_CUSTOMERS","RELATIONSHIP_AS_OF_DATE","20111024")</f>
        <v>#N/A N/A</v>
      </c>
      <c r="BS5" t="str">
        <f>_xll.BDS("UGS US Equity","SUPPLY_CHAIN_SUPPLIERS","RELATIONSHIP_AS_OF_DATE","20000905")</f>
        <v>#N/A N/A</v>
      </c>
      <c r="BX5" t="str">
        <f>_xll.BDS("UGS US Equity","SUPPLY_CHAIN_CUSTOMERS","RELATIONSHIP_AS_OF_DATE","20000905")</f>
        <v>#N/A N/A</v>
      </c>
      <c r="CC5" t="str">
        <f>_xll.BDS("3059Q US Equity","SUPPLY_CHAIN_SUPPLIERS","RELATIONSHIP_AS_OF_DATE","19980417")</f>
        <v>#N/A N/A</v>
      </c>
      <c r="CH5" t="str">
        <f>_xll.BDS("3059Q US Equity","SUPPLY_CHAIN_CUSTOMERS","RELATIONSHIP_AS_OF_DATE","19980417")</f>
        <v>#N/A N/A</v>
      </c>
      <c r="CM5" t="str">
        <f>_xll.BDS("RSFC US Equity","SUPPLY_CHAIN_SUPPLIERS","RELATIONSHIP_AS_OF_DATE","19980528")</f>
        <v>#N/A N/A</v>
      </c>
      <c r="CR5" t="str">
        <f>_xll.BDS("RSFC US Equity","SUPPLY_CHAIN_CUSTOMERS","RELATIONSHIP_AS_OF_DATE","19980528")</f>
        <v>#N/A N/A</v>
      </c>
      <c r="CW5" t="str">
        <f>_xll.BDS("DAVLE US Equity","SUPPLY_CHAIN_SUPPLIERS","RELATIONSHIP_AS_OF_DATE","19980706")</f>
        <v>#N/A N/A</v>
      </c>
      <c r="DB5" t="str">
        <f>_xll.BDS("DAVLE US Equity","SUPPLY_CHAIN_CUSTOMERS","RELATIONSHIP_AS_OF_DATE","19980706")</f>
        <v>#N/A N/A</v>
      </c>
      <c r="DG5" t="str">
        <f>_xll.BDS("SLXP US Equity","SUPPLY_CHAIN_SUPPLIERS","RELATIONSHIP_AS_OF_DATE","20050623")</f>
        <v>#N/A N/A</v>
      </c>
      <c r="DL5" t="str">
        <f>_xll.BDS("SLXP US Equity","SUPPLY_CHAIN_CUSTOMERS","RELATIONSHIP_AS_OF_DATE","20050623")</f>
        <v>#N/A N/A</v>
      </c>
      <c r="DQ5" t="str">
        <f>_xll.BDS("GEN US Equity","SUPPLY_CHAIN_SUPPLIERS","RELATIONSHIP_AS_OF_DATE","20051003","cols=1;rows=5")</f>
        <v>354 HK Equity</v>
      </c>
      <c r="DV5" t="str">
        <f>_xll.BDS("GEN US Equity","SUPPLY_CHAIN_CUSTOMERS","RELATIONSHIP_AS_OF_DATE","20051003","cols=1;rows=5")</f>
        <v>BABA US Equity</v>
      </c>
      <c r="EA5" t="str">
        <f>_xll.BDS("894800Q US Equity","SUPPLY_CHAIN_SUPPLIERS","RELATIONSHIP_AS_OF_DATE","20030407")</f>
        <v>#N/A N/A</v>
      </c>
      <c r="EF5" t="str">
        <f>_xll.BDS("894800Q US Equity","SUPPLY_CHAIN_CUSTOMERS","RELATIONSHIP_AS_OF_DATE","20030407")</f>
        <v>#N/A N/A</v>
      </c>
      <c r="EK5" t="str">
        <f>_xll.BDS("FBNC US Equity","SUPPLY_CHAIN_SUPPLIERS","RELATIONSHIP_AS_OF_DATE","20220621")</f>
        <v>#N/A N/A</v>
      </c>
      <c r="EP5" t="str">
        <f>_xll.BDS("FBNC US Equity","SUPPLY_CHAIN_CUSTOMERS","RELATIONSHIP_AS_OF_DATE","20220621")</f>
        <v>#N/A N/A</v>
      </c>
      <c r="EU5" t="str">
        <f>_xll.BDS("TFC US Equity","SUPPLY_CHAIN_SUPPLIERS","RELATIONSHIP_AS_OF_DATE","20010124","cols=1;rows=5")</f>
        <v>ADBE US Equity</v>
      </c>
      <c r="EZ5" t="str">
        <f>_xll.BDS("TFC US Equity","SUPPLY_CHAIN_CUSTOMERS","RELATIONSHIP_AS_OF_DATE","20010124")</f>
        <v>RENG IN Equity</v>
      </c>
      <c r="FE5" t="str">
        <f>_xll.BDS("MBFI US Equity","SUPPLY_CHAIN_SUPPLIERS","RELATIONSHIP_AS_OF_DATE","20010420")</f>
        <v>#N/A N/A</v>
      </c>
      <c r="FJ5" t="str">
        <f>_xll.BDS("MBFI US Equity","SUPPLY_CHAIN_CUSTOMERS","RELATIONSHIP_AS_OF_DATE","20010420")</f>
        <v>#N/A N/A</v>
      </c>
      <c r="FO5" t="str">
        <f>_xll.BDS("TMO US Equity","SUPPLY_CHAIN_SUPPLIERS","RELATIONSHIP_AS_OF_DATE","20000131","cols=1;rows=5")</f>
        <v>EMR US Equity</v>
      </c>
      <c r="FT5" t="str">
        <f>_xll.BDS("TMO US Equity","SUPPLY_CHAIN_CUSTOMERS","RELATIONSHIP_AS_OF_DATE","20000131","cols=1;rows=5")</f>
        <v>4195 TT Equity</v>
      </c>
      <c r="FY5" t="str">
        <f>_xll.BDS("CKFR US Equity","SUPPLY_CHAIN_SUPPLIERS","RELATIONSHIP_AS_OF_DATE","20070102")</f>
        <v>#N/A N/A</v>
      </c>
      <c r="GD5" t="str">
        <f>_xll.BDS("CKFR US Equity","SUPPLY_CHAIN_CUSTOMERS","RELATIONSHIP_AS_OF_DATE","20070102")</f>
        <v>#N/A N/A</v>
      </c>
      <c r="GI5" t="str">
        <f>_xll.BDS("BCR US Equity","SUPPLY_CHAIN_SUPPLIERS","RELATIONSHIP_AS_OF_DATE","20151120")</f>
        <v>FE US Equity</v>
      </c>
      <c r="GN5" t="str">
        <f>_xll.BDS("BCR US Equity","SUPPLY_CHAIN_CUSTOMERS","RELATIONSHIP_AS_OF_DATE","20151120")</f>
        <v>#N/A N/A</v>
      </c>
      <c r="GS5" t="str">
        <f>_xll.BDS("COR US Equity","SUPPLY_CHAIN_SUPPLIERS","RELATIONSHIP_AS_OF_DATE","19990429","cols=1;rows=5")</f>
        <v>LLY US Equity</v>
      </c>
      <c r="GX5" t="str">
        <f>_xll.BDS("COR US Equity","SUPPLY_CHAIN_CUSTOMERS","RELATIONSHIP_AS_OF_DATE","19990429","cols=1;rows=5")</f>
        <v>WBA US Equity</v>
      </c>
      <c r="HC5" t="str">
        <f>_xll.BDS("KO US Equity","SUPPLY_CHAIN_SUPPLIERS","RELATIONSHIP_AS_OF_DATE","20011030","cols=1;rows=5")</f>
        <v>CCK US Equity</v>
      </c>
      <c r="HH5" t="str">
        <f>_xll.BDS("KO US Equity","SUPPLY_CHAIN_CUSTOMERS","RELATIONSHIP_AS_OF_DATE","20011030","cols=1;rows=5")</f>
        <v>CCEP US Equity</v>
      </c>
      <c r="HM5" t="str">
        <f>_xll.BDS("TXT US Equity","SUPPLY_CHAIN_SUPPLIERS","RELATIONSHIP_AS_OF_DATE","19990923","cols=1;rows=5")</f>
        <v>RR/ LN Equity</v>
      </c>
      <c r="HR5" t="str">
        <f>_xll.BDS("TXT US Equity","SUPPLY_CHAIN_CUSTOMERS","RELATIONSHIP_AS_OF_DATE","19990923","cols=1;rows=5")</f>
        <v>3352Z US Equity</v>
      </c>
      <c r="HW5" t="str">
        <f>_xll.BDS("ARW US Equity","SUPPLY_CHAIN_SUPPLIERS","RELATIONSHIP_AS_OF_DATE","20100920","cols=1;rows=5")</f>
        <v>ADI US Equity</v>
      </c>
      <c r="IB5" t="str">
        <f>_xll.BDS("ARW US Equity","SUPPLY_CHAIN_CUSTOMERS","RELATIONSHIP_AS_OF_DATE","20100920","cols=1;rows=5")</f>
        <v>IBM US Equity</v>
      </c>
      <c r="IG5" t="str">
        <f>_xll.BDS("TDG US Equity","SUPPLY_CHAIN_SUPPLIERS","RELATIONSHIP_AS_OF_DATE","20151119","cols=1;rows=5")</f>
        <v>DCO US Equity</v>
      </c>
      <c r="IL5" t="str">
        <f>_xll.BDS("TDG US Equity","SUPPLY_CHAIN_CUSTOMERS","RELATIONSHIP_AS_OF_DATE","20151119","cols=1;rows=5")</f>
        <v>BA US Equity</v>
      </c>
      <c r="IQ5" t="str">
        <f>_xll.BDS("SOV US Equity","SUPPLY_CHAIN_SUPPLIERS","RELATIONSHIP_AS_OF_DATE","20010717")</f>
        <v>#N/A N/A</v>
      </c>
      <c r="IV5" t="str">
        <f>_xll.BDS("SOV US Equity","SUPPLY_CHAIN_CUSTOMERS","RELATIONSHIP_AS_OF_DATE","20010717")</f>
        <v>#N/A N/A</v>
      </c>
      <c r="JA5" t="str">
        <f>_xll.BDS("1312089D US Equity","SUPPLY_CHAIN_SUPPLIERS","RELATIONSHIP_AS_OF_DATE","19980120")</f>
        <v>#N/A N/A</v>
      </c>
      <c r="JF5" t="str">
        <f>_xll.BDS("1312089D US Equity","SUPPLY_CHAIN_CUSTOMERS","RELATIONSHIP_AS_OF_DATE","19980120")</f>
        <v>#N/A N/A</v>
      </c>
      <c r="JK5" t="str">
        <f>_xll.BDS("TSFG US Equity","SUPPLY_CHAIN_SUPPLIERS","RELATIONSHIP_AS_OF_DATE","20040317")</f>
        <v>#N/A N/A</v>
      </c>
      <c r="JP5" t="str">
        <f>_xll.BDS("TSFG US Equity","SUPPLY_CHAIN_CUSTOMERS","RELATIONSHIP_AS_OF_DATE","20040317")</f>
        <v>#N/A N/A</v>
      </c>
      <c r="JU5" t="str">
        <f>_xll.BDS("KRNY US Equity","SUPPLY_CHAIN_SUPPLIERS","RELATIONSHIP_AS_OF_DATE","20020911")</f>
        <v>FISV US Equity</v>
      </c>
      <c r="JZ5" t="str">
        <f>_xll.BDS("KRNY US Equity","SUPPLY_CHAIN_CUSTOMERS","RELATIONSHIP_AS_OF_DATE","20020911")</f>
        <v>#N/A N/A</v>
      </c>
      <c r="KE5" t="str">
        <f>_xll.BDS("CSFL US Equity","SUPPLY_CHAIN_SUPPLIERS","RELATIONSHIP_AS_OF_DATE","20170814")</f>
        <v>#N/A N/A</v>
      </c>
      <c r="KJ5" t="str">
        <f>_xll.BDS("CSFL US Equity","SUPPLY_CHAIN_CUSTOMERS","RELATIONSHIP_AS_OF_DATE","20170814")</f>
        <v>#N/A N/A</v>
      </c>
      <c r="KO5" t="str">
        <f>_xll.BDS("OCLR US Equity","SUPPLY_CHAIN_SUPPLIERS","RELATIONSHIP_AS_OF_DATE","20120326")</f>
        <v>#N/A N/A</v>
      </c>
      <c r="KT5" t="str">
        <f>_xll.BDS("OCLR US Equity","SUPPLY_CHAIN_CUSTOMERS","RELATIONSHIP_AS_OF_DATE","20120326")</f>
        <v>#N/A N/A</v>
      </c>
      <c r="KY5" t="str">
        <f>_xll.BDS("2569244D US Equity","SUPPLY_CHAIN_SUPPLIERS","RELATIONSHIP_AS_OF_DATE","20000711")</f>
        <v>#N/A N/A</v>
      </c>
      <c r="LD5" t="str">
        <f>_xll.BDS("2569244D US Equity","SUPPLY_CHAIN_CUSTOMERS","RELATIONSHIP_AS_OF_DATE","20000711")</f>
        <v>#N/A N/A</v>
      </c>
      <c r="LI5" t="str">
        <f>_xll.BDS("DXLG US Equity","SUPPLY_CHAIN_SUPPLIERS","RELATIONSHIP_AS_OF_DATE","20020502","cols=1;rows=5")</f>
        <v>UPS US Equity</v>
      </c>
      <c r="LN5" t="str">
        <f>_xll.BDS("DXLG US Equity","SUPPLY_CHAIN_CUSTOMERS","RELATIONSHIP_AS_OF_DATE","20020502","cols=1;rows=3")</f>
        <v>AMZN US Equity</v>
      </c>
      <c r="LS5" t="str">
        <f>_xll.BDS("SGID US Equity","SUPPLY_CHAIN_SUPPLIERS","RELATIONSHIP_AS_OF_DATE","19950207")</f>
        <v>#N/A N/A</v>
      </c>
      <c r="LX5" t="str">
        <f>_xll.BDS("SGID US Equity","SUPPLY_CHAIN_CUSTOMERS","RELATIONSHIP_AS_OF_DATE","19950207")</f>
        <v>#N/A N/A</v>
      </c>
      <c r="MC5" t="str">
        <f>_xll.BDS("NVDA US Equity","SUPPLY_CHAIN_SUPPLIERS","RELATIONSHIP_AS_OF_DATE","20061106","cols=1;rows=5")</f>
        <v>000660 KS Equity</v>
      </c>
      <c r="MH5" t="str">
        <f>_xll.BDS("NVDA US Equity","SUPPLY_CHAIN_CUSTOMERS","RELATIONSHIP_AS_OF_DATE","20061106","cols=1;rows=5")</f>
        <v>MSFT US Equity</v>
      </c>
      <c r="MM5" t="str">
        <f>_xll.BDS("TDY US Equity","SUPPLY_CHAIN_SUPPLIERS","RELATIONSHIP_AS_OF_DATE","20140903","cols=1;rows=5")</f>
        <v>VOYG US Equity</v>
      </c>
      <c r="MR5" t="str">
        <f>_xll.BDS("TDY US Equity","SUPPLY_CHAIN_CUSTOMERS","RELATIONSHIP_AS_OF_DATE","20140903","cols=1;rows=5")</f>
        <v>3352Z US Equity</v>
      </c>
      <c r="MW5" t="str">
        <f>_xll.BDS("1822785D US Equity","SUPPLY_CHAIN_SUPPLIERS","RELATIONSHIP_AS_OF_DATE","19980401")</f>
        <v>#N/A N/A</v>
      </c>
      <c r="NB5" t="str">
        <f>_xll.BDS("1822785D US Equity","SUPPLY_CHAIN_CUSTOMERS","RELATIONSHIP_AS_OF_DATE","19980401")</f>
        <v>#N/A N/A</v>
      </c>
      <c r="NG5" t="str">
        <f>_xll.BDS("NFB US Equity","SUPPLY_CHAIN_SUPPLIERS","RELATIONSHIP_AS_OF_DATE","20010213")</f>
        <v>#N/A N/A</v>
      </c>
      <c r="NL5" t="str">
        <f>_xll.BDS("NFB US Equity","SUPPLY_CHAIN_CUSTOMERS","RELATIONSHIP_AS_OF_DATE","20010213")</f>
        <v>#N/A N/A</v>
      </c>
      <c r="NQ5" t="str">
        <f>_xll.BDS("ONB US Equity","SUPPLY_CHAIN_SUPPLIERS","RELATIONSHIP_AS_OF_DATE","20140108","cols=1;rows=3")</f>
        <v>FCPT US Equity</v>
      </c>
      <c r="NV5" t="str">
        <f>_xll.BDS("ONB US Equity","SUPPLY_CHAIN_CUSTOMERS","RELATIONSHIP_AS_OF_DATE","20140108")</f>
        <v>#N/A N/A</v>
      </c>
      <c r="OA5" t="str">
        <f>_xll.BDS("MIDD US Equity","SUPPLY_CHAIN_SUPPLIERS","RELATIONSHIP_AS_OF_DATE","20080812","cols=1;rows=5")</f>
        <v>MOG/A US Equity</v>
      </c>
      <c r="OF5" t="str">
        <f>_xll.BDS("MIDD US Equity","SUPPLY_CHAIN_CUSTOMERS","RELATIONSHIP_AS_OF_DATE","20080812","cols=1;rows=5")</f>
        <v>AXFO SS Equity</v>
      </c>
    </row>
    <row r="6" spans="1:396" x14ac:dyDescent="0.25">
      <c r="A6" t="s">
        <v>11992</v>
      </c>
      <c r="F6" t="s">
        <v>684</v>
      </c>
      <c r="DQ6" t="s">
        <v>5409</v>
      </c>
      <c r="DV6" t="s">
        <v>2881</v>
      </c>
      <c r="EU6" t="s">
        <v>11371</v>
      </c>
      <c r="FO6" t="s">
        <v>44</v>
      </c>
      <c r="FT6" t="s">
        <v>10662</v>
      </c>
      <c r="GS6" t="s">
        <v>368</v>
      </c>
      <c r="GX6" t="s">
        <v>51</v>
      </c>
      <c r="HC6" t="s">
        <v>11855</v>
      </c>
      <c r="HH6" t="s">
        <v>11791</v>
      </c>
      <c r="HM6" t="s">
        <v>42</v>
      </c>
      <c r="HR6" t="s">
        <v>158</v>
      </c>
      <c r="HW6" t="s">
        <v>2968</v>
      </c>
      <c r="IB6" t="s">
        <v>10892</v>
      </c>
      <c r="IG6" t="s">
        <v>10878</v>
      </c>
      <c r="IL6" t="s">
        <v>10939</v>
      </c>
      <c r="LI6" t="s">
        <v>11769</v>
      </c>
      <c r="LN6" t="s">
        <v>10775</v>
      </c>
      <c r="MC6" t="s">
        <v>11090</v>
      </c>
      <c r="MH6" t="s">
        <v>469</v>
      </c>
      <c r="MM6" t="s">
        <v>7220</v>
      </c>
      <c r="MR6" t="s">
        <v>1363</v>
      </c>
      <c r="NQ6" t="s">
        <v>8932</v>
      </c>
      <c r="OA6" t="s">
        <v>11957</v>
      </c>
      <c r="OF6" t="s">
        <v>11902</v>
      </c>
    </row>
    <row r="7" spans="1:396" x14ac:dyDescent="0.25">
      <c r="A7" t="s">
        <v>11993</v>
      </c>
      <c r="F7" t="s">
        <v>276</v>
      </c>
      <c r="DQ7" t="s">
        <v>10981</v>
      </c>
      <c r="DV7" t="s">
        <v>4139</v>
      </c>
      <c r="EU7" t="s">
        <v>10986</v>
      </c>
      <c r="FO7" t="s">
        <v>10734</v>
      </c>
      <c r="FT7" t="s">
        <v>10761</v>
      </c>
      <c r="GS7" t="s">
        <v>45</v>
      </c>
      <c r="GX7" t="s">
        <v>11883</v>
      </c>
      <c r="HC7" t="s">
        <v>11856</v>
      </c>
      <c r="HH7" t="s">
        <v>11792</v>
      </c>
      <c r="HM7" t="s">
        <v>371</v>
      </c>
      <c r="HR7" t="s">
        <v>3073</v>
      </c>
      <c r="HW7" t="s">
        <v>11061</v>
      </c>
      <c r="IB7" t="s">
        <v>3519</v>
      </c>
      <c r="IG7" t="s">
        <v>11030</v>
      </c>
      <c r="IL7" t="s">
        <v>10785</v>
      </c>
      <c r="LI7" t="s">
        <v>11770</v>
      </c>
      <c r="LN7" t="s">
        <v>10676</v>
      </c>
      <c r="MC7" t="s">
        <v>11176</v>
      </c>
      <c r="MH7" t="s">
        <v>11771</v>
      </c>
      <c r="MM7" t="s">
        <v>10878</v>
      </c>
      <c r="MR7" t="s">
        <v>10939</v>
      </c>
      <c r="NQ7" t="s">
        <v>3162</v>
      </c>
      <c r="OA7" t="s">
        <v>11958</v>
      </c>
      <c r="OF7" t="s">
        <v>11903</v>
      </c>
    </row>
    <row r="8" spans="1:396" x14ac:dyDescent="0.25">
      <c r="A8" t="s">
        <v>11994</v>
      </c>
      <c r="F8" t="s">
        <v>475</v>
      </c>
      <c r="DQ8" t="s">
        <v>10982</v>
      </c>
      <c r="DV8" t="s">
        <v>10954</v>
      </c>
      <c r="EU8" t="s">
        <v>11372</v>
      </c>
      <c r="FO8" t="s">
        <v>10735</v>
      </c>
      <c r="FT8" t="s">
        <v>10762</v>
      </c>
      <c r="GS8" t="s">
        <v>43</v>
      </c>
      <c r="GX8" t="s">
        <v>10797</v>
      </c>
      <c r="HC8" t="s">
        <v>11793</v>
      </c>
      <c r="HH8" t="s">
        <v>10676</v>
      </c>
      <c r="HM8" t="s">
        <v>1164</v>
      </c>
      <c r="HR8" t="s">
        <v>10953</v>
      </c>
      <c r="HW8" t="s">
        <v>10732</v>
      </c>
      <c r="IB8" t="s">
        <v>10680</v>
      </c>
      <c r="IG8" t="s">
        <v>11031</v>
      </c>
      <c r="IL8" t="s">
        <v>1652</v>
      </c>
      <c r="LI8" t="s">
        <v>1843</v>
      </c>
      <c r="MC8" t="s">
        <v>3611</v>
      </c>
      <c r="MH8" t="s">
        <v>2705</v>
      </c>
      <c r="MM8" t="s">
        <v>11247</v>
      </c>
      <c r="MR8" t="s">
        <v>274</v>
      </c>
      <c r="OA8" t="s">
        <v>2111</v>
      </c>
      <c r="OF8" t="s">
        <v>11904</v>
      </c>
    </row>
    <row r="9" spans="1:396" x14ac:dyDescent="0.25">
      <c r="A9" t="s">
        <v>11995</v>
      </c>
      <c r="F9" t="s">
        <v>11961</v>
      </c>
      <c r="DQ9" t="s">
        <v>279</v>
      </c>
      <c r="DV9" t="s">
        <v>10948</v>
      </c>
      <c r="EU9" t="s">
        <v>10987</v>
      </c>
      <c r="FO9" t="s">
        <v>3073</v>
      </c>
      <c r="FT9" t="s">
        <v>10763</v>
      </c>
      <c r="GS9" t="s">
        <v>11029</v>
      </c>
      <c r="GX9" t="s">
        <v>11884</v>
      </c>
      <c r="HC9" t="s">
        <v>11857</v>
      </c>
      <c r="HH9" t="s">
        <v>11793</v>
      </c>
      <c r="HM9" t="s">
        <v>1172</v>
      </c>
      <c r="HR9" t="s">
        <v>10660</v>
      </c>
      <c r="HW9" t="s">
        <v>881</v>
      </c>
      <c r="IB9" t="s">
        <v>11932</v>
      </c>
      <c r="IG9" t="s">
        <v>11032</v>
      </c>
      <c r="IL9" t="s">
        <v>1847</v>
      </c>
      <c r="LI9" t="s">
        <v>5248</v>
      </c>
      <c r="MC9" t="s">
        <v>11089</v>
      </c>
      <c r="MH9" t="s">
        <v>11084</v>
      </c>
      <c r="MM9" t="s">
        <v>155</v>
      </c>
      <c r="MR9" t="s">
        <v>6473</v>
      </c>
      <c r="OA9" t="s">
        <v>10696</v>
      </c>
      <c r="OF9" t="s">
        <v>11905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6505</v>
      </c>
      <c r="K1" s="1" t="s">
        <v>6506</v>
      </c>
      <c r="U1" s="1" t="s">
        <v>6507</v>
      </c>
      <c r="AE1" s="1" t="s">
        <v>6508</v>
      </c>
      <c r="AO1" s="1" t="s">
        <v>6509</v>
      </c>
      <c r="AY1" s="1" t="s">
        <v>6510</v>
      </c>
      <c r="BI1" s="1" t="s">
        <v>6511</v>
      </c>
      <c r="BS1" s="1" t="s">
        <v>6512</v>
      </c>
      <c r="CC1" s="1" t="s">
        <v>6513</v>
      </c>
      <c r="CM1" s="1" t="s">
        <v>6514</v>
      </c>
      <c r="CW1" s="1" t="s">
        <v>6515</v>
      </c>
      <c r="DG1" s="1" t="s">
        <v>6516</v>
      </c>
      <c r="DQ1" s="1" t="s">
        <v>6517</v>
      </c>
      <c r="EA1" s="1" t="s">
        <v>6518</v>
      </c>
      <c r="EK1" s="1" t="s">
        <v>6519</v>
      </c>
      <c r="EU1" s="1" t="s">
        <v>6520</v>
      </c>
      <c r="FE1" s="1" t="s">
        <v>6521</v>
      </c>
      <c r="FO1" s="1" t="s">
        <v>6522</v>
      </c>
      <c r="FY1" s="1" t="s">
        <v>6523</v>
      </c>
      <c r="GI1" s="1" t="s">
        <v>6524</v>
      </c>
      <c r="GS1" s="1" t="s">
        <v>6525</v>
      </c>
      <c r="HC1" s="1" t="s">
        <v>6526</v>
      </c>
      <c r="HM1" s="1" t="s">
        <v>6527</v>
      </c>
      <c r="HW1" s="1" t="s">
        <v>6528</v>
      </c>
      <c r="IG1" s="1" t="s">
        <v>6529</v>
      </c>
      <c r="IQ1" s="1" t="s">
        <v>6530</v>
      </c>
      <c r="JA1" s="1" t="s">
        <v>6531</v>
      </c>
      <c r="JK1" s="1" t="s">
        <v>6532</v>
      </c>
      <c r="JU1" s="1" t="s">
        <v>6533</v>
      </c>
      <c r="KE1" s="1" t="s">
        <v>6534</v>
      </c>
      <c r="KO1" s="1" t="s">
        <v>6535</v>
      </c>
      <c r="KY1" s="1" t="s">
        <v>6536</v>
      </c>
      <c r="LI1" s="1" t="s">
        <v>6537</v>
      </c>
      <c r="LS1" s="1" t="s">
        <v>6538</v>
      </c>
      <c r="MC1" s="1" t="s">
        <v>6539</v>
      </c>
      <c r="MM1" s="1" t="s">
        <v>6540</v>
      </c>
      <c r="MW1" s="1" t="s">
        <v>6541</v>
      </c>
      <c r="NG1" s="1" t="s">
        <v>6542</v>
      </c>
      <c r="NQ1" s="1" t="s">
        <v>6543</v>
      </c>
      <c r="OA1" s="1" t="s">
        <v>6544</v>
      </c>
    </row>
    <row r="2" spans="1:396" x14ac:dyDescent="0.25">
      <c r="A2" s="2" t="s">
        <v>6545</v>
      </c>
      <c r="K2" s="2" t="s">
        <v>2517</v>
      </c>
      <c r="U2" s="2" t="s">
        <v>5920</v>
      </c>
      <c r="AE2" s="2" t="s">
        <v>6546</v>
      </c>
      <c r="AO2" s="2" t="s">
        <v>2401</v>
      </c>
      <c r="AY2" s="2" t="s">
        <v>165</v>
      </c>
      <c r="BI2" s="2" t="s">
        <v>4820</v>
      </c>
      <c r="BS2" s="2" t="s">
        <v>5663</v>
      </c>
      <c r="CC2" s="2" t="s">
        <v>6547</v>
      </c>
      <c r="CM2" s="2" t="s">
        <v>5339</v>
      </c>
      <c r="CW2" s="2" t="s">
        <v>6548</v>
      </c>
      <c r="DG2" s="2" t="s">
        <v>6549</v>
      </c>
      <c r="DQ2" s="2" t="s">
        <v>6550</v>
      </c>
      <c r="EA2" s="2" t="s">
        <v>373</v>
      </c>
      <c r="EK2" s="2" t="s">
        <v>6551</v>
      </c>
      <c r="EU2" s="2" t="s">
        <v>676</v>
      </c>
      <c r="FE2" s="2" t="s">
        <v>3621</v>
      </c>
      <c r="FO2" s="2" t="s">
        <v>6552</v>
      </c>
      <c r="FY2" s="2" t="s">
        <v>6553</v>
      </c>
      <c r="GI2" s="2" t="s">
        <v>3617</v>
      </c>
      <c r="GS2" s="2" t="s">
        <v>6554</v>
      </c>
      <c r="HC2" s="2" t="s">
        <v>3793</v>
      </c>
      <c r="HM2" s="2" t="s">
        <v>1272</v>
      </c>
      <c r="HW2" s="2" t="s">
        <v>6555</v>
      </c>
      <c r="IG2" s="2" t="s">
        <v>6556</v>
      </c>
      <c r="IQ2" s="2" t="s">
        <v>6557</v>
      </c>
      <c r="JA2" s="2" t="s">
        <v>1931</v>
      </c>
      <c r="JK2" s="2" t="s">
        <v>3613</v>
      </c>
      <c r="JU2" s="2" t="s">
        <v>4646</v>
      </c>
      <c r="KE2" s="2" t="s">
        <v>6558</v>
      </c>
      <c r="KO2" s="2" t="s">
        <v>6559</v>
      </c>
      <c r="KY2" s="2" t="s">
        <v>1362</v>
      </c>
      <c r="LI2" s="2" t="s">
        <v>4300</v>
      </c>
      <c r="LS2" s="2" t="s">
        <v>4486</v>
      </c>
      <c r="MC2" s="2" t="s">
        <v>6560</v>
      </c>
      <c r="MM2" s="2" t="s">
        <v>6561</v>
      </c>
      <c r="MW2" s="2" t="s">
        <v>5245</v>
      </c>
      <c r="NG2" s="2" t="s">
        <v>6562</v>
      </c>
      <c r="NQ2" s="2" t="s">
        <v>6563</v>
      </c>
      <c r="OA2" s="2" t="s">
        <v>4807</v>
      </c>
    </row>
    <row r="3" spans="1:396" x14ac:dyDescent="0.25">
      <c r="A3" t="s">
        <v>6564</v>
      </c>
      <c r="K3" t="s">
        <v>6016</v>
      </c>
      <c r="U3" t="s">
        <v>6565</v>
      </c>
      <c r="AE3" t="s">
        <v>6566</v>
      </c>
      <c r="AO3" t="s">
        <v>6567</v>
      </c>
      <c r="AY3" t="s">
        <v>6092</v>
      </c>
      <c r="BI3" t="s">
        <v>6568</v>
      </c>
      <c r="BS3" t="s">
        <v>186</v>
      </c>
      <c r="CC3" t="s">
        <v>6569</v>
      </c>
      <c r="CM3" t="s">
        <v>4409</v>
      </c>
      <c r="CW3" t="s">
        <v>6570</v>
      </c>
      <c r="DG3" t="s">
        <v>6485</v>
      </c>
      <c r="DQ3" t="s">
        <v>6571</v>
      </c>
      <c r="EA3" t="s">
        <v>6572</v>
      </c>
      <c r="EK3" t="s">
        <v>300</v>
      </c>
      <c r="EU3" t="s">
        <v>6573</v>
      </c>
      <c r="FE3" t="s">
        <v>6574</v>
      </c>
      <c r="FO3" t="s">
        <v>4330</v>
      </c>
      <c r="FY3" t="s">
        <v>3889</v>
      </c>
      <c r="GI3" t="s">
        <v>3452</v>
      </c>
      <c r="GS3" t="s">
        <v>4658</v>
      </c>
      <c r="HC3" t="s">
        <v>3087</v>
      </c>
      <c r="HM3" t="s">
        <v>6575</v>
      </c>
      <c r="HW3" t="s">
        <v>5346</v>
      </c>
      <c r="IG3" t="s">
        <v>215</v>
      </c>
      <c r="IQ3" t="s">
        <v>2063</v>
      </c>
      <c r="JA3" t="s">
        <v>6576</v>
      </c>
      <c r="JK3" t="s">
        <v>6577</v>
      </c>
      <c r="JU3" t="s">
        <v>6578</v>
      </c>
      <c r="KE3" t="s">
        <v>6579</v>
      </c>
      <c r="KO3" t="s">
        <v>6580</v>
      </c>
      <c r="KY3" t="s">
        <v>6581</v>
      </c>
      <c r="LI3" t="s">
        <v>5096</v>
      </c>
      <c r="LS3" t="s">
        <v>6582</v>
      </c>
      <c r="MC3" t="s">
        <v>1290</v>
      </c>
      <c r="MM3" t="s">
        <v>5687</v>
      </c>
      <c r="MW3" t="s">
        <v>909</v>
      </c>
      <c r="NG3" t="s">
        <v>6583</v>
      </c>
      <c r="NQ3" t="s">
        <v>3564</v>
      </c>
      <c r="OA3" t="s">
        <v>6497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_xll.BDS("FNSR US Equity","SUPPLY_CHAIN_SUPPLIERS","RELATIONSHIP_AS_OF_DATE","20080516")</f>
        <v>#N/A N/A</v>
      </c>
      <c r="F5" t="str">
        <f>_xll.BDS("FNSR US Equity","SUPPLY_CHAIN_CUSTOMERS","RELATIONSHIP_AS_OF_DATE","20080516")</f>
        <v>#N/A N/A</v>
      </c>
      <c r="K5" t="str">
        <f>_xll.BDS("OCR US Equity","SUPPLY_CHAIN_SUPPLIERS","RELATIONSHIP_AS_OF_DATE","19980331")</f>
        <v>#N/A N/A</v>
      </c>
      <c r="P5" t="str">
        <f>_xll.BDS("OCR US Equity","SUPPLY_CHAIN_CUSTOMERS","RELATIONSHIP_AS_OF_DATE","19980331","cols=1;rows=2")</f>
        <v>3176 TT Equity</v>
      </c>
      <c r="U5" t="str">
        <f>_xll.BDS("SNEX US Equity","SUPPLY_CHAIN_SUPPLIERS","RELATIONSHIP_AS_OF_DATE","20090702","cols=1;rows=5")</f>
        <v>CMCL US Equity</v>
      </c>
      <c r="Z5" t="str">
        <f>_xll.BDS("SNEX US Equity","SUPPLY_CHAIN_CUSTOMERS","RELATIONSHIP_AS_OF_DATE","20090702","cols=1;rows=3")</f>
        <v>ANTM IJ Equity</v>
      </c>
      <c r="AE5" t="str">
        <f>_xll.BDS("SCS US Equity","SUPPLY_CHAIN_SUPPLIERS","RELATIONSHIP_AS_OF_DATE","20010827","cols=1;rows=5")</f>
        <v>LEG US Equity</v>
      </c>
      <c r="AJ5" t="str">
        <f>_xll.BDS("SCS US Equity","SUPPLY_CHAIN_CUSTOMERS","RELATIONSHIP_AS_OF_DATE","20010827","cols=1;rows=5")</f>
        <v>3352Z US Equity</v>
      </c>
      <c r="AO5" t="str">
        <f>_xll.BDS("EBAY US Equity","SUPPLY_CHAIN_SUPPLIERS","RELATIONSHIP_AS_OF_DATE","20120416","cols=1;rows=5")</f>
        <v>NVDA US Equity</v>
      </c>
      <c r="AT5" t="str">
        <f>_xll.BDS("EBAY US Equity","SUPPLY_CHAIN_CUSTOMERS","RELATIONSHIP_AS_OF_DATE","20120416","cols=1;rows=5")</f>
        <v>3048 JP Equity</v>
      </c>
      <c r="AY5" t="str">
        <f>_xll.BDS("IBM US Equity","SUPPLY_CHAIN_SUPPLIERS","RELATIONSHIP_AS_OF_DATE","20050125","cols=1;rows=5")</f>
        <v>005930 KS Equity</v>
      </c>
      <c r="BD5" t="str">
        <f>_xll.BDS("IBM US Equity","SUPPLY_CHAIN_CUSTOMERS","RELATIONSHIP_AS_OF_DATE","20050125","cols=1;rows=5")</f>
        <v>AMZN US Equity</v>
      </c>
      <c r="BI5" t="str">
        <f>_xll.BDS("PRK US Equity","SUPPLY_CHAIN_SUPPLIERS","RELATIONSHIP_AS_OF_DATE","20060914")</f>
        <v>WK US Equity</v>
      </c>
      <c r="BN5" t="str">
        <f>_xll.BDS("PRK US Equity","SUPPLY_CHAIN_CUSTOMERS","RELATIONSHIP_AS_OF_DATE","20060914")</f>
        <v>#N/A N/A</v>
      </c>
      <c r="BS5" t="str">
        <f>_xll.BDS("MAFB US Equity","SUPPLY_CHAIN_SUPPLIERS","RELATIONSHIP_AS_OF_DATE","20050630")</f>
        <v>#N/A N/A</v>
      </c>
      <c r="BX5" t="str">
        <f>_xll.BDS("MAFB US Equity","SUPPLY_CHAIN_CUSTOMERS","RELATIONSHIP_AS_OF_DATE","20050630")</f>
        <v>#N/A N/A</v>
      </c>
      <c r="CC5" t="str">
        <f>_xll.BDS("HNBC US Equity","SUPPLY_CHAIN_SUPPLIERS","RELATIONSHIP_AS_OF_DATE","20080521")</f>
        <v>#N/A N/A</v>
      </c>
      <c r="CH5" t="str">
        <f>_xll.BDS("HNBC US Equity","SUPPLY_CHAIN_CUSTOMERS","RELATIONSHIP_AS_OF_DATE","20080521")</f>
        <v>#N/A N/A</v>
      </c>
      <c r="CM5" t="str">
        <f>_xll.BDS("FBNC US Equity","SUPPLY_CHAIN_SUPPLIERS","RELATIONSHIP_AS_OF_DATE","20170501")</f>
        <v>#N/A N/A</v>
      </c>
      <c r="CR5" t="str">
        <f>_xll.BDS("FBNC US Equity","SUPPLY_CHAIN_CUSTOMERS","RELATIONSHIP_AS_OF_DATE","20170501")</f>
        <v>#N/A N/A</v>
      </c>
      <c r="CW5" t="str">
        <f>_xll.BDS("8184843Q US Equity","SUPPLY_CHAIN_SUPPLIERS","RELATIONSHIP_AS_OF_DATE","20060216")</f>
        <v>#N/A N/A</v>
      </c>
      <c r="DB5" t="str">
        <f>_xll.BDS("8184843Q US Equity","SUPPLY_CHAIN_CUSTOMERS","RELATIONSHIP_AS_OF_DATE","20060216")</f>
        <v>#N/A N/A</v>
      </c>
      <c r="DG5" t="str">
        <f>_xll.BDS("8206908Q US Equity","SUPPLY_CHAIN_SUPPLIERS","RELATIONSHIP_AS_OF_DATE","19980706")</f>
        <v>#N/A N/A</v>
      </c>
      <c r="DL5" t="str">
        <f>_xll.BDS("8206908Q US Equity","SUPPLY_CHAIN_CUSTOMERS","RELATIONSHIP_AS_OF_DATE","19980706")</f>
        <v>#N/A N/A</v>
      </c>
      <c r="DQ5" t="str">
        <f>_xll.BDS("1492800D US Equity","SUPPLY_CHAIN_SUPPLIERS","RELATIONSHIP_AS_OF_DATE","20070125")</f>
        <v>#N/A N/A</v>
      </c>
      <c r="DV5" t="str">
        <f>_xll.BDS("1492800D US Equity","SUPPLY_CHAIN_CUSTOMERS","RELATIONSHIP_AS_OF_DATE","20070125")</f>
        <v>#N/A N/A</v>
      </c>
      <c r="EA5" t="str">
        <f>_xll.BDS("FBF US Equity","SUPPLY_CHAIN_SUPPLIERS","RELATIONSHIP_AS_OF_DATE","20030828")</f>
        <v>#N/A N/A</v>
      </c>
      <c r="EF5" t="str">
        <f>_xll.BDS("FBF US Equity","SUPPLY_CHAIN_CUSTOMERS","RELATIONSHIP_AS_OF_DATE","20030828")</f>
        <v>#N/A N/A</v>
      </c>
      <c r="EK5" t="str">
        <f>_xll.BDS("1916526D US Equity","SUPPLY_CHAIN_SUPPLIERS","RELATIONSHIP_AS_OF_DATE","20061101")</f>
        <v>#N/A N/A</v>
      </c>
      <c r="EP5" t="str">
        <f>_xll.BDS("1916526D US Equity","SUPPLY_CHAIN_CUSTOMERS","RELATIONSHIP_AS_OF_DATE","20061101")</f>
        <v>#N/A N/A</v>
      </c>
      <c r="EU5" t="str">
        <f>_xll.BDS("2370058D US Equity","SUPPLY_CHAIN_SUPPLIERS","RELATIONSHIP_AS_OF_DATE","20071102")</f>
        <v>#N/A N/A</v>
      </c>
      <c r="EZ5" t="str">
        <f>_xll.BDS("2370058D US Equity","SUPPLY_CHAIN_CUSTOMERS","RELATIONSHIP_AS_OF_DATE","20071102")</f>
        <v>#N/A N/A</v>
      </c>
      <c r="FE5" t="str">
        <f>_xll.BDS("SUSQ US Equity","SUPPLY_CHAIN_SUPPLIERS","RELATIONSHIP_AS_OF_DATE","20051114")</f>
        <v>#N/A N/A</v>
      </c>
      <c r="FJ5" t="str">
        <f>_xll.BDS("SUSQ US Equity","SUPPLY_CHAIN_CUSTOMERS","RELATIONSHIP_AS_OF_DATE","20051114")</f>
        <v>#N/A N/A</v>
      </c>
      <c r="FO5" t="str">
        <f>_xll.BDS("WTNY US Equity","SUPPLY_CHAIN_SUPPLIERS","RELATIONSHIP_AS_OF_DATE","20080609")</f>
        <v>#N/A N/A</v>
      </c>
      <c r="FT5" t="str">
        <f>_xll.BDS("WTNY US Equity","SUPPLY_CHAIN_CUSTOMERS","RELATIONSHIP_AS_OF_DATE","20080609")</f>
        <v>#N/A N/A</v>
      </c>
      <c r="FY5" t="str">
        <f>_xll.BDS("GCO US Equity","SUPPLY_CHAIN_SUPPLIERS","RELATIONSHIP_AS_OF_DATE","20040205","cols=1;rows=5")</f>
        <v>1836 HK Equity</v>
      </c>
      <c r="GD5" t="str">
        <f>_xll.BDS("GCO US Equity","SUPPLY_CHAIN_CUSTOMERS","RELATIONSHIP_AS_OF_DATE","20040205")</f>
        <v>KTB US Equity</v>
      </c>
      <c r="GI5" t="str">
        <f>_xll.BDS("540513Q US Equity","SUPPLY_CHAIN_SUPPLIERS","RELATIONSHIP_AS_OF_DATE","20010611")</f>
        <v>#N/A N/A</v>
      </c>
      <c r="GN5" t="str">
        <f>_xll.BDS("540513Q US Equity","SUPPLY_CHAIN_CUSTOMERS","RELATIONSHIP_AS_OF_DATE","20010611")</f>
        <v>#N/A N/A</v>
      </c>
      <c r="GS5" t="str">
        <f>_xll.BDS("1526901D US Equity","SUPPLY_CHAIN_SUPPLIERS","RELATIONSHIP_AS_OF_DATE","19990427")</f>
        <v>#N/A N/A</v>
      </c>
      <c r="GX5" t="str">
        <f>_xll.BDS("1526901D US Equity","SUPPLY_CHAIN_CUSTOMERS","RELATIONSHIP_AS_OF_DATE","19990427")</f>
        <v>#N/A N/A</v>
      </c>
      <c r="HC5" t="str">
        <f>_xll.BDS("3423152Q US Equity","SUPPLY_CHAIN_SUPPLIERS","RELATIONSHIP_AS_OF_DATE","20010523")</f>
        <v>#N/A N/A</v>
      </c>
      <c r="HH5" t="str">
        <f>_xll.BDS("3423152Q US Equity","SUPPLY_CHAIN_CUSTOMERS","RELATIONSHIP_AS_OF_DATE","20010523")</f>
        <v>#N/A N/A</v>
      </c>
      <c r="HM5" t="str">
        <f>_xll.BDS("FITB US Equity","SUPPLY_CHAIN_SUPPLIERS","RELATIONSHIP_AS_OF_DATE","20000831","cols=1;rows=5")</f>
        <v>004800 KS Equity</v>
      </c>
      <c r="HR5" t="str">
        <f>_xll.BDS("FITB US Equity","SUPPLY_CHAIN_CUSTOMERS","RELATIONSHIP_AS_OF_DATE","20000831")</f>
        <v>USIO US Equity</v>
      </c>
      <c r="HW5" t="str">
        <f>_xll.BDS("CTXS US Equity","SUPPLY_CHAIN_SUPPLIERS","RELATIONSHIP_AS_OF_DATE","20010321","cols=1;rows=5")</f>
        <v>000034 CH Equity</v>
      </c>
      <c r="IB5" t="str">
        <f>_xll.BDS("CTXS US Equity","SUPPLY_CHAIN_CUSTOMERS","RELATIONSHIP_AS_OF_DATE","20010321","cols=1;rows=5")</f>
        <v>032190 KS Equity</v>
      </c>
      <c r="IG5" t="str">
        <f>_xll.BDS("HOUS US Equity","SUPPLY_CHAIN_SUPPLIERS","RELATIONSHIP_AS_OF_DATE","20140715","cols=1;rows=5")</f>
        <v>0747025D AU Equity</v>
      </c>
      <c r="IL5" t="str">
        <f>_xll.BDS("HOUS US Equity","SUPPLY_CHAIN_CUSTOMERS","RELATIONSHIP_AS_OF_DATE","20140715")</f>
        <v>8898 JP Equity</v>
      </c>
      <c r="IQ5" t="str">
        <f>_xll.BDS("1523873D US Equity","SUPPLY_CHAIN_SUPPLIERS","RELATIONSHIP_AS_OF_DATE","20010910")</f>
        <v>#N/A N/A</v>
      </c>
      <c r="IV5" t="str">
        <f>_xll.BDS("1523873D US Equity","SUPPLY_CHAIN_CUSTOMERS","RELATIONSHIP_AS_OF_DATE","20010910")</f>
        <v>#N/A N/A</v>
      </c>
      <c r="JA5" t="str">
        <f>_xll.BDS("FLG US Equity","SUPPLY_CHAIN_SUPPLIERS","RELATIONSHIP_AS_OF_DATE","20070513","cols=1;rows=5")</f>
        <v>CXM US Equity</v>
      </c>
      <c r="JF5" t="str">
        <f>_xll.BDS("FLG US Equity","SUPPLY_CHAIN_CUSTOMERS","RELATIONSHIP_AS_OF_DATE","20070513")</f>
        <v>#N/A N/A</v>
      </c>
      <c r="JK5" t="str">
        <f>_xll.BDS("390297Q US Equity","SUPPLY_CHAIN_SUPPLIERS","RELATIONSHIP_AS_OF_DATE","19980508")</f>
        <v>#N/A N/A</v>
      </c>
      <c r="JP5" t="str">
        <f>_xll.BDS("390297Q US Equity","SUPPLY_CHAIN_CUSTOMERS","RELATIONSHIP_AS_OF_DATE","19980508")</f>
        <v>#N/A N/A</v>
      </c>
      <c r="JU5" t="str">
        <f>_xll.BDS("MXL US Equity","SUPPLY_CHAIN_SUPPLIERS","RELATIONSHIP_AS_OF_DATE","20150203","cols=1;rows=5")</f>
        <v>2330 TT Equity</v>
      </c>
      <c r="JZ5" t="str">
        <f>_xll.BDS("MXL US Equity","SUPPLY_CHAIN_CUSTOMERS","RELATIONSHIP_AS_OF_DATE","20150203","cols=1;rows=5")</f>
        <v>3036 TT Equity</v>
      </c>
      <c r="KE5" t="str">
        <f>_xll.BDS("RYZ US Equity","SUPPLY_CHAIN_SUPPLIERS","RELATIONSHIP_AS_OF_DATE","20180605","cols=1;rows=5")</f>
        <v>CSTM US Equity</v>
      </c>
      <c r="KJ5" t="str">
        <f>_xll.BDS("RYZ US Equity","SUPPLY_CHAIN_CUSTOMERS","RELATIONSHIP_AS_OF_DATE","20180605","cols=1;rows=4")</f>
        <v>PCAR US Equity</v>
      </c>
      <c r="KO5" t="str">
        <f>_xll.BDS("TIPTL US Equity","SUPPLY_CHAIN_SUPPLIERS","RELATIONSHIP_AS_OF_DATE","20100316")</f>
        <v>#N/A N/A</v>
      </c>
      <c r="KT5" t="str">
        <f>_xll.BDS("TIPTL US Equity","SUPPLY_CHAIN_CUSTOMERS","RELATIONSHIP_AS_OF_DATE","20100316")</f>
        <v>#N/A N/A</v>
      </c>
      <c r="KY5" t="str">
        <f>_xll.BDS("OLN US Equity","SUPPLY_CHAIN_SUPPLIERS","RELATIONSHIP_AS_OF_DATE","20020508","cols=1;rows=5")</f>
        <v>CNR CN Equity</v>
      </c>
      <c r="LD5" t="str">
        <f>_xll.BDS("OLN US Equity","SUPPLY_CHAIN_CUSTOMERS","RELATIONSHIP_AS_OF_DATE","20020508","cols=1;rows=5")</f>
        <v>3352Z US Equity</v>
      </c>
      <c r="LI5" t="str">
        <f>_xll.BDS("BBDC US Equity","SUPPLY_CHAIN_SUPPLIERS","RELATIONSHIP_AS_OF_DATE","20200810")</f>
        <v>#N/A N/A</v>
      </c>
      <c r="LN5" t="str">
        <f>_xll.BDS("BBDC US Equity","SUPPLY_CHAIN_CUSTOMERS","RELATIONSHIP_AS_OF_DATE","20200810")</f>
        <v>MODVQ US Equity</v>
      </c>
      <c r="LS5" t="str">
        <f>_xll.BDS("OCFC US Equity","SUPPLY_CHAIN_SUPPLIERS","RELATIONSHIP_AS_OF_DATE","20190809")</f>
        <v>#N/A N/A</v>
      </c>
      <c r="LX5" t="str">
        <f>_xll.BDS("OCFC US Equity","SUPPLY_CHAIN_CUSTOMERS","RELATIONSHIP_AS_OF_DATE","20190809")</f>
        <v>#N/A N/A</v>
      </c>
      <c r="MC5" t="str">
        <f>_xll.BDS("BTFG US Equity","SUPPLY_CHAIN_SUPPLIERS","RELATIONSHIP_AS_OF_DATE","20070522")</f>
        <v>#N/A N/A</v>
      </c>
      <c r="MH5" t="str">
        <f>_xll.BDS("BTFG US Equity","SUPPLY_CHAIN_CUSTOMERS","RELATIONSHIP_AS_OF_DATE","20070522")</f>
        <v>#N/A N/A</v>
      </c>
      <c r="MM5" t="str">
        <f>_xll.BDS("SWKS US Equity","SUPPLY_CHAIN_SUPPLIERS","RELATIONSHIP_AS_OF_DATE","20110126","cols=1;rows=5")</f>
        <v>GFS US Equity</v>
      </c>
      <c r="MR5" t="str">
        <f>_xll.BDS("SWKS US Equity","SUPPLY_CHAIN_CUSTOMERS","RELATIONSHIP_AS_OF_DATE","20110126","cols=1;rows=5")</f>
        <v>AAPL US Equity</v>
      </c>
      <c r="MW5" t="str">
        <f>_xll.BDS("1740293D US Equity","SUPPLY_CHAIN_SUPPLIERS","RELATIONSHIP_AS_OF_DATE","20060605")</f>
        <v>#N/A N/A</v>
      </c>
      <c r="NB5" t="str">
        <f>_xll.BDS("1740293D US Equity","SUPPLY_CHAIN_CUSTOMERS","RELATIONSHIP_AS_OF_DATE","20060605")</f>
        <v>#N/A N/A</v>
      </c>
      <c r="NG5" t="str">
        <f>_xll.BDS("ALTR US Equity","SUPPLY_CHAIN_SUPPLIERS","RELATIONSHIP_AS_OF_DATE","20181105","cols=1;rows=5")</f>
        <v>GOOGL US Equity</v>
      </c>
      <c r="NL5" t="str">
        <f>_xll.BDS("ALTR US Equity","SUPPLY_CHAIN_CUSTOMERS","RELATIONSHIP_AS_OF_DATE","20181105","cols=1;rows=5")</f>
        <v>SNX US Equity</v>
      </c>
      <c r="NQ5" t="str">
        <f>_xll.BDS("0948669D US Equity","SUPPLY_CHAIN_SUPPLIERS","RELATIONSHIP_AS_OF_DATE","19991103")</f>
        <v>300703 CH Equity</v>
      </c>
      <c r="NV5" t="str">
        <f>_xll.BDS("0948669D US Equity","SUPPLY_CHAIN_CUSTOMERS","RELATIONSHIP_AS_OF_DATE","19991103","cols=1;rows=3")</f>
        <v>ACI US Equity</v>
      </c>
      <c r="OA5" t="str">
        <f>_xll.BDS("NBR US Equity","SUPPLY_CHAIN_SUPPLIERS","RELATIONSHIP_AS_OF_DATE","20170814","cols=1;rows=4")</f>
        <v>DNOW US Equity</v>
      </c>
      <c r="OF5" t="str">
        <f>_xll.BDS("NBR US Equity","SUPPLY_CHAIN_CUSTOMERS","RELATIONSHIP_AS_OF_DATE","20170814","cols=1;rows=4")</f>
        <v>ARAMCO AB Equity</v>
      </c>
    </row>
    <row r="6" spans="1:396" x14ac:dyDescent="0.25">
      <c r="P6" t="s">
        <v>11784</v>
      </c>
      <c r="U6" t="s">
        <v>11783</v>
      </c>
      <c r="Z6" t="s">
        <v>12055</v>
      </c>
      <c r="AE6" t="s">
        <v>11151</v>
      </c>
      <c r="AJ6" t="s">
        <v>2881</v>
      </c>
      <c r="AO6" t="s">
        <v>12302</v>
      </c>
      <c r="AT6" t="s">
        <v>11650</v>
      </c>
      <c r="AY6" t="s">
        <v>41</v>
      </c>
      <c r="BD6" t="s">
        <v>266</v>
      </c>
      <c r="FY6" t="s">
        <v>10889</v>
      </c>
      <c r="HM6" t="s">
        <v>4388</v>
      </c>
      <c r="HW6" t="s">
        <v>12042</v>
      </c>
      <c r="IB6" t="s">
        <v>12106</v>
      </c>
      <c r="IG6" t="s">
        <v>12061</v>
      </c>
      <c r="JA6" t="s">
        <v>11962</v>
      </c>
      <c r="JU6" t="s">
        <v>10859</v>
      </c>
      <c r="JZ6" t="s">
        <v>789</v>
      </c>
      <c r="KE6" t="s">
        <v>11856</v>
      </c>
      <c r="KJ6" t="s">
        <v>11869</v>
      </c>
      <c r="KY6" t="s">
        <v>11702</v>
      </c>
      <c r="LD6" t="s">
        <v>11180</v>
      </c>
      <c r="MM6" t="s">
        <v>10858</v>
      </c>
      <c r="MR6" t="s">
        <v>2705</v>
      </c>
      <c r="NG6" t="s">
        <v>261</v>
      </c>
      <c r="NL6" t="s">
        <v>11974</v>
      </c>
      <c r="NV6" t="s">
        <v>10993</v>
      </c>
      <c r="OA6" t="s">
        <v>11842</v>
      </c>
      <c r="OF6" t="s">
        <v>690</v>
      </c>
    </row>
    <row r="7" spans="1:396" x14ac:dyDescent="0.25">
      <c r="U7" t="s">
        <v>10731</v>
      </c>
      <c r="Z7" t="s">
        <v>12056</v>
      </c>
      <c r="AE7" t="s">
        <v>1654</v>
      </c>
      <c r="AJ7" t="s">
        <v>12304</v>
      </c>
      <c r="AO7" t="s">
        <v>11139</v>
      </c>
      <c r="AT7" t="s">
        <v>11651</v>
      </c>
      <c r="AY7" t="s">
        <v>469</v>
      </c>
      <c r="BD7" t="s">
        <v>10892</v>
      </c>
      <c r="FY7" t="s">
        <v>10880</v>
      </c>
      <c r="HM7" t="s">
        <v>11522</v>
      </c>
      <c r="HW7" t="s">
        <v>11051</v>
      </c>
      <c r="IB7" t="s">
        <v>12107</v>
      </c>
      <c r="IG7" t="s">
        <v>12062</v>
      </c>
      <c r="JA7" t="s">
        <v>11963</v>
      </c>
      <c r="JU7" t="s">
        <v>11409</v>
      </c>
      <c r="JZ7" t="s">
        <v>10858</v>
      </c>
      <c r="KE7" t="s">
        <v>11889</v>
      </c>
      <c r="KJ7" t="s">
        <v>10971</v>
      </c>
      <c r="KY7" t="s">
        <v>11146</v>
      </c>
      <c r="LD7" t="s">
        <v>10778</v>
      </c>
      <c r="MM7" t="s">
        <v>11203</v>
      </c>
      <c r="MR7" t="s">
        <v>10659</v>
      </c>
      <c r="NG7" t="s">
        <v>6477</v>
      </c>
      <c r="NL7" t="s">
        <v>11975</v>
      </c>
      <c r="NV7" t="s">
        <v>10994</v>
      </c>
      <c r="OA7" t="s">
        <v>11843</v>
      </c>
      <c r="OF7" t="s">
        <v>2210</v>
      </c>
    </row>
    <row r="8" spans="1:396" x14ac:dyDescent="0.25">
      <c r="U8" t="s">
        <v>154</v>
      </c>
      <c r="AE8" t="s">
        <v>11516</v>
      </c>
      <c r="AJ8" t="s">
        <v>12305</v>
      </c>
      <c r="AO8" t="s">
        <v>2204</v>
      </c>
      <c r="AT8" t="s">
        <v>11652</v>
      </c>
      <c r="AY8" t="s">
        <v>2881</v>
      </c>
      <c r="BD8" t="s">
        <v>6473</v>
      </c>
      <c r="FY8" t="s">
        <v>11985</v>
      </c>
      <c r="HM8" t="s">
        <v>11523</v>
      </c>
      <c r="HW8" t="s">
        <v>12043</v>
      </c>
      <c r="IB8" t="s">
        <v>12108</v>
      </c>
      <c r="IG8" t="s">
        <v>12063</v>
      </c>
      <c r="JA8" t="s">
        <v>154</v>
      </c>
      <c r="JU8" t="s">
        <v>11933</v>
      </c>
      <c r="JZ8" t="s">
        <v>1175</v>
      </c>
      <c r="KE8" t="s">
        <v>11890</v>
      </c>
      <c r="KJ8" t="s">
        <v>5068</v>
      </c>
      <c r="KY8" t="s">
        <v>11557</v>
      </c>
      <c r="LD8" t="s">
        <v>11761</v>
      </c>
      <c r="MM8" t="s">
        <v>11042</v>
      </c>
      <c r="MR8" t="s">
        <v>10892</v>
      </c>
      <c r="NG8" t="s">
        <v>171</v>
      </c>
      <c r="NL8" t="s">
        <v>11976</v>
      </c>
      <c r="OA8" t="s">
        <v>11844</v>
      </c>
      <c r="OF8" t="s">
        <v>11799</v>
      </c>
    </row>
    <row r="9" spans="1:396" x14ac:dyDescent="0.25">
      <c r="U9" t="s">
        <v>11292</v>
      </c>
      <c r="AE9" t="s">
        <v>12053</v>
      </c>
      <c r="AJ9" t="s">
        <v>10787</v>
      </c>
      <c r="AO9" t="s">
        <v>12303</v>
      </c>
      <c r="AT9" t="s">
        <v>11653</v>
      </c>
      <c r="AY9" t="s">
        <v>10853</v>
      </c>
      <c r="BD9" t="s">
        <v>969</v>
      </c>
      <c r="FY9" t="s">
        <v>11986</v>
      </c>
      <c r="HM9" t="s">
        <v>8762</v>
      </c>
      <c r="HW9" t="s">
        <v>10660</v>
      </c>
      <c r="IB9" t="s">
        <v>12109</v>
      </c>
      <c r="IG9" t="s">
        <v>11122</v>
      </c>
      <c r="JA9" t="s">
        <v>11964</v>
      </c>
      <c r="JU9" t="s">
        <v>11204</v>
      </c>
      <c r="JZ9" t="s">
        <v>11566</v>
      </c>
      <c r="KE9" t="s">
        <v>11891</v>
      </c>
      <c r="KY9" t="s">
        <v>11465</v>
      </c>
      <c r="LD9" t="s">
        <v>11762</v>
      </c>
      <c r="MM9" t="s">
        <v>12289</v>
      </c>
      <c r="MR9" t="s">
        <v>12282</v>
      </c>
      <c r="NG9" t="s">
        <v>11987</v>
      </c>
      <c r="NL9" t="s">
        <v>11977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6584</v>
      </c>
      <c r="K1" s="1" t="s">
        <v>6585</v>
      </c>
      <c r="U1" s="1" t="s">
        <v>6586</v>
      </c>
      <c r="AE1" s="1" t="s">
        <v>6587</v>
      </c>
      <c r="AO1" s="1" t="s">
        <v>6588</v>
      </c>
      <c r="AY1" s="1" t="s">
        <v>6589</v>
      </c>
      <c r="BI1" s="1" t="s">
        <v>6590</v>
      </c>
      <c r="BS1" s="1" t="s">
        <v>6591</v>
      </c>
      <c r="CC1" s="1" t="s">
        <v>6592</v>
      </c>
      <c r="CM1" s="1" t="s">
        <v>6593</v>
      </c>
      <c r="CW1" s="1" t="s">
        <v>6594</v>
      </c>
      <c r="DG1" s="1" t="s">
        <v>6595</v>
      </c>
      <c r="DQ1" s="1" t="s">
        <v>6596</v>
      </c>
      <c r="EA1" s="1" t="s">
        <v>6597</v>
      </c>
      <c r="EK1" s="1" t="s">
        <v>6598</v>
      </c>
      <c r="EU1" s="1" t="s">
        <v>6599</v>
      </c>
      <c r="FE1" s="1" t="s">
        <v>6600</v>
      </c>
      <c r="FO1" s="1" t="s">
        <v>6601</v>
      </c>
      <c r="FY1" s="1" t="s">
        <v>6602</v>
      </c>
      <c r="GI1" s="1" t="s">
        <v>6603</v>
      </c>
      <c r="GS1" s="1" t="s">
        <v>6604</v>
      </c>
      <c r="HC1" s="1" t="s">
        <v>6605</v>
      </c>
      <c r="HM1" s="1" t="s">
        <v>6606</v>
      </c>
      <c r="HW1" s="1" t="s">
        <v>6607</v>
      </c>
      <c r="IG1" s="1" t="s">
        <v>6608</v>
      </c>
      <c r="IQ1" s="1" t="s">
        <v>6609</v>
      </c>
      <c r="JA1" s="1" t="s">
        <v>6610</v>
      </c>
      <c r="JK1" s="1" t="s">
        <v>6611</v>
      </c>
      <c r="JU1" s="1" t="s">
        <v>6612</v>
      </c>
      <c r="KE1" s="1" t="s">
        <v>6613</v>
      </c>
      <c r="KO1" s="1" t="s">
        <v>6614</v>
      </c>
      <c r="KY1" s="1" t="s">
        <v>6615</v>
      </c>
      <c r="LI1" s="1" t="s">
        <v>6616</v>
      </c>
      <c r="LS1" s="1" t="s">
        <v>6617</v>
      </c>
      <c r="MC1" s="1" t="s">
        <v>6618</v>
      </c>
      <c r="MM1" s="1" t="s">
        <v>6619</v>
      </c>
      <c r="MW1" s="1" t="s">
        <v>6620</v>
      </c>
      <c r="NG1" s="1" t="s">
        <v>6621</v>
      </c>
      <c r="NQ1" s="1" t="s">
        <v>6622</v>
      </c>
      <c r="OA1" s="1" t="s">
        <v>6623</v>
      </c>
    </row>
    <row r="2" spans="1:396" x14ac:dyDescent="0.25">
      <c r="A2" s="2" t="s">
        <v>986</v>
      </c>
      <c r="K2" s="2" t="s">
        <v>3880</v>
      </c>
      <c r="U2" s="2" t="s">
        <v>6149</v>
      </c>
      <c r="AE2" s="2" t="s">
        <v>6624</v>
      </c>
      <c r="AO2" s="2" t="s">
        <v>3875</v>
      </c>
      <c r="AY2" s="2" t="s">
        <v>6070</v>
      </c>
      <c r="BI2" s="2" t="s">
        <v>6625</v>
      </c>
      <c r="BS2" s="2" t="s">
        <v>6626</v>
      </c>
      <c r="CC2" s="2" t="s">
        <v>6627</v>
      </c>
      <c r="CM2" s="2" t="s">
        <v>4481</v>
      </c>
      <c r="CW2" s="2" t="s">
        <v>6628</v>
      </c>
      <c r="DG2" s="2" t="s">
        <v>6629</v>
      </c>
      <c r="DQ2" s="2" t="s">
        <v>6082</v>
      </c>
      <c r="EA2" s="2" t="s">
        <v>6630</v>
      </c>
      <c r="EK2" s="2" t="s">
        <v>6631</v>
      </c>
      <c r="EU2" s="2" t="s">
        <v>1656</v>
      </c>
      <c r="FE2" s="2" t="s">
        <v>6632</v>
      </c>
      <c r="FO2" s="2" t="s">
        <v>6633</v>
      </c>
      <c r="FY2" s="2" t="s">
        <v>6634</v>
      </c>
      <c r="GI2" s="2" t="s">
        <v>3954</v>
      </c>
      <c r="GS2" s="2" t="s">
        <v>471</v>
      </c>
      <c r="HC2" s="2" t="s">
        <v>6635</v>
      </c>
      <c r="HM2" s="2" t="s">
        <v>3620</v>
      </c>
      <c r="HW2" s="2" t="s">
        <v>2420</v>
      </c>
      <c r="IG2" s="2" t="s">
        <v>3617</v>
      </c>
      <c r="IQ2" s="2" t="s">
        <v>6636</v>
      </c>
      <c r="JA2" s="2" t="s">
        <v>6637</v>
      </c>
      <c r="JK2" s="2" t="s">
        <v>1925</v>
      </c>
      <c r="JU2" s="2" t="s">
        <v>6638</v>
      </c>
      <c r="KE2" s="2" t="s">
        <v>6639</v>
      </c>
      <c r="KO2" s="2" t="s">
        <v>6640</v>
      </c>
      <c r="KY2" s="2" t="s">
        <v>1846</v>
      </c>
      <c r="LI2" s="2" t="s">
        <v>6641</v>
      </c>
      <c r="LS2" s="2" t="s">
        <v>5751</v>
      </c>
      <c r="MC2" s="2" t="s">
        <v>44</v>
      </c>
      <c r="MM2" s="2" t="s">
        <v>171</v>
      </c>
      <c r="MW2" s="2" t="s">
        <v>6642</v>
      </c>
      <c r="NG2" s="2" t="s">
        <v>1737</v>
      </c>
      <c r="NQ2" s="2" t="s">
        <v>6643</v>
      </c>
      <c r="OA2" s="2" t="s">
        <v>171</v>
      </c>
    </row>
    <row r="3" spans="1:396" x14ac:dyDescent="0.25">
      <c r="A3" t="s">
        <v>716</v>
      </c>
      <c r="K3" t="s">
        <v>6644</v>
      </c>
      <c r="U3" t="s">
        <v>5344</v>
      </c>
      <c r="AE3" t="s">
        <v>6645</v>
      </c>
      <c r="AO3" t="s">
        <v>6646</v>
      </c>
      <c r="AY3" t="s">
        <v>4757</v>
      </c>
      <c r="BI3" t="s">
        <v>4760</v>
      </c>
      <c r="BS3" t="s">
        <v>6647</v>
      </c>
      <c r="CC3" t="s">
        <v>6648</v>
      </c>
      <c r="CM3" t="s">
        <v>3819</v>
      </c>
      <c r="CW3" t="s">
        <v>6649</v>
      </c>
      <c r="DG3" t="s">
        <v>6650</v>
      </c>
      <c r="DQ3" t="s">
        <v>6651</v>
      </c>
      <c r="EA3" t="s">
        <v>6652</v>
      </c>
      <c r="EK3" t="s">
        <v>6653</v>
      </c>
      <c r="EU3" t="s">
        <v>6654</v>
      </c>
      <c r="FE3" t="s">
        <v>6655</v>
      </c>
      <c r="FO3" t="s">
        <v>6656</v>
      </c>
      <c r="FY3" t="s">
        <v>6657</v>
      </c>
      <c r="GI3" t="s">
        <v>6658</v>
      </c>
      <c r="GS3" t="s">
        <v>6659</v>
      </c>
      <c r="HC3" t="s">
        <v>6660</v>
      </c>
      <c r="HM3" t="s">
        <v>6661</v>
      </c>
      <c r="HW3" t="s">
        <v>6662</v>
      </c>
      <c r="IG3" t="s">
        <v>6663</v>
      </c>
      <c r="IQ3" t="s">
        <v>2633</v>
      </c>
      <c r="JA3" t="s">
        <v>4051</v>
      </c>
      <c r="JK3" t="s">
        <v>6664</v>
      </c>
      <c r="JU3" t="s">
        <v>3645</v>
      </c>
      <c r="KE3" t="s">
        <v>1499</v>
      </c>
      <c r="KO3" t="s">
        <v>504</v>
      </c>
      <c r="KY3" t="s">
        <v>6665</v>
      </c>
      <c r="LI3" t="s">
        <v>6666</v>
      </c>
      <c r="LS3" t="s">
        <v>3285</v>
      </c>
      <c r="MC3" t="s">
        <v>3272</v>
      </c>
      <c r="MM3" t="s">
        <v>1023</v>
      </c>
      <c r="MW3" t="s">
        <v>6667</v>
      </c>
      <c r="NG3" t="s">
        <v>6668</v>
      </c>
      <c r="NQ3" t="s">
        <v>6669</v>
      </c>
      <c r="OA3" t="s">
        <v>2343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_xll.BDS("CG US Equity","SUPPLY_CHAIN_SUPPLIERS","RELATIONSHIP_AS_OF_DATE","19990527","cols=1;rows=5")</f>
        <v>SLG US Equity</v>
      </c>
      <c r="F5" t="str">
        <f>_xll.BDS("CG US Equity","SUPPLY_CHAIN_CUSTOMERS","RELATIONSHIP_AS_OF_DATE","19990527","cols=1;rows=5")</f>
        <v>POOL US Equity</v>
      </c>
      <c r="K5" t="str">
        <f>_xll.BDS("SNPS US Equity","SUPPLY_CHAIN_SUPPLIERS","RELATIONSHIP_AS_OF_DATE","20030113","cols=1;rows=5")</f>
        <v>000660 KS Equity</v>
      </c>
      <c r="P5" t="str">
        <f>_xll.BDS("SNPS US Equity","SUPPLY_CHAIN_CUSTOMERS","RELATIONSHIP_AS_OF_DATE","20030113","cols=1;rows=5")</f>
        <v>2454 TT Equity</v>
      </c>
      <c r="U5" t="str">
        <f>_xll.BDS("1718309D US Equity","SUPPLY_CHAIN_SUPPLIERS","RELATIONSHIP_AS_OF_DATE","19980219")</f>
        <v>#N/A N/A</v>
      </c>
      <c r="Z5" t="str">
        <f>_xll.BDS("1718309D US Equity","SUPPLY_CHAIN_CUSTOMERS","RELATIONSHIP_AS_OF_DATE","19980219")</f>
        <v>#N/A N/A</v>
      </c>
      <c r="AE5" t="str">
        <f>_xll.BDS("2537769D US Equity","SUPPLY_CHAIN_SUPPLIERS","RELATIONSHIP_AS_OF_DATE","20090908")</f>
        <v>#N/A N/A</v>
      </c>
      <c r="AJ5" t="str">
        <f>_xll.BDS("2537769D US Equity","SUPPLY_CHAIN_CUSTOMERS","RELATIONSHIP_AS_OF_DATE","20090908")</f>
        <v>#N/A N/A</v>
      </c>
      <c r="AO5" t="str">
        <f>_xll.BDS("F US Equity","SUPPLY_CHAIN_SUPPLIERS","RELATIONSHIP_AS_OF_DATE","19990610","cols=1;rows=5")</f>
        <v>FROTO TI Equity</v>
      </c>
      <c r="AT5" t="str">
        <f>_xll.BDS("F US Equity","SUPPLY_CHAIN_CUSTOMERS","RELATIONSHIP_AS_OF_DATE","19990610","cols=1;rows=5")</f>
        <v>LAD US Equity</v>
      </c>
      <c r="AY5" t="str">
        <f>_xll.BDS("ITXG US Equity","SUPPLY_CHAIN_SUPPLIERS","RELATIONSHIP_AS_OF_DATE","19980115")</f>
        <v>#N/A N/A</v>
      </c>
      <c r="BD5" t="str">
        <f>_xll.BDS("ITXG US Equity","SUPPLY_CHAIN_CUSTOMERS","RELATIONSHIP_AS_OF_DATE","19980115")</f>
        <v>#N/A N/A</v>
      </c>
      <c r="BI5" t="str">
        <f>_xll.BDS("MBWM US Equity","SUPPLY_CHAIN_SUPPLIERS","RELATIONSHIP_AS_OF_DATE","20130815")</f>
        <v>#N/A N/A</v>
      </c>
      <c r="BN5" t="str">
        <f>_xll.BDS("MBWM US Equity","SUPPLY_CHAIN_CUSTOMERS","RELATIONSHIP_AS_OF_DATE","20130815")</f>
        <v>#N/A N/A</v>
      </c>
      <c r="BS5" t="str">
        <f>_xll.BDS("BOOT IN Equity","SUPPLY_CHAIN_SUPPLIERS","RELATIONSHIP_AS_OF_DATE","20101124","cols=1;rows=5")</f>
        <v>ABT US Equity</v>
      </c>
      <c r="BX5" t="str">
        <f>_xll.BDS("BOOT IN Equity","SUPPLY_CHAIN_CUSTOMERS","RELATIONSHIP_AS_OF_DATE","20101124")</f>
        <v>ABT US Equity</v>
      </c>
      <c r="CC5" t="str">
        <f>_xll.BDS("PRGO US Equity","SUPPLY_CHAIN_SUPPLIERS","RELATIONSHIP_AS_OF_DATE","20130201","cols=1;rows=5")</f>
        <v>000756 CH Equity</v>
      </c>
      <c r="CH5" t="str">
        <f>_xll.BDS("PRGO US Equity","SUPPLY_CHAIN_CUSTOMERS","RELATIONSHIP_AS_OF_DATE","20130201","cols=1;rows=5")</f>
        <v>WMT US Equity</v>
      </c>
      <c r="CM5" t="str">
        <f>_xll.BDS("SUG US Equity","SUPPLY_CHAIN_SUPPLIERS","RELATIONSHIP_AS_OF_DATE","19991201")</f>
        <v>#N/A N/A</v>
      </c>
      <c r="CR5" t="str">
        <f>_xll.BDS("SUG US Equity","SUPPLY_CHAIN_CUSTOMERS","RELATIONSHIP_AS_OF_DATE","19991201")</f>
        <v>#N/A N/A</v>
      </c>
      <c r="CW5" t="str">
        <f>_xll.BDS("PFIS US Equity","SUPPLY_CHAIN_SUPPLIERS","RELATIONSHIP_AS_OF_DATE","20130628")</f>
        <v>#N/A N/A</v>
      </c>
      <c r="DB5" t="str">
        <f>_xll.BDS("PFIS US Equity","SUPPLY_CHAIN_CUSTOMERS","RELATIONSHIP_AS_OF_DATE","20130628")</f>
        <v>#N/A N/A</v>
      </c>
      <c r="DG5" t="str">
        <f>_xll.BDS("WYPT US Equity","SUPPLY_CHAIN_SUPPLIERS","RELATIONSHIP_AS_OF_DATE","20000328")</f>
        <v>#N/A N/A</v>
      </c>
      <c r="DL5" t="str">
        <f>_xll.BDS("WYPT US Equity","SUPPLY_CHAIN_CUSTOMERS","RELATIONSHIP_AS_OF_DATE","20000328")</f>
        <v>#N/A N/A</v>
      </c>
      <c r="DQ5" t="str">
        <f>_xll.BDS("TTN US Equity","SUPPLY_CHAIN_SUPPLIERS","RELATIONSHIP_AS_OF_DATE","20010920")</f>
        <v>#N/A N/A</v>
      </c>
      <c r="DV5" t="str">
        <f>_xll.BDS("TTN US Equity","SUPPLY_CHAIN_CUSTOMERS","RELATIONSHIP_AS_OF_DATE","20010920")</f>
        <v>#N/A N/A</v>
      </c>
      <c r="EA5" t="str">
        <f>_xll.BDS("2724037Q US Equity","SUPPLY_CHAIN_SUPPLIERS","RELATIONSHIP_AS_OF_DATE","19980601")</f>
        <v>#N/A N/A</v>
      </c>
      <c r="EF5" t="str">
        <f>_xll.BDS("2724037Q US Equity","SUPPLY_CHAIN_CUSTOMERS","RELATIONSHIP_AS_OF_DATE","19980601")</f>
        <v>#N/A N/A</v>
      </c>
      <c r="EK5" t="str">
        <f>_xll.BDS("BRBS US Equity","SUPPLY_CHAIN_SUPPLIERS","RELATIONSHIP_AS_OF_DATE","20200813")</f>
        <v>#N/A N/A</v>
      </c>
      <c r="EP5" t="str">
        <f>_xll.BDS("BRBS US Equity","SUPPLY_CHAIN_CUSTOMERS","RELATIONSHIP_AS_OF_DATE","20200813")</f>
        <v>#N/A N/A</v>
      </c>
      <c r="EU5" t="str">
        <f>_xll.BDS("CAR US Equity","SUPPLY_CHAIN_SUPPLIERS","RELATIONSHIP_AS_OF_DATE","20011217","cols=1;rows=5")</f>
        <v>VRRM US Equity</v>
      </c>
      <c r="EZ5" t="str">
        <f>_xll.BDS("CAR US Equity","SUPPLY_CHAIN_CUSTOMERS","RELATIONSHIP_AS_OF_DATE","20011217","cols=1;rows=5")</f>
        <v>EIH IN Equity</v>
      </c>
      <c r="FE5" t="str">
        <f>_xll.BDS("CECO US Equity","SUPPLY_CHAIN_SUPPLIERS","RELATIONSHIP_AS_OF_DATE","20130422","cols=1;rows=5")</f>
        <v>3101 JP Equity</v>
      </c>
      <c r="FJ5" t="str">
        <f>_xll.BDS("CECO US Equity","SUPPLY_CHAIN_CUSTOMERS","RELATIONSHIP_AS_OF_DATE","20130422","cols=1;rows=5")</f>
        <v>CAT US Equity</v>
      </c>
      <c r="FO5" t="str">
        <f>_xll.BDS("RLJE US Equity","SUPPLY_CHAIN_SUPPLIERS","RELATIONSHIP_AS_OF_DATE","20120402")</f>
        <v>#N/A N/A</v>
      </c>
      <c r="FT5" t="str">
        <f>_xll.BDS("RLJE US Equity","SUPPLY_CHAIN_CUSTOMERS","RELATIONSHIP_AS_OF_DATE","20120402")</f>
        <v>#N/A N/A</v>
      </c>
      <c r="FY5" t="str">
        <f>_xll.BDS("RPR US Equity","SUPPLY_CHAIN_SUPPLIERS","RELATIONSHIP_AS_OF_DATE","19951122")</f>
        <v>#N/A N/A</v>
      </c>
      <c r="GD5" t="str">
        <f>_xll.BDS("RPR US Equity","SUPPLY_CHAIN_CUSTOMERS","RELATIONSHIP_AS_OF_DATE","19951122")</f>
        <v>#N/A N/A</v>
      </c>
      <c r="GI5" t="str">
        <f>_xll.BDS("2674129Q US Equity","SUPPLY_CHAIN_SUPPLIERS","RELATIONSHIP_AS_OF_DATE","20020507")</f>
        <v>#N/A N/A</v>
      </c>
      <c r="GN5" t="str">
        <f>_xll.BDS("2674129Q US Equity","SUPPLY_CHAIN_CUSTOMERS","RELATIONSHIP_AS_OF_DATE","20020507")</f>
        <v>#N/A N/A</v>
      </c>
      <c r="GS5" t="str">
        <f>_xll.BDS("BHC CN Equity","SUPPLY_CHAIN_SUPPLIERS","RELATIONSHIP_AS_OF_DATE","20150902","cols=1;rows=5")</f>
        <v>ATR US Equity</v>
      </c>
      <c r="GX5" t="str">
        <f>_xll.BDS("BHC CN Equity","SUPPLY_CHAIN_CUSTOMERS","RELATIONSHIP_AS_OF_DATE","20150902","cols=1;rows=5")</f>
        <v>COR US Equity</v>
      </c>
      <c r="HC5" t="str">
        <f>_xll.BDS("NL US Equity","SUPPLY_CHAIN_SUPPLIERS","RELATIONSHIP_AS_OF_DATE","20040924","cols=1;rows=5")</f>
        <v>RIO LN Equity</v>
      </c>
      <c r="HH5" t="str">
        <f>_xll.BDS("NL US Equity","SUPPLY_CHAIN_CUSTOMERS","RELATIONSHIP_AS_OF_DATE","20040924","cols=1;rows=4")</f>
        <v>MAS US Equity</v>
      </c>
      <c r="HM5" t="str">
        <f>_xll.BDS("VLY US Equity","SUPPLY_CHAIN_SUPPLIERS","RELATIONSHIP_AS_OF_DATE","20080319","cols=1;rows=2")</f>
        <v>VNO US Equity</v>
      </c>
      <c r="HR5" t="str">
        <f>_xll.BDS("VLY US Equity","SUPPLY_CHAIN_CUSTOMERS","RELATIONSHIP_AS_OF_DATE","20080319")</f>
        <v>#N/A N/A</v>
      </c>
      <c r="HW5" t="str">
        <f>_xll.BDS("CXW US Equity","SUPPLY_CHAIN_SUPPLIERS","RELATIONSHIP_AS_OF_DATE","20151029","cols=1;rows=2")</f>
        <v>2293258D US Equity</v>
      </c>
      <c r="IB5" t="str">
        <f>_xll.BDS("CXW US Equity","SUPPLY_CHAIN_CUSTOMERS","RELATIONSHIP_AS_OF_DATE","20151029","cols=1;rows=5")</f>
        <v>3352Z US Equity</v>
      </c>
      <c r="IG5" t="str">
        <f>_xll.BDS("540513Q US Equity","SUPPLY_CHAIN_SUPPLIERS","RELATIONSHIP_AS_OF_DATE","20020411")</f>
        <v>#N/A N/A</v>
      </c>
      <c r="IL5" t="str">
        <f>_xll.BDS("540513Q US Equity","SUPPLY_CHAIN_CUSTOMERS","RELATIONSHIP_AS_OF_DATE","20020411")</f>
        <v>#N/A N/A</v>
      </c>
      <c r="IQ5" t="str">
        <f>_xll.BDS("BKS US Equity","SUPPLY_CHAIN_SUPPLIERS","RELATIONSHIP_AS_OF_DATE","20000406","cols=1;rows=5")</f>
        <v>KIM US Equity</v>
      </c>
      <c r="IV5" t="str">
        <f>_xll.BDS("BKS US Equity","SUPPLY_CHAIN_CUSTOMERS","RELATIONSHIP_AS_OF_DATE","20000406")</f>
        <v>SNX US Equity</v>
      </c>
      <c r="JA5" t="str">
        <f>_xll.BDS("IART US Equity","SUPPLY_CHAIN_SUPPLIERS","RELATIONSHIP_AS_OF_DATE","20170110","cols=1;rows=5")</f>
        <v>AEE US Equity</v>
      </c>
      <c r="JF5" t="str">
        <f>_xll.BDS("IART US Equity","SUPPLY_CHAIN_CUSTOMERS","RELATIONSHIP_AS_OF_DATE","20170110")</f>
        <v>#N/A N/A</v>
      </c>
      <c r="JK5" t="str">
        <f>_xll.BDS("SNV US Equity","SUPPLY_CHAIN_SUPPLIERS","RELATIONSHIP_AS_OF_DATE","20050906")</f>
        <v>VYX US Equity</v>
      </c>
      <c r="JP5" t="str">
        <f>_xll.BDS("SNV US Equity","SUPPLY_CHAIN_CUSTOMERS","RELATIONSHIP_AS_OF_DATE","20050906")</f>
        <v>#N/A N/A</v>
      </c>
      <c r="JU5" t="str">
        <f>_xll.BDS("MTRM US Equity","SUPPLY_CHAIN_SUPPLIERS","RELATIONSHIP_AS_OF_DATE","19990518")</f>
        <v>#N/A N/A</v>
      </c>
      <c r="JZ5" t="str">
        <f>_xll.BDS("MTRM US Equity","SUPPLY_CHAIN_CUSTOMERS","RELATIONSHIP_AS_OF_DATE","19990518")</f>
        <v>#N/A N/A</v>
      </c>
      <c r="KE5" t="str">
        <f>_xll.BDS("ACTA US Equity","SUPPLY_CHAIN_SUPPLIERS","RELATIONSHIP_AS_OF_DATE","20000905")</f>
        <v>#N/A N/A</v>
      </c>
      <c r="KJ5" t="str">
        <f>_xll.BDS("ACTA US Equity","SUPPLY_CHAIN_CUSTOMERS","RELATIONSHIP_AS_OF_DATE","20000905")</f>
        <v>#N/A N/A</v>
      </c>
      <c r="KO5" t="str">
        <f>_xll.BDS("REGN US Equity","SUPPLY_CHAIN_SUPPLIERS","RELATIONSHIP_AS_OF_DATE","20220419","cols=1;rows=5")</f>
        <v>SAN FP Equity</v>
      </c>
      <c r="KT5" t="str">
        <f>_xll.BDS("REGN US Equity","SUPPLY_CHAIN_CUSTOMERS","RELATIONSHIP_AS_OF_DATE","20220419","cols=1;rows=5")</f>
        <v>SAN FP Equity</v>
      </c>
      <c r="KY5" t="str">
        <f>_xll.BDS("HSH US Equity","SUPPLY_CHAIN_SUPPLIERS","RELATIONSHIP_AS_OF_DATE","19990608")</f>
        <v>#N/A N/A</v>
      </c>
      <c r="LD5" t="str">
        <f>_xll.BDS("HSH US Equity","SUPPLY_CHAIN_CUSTOMERS","RELATIONSHIP_AS_OF_DATE","19990608")</f>
        <v>#N/A N/A</v>
      </c>
      <c r="LI5" t="str">
        <f>_xll.BDS("14394Z US Equity","SUPPLY_CHAIN_SUPPLIERS","RELATIONSHIP_AS_OF_DATE","19971218")</f>
        <v>#N/A N/A</v>
      </c>
      <c r="LN5" t="str">
        <f>_xll.BDS("14394Z US Equity","SUPPLY_CHAIN_CUSTOMERS","RELATIONSHIP_AS_OF_DATE","19971218")</f>
        <v>#N/A N/A</v>
      </c>
      <c r="LS5" t="str">
        <f>_xll.BDS("9749933D US Equity","SUPPLY_CHAIN_SUPPLIERS","RELATIONSHIP_AS_OF_DATE","20160627")</f>
        <v>#N/A N/A</v>
      </c>
      <c r="LX5" t="str">
        <f>_xll.BDS("9749933D US Equity","SUPPLY_CHAIN_CUSTOMERS","RELATIONSHIP_AS_OF_DATE","20160627")</f>
        <v>#N/A N/A</v>
      </c>
      <c r="MC5" t="str">
        <f>_xll.BDS("PFE US Equity","SUPPLY_CHAIN_SUPPLIERS","RELATIONSHIP_AS_OF_DATE","20061115","cols=1;rows=5")</f>
        <v>BNTX US Equity</v>
      </c>
      <c r="MH5" t="str">
        <f>_xll.BDS("PFE US Equity","SUPPLY_CHAIN_CUSTOMERS","RELATIONSHIP_AS_OF_DATE","20061115","cols=1;rows=5")</f>
        <v>MCK US Equity</v>
      </c>
      <c r="MM5" t="str">
        <f>_xll.BDS("ORCL US Equity","SUPPLY_CHAIN_SUPPLIERS","RELATIONSHIP_AS_OF_DATE","20061023","cols=1;rows=5")</f>
        <v>NVDA US Equity</v>
      </c>
      <c r="MR5" t="str">
        <f>_xll.BDS("ORCL US Equity","SUPPLY_CHAIN_CUSTOMERS","RELATIONSHIP_AS_OF_DATE","20061023","cols=1;rows=5")</f>
        <v>ACN US Equity</v>
      </c>
      <c r="MW5" t="str">
        <f>_xll.BDS("MENT US Equity","SUPPLY_CHAIN_SUPPLIERS","RELATIONSHIP_AS_OF_DATE","20020423")</f>
        <v>#N/A N/A</v>
      </c>
      <c r="NB5" t="str">
        <f>_xll.BDS("MENT US Equity","SUPPLY_CHAIN_CUSTOMERS","RELATIONSHIP_AS_OF_DATE","20020423")</f>
        <v>#N/A N/A</v>
      </c>
      <c r="NG5" t="str">
        <f>_xll.BDS("SWKH US Equity","SUPPLY_CHAIN_SUPPLIERS","RELATIONSHIP_AS_OF_DATE","20010409")</f>
        <v>#N/A N/A</v>
      </c>
      <c r="NL5" t="str">
        <f>_xll.BDS("SWKH US Equity","SUPPLY_CHAIN_CUSTOMERS","RELATIONSHIP_AS_OF_DATE","20010409")</f>
        <v>TVRD US Equity</v>
      </c>
      <c r="NQ5" t="str">
        <f>_xll.BDS("GVCM US Equity","SUPPLY_CHAIN_SUPPLIERS","RELATIONSHIP_AS_OF_DATE","20060906")</f>
        <v>#N/A N/A</v>
      </c>
      <c r="NV5" t="str">
        <f>_xll.BDS("GVCM US Equity","SUPPLY_CHAIN_CUSTOMERS","RELATIONSHIP_AS_OF_DATE","20060906")</f>
        <v>#N/A N/A</v>
      </c>
      <c r="OA5" t="str">
        <f>_xll.BDS("ORCL US Equity","SUPPLY_CHAIN_SUPPLIERS","RELATIONSHIP_AS_OF_DATE","20060412","cols=1;rows=5")</f>
        <v>NVDA US Equity</v>
      </c>
      <c r="OF5" t="str">
        <f>_xll.BDS("ORCL US Equity","SUPPLY_CHAIN_CUSTOMERS","RELATIONSHIP_AS_OF_DATE","20060412","cols=1;rows=5")</f>
        <v>ACN US Equity</v>
      </c>
    </row>
    <row r="6" spans="1:396" x14ac:dyDescent="0.25">
      <c r="A6" t="s">
        <v>10877</v>
      </c>
      <c r="F6" t="s">
        <v>11686</v>
      </c>
      <c r="K6" t="s">
        <v>11065</v>
      </c>
      <c r="P6" t="s">
        <v>684</v>
      </c>
      <c r="AO6" t="s">
        <v>11759</v>
      </c>
      <c r="AT6" t="s">
        <v>6307</v>
      </c>
      <c r="BS6" t="s">
        <v>11988</v>
      </c>
      <c r="CC6" t="s">
        <v>10978</v>
      </c>
      <c r="CH6" t="s">
        <v>11470</v>
      </c>
      <c r="EU6" t="s">
        <v>12031</v>
      </c>
      <c r="EZ6" t="s">
        <v>11677</v>
      </c>
      <c r="FE6" t="s">
        <v>12028</v>
      </c>
      <c r="FJ6" t="s">
        <v>11142</v>
      </c>
      <c r="GS6" t="s">
        <v>10814</v>
      </c>
      <c r="GX6" t="s">
        <v>385</v>
      </c>
      <c r="HC6" t="s">
        <v>11300</v>
      </c>
      <c r="HH6" t="s">
        <v>10657</v>
      </c>
      <c r="HM6" t="s">
        <v>3162</v>
      </c>
      <c r="HW6" t="s">
        <v>12374</v>
      </c>
      <c r="IB6" t="s">
        <v>10801</v>
      </c>
      <c r="IQ6" t="s">
        <v>10888</v>
      </c>
      <c r="JA6" t="s">
        <v>158</v>
      </c>
      <c r="KO6" t="s">
        <v>11781</v>
      </c>
      <c r="KT6" t="s">
        <v>1468</v>
      </c>
      <c r="MC6" t="s">
        <v>171</v>
      </c>
      <c r="MH6" t="s">
        <v>1468</v>
      </c>
      <c r="MM6" t="s">
        <v>162</v>
      </c>
      <c r="MR6" t="s">
        <v>469</v>
      </c>
      <c r="OA6" t="s">
        <v>162</v>
      </c>
      <c r="OF6" t="s">
        <v>469</v>
      </c>
    </row>
    <row r="7" spans="1:396" x14ac:dyDescent="0.25">
      <c r="A7" t="s">
        <v>11282</v>
      </c>
      <c r="F7" t="s">
        <v>11114</v>
      </c>
      <c r="K7" t="s">
        <v>6477</v>
      </c>
      <c r="P7" t="s">
        <v>6473</v>
      </c>
      <c r="AO7" t="s">
        <v>10876</v>
      </c>
      <c r="AT7" t="s">
        <v>11657</v>
      </c>
      <c r="BS7" t="s">
        <v>11989</v>
      </c>
      <c r="CC7" t="s">
        <v>10813</v>
      </c>
      <c r="CH7" t="s">
        <v>1468</v>
      </c>
      <c r="EU7" t="s">
        <v>10807</v>
      </c>
      <c r="EZ7" t="s">
        <v>11678</v>
      </c>
      <c r="FE7" t="s">
        <v>1265</v>
      </c>
      <c r="FJ7" t="s">
        <v>11990</v>
      </c>
      <c r="GS7" t="s">
        <v>11152</v>
      </c>
      <c r="GX7" t="s">
        <v>970</v>
      </c>
      <c r="HC7" t="s">
        <v>11302</v>
      </c>
      <c r="HH7" t="s">
        <v>11284</v>
      </c>
      <c r="IB7" t="s">
        <v>11590</v>
      </c>
      <c r="IQ7" t="s">
        <v>10889</v>
      </c>
      <c r="JA7" t="s">
        <v>260</v>
      </c>
      <c r="KO7" t="s">
        <v>11782</v>
      </c>
      <c r="KT7" t="s">
        <v>385</v>
      </c>
      <c r="MC7" t="s">
        <v>10816</v>
      </c>
      <c r="MH7" t="s">
        <v>970</v>
      </c>
      <c r="MM7" t="s">
        <v>279</v>
      </c>
      <c r="MR7" t="s">
        <v>2881</v>
      </c>
      <c r="OA7" t="s">
        <v>279</v>
      </c>
      <c r="OF7" t="s">
        <v>2881</v>
      </c>
    </row>
    <row r="8" spans="1:396" x14ac:dyDescent="0.25">
      <c r="A8" t="s">
        <v>11283</v>
      </c>
      <c r="F8" t="s">
        <v>11010</v>
      </c>
      <c r="K8" t="s">
        <v>266</v>
      </c>
      <c r="P8" t="s">
        <v>11248</v>
      </c>
      <c r="AO8" t="s">
        <v>12221</v>
      </c>
      <c r="AT8" t="s">
        <v>11658</v>
      </c>
      <c r="BS8" t="s">
        <v>10224</v>
      </c>
      <c r="CC8" t="s">
        <v>10807</v>
      </c>
      <c r="CH8" t="s">
        <v>385</v>
      </c>
      <c r="EU8" t="s">
        <v>171</v>
      </c>
      <c r="EZ8" t="s">
        <v>11679</v>
      </c>
      <c r="FE8" t="s">
        <v>158</v>
      </c>
      <c r="FJ8" t="s">
        <v>11545</v>
      </c>
      <c r="GS8" t="s">
        <v>11153</v>
      </c>
      <c r="GX8" t="s">
        <v>10646</v>
      </c>
      <c r="HC8" t="s">
        <v>11012</v>
      </c>
      <c r="HH8" t="s">
        <v>12051</v>
      </c>
      <c r="IB8" t="s">
        <v>12331</v>
      </c>
      <c r="IQ8" t="s">
        <v>10890</v>
      </c>
      <c r="JA8" t="s">
        <v>572</v>
      </c>
      <c r="KO8" t="s">
        <v>2785</v>
      </c>
      <c r="KT8" t="s">
        <v>11012</v>
      </c>
      <c r="MC8" t="s">
        <v>43</v>
      </c>
      <c r="MH8" t="s">
        <v>43</v>
      </c>
      <c r="MM8" t="s">
        <v>10818</v>
      </c>
      <c r="MR8" t="s">
        <v>52</v>
      </c>
      <c r="OA8" t="s">
        <v>10818</v>
      </c>
      <c r="OF8" t="s">
        <v>52</v>
      </c>
    </row>
    <row r="9" spans="1:396" x14ac:dyDescent="0.25">
      <c r="A9" t="s">
        <v>11139</v>
      </c>
      <c r="F9" t="s">
        <v>10660</v>
      </c>
      <c r="K9" t="s">
        <v>11466</v>
      </c>
      <c r="P9" t="s">
        <v>2967</v>
      </c>
      <c r="AO9" t="s">
        <v>12222</v>
      </c>
      <c r="AT9" t="s">
        <v>11659</v>
      </c>
      <c r="BS9" t="s">
        <v>11029</v>
      </c>
      <c r="CC9" t="s">
        <v>10751</v>
      </c>
      <c r="CH9" t="s">
        <v>10805</v>
      </c>
      <c r="EU9" t="s">
        <v>12032</v>
      </c>
      <c r="EZ9" t="s">
        <v>11680</v>
      </c>
      <c r="FE9" t="s">
        <v>6710</v>
      </c>
      <c r="FJ9" t="s">
        <v>11991</v>
      </c>
      <c r="GS9" t="s">
        <v>2111</v>
      </c>
      <c r="GX9" t="s">
        <v>11145</v>
      </c>
      <c r="HC9" t="s">
        <v>260</v>
      </c>
      <c r="IB9" t="s">
        <v>12332</v>
      </c>
      <c r="IQ9" t="s">
        <v>991</v>
      </c>
      <c r="JA9" t="s">
        <v>10957</v>
      </c>
      <c r="KO9" t="s">
        <v>10816</v>
      </c>
      <c r="KT9" t="s">
        <v>970</v>
      </c>
      <c r="MC9" t="s">
        <v>10817</v>
      </c>
      <c r="MH9" t="s">
        <v>10657</v>
      </c>
      <c r="MM9" t="s">
        <v>384</v>
      </c>
      <c r="MR9" t="s">
        <v>472</v>
      </c>
      <c r="OA9" t="s">
        <v>384</v>
      </c>
      <c r="OF9" t="s">
        <v>472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6670</v>
      </c>
      <c r="K1" s="1" t="s">
        <v>6671</v>
      </c>
      <c r="U1" s="1" t="s">
        <v>6672</v>
      </c>
      <c r="AE1" s="1" t="s">
        <v>6673</v>
      </c>
      <c r="AO1" s="1" t="s">
        <v>6674</v>
      </c>
      <c r="AY1" s="1" t="s">
        <v>6675</v>
      </c>
      <c r="BI1" s="1" t="s">
        <v>6676</v>
      </c>
      <c r="BS1" s="1" t="s">
        <v>6677</v>
      </c>
      <c r="CC1" s="1" t="s">
        <v>6678</v>
      </c>
      <c r="CM1" s="1" t="s">
        <v>6679</v>
      </c>
      <c r="CW1" s="1" t="s">
        <v>6680</v>
      </c>
      <c r="DG1" s="1" t="s">
        <v>6681</v>
      </c>
      <c r="DQ1" s="1" t="s">
        <v>6682</v>
      </c>
      <c r="EA1" s="1" t="s">
        <v>6683</v>
      </c>
      <c r="EK1" s="1" t="s">
        <v>6684</v>
      </c>
      <c r="EU1" s="1" t="s">
        <v>6685</v>
      </c>
      <c r="FE1" s="1" t="s">
        <v>6686</v>
      </c>
      <c r="FO1" s="1" t="s">
        <v>6687</v>
      </c>
      <c r="FY1" s="1" t="s">
        <v>6688</v>
      </c>
      <c r="GI1" s="1" t="s">
        <v>6689</v>
      </c>
      <c r="GS1" s="1" t="s">
        <v>6690</v>
      </c>
      <c r="HC1" s="1" t="s">
        <v>6691</v>
      </c>
      <c r="HM1" s="1" t="s">
        <v>6692</v>
      </c>
      <c r="HW1" s="1" t="s">
        <v>6693</v>
      </c>
      <c r="IG1" s="1" t="s">
        <v>6694</v>
      </c>
      <c r="IQ1" s="1" t="s">
        <v>6695</v>
      </c>
      <c r="JA1" s="1" t="s">
        <v>6696</v>
      </c>
      <c r="JK1" s="1" t="s">
        <v>6697</v>
      </c>
      <c r="JU1" s="1" t="s">
        <v>6698</v>
      </c>
      <c r="KE1" s="1" t="s">
        <v>6699</v>
      </c>
      <c r="KO1" s="1" t="s">
        <v>6700</v>
      </c>
      <c r="KY1" s="1" t="s">
        <v>6701</v>
      </c>
      <c r="LI1" s="1" t="s">
        <v>6702</v>
      </c>
      <c r="LS1" s="1" t="s">
        <v>6703</v>
      </c>
      <c r="MC1" s="1" t="s">
        <v>6704</v>
      </c>
      <c r="MM1" s="1" t="s">
        <v>6705</v>
      </c>
      <c r="MW1" s="1" t="s">
        <v>6706</v>
      </c>
      <c r="NG1" s="1" t="s">
        <v>6707</v>
      </c>
      <c r="NQ1" s="1" t="s">
        <v>6708</v>
      </c>
      <c r="OA1" s="1" t="s">
        <v>6709</v>
      </c>
    </row>
    <row r="2" spans="1:396" x14ac:dyDescent="0.25">
      <c r="A2" s="2" t="s">
        <v>6710</v>
      </c>
      <c r="K2" s="2" t="s">
        <v>6711</v>
      </c>
      <c r="U2" s="2" t="s">
        <v>5330</v>
      </c>
      <c r="AE2" s="2" t="s">
        <v>6712</v>
      </c>
      <c r="AO2" s="2" t="s">
        <v>6713</v>
      </c>
      <c r="AY2" s="2" t="s">
        <v>64</v>
      </c>
      <c r="BI2" s="2" t="s">
        <v>2695</v>
      </c>
      <c r="BS2" s="2" t="s">
        <v>6081</v>
      </c>
      <c r="CC2" s="2" t="s">
        <v>6714</v>
      </c>
      <c r="CM2" s="2" t="s">
        <v>6715</v>
      </c>
      <c r="CW2" s="2" t="s">
        <v>6716</v>
      </c>
      <c r="DG2" s="2" t="s">
        <v>6717</v>
      </c>
      <c r="DQ2" s="2" t="s">
        <v>6718</v>
      </c>
      <c r="EA2" s="2" t="s">
        <v>6719</v>
      </c>
      <c r="EK2" s="2" t="s">
        <v>991</v>
      </c>
      <c r="EU2" s="2" t="s">
        <v>6720</v>
      </c>
      <c r="FE2" s="2" t="s">
        <v>6721</v>
      </c>
      <c r="FO2" s="2" t="s">
        <v>6722</v>
      </c>
      <c r="FY2" s="2" t="s">
        <v>3344</v>
      </c>
      <c r="GI2" s="2" t="s">
        <v>6723</v>
      </c>
      <c r="GS2" s="2" t="s">
        <v>2294</v>
      </c>
      <c r="HC2" s="2" t="s">
        <v>2124</v>
      </c>
      <c r="HM2" s="2" t="s">
        <v>6724</v>
      </c>
      <c r="HW2" s="2" t="s">
        <v>6632</v>
      </c>
      <c r="IG2" s="2" t="s">
        <v>6725</v>
      </c>
      <c r="IQ2" s="2" t="s">
        <v>261</v>
      </c>
      <c r="JA2" s="2" t="s">
        <v>6726</v>
      </c>
      <c r="JK2" s="2" t="s">
        <v>6727</v>
      </c>
      <c r="JU2" s="2" t="s">
        <v>669</v>
      </c>
      <c r="KE2" s="2" t="s">
        <v>6728</v>
      </c>
      <c r="KO2" s="2" t="s">
        <v>6729</v>
      </c>
      <c r="KY2" s="2" t="s">
        <v>3697</v>
      </c>
      <c r="LI2" s="2" t="s">
        <v>1164</v>
      </c>
      <c r="LS2" s="2" t="s">
        <v>1753</v>
      </c>
      <c r="MC2" s="2" t="s">
        <v>6730</v>
      </c>
      <c r="MM2" s="2" t="s">
        <v>6731</v>
      </c>
      <c r="MW2" s="2" t="s">
        <v>6732</v>
      </c>
      <c r="NG2" s="2" t="s">
        <v>4911</v>
      </c>
      <c r="NQ2" s="2" t="s">
        <v>2407</v>
      </c>
      <c r="OA2" s="2" t="s">
        <v>1927</v>
      </c>
    </row>
    <row r="3" spans="1:396" x14ac:dyDescent="0.25">
      <c r="A3" t="s">
        <v>509</v>
      </c>
      <c r="K3" t="s">
        <v>6264</v>
      </c>
      <c r="U3" t="s">
        <v>6733</v>
      </c>
      <c r="AE3" t="s">
        <v>6734</v>
      </c>
      <c r="AO3" t="s">
        <v>6735</v>
      </c>
      <c r="AY3" t="s">
        <v>6736</v>
      </c>
      <c r="BI3" t="s">
        <v>6737</v>
      </c>
      <c r="BS3" t="s">
        <v>6738</v>
      </c>
      <c r="CC3" t="s">
        <v>1872</v>
      </c>
      <c r="CM3" t="s">
        <v>6739</v>
      </c>
      <c r="CW3" t="s">
        <v>697</v>
      </c>
      <c r="DG3" t="s">
        <v>1014</v>
      </c>
      <c r="DQ3" t="s">
        <v>2730</v>
      </c>
      <c r="EA3" t="s">
        <v>3005</v>
      </c>
      <c r="EK3" t="s">
        <v>3633</v>
      </c>
      <c r="EU3" t="s">
        <v>6740</v>
      </c>
      <c r="FE3" t="s">
        <v>6741</v>
      </c>
      <c r="FO3" t="s">
        <v>407</v>
      </c>
      <c r="FY3" t="s">
        <v>6742</v>
      </c>
      <c r="GI3" t="s">
        <v>6743</v>
      </c>
      <c r="GS3" t="s">
        <v>6744</v>
      </c>
      <c r="HC3" t="s">
        <v>1564</v>
      </c>
      <c r="HM3" t="s">
        <v>6745</v>
      </c>
      <c r="HW3" t="s">
        <v>5097</v>
      </c>
      <c r="IG3" t="s">
        <v>6746</v>
      </c>
      <c r="IQ3" t="s">
        <v>6747</v>
      </c>
      <c r="JA3" t="s">
        <v>6404</v>
      </c>
      <c r="JK3" t="s">
        <v>6748</v>
      </c>
      <c r="JU3" t="s">
        <v>6749</v>
      </c>
      <c r="KE3" t="s">
        <v>6750</v>
      </c>
      <c r="KO3" t="s">
        <v>1583</v>
      </c>
      <c r="KY3" t="s">
        <v>6751</v>
      </c>
      <c r="LI3" t="s">
        <v>6752</v>
      </c>
      <c r="LS3" t="s">
        <v>6753</v>
      </c>
      <c r="MC3" t="s">
        <v>1279</v>
      </c>
      <c r="MM3" t="s">
        <v>6575</v>
      </c>
      <c r="MW3" t="s">
        <v>623</v>
      </c>
      <c r="NG3" t="s">
        <v>6754</v>
      </c>
      <c r="NQ3" t="s">
        <v>6755</v>
      </c>
      <c r="OA3" t="s">
        <v>1678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_xll.BDS("CMS US Equity","SUPPLY_CHAIN_SUPPLIERS","RELATIONSHIP_AS_OF_DATE","19980803","cols=1;rows=5")</f>
        <v>DNOW US Equity</v>
      </c>
      <c r="F5" t="str">
        <f>_xll.BDS("CMS US Equity","SUPPLY_CHAIN_CUSTOMERS","RELATIONSHIP_AS_OF_DATE","19980803","cols=1;rows=5")</f>
        <v>000333 CH Equity</v>
      </c>
      <c r="K5" t="str">
        <f>_xll.BDS("THEGQ US Equity","SUPPLY_CHAIN_SUPPLIERS","RELATIONSHIP_AS_OF_DATE","20010604")</f>
        <v>#N/A N/A</v>
      </c>
      <c r="P5" t="str">
        <f>_xll.BDS("THEGQ US Equity","SUPPLY_CHAIN_CUSTOMERS","RELATIONSHIP_AS_OF_DATE","20010604")</f>
        <v>#N/A N/A</v>
      </c>
      <c r="U5" t="str">
        <f>_xll.BDS("TSFG US Equity","SUPPLY_CHAIN_SUPPLIERS","RELATIONSHIP_AS_OF_DATE","20040121")</f>
        <v>#N/A N/A</v>
      </c>
      <c r="Z5" t="str">
        <f>_xll.BDS("TSFG US Equity","SUPPLY_CHAIN_CUSTOMERS","RELATIONSHIP_AS_OF_DATE","20040121")</f>
        <v>#N/A N/A</v>
      </c>
      <c r="AE5" t="str">
        <f>_xll.BDS("HRBT US Equity","SUPPLY_CHAIN_SUPPLIERS","RELATIONSHIP_AS_OF_DATE","20001124")</f>
        <v>#N/A N/A</v>
      </c>
      <c r="AJ5" t="str">
        <f>_xll.BDS("HRBT US Equity","SUPPLY_CHAIN_CUSTOMERS","RELATIONSHIP_AS_OF_DATE","20001124")</f>
        <v>#N/A N/A</v>
      </c>
      <c r="AO5" t="str">
        <f>_xll.BDS("IBKC US Equity","SUPPLY_CHAIN_SUPPLIERS","RELATIONSHIP_AS_OF_DATE","20140113")</f>
        <v>#N/A N/A</v>
      </c>
      <c r="AT5" t="str">
        <f>_xll.BDS("IBKC US Equity","SUPPLY_CHAIN_CUSTOMERS","RELATIONSHIP_AS_OF_DATE","20140113")</f>
        <v>#N/A N/A</v>
      </c>
      <c r="AY5" t="str">
        <f>_xll.BDS("nan Equity","SUPPLY_CHAIN_SUPPLIERS","RELATIONSHIP_AS_OF_DATE","20140717")</f>
        <v>#N/A N/A</v>
      </c>
      <c r="BD5" t="str">
        <f>_xll.BDS("nan Equity","SUPPLY_CHAIN_CUSTOMERS","RELATIONSHIP_AS_OF_DATE","20140717")</f>
        <v>#N/A N/A</v>
      </c>
      <c r="BI5" t="str">
        <f>_xll.BDS("FNFG US Equity","SUPPLY_CHAIN_SUPPLIERS","RELATIONSHIP_AS_OF_DATE","20070910")</f>
        <v>#N/A N/A</v>
      </c>
      <c r="BN5" t="str">
        <f>_xll.BDS("FNFG US Equity","SUPPLY_CHAIN_CUSTOMERS","RELATIONSHIP_AS_OF_DATE","20070910")</f>
        <v>#N/A N/A</v>
      </c>
      <c r="BS5" t="str">
        <f>_xll.BDS("STBA US Equity","SUPPLY_CHAIN_SUPPLIERS","RELATIONSHIP_AS_OF_DATE","20141030")</f>
        <v>#N/A N/A</v>
      </c>
      <c r="BX5" t="str">
        <f>_xll.BDS("STBA US Equity","SUPPLY_CHAIN_CUSTOMERS","RELATIONSHIP_AS_OF_DATE","20141030")</f>
        <v>#N/A N/A</v>
      </c>
      <c r="CC5" t="str">
        <f>_xll.BDS("MTSN US Equity","SUPPLY_CHAIN_SUPPLIERS","RELATIONSHIP_AS_OF_DATE","20000628","cols=1;rows=2")</f>
        <v>PDFS US Equity</v>
      </c>
      <c r="CH5" t="str">
        <f>_xll.BDS("MTSN US Equity","SUPPLY_CHAIN_CUSTOMERS","RELATIONSHIP_AS_OF_DATE","20000628")</f>
        <v>GFS US Equity</v>
      </c>
      <c r="CM5" t="str">
        <f>_xll.BDS("UNBJ US Equity","SUPPLY_CHAIN_SUPPLIERS","RELATIONSHIP_AS_OF_DATE","20011120")</f>
        <v>#N/A N/A</v>
      </c>
      <c r="CR5" t="str">
        <f>_xll.BDS("UNBJ US Equity","SUPPLY_CHAIN_CUSTOMERS","RELATIONSHIP_AS_OF_DATE","20011120")</f>
        <v>#N/A N/A</v>
      </c>
      <c r="CW5" t="str">
        <f>_xll.BDS("3023927Q US Equity","SUPPLY_CHAIN_SUPPLIERS","RELATIONSHIP_AS_OF_DATE","20040715")</f>
        <v>#N/A N/A</v>
      </c>
      <c r="DB5" t="str">
        <f>_xll.BDS("3023927Q US Equity","SUPPLY_CHAIN_CUSTOMERS","RELATIONSHIP_AS_OF_DATE","20040715")</f>
        <v>#N/A N/A</v>
      </c>
      <c r="DG5" t="str">
        <f>_xll.BDS("4131117Q US Equity","SUPPLY_CHAIN_SUPPLIERS","RELATIONSHIP_AS_OF_DATE","19980316")</f>
        <v>#N/A N/A</v>
      </c>
      <c r="DL5" t="str">
        <f>_xll.BDS("4131117Q US Equity","SUPPLY_CHAIN_CUSTOMERS","RELATIONSHIP_AS_OF_DATE","19980316")</f>
        <v>#N/A N/A</v>
      </c>
      <c r="DQ5" t="str">
        <f>_xll.BDS("NTBKQ US Equity","SUPPLY_CHAIN_SUPPLIERS","RELATIONSHIP_AS_OF_DATE","20011119")</f>
        <v>1628482D LN Equity</v>
      </c>
      <c r="DV5" t="str">
        <f>_xll.BDS("NTBKQ US Equity","SUPPLY_CHAIN_CUSTOMERS","RELATIONSHIP_AS_OF_DATE","20011119")</f>
        <v>#N/A N/A</v>
      </c>
      <c r="EA5" t="str">
        <f>_xll.BDS("MOGN US Equity","SUPPLY_CHAIN_SUPPLIERS","RELATIONSHIP_AS_OF_DATE","20050721")</f>
        <v>#N/A N/A</v>
      </c>
      <c r="EF5" t="str">
        <f>_xll.BDS("MOGN US Equity","SUPPLY_CHAIN_CUSTOMERS","RELATIONSHIP_AS_OF_DATE","20050721")</f>
        <v>#N/A N/A</v>
      </c>
      <c r="EK5" t="str">
        <f>_xll.BDS("SITC US Equity","SUPPLY_CHAIN_SUPPLIERS","RELATIONSHIP_AS_OF_DATE","20001102")</f>
        <v>#N/A N/A</v>
      </c>
      <c r="EP5" t="str">
        <f>_xll.BDS("SITC US Equity","SUPPLY_CHAIN_CUSTOMERS","RELATIONSHIP_AS_OF_DATE","20001102","cols=1;rows=5")</f>
        <v>TJX US Equity</v>
      </c>
      <c r="EU5" t="str">
        <f>_xll.BDS("CBC US Equity","SUPPLY_CHAIN_SUPPLIERS","RELATIONSHIP_AS_OF_DATE","20190410","cols=1;rows=2")</f>
        <v>1611864D US Equity</v>
      </c>
      <c r="EZ5" t="str">
        <f>_xll.BDS("CBC US Equity","SUPPLY_CHAIN_CUSTOMERS","RELATIONSHIP_AS_OF_DATE","20190410")</f>
        <v>USIO US Equity</v>
      </c>
      <c r="FE5" t="str">
        <f>_xll.BDS("ABCWQ US Equity","SUPPLY_CHAIN_SUPPLIERS","RELATIONSHIP_AS_OF_DATE","19990105")</f>
        <v>#N/A N/A</v>
      </c>
      <c r="FJ5" t="str">
        <f>_xll.BDS("ABCWQ US Equity","SUPPLY_CHAIN_CUSTOMERS","RELATIONSHIP_AS_OF_DATE","19990105")</f>
        <v>#N/A N/A</v>
      </c>
      <c r="FO5" t="str">
        <f>_xll.BDS("BNCN US Equity","SUPPLY_CHAIN_SUPPLIERS","RELATIONSHIP_AS_OF_DATE","20151116")</f>
        <v>#N/A N/A</v>
      </c>
      <c r="FT5" t="str">
        <f>_xll.BDS("BNCN US Equity","SUPPLY_CHAIN_CUSTOMERS","RELATIONSHIP_AS_OF_DATE","20151116")</f>
        <v>#N/A N/A</v>
      </c>
      <c r="FY5" t="str">
        <f>_xll.BDS("STZ US Equity","SUPPLY_CHAIN_SUPPLIERS","RELATIONSHIP_AS_OF_DATE","20010410","cols=1;rows=5")</f>
        <v>KO US Equity</v>
      </c>
      <c r="GD5" t="str">
        <f>_xll.BDS("STZ US Equity","SUPPLY_CHAIN_CUSTOMERS","RELATIONSHIP_AS_OF_DATE","20010410","cols=1;rows=5")</f>
        <v>24549Z US Equity</v>
      </c>
      <c r="GI5" t="str">
        <f>_xll.BDS("CRLL US Equity","SUPPLY_CHAIN_SUPPLIERS","RELATIONSHIP_AS_OF_DATE","20001006")</f>
        <v>#N/A N/A</v>
      </c>
      <c r="GN5" t="str">
        <f>_xll.BDS("CRLL US Equity","SUPPLY_CHAIN_CUSTOMERS","RELATIONSHIP_AS_OF_DATE","20001006")</f>
        <v>#N/A N/A</v>
      </c>
      <c r="GS5" t="str">
        <f>_xll.BDS("2258717D US Equity","SUPPLY_CHAIN_SUPPLIERS","RELATIONSHIP_AS_OF_DATE","20080408")</f>
        <v>#N/A N/A</v>
      </c>
      <c r="GX5" t="str">
        <f>_xll.BDS("2258717D US Equity","SUPPLY_CHAIN_CUSTOMERS","RELATIONSHIP_AS_OF_DATE","20080408")</f>
        <v>#N/A N/A</v>
      </c>
      <c r="HC5" t="str">
        <f>_xll.BDS("PACW US Equity","SUPPLY_CHAIN_SUPPLIERS","RELATIONSHIP_AS_OF_DATE","20020429")</f>
        <v>#N/A N/A</v>
      </c>
      <c r="HH5" t="str">
        <f>_xll.BDS("PACW US Equity","SUPPLY_CHAIN_CUSTOMERS","RELATIONSHIP_AS_OF_DATE","20020429")</f>
        <v>SNX US Equity</v>
      </c>
      <c r="HM5" t="str">
        <f>_xll.BDS("DY US Equity","SUPPLY_CHAIN_SUPPLIERS","RELATIONSHIP_AS_OF_DATE","20020107","cols=1;rows=3")</f>
        <v>BYL CN Equity</v>
      </c>
      <c r="HR5" t="str">
        <f>_xll.BDS("DY US Equity","SUPPLY_CHAIN_CUSTOMERS","RELATIONSHIP_AS_OF_DATE","20020107","cols=1;rows=5")</f>
        <v>T US Equity</v>
      </c>
      <c r="HW5" t="str">
        <f>_xll.BDS("CECO US Equity","SUPPLY_CHAIN_SUPPLIERS","RELATIONSHIP_AS_OF_DATE","20150504","cols=1;rows=5")</f>
        <v>3101 JP Equity</v>
      </c>
      <c r="IB5" t="str">
        <f>_xll.BDS("CECO US Equity","SUPPLY_CHAIN_CUSTOMERS","RELATIONSHIP_AS_OF_DATE","20150504","cols=1;rows=5")</f>
        <v>CAT US Equity</v>
      </c>
      <c r="IG5" t="str">
        <f>_xll.BDS("3537Q US Equity","SUPPLY_CHAIN_SUPPLIERS","RELATIONSHIP_AS_OF_DATE","19990806")</f>
        <v>#N/A N/A</v>
      </c>
      <c r="IL5" t="str">
        <f>_xll.BDS("3537Q US Equity","SUPPLY_CHAIN_CUSTOMERS","RELATIONSHIP_AS_OF_DATE","19990806")</f>
        <v>#N/A N/A</v>
      </c>
      <c r="IQ5" t="str">
        <f>_xll.BDS("HPQ US Equity","SUPPLY_CHAIN_SUPPLIERS","RELATIONSHIP_AS_OF_DATE","19950921","cols=1;rows=5")</f>
        <v>2356 TT Equity</v>
      </c>
      <c r="IV5" t="str">
        <f>_xll.BDS("HPQ US Equity","SUPPLY_CHAIN_CUSTOMERS","RELATIONSHIP_AS_OF_DATE","19950921","cols=1;rows=5")</f>
        <v>SNX US Equity</v>
      </c>
      <c r="JA5" t="str">
        <f>_xll.BDS("DVXE US Equity","SUPPLY_CHAIN_SUPPLIERS","RELATIONSHIP_AS_OF_DATE","19980323")</f>
        <v>#N/A N/A</v>
      </c>
      <c r="JF5" t="str">
        <f>_xll.BDS("DVXE US Equity","SUPPLY_CHAIN_CUSTOMERS","RELATIONSHIP_AS_OF_DATE","19980323")</f>
        <v>#N/A N/A</v>
      </c>
      <c r="JK5" t="str">
        <f>_xll.BDS("CNXC US Equity","SUPPLY_CHAIN_SUPPLIERS","RELATIONSHIP_AS_OF_DATE","20220509","cols=1;rows=5")</f>
        <v>BTN SJ Equity</v>
      </c>
      <c r="JP5" t="str">
        <f>_xll.BDS("CNXC US Equity","SUPPLY_CHAIN_CUSTOMERS","RELATIONSHIP_AS_OF_DATE","20220509","cols=1;rows=5")</f>
        <v>SNX US Equity</v>
      </c>
      <c r="JU5" t="str">
        <f>_xll.BDS("MSI US Equity","SUPPLY_CHAIN_SUPPLIERS","RELATIONSHIP_AS_OF_DATE","20000829","cols=1;rows=5")</f>
        <v>SANM US Equity</v>
      </c>
      <c r="JZ5" t="str">
        <f>_xll.BDS("MSI US Equity","SUPPLY_CHAIN_CUSTOMERS","RELATIONSHIP_AS_OF_DATE","20000829","cols=1;rows=5")</f>
        <v>3352Z US Equity</v>
      </c>
      <c r="KE5" t="str">
        <f>_xll.BDS("WFBC US Equity","SUPPLY_CHAIN_SUPPLIERS","RELATIONSHIP_AS_OF_DATE","20050120")</f>
        <v>#N/A N/A</v>
      </c>
      <c r="KJ5" t="str">
        <f>_xll.BDS("WFBC US Equity","SUPPLY_CHAIN_CUSTOMERS","RELATIONSHIP_AS_OF_DATE","20050120")</f>
        <v>#N/A N/A</v>
      </c>
      <c r="KO5" t="str">
        <f>_xll.BDS("1551989D US Equity","SUPPLY_CHAIN_SUPPLIERS","RELATIONSHIP_AS_OF_DATE","20061106")</f>
        <v>#N/A N/A</v>
      </c>
      <c r="KT5" t="str">
        <f>_xll.BDS("1551989D US Equity","SUPPLY_CHAIN_CUSTOMERS","RELATIONSHIP_AS_OF_DATE","20061106")</f>
        <v>#N/A N/A</v>
      </c>
      <c r="KY5" t="str">
        <f>_xll.BDS("DK US Equity","SUPPLY_CHAIN_SUPPLIERS","RELATIONSHIP_AS_OF_DATE","20171108","cols=1;rows=5")</f>
        <v>FANG US Equity</v>
      </c>
      <c r="LD5" t="str">
        <f>_xll.BDS("DK US Equity","SUPPLY_CHAIN_CUSTOMERS","RELATIONSHIP_AS_OF_DATE","20171108","cols=1;rows=4")</f>
        <v>DKL US Equity</v>
      </c>
      <c r="LI5" t="str">
        <f>_xll.BDS("GE US Equity","SUPPLY_CHAIN_SUPPLIERS","RELATIONSHIP_AS_OF_DATE","20000602","cols=1;rows=5")</f>
        <v>SAF FP Equity</v>
      </c>
      <c r="LN5" t="str">
        <f>_xll.BDS("GE US Equity","SUPPLY_CHAIN_CUSTOMERS","RELATIONSHIP_AS_OF_DATE","20000602","cols=1;rows=5")</f>
        <v>3352Z US Equity</v>
      </c>
      <c r="LS5" t="str">
        <f>_xll.BDS("IEP US Equity","SUPPLY_CHAIN_SUPPLIERS","RELATIONSHIP_AS_OF_DATE","20030516","cols=1;rows=5")</f>
        <v>SMP US Equity</v>
      </c>
      <c r="LX5" t="str">
        <f>_xll.BDS("IEP US Equity","SUPPLY_CHAIN_CUSTOMERS","RELATIONSHIP_AS_OF_DATE","20030516","cols=1;rows=2")</f>
        <v>FMGI IN Equity</v>
      </c>
      <c r="MC5" t="str">
        <f>_xll.BDS("EASY US Equity","SUPPLY_CHAIN_SUPPLIERS","RELATIONSHIP_AS_OF_DATE","19991213")</f>
        <v>#N/A N/A</v>
      </c>
      <c r="MH5" t="str">
        <f>_xll.BDS("EASY US Equity","SUPPLY_CHAIN_CUSTOMERS","RELATIONSHIP_AS_OF_DATE","19991213")</f>
        <v>#N/A N/A</v>
      </c>
      <c r="MM5" t="str">
        <f>_xll.BDS("EFII US Equity","SUPPLY_CHAIN_SUPPLIERS","RELATIONSHIP_AS_OF_DATE","20000831","cols=1;rows=5")</f>
        <v>AQN CN Equity</v>
      </c>
      <c r="MR5" t="str">
        <f>_xll.BDS("EFII US Equity","SUPPLY_CHAIN_CUSTOMERS","RELATIONSHIP_AS_OF_DATE","20000831")</f>
        <v>#N/A N/A</v>
      </c>
      <c r="MW5" t="str">
        <f>_xll.BDS("CACB US Equity","SUPPLY_CHAIN_SUPPLIERS","RELATIONSHIP_AS_OF_DATE","20131023")</f>
        <v>#N/A N/A</v>
      </c>
      <c r="NB5" t="str">
        <f>_xll.BDS("CACB US Equity","SUPPLY_CHAIN_CUSTOMERS","RELATIONSHIP_AS_OF_DATE","20131023")</f>
        <v>#N/A N/A</v>
      </c>
      <c r="NG5" t="str">
        <f>_xll.BDS("ABCB US Equity","SUPPLY_CHAIN_SUPPLIERS","RELATIONSHIP_AS_OF_DATE","20171117")</f>
        <v>5158754Z SS Equity</v>
      </c>
      <c r="NL5" t="str">
        <f>_xll.BDS("ABCB US Equity","SUPPLY_CHAIN_CUSTOMERS","RELATIONSHIP_AS_OF_DATE","20171117")</f>
        <v>#N/A N/A</v>
      </c>
      <c r="NQ5" t="str">
        <f>_xll.BDS("UMPQ US Equity","SUPPLY_CHAIN_SUPPLIERS","RELATIONSHIP_AS_OF_DATE","20070118")</f>
        <v>#N/A N/A</v>
      </c>
      <c r="NV5" t="str">
        <f>_xll.BDS("UMPQ US Equity","SUPPLY_CHAIN_CUSTOMERS","RELATIONSHIP_AS_OF_DATE","20070118")</f>
        <v>#N/A N/A</v>
      </c>
      <c r="OA5" t="str">
        <f>_xll.BDS("ENDPQ US Equity","SUPPLY_CHAIN_SUPPLIERS","RELATIONSHIP_AS_OF_DATE","20100809","cols=1;rows=5")</f>
        <v>0177858D US Equity</v>
      </c>
      <c r="OF5" t="str">
        <f>_xll.BDS("ENDPQ US Equity","SUPPLY_CHAIN_CUSTOMERS","RELATIONSHIP_AS_OF_DATE","20100809","cols=1;rows=5")</f>
        <v>0219682Z US Equity</v>
      </c>
    </row>
    <row r="6" spans="1:396" x14ac:dyDescent="0.25">
      <c r="A6" t="s">
        <v>11786</v>
      </c>
      <c r="F6" t="s">
        <v>11752</v>
      </c>
      <c r="CC6" t="s">
        <v>11297</v>
      </c>
      <c r="EP6" t="s">
        <v>5070</v>
      </c>
      <c r="EU6" t="s">
        <v>11049</v>
      </c>
      <c r="FY6" t="s">
        <v>11892</v>
      </c>
      <c r="GD6" t="s">
        <v>11872</v>
      </c>
      <c r="HM6" t="s">
        <v>11607</v>
      </c>
      <c r="HR6" t="s">
        <v>164</v>
      </c>
      <c r="HW6" t="s">
        <v>12028</v>
      </c>
      <c r="IB6" t="s">
        <v>11142</v>
      </c>
      <c r="IQ6" t="s">
        <v>383</v>
      </c>
      <c r="IV6" t="s">
        <v>4139</v>
      </c>
      <c r="JK6" t="s">
        <v>11461</v>
      </c>
      <c r="JP6" t="s">
        <v>11912</v>
      </c>
      <c r="JU6" t="s">
        <v>10734</v>
      </c>
      <c r="JZ6" t="s">
        <v>2881</v>
      </c>
      <c r="KY6" t="s">
        <v>11757</v>
      </c>
      <c r="LD6" t="s">
        <v>11636</v>
      </c>
      <c r="LI6" t="s">
        <v>11008</v>
      </c>
      <c r="LN6" t="s">
        <v>1363</v>
      </c>
      <c r="LS6" t="s">
        <v>10873</v>
      </c>
      <c r="LX6" t="s">
        <v>10812</v>
      </c>
      <c r="MM6" t="s">
        <v>1545</v>
      </c>
      <c r="OA6" t="s">
        <v>11678</v>
      </c>
      <c r="OF6" t="s">
        <v>11870</v>
      </c>
    </row>
    <row r="7" spans="1:396" x14ac:dyDescent="0.25">
      <c r="A7" t="s">
        <v>11787</v>
      </c>
      <c r="F7" t="s">
        <v>11753</v>
      </c>
      <c r="EP7" t="s">
        <v>11526</v>
      </c>
      <c r="FY7" t="s">
        <v>11258</v>
      </c>
      <c r="GD7" t="s">
        <v>10646</v>
      </c>
      <c r="HM7" t="s">
        <v>2606</v>
      </c>
      <c r="HR7" t="s">
        <v>11547</v>
      </c>
      <c r="HW7" t="s">
        <v>1265</v>
      </c>
      <c r="IB7" t="s">
        <v>11990</v>
      </c>
      <c r="IQ7" t="s">
        <v>11038</v>
      </c>
      <c r="IV7" t="s">
        <v>11749</v>
      </c>
      <c r="JK7" t="s">
        <v>11921</v>
      </c>
      <c r="JP7" t="s">
        <v>11913</v>
      </c>
      <c r="JU7" t="s">
        <v>10858</v>
      </c>
      <c r="JZ7" t="s">
        <v>4139</v>
      </c>
      <c r="KY7" t="s">
        <v>11758</v>
      </c>
      <c r="LD7" t="s">
        <v>12049</v>
      </c>
      <c r="LI7" t="s">
        <v>11009</v>
      </c>
      <c r="LN7" t="s">
        <v>10939</v>
      </c>
      <c r="LS7" t="s">
        <v>10874</v>
      </c>
      <c r="MM7" t="s">
        <v>872</v>
      </c>
      <c r="OA7" t="s">
        <v>11894</v>
      </c>
      <c r="OF7" t="s">
        <v>10657</v>
      </c>
    </row>
    <row r="8" spans="1:396" x14ac:dyDescent="0.25">
      <c r="A8" t="s">
        <v>11458</v>
      </c>
      <c r="F8" t="s">
        <v>11754</v>
      </c>
      <c r="EP8" t="s">
        <v>477</v>
      </c>
      <c r="FY8" t="s">
        <v>11893</v>
      </c>
      <c r="GD8" t="s">
        <v>11873</v>
      </c>
      <c r="HR8" t="s">
        <v>1175</v>
      </c>
      <c r="HW8" t="s">
        <v>158</v>
      </c>
      <c r="IB8" t="s">
        <v>11545</v>
      </c>
      <c r="IQ8" t="s">
        <v>11176</v>
      </c>
      <c r="IV8" t="s">
        <v>10660</v>
      </c>
      <c r="JK8" t="s">
        <v>11930</v>
      </c>
      <c r="JP8" t="s">
        <v>11914</v>
      </c>
      <c r="JU8" t="s">
        <v>10859</v>
      </c>
      <c r="JZ8" t="s">
        <v>10660</v>
      </c>
      <c r="KY8" t="s">
        <v>11312</v>
      </c>
      <c r="LD8" t="s">
        <v>10657</v>
      </c>
      <c r="LI8" t="s">
        <v>11010</v>
      </c>
      <c r="LN8" t="s">
        <v>1652</v>
      </c>
      <c r="LS8" t="s">
        <v>10875</v>
      </c>
      <c r="MM8" t="s">
        <v>10735</v>
      </c>
      <c r="OA8" t="s">
        <v>11895</v>
      </c>
      <c r="OF8" t="s">
        <v>11871</v>
      </c>
    </row>
    <row r="9" spans="1:396" x14ac:dyDescent="0.25">
      <c r="A9" t="s">
        <v>11607</v>
      </c>
      <c r="F9" t="s">
        <v>11755</v>
      </c>
      <c r="EP9" t="s">
        <v>11556</v>
      </c>
      <c r="FY9" t="s">
        <v>10855</v>
      </c>
      <c r="GD9" t="s">
        <v>11874</v>
      </c>
      <c r="HR9" t="s">
        <v>11548</v>
      </c>
      <c r="HW9" t="s">
        <v>6710</v>
      </c>
      <c r="IB9" t="s">
        <v>11991</v>
      </c>
      <c r="IQ9" t="s">
        <v>10852</v>
      </c>
      <c r="IV9" t="s">
        <v>10918</v>
      </c>
      <c r="JK9" t="s">
        <v>11931</v>
      </c>
      <c r="JP9" t="s">
        <v>11915</v>
      </c>
      <c r="JU9" t="s">
        <v>10860</v>
      </c>
      <c r="JZ9" t="s">
        <v>10808</v>
      </c>
      <c r="KY9" t="s">
        <v>10677</v>
      </c>
      <c r="LI9" t="s">
        <v>3625</v>
      </c>
      <c r="LN9" t="s">
        <v>1740</v>
      </c>
      <c r="LS9" t="s">
        <v>10876</v>
      </c>
      <c r="MM9" t="s">
        <v>10810</v>
      </c>
      <c r="OA9" t="s">
        <v>11896</v>
      </c>
      <c r="OF9" t="s">
        <v>970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6756</v>
      </c>
      <c r="K1" s="1" t="s">
        <v>6757</v>
      </c>
      <c r="U1" s="1" t="s">
        <v>6758</v>
      </c>
      <c r="AE1" s="1" t="s">
        <v>6759</v>
      </c>
      <c r="AO1" s="1" t="s">
        <v>6760</v>
      </c>
      <c r="AY1" s="1" t="s">
        <v>6761</v>
      </c>
      <c r="BI1" s="1" t="s">
        <v>6762</v>
      </c>
      <c r="BS1" s="1" t="s">
        <v>6763</v>
      </c>
      <c r="CC1" s="1" t="s">
        <v>6764</v>
      </c>
      <c r="CM1" s="1" t="s">
        <v>6765</v>
      </c>
      <c r="CW1" s="1" t="s">
        <v>6766</v>
      </c>
      <c r="DG1" s="1" t="s">
        <v>6767</v>
      </c>
      <c r="DQ1" s="1" t="s">
        <v>6768</v>
      </c>
      <c r="EA1" s="1" t="s">
        <v>6769</v>
      </c>
      <c r="EK1" s="1" t="s">
        <v>6770</v>
      </c>
      <c r="EU1" s="1" t="s">
        <v>6771</v>
      </c>
      <c r="FE1" s="1" t="s">
        <v>6772</v>
      </c>
      <c r="FO1" s="1" t="s">
        <v>6773</v>
      </c>
      <c r="FY1" s="1" t="s">
        <v>6774</v>
      </c>
      <c r="GI1" s="1" t="s">
        <v>6775</v>
      </c>
      <c r="GS1" s="1" t="s">
        <v>6776</v>
      </c>
      <c r="HC1" s="1" t="s">
        <v>6777</v>
      </c>
      <c r="HM1" s="1" t="s">
        <v>6778</v>
      </c>
      <c r="HW1" s="1" t="s">
        <v>6779</v>
      </c>
      <c r="IG1" s="1" t="s">
        <v>6780</v>
      </c>
      <c r="IQ1" s="1" t="s">
        <v>6781</v>
      </c>
      <c r="JA1" s="1" t="s">
        <v>6782</v>
      </c>
      <c r="JK1" s="1" t="s">
        <v>6783</v>
      </c>
      <c r="JU1" s="1" t="s">
        <v>6784</v>
      </c>
      <c r="KE1" s="1" t="s">
        <v>6785</v>
      </c>
      <c r="KO1" s="1" t="s">
        <v>6786</v>
      </c>
      <c r="KY1" s="1" t="s">
        <v>6787</v>
      </c>
      <c r="LI1" s="1" t="s">
        <v>6788</v>
      </c>
      <c r="LS1" s="1" t="s">
        <v>6789</v>
      </c>
      <c r="MC1" s="1" t="s">
        <v>6790</v>
      </c>
      <c r="MM1" s="1" t="s">
        <v>6791</v>
      </c>
      <c r="MW1" s="1" t="s">
        <v>6792</v>
      </c>
      <c r="NG1" s="1" t="s">
        <v>6793</v>
      </c>
      <c r="NQ1" s="1" t="s">
        <v>6794</v>
      </c>
      <c r="OA1" s="1" t="s">
        <v>6795</v>
      </c>
    </row>
    <row r="2" spans="1:396" x14ac:dyDescent="0.25">
      <c r="A2" s="2" t="s">
        <v>6796</v>
      </c>
      <c r="K2" s="2" t="s">
        <v>4559</v>
      </c>
      <c r="U2" s="2" t="s">
        <v>64</v>
      </c>
      <c r="AE2" s="2" t="s">
        <v>2209</v>
      </c>
      <c r="AO2" s="2" t="s">
        <v>6797</v>
      </c>
      <c r="AY2" s="2" t="s">
        <v>6798</v>
      </c>
      <c r="BI2" s="2" t="s">
        <v>6799</v>
      </c>
      <c r="BS2" s="2" t="s">
        <v>5170</v>
      </c>
      <c r="CC2" s="2" t="s">
        <v>6800</v>
      </c>
      <c r="CM2" s="2" t="s">
        <v>6551</v>
      </c>
      <c r="CW2" s="2" t="s">
        <v>4486</v>
      </c>
      <c r="DG2" s="2" t="s">
        <v>5071</v>
      </c>
      <c r="DQ2" s="2" t="s">
        <v>59</v>
      </c>
      <c r="EA2" s="2" t="s">
        <v>6801</v>
      </c>
      <c r="EK2" s="2" t="s">
        <v>6802</v>
      </c>
      <c r="EU2" s="2" t="s">
        <v>6803</v>
      </c>
      <c r="FE2" s="2" t="s">
        <v>6804</v>
      </c>
      <c r="FO2" s="2" t="s">
        <v>6805</v>
      </c>
      <c r="FY2" s="2" t="s">
        <v>483</v>
      </c>
      <c r="GI2" s="2" t="s">
        <v>6806</v>
      </c>
      <c r="GS2" s="2" t="s">
        <v>1643</v>
      </c>
      <c r="HC2" s="2" t="s">
        <v>6807</v>
      </c>
      <c r="HM2" s="2" t="s">
        <v>5677</v>
      </c>
      <c r="HW2" s="2" t="s">
        <v>6808</v>
      </c>
      <c r="IG2" s="2" t="s">
        <v>6809</v>
      </c>
      <c r="IQ2" s="2" t="s">
        <v>6244</v>
      </c>
      <c r="JA2" s="2" t="s">
        <v>5756</v>
      </c>
      <c r="JK2" s="2" t="s">
        <v>6810</v>
      </c>
      <c r="JU2" s="2" t="s">
        <v>6811</v>
      </c>
      <c r="KE2" s="2" t="s">
        <v>6812</v>
      </c>
      <c r="KO2" s="2" t="s">
        <v>2132</v>
      </c>
      <c r="KY2" s="2" t="s">
        <v>6813</v>
      </c>
      <c r="LI2" s="2" t="s">
        <v>44</v>
      </c>
      <c r="LS2" s="2" t="s">
        <v>6814</v>
      </c>
      <c r="MC2" s="2" t="s">
        <v>5337</v>
      </c>
      <c r="MM2" s="2" t="s">
        <v>6815</v>
      </c>
      <c r="MW2" s="2" t="s">
        <v>6816</v>
      </c>
      <c r="NG2" s="2" t="s">
        <v>6817</v>
      </c>
      <c r="NQ2" s="2" t="s">
        <v>6818</v>
      </c>
      <c r="OA2" s="2" t="s">
        <v>6547</v>
      </c>
    </row>
    <row r="3" spans="1:396" x14ac:dyDescent="0.25">
      <c r="A3" t="s">
        <v>6819</v>
      </c>
      <c r="K3" t="s">
        <v>6820</v>
      </c>
      <c r="U3" t="s">
        <v>6821</v>
      </c>
      <c r="AE3" t="s">
        <v>6822</v>
      </c>
      <c r="AO3" t="s">
        <v>696</v>
      </c>
      <c r="AY3" t="s">
        <v>3889</v>
      </c>
      <c r="BI3" t="s">
        <v>6823</v>
      </c>
      <c r="BS3" t="s">
        <v>6824</v>
      </c>
      <c r="CC3" t="s">
        <v>499</v>
      </c>
      <c r="CM3" t="s">
        <v>4500</v>
      </c>
      <c r="CW3" t="s">
        <v>6825</v>
      </c>
      <c r="DG3" t="s">
        <v>4856</v>
      </c>
      <c r="DQ3" t="s">
        <v>1281</v>
      </c>
      <c r="EA3" t="s">
        <v>4338</v>
      </c>
      <c r="EK3" t="s">
        <v>4422</v>
      </c>
      <c r="EU3" t="s">
        <v>1380</v>
      </c>
      <c r="FE3" t="s">
        <v>5854</v>
      </c>
      <c r="FO3" t="s">
        <v>6826</v>
      </c>
      <c r="FY3" t="s">
        <v>6827</v>
      </c>
      <c r="GI3" t="s">
        <v>6828</v>
      </c>
      <c r="GS3" t="s">
        <v>6829</v>
      </c>
      <c r="HC3" t="s">
        <v>1665</v>
      </c>
      <c r="HM3" t="s">
        <v>6830</v>
      </c>
      <c r="HW3" t="s">
        <v>4932</v>
      </c>
      <c r="IG3" t="s">
        <v>6831</v>
      </c>
      <c r="IQ3" t="s">
        <v>6832</v>
      </c>
      <c r="JA3" t="s">
        <v>1304</v>
      </c>
      <c r="JK3" t="s">
        <v>1949</v>
      </c>
      <c r="JU3" t="s">
        <v>6833</v>
      </c>
      <c r="KE3" t="s">
        <v>6834</v>
      </c>
      <c r="KO3" t="s">
        <v>6645</v>
      </c>
      <c r="KY3" t="s">
        <v>6835</v>
      </c>
      <c r="LI3" t="s">
        <v>6836</v>
      </c>
      <c r="LS3" t="s">
        <v>6837</v>
      </c>
      <c r="MC3" t="s">
        <v>6838</v>
      </c>
      <c r="MM3" t="s">
        <v>6839</v>
      </c>
      <c r="MW3" t="s">
        <v>6840</v>
      </c>
      <c r="NG3" t="s">
        <v>6841</v>
      </c>
      <c r="NQ3" t="s">
        <v>590</v>
      </c>
      <c r="OA3" t="s">
        <v>6013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_xll.BDS("CEIN US Equity","SUPPLY_CHAIN_SUPPLIERS","RELATIONSHIP_AS_OF_DATE","20201224")</f>
        <v>#N/A N/A</v>
      </c>
      <c r="F5" t="str">
        <f>_xll.BDS("CEIN US Equity","SUPPLY_CHAIN_CUSTOMERS","RELATIONSHIP_AS_OF_DATE","20201224")</f>
        <v>#N/A N/A</v>
      </c>
      <c r="K5" t="str">
        <f>_xll.BDS("NPBC US Equity","SUPPLY_CHAIN_SUPPLIERS","RELATIONSHIP_AS_OF_DATE","20031218")</f>
        <v>#N/A N/A</v>
      </c>
      <c r="P5" t="str">
        <f>_xll.BDS("NPBC US Equity","SUPPLY_CHAIN_CUSTOMERS","RELATIONSHIP_AS_OF_DATE","20031218")</f>
        <v>#N/A N/A</v>
      </c>
      <c r="U5" t="str">
        <f>_xll.BDS("nan Equity","SUPPLY_CHAIN_SUPPLIERS","RELATIONSHIP_AS_OF_DATE","19980204")</f>
        <v>#N/A N/A</v>
      </c>
      <c r="Z5" t="str">
        <f>_xll.BDS("nan Equity","SUPPLY_CHAIN_CUSTOMERS","RELATIONSHIP_AS_OF_DATE","19980204")</f>
        <v>#N/A N/A</v>
      </c>
      <c r="AE5" t="str">
        <f>_xll.BDS("STL US Equity","SUPPLY_CHAIN_SUPPLIERS","RELATIONSHIP_AS_OF_DATE","20040316")</f>
        <v>#N/A N/A</v>
      </c>
      <c r="AJ5" t="str">
        <f>_xll.BDS("STL US Equity","SUPPLY_CHAIN_CUSTOMERS","RELATIONSHIP_AS_OF_DATE","20040316")</f>
        <v>#N/A N/A</v>
      </c>
      <c r="AO5" t="str">
        <f>_xll.BDS("PLAB US Equity","SUPPLY_CHAIN_SUPPLIERS","RELATIONSHIP_AS_OF_DATE","19990915","cols=1;rows=5")</f>
        <v>KLAC US Equity</v>
      </c>
      <c r="AT5" t="str">
        <f>_xll.BDS("PLAB US Equity","SUPPLY_CHAIN_CUSTOMERS","RELATIONSHIP_AS_OF_DATE","19990915","cols=1;rows=5")</f>
        <v>2303 TT Equity</v>
      </c>
      <c r="AY5" t="str">
        <f>_xll.BDS("2676187Q US Equity","SUPPLY_CHAIN_SUPPLIERS","RELATIONSHIP_AS_OF_DATE","20040205")</f>
        <v>#N/A N/A</v>
      </c>
      <c r="BD5" t="str">
        <f>_xll.BDS("2676187Q US Equity","SUPPLY_CHAIN_CUSTOMERS","RELATIONSHIP_AS_OF_DATE","20040205")</f>
        <v>#N/A N/A</v>
      </c>
      <c r="BI5" t="str">
        <f>_xll.BDS("KMAGQ US Equity","SUPPLY_CHAIN_SUPPLIERS","RELATIONSHIP_AS_OF_DATE","20000426")</f>
        <v>#N/A N/A</v>
      </c>
      <c r="BN5" t="str">
        <f>_xll.BDS("KMAGQ US Equity","SUPPLY_CHAIN_CUSTOMERS","RELATIONSHIP_AS_OF_DATE","20000426")</f>
        <v>#N/A N/A</v>
      </c>
      <c r="BS5" t="str">
        <f>_xll.BDS("NWBI US Equity","SUPPLY_CHAIN_SUPPLIERS","RELATIONSHIP_AS_OF_DATE","20010816")</f>
        <v>FISV US Equity</v>
      </c>
      <c r="BX5" t="str">
        <f>_xll.BDS("NWBI US Equity","SUPPLY_CHAIN_CUSTOMERS","RELATIONSHIP_AS_OF_DATE","20010816")</f>
        <v>#N/A N/A</v>
      </c>
      <c r="CC5" t="str">
        <f>_xll.BDS("XCRA US Equity","SUPPLY_CHAIN_SUPPLIERS","RELATIONSHIP_AS_OF_DATE","20080623")</f>
        <v>#N/A N/A</v>
      </c>
      <c r="CH5" t="str">
        <f>_xll.BDS("XCRA US Equity","SUPPLY_CHAIN_CUSTOMERS","RELATIONSHIP_AS_OF_DATE","20080623")</f>
        <v>#N/A N/A</v>
      </c>
      <c r="CM5" t="str">
        <f>_xll.BDS("1916526D US Equity","SUPPLY_CHAIN_SUPPLIERS","RELATIONSHIP_AS_OF_DATE","19990922")</f>
        <v>#N/A N/A</v>
      </c>
      <c r="CR5" t="str">
        <f>_xll.BDS("1916526D US Equity","SUPPLY_CHAIN_CUSTOMERS","RELATIONSHIP_AS_OF_DATE","19990922")</f>
        <v>#N/A N/A</v>
      </c>
      <c r="CW5" t="str">
        <f>_xll.BDS("OCFC US Equity","SUPPLY_CHAIN_SUPPLIERS","RELATIONSHIP_AS_OF_DATE","20160713")</f>
        <v>#N/A N/A</v>
      </c>
      <c r="DB5" t="str">
        <f>_xll.BDS("OCFC US Equity","SUPPLY_CHAIN_CUSTOMERS","RELATIONSHIP_AS_OF_DATE","20160713")</f>
        <v>#N/A N/A</v>
      </c>
      <c r="DG5" t="str">
        <f>_xll.BDS("NUAN US Equity","SUPPLY_CHAIN_SUPPLIERS","RELATIONSHIP_AS_OF_DATE","20000117")</f>
        <v>#N/A N/A</v>
      </c>
      <c r="DL5" t="str">
        <f>_xll.BDS("NUAN US Equity","SUPPLY_CHAIN_CUSTOMERS","RELATIONSHIP_AS_OF_DATE","20000117")</f>
        <v>#N/A N/A</v>
      </c>
      <c r="DQ5" t="str">
        <f>_xll.BDS("653707Q US Equity","SUPPLY_CHAIN_SUPPLIERS","RELATIONSHIP_AS_OF_DATE","19990119")</f>
        <v>#N/A N/A</v>
      </c>
      <c r="DV5" t="str">
        <f>_xll.BDS("653707Q US Equity","SUPPLY_CHAIN_CUSTOMERS","RELATIONSHIP_AS_OF_DATE","19990119")</f>
        <v>#N/A N/A</v>
      </c>
      <c r="EA5" t="str">
        <f>_xll.BDS("FCPR US Equity","SUPPLY_CHAIN_SUPPLIERS","RELATIONSHIP_AS_OF_DATE","19990506")</f>
        <v>#N/A N/A</v>
      </c>
      <c r="EF5" t="str">
        <f>_xll.BDS("FCPR US Equity","SUPPLY_CHAIN_CUSTOMERS","RELATIONSHIP_AS_OF_DATE","19990506")</f>
        <v>#N/A N/A</v>
      </c>
      <c r="EK5" t="str">
        <f>_xll.BDS("1894768D US Equity","SUPPLY_CHAIN_SUPPLIERS","RELATIONSHIP_AS_OF_DATE","20020610")</f>
        <v>#N/A N/A</v>
      </c>
      <c r="EP5" t="str">
        <f>_xll.BDS("1894768D US Equity","SUPPLY_CHAIN_CUSTOMERS","RELATIONSHIP_AS_OF_DATE","20020610")</f>
        <v>AWTC MK Equity</v>
      </c>
      <c r="EU5" t="str">
        <f>_xll.BDS("3354388Q US Equity","SUPPLY_CHAIN_SUPPLIERS","RELATIONSHIP_AS_OF_DATE","19990623")</f>
        <v>#N/A N/A</v>
      </c>
      <c r="EZ5" t="str">
        <f>_xll.BDS("3354388Q US Equity","SUPPLY_CHAIN_CUSTOMERS","RELATIONSHIP_AS_OF_DATE","19990623")</f>
        <v>#N/A N/A</v>
      </c>
      <c r="FE5" t="str">
        <f>_xll.BDS("FOR US Equity","SUPPLY_CHAIN_SUPPLIERS","RELATIONSHIP_AS_OF_DATE","20120604")</f>
        <v>DHI US Equity</v>
      </c>
      <c r="FJ5" t="str">
        <f>_xll.BDS("FOR US Equity","SUPPLY_CHAIN_CUSTOMERS","RELATIONSHIP_AS_OF_DATE","20120604")</f>
        <v>DHI US Equity</v>
      </c>
      <c r="FO5" t="str">
        <f>_xll.BDS("WAXS US Equity","SUPPLY_CHAIN_SUPPLIERS","RELATIONSHIP_AS_OF_DATE","19980604")</f>
        <v>#N/A N/A</v>
      </c>
      <c r="FT5" t="str">
        <f>_xll.BDS("WAXS US Equity","SUPPLY_CHAIN_CUSTOMERS","RELATIONSHIP_AS_OF_DATE","19980604")</f>
        <v>#N/A N/A</v>
      </c>
      <c r="FY5" t="str">
        <f>_xll.BDS("BAX US Equity","SUPPLY_CHAIN_SUPPLIERS","RELATIONSHIP_AS_OF_DATE","20020227","cols=1;rows=5")</f>
        <v>BHE US Equity</v>
      </c>
      <c r="GD5" t="str">
        <f>_xll.BDS("BAX US Equity","SUPPLY_CHAIN_CUSTOMERS","RELATIONSHIP_AS_OF_DATE","20020227","cols=1;rows=5")</f>
        <v>1788 TT Equity</v>
      </c>
      <c r="GI5" t="str">
        <f>_xll.BDS("FCGI US Equity","SUPPLY_CHAIN_SUPPLIERS","RELATIONSHIP_AS_OF_DATE","19980909")</f>
        <v>#N/A N/A</v>
      </c>
      <c r="GN5" t="str">
        <f>_xll.BDS("FCGI US Equity","SUPPLY_CHAIN_CUSTOMERS","RELATIONSHIP_AS_OF_DATE","19980909")</f>
        <v>#N/A N/A</v>
      </c>
      <c r="GS5" t="str">
        <f>_xll.BDS("IT US Equity","SUPPLY_CHAIN_SUPPLIERS","RELATIONSHIP_AS_OF_DATE","20041227","cols=1;rows=5")</f>
        <v>000977 CH Equity</v>
      </c>
      <c r="GX5" t="str">
        <f>_xll.BDS("IT US Equity","SUPPLY_CHAIN_CUSTOMERS","RELATIONSHIP_AS_OF_DATE","20041227","cols=1;rows=5")</f>
        <v>294090 KS Equity</v>
      </c>
      <c r="HC5" t="str">
        <f>_xll.BDS("FCBN US Equity","SUPPLY_CHAIN_SUPPLIERS","RELATIONSHIP_AS_OF_DATE","20050307")</f>
        <v>#N/A N/A</v>
      </c>
      <c r="HH5" t="str">
        <f>_xll.BDS("FCBN US Equity","SUPPLY_CHAIN_CUSTOMERS","RELATIONSHIP_AS_OF_DATE","20050307")</f>
        <v>#N/A N/A</v>
      </c>
      <c r="HM5" t="str">
        <f>_xll.BDS("EWBC US Equity","SUPPLY_CHAIN_SUPPLIERS","RELATIONSHIP_AS_OF_DATE","20070424")</f>
        <v>BRX US Equity</v>
      </c>
      <c r="HR5" t="str">
        <f>_xll.BDS("EWBC US Equity","SUPPLY_CHAIN_CUSTOMERS","RELATIONSHIP_AS_OF_DATE","20070424")</f>
        <v>#N/A N/A</v>
      </c>
      <c r="HW5" t="str">
        <f>_xll.BDS("1073675D US Equity","SUPPLY_CHAIN_SUPPLIERS","RELATIONSHIP_AS_OF_DATE","19991115")</f>
        <v>#N/A N/A</v>
      </c>
      <c r="IB5" t="str">
        <f>_xll.BDS("1073675D US Equity","SUPPLY_CHAIN_CUSTOMERS","RELATIONSHIP_AS_OF_DATE","19991115")</f>
        <v>#N/A N/A</v>
      </c>
      <c r="IG5" t="str">
        <f>_xll.BDS("SCFS US Equity","SUPPLY_CHAIN_SUPPLIERS","RELATIONSHIP_AS_OF_DATE","20031021")</f>
        <v>#N/A N/A</v>
      </c>
      <c r="IL5" t="str">
        <f>_xll.BDS("SCFS US Equity","SUPPLY_CHAIN_CUSTOMERS","RELATIONSHIP_AS_OF_DATE","20031021")</f>
        <v>#N/A N/A</v>
      </c>
      <c r="IQ5" t="str">
        <f>_xll.BDS("BBT US Equity","SUPPLY_CHAIN_SUPPLIERS","RELATIONSHIP_AS_OF_DATE","20041217")</f>
        <v>#N/A N/A</v>
      </c>
      <c r="IV5" t="str">
        <f>_xll.BDS("BBT US Equity","SUPPLY_CHAIN_CUSTOMERS","RELATIONSHIP_AS_OF_DATE","20041217")</f>
        <v>#N/A N/A</v>
      </c>
      <c r="JA5" t="str">
        <f>_xll.BDS("RNST US Equity","SUPPLY_CHAIN_SUPPLIERS","RELATIONSHIP_AS_OF_DATE","20070205")</f>
        <v>#N/A N/A</v>
      </c>
      <c r="JF5" t="str">
        <f>_xll.BDS("RNST US Equity","SUPPLY_CHAIN_CUSTOMERS","RELATIONSHIP_AS_OF_DATE","20070205")</f>
        <v>#N/A N/A</v>
      </c>
      <c r="JK5" t="str">
        <f>_xll.BDS("FLO US Equity","SUPPLY_CHAIN_SUPPLIERS","RELATIONSHIP_AS_OF_DATE","20110411","cols=1;rows=5")</f>
        <v>AEP US Equity</v>
      </c>
      <c r="JP5" t="str">
        <f>_xll.BDS("FLO US Equity","SUPPLY_CHAIN_CUSTOMERS","RELATIONSHIP_AS_OF_DATE","20110411","cols=1;rows=5")</f>
        <v>WMT US Equity</v>
      </c>
      <c r="JU5" t="str">
        <f>_xll.BDS("IWOV US Equity","SUPPLY_CHAIN_SUPPLIERS","RELATIONSHIP_AS_OF_DATE","20030806")</f>
        <v>#N/A N/A</v>
      </c>
      <c r="JZ5" t="str">
        <f>_xll.BDS("IWOV US Equity","SUPPLY_CHAIN_CUSTOMERS","RELATIONSHIP_AS_OF_DATE","20030806")</f>
        <v>#N/A N/A</v>
      </c>
      <c r="KE5" t="str">
        <f>_xll.BDS("AMFH US Equity","SUPPLY_CHAIN_SUPPLIERS","RELATIONSHIP_AS_OF_DATE","20010719")</f>
        <v>#N/A N/A</v>
      </c>
      <c r="KJ5" t="str">
        <f>_xll.BDS("AMFH US Equity","SUPPLY_CHAIN_CUSTOMERS","RELATIONSHIP_AS_OF_DATE","20010719")</f>
        <v>#N/A N/A</v>
      </c>
      <c r="KO5" t="str">
        <f>_xll.BDS("WINMQ US Equity","SUPPLY_CHAIN_SUPPLIERS","RELATIONSHIP_AS_OF_DATE","20090908","cols=1;rows=5")</f>
        <v>DY US Equity</v>
      </c>
      <c r="KT5" t="str">
        <f>_xll.BDS("WINMQ US Equity","SUPPLY_CHAIN_CUSTOMERS","RELATIONSHIP_AS_OF_DATE","20090908","cols=1;rows=2")</f>
        <v>SCSC US Equity</v>
      </c>
      <c r="KY5" t="str">
        <f>_xll.BDS("HSP US Equity","SUPPLY_CHAIN_SUPPLIERS","RELATIONSHIP_AS_OF_DATE","20100412")</f>
        <v>#N/A N/A</v>
      </c>
      <c r="LD5" t="str">
        <f>_xll.BDS("HSP US Equity","SUPPLY_CHAIN_CUSTOMERS","RELATIONSHIP_AS_OF_DATE","20100412")</f>
        <v>#N/A N/A</v>
      </c>
      <c r="LI5" t="str">
        <f>_xll.BDS("PFE US Equity","SUPPLY_CHAIN_SUPPLIERS","RELATIONSHIP_AS_OF_DATE","20071116","cols=1;rows=5")</f>
        <v>BNTX US Equity</v>
      </c>
      <c r="LN5" t="str">
        <f>_xll.BDS("PFE US Equity","SUPPLY_CHAIN_CUSTOMERS","RELATIONSHIP_AS_OF_DATE","20071116","cols=1;rows=5")</f>
        <v>MCK US Equity</v>
      </c>
      <c r="LS5" t="str">
        <f>_xll.BDS("BHB US Equity","SUPPLY_CHAIN_SUPPLIERS","RELATIONSHIP_AS_OF_DATE","20160505")</f>
        <v>#N/A N/A</v>
      </c>
      <c r="LX5" t="str">
        <f>_xll.BDS("BHB US Equity","SUPPLY_CHAIN_CUSTOMERS","RELATIONSHIP_AS_OF_DATE","20160505")</f>
        <v>#N/A N/A</v>
      </c>
      <c r="MC5" t="str">
        <f>_xll.BDS("CBU US Equity","SUPPLY_CHAIN_SUPPLIERS","RELATIONSHIP_AS_OF_DATE","20150224")</f>
        <v>#N/A N/A</v>
      </c>
      <c r="MH5" t="str">
        <f>_xll.BDS("CBU US Equity","SUPPLY_CHAIN_CUSTOMERS","RELATIONSHIP_AS_OF_DATE","20150224")</f>
        <v>#N/A N/A</v>
      </c>
      <c r="MM5" t="str">
        <f>_xll.BDS("CVC US Equity","SUPPLY_CHAIN_SUPPLIERS","RELATIONSHIP_AS_OF_DATE","19980813")</f>
        <v>#N/A N/A</v>
      </c>
      <c r="MR5" t="str">
        <f>_xll.BDS("CVC US Equity","SUPPLY_CHAIN_CUSTOMERS","RELATIONSHIP_AS_OF_DATE","19980813")</f>
        <v>#N/A N/A</v>
      </c>
      <c r="MW5" t="str">
        <f>_xll.BDS("1321686D US Equity","SUPPLY_CHAIN_SUPPLIERS","RELATIONSHIP_AS_OF_DATE","20121119")</f>
        <v>#N/A N/A</v>
      </c>
      <c r="NB5" t="str">
        <f>_xll.BDS("1321686D US Equity","SUPPLY_CHAIN_CUSTOMERS","RELATIONSHIP_AS_OF_DATE","20121119")</f>
        <v>#N/A N/A</v>
      </c>
      <c r="NG5" t="str">
        <f>_xll.BDS("PATK US Equity","SUPPLY_CHAIN_SUPPLIERS","RELATIONSHIP_AS_OF_DATE","20220224","cols=1;rows=5")</f>
        <v>138743Z LN Equity</v>
      </c>
      <c r="NL5" t="str">
        <f>_xll.BDS("PATK US Equity","SUPPLY_CHAIN_CUSTOMERS","RELATIONSHIP_AS_OF_DATE","20220224","cols=1;rows=5")</f>
        <v>THO US Equity</v>
      </c>
      <c r="NQ5" t="str">
        <f>_xll.BDS("JH US Equity","SUPPLY_CHAIN_SUPPLIERS","RELATIONSHIP_AS_OF_DATE","20000717")</f>
        <v>#N/A N/A</v>
      </c>
      <c r="NV5" t="str">
        <f>_xll.BDS("JH US Equity","SUPPLY_CHAIN_CUSTOMERS","RELATIONSHIP_AS_OF_DATE","20000717")</f>
        <v>#N/A N/A</v>
      </c>
      <c r="OA5" t="str">
        <f>_xll.BDS("HNBC US Equity","SUPPLY_CHAIN_SUPPLIERS","RELATIONSHIP_AS_OF_DATE","20070516")</f>
        <v>#N/A N/A</v>
      </c>
      <c r="OF5" t="str">
        <f>_xll.BDS("HNBC US Equity","SUPPLY_CHAIN_CUSTOMERS","RELATIONSHIP_AS_OF_DATE","20070516")</f>
        <v>#N/A N/A</v>
      </c>
    </row>
    <row r="6" spans="1:396" x14ac:dyDescent="0.25">
      <c r="AO6" t="s">
        <v>12375</v>
      </c>
      <c r="AT6" t="s">
        <v>10892</v>
      </c>
      <c r="FY6" t="s">
        <v>11924</v>
      </c>
      <c r="GD6" t="s">
        <v>11948</v>
      </c>
      <c r="GS6" t="s">
        <v>11073</v>
      </c>
      <c r="GX6" t="s">
        <v>11637</v>
      </c>
      <c r="JK6" t="s">
        <v>158</v>
      </c>
      <c r="JP6" t="s">
        <v>477</v>
      </c>
      <c r="KO6" t="s">
        <v>11573</v>
      </c>
      <c r="KT6" t="s">
        <v>11546</v>
      </c>
      <c r="LI6" t="s">
        <v>171</v>
      </c>
      <c r="LN6" t="s">
        <v>1468</v>
      </c>
      <c r="NG6" t="s">
        <v>10696</v>
      </c>
      <c r="NL6" t="s">
        <v>158</v>
      </c>
    </row>
    <row r="7" spans="1:396" x14ac:dyDescent="0.25">
      <c r="AO7" t="s">
        <v>12075</v>
      </c>
      <c r="AT7" t="s">
        <v>11409</v>
      </c>
      <c r="FY7" t="s">
        <v>10814</v>
      </c>
      <c r="GD7" t="s">
        <v>11925</v>
      </c>
      <c r="GS7" t="s">
        <v>11876</v>
      </c>
      <c r="GX7" t="s">
        <v>10657</v>
      </c>
      <c r="JK7" t="s">
        <v>693</v>
      </c>
      <c r="JP7" t="s">
        <v>11811</v>
      </c>
      <c r="KO7" t="s">
        <v>11574</v>
      </c>
      <c r="LI7" t="s">
        <v>10816</v>
      </c>
      <c r="LN7" t="s">
        <v>970</v>
      </c>
      <c r="NG7" t="s">
        <v>12311</v>
      </c>
      <c r="NL7" t="s">
        <v>9830</v>
      </c>
    </row>
    <row r="8" spans="1:396" x14ac:dyDescent="0.25">
      <c r="AO8" t="s">
        <v>12376</v>
      </c>
      <c r="AT8" t="s">
        <v>10729</v>
      </c>
      <c r="FY8" t="s">
        <v>11412</v>
      </c>
      <c r="GD8" t="s">
        <v>11949</v>
      </c>
      <c r="GS8" t="s">
        <v>11877</v>
      </c>
      <c r="GX8" t="s">
        <v>11638</v>
      </c>
      <c r="JK8" t="s">
        <v>382</v>
      </c>
      <c r="JP8" t="s">
        <v>10992</v>
      </c>
      <c r="KO8" t="s">
        <v>969</v>
      </c>
      <c r="LI8" t="s">
        <v>43</v>
      </c>
      <c r="LN8" t="s">
        <v>43</v>
      </c>
      <c r="NG8" t="s">
        <v>158</v>
      </c>
      <c r="NL8" t="s">
        <v>1366</v>
      </c>
    </row>
    <row r="9" spans="1:396" x14ac:dyDescent="0.25">
      <c r="AO9" t="s">
        <v>12377</v>
      </c>
      <c r="AT9" t="s">
        <v>383</v>
      </c>
      <c r="FY9" t="s">
        <v>11925</v>
      </c>
      <c r="GD9" t="s">
        <v>11833</v>
      </c>
      <c r="GS9" t="s">
        <v>11878</v>
      </c>
      <c r="GX9" t="s">
        <v>11639</v>
      </c>
      <c r="JK9" t="s">
        <v>260</v>
      </c>
      <c r="JP9" t="s">
        <v>5983</v>
      </c>
      <c r="KO9" t="s">
        <v>11575</v>
      </c>
      <c r="LI9" t="s">
        <v>10817</v>
      </c>
      <c r="LN9" t="s">
        <v>10657</v>
      </c>
      <c r="NG9" t="s">
        <v>6710</v>
      </c>
      <c r="NL9" t="s">
        <v>11132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6842</v>
      </c>
      <c r="K1" s="1" t="s">
        <v>6843</v>
      </c>
      <c r="U1" s="1" t="s">
        <v>6844</v>
      </c>
      <c r="AE1" s="1" t="s">
        <v>6845</v>
      </c>
      <c r="AO1" s="1" t="s">
        <v>6846</v>
      </c>
      <c r="AY1" s="1" t="s">
        <v>6847</v>
      </c>
      <c r="BI1" s="1" t="s">
        <v>6848</v>
      </c>
      <c r="BS1" s="1" t="s">
        <v>6849</v>
      </c>
      <c r="CC1" s="1" t="s">
        <v>6850</v>
      </c>
      <c r="CM1" s="1" t="s">
        <v>6851</v>
      </c>
      <c r="CW1" s="1" t="s">
        <v>6852</v>
      </c>
      <c r="DG1" s="1" t="s">
        <v>6853</v>
      </c>
      <c r="DQ1" s="1" t="s">
        <v>6854</v>
      </c>
      <c r="EA1" s="1" t="s">
        <v>6855</v>
      </c>
      <c r="EK1" s="1" t="s">
        <v>6856</v>
      </c>
      <c r="EU1" s="1" t="s">
        <v>6857</v>
      </c>
      <c r="FE1" s="1" t="s">
        <v>6858</v>
      </c>
      <c r="FO1" s="1" t="s">
        <v>6859</v>
      </c>
      <c r="FY1" s="1" t="s">
        <v>6860</v>
      </c>
      <c r="GI1" s="1" t="s">
        <v>6861</v>
      </c>
      <c r="GS1" s="1" t="s">
        <v>6862</v>
      </c>
      <c r="HC1" s="1" t="s">
        <v>6863</v>
      </c>
      <c r="HM1" s="1" t="s">
        <v>6864</v>
      </c>
      <c r="HW1" s="1" t="s">
        <v>6865</v>
      </c>
      <c r="IG1" s="1" t="s">
        <v>6866</v>
      </c>
      <c r="IQ1" s="1" t="s">
        <v>6867</v>
      </c>
      <c r="JA1" s="1" t="s">
        <v>6868</v>
      </c>
      <c r="JK1" s="1" t="s">
        <v>6869</v>
      </c>
      <c r="JU1" s="1" t="s">
        <v>6870</v>
      </c>
      <c r="KE1" s="1" t="s">
        <v>6871</v>
      </c>
      <c r="KO1" s="1" t="s">
        <v>6872</v>
      </c>
      <c r="KY1" s="1" t="s">
        <v>6873</v>
      </c>
      <c r="LI1" s="1" t="s">
        <v>6874</v>
      </c>
      <c r="LS1" s="1" t="s">
        <v>6875</v>
      </c>
      <c r="MC1" s="1" t="s">
        <v>6876</v>
      </c>
      <c r="MM1" s="1" t="s">
        <v>6877</v>
      </c>
      <c r="MW1" s="1" t="s">
        <v>6878</v>
      </c>
      <c r="NG1" s="1" t="s">
        <v>6879</v>
      </c>
      <c r="NQ1" s="1" t="s">
        <v>6880</v>
      </c>
      <c r="OA1" s="1" t="s">
        <v>6881</v>
      </c>
    </row>
    <row r="2" spans="1:396" x14ac:dyDescent="0.25">
      <c r="A2" s="2" t="s">
        <v>6882</v>
      </c>
      <c r="K2" s="2" t="s">
        <v>6883</v>
      </c>
      <c r="U2" s="2" t="s">
        <v>4126</v>
      </c>
      <c r="AE2" s="2" t="s">
        <v>6884</v>
      </c>
      <c r="AO2" s="2" t="s">
        <v>6885</v>
      </c>
      <c r="AY2" s="2" t="s">
        <v>5412</v>
      </c>
      <c r="BI2" s="2" t="s">
        <v>5915</v>
      </c>
      <c r="BS2" s="2" t="s">
        <v>6886</v>
      </c>
      <c r="CC2" s="2" t="s">
        <v>4638</v>
      </c>
      <c r="CM2" s="2" t="s">
        <v>6887</v>
      </c>
      <c r="CW2" s="2" t="s">
        <v>6888</v>
      </c>
      <c r="DG2" s="2" t="s">
        <v>6889</v>
      </c>
      <c r="DQ2" s="2" t="s">
        <v>6890</v>
      </c>
      <c r="EA2" s="2" t="s">
        <v>6891</v>
      </c>
      <c r="EK2" s="2" t="s">
        <v>5152</v>
      </c>
      <c r="EU2" s="2" t="s">
        <v>6892</v>
      </c>
      <c r="FE2" s="2" t="s">
        <v>6893</v>
      </c>
      <c r="FO2" s="2" t="s">
        <v>6894</v>
      </c>
      <c r="FY2" s="2" t="s">
        <v>175</v>
      </c>
      <c r="GI2" s="2" t="s">
        <v>4483</v>
      </c>
      <c r="GS2" s="2" t="s">
        <v>1740</v>
      </c>
      <c r="HC2" s="2" t="s">
        <v>6895</v>
      </c>
      <c r="HM2" s="2" t="s">
        <v>6896</v>
      </c>
      <c r="HW2" s="2" t="s">
        <v>5245</v>
      </c>
      <c r="IG2" s="2" t="s">
        <v>3620</v>
      </c>
      <c r="IQ2" s="2" t="s">
        <v>6897</v>
      </c>
      <c r="JA2" s="2" t="s">
        <v>175</v>
      </c>
      <c r="JK2" s="2" t="s">
        <v>4647</v>
      </c>
      <c r="JU2" s="2" t="s">
        <v>2128</v>
      </c>
      <c r="KE2" s="2" t="s">
        <v>2313</v>
      </c>
      <c r="KO2" s="2" t="s">
        <v>2874</v>
      </c>
      <c r="KY2" s="2" t="s">
        <v>1079</v>
      </c>
      <c r="LI2" s="2" t="s">
        <v>6473</v>
      </c>
      <c r="LS2" s="2" t="s">
        <v>4308</v>
      </c>
      <c r="MC2" s="2" t="s">
        <v>6898</v>
      </c>
      <c r="MM2" s="2" t="s">
        <v>6899</v>
      </c>
      <c r="MW2" s="2" t="s">
        <v>6900</v>
      </c>
      <c r="NG2" s="2" t="s">
        <v>6901</v>
      </c>
      <c r="NQ2" s="2" t="s">
        <v>59</v>
      </c>
      <c r="OA2" s="2" t="s">
        <v>6902</v>
      </c>
    </row>
    <row r="3" spans="1:396" x14ac:dyDescent="0.25">
      <c r="A3" t="s">
        <v>890</v>
      </c>
      <c r="K3" t="s">
        <v>6903</v>
      </c>
      <c r="U3" t="s">
        <v>6904</v>
      </c>
      <c r="AE3" t="s">
        <v>3178</v>
      </c>
      <c r="AO3" t="s">
        <v>6905</v>
      </c>
      <c r="AY3" t="s">
        <v>6906</v>
      </c>
      <c r="BI3" t="s">
        <v>6907</v>
      </c>
      <c r="BS3" t="s">
        <v>6908</v>
      </c>
      <c r="CC3" t="s">
        <v>1101</v>
      </c>
      <c r="CM3" t="s">
        <v>6909</v>
      </c>
      <c r="CW3" t="s">
        <v>6910</v>
      </c>
      <c r="DG3" t="s">
        <v>6911</v>
      </c>
      <c r="DQ3" t="s">
        <v>6912</v>
      </c>
      <c r="EA3" t="s">
        <v>6913</v>
      </c>
      <c r="EK3" t="s">
        <v>6914</v>
      </c>
      <c r="EU3" t="s">
        <v>1579</v>
      </c>
      <c r="FE3" t="s">
        <v>6915</v>
      </c>
      <c r="FO3" t="s">
        <v>1302</v>
      </c>
      <c r="FY3" t="s">
        <v>6916</v>
      </c>
      <c r="GI3" t="s">
        <v>6333</v>
      </c>
      <c r="GS3" t="s">
        <v>6182</v>
      </c>
      <c r="HC3" t="s">
        <v>2148</v>
      </c>
      <c r="HM3" t="s">
        <v>2629</v>
      </c>
      <c r="HW3" t="s">
        <v>6917</v>
      </c>
      <c r="IG3" t="s">
        <v>6918</v>
      </c>
      <c r="IQ3" t="s">
        <v>5777</v>
      </c>
      <c r="JA3" t="s">
        <v>4918</v>
      </c>
      <c r="JK3" t="s">
        <v>6919</v>
      </c>
      <c r="JU3" t="s">
        <v>6920</v>
      </c>
      <c r="KE3" t="s">
        <v>3896</v>
      </c>
      <c r="KO3" t="s">
        <v>6921</v>
      </c>
      <c r="KY3" t="s">
        <v>6922</v>
      </c>
      <c r="LI3" t="s">
        <v>6923</v>
      </c>
      <c r="LS3" t="s">
        <v>4577</v>
      </c>
      <c r="MC3" t="s">
        <v>1022</v>
      </c>
      <c r="MM3" t="s">
        <v>707</v>
      </c>
      <c r="MW3" t="s">
        <v>6924</v>
      </c>
      <c r="NG3" t="s">
        <v>6925</v>
      </c>
      <c r="NQ3" t="s">
        <v>3801</v>
      </c>
      <c r="OA3" t="s">
        <v>2732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_xll.BDS("THFF US Equity","SUPPLY_CHAIN_SUPPLIERS","RELATIONSHIP_AS_OF_DATE","20190107")</f>
        <v>#N/A N/A</v>
      </c>
      <c r="F5" t="str">
        <f>_xll.BDS("THFF US Equity","SUPPLY_CHAIN_CUSTOMERS","RELATIONSHIP_AS_OF_DATE","20190107")</f>
        <v>#N/A N/A</v>
      </c>
      <c r="K5" t="str">
        <f>_xll.BDS("CDE US Equity","SUPPLY_CHAIN_SUPPLIERS","RELATIONSHIP_AS_OF_DATE","20141217","cols=1;rows=5")</f>
        <v>RGLD US Equity</v>
      </c>
      <c r="P5" t="str">
        <f>_xll.BDS("CDE US Equity","SUPPLY_CHAIN_CUSTOMERS","RELATIONSHIP_AS_OF_DATE","20141217","cols=1;rows=5")</f>
        <v>BMO CN Equity</v>
      </c>
      <c r="U5" t="str">
        <f>_xll.BDS("MBFI US Equity","SUPPLY_CHAIN_SUPPLIERS","RELATIONSHIP_AS_OF_DATE","20040112")</f>
        <v>#N/A N/A</v>
      </c>
      <c r="Z5" t="str">
        <f>_xll.BDS("MBFI US Equity","SUPPLY_CHAIN_CUSTOMERS","RELATIONSHIP_AS_OF_DATE","20040112")</f>
        <v>#N/A N/A</v>
      </c>
      <c r="AE5" t="str">
        <f>_xll.BDS("3592185Q US Equity","SUPPLY_CHAIN_SUPPLIERS","RELATIONSHIP_AS_OF_DATE","19990802")</f>
        <v>#N/A N/A</v>
      </c>
      <c r="AJ5" t="str">
        <f>_xll.BDS("3592185Q US Equity","SUPPLY_CHAIN_CUSTOMERS","RELATIONSHIP_AS_OF_DATE","19990802")</f>
        <v>#N/A N/A</v>
      </c>
      <c r="AO5" t="str">
        <f>_xll.BDS("SBLUQ US Equity","SUPPLY_CHAIN_SUPPLIERS","RELATIONSHIP_AS_OF_DATE","19990622")</f>
        <v>#N/A N/A</v>
      </c>
      <c r="AT5" t="str">
        <f>_xll.BDS("SBLUQ US Equity","SUPPLY_CHAIN_CUSTOMERS","RELATIONSHIP_AS_OF_DATE","19990622")</f>
        <v>#N/A N/A</v>
      </c>
      <c r="AY5" t="str">
        <f>_xll.BDS("FULT US Equity","SUPPLY_CHAIN_SUPPLIERS","RELATIONSHIP_AS_OF_DATE","20001227","cols=1;rows=2")</f>
        <v>DLX US Equity</v>
      </c>
      <c r="BD5" t="str">
        <f>_xll.BDS("FULT US Equity","SUPPLY_CHAIN_CUSTOMERS","RELATIONSHIP_AS_OF_DATE","20001227")</f>
        <v>#N/A N/A</v>
      </c>
      <c r="BI5" t="str">
        <f>_xll.BDS("NBTB US Equity","SUPPLY_CHAIN_SUPPLIERS","RELATIONSHIP_AS_OF_DATE","20010619")</f>
        <v>FRSH US Equity</v>
      </c>
      <c r="BN5" t="str">
        <f>_xll.BDS("NBTB US Equity","SUPPLY_CHAIN_CUSTOMERS","RELATIONSHIP_AS_OF_DATE","20010619")</f>
        <v>#N/A N/A</v>
      </c>
      <c r="BS5" t="str">
        <f>_xll.BDS("WABC US Equity","SUPPLY_CHAIN_SUPPLIERS","RELATIONSHIP_AS_OF_DATE","20040825")</f>
        <v>QUIS CN Equity</v>
      </c>
      <c r="BX5" t="str">
        <f>_xll.BDS("WABC US Equity","SUPPLY_CHAIN_CUSTOMERS","RELATIONSHIP_AS_OF_DATE","20040825")</f>
        <v>#N/A N/A</v>
      </c>
      <c r="CC5" t="str">
        <f>_xll.BDS("NIC US Equity","SUPPLY_CHAIN_SUPPLIERS","RELATIONSHIP_AS_OF_DATE","20150908")</f>
        <v>VYX US Equity</v>
      </c>
      <c r="CH5" t="str">
        <f>_xll.BDS("NIC US Equity","SUPPLY_CHAIN_CUSTOMERS","RELATIONSHIP_AS_OF_DATE","20150908")</f>
        <v>#N/A N/A</v>
      </c>
      <c r="CM5" t="str">
        <f>_xll.BDS("PRU US Equity","SUPPLY_CHAIN_SUPPLIERS","RELATIONSHIP_AS_OF_DATE","20000510","cols=1;rows=5")</f>
        <v>ADBE US Equity</v>
      </c>
      <c r="CR5" t="str">
        <f>_xll.BDS("PRU US Equity","SUPPLY_CHAIN_CUSTOMERS","RELATIONSHIP_AS_OF_DATE","20000510")</f>
        <v>BBLNF US Equity</v>
      </c>
      <c r="CW5" t="str">
        <f>_xll.BDS("PTIX US Equity","SUPPLY_CHAIN_SUPPLIERS","RELATIONSHIP_AS_OF_DATE","20070927")</f>
        <v>3840Z CN Equity</v>
      </c>
      <c r="DB5" t="str">
        <f>_xll.BDS("PTIX US Equity","SUPPLY_CHAIN_CUSTOMERS","RELATIONSHIP_AS_OF_DATE","20070927")</f>
        <v>#N/A N/A</v>
      </c>
      <c r="DG5" t="str">
        <f>_xll.BDS("SHBI US Equity","SUPPLY_CHAIN_SUPPLIERS","RELATIONSHIP_AS_OF_DATE","20210303")</f>
        <v>#N/A N/A</v>
      </c>
      <c r="DL5" t="str">
        <f>_xll.BDS("SHBI US Equity","SUPPLY_CHAIN_CUSTOMERS","RELATIONSHIP_AS_OF_DATE","20210303")</f>
        <v>#N/A N/A</v>
      </c>
      <c r="DQ5" t="str">
        <f>_xll.BDS("RCRC US Equity","SUPPLY_CHAIN_SUPPLIERS","RELATIONSHIP_AS_OF_DATE","20040607")</f>
        <v>#N/A N/A</v>
      </c>
      <c r="DV5" t="str">
        <f>_xll.BDS("RCRC US Equity","SUPPLY_CHAIN_CUSTOMERS","RELATIONSHIP_AS_OF_DATE","20040607")</f>
        <v>#N/A N/A</v>
      </c>
      <c r="EA5" t="str">
        <f>_xll.BDS("GWB US Equity","SUPPLY_CHAIN_SUPPLIERS","RELATIONSHIP_AS_OF_DATE","20151130")</f>
        <v>#N/A N/A</v>
      </c>
      <c r="EF5" t="str">
        <f>_xll.BDS("GWB US Equity","SUPPLY_CHAIN_CUSTOMERS","RELATIONSHIP_AS_OF_DATE","20151130")</f>
        <v>#N/A N/A</v>
      </c>
      <c r="EK5" t="str">
        <f>_xll.BDS("TCR US Equity","SUPPLY_CHAIN_SUPPLIERS","RELATIONSHIP_AS_OF_DATE","20030219")</f>
        <v>#N/A N/A</v>
      </c>
      <c r="EP5" t="str">
        <f>_xll.BDS("TCR US Equity","SUPPLY_CHAIN_CUSTOMERS","RELATIONSHIP_AS_OF_DATE","20030219")</f>
        <v>#N/A N/A</v>
      </c>
      <c r="EU5" t="str">
        <f>_xll.BDS("SAGI US Equity","SUPPLY_CHAIN_SUPPLIERS","RELATIONSHIP_AS_OF_DATE","20000222")</f>
        <v>#N/A N/A</v>
      </c>
      <c r="EZ5" t="str">
        <f>_xll.BDS("SAGI US Equity","SUPPLY_CHAIN_CUSTOMERS","RELATIONSHIP_AS_OF_DATE","20000222")</f>
        <v>#N/A N/A</v>
      </c>
      <c r="FE5" t="str">
        <f>_xll.BDS("CLBK US Equity","SUPPLY_CHAIN_SUPPLIERS","RELATIONSHIP_AS_OF_DATE","20190607")</f>
        <v>#N/A N/A</v>
      </c>
      <c r="FJ5" t="str">
        <f>_xll.BDS("CLBK US Equity","SUPPLY_CHAIN_CUSTOMERS","RELATIONSHIP_AS_OF_DATE","20190607")</f>
        <v>#N/A N/A</v>
      </c>
      <c r="FO5" t="str">
        <f>_xll.BDS("EAGB US Equity","SUPPLY_CHAIN_SUPPLIERS","RELATIONSHIP_AS_OF_DATE","20000815")</f>
        <v>#N/A N/A</v>
      </c>
      <c r="FT5" t="str">
        <f>_xll.BDS("EAGB US Equity","SUPPLY_CHAIN_CUSTOMERS","RELATIONSHIP_AS_OF_DATE","20000815")</f>
        <v>#N/A N/A</v>
      </c>
      <c r="FY5" t="str">
        <f>_xll.BDS("TFC US Equity","SUPPLY_CHAIN_SUPPLIERS","RELATIONSHIP_AS_OF_DATE","20000823","cols=1;rows=5")</f>
        <v>ADBE US Equity</v>
      </c>
      <c r="GD5" t="str">
        <f>_xll.BDS("TFC US Equity","SUPPLY_CHAIN_CUSTOMERS","RELATIONSHIP_AS_OF_DATE","20000823")</f>
        <v>RENG IN Equity</v>
      </c>
      <c r="GI5" t="str">
        <f>_xll.BDS("DCOM US Equity","SUPPLY_CHAIN_SUPPLIERS","RELATIONSHIP_AS_OF_DATE","20141215")</f>
        <v>#N/A N/A</v>
      </c>
      <c r="GN5" t="str">
        <f>_xll.BDS("DCOM US Equity","SUPPLY_CHAIN_CUSTOMERS","RELATIONSHIP_AS_OF_DATE","20141215")</f>
        <v>#N/A N/A</v>
      </c>
      <c r="GS5" t="str">
        <f>_xll.BDS("AAL US Equity","SUPPLY_CHAIN_SUPPLIERS","RELATIONSHIP_AS_OF_DATE","19981119","cols=1;rows=5")</f>
        <v>BA US Equity</v>
      </c>
      <c r="GX5" t="str">
        <f>_xll.BDS("AAL US Equity","SUPPLY_CHAIN_CUSTOMERS","RELATIONSHIP_AS_OF_DATE","19981119","cols=1;rows=5")</f>
        <v>293 HK Equity</v>
      </c>
      <c r="HC5" t="str">
        <f>_xll.BDS("CBONQ US Equity","SUPPLY_CHAIN_SUPPLIERS","RELATIONSHIP_AS_OF_DATE","20060628")</f>
        <v>#N/A N/A</v>
      </c>
      <c r="HH5" t="str">
        <f>_xll.BDS("CBONQ US Equity","SUPPLY_CHAIN_CUSTOMERS","RELATIONSHIP_AS_OF_DATE","20060628")</f>
        <v>#N/A N/A</v>
      </c>
      <c r="HM5" t="str">
        <f>_xll.BDS("DEIX US Equity","SUPPLY_CHAIN_SUPPLIERS","RELATIONSHIP_AS_OF_DATE","20060821")</f>
        <v>#N/A N/A</v>
      </c>
      <c r="HR5" t="str">
        <f>_xll.BDS("DEIX US Equity","SUPPLY_CHAIN_CUSTOMERS","RELATIONSHIP_AS_OF_DATE","20060821")</f>
        <v>#N/A N/A</v>
      </c>
      <c r="HW5" t="str">
        <f>_xll.BDS("1740293D US Equity","SUPPLY_CHAIN_SUPPLIERS","RELATIONSHIP_AS_OF_DATE","20030715")</f>
        <v>#N/A N/A</v>
      </c>
      <c r="IB5" t="str">
        <f>_xll.BDS("1740293D US Equity","SUPPLY_CHAIN_CUSTOMERS","RELATIONSHIP_AS_OF_DATE","20030715")</f>
        <v>#N/A N/A</v>
      </c>
      <c r="IG5" t="str">
        <f>_xll.BDS("VLY US Equity","SUPPLY_CHAIN_SUPPLIERS","RELATIONSHIP_AS_OF_DATE","20041202","cols=1;rows=2")</f>
        <v>VNO US Equity</v>
      </c>
      <c r="IL5" t="str">
        <f>_xll.BDS("VLY US Equity","SUPPLY_CHAIN_CUSTOMERS","RELATIONSHIP_AS_OF_DATE","20041202")</f>
        <v>#N/A N/A</v>
      </c>
      <c r="IQ5" t="str">
        <f>_xll.BDS("VRTX US Equity","SUPPLY_CHAIN_SUPPLIERS","RELATIONSHIP_AS_OF_DATE","20010430","cols=1;rows=5")</f>
        <v>RPRX US Equity</v>
      </c>
      <c r="IV5" t="str">
        <f>_xll.BDS("VRTX US Equity","SUPPLY_CHAIN_CUSTOMERS","RELATIONSHIP_AS_OF_DATE","20010430","cols=1;rows=5")</f>
        <v>MCK US Equity</v>
      </c>
      <c r="JA5" t="str">
        <f>_xll.BDS("TFC US Equity","SUPPLY_CHAIN_SUPPLIERS","RELATIONSHIP_AS_OF_DATE","19991215","cols=1;rows=5")</f>
        <v>ADBE US Equity</v>
      </c>
      <c r="JF5" t="str">
        <f>_xll.BDS("TFC US Equity","SUPPLY_CHAIN_CUSTOMERS","RELATIONSHIP_AS_OF_DATE","19991215")</f>
        <v>RENG IN Equity</v>
      </c>
      <c r="JK5" t="str">
        <f>_xll.BDS("ISBC US Equity","SUPPLY_CHAIN_SUPPLIERS","RELATIONSHIP_AS_OF_DATE","20081215")</f>
        <v>#N/A N/A</v>
      </c>
      <c r="JP5" t="str">
        <f>_xll.BDS("ISBC US Equity","SUPPLY_CHAIN_CUSTOMERS","RELATIONSHIP_AS_OF_DATE","20081215")</f>
        <v>#N/A N/A</v>
      </c>
      <c r="JU5" t="str">
        <f>_xll.BDS("AGR US Equity","SUPPLY_CHAIN_SUPPLIERS","RELATIONSHIP_AS_OF_DATE","19991110","cols=1;rows=5")</f>
        <v>3365854Z US Equity</v>
      </c>
      <c r="JZ5" t="str">
        <f>_xll.BDS("AGR US Equity","SUPPLY_CHAIN_CUSTOMERS","RELATIONSHIP_AS_OF_DATE","19991110","cols=1;rows=5")</f>
        <v>1256Z NO Equity</v>
      </c>
      <c r="KE5" t="str">
        <f>_xll.BDS("1822785D US Equity","SUPPLY_CHAIN_SUPPLIERS","RELATIONSHIP_AS_OF_DATE","20000921")</f>
        <v>#N/A N/A</v>
      </c>
      <c r="KJ5" t="str">
        <f>_xll.BDS("1822785D US Equity","SUPPLY_CHAIN_CUSTOMERS","RELATIONSHIP_AS_OF_DATE","20000921")</f>
        <v>#N/A N/A</v>
      </c>
      <c r="KO5" t="str">
        <f>_xll.BDS("FNB US Equity","SUPPLY_CHAIN_SUPPLIERS","RELATIONSHIP_AS_OF_DATE","20041015")</f>
        <v>HY US Equity</v>
      </c>
      <c r="KT5" t="str">
        <f>_xll.BDS("FNB US Equity","SUPPLY_CHAIN_CUSTOMERS","RELATIONSHIP_AS_OF_DATE","20041015")</f>
        <v>#N/A N/A</v>
      </c>
      <c r="KY5" t="str">
        <f>_xll.BDS("9980328D US Equity","SUPPLY_CHAIN_SUPPLIERS","RELATIONSHIP_AS_OF_DATE","20090623","cols=1;rows=5")</f>
        <v>1052024D US Equity</v>
      </c>
      <c r="LD5" t="str">
        <f>_xll.BDS("9980328D US Equity","SUPPLY_CHAIN_CUSTOMERS","RELATIONSHIP_AS_OF_DATE","20090623","cols=1;rows=5")</f>
        <v>002630 KS Equity</v>
      </c>
      <c r="LI5" t="str">
        <f>_xll.BDS("ARW US Equity","SUPPLY_CHAIN_SUPPLIERS","RELATIONSHIP_AS_OF_DATE","19981001","cols=1;rows=5")</f>
        <v>ADI US Equity</v>
      </c>
      <c r="LN5" t="str">
        <f>_xll.BDS("ARW US Equity","SUPPLY_CHAIN_CUSTOMERS","RELATIONSHIP_AS_OF_DATE","19981001","cols=1;rows=5")</f>
        <v>IBM US Equity</v>
      </c>
      <c r="LS5" t="str">
        <f>_xll.BDS("HUM US Equity","SUPPLY_CHAIN_SUPPLIERS","RELATIONSHIP_AS_OF_DATE","20070907","cols=1;rows=5")</f>
        <v>EVH US Equity</v>
      </c>
      <c r="LX5" t="str">
        <f>_xll.BDS("HUM US Equity","SUPPLY_CHAIN_CUSTOMERS","RELATIONSHIP_AS_OF_DATE","20070907","cols=1;rows=5")</f>
        <v>3352Z US Equity</v>
      </c>
      <c r="MC5" t="str">
        <f>_xll.BDS("BMRC US Equity","SUPPLY_CHAIN_SUPPLIERS","RELATIONSHIP_AS_OF_DATE","20210419")</f>
        <v>#N/A N/A</v>
      </c>
      <c r="MH5" t="str">
        <f>_xll.BDS("BMRC US Equity","SUPPLY_CHAIN_CUSTOMERS","RELATIONSHIP_AS_OF_DATE","20210419")</f>
        <v>#N/A N/A</v>
      </c>
      <c r="MM5" t="str">
        <f>_xll.BDS("388103Q US Equity","SUPPLY_CHAIN_SUPPLIERS","RELATIONSHIP_AS_OF_DATE","19980720")</f>
        <v>#N/A N/A</v>
      </c>
      <c r="MR5" t="str">
        <f>_xll.BDS("388103Q US Equity","SUPPLY_CHAIN_CUSTOMERS","RELATIONSHIP_AS_OF_DATE","19980720")</f>
        <v>#N/A N/A</v>
      </c>
      <c r="MW5" t="str">
        <f>_xll.BDS("ALTO US Equity","SUPPLY_CHAIN_SUPPLIERS","RELATIONSHIP_AS_OF_DATE","20141231","cols=1;rows=3")</f>
        <v>CSX US Equity</v>
      </c>
      <c r="NB5" t="str">
        <f>_xll.BDS("ALTO US Equity","SUPPLY_CHAIN_CUSTOMERS","RELATIONSHIP_AS_OF_DATE","20141231","cols=1;rows=5")</f>
        <v>0877602D US Equity</v>
      </c>
      <c r="NG5" t="str">
        <f>_xll.BDS("SVC US Equity","SUPPLY_CHAIN_SUPPLIERS","RELATIONSHIP_AS_OF_DATE","20111103","cols=1;rows=4")</f>
        <v>OPITQ US Equity</v>
      </c>
      <c r="NL5" t="str">
        <f>_xll.BDS("SVC US Equity","SUPPLY_CHAIN_CUSTOMERS","RELATIONSHIP_AS_OF_DATE","20111103")</f>
        <v>OPITQ US Equity</v>
      </c>
      <c r="NQ5" t="str">
        <f>_xll.BDS("653707Q US Equity","SUPPLY_CHAIN_SUPPLIERS","RELATIONSHIP_AS_OF_DATE","20010322")</f>
        <v>#N/A N/A</v>
      </c>
      <c r="NV5" t="str">
        <f>_xll.BDS("653707Q US Equity","SUPPLY_CHAIN_CUSTOMERS","RELATIONSHIP_AS_OF_DATE","20010322")</f>
        <v>#N/A N/A</v>
      </c>
      <c r="OA5" t="str">
        <f>_xll.BDS("103917Q US Equity","SUPPLY_CHAIN_SUPPLIERS","RELATIONSHIP_AS_OF_DATE","19981216")</f>
        <v>#N/A N/A</v>
      </c>
      <c r="OF5" t="str">
        <f>_xll.BDS("103917Q US Equity","SUPPLY_CHAIN_CUSTOMERS","RELATIONSHIP_AS_OF_DATE","19981216")</f>
        <v>#N/A N/A</v>
      </c>
    </row>
    <row r="6" spans="1:396" x14ac:dyDescent="0.25">
      <c r="K6" t="s">
        <v>11731</v>
      </c>
      <c r="P6" t="s">
        <v>11885</v>
      </c>
      <c r="AY6" t="s">
        <v>154</v>
      </c>
      <c r="CM6" t="s">
        <v>11310</v>
      </c>
      <c r="FY6" t="s">
        <v>11371</v>
      </c>
      <c r="GS6" t="s">
        <v>1164</v>
      </c>
      <c r="GX6" t="s">
        <v>11085</v>
      </c>
      <c r="IG6" t="s">
        <v>3162</v>
      </c>
      <c r="IQ6" t="s">
        <v>11733</v>
      </c>
      <c r="IV6" t="s">
        <v>51</v>
      </c>
      <c r="JA6" t="s">
        <v>11371</v>
      </c>
      <c r="JU6" t="s">
        <v>12609</v>
      </c>
      <c r="JZ6" t="s">
        <v>11634</v>
      </c>
      <c r="KY6" t="s">
        <v>11453</v>
      </c>
      <c r="LD6" t="s">
        <v>11428</v>
      </c>
      <c r="LI6" t="s">
        <v>2968</v>
      </c>
      <c r="LN6" t="s">
        <v>10892</v>
      </c>
      <c r="LS6" t="s">
        <v>171</v>
      </c>
      <c r="LX6" t="s">
        <v>10797</v>
      </c>
      <c r="MW6" t="s">
        <v>12046</v>
      </c>
      <c r="NB6" t="s">
        <v>11626</v>
      </c>
      <c r="NG6" t="s">
        <v>11662</v>
      </c>
    </row>
    <row r="7" spans="1:396" x14ac:dyDescent="0.25">
      <c r="K7" t="s">
        <v>11732</v>
      </c>
      <c r="P7" t="s">
        <v>11886</v>
      </c>
      <c r="CM7" t="s">
        <v>11736</v>
      </c>
      <c r="FY7" t="s">
        <v>10986</v>
      </c>
      <c r="GS7" t="s">
        <v>42</v>
      </c>
      <c r="GX7" t="s">
        <v>11641</v>
      </c>
      <c r="IQ7" t="s">
        <v>11734</v>
      </c>
      <c r="IV7" t="s">
        <v>472</v>
      </c>
      <c r="JA7" t="s">
        <v>10986</v>
      </c>
      <c r="JU7" t="s">
        <v>12610</v>
      </c>
      <c r="JZ7" t="s">
        <v>11635</v>
      </c>
      <c r="KY7" t="s">
        <v>11289</v>
      </c>
      <c r="LD7" t="s">
        <v>11429</v>
      </c>
      <c r="LI7" t="s">
        <v>11061</v>
      </c>
      <c r="LN7" t="s">
        <v>3519</v>
      </c>
      <c r="LS7" t="s">
        <v>11029</v>
      </c>
      <c r="LX7" t="s">
        <v>10778</v>
      </c>
      <c r="MW7" t="s">
        <v>10940</v>
      </c>
      <c r="NB7" t="s">
        <v>11627</v>
      </c>
      <c r="NG7" t="s">
        <v>11294</v>
      </c>
    </row>
    <row r="8" spans="1:396" x14ac:dyDescent="0.25">
      <c r="K8" t="s">
        <v>11689</v>
      </c>
      <c r="P8" t="s">
        <v>11887</v>
      </c>
      <c r="CM8" t="s">
        <v>11737</v>
      </c>
      <c r="FY8" t="s">
        <v>11372</v>
      </c>
      <c r="GS8" t="s">
        <v>7373</v>
      </c>
      <c r="GX8" t="s">
        <v>11642</v>
      </c>
      <c r="IQ8" t="s">
        <v>11735</v>
      </c>
      <c r="IV8" t="s">
        <v>3715</v>
      </c>
      <c r="JA8" t="s">
        <v>11372</v>
      </c>
      <c r="JU8" t="s">
        <v>12611</v>
      </c>
      <c r="JZ8" t="s">
        <v>10657</v>
      </c>
      <c r="KY8" t="s">
        <v>10996</v>
      </c>
      <c r="LD8" t="s">
        <v>11430</v>
      </c>
      <c r="LI8" t="s">
        <v>10732</v>
      </c>
      <c r="LN8" t="s">
        <v>10680</v>
      </c>
      <c r="LS8" t="s">
        <v>11742</v>
      </c>
      <c r="LX8" t="s">
        <v>11916</v>
      </c>
      <c r="NB8" t="s">
        <v>11628</v>
      </c>
      <c r="NG8" t="s">
        <v>11663</v>
      </c>
    </row>
    <row r="9" spans="1:396" x14ac:dyDescent="0.25">
      <c r="K9" t="s">
        <v>8925</v>
      </c>
      <c r="P9" t="s">
        <v>11888</v>
      </c>
      <c r="CM9" t="s">
        <v>11738</v>
      </c>
      <c r="FY9" t="s">
        <v>10987</v>
      </c>
      <c r="GS9" t="s">
        <v>12001</v>
      </c>
      <c r="GX9" t="s">
        <v>11643</v>
      </c>
      <c r="IQ9" t="s">
        <v>11339</v>
      </c>
      <c r="IV9" t="s">
        <v>11750</v>
      </c>
      <c r="JA9" t="s">
        <v>10987</v>
      </c>
      <c r="JU9" t="s">
        <v>11991</v>
      </c>
      <c r="JZ9" t="s">
        <v>11636</v>
      </c>
      <c r="KY9" t="s">
        <v>11454</v>
      </c>
      <c r="LD9" t="s">
        <v>11431</v>
      </c>
      <c r="LI9" t="s">
        <v>881</v>
      </c>
      <c r="LN9" t="s">
        <v>11932</v>
      </c>
      <c r="LS9" t="s">
        <v>10834</v>
      </c>
      <c r="LX9" t="s">
        <v>10905</v>
      </c>
      <c r="NB9" t="s">
        <v>11629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6926</v>
      </c>
      <c r="K1" s="1" t="s">
        <v>6927</v>
      </c>
      <c r="U1" s="1" t="s">
        <v>6928</v>
      </c>
      <c r="AE1" s="1" t="s">
        <v>6929</v>
      </c>
      <c r="AO1" s="1" t="s">
        <v>6930</v>
      </c>
      <c r="AY1" s="1" t="s">
        <v>6931</v>
      </c>
      <c r="BI1" s="1" t="s">
        <v>6932</v>
      </c>
      <c r="BS1" s="1" t="s">
        <v>6933</v>
      </c>
      <c r="CC1" s="1" t="s">
        <v>6934</v>
      </c>
      <c r="CM1" s="1" t="s">
        <v>6935</v>
      </c>
      <c r="CW1" s="1" t="s">
        <v>6936</v>
      </c>
      <c r="DG1" s="1" t="s">
        <v>6937</v>
      </c>
      <c r="DQ1" s="1" t="s">
        <v>6938</v>
      </c>
      <c r="EA1" s="1" t="s">
        <v>6939</v>
      </c>
      <c r="EK1" s="1" t="s">
        <v>6940</v>
      </c>
      <c r="EU1" s="1" t="s">
        <v>6941</v>
      </c>
      <c r="FE1" s="1" t="s">
        <v>6942</v>
      </c>
      <c r="FO1" s="1" t="s">
        <v>6943</v>
      </c>
      <c r="FY1" s="1" t="s">
        <v>6944</v>
      </c>
      <c r="GI1" s="1" t="s">
        <v>6945</v>
      </c>
      <c r="GS1" s="1" t="s">
        <v>6946</v>
      </c>
      <c r="HC1" s="1" t="s">
        <v>6947</v>
      </c>
      <c r="HM1" s="1" t="s">
        <v>6948</v>
      </c>
      <c r="HW1" s="1" t="s">
        <v>6949</v>
      </c>
      <c r="IG1" s="1" t="s">
        <v>6950</v>
      </c>
      <c r="IQ1" s="1" t="s">
        <v>6951</v>
      </c>
      <c r="JA1" s="1" t="s">
        <v>6952</v>
      </c>
      <c r="JK1" s="1" t="s">
        <v>6953</v>
      </c>
      <c r="JU1" s="1" t="s">
        <v>6954</v>
      </c>
      <c r="KE1" s="1" t="s">
        <v>6955</v>
      </c>
      <c r="KO1" s="1" t="s">
        <v>6956</v>
      </c>
      <c r="KY1" s="1" t="s">
        <v>6957</v>
      </c>
      <c r="LI1" s="1" t="s">
        <v>6958</v>
      </c>
      <c r="LS1" s="1" t="s">
        <v>6959</v>
      </c>
      <c r="MC1" s="1" t="s">
        <v>6960</v>
      </c>
      <c r="MM1" s="1" t="s">
        <v>6961</v>
      </c>
      <c r="MW1" s="1" t="s">
        <v>6962</v>
      </c>
      <c r="NG1" s="1" t="s">
        <v>6963</v>
      </c>
      <c r="NQ1" s="1" t="s">
        <v>6964</v>
      </c>
      <c r="OA1" s="1" t="s">
        <v>6965</v>
      </c>
    </row>
    <row r="2" spans="1:396" x14ac:dyDescent="0.25">
      <c r="A2" s="2" t="s">
        <v>6966</v>
      </c>
      <c r="K2" s="2" t="s">
        <v>1546</v>
      </c>
      <c r="U2" s="2" t="s">
        <v>6967</v>
      </c>
      <c r="AE2" s="2" t="s">
        <v>6968</v>
      </c>
      <c r="AO2" s="2" t="s">
        <v>4037</v>
      </c>
      <c r="AY2" s="2" t="s">
        <v>2603</v>
      </c>
      <c r="BI2" s="2" t="s">
        <v>2705</v>
      </c>
      <c r="BS2" s="2" t="s">
        <v>3065</v>
      </c>
      <c r="CC2" s="2" t="s">
        <v>6969</v>
      </c>
      <c r="CM2" s="2" t="s">
        <v>6970</v>
      </c>
      <c r="CW2" s="2" t="s">
        <v>6971</v>
      </c>
      <c r="DG2" s="2" t="s">
        <v>4559</v>
      </c>
      <c r="DQ2" s="2" t="s">
        <v>6972</v>
      </c>
      <c r="EA2" s="2" t="s">
        <v>2776</v>
      </c>
      <c r="EK2" s="2" t="s">
        <v>6973</v>
      </c>
      <c r="EU2" s="2" t="s">
        <v>4299</v>
      </c>
      <c r="FE2" s="2" t="s">
        <v>6974</v>
      </c>
      <c r="FO2" s="2" t="s">
        <v>42</v>
      </c>
      <c r="FY2" s="2" t="s">
        <v>6975</v>
      </c>
      <c r="GI2" s="2" t="s">
        <v>388</v>
      </c>
      <c r="GS2" s="2" t="s">
        <v>2782</v>
      </c>
      <c r="HC2" s="2" t="s">
        <v>6976</v>
      </c>
      <c r="HM2" s="2" t="s">
        <v>3951</v>
      </c>
      <c r="HW2" s="2" t="s">
        <v>6977</v>
      </c>
      <c r="IG2" s="2" t="s">
        <v>5998</v>
      </c>
      <c r="IQ2" s="2" t="s">
        <v>6978</v>
      </c>
      <c r="JA2" s="2" t="s">
        <v>3063</v>
      </c>
      <c r="JK2" s="2" t="s">
        <v>6979</v>
      </c>
      <c r="JU2" s="2" t="s">
        <v>6980</v>
      </c>
      <c r="KE2" s="2" t="s">
        <v>6981</v>
      </c>
      <c r="KO2" s="2" t="s">
        <v>6982</v>
      </c>
      <c r="KY2" s="2" t="s">
        <v>157</v>
      </c>
      <c r="LI2" s="2" t="s">
        <v>6983</v>
      </c>
      <c r="LS2" s="2" t="s">
        <v>6809</v>
      </c>
      <c r="MC2" s="2" t="s">
        <v>4984</v>
      </c>
      <c r="MM2" s="2" t="s">
        <v>6978</v>
      </c>
      <c r="MW2" s="2" t="s">
        <v>4044</v>
      </c>
      <c r="NG2" s="2" t="s">
        <v>3786</v>
      </c>
      <c r="NQ2" s="2" t="s">
        <v>6984</v>
      </c>
      <c r="OA2" s="2" t="s">
        <v>6985</v>
      </c>
    </row>
    <row r="3" spans="1:396" x14ac:dyDescent="0.25">
      <c r="A3" t="s">
        <v>3375</v>
      </c>
      <c r="K3" t="s">
        <v>6986</v>
      </c>
      <c r="U3" t="s">
        <v>1388</v>
      </c>
      <c r="AE3" t="s">
        <v>6987</v>
      </c>
      <c r="AO3" t="s">
        <v>6988</v>
      </c>
      <c r="AY3" t="s">
        <v>6989</v>
      </c>
      <c r="BI3" t="s">
        <v>6990</v>
      </c>
      <c r="BS3" t="s">
        <v>6991</v>
      </c>
      <c r="CC3" t="s">
        <v>618</v>
      </c>
      <c r="CM3" t="s">
        <v>6992</v>
      </c>
      <c r="CW3" t="s">
        <v>4752</v>
      </c>
      <c r="DG3" t="s">
        <v>6993</v>
      </c>
      <c r="DQ3" t="s">
        <v>6994</v>
      </c>
      <c r="EA3" t="s">
        <v>2140</v>
      </c>
      <c r="EK3" t="s">
        <v>6995</v>
      </c>
      <c r="EU3" t="s">
        <v>6996</v>
      </c>
      <c r="FE3" t="s">
        <v>895</v>
      </c>
      <c r="FO3" t="s">
        <v>3076</v>
      </c>
      <c r="FY3" t="s">
        <v>711</v>
      </c>
      <c r="GI3" t="s">
        <v>6997</v>
      </c>
      <c r="GS3" t="s">
        <v>1192</v>
      </c>
      <c r="HC3" t="s">
        <v>6998</v>
      </c>
      <c r="HM3" t="s">
        <v>6999</v>
      </c>
      <c r="HW3" t="s">
        <v>6479</v>
      </c>
      <c r="IG3" t="s">
        <v>7000</v>
      </c>
      <c r="IQ3" t="s">
        <v>7001</v>
      </c>
      <c r="JA3" t="s">
        <v>7002</v>
      </c>
      <c r="JK3" t="s">
        <v>1789</v>
      </c>
      <c r="JU3" t="s">
        <v>7003</v>
      </c>
      <c r="KE3" t="s">
        <v>7004</v>
      </c>
      <c r="KO3" t="s">
        <v>5020</v>
      </c>
      <c r="KY3" t="s">
        <v>7005</v>
      </c>
      <c r="LI3" t="s">
        <v>5521</v>
      </c>
      <c r="LS3" t="s">
        <v>3899</v>
      </c>
      <c r="MC3" t="s">
        <v>7006</v>
      </c>
      <c r="MM3" t="s">
        <v>7007</v>
      </c>
      <c r="MW3" t="s">
        <v>809</v>
      </c>
      <c r="NG3" t="s">
        <v>811</v>
      </c>
      <c r="NQ3" t="s">
        <v>7008</v>
      </c>
      <c r="OA3" t="s">
        <v>5865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_xll.BDS("0618828D US Equity","SUPPLY_CHAIN_SUPPLIERS","RELATIONSHIP_AS_OF_DATE","19980427")</f>
        <v>#N/A N/A</v>
      </c>
      <c r="F5" t="str">
        <f>_xll.BDS("0618828D US Equity","SUPPLY_CHAIN_CUSTOMERS","RELATIONSHIP_AS_OF_DATE","19980427")</f>
        <v>#N/A N/A</v>
      </c>
      <c r="K5" t="str">
        <f>_xll.BDS("CFG US Equity","SUPPLY_CHAIN_SUPPLIERS","RELATIONSHIP_AS_OF_DATE","20210908","cols=1;rows=5")</f>
        <v>INFO IN Equity</v>
      </c>
      <c r="P5" t="str">
        <f>_xll.BDS("CFG US Equity","SUPPLY_CHAIN_CUSTOMERS","RELATIONSHIP_AS_OF_DATE","20210908")</f>
        <v>#N/A N/A</v>
      </c>
      <c r="U5" t="str">
        <f>_xll.BDS("0966147D US Equity","SUPPLY_CHAIN_SUPPLIERS","RELATIONSHIP_AS_OF_DATE","20001026")</f>
        <v>#N/A N/A</v>
      </c>
      <c r="Z5" t="str">
        <f>_xll.BDS("0966147D US Equity","SUPPLY_CHAIN_CUSTOMERS","RELATIONSHIP_AS_OF_DATE","20001026")</f>
        <v>#N/A N/A</v>
      </c>
      <c r="AE5" t="str">
        <f>_xll.BDS("2185054D US Equity","SUPPLY_CHAIN_SUPPLIERS","RELATIONSHIP_AS_OF_DATE","20080522")</f>
        <v>#N/A N/A</v>
      </c>
      <c r="AJ5" t="str">
        <f>_xll.BDS("2185054D US Equity","SUPPLY_CHAIN_CUSTOMERS","RELATIONSHIP_AS_OF_DATE","20080522")</f>
        <v>#N/A N/A</v>
      </c>
      <c r="AO5" t="str">
        <f>_xll.BDS("CMOS US Equity","SUPPLY_CHAIN_SUPPLIERS","RELATIONSHIP_AS_OF_DATE","20010516")</f>
        <v>#N/A N/A</v>
      </c>
      <c r="AT5" t="str">
        <f>_xll.BDS("CMOS US Equity","SUPPLY_CHAIN_CUSTOMERS","RELATIONSHIP_AS_OF_DATE","20010516")</f>
        <v>#N/A N/A</v>
      </c>
      <c r="AY5" t="str">
        <f>_xll.BDS("NFS US Equity","SUPPLY_CHAIN_SUPPLIERS","RELATIONSHIP_AS_OF_DATE","19980603")</f>
        <v>#N/A N/A</v>
      </c>
      <c r="BD5" t="str">
        <f>_xll.BDS("NFS US Equity","SUPPLY_CHAIN_CUSTOMERS","RELATIONSHIP_AS_OF_DATE","19980603")</f>
        <v>#N/A N/A</v>
      </c>
      <c r="BI5" t="str">
        <f>_xll.BDS("GOOGL US Equity","SUPPLY_CHAIN_SUPPLIERS","RELATIONSHIP_AS_OF_DATE","20090805","cols=1;rows=5")</f>
        <v>300459 CH Equity</v>
      </c>
      <c r="BN5" t="str">
        <f>_xll.BDS("GOOGL US Equity","SUPPLY_CHAIN_CUSTOMERS","RELATIONSHIP_AS_OF_DATE","20090805","cols=1;rows=5")</f>
        <v>VZ US Equity</v>
      </c>
      <c r="BS5" t="str">
        <f>_xll.BDS("BWA US Equity","SUPPLY_CHAIN_SUPPLIERS","RELATIONSHIP_AS_OF_DATE","20170717","cols=1;rows=5")</f>
        <v>CMI US Equity</v>
      </c>
      <c r="BX5" t="str">
        <f>_xll.BDS("BWA US Equity","SUPPLY_CHAIN_CUSTOMERS","RELATIONSHIP_AS_OF_DATE","20170717","cols=1;rows=5")</f>
        <v>VOW GR Equity</v>
      </c>
      <c r="CC5" t="str">
        <f>_xll.BDS("CPK US Equity","SUPPLY_CHAIN_SUPPLIERS","RELATIONSHIP_AS_OF_DATE","20090420","cols=1;rows=5")</f>
        <v>IBM US Equity</v>
      </c>
      <c r="CH5" t="str">
        <f>_xll.BDS("CPK US Equity","SUPPLY_CHAIN_CUSTOMERS","RELATIONSHIP_AS_OF_DATE","20090420","cols=1;rows=5")</f>
        <v>1010660D US Equity</v>
      </c>
      <c r="CM5" t="str">
        <f>_xll.BDS("RTEC US Equity","SUPPLY_CHAIN_SUPPLIERS","RELATIONSHIP_AS_OF_DATE","20050127")</f>
        <v>FE US Equity</v>
      </c>
      <c r="CR5" t="str">
        <f>_xll.BDS("RTEC US Equity","SUPPLY_CHAIN_CUSTOMERS","RELATIONSHIP_AS_OF_DATE","20050127")</f>
        <v>#N/A N/A</v>
      </c>
      <c r="CW5" t="str">
        <f>_xll.BDS("CWST US Equity","SUPPLY_CHAIN_SUPPLIERS","RELATIONSHIP_AS_OF_DATE","19990513","cols=1;rows=3")</f>
        <v>0669281D US Equity</v>
      </c>
      <c r="DB5" t="str">
        <f>_xll.BDS("CWST US Equity","SUPPLY_CHAIN_CUSTOMERS","RELATIONSHIP_AS_OF_DATE","19990513")</f>
        <v>0669281D US Equity</v>
      </c>
      <c r="DG5" t="str">
        <f>_xll.BDS("NPBC US Equity","SUPPLY_CHAIN_SUPPLIERS","RELATIONSHIP_AS_OF_DATE","20140604")</f>
        <v>#N/A N/A</v>
      </c>
      <c r="DL5" t="str">
        <f>_xll.BDS("NPBC US Equity","SUPPLY_CHAIN_CUSTOMERS","RELATIONSHIP_AS_OF_DATE","20140604")</f>
        <v>#N/A N/A</v>
      </c>
      <c r="DQ5" t="str">
        <f>_xll.BDS("RGNA US Equity","SUPPLY_CHAIN_SUPPLIERS","RELATIONSHIP_AS_OF_DATE","20060321")</f>
        <v>#N/A N/A</v>
      </c>
      <c r="DV5" t="str">
        <f>_xll.BDS("RGNA US Equity","SUPPLY_CHAIN_CUSTOMERS","RELATIONSHIP_AS_OF_DATE","20060321")</f>
        <v>#N/A N/A</v>
      </c>
      <c r="EA5" t="str">
        <f>_xll.BDS("TLRDQ US Equity","SUPPLY_CHAIN_SUPPLIERS","RELATIONSHIP_AS_OF_DATE","19990304","cols=1;rows=5")</f>
        <v>BRX US Equity</v>
      </c>
      <c r="EF5" t="str">
        <f>_xll.BDS("TLRDQ US Equity","SUPPLY_CHAIN_CUSTOMERS","RELATIONSHIP_AS_OF_DATE","19990304")</f>
        <v>#N/A N/A</v>
      </c>
      <c r="EK5" t="str">
        <f>_xll.BDS("CRK US Equity","SUPPLY_CHAIN_SUPPLIERS","RELATIONSHIP_AS_OF_DATE","20011022","cols=1;rows=4")</f>
        <v>HTG LN Equity</v>
      </c>
      <c r="EP5" t="str">
        <f>_xll.BDS("CRK US Equity","SUPPLY_CHAIN_CUSTOMERS","RELATIONSHIP_AS_OF_DATE","20011022","cols=1;rows=5")</f>
        <v>17249Z US Equity</v>
      </c>
      <c r="EU5" t="str">
        <f>_xll.BDS("1552309D US Equity","SUPPLY_CHAIN_SUPPLIERS","RELATIONSHIP_AS_OF_DATE","20060327")</f>
        <v>#N/A N/A</v>
      </c>
      <c r="EZ5" t="str">
        <f>_xll.BDS("1552309D US Equity","SUPPLY_CHAIN_CUSTOMERS","RELATIONSHIP_AS_OF_DATE","20060327")</f>
        <v>#N/A N/A</v>
      </c>
      <c r="FE5" t="str">
        <f>_xll.BDS("MCHB US Equity","SUPPLY_CHAIN_SUPPLIERS","RELATIONSHIP_AS_OF_DATE","20140929")</f>
        <v>#N/A N/A</v>
      </c>
      <c r="FJ5" t="str">
        <f>_xll.BDS("MCHB US Equity","SUPPLY_CHAIN_CUSTOMERS","RELATIONSHIP_AS_OF_DATE","20140929")</f>
        <v>#N/A N/A</v>
      </c>
      <c r="FO5" t="str">
        <f>_xll.BDS("RTX US Equity","SUPPLY_CHAIN_SUPPLIERS","RELATIONSHIP_AS_OF_DATE","19991021","cols=1;rows=5")</f>
        <v>MTX GR Equity</v>
      </c>
      <c r="FT5" t="str">
        <f>_xll.BDS("RTX US Equity","SUPPLY_CHAIN_CUSTOMERS","RELATIONSHIP_AS_OF_DATE","19991021","cols=1;rows=5")</f>
        <v>3352Z US Equity</v>
      </c>
      <c r="FY5" t="str">
        <f>_xll.BDS("9990225D US Equity","SUPPLY_CHAIN_SUPPLIERS","RELATIONSHIP_AS_OF_DATE","20210524")</f>
        <v>#N/A N/A</v>
      </c>
      <c r="GD5" t="str">
        <f>_xll.BDS("9990225D US Equity","SUPPLY_CHAIN_CUSTOMERS","RELATIONSHIP_AS_OF_DATE","20210524")</f>
        <v>#N/A N/A</v>
      </c>
      <c r="GI5" t="str">
        <f>_xll.BDS("NOC US Equity","SUPPLY_CHAIN_SUPPLIERS","RELATIONSHIP_AS_OF_DATE","20000612","cols=1;rows=5")</f>
        <v>RTX US Equity</v>
      </c>
      <c r="GN5" t="str">
        <f>_xll.BDS("NOC US Equity","SUPPLY_CHAIN_CUSTOMERS","RELATIONSHIP_AS_OF_DATE","20000612","cols=1;rows=5")</f>
        <v>3352Z US Equity</v>
      </c>
      <c r="GS5" t="str">
        <f>_xll.BDS("ICBC US Equity","SUPPLY_CHAIN_SUPPLIERS","RELATIONSHIP_AS_OF_DATE","19990201")</f>
        <v>#N/A N/A</v>
      </c>
      <c r="GX5" t="str">
        <f>_xll.BDS("ICBC US Equity","SUPPLY_CHAIN_CUSTOMERS","RELATIONSHIP_AS_OF_DATE","19990201")</f>
        <v>#N/A N/A</v>
      </c>
      <c r="HC5" t="str">
        <f>_xll.BDS("HLFG US Equity","SUPPLY_CHAIN_SUPPLIERS","RELATIONSHIP_AS_OF_DATE","20061206")</f>
        <v>#N/A N/A</v>
      </c>
      <c r="HH5" t="str">
        <f>_xll.BDS("HLFG US Equity","SUPPLY_CHAIN_CUSTOMERS","RELATIONSHIP_AS_OF_DATE","20061206")</f>
        <v>#N/A N/A</v>
      </c>
      <c r="HM5" t="str">
        <f>_xll.BDS("GEO US Equity","SUPPLY_CHAIN_SUPPLIERS","RELATIONSHIP_AS_OF_DATE","20030502")</f>
        <v>VSEE US Equity</v>
      </c>
      <c r="HR5" t="str">
        <f>_xll.BDS("GEO US Equity","SUPPLY_CHAIN_CUSTOMERS","RELATIONSHIP_AS_OF_DATE","20030502","cols=1;rows=5")</f>
        <v>3352Z US Equity</v>
      </c>
      <c r="HW5" t="str">
        <f>_xll.BDS("DIAN US Equity","SUPPLY_CHAIN_SUPPLIERS","RELATIONSHIP_AS_OF_DATE","20010628")</f>
        <v>#N/A N/A</v>
      </c>
      <c r="IB5" t="str">
        <f>_xll.BDS("DIAN US Equity","SUPPLY_CHAIN_CUSTOMERS","RELATIONSHIP_AS_OF_DATE","20010628")</f>
        <v>#N/A N/A</v>
      </c>
      <c r="IG5" t="str">
        <f>_xll.BDS("1339658D US Equity","SUPPLY_CHAIN_SUPPLIERS","RELATIONSHIP_AS_OF_DATE","20031016")</f>
        <v>#N/A N/A</v>
      </c>
      <c r="IL5" t="str">
        <f>_xll.BDS("1339658D US Equity","SUPPLY_CHAIN_CUSTOMERS","RELATIONSHIP_AS_OF_DATE","20031016")</f>
        <v>#N/A N/A</v>
      </c>
      <c r="IQ5" t="str">
        <f>_xll.BDS("BVH US Equity","SUPPLY_CHAIN_SUPPLIERS","RELATIONSHIP_AS_OF_DATE","20090706")</f>
        <v>ECL US Equity</v>
      </c>
      <c r="IV5" t="str">
        <f>_xll.BDS("BVH US Equity","SUPPLY_CHAIN_CUSTOMERS","RELATIONSHIP_AS_OF_DATE","20090706")</f>
        <v>#N/A N/A</v>
      </c>
      <c r="JA5" t="str">
        <f>_xll.BDS("INDB US Equity","SUPPLY_CHAIN_SUPPLIERS","RELATIONSHIP_AS_OF_DATE","20140805")</f>
        <v>#N/A N/A</v>
      </c>
      <c r="JF5" t="str">
        <f>_xll.BDS("INDB US Equity","SUPPLY_CHAIN_CUSTOMERS","RELATIONSHIP_AS_OF_DATE","20140805")</f>
        <v>#N/A N/A</v>
      </c>
      <c r="JK5" t="str">
        <f>_xll.BDS("SRR US Equity","SUPPLY_CHAIN_SUPPLIERS","RELATIONSHIP_AS_OF_DATE","20050602")</f>
        <v>#N/A N/A</v>
      </c>
      <c r="JP5" t="str">
        <f>_xll.BDS("SRR US Equity","SUPPLY_CHAIN_CUSTOMERS","RELATIONSHIP_AS_OF_DATE","20050602")</f>
        <v>#N/A N/A</v>
      </c>
      <c r="JU5" t="str">
        <f>_xll.BDS("ALAB US Equity","SUPPLY_CHAIN_SUPPLIERS","RELATIONSHIP_AS_OF_DATE","20060524","cols=1;rows=5")</f>
        <v>AMKR US Equity</v>
      </c>
      <c r="JZ5" t="str">
        <f>_xll.BDS("ALAB US Equity","SUPPLY_CHAIN_CUSTOMERS","RELATIONSHIP_AS_OF_DATE","20060524","cols=1;rows=5")</f>
        <v>AMZN US Equity</v>
      </c>
      <c r="KE5" t="str">
        <f>_xll.BDS("RBNC US Equity","SUPPLY_CHAIN_SUPPLIERS","RELATIONSHIP_AS_OF_DATE","20191023")</f>
        <v>#N/A N/A</v>
      </c>
      <c r="KJ5" t="str">
        <f>_xll.BDS("RBNC US Equity","SUPPLY_CHAIN_CUSTOMERS","RELATIONSHIP_AS_OF_DATE","20191023")</f>
        <v>#N/A N/A</v>
      </c>
      <c r="KO5" t="str">
        <f>_xll.BDS("MBHIQ US Equity","SUPPLY_CHAIN_SUPPLIERS","RELATIONSHIP_AS_OF_DATE","20060208")</f>
        <v>#N/A N/A</v>
      </c>
      <c r="KT5" t="str">
        <f>_xll.BDS("MBHIQ US Equity","SUPPLY_CHAIN_CUSTOMERS","RELATIONSHIP_AS_OF_DATE","20060208")</f>
        <v>#N/A N/A</v>
      </c>
      <c r="KY5" t="str">
        <f>_xll.BDS("WCOEQ US Equity","SUPPLY_CHAIN_SUPPLIERS","RELATIONSHIP_AS_OF_DATE","19990720")</f>
        <v>#N/A N/A</v>
      </c>
      <c r="LD5" t="str">
        <f>_xll.BDS("WCOEQ US Equity","SUPPLY_CHAIN_CUSTOMERS","RELATIONSHIP_AS_OF_DATE","19990720")</f>
        <v>#N/A N/A</v>
      </c>
      <c r="LI5" t="str">
        <f>_xll.BDS("IMGC US Equity","SUPPLY_CHAIN_SUPPLIERS","RELATIONSHIP_AS_OF_DATE","20031103")</f>
        <v>#N/A N/A</v>
      </c>
      <c r="LN5" t="str">
        <f>_xll.BDS("IMGC US Equity","SUPPLY_CHAIN_CUSTOMERS","RELATIONSHIP_AS_OF_DATE","20031103")</f>
        <v>#N/A N/A</v>
      </c>
      <c r="LS5" t="str">
        <f>_xll.BDS("SCFS US Equity","SUPPLY_CHAIN_SUPPLIERS","RELATIONSHIP_AS_OF_DATE","19980202")</f>
        <v>#N/A N/A</v>
      </c>
      <c r="LX5" t="str">
        <f>_xll.BDS("SCFS US Equity","SUPPLY_CHAIN_CUSTOMERS","RELATIONSHIP_AS_OF_DATE","19980202")</f>
        <v>#N/A N/A</v>
      </c>
      <c r="MC5" t="str">
        <f>_xll.BDS("EFSC US Equity","SUPPLY_CHAIN_SUPPLIERS","RELATIONSHIP_AS_OF_DATE","20181101")</f>
        <v>#N/A N/A</v>
      </c>
      <c r="MH5" t="str">
        <f>_xll.BDS("EFSC US Equity","SUPPLY_CHAIN_CUSTOMERS","RELATIONSHIP_AS_OF_DATE","20181101")</f>
        <v>#N/A N/A</v>
      </c>
      <c r="MM5" t="str">
        <f>_xll.BDS("BVH US Equity","SUPPLY_CHAIN_SUPPLIERS","RELATIONSHIP_AS_OF_DATE","20121115")</f>
        <v>ECL US Equity</v>
      </c>
      <c r="MR5" t="str">
        <f>_xll.BDS("BVH US Equity","SUPPLY_CHAIN_CUSTOMERS","RELATIONSHIP_AS_OF_DATE","20121115")</f>
        <v>#N/A N/A</v>
      </c>
      <c r="MW5" t="str">
        <f>_xll.BDS("EVVV US Equity","SUPPLY_CHAIN_SUPPLIERS","RELATIONSHIP_AS_OF_DATE","20051010")</f>
        <v>#N/A N/A</v>
      </c>
      <c r="NB5" t="str">
        <f>_xll.BDS("EVVV US Equity","SUPPLY_CHAIN_CUSTOMERS","RELATIONSHIP_AS_OF_DATE","20051010")</f>
        <v>#N/A N/A</v>
      </c>
      <c r="NG5" t="str">
        <f>_xll.BDS("NXTL US Equity","SUPPLY_CHAIN_SUPPLIERS","RELATIONSHIP_AS_OF_DATE","20000821")</f>
        <v>#N/A N/A</v>
      </c>
      <c r="NL5" t="str">
        <f>_xll.BDS("NXTL US Equity","SUPPLY_CHAIN_CUSTOMERS","RELATIONSHIP_AS_OF_DATE","20000821")</f>
        <v>#N/A N/A</v>
      </c>
      <c r="NQ5" t="str">
        <f>_xll.BDS("BKMU US Equity","SUPPLY_CHAIN_SUPPLIERS","RELATIONSHIP_AS_OF_DATE","20000221")</f>
        <v>#N/A N/A</v>
      </c>
      <c r="NV5" t="str">
        <f>_xll.BDS("BKMU US Equity","SUPPLY_CHAIN_CUSTOMERS","RELATIONSHIP_AS_OF_DATE","20000221")</f>
        <v>#N/A N/A</v>
      </c>
      <c r="OA5" t="str">
        <f>_xll.BDS("WHLR US Equity","SUPPLY_CHAIN_SUPPLIERS","RELATIONSHIP_AS_OF_DATE","20220302")</f>
        <v>#N/A N/A</v>
      </c>
      <c r="OF5" t="str">
        <f>_xll.BDS("WHLR US Equity","SUPPLY_CHAIN_CUSTOMERS","RELATIONSHIP_AS_OF_DATE","20220302","cols=1;rows=5")</f>
        <v>AD NA Equity</v>
      </c>
    </row>
    <row r="6" spans="1:396" x14ac:dyDescent="0.25">
      <c r="K6" t="s">
        <v>7475</v>
      </c>
      <c r="BI6" t="s">
        <v>6477</v>
      </c>
      <c r="BN6" t="s">
        <v>2881</v>
      </c>
      <c r="BS6" t="s">
        <v>11334</v>
      </c>
      <c r="BX6" t="s">
        <v>3875</v>
      </c>
      <c r="CC6" t="s">
        <v>12037</v>
      </c>
      <c r="CH6" t="s">
        <v>686</v>
      </c>
      <c r="CW6" t="s">
        <v>12206</v>
      </c>
      <c r="EA6" t="s">
        <v>11959</v>
      </c>
      <c r="EK6" t="s">
        <v>8464</v>
      </c>
      <c r="EP6" t="s">
        <v>11538</v>
      </c>
      <c r="FO6" t="s">
        <v>11802</v>
      </c>
      <c r="FT6" t="s">
        <v>10939</v>
      </c>
      <c r="GI6" t="s">
        <v>12047</v>
      </c>
      <c r="GN6" t="s">
        <v>10785</v>
      </c>
      <c r="HR6" t="s">
        <v>10801</v>
      </c>
      <c r="JU6" t="s">
        <v>11090</v>
      </c>
      <c r="JZ6" t="s">
        <v>6477</v>
      </c>
      <c r="OF6" t="s">
        <v>477</v>
      </c>
    </row>
    <row r="7" spans="1:396" x14ac:dyDescent="0.25">
      <c r="K7" t="s">
        <v>11729</v>
      </c>
      <c r="BI7" t="s">
        <v>279</v>
      </c>
      <c r="BN7" t="s">
        <v>41</v>
      </c>
      <c r="BS7" t="s">
        <v>11759</v>
      </c>
      <c r="BX7" t="s">
        <v>10953</v>
      </c>
      <c r="CC7" t="s">
        <v>12038</v>
      </c>
      <c r="CH7" t="s">
        <v>12268</v>
      </c>
      <c r="CW7" t="s">
        <v>12207</v>
      </c>
      <c r="EA7" t="s">
        <v>988</v>
      </c>
      <c r="EK7" t="s">
        <v>11576</v>
      </c>
      <c r="EP7" t="s">
        <v>10642</v>
      </c>
      <c r="FO7" t="s">
        <v>11009</v>
      </c>
      <c r="FT7" t="s">
        <v>1363</v>
      </c>
      <c r="GI7" t="s">
        <v>3439</v>
      </c>
      <c r="GN7" t="s">
        <v>469</v>
      </c>
      <c r="HR7" t="s">
        <v>11589</v>
      </c>
      <c r="JU7" t="s">
        <v>11204</v>
      </c>
      <c r="JZ7" t="s">
        <v>11038</v>
      </c>
      <c r="OF7" t="s">
        <v>677</v>
      </c>
    </row>
    <row r="8" spans="1:396" x14ac:dyDescent="0.25">
      <c r="K8" t="s">
        <v>10793</v>
      </c>
      <c r="BI8" t="s">
        <v>11089</v>
      </c>
      <c r="BN8" t="s">
        <v>53</v>
      </c>
      <c r="BS8" t="s">
        <v>11760</v>
      </c>
      <c r="BX8" t="s">
        <v>12050</v>
      </c>
      <c r="CC8" t="s">
        <v>12039</v>
      </c>
      <c r="CH8" t="s">
        <v>10696</v>
      </c>
      <c r="EA8" t="s">
        <v>991</v>
      </c>
      <c r="EK8" t="s">
        <v>4571</v>
      </c>
      <c r="EP8" t="s">
        <v>11539</v>
      </c>
      <c r="FO8" t="s">
        <v>158</v>
      </c>
      <c r="FT8" t="s">
        <v>10785</v>
      </c>
      <c r="GI8" t="s">
        <v>12048</v>
      </c>
      <c r="GN8" t="s">
        <v>1363</v>
      </c>
      <c r="HR8" t="s">
        <v>11590</v>
      </c>
      <c r="JU8" t="s">
        <v>162</v>
      </c>
      <c r="JZ8" t="s">
        <v>11183</v>
      </c>
      <c r="OF8" t="s">
        <v>11579</v>
      </c>
    </row>
    <row r="9" spans="1:396" x14ac:dyDescent="0.25">
      <c r="K9" t="s">
        <v>10772</v>
      </c>
      <c r="BI9" t="s">
        <v>10729</v>
      </c>
      <c r="BN9" t="s">
        <v>4219</v>
      </c>
      <c r="BS9" t="s">
        <v>11043</v>
      </c>
      <c r="BX9" t="s">
        <v>10658</v>
      </c>
      <c r="CC9" t="s">
        <v>12040</v>
      </c>
      <c r="CH9" t="s">
        <v>12269</v>
      </c>
      <c r="EA9" t="s">
        <v>11960</v>
      </c>
      <c r="EP9" t="s">
        <v>11540</v>
      </c>
      <c r="FO9" t="s">
        <v>1353</v>
      </c>
      <c r="FT9" t="s">
        <v>1740</v>
      </c>
      <c r="GI9" t="s">
        <v>10786</v>
      </c>
      <c r="GN9" t="s">
        <v>11193</v>
      </c>
      <c r="HR9" t="s">
        <v>11591</v>
      </c>
      <c r="JU9" t="s">
        <v>10913</v>
      </c>
      <c r="JZ9" t="s">
        <v>11176</v>
      </c>
      <c r="OF9" t="s">
        <v>11524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7009</v>
      </c>
      <c r="K1" s="1" t="s">
        <v>7010</v>
      </c>
      <c r="U1" s="1" t="s">
        <v>7011</v>
      </c>
      <c r="AE1" s="1" t="s">
        <v>7012</v>
      </c>
      <c r="AO1" s="1" t="s">
        <v>7013</v>
      </c>
      <c r="AY1" s="1" t="s">
        <v>7014</v>
      </c>
      <c r="BI1" s="1" t="s">
        <v>7015</v>
      </c>
      <c r="BS1" s="1" t="s">
        <v>7016</v>
      </c>
      <c r="CC1" s="1" t="s">
        <v>7017</v>
      </c>
      <c r="CM1" s="1" t="s">
        <v>7018</v>
      </c>
      <c r="CW1" s="1" t="s">
        <v>7019</v>
      </c>
      <c r="DG1" s="1" t="s">
        <v>7020</v>
      </c>
      <c r="DQ1" s="1" t="s">
        <v>7021</v>
      </c>
      <c r="EA1" s="1" t="s">
        <v>7022</v>
      </c>
      <c r="EK1" s="1" t="s">
        <v>7023</v>
      </c>
      <c r="EU1" s="1" t="s">
        <v>7024</v>
      </c>
      <c r="FE1" s="1" t="s">
        <v>7025</v>
      </c>
      <c r="FO1" s="1" t="s">
        <v>7026</v>
      </c>
      <c r="FY1" s="1" t="s">
        <v>7027</v>
      </c>
      <c r="GI1" s="1" t="s">
        <v>7028</v>
      </c>
      <c r="GS1" s="1" t="s">
        <v>7029</v>
      </c>
      <c r="HC1" s="1" t="s">
        <v>7030</v>
      </c>
      <c r="HM1" s="1" t="s">
        <v>7031</v>
      </c>
      <c r="HW1" s="1" t="s">
        <v>7032</v>
      </c>
      <c r="IG1" s="1" t="s">
        <v>7033</v>
      </c>
      <c r="IQ1" s="1" t="s">
        <v>7034</v>
      </c>
      <c r="JA1" s="1" t="s">
        <v>7035</v>
      </c>
      <c r="JK1" s="1" t="s">
        <v>7036</v>
      </c>
      <c r="JU1" s="1" t="s">
        <v>7037</v>
      </c>
      <c r="KE1" s="1" t="s">
        <v>7038</v>
      </c>
      <c r="KO1" s="1" t="s">
        <v>7039</v>
      </c>
      <c r="KY1" s="1" t="s">
        <v>7040</v>
      </c>
      <c r="LI1" s="1" t="s">
        <v>7041</v>
      </c>
      <c r="LS1" s="1" t="s">
        <v>7042</v>
      </c>
      <c r="MC1" s="1" t="s">
        <v>7043</v>
      </c>
      <c r="MM1" s="1" t="s">
        <v>7044</v>
      </c>
      <c r="MW1" s="1" t="s">
        <v>7045</v>
      </c>
      <c r="NG1" s="1" t="s">
        <v>7046</v>
      </c>
      <c r="NQ1" s="1" t="s">
        <v>7047</v>
      </c>
      <c r="OA1" s="1" t="s">
        <v>7048</v>
      </c>
    </row>
    <row r="2" spans="1:396" x14ac:dyDescent="0.25">
      <c r="A2" s="2" t="s">
        <v>1068</v>
      </c>
      <c r="K2" s="2" t="s">
        <v>575</v>
      </c>
      <c r="U2" s="2" t="s">
        <v>6809</v>
      </c>
      <c r="AE2" s="2" t="s">
        <v>5663</v>
      </c>
      <c r="AO2" s="2" t="s">
        <v>374</v>
      </c>
      <c r="AY2" s="2" t="s">
        <v>6310</v>
      </c>
      <c r="BI2" s="2" t="s">
        <v>155</v>
      </c>
      <c r="BS2" s="2" t="s">
        <v>7049</v>
      </c>
      <c r="CC2" s="2" t="s">
        <v>7050</v>
      </c>
      <c r="CM2" s="2" t="s">
        <v>7051</v>
      </c>
      <c r="CW2" s="2" t="s">
        <v>66</v>
      </c>
      <c r="DG2" s="2" t="s">
        <v>7052</v>
      </c>
      <c r="DQ2" s="2" t="s">
        <v>7053</v>
      </c>
      <c r="EA2" s="2" t="s">
        <v>7054</v>
      </c>
      <c r="EK2" s="2" t="s">
        <v>7055</v>
      </c>
      <c r="EU2" s="2" t="s">
        <v>7056</v>
      </c>
      <c r="FE2" s="2" t="s">
        <v>7057</v>
      </c>
      <c r="FO2" s="2" t="s">
        <v>2883</v>
      </c>
      <c r="FY2" s="2" t="s">
        <v>4655</v>
      </c>
      <c r="GI2" s="2" t="s">
        <v>7058</v>
      </c>
      <c r="GS2" s="2" t="s">
        <v>2027</v>
      </c>
      <c r="HC2" s="2" t="s">
        <v>2602</v>
      </c>
      <c r="HM2" s="2" t="s">
        <v>3714</v>
      </c>
      <c r="HW2" s="2" t="s">
        <v>7059</v>
      </c>
      <c r="IG2" s="2" t="s">
        <v>4310</v>
      </c>
      <c r="IQ2" s="2" t="s">
        <v>5500</v>
      </c>
      <c r="JA2" s="2" t="s">
        <v>5490</v>
      </c>
      <c r="JK2" s="2" t="s">
        <v>2891</v>
      </c>
      <c r="JU2" s="2" t="s">
        <v>7060</v>
      </c>
      <c r="KE2" s="2" t="s">
        <v>7061</v>
      </c>
      <c r="KO2" s="2" t="s">
        <v>7062</v>
      </c>
      <c r="KY2" s="2" t="s">
        <v>1656</v>
      </c>
      <c r="LI2" s="2" t="s">
        <v>2874</v>
      </c>
      <c r="LS2" s="2" t="s">
        <v>4309</v>
      </c>
      <c r="MC2" s="2" t="s">
        <v>5999</v>
      </c>
      <c r="MM2" s="2" t="s">
        <v>6236</v>
      </c>
      <c r="MW2" s="2" t="s">
        <v>4380</v>
      </c>
      <c r="NG2" s="2" t="s">
        <v>7063</v>
      </c>
      <c r="NQ2" s="2" t="s">
        <v>7064</v>
      </c>
      <c r="OA2" s="2" t="s">
        <v>7065</v>
      </c>
    </row>
    <row r="3" spans="1:396" x14ac:dyDescent="0.25">
      <c r="A3" t="s">
        <v>1766</v>
      </c>
      <c r="K3" t="s">
        <v>2897</v>
      </c>
      <c r="U3" t="s">
        <v>7066</v>
      </c>
      <c r="AE3" t="s">
        <v>7067</v>
      </c>
      <c r="AO3" t="s">
        <v>7068</v>
      </c>
      <c r="AY3" t="s">
        <v>3366</v>
      </c>
      <c r="BI3" t="s">
        <v>7069</v>
      </c>
      <c r="BS3" t="s">
        <v>7070</v>
      </c>
      <c r="CC3" t="s">
        <v>4670</v>
      </c>
      <c r="CM3" t="s">
        <v>7071</v>
      </c>
      <c r="CW3" t="s">
        <v>7072</v>
      </c>
      <c r="DG3" t="s">
        <v>7073</v>
      </c>
      <c r="DQ3" t="s">
        <v>7074</v>
      </c>
      <c r="EA3" t="s">
        <v>7075</v>
      </c>
      <c r="EK3" t="s">
        <v>7076</v>
      </c>
      <c r="EU3" t="s">
        <v>7077</v>
      </c>
      <c r="FE3" t="s">
        <v>3647</v>
      </c>
      <c r="FO3" t="s">
        <v>3102</v>
      </c>
      <c r="FY3" t="s">
        <v>7078</v>
      </c>
      <c r="GI3" t="s">
        <v>7079</v>
      </c>
      <c r="GS3" t="s">
        <v>7080</v>
      </c>
      <c r="HC3" t="s">
        <v>5524</v>
      </c>
      <c r="HM3" t="s">
        <v>2639</v>
      </c>
      <c r="HW3" t="s">
        <v>7081</v>
      </c>
      <c r="IG3" t="s">
        <v>7082</v>
      </c>
      <c r="IQ3" t="s">
        <v>3077</v>
      </c>
      <c r="JA3" t="s">
        <v>1479</v>
      </c>
      <c r="JK3" t="s">
        <v>7083</v>
      </c>
      <c r="JU3" t="s">
        <v>6821</v>
      </c>
      <c r="KE3" t="s">
        <v>7084</v>
      </c>
      <c r="KO3" t="s">
        <v>7085</v>
      </c>
      <c r="KY3" t="s">
        <v>7086</v>
      </c>
      <c r="LI3" t="s">
        <v>7087</v>
      </c>
      <c r="LS3" t="s">
        <v>1587</v>
      </c>
      <c r="MC3" t="s">
        <v>5856</v>
      </c>
      <c r="MM3" t="s">
        <v>2058</v>
      </c>
      <c r="MW3" t="s">
        <v>7088</v>
      </c>
      <c r="NG3" t="s">
        <v>4922</v>
      </c>
      <c r="NQ3" t="s">
        <v>7089</v>
      </c>
      <c r="OA3" t="s">
        <v>4751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_xll.BDS("HBAN US Equity","SUPPLY_CHAIN_SUPPLIERS","RELATIONSHIP_AS_OF_DATE","20000207","cols=1;rows=4")</f>
        <v>004800 KS Equity</v>
      </c>
      <c r="F5" t="str">
        <f>_xll.BDS("HBAN US Equity","SUPPLY_CHAIN_CUSTOMERS","RELATIONSHIP_AS_OF_DATE","20000207")</f>
        <v>#N/A N/A</v>
      </c>
      <c r="K5" t="str">
        <f>_xll.BDS("680884Q US Equity","SUPPLY_CHAIN_SUPPLIERS","RELATIONSHIP_AS_OF_DATE","19990111")</f>
        <v>#N/A N/A</v>
      </c>
      <c r="P5" t="str">
        <f>_xll.BDS("680884Q US Equity","SUPPLY_CHAIN_CUSTOMERS","RELATIONSHIP_AS_OF_DATE","19990111")</f>
        <v>#N/A N/A</v>
      </c>
      <c r="U5" t="str">
        <f>_xll.BDS("SCFS US Equity","SUPPLY_CHAIN_SUPPLIERS","RELATIONSHIP_AS_OF_DATE","20021219")</f>
        <v>#N/A N/A</v>
      </c>
      <c r="Z5" t="str">
        <f>_xll.BDS("SCFS US Equity","SUPPLY_CHAIN_CUSTOMERS","RELATIONSHIP_AS_OF_DATE","20021219")</f>
        <v>#N/A N/A</v>
      </c>
      <c r="AE5" t="str">
        <f>_xll.BDS("MAFB US Equity","SUPPLY_CHAIN_SUPPLIERS","RELATIONSHIP_AS_OF_DATE","20040605")</f>
        <v>#N/A N/A</v>
      </c>
      <c r="AJ5" t="str">
        <f>_xll.BDS("MAFB US Equity","SUPPLY_CHAIN_CUSTOMERS","RELATIONSHIP_AS_OF_DATE","20040605")</f>
        <v>#N/A N/A</v>
      </c>
      <c r="AO5" t="str">
        <f>_xll.BDS("MAR US Equity","SUPPLY_CHAIN_SUPPLIERS","RELATIONSHIP_AS_OF_DATE","19990106","cols=1;rows=5")</f>
        <v>ORCL US Equity</v>
      </c>
      <c r="AT5" t="str">
        <f>_xll.BDS("MAR US Equity","SUPPLY_CHAIN_CUSTOMERS","RELATIONSHIP_AS_OF_DATE","19990106","cols=1;rows=5")</f>
        <v>139480 KS Equity</v>
      </c>
      <c r="AY5" t="str">
        <f>_xll.BDS("GBBK US Equity","SUPPLY_CHAIN_SUPPLIERS","RELATIONSHIP_AS_OF_DATE","19991214")</f>
        <v>#N/A N/A</v>
      </c>
      <c r="BD5" t="str">
        <f>_xll.BDS("GBBK US Equity","SUPPLY_CHAIN_CUSTOMERS","RELATIONSHIP_AS_OF_DATE","19991214")</f>
        <v>#N/A N/A</v>
      </c>
      <c r="BI5" t="str">
        <f>_xll.BDS("VIAV US Equity","SUPPLY_CHAIN_SUPPLIERS","RELATIONSHIP_AS_OF_DATE","20071211","cols=1;rows=5")</f>
        <v>TCS IN Equity</v>
      </c>
      <c r="BN5" t="str">
        <f>_xll.BDS("VIAV US Equity","SUPPLY_CHAIN_CUSTOMERS","RELATIONSHIP_AS_OF_DATE","20071211","cols=1;rows=5")</f>
        <v>582647Z SW Equity</v>
      </c>
      <c r="BS5" t="str">
        <f>_xll.BDS("DCAI US Equity","SUPPLY_CHAIN_SUPPLIERS","RELATIONSHIP_AS_OF_DATE","20050315")</f>
        <v>#N/A N/A</v>
      </c>
      <c r="BX5" t="str">
        <f>_xll.BDS("DCAI US Equity","SUPPLY_CHAIN_CUSTOMERS","RELATIONSHIP_AS_OF_DATE","20050315")</f>
        <v>#N/A N/A</v>
      </c>
      <c r="CC5" t="str">
        <f>_xll.BDS("COB US Equity","SUPPLY_CHAIN_SUPPLIERS","RELATIONSHIP_AS_OF_DATE","20050919")</f>
        <v>#N/A N/A</v>
      </c>
      <c r="CH5" t="str">
        <f>_xll.BDS("COB US Equity","SUPPLY_CHAIN_CUSTOMERS","RELATIONSHIP_AS_OF_DATE","20050919")</f>
        <v>#N/A N/A</v>
      </c>
      <c r="CM5" t="str">
        <f>_xll.BDS("RITA US Equity","SUPPLY_CHAIN_SUPPLIERS","RELATIONSHIP_AS_OF_DATE","20040513")</f>
        <v>#N/A N/A</v>
      </c>
      <c r="CR5" t="str">
        <f>_xll.BDS("RITA US Equity","SUPPLY_CHAIN_CUSTOMERS","RELATIONSHIP_AS_OF_DATE","20040513")</f>
        <v>#N/A N/A</v>
      </c>
      <c r="CW5" t="str">
        <f>_xll.BDS("MDT US Equity","SUPPLY_CHAIN_SUPPLIERS","RELATIONSHIP_AS_OF_DATE","20100817","cols=1;rows=5")</f>
        <v>FLEX US Equity</v>
      </c>
      <c r="DB5" t="str">
        <f>_xll.BDS("MDT US Equity","SUPPLY_CHAIN_CUSTOMERS","RELATIONSHIP_AS_OF_DATE","20100817","cols=1;rows=5")</f>
        <v>4104 TT Equity</v>
      </c>
      <c r="DG5" t="str">
        <f>_xll.BDS("MPB US Equity","SUPPLY_CHAIN_SUPPLIERS","RELATIONSHIP_AS_OF_DATE","20210630")</f>
        <v>#N/A N/A</v>
      </c>
      <c r="DL5" t="str">
        <f>_xll.BDS("MPB US Equity","SUPPLY_CHAIN_CUSTOMERS","RELATIONSHIP_AS_OF_DATE","20210630")</f>
        <v>#N/A N/A</v>
      </c>
      <c r="DQ5" t="str">
        <f>_xll.BDS("BEAS US Equity","SUPPLY_CHAIN_SUPPLIERS","RELATIONSHIP_AS_OF_DATE","20050822")</f>
        <v>#N/A N/A</v>
      </c>
      <c r="DV5" t="str">
        <f>_xll.BDS("BEAS US Equity","SUPPLY_CHAIN_CUSTOMERS","RELATIONSHIP_AS_OF_DATE","20050822")</f>
        <v>#N/A N/A</v>
      </c>
      <c r="EA5" t="str">
        <f>_xll.BDS("NBBC US Equity","SUPPLY_CHAIN_SUPPLIERS","RELATIONSHIP_AS_OF_DATE","20070227")</f>
        <v>#N/A N/A</v>
      </c>
      <c r="EF5" t="str">
        <f>_xll.BDS("NBBC US Equity","SUPPLY_CHAIN_CUSTOMERS","RELATIONSHIP_AS_OF_DATE","20070227")</f>
        <v>#N/A N/A</v>
      </c>
      <c r="EK5" t="str">
        <f>_xll.BDS("1978022D US Equity","SUPPLY_CHAIN_SUPPLIERS","RELATIONSHIP_AS_OF_DATE","20060804")</f>
        <v>#N/A N/A</v>
      </c>
      <c r="EP5" t="str">
        <f>_xll.BDS("1978022D US Equity","SUPPLY_CHAIN_CUSTOMERS","RELATIONSHIP_AS_OF_DATE","20060804")</f>
        <v>#N/A N/A</v>
      </c>
      <c r="EU5" t="str">
        <f>_xll.BDS("SGYPQ US Equity","SUPPLY_CHAIN_SUPPLIERS","RELATIONSHIP_AS_OF_DATE","20120720")</f>
        <v>#N/A N/A</v>
      </c>
      <c r="EZ5" t="str">
        <f>_xll.BDS("SGYPQ US Equity","SUPPLY_CHAIN_CUSTOMERS","RELATIONSHIP_AS_OF_DATE","20120720")</f>
        <v>#N/A N/A</v>
      </c>
      <c r="FE5" t="str">
        <f>_xll.BDS("AIMC US Equity","SUPPLY_CHAIN_SUPPLIERS","RELATIONSHIP_AS_OF_DATE","20070220","cols=1;rows=5")</f>
        <v>AEP US Equity</v>
      </c>
      <c r="FJ5" t="str">
        <f>_xll.BDS("AIMC US Equity","SUPPLY_CHAIN_CUSTOMERS","RELATIONSHIP_AS_OF_DATE","20070220","cols=1;rows=5")</f>
        <v>6215 TT Equity</v>
      </c>
      <c r="FO5" t="str">
        <f>_xll.BDS("MMM US Equity","SUPPLY_CHAIN_SUPPLIERS","RELATIONSHIP_AS_OF_DATE","20001113","cols=1;rows=5")</f>
        <v>BAS GR Equity</v>
      </c>
      <c r="FT5" t="str">
        <f>_xll.BDS("MMM US Equity","SUPPLY_CHAIN_CUSTOMERS","RELATIONSHIP_AS_OF_DATE","20001113","cols=1;rows=5")</f>
        <v>SOLV US Equity</v>
      </c>
      <c r="FY5" t="str">
        <f>_xll.BDS("ADP US Equity","SUPPLY_CHAIN_SUPPLIERS","RELATIONSHIP_AS_OF_DATE","20000503","cols=1;rows=5")</f>
        <v>CUZ US Equity</v>
      </c>
      <c r="GD5" t="str">
        <f>_xll.BDS("ADP US Equity","SUPPLY_CHAIN_CUSTOMERS","RELATIONSHIP_AS_OF_DATE","20000503","cols=1;rows=2")</f>
        <v>SGE LN Equity</v>
      </c>
      <c r="GI5" t="str">
        <f>_xll.BDS("DAR US Equity","SUPPLY_CHAIN_SUPPLIERS","RELATIONSHIP_AS_OF_DATE","20051220","cols=1;rows=5")</f>
        <v>1337172D IT Equity</v>
      </c>
      <c r="GN5" t="str">
        <f>_xll.BDS("DAR US Equity","SUPPLY_CHAIN_CUSTOMERS","RELATIONSHIP_AS_OF_DATE","20051220","cols=1;rows=5")</f>
        <v>VLO US Equity</v>
      </c>
      <c r="GS5" t="str">
        <f>_xll.BDS("MSCC US Equity","SUPPLY_CHAIN_SUPPLIERS","RELATIONSHIP_AS_OF_DATE","20051102")</f>
        <v>FE US Equity</v>
      </c>
      <c r="GX5" t="str">
        <f>_xll.BDS("MSCC US Equity","SUPPLY_CHAIN_CUSTOMERS","RELATIONSHIP_AS_OF_DATE","20051102")</f>
        <v>#N/A N/A</v>
      </c>
      <c r="HC5" t="str">
        <f>_xll.BDS("CY US Equity","SUPPLY_CHAIN_SUPPLIERS","RELATIONSHIP_AS_OF_DATE","20010116")</f>
        <v>#N/A N/A</v>
      </c>
      <c r="HH5" t="str">
        <f>_xll.BDS("CY US Equity","SUPPLY_CHAIN_CUSTOMERS","RELATIONSHIP_AS_OF_DATE","20010116")</f>
        <v>#N/A N/A</v>
      </c>
      <c r="HM5" t="str">
        <f>_xll.BDS("DLX US Equity","SUPPLY_CHAIN_SUPPLIERS","RELATIONSHIP_AS_OF_DATE","20080619","cols=1;rows=5")</f>
        <v>FSP US Equity</v>
      </c>
      <c r="HR5" t="str">
        <f>_xll.BDS("DLX US Equity","SUPPLY_CHAIN_CUSTOMERS","RELATIONSHIP_AS_OF_DATE","20080619","cols=1;rows=5")</f>
        <v>3554968Z US Equity</v>
      </c>
      <c r="HW5" t="str">
        <f>_xll.BDS("QKKAQ US Equity","SUPPLY_CHAIN_SUPPLIERS","RELATIONSHIP_AS_OF_DATE","20000721")</f>
        <v>#N/A N/A</v>
      </c>
      <c r="IB5" t="str">
        <f>_xll.BDS("QKKAQ US Equity","SUPPLY_CHAIN_CUSTOMERS","RELATIONSHIP_AS_OF_DATE","20000721")</f>
        <v>#N/A N/A</v>
      </c>
      <c r="IG5" t="str">
        <f>_xll.BDS("HYSL US Equity","SUPPLY_CHAIN_SUPPLIERS","RELATIONSHIP_AS_OF_DATE","20030723")</f>
        <v>#N/A N/A</v>
      </c>
      <c r="IL5" t="str">
        <f>_xll.BDS("HYSL US Equity","SUPPLY_CHAIN_CUSTOMERS","RELATIONSHIP_AS_OF_DATE","20030723")</f>
        <v>#N/A N/A</v>
      </c>
      <c r="IQ5" t="str">
        <f>_xll.BDS("CDNS US Equity","SUPPLY_CHAIN_SUPPLIERS","RELATIONSHIP_AS_OF_DATE","19990615","cols=1;rows=5")</f>
        <v>JBL US Equity</v>
      </c>
      <c r="IV5" t="str">
        <f>_xll.BDS("CDNS US Equity","SUPPLY_CHAIN_CUSTOMERS","RELATIONSHIP_AS_OF_DATE","19990615","cols=1;rows=5")</f>
        <v>IBM US Equity</v>
      </c>
      <c r="JA5" t="str">
        <f>_xll.BDS("GDT US Equity","SUPPLY_CHAIN_SUPPLIERS","RELATIONSHIP_AS_OF_DATE","19980811")</f>
        <v>#N/A N/A</v>
      </c>
      <c r="JF5" t="str">
        <f>_xll.BDS("GDT US Equity","SUPPLY_CHAIN_CUSTOMERS","RELATIONSHIP_AS_OF_DATE","19980811")</f>
        <v>#N/A N/A</v>
      </c>
      <c r="JK5" t="str">
        <f>_xll.BDS("AVY US Equity","SUPPLY_CHAIN_SUPPLIERS","RELATIONSHIP_AS_OF_DATE","19990604","cols=1;rows=5")</f>
        <v>TCS IN Equity</v>
      </c>
      <c r="JP5" t="str">
        <f>_xll.BDS("AVY US Equity","SUPPLY_CHAIN_CUSTOMERS","RELATIONSHIP_AS_OF_DATE","19990604","cols=1;rows=5")</f>
        <v>ARW US Equity</v>
      </c>
      <c r="JU5" t="str">
        <f>_xll.BDS("ACCL US Equity","SUPPLY_CHAIN_SUPPLIERS","RELATIONSHIP_AS_OF_DATE","19980204","cols=1;rows=2")</f>
        <v>3343935Z HK Equity</v>
      </c>
      <c r="JZ5" t="str">
        <f>_xll.BDS("ACCL US Equity","SUPPLY_CHAIN_CUSTOMERS","RELATIONSHIP_AS_OF_DATE","19980204")</f>
        <v>#N/A N/A</v>
      </c>
      <c r="KE5" t="str">
        <f>_xll.BDS("DWSN US Equity","SUPPLY_CHAIN_SUPPLIERS","RELATIONSHIP_AS_OF_DATE","20141009")</f>
        <v>#N/A N/A</v>
      </c>
      <c r="KJ5" t="str">
        <f>_xll.BDS("DWSN US Equity","SUPPLY_CHAIN_CUSTOMERS","RELATIONSHIP_AS_OF_DATE","20141009")</f>
        <v>#N/A N/A</v>
      </c>
      <c r="KO5" t="str">
        <f>_xll.BDS("GEOKQ US Equity","SUPPLY_CHAIN_SUPPLIERS","RELATIONSHIP_AS_OF_DATE","20060908")</f>
        <v>#N/A N/A</v>
      </c>
      <c r="KT5" t="str">
        <f>_xll.BDS("GEOKQ US Equity","SUPPLY_CHAIN_CUSTOMERS","RELATIONSHIP_AS_OF_DATE","20060908")</f>
        <v>#N/A N/A</v>
      </c>
      <c r="KY5" t="str">
        <f>_xll.BDS("CAR US Equity","SUPPLY_CHAIN_SUPPLIERS","RELATIONSHIP_AS_OF_DATE","19980414","cols=1;rows=5")</f>
        <v>VRRM US Equity</v>
      </c>
      <c r="LD5" t="str">
        <f>_xll.BDS("CAR US Equity","SUPPLY_CHAIN_CUSTOMERS","RELATIONSHIP_AS_OF_DATE","19980414","cols=1;rows=5")</f>
        <v>EIH IN Equity</v>
      </c>
      <c r="LI5" t="str">
        <f>_xll.BDS("FNB US Equity","SUPPLY_CHAIN_SUPPLIERS","RELATIONSHIP_AS_OF_DATE","20110615")</f>
        <v>HY US Equity</v>
      </c>
      <c r="LN5" t="str">
        <f>_xll.BDS("FNB US Equity","SUPPLY_CHAIN_CUSTOMERS","RELATIONSHIP_AS_OF_DATE","20110615")</f>
        <v>#N/A N/A</v>
      </c>
      <c r="LS5" t="str">
        <f>_xll.BDS("764144Q US Equity","SUPPLY_CHAIN_SUPPLIERS","RELATIONSHIP_AS_OF_DATE","20030121")</f>
        <v>#N/A N/A</v>
      </c>
      <c r="LX5" t="str">
        <f>_xll.BDS("764144Q US Equity","SUPPLY_CHAIN_CUSTOMERS","RELATIONSHIP_AS_OF_DATE","20030121")</f>
        <v>#N/A N/A</v>
      </c>
      <c r="MC5" t="str">
        <f>_xll.BDS("CPNLQ US Equity","SUPPLY_CHAIN_SUPPLIERS","RELATIONSHIP_AS_OF_DATE","19990825")</f>
        <v>#N/A N/A</v>
      </c>
      <c r="MH5" t="str">
        <f>_xll.BDS("CPNLQ US Equity","SUPPLY_CHAIN_CUSTOMERS","RELATIONSHIP_AS_OF_DATE","19990825")</f>
        <v>#N/A N/A</v>
      </c>
      <c r="MM5" t="str">
        <f>_xll.BDS("534689Q US Equity","SUPPLY_CHAIN_SUPPLIERS","RELATIONSHIP_AS_OF_DATE","19990804")</f>
        <v>#N/A N/A</v>
      </c>
      <c r="MR5" t="str">
        <f>_xll.BDS("534689Q US Equity","SUPPLY_CHAIN_CUSTOMERS","RELATIONSHIP_AS_OF_DATE","19990804")</f>
        <v>#N/A N/A</v>
      </c>
      <c r="MW5" t="str">
        <f>_xll.BDS("UCB US Equity","SUPPLY_CHAIN_SUPPLIERS","RELATIONSHIP_AS_OF_DATE","20170627")</f>
        <v>3764228Z US Equity</v>
      </c>
      <c r="NB5" t="str">
        <f>_xll.BDS("UCB US Equity","SUPPLY_CHAIN_CUSTOMERS","RELATIONSHIP_AS_OF_DATE","20170627")</f>
        <v>#N/A N/A</v>
      </c>
      <c r="NG5" t="str">
        <f>_xll.BDS("9895616Q US Equity","SUPPLY_CHAIN_SUPPLIERS","RELATIONSHIP_AS_OF_DATE","19980529")</f>
        <v>#N/A N/A</v>
      </c>
      <c r="NL5" t="str">
        <f>_xll.BDS("9895616Q US Equity","SUPPLY_CHAIN_CUSTOMERS","RELATIONSHIP_AS_OF_DATE","19980529")</f>
        <v>#N/A N/A</v>
      </c>
      <c r="NQ5" t="str">
        <f>_xll.BDS("UB US Equity","SUPPLY_CHAIN_SUPPLIERS","RELATIONSHIP_AS_OF_DATE","20030926")</f>
        <v>#N/A N/A</v>
      </c>
      <c r="NV5" t="str">
        <f>_xll.BDS("UB US Equity","SUPPLY_CHAIN_CUSTOMERS","RELATIONSHIP_AS_OF_DATE","20030926")</f>
        <v>#N/A N/A</v>
      </c>
      <c r="OA5" t="str">
        <f>_xll.BDS("9990253D US Equity","SUPPLY_CHAIN_SUPPLIERS","RELATIONSHIP_AS_OF_DATE","20030416")</f>
        <v>FE US Equity</v>
      </c>
      <c r="OF5" t="str">
        <f>_xll.BDS("9990253D US Equity","SUPPLY_CHAIN_CUSTOMERS","RELATIONSHIP_AS_OF_DATE","20030416","cols=1;rows=5")</f>
        <v>0065069D US Equity</v>
      </c>
    </row>
    <row r="6" spans="1:396" x14ac:dyDescent="0.25">
      <c r="A6" t="s">
        <v>10713</v>
      </c>
      <c r="AO6" t="s">
        <v>11662</v>
      </c>
      <c r="AT6" t="s">
        <v>12314</v>
      </c>
      <c r="BI6" t="s">
        <v>5575</v>
      </c>
      <c r="BN6" t="s">
        <v>5236</v>
      </c>
      <c r="CW6" t="s">
        <v>11060</v>
      </c>
      <c r="DB6" t="s">
        <v>11016</v>
      </c>
      <c r="FE6" t="s">
        <v>158</v>
      </c>
      <c r="FJ6" t="s">
        <v>10933</v>
      </c>
      <c r="FO6" t="s">
        <v>11159</v>
      </c>
      <c r="FT6" t="s">
        <v>11194</v>
      </c>
      <c r="FY6" t="s">
        <v>1473</v>
      </c>
      <c r="GD6" t="s">
        <v>11439</v>
      </c>
      <c r="GI6" t="s">
        <v>10851</v>
      </c>
      <c r="GN6" t="s">
        <v>12023</v>
      </c>
      <c r="HM6" t="s">
        <v>158</v>
      </c>
      <c r="HR6" t="s">
        <v>11865</v>
      </c>
      <c r="IQ6" t="s">
        <v>11779</v>
      </c>
      <c r="IV6" t="s">
        <v>11194</v>
      </c>
      <c r="JK6" t="s">
        <v>12044</v>
      </c>
      <c r="JP6" t="s">
        <v>10660</v>
      </c>
      <c r="JU6" t="s">
        <v>11670</v>
      </c>
      <c r="KY6" t="s">
        <v>12031</v>
      </c>
      <c r="LD6" t="s">
        <v>11677</v>
      </c>
      <c r="OF6" t="s">
        <v>10945</v>
      </c>
    </row>
    <row r="7" spans="1:396" x14ac:dyDescent="0.25">
      <c r="A7" t="s">
        <v>154</v>
      </c>
      <c r="AO7" t="s">
        <v>772</v>
      </c>
      <c r="AT7" t="s">
        <v>12315</v>
      </c>
      <c r="BI7" t="s">
        <v>11675</v>
      </c>
      <c r="BN7" t="s">
        <v>41</v>
      </c>
      <c r="CW7" t="s">
        <v>10735</v>
      </c>
      <c r="DB7" t="s">
        <v>8926</v>
      </c>
      <c r="FE7" t="s">
        <v>1545</v>
      </c>
      <c r="FJ7" t="s">
        <v>6386</v>
      </c>
      <c r="FO7" t="s">
        <v>11585</v>
      </c>
      <c r="FT7" t="s">
        <v>11542</v>
      </c>
      <c r="FY7" t="s">
        <v>11460</v>
      </c>
      <c r="GI7" t="s">
        <v>2111</v>
      </c>
      <c r="GN7" t="s">
        <v>12024</v>
      </c>
      <c r="HM7" t="s">
        <v>693</v>
      </c>
      <c r="HR7" t="s">
        <v>11866</v>
      </c>
      <c r="IQ7" t="s">
        <v>7300</v>
      </c>
      <c r="IV7" t="s">
        <v>11090</v>
      </c>
      <c r="JK7" t="s">
        <v>1746</v>
      </c>
      <c r="JP7" t="s">
        <v>12041</v>
      </c>
      <c r="KY7" t="s">
        <v>10807</v>
      </c>
      <c r="LD7" t="s">
        <v>11678</v>
      </c>
      <c r="OF7" t="s">
        <v>10946</v>
      </c>
    </row>
    <row r="8" spans="1:396" x14ac:dyDescent="0.25">
      <c r="A8" t="s">
        <v>11543</v>
      </c>
      <c r="AO8" t="s">
        <v>11148</v>
      </c>
      <c r="AT8" t="s">
        <v>11216</v>
      </c>
      <c r="BI8" t="s">
        <v>11676</v>
      </c>
      <c r="BN8" t="s">
        <v>969</v>
      </c>
      <c r="CW8" t="s">
        <v>3439</v>
      </c>
      <c r="DB8" t="s">
        <v>10140</v>
      </c>
      <c r="FE8" t="s">
        <v>260</v>
      </c>
      <c r="FJ8" t="s">
        <v>11415</v>
      </c>
      <c r="FO8" t="s">
        <v>11541</v>
      </c>
      <c r="FT8" t="s">
        <v>570</v>
      </c>
      <c r="FY8" t="s">
        <v>11461</v>
      </c>
      <c r="GI8" t="s">
        <v>10696</v>
      </c>
      <c r="GN8" t="s">
        <v>12025</v>
      </c>
      <c r="HM8" t="s">
        <v>10715</v>
      </c>
      <c r="HR8" t="s">
        <v>5412</v>
      </c>
      <c r="IQ8" t="s">
        <v>11780</v>
      </c>
      <c r="IV8" t="s">
        <v>11567</v>
      </c>
      <c r="JK8" t="s">
        <v>10807</v>
      </c>
      <c r="JP8" t="s">
        <v>10825</v>
      </c>
      <c r="KY8" t="s">
        <v>171</v>
      </c>
      <c r="LD8" t="s">
        <v>11679</v>
      </c>
      <c r="OF8" t="s">
        <v>10657</v>
      </c>
    </row>
    <row r="9" spans="1:396" x14ac:dyDescent="0.25">
      <c r="AO9" t="s">
        <v>12299</v>
      </c>
      <c r="AT9" t="s">
        <v>12316</v>
      </c>
      <c r="BI9" t="s">
        <v>682</v>
      </c>
      <c r="BN9" t="s">
        <v>11376</v>
      </c>
      <c r="CW9" t="s">
        <v>10806</v>
      </c>
      <c r="DB9" t="s">
        <v>10746</v>
      </c>
      <c r="FE9" t="s">
        <v>10715</v>
      </c>
      <c r="FJ9" t="s">
        <v>11416</v>
      </c>
      <c r="FO9" t="s">
        <v>11410</v>
      </c>
      <c r="FT9" t="s">
        <v>11090</v>
      </c>
      <c r="FY9" t="s">
        <v>11462</v>
      </c>
      <c r="GI9" t="s">
        <v>1265</v>
      </c>
      <c r="GN9" t="s">
        <v>12026</v>
      </c>
      <c r="HM9" t="s">
        <v>10740</v>
      </c>
      <c r="HR9" t="s">
        <v>987</v>
      </c>
      <c r="IQ9" t="s">
        <v>11361</v>
      </c>
      <c r="IV9" t="s">
        <v>11568</v>
      </c>
      <c r="JK9" t="s">
        <v>12045</v>
      </c>
      <c r="JP9" t="s">
        <v>10787</v>
      </c>
      <c r="KY9" t="s">
        <v>12032</v>
      </c>
      <c r="LD9" t="s">
        <v>11680</v>
      </c>
      <c r="OF9" t="s">
        <v>10947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7090</v>
      </c>
      <c r="K1" s="1" t="s">
        <v>7091</v>
      </c>
      <c r="U1" s="1" t="s">
        <v>7092</v>
      </c>
      <c r="AE1" s="1" t="s">
        <v>7093</v>
      </c>
      <c r="AO1" s="1" t="s">
        <v>7094</v>
      </c>
      <c r="AY1" s="1" t="s">
        <v>7095</v>
      </c>
      <c r="BI1" s="1" t="s">
        <v>7096</v>
      </c>
      <c r="BS1" s="1" t="s">
        <v>7097</v>
      </c>
      <c r="CC1" s="1" t="s">
        <v>7098</v>
      </c>
      <c r="CM1" s="1" t="s">
        <v>7099</v>
      </c>
      <c r="CW1" s="1" t="s">
        <v>7100</v>
      </c>
      <c r="DG1" s="1" t="s">
        <v>7101</v>
      </c>
      <c r="DQ1" s="1" t="s">
        <v>7102</v>
      </c>
      <c r="EA1" s="1" t="s">
        <v>7103</v>
      </c>
      <c r="EK1" s="1" t="s">
        <v>7104</v>
      </c>
      <c r="EU1" s="1" t="s">
        <v>7105</v>
      </c>
      <c r="FE1" s="1" t="s">
        <v>7106</v>
      </c>
      <c r="FO1" s="1" t="s">
        <v>7107</v>
      </c>
      <c r="FY1" s="1" t="s">
        <v>7108</v>
      </c>
      <c r="GI1" s="1" t="s">
        <v>7109</v>
      </c>
      <c r="GS1" s="1" t="s">
        <v>7110</v>
      </c>
      <c r="HC1" s="1" t="s">
        <v>7111</v>
      </c>
      <c r="HM1" s="1" t="s">
        <v>7112</v>
      </c>
      <c r="HW1" s="1" t="s">
        <v>7113</v>
      </c>
      <c r="IG1" s="1" t="s">
        <v>7114</v>
      </c>
      <c r="IQ1" s="1" t="s">
        <v>7115</v>
      </c>
      <c r="JA1" s="1" t="s">
        <v>7116</v>
      </c>
      <c r="JK1" s="1" t="s">
        <v>7117</v>
      </c>
      <c r="JU1" s="1" t="s">
        <v>7118</v>
      </c>
      <c r="KE1" s="1" t="s">
        <v>7119</v>
      </c>
      <c r="KO1" s="1" t="s">
        <v>7120</v>
      </c>
      <c r="KY1" s="1" t="s">
        <v>7121</v>
      </c>
      <c r="LI1" s="1" t="s">
        <v>7122</v>
      </c>
      <c r="LS1" s="1" t="s">
        <v>7123</v>
      </c>
      <c r="MC1" s="1" t="s">
        <v>7124</v>
      </c>
      <c r="MM1" s="1" t="s">
        <v>7125</v>
      </c>
      <c r="MW1" s="1" t="s">
        <v>7126</v>
      </c>
      <c r="NG1" s="1" t="s">
        <v>7127</v>
      </c>
      <c r="NQ1" s="1" t="s">
        <v>7128</v>
      </c>
      <c r="OA1" s="1" t="s">
        <v>7129</v>
      </c>
    </row>
    <row r="2" spans="1:396" x14ac:dyDescent="0.25">
      <c r="A2" s="2" t="s">
        <v>6244</v>
      </c>
      <c r="K2" s="2" t="s">
        <v>7130</v>
      </c>
      <c r="U2" s="2" t="s">
        <v>1163</v>
      </c>
      <c r="AE2" s="2" t="s">
        <v>7131</v>
      </c>
      <c r="AO2" s="2" t="s">
        <v>7132</v>
      </c>
      <c r="AY2" s="2" t="s">
        <v>5412</v>
      </c>
      <c r="BI2" s="2" t="s">
        <v>7133</v>
      </c>
      <c r="BS2" s="2" t="s">
        <v>175</v>
      </c>
      <c r="CC2" s="2" t="s">
        <v>3617</v>
      </c>
      <c r="CM2" s="2" t="s">
        <v>4039</v>
      </c>
      <c r="CW2" s="2" t="s">
        <v>5761</v>
      </c>
      <c r="DG2" s="2" t="s">
        <v>7134</v>
      </c>
      <c r="DQ2" s="2" t="s">
        <v>1656</v>
      </c>
      <c r="EA2" s="2" t="s">
        <v>3063</v>
      </c>
      <c r="EK2" s="2" t="s">
        <v>2127</v>
      </c>
      <c r="EU2" s="2" t="s">
        <v>7135</v>
      </c>
      <c r="FE2" s="2" t="s">
        <v>7136</v>
      </c>
      <c r="FO2" s="2" t="s">
        <v>7137</v>
      </c>
      <c r="FY2" s="2" t="s">
        <v>7138</v>
      </c>
      <c r="GI2" s="2" t="s">
        <v>7139</v>
      </c>
      <c r="GS2" s="2" t="s">
        <v>7140</v>
      </c>
      <c r="HC2" s="2" t="s">
        <v>7141</v>
      </c>
      <c r="HM2" s="2" t="s">
        <v>2602</v>
      </c>
      <c r="HW2" s="2" t="s">
        <v>276</v>
      </c>
      <c r="IG2" s="2" t="s">
        <v>5497</v>
      </c>
      <c r="IQ2" s="2" t="s">
        <v>7142</v>
      </c>
      <c r="JA2" s="2" t="s">
        <v>7143</v>
      </c>
      <c r="JK2" s="2" t="s">
        <v>1356</v>
      </c>
      <c r="JU2" s="2" t="s">
        <v>669</v>
      </c>
      <c r="KE2" s="2" t="s">
        <v>4641</v>
      </c>
      <c r="KO2" s="2" t="s">
        <v>7144</v>
      </c>
      <c r="KY2" s="2" t="s">
        <v>2508</v>
      </c>
      <c r="LI2" s="2" t="s">
        <v>7145</v>
      </c>
      <c r="LS2" s="2" t="s">
        <v>166</v>
      </c>
      <c r="MC2" s="2" t="s">
        <v>7146</v>
      </c>
      <c r="MM2" s="2" t="s">
        <v>2031</v>
      </c>
      <c r="MW2" s="2" t="s">
        <v>64</v>
      </c>
      <c r="NG2" s="2" t="s">
        <v>6386</v>
      </c>
      <c r="NQ2" s="2" t="s">
        <v>7147</v>
      </c>
      <c r="OA2" s="2" t="s">
        <v>7148</v>
      </c>
    </row>
    <row r="3" spans="1:396" x14ac:dyDescent="0.25">
      <c r="A3" t="s">
        <v>7149</v>
      </c>
      <c r="K3" t="s">
        <v>4241</v>
      </c>
      <c r="U3" t="s">
        <v>3970</v>
      </c>
      <c r="AE3" t="s">
        <v>7150</v>
      </c>
      <c r="AO3" t="s">
        <v>7151</v>
      </c>
      <c r="AY3" t="s">
        <v>5682</v>
      </c>
      <c r="BI3" t="s">
        <v>2547</v>
      </c>
      <c r="BS3" t="s">
        <v>7152</v>
      </c>
      <c r="CC3" t="s">
        <v>7153</v>
      </c>
      <c r="CM3" t="s">
        <v>1787</v>
      </c>
      <c r="CW3" t="s">
        <v>7154</v>
      </c>
      <c r="DG3" t="s">
        <v>3725</v>
      </c>
      <c r="DQ3" t="s">
        <v>5925</v>
      </c>
      <c r="EA3" t="s">
        <v>1867</v>
      </c>
      <c r="EK3" t="s">
        <v>3723</v>
      </c>
      <c r="EU3" t="s">
        <v>7155</v>
      </c>
      <c r="FE3" t="s">
        <v>2898</v>
      </c>
      <c r="FO3" t="s">
        <v>7156</v>
      </c>
      <c r="FY3" t="s">
        <v>7157</v>
      </c>
      <c r="GI3" t="s">
        <v>7158</v>
      </c>
      <c r="GS3" t="s">
        <v>2528</v>
      </c>
      <c r="HC3" t="s">
        <v>7159</v>
      </c>
      <c r="HM3" t="s">
        <v>7160</v>
      </c>
      <c r="HW3" t="s">
        <v>7161</v>
      </c>
      <c r="IG3" t="s">
        <v>7162</v>
      </c>
      <c r="IQ3" t="s">
        <v>7163</v>
      </c>
      <c r="JA3" t="s">
        <v>7164</v>
      </c>
      <c r="JK3" t="s">
        <v>7165</v>
      </c>
      <c r="JU3" t="s">
        <v>7166</v>
      </c>
      <c r="KE3" t="s">
        <v>5788</v>
      </c>
      <c r="KO3" t="s">
        <v>7167</v>
      </c>
      <c r="KY3" t="s">
        <v>1200</v>
      </c>
      <c r="LI3" t="s">
        <v>1948</v>
      </c>
      <c r="LS3" t="s">
        <v>7150</v>
      </c>
      <c r="MC3" t="s">
        <v>2447</v>
      </c>
      <c r="MM3" t="s">
        <v>6750</v>
      </c>
      <c r="MW3" t="s">
        <v>7168</v>
      </c>
      <c r="NG3" t="s">
        <v>1097</v>
      </c>
      <c r="NQ3" t="s">
        <v>4423</v>
      </c>
      <c r="OA3" t="s">
        <v>2997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_xll.BDS("BBT US Equity","SUPPLY_CHAIN_SUPPLIERS","RELATIONSHIP_AS_OF_DATE","20120531")</f>
        <v>#N/A N/A</v>
      </c>
      <c r="F5" t="str">
        <f>_xll.BDS("BBT US Equity","SUPPLY_CHAIN_CUSTOMERS","RELATIONSHIP_AS_OF_DATE","20120531")</f>
        <v>#N/A N/A</v>
      </c>
      <c r="K5" t="str">
        <f>_xll.BDS("AMESQ US Equity","SUPPLY_CHAIN_SUPPLIERS","RELATIONSHIP_AS_OF_DATE","19981112")</f>
        <v>#N/A N/A</v>
      </c>
      <c r="P5" t="str">
        <f>_xll.BDS("AMESQ US Equity","SUPPLY_CHAIN_CUSTOMERS","RELATIONSHIP_AS_OF_DATE","19981112")</f>
        <v>#N/A N/A</v>
      </c>
      <c r="U5" t="str">
        <f>_xll.BDS("MTB US Equity","SUPPLY_CHAIN_SUPPLIERS","RELATIONSHIP_AS_OF_DATE","19981209","cols=1;rows=5")</f>
        <v>ORCL US Equity</v>
      </c>
      <c r="Z5" t="str">
        <f>_xll.BDS("MTB US Equity","SUPPLY_CHAIN_CUSTOMERS","RELATIONSHIP_AS_OF_DATE","19981209","cols=1;rows=3")</f>
        <v>2610 TT Equity</v>
      </c>
      <c r="AE5" t="str">
        <f>_xll.BDS("2847452Q US Equity","SUPPLY_CHAIN_SUPPLIERS","RELATIONSHIP_AS_OF_DATE","20010323")</f>
        <v>#N/A N/A</v>
      </c>
      <c r="AJ5" t="str">
        <f>_xll.BDS("2847452Q US Equity","SUPPLY_CHAIN_CUSTOMERS","RELATIONSHIP_AS_OF_DATE","20010323")</f>
        <v>#N/A N/A</v>
      </c>
      <c r="AO5" t="str">
        <f>_xll.BDS("TRAD US Equity","SUPPLY_CHAIN_SUPPLIERS","RELATIONSHIP_AS_OF_DATE","20000120")</f>
        <v>0090860D US Equity</v>
      </c>
      <c r="AT5" t="str">
        <f>_xll.BDS("TRAD US Equity","SUPPLY_CHAIN_CUSTOMERS","RELATIONSHIP_AS_OF_DATE","20000120")</f>
        <v>#N/A N/A</v>
      </c>
      <c r="AY5" t="str">
        <f>_xll.BDS("FULT US Equity","SUPPLY_CHAIN_SUPPLIERS","RELATIONSHIP_AS_OF_DATE","20040614","cols=1;rows=2")</f>
        <v>DLX US Equity</v>
      </c>
      <c r="BD5" t="str">
        <f>_xll.BDS("FULT US Equity","SUPPLY_CHAIN_CUSTOMERS","RELATIONSHIP_AS_OF_DATE","20040614")</f>
        <v>#N/A N/A</v>
      </c>
      <c r="BI5" t="str">
        <f>_xll.BDS("0897262D US Equity","SUPPLY_CHAIN_SUPPLIERS","RELATIONSHIP_AS_OF_DATE","20010501")</f>
        <v>#N/A N/A</v>
      </c>
      <c r="BN5" t="str">
        <f>_xll.BDS("0897262D US Equity","SUPPLY_CHAIN_CUSTOMERS","RELATIONSHIP_AS_OF_DATE","20010501")</f>
        <v>#N/A N/A</v>
      </c>
      <c r="BS5" t="str">
        <f>_xll.BDS("TFC US Equity","SUPPLY_CHAIN_SUPPLIERS","RELATIONSHIP_AS_OF_DATE","19990127","cols=1;rows=5")</f>
        <v>ADBE US Equity</v>
      </c>
      <c r="BX5" t="str">
        <f>_xll.BDS("TFC US Equity","SUPPLY_CHAIN_CUSTOMERS","RELATIONSHIP_AS_OF_DATE","19990127")</f>
        <v>RENG IN Equity</v>
      </c>
      <c r="CC5" t="str">
        <f>_xll.BDS("540513Q US Equity","SUPPLY_CHAIN_SUPPLIERS","RELATIONSHIP_AS_OF_DATE","20020808")</f>
        <v>#N/A N/A</v>
      </c>
      <c r="CH5" t="str">
        <f>_xll.BDS("540513Q US Equity","SUPPLY_CHAIN_CUSTOMERS","RELATIONSHIP_AS_OF_DATE","20020808")</f>
        <v>#N/A N/A</v>
      </c>
      <c r="CM5" t="str">
        <f>_xll.BDS("PFS US Equity","SUPPLY_CHAIN_SUPPLIERS","RELATIONSHIP_AS_OF_DATE","20061016","cols=1;rows=2")</f>
        <v>1747628D US Equity</v>
      </c>
      <c r="CR5" t="str">
        <f>_xll.BDS("PFS US Equity","SUPPLY_CHAIN_CUSTOMERS","RELATIONSHIP_AS_OF_DATE","20061016")</f>
        <v>#N/A N/A</v>
      </c>
      <c r="CW5" t="str">
        <f>_xll.BDS("CNOB US Equity","SUPPLY_CHAIN_SUPPLIERS","RELATIONSHIP_AS_OF_DATE","20190816")</f>
        <v>NCNO US Equity</v>
      </c>
      <c r="DB5" t="str">
        <f>_xll.BDS("CNOB US Equity","SUPPLY_CHAIN_CUSTOMERS","RELATIONSHIP_AS_OF_DATE","20190816")</f>
        <v>#N/A N/A</v>
      </c>
      <c r="DG5" t="str">
        <f>_xll.BDS("PMB US Equity","SUPPLY_CHAIN_SUPPLIERS","RELATIONSHIP_AS_OF_DATE","19980205")</f>
        <v>#N/A N/A</v>
      </c>
      <c r="DL5" t="str">
        <f>_xll.BDS("PMB US Equity","SUPPLY_CHAIN_CUSTOMERS","RELATIONSHIP_AS_OF_DATE","19980205")</f>
        <v>#N/A N/A</v>
      </c>
      <c r="DQ5" t="str">
        <f>_xll.BDS("CAR US Equity","SUPPLY_CHAIN_SUPPLIERS","RELATIONSHIP_AS_OF_DATE","20020812","cols=1;rows=5")</f>
        <v>VRRM US Equity</v>
      </c>
      <c r="DV5" t="str">
        <f>_xll.BDS("CAR US Equity","SUPPLY_CHAIN_CUSTOMERS","RELATIONSHIP_AS_OF_DATE","20020812","cols=1;rows=5")</f>
        <v>EIH IN Equity</v>
      </c>
      <c r="EA5" t="str">
        <f>_xll.BDS("INDB US Equity","SUPPLY_CHAIN_SUPPLIERS","RELATIONSHIP_AS_OF_DATE","20081107")</f>
        <v>#N/A N/A</v>
      </c>
      <c r="EF5" t="str">
        <f>_xll.BDS("INDB US Equity","SUPPLY_CHAIN_CUSTOMERS","RELATIONSHIP_AS_OF_DATE","20081107")</f>
        <v>#N/A N/A</v>
      </c>
      <c r="EK5" t="str">
        <f>_xll.BDS("DFODQ US Equity","SUPPLY_CHAIN_SUPPLIERS","RELATIONSHIP_AS_OF_DATE","19980911","cols=1;rows=5")</f>
        <v>AEE US Equity</v>
      </c>
      <c r="EP5" t="str">
        <f>_xll.BDS("DFODQ US Equity","SUPPLY_CHAIN_CUSTOMERS","RELATIONSHIP_AS_OF_DATE","19980911")</f>
        <v>#N/A N/A</v>
      </c>
      <c r="EU5" t="str">
        <f>_xll.BDS("0700734D US Equity","SUPPLY_CHAIN_SUPPLIERS","RELATIONSHIP_AS_OF_DATE","20050526")</f>
        <v>#N/A N/A</v>
      </c>
      <c r="EZ5" t="str">
        <f>_xll.BDS("0700734D US Equity","SUPPLY_CHAIN_CUSTOMERS","RELATIONSHIP_AS_OF_DATE","20050526")</f>
        <v>#N/A N/A</v>
      </c>
      <c r="FE5" t="str">
        <f>_xll.BDS("FRST US Equity","SUPPLY_CHAIN_SUPPLIERS","RELATIONSHIP_AS_OF_DATE","20161213")</f>
        <v>#N/A N/A</v>
      </c>
      <c r="FJ5" t="str">
        <f>_xll.BDS("FRST US Equity","SUPPLY_CHAIN_CUSTOMERS","RELATIONSHIP_AS_OF_DATE","20161213")</f>
        <v>#N/A N/A</v>
      </c>
      <c r="FO5" t="str">
        <f>_xll.BDS("CATC US Equity","SUPPLY_CHAIN_SUPPLIERS","RELATIONSHIP_AS_OF_DATE","20191205")</f>
        <v>#N/A N/A</v>
      </c>
      <c r="FT5" t="str">
        <f>_xll.BDS("CATC US Equity","SUPPLY_CHAIN_CUSTOMERS","RELATIONSHIP_AS_OF_DATE","20191205")</f>
        <v>#N/A N/A</v>
      </c>
      <c r="FY5" t="str">
        <f>_xll.BDS("ONEW US Equity","SUPPLY_CHAIN_SUPPLIERS","RELATIONSHIP_AS_OF_DATE","20220622","cols=1;rows=5")</f>
        <v>0372581D US Equity</v>
      </c>
      <c r="GD5" t="str">
        <f>_xll.BDS("ONEW US Equity","SUPPLY_CHAIN_CUSTOMERS","RELATIONSHIP_AS_OF_DATE","20220622","cols=1;rows=5")</f>
        <v>1732514D US Equity</v>
      </c>
      <c r="GI5" t="str">
        <f>_xll.BDS("ARAY US Equity","SUPPLY_CHAIN_SUPPLIERS","RELATIONSHIP_AS_OF_DATE","20110307","cols=1;rows=5")</f>
        <v>1249424D US Equity</v>
      </c>
      <c r="GN5" t="str">
        <f>_xll.BDS("ARAY US Equity","SUPPLY_CHAIN_CUSTOMERS","RELATIONSHIP_AS_OF_DATE","20110307","cols=1;rows=5")</f>
        <v>1763 HK Equity</v>
      </c>
      <c r="GS5" t="str">
        <f>_xll.BDS("EPIC US Equity","SUPPLY_CHAIN_SUPPLIERS","RELATIONSHIP_AS_OF_DATE","19981013")</f>
        <v>ERC NA Equity</v>
      </c>
      <c r="GX5" t="str">
        <f>_xll.BDS("EPIC US Equity","SUPPLY_CHAIN_CUSTOMERS","RELATIONSHIP_AS_OF_DATE","19981013")</f>
        <v>ERC NA Equity</v>
      </c>
      <c r="HC5" t="str">
        <f>_xll.BDS("PSTRQ US Equity","SUPPLY_CHAIN_SUPPLIERS","RELATIONSHIP_AS_OF_DATE","20090603")</f>
        <v>#N/A N/A</v>
      </c>
      <c r="HH5" t="str">
        <f>_xll.BDS("PSTRQ US Equity","SUPPLY_CHAIN_CUSTOMERS","RELATIONSHIP_AS_OF_DATE","20090603")</f>
        <v>#N/A N/A</v>
      </c>
      <c r="HM5" t="str">
        <f>_xll.BDS("CY US Equity","SUPPLY_CHAIN_SUPPLIERS","RELATIONSHIP_AS_OF_DATE","19990121")</f>
        <v>#N/A N/A</v>
      </c>
      <c r="HR5" t="str">
        <f>_xll.BDS("CY US Equity","SUPPLY_CHAIN_CUSTOMERS","RELATIONSHIP_AS_OF_DATE","19990121")</f>
        <v>#N/A N/A</v>
      </c>
      <c r="HW5" t="str">
        <f>_xll.BDS("WM US Equity","SUPPLY_CHAIN_SUPPLIERS","RELATIONSHIP_AS_OF_DATE","19980206","cols=1;rows=5")</f>
        <v>CNR CN Equity</v>
      </c>
      <c r="IB5" t="str">
        <f>_xll.BDS("WM US Equity","SUPPLY_CHAIN_CUSTOMERS","RELATIONSHIP_AS_OF_DATE","19980206")</f>
        <v>FLCM US Equity</v>
      </c>
      <c r="IG5" t="str">
        <f>_xll.BDS("FRME US Equity","SUPPLY_CHAIN_SUPPLIERS","RELATIONSHIP_AS_OF_DATE","20011015")</f>
        <v>#N/A N/A</v>
      </c>
      <c r="IL5" t="str">
        <f>_xll.BDS("FRME US Equity","SUPPLY_CHAIN_CUSTOMERS","RELATIONSHIP_AS_OF_DATE","20011015")</f>
        <v>#N/A N/A</v>
      </c>
      <c r="IQ5" t="str">
        <f>_xll.BDS("DZSIQ US Equity","SUPPLY_CHAIN_SUPPLIERS","RELATIONSHIP_AS_OF_DATE","20050708","cols=1;rows=5")</f>
        <v>039560 KS Equity</v>
      </c>
      <c r="IV5" t="str">
        <f>_xll.BDS("DZSIQ US Equity","SUPPLY_CHAIN_CUSTOMERS","RELATIONSHIP_AS_OF_DATE","20050708","cols=1;rows=5")</f>
        <v>039560 KS Equity</v>
      </c>
      <c r="JA5" t="str">
        <f>_xll.BDS("AXE US Equity","SUPPLY_CHAIN_SUPPLIERS","RELATIONSHIP_AS_OF_DATE","20020523")</f>
        <v>#N/A N/A</v>
      </c>
      <c r="JF5" t="str">
        <f>_xll.BDS("AXE US Equity","SUPPLY_CHAIN_CUSTOMERS","RELATIONSHIP_AS_OF_DATE","20020523")</f>
        <v>#N/A N/A</v>
      </c>
      <c r="JK5" t="str">
        <f>_xll.BDS("TCF US Equity","SUPPLY_CHAIN_SUPPLIERS","RELATIONSHIP_AS_OF_DATE","20140311")</f>
        <v>#N/A N/A</v>
      </c>
      <c r="JP5" t="str">
        <f>_xll.BDS("TCF US Equity","SUPPLY_CHAIN_CUSTOMERS","RELATIONSHIP_AS_OF_DATE","20140311")</f>
        <v>#N/A N/A</v>
      </c>
      <c r="JU5" t="str">
        <f>_xll.BDS("MSI US Equity","SUPPLY_CHAIN_SUPPLIERS","RELATIONSHIP_AS_OF_DATE","20070423","cols=1;rows=5")</f>
        <v>SANM US Equity</v>
      </c>
      <c r="JZ5" t="str">
        <f>_xll.BDS("MSI US Equity","SUPPLY_CHAIN_CUSTOMERS","RELATIONSHIP_AS_OF_DATE","20070423","cols=1;rows=5")</f>
        <v>3352Z US Equity</v>
      </c>
      <c r="KE5" t="str">
        <f>_xll.BDS("CHZ US Equity","SUPPLY_CHAIN_SUPPLIERS","RELATIONSHIP_AS_OF_DATE","20070604")</f>
        <v>#N/A N/A</v>
      </c>
      <c r="KJ5" t="str">
        <f>_xll.BDS("CHZ US Equity","SUPPLY_CHAIN_CUSTOMERS","RELATIONSHIP_AS_OF_DATE","20070604")</f>
        <v>#N/A N/A</v>
      </c>
      <c r="KO5" t="str">
        <f>_xll.BDS("ECPN US Equity","SUPPLY_CHAIN_SUPPLIERS","RELATIONSHIP_AS_OF_DATE","20110119")</f>
        <v>#N/A N/A</v>
      </c>
      <c r="KT5" t="str">
        <f>_xll.BDS("ECPN US Equity","SUPPLY_CHAIN_CUSTOMERS","RELATIONSHIP_AS_OF_DATE","20110119")</f>
        <v>#N/A N/A</v>
      </c>
      <c r="KY5" t="str">
        <f>_xll.BDS("NCF US Equity","SUPPLY_CHAIN_SUPPLIERS","RELATIONSHIP_AS_OF_DATE","20010716")</f>
        <v>#N/A N/A</v>
      </c>
      <c r="LD5" t="str">
        <f>_xll.BDS("NCF US Equity","SUPPLY_CHAIN_CUSTOMERS","RELATIONSHIP_AS_OF_DATE","20010716")</f>
        <v>#N/A N/A</v>
      </c>
      <c r="LI5" t="str">
        <f>_xll.BDS("CHDN US Equity","SUPPLY_CHAIN_SUPPLIERS","RELATIONSHIP_AS_OF_DATE","20091111","cols=1;rows=5")</f>
        <v>4952088Z US Equity</v>
      </c>
      <c r="LN5" t="str">
        <f>_xll.BDS("CHDN US Equity","SUPPLY_CHAIN_CUSTOMERS","RELATIONSHIP_AS_OF_DATE","20091111","cols=1;rows=5")</f>
        <v>0516372D US Equity</v>
      </c>
      <c r="LS5" t="str">
        <f>_xll.BDS("WFC US Equity","SUPPLY_CHAIN_SUPPLIERS","RELATIONSHIP_AS_OF_DATE","20010323","cols=1;rows=5")</f>
        <v>ADBE US Equity</v>
      </c>
      <c r="LX5" t="str">
        <f>_xll.BDS("WFC US Equity","SUPPLY_CHAIN_CUSTOMERS","RELATIONSHIP_AS_OF_DATE","20010323","cols=1;rows=5")</f>
        <v>CDW US Equity</v>
      </c>
      <c r="MC5" t="str">
        <f>_xll.BDS("WLDN US Equity","SUPPLY_CHAIN_SUPPLIERS","RELATIONSHIP_AS_OF_DATE","20181003")</f>
        <v>#N/A N/A</v>
      </c>
      <c r="MH5" t="str">
        <f>_xll.BDS("WLDN US Equity","SUPPLY_CHAIN_CUSTOMERS","RELATIONSHIP_AS_OF_DATE","20181003","cols=1;rows=5")</f>
        <v>0835396D US Equity</v>
      </c>
      <c r="MM5" t="str">
        <f>_xll.BDS("SAFE US Equity","SUPPLY_CHAIN_SUPPLIERS","RELATIONSHIP_AS_OF_DATE","20050120")</f>
        <v>#N/A N/A</v>
      </c>
      <c r="MR5" t="str">
        <f>_xll.BDS("SAFE US Equity","SUPPLY_CHAIN_CUSTOMERS","RELATIONSHIP_AS_OF_DATE","20050120")</f>
        <v>#N/A N/A</v>
      </c>
      <c r="MW5" t="str">
        <f>_xll.BDS("nan Equity","SUPPLY_CHAIN_SUPPLIERS","RELATIONSHIP_AS_OF_DATE","20150805")</f>
        <v>#N/A N/A</v>
      </c>
      <c r="NB5" t="str">
        <f>_xll.BDS("nan Equity","SUPPLY_CHAIN_CUSTOMERS","RELATIONSHIP_AS_OF_DATE","20150805")</f>
        <v>#N/A N/A</v>
      </c>
      <c r="NG5" t="str">
        <f>_xll.BDS("DE US Equity","SUPPLY_CHAIN_SUPPLIERS","RELATIONSHIP_AS_OF_DATE","20070219","cols=1;rows=5")</f>
        <v>NVDA US Equity</v>
      </c>
      <c r="NL5" t="str">
        <f>_xll.BDS("DE US Equity","SUPPLY_CHAIN_CUSTOMERS","RELATIONSHIP_AS_OF_DATE","20070219","cols=1;rows=5")</f>
        <v>LOW US Equity</v>
      </c>
      <c r="NQ5" t="str">
        <f>_xll.BDS("TMAV US Equity","SUPPLY_CHAIN_SUPPLIERS","RELATIONSHIP_AS_OF_DATE","19980326")</f>
        <v>#N/A N/A</v>
      </c>
      <c r="NV5" t="str">
        <f>_xll.BDS("TMAV US Equity","SUPPLY_CHAIN_CUSTOMERS","RELATIONSHIP_AS_OF_DATE","19980326")</f>
        <v>#N/A N/A</v>
      </c>
      <c r="OA5" t="str">
        <f>_xll.BDS("PARR US Equity","SUPPLY_CHAIN_SUPPLIERS","RELATIONSHIP_AS_OF_DATE","20051108","cols=1;rows=3")</f>
        <v>CNR CN Equity</v>
      </c>
      <c r="OF5" t="str">
        <f>_xll.BDS("PARR US Equity","SUPPLY_CHAIN_CUSTOMERS","RELATIONSHIP_AS_OF_DATE","20051108")</f>
        <v>HE US Equity</v>
      </c>
    </row>
    <row r="6" spans="1:396" x14ac:dyDescent="0.25">
      <c r="U6" t="s">
        <v>12259</v>
      </c>
      <c r="Z6" t="s">
        <v>11577</v>
      </c>
      <c r="AY6" t="s">
        <v>154</v>
      </c>
      <c r="BS6" t="s">
        <v>11371</v>
      </c>
      <c r="CM6" t="s">
        <v>11371</v>
      </c>
      <c r="DQ6" t="s">
        <v>12031</v>
      </c>
      <c r="DV6" t="s">
        <v>11677</v>
      </c>
      <c r="EK6" t="s">
        <v>10696</v>
      </c>
      <c r="FY6" t="s">
        <v>11622</v>
      </c>
      <c r="GD6" t="s">
        <v>469</v>
      </c>
      <c r="GI6" t="s">
        <v>11926</v>
      </c>
      <c r="GN6" t="s">
        <v>11569</v>
      </c>
      <c r="HW6" t="s">
        <v>171</v>
      </c>
      <c r="IQ6" t="s">
        <v>11314</v>
      </c>
      <c r="IV6" t="s">
        <v>10787</v>
      </c>
      <c r="JU6" t="s">
        <v>10734</v>
      </c>
      <c r="JZ6" t="s">
        <v>2881</v>
      </c>
      <c r="LI6" t="s">
        <v>11879</v>
      </c>
      <c r="LN6" t="s">
        <v>11418</v>
      </c>
      <c r="LS6" t="s">
        <v>10986</v>
      </c>
      <c r="LX6" t="s">
        <v>11473</v>
      </c>
      <c r="MH6" t="s">
        <v>11682</v>
      </c>
      <c r="NG6" t="s">
        <v>11237</v>
      </c>
      <c r="NL6" t="s">
        <v>2398</v>
      </c>
      <c r="OA6" t="s">
        <v>1750</v>
      </c>
    </row>
    <row r="7" spans="1:396" x14ac:dyDescent="0.25">
      <c r="U7" t="s">
        <v>10718</v>
      </c>
      <c r="Z7" t="s">
        <v>11578</v>
      </c>
      <c r="BS7" t="s">
        <v>10986</v>
      </c>
      <c r="DQ7" t="s">
        <v>10807</v>
      </c>
      <c r="DV7" t="s">
        <v>11678</v>
      </c>
      <c r="EK7" t="s">
        <v>158</v>
      </c>
      <c r="FY7" t="s">
        <v>11623</v>
      </c>
      <c r="GD7" t="s">
        <v>10774</v>
      </c>
      <c r="GI7" t="s">
        <v>11927</v>
      </c>
      <c r="GN7" t="s">
        <v>11570</v>
      </c>
      <c r="HW7" t="s">
        <v>4570</v>
      </c>
      <c r="IQ7" t="s">
        <v>11315</v>
      </c>
      <c r="IV7" t="s">
        <v>11264</v>
      </c>
      <c r="JU7" t="s">
        <v>10858</v>
      </c>
      <c r="JZ7" t="s">
        <v>4139</v>
      </c>
      <c r="LI7" t="s">
        <v>11880</v>
      </c>
      <c r="LN7" t="s">
        <v>11419</v>
      </c>
      <c r="LS7" t="s">
        <v>988</v>
      </c>
      <c r="LX7" t="s">
        <v>10787</v>
      </c>
      <c r="MH7" t="s">
        <v>11683</v>
      </c>
      <c r="NG7" t="s">
        <v>11544</v>
      </c>
      <c r="NL7" t="s">
        <v>11544</v>
      </c>
      <c r="OA7" t="s">
        <v>47</v>
      </c>
    </row>
    <row r="8" spans="1:396" x14ac:dyDescent="0.25">
      <c r="U8" t="s">
        <v>11386</v>
      </c>
      <c r="BS8" t="s">
        <v>11372</v>
      </c>
      <c r="DQ8" t="s">
        <v>171</v>
      </c>
      <c r="DV8" t="s">
        <v>11679</v>
      </c>
      <c r="EK8" t="s">
        <v>6710</v>
      </c>
      <c r="FY8" t="s">
        <v>11624</v>
      </c>
      <c r="GD8" t="s">
        <v>11950</v>
      </c>
      <c r="GI8" t="s">
        <v>11928</v>
      </c>
      <c r="GN8" t="s">
        <v>11571</v>
      </c>
      <c r="HW8" t="s">
        <v>11339</v>
      </c>
      <c r="IQ8" t="s">
        <v>11316</v>
      </c>
      <c r="IV8" t="s">
        <v>11265</v>
      </c>
      <c r="JU8" t="s">
        <v>10859</v>
      </c>
      <c r="JZ8" t="s">
        <v>10660</v>
      </c>
      <c r="LI8" t="s">
        <v>11881</v>
      </c>
      <c r="LN8" t="s">
        <v>11420</v>
      </c>
      <c r="LS8" t="s">
        <v>1548</v>
      </c>
      <c r="LX8" t="s">
        <v>3340</v>
      </c>
      <c r="MH8" t="s">
        <v>11684</v>
      </c>
      <c r="NG8" t="s">
        <v>11545</v>
      </c>
      <c r="NL8" t="s">
        <v>570</v>
      </c>
    </row>
    <row r="9" spans="1:396" x14ac:dyDescent="0.25">
      <c r="U9" t="s">
        <v>11964</v>
      </c>
      <c r="BS9" t="s">
        <v>10987</v>
      </c>
      <c r="DQ9" t="s">
        <v>12032</v>
      </c>
      <c r="DV9" t="s">
        <v>11680</v>
      </c>
      <c r="EK9" t="s">
        <v>693</v>
      </c>
      <c r="FY9" t="s">
        <v>11625</v>
      </c>
      <c r="GD9" t="s">
        <v>10676</v>
      </c>
      <c r="GI9" t="s">
        <v>11929</v>
      </c>
      <c r="GN9" t="s">
        <v>11572</v>
      </c>
      <c r="HW9" t="s">
        <v>11151</v>
      </c>
      <c r="IQ9" t="s">
        <v>11317</v>
      </c>
      <c r="IV9" t="s">
        <v>11266</v>
      </c>
      <c r="JU9" t="s">
        <v>10860</v>
      </c>
      <c r="JZ9" t="s">
        <v>10808</v>
      </c>
      <c r="LI9" t="s">
        <v>11882</v>
      </c>
      <c r="LN9" t="s">
        <v>11421</v>
      </c>
      <c r="LS9" t="s">
        <v>10877</v>
      </c>
      <c r="LX9" t="s">
        <v>11174</v>
      </c>
      <c r="MH9" t="s">
        <v>11685</v>
      </c>
      <c r="NG9" t="s">
        <v>1549</v>
      </c>
      <c r="NL9" t="s">
        <v>12030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7169</v>
      </c>
      <c r="K1" s="1" t="s">
        <v>7170</v>
      </c>
      <c r="U1" s="1" t="s">
        <v>7171</v>
      </c>
      <c r="AE1" s="1" t="s">
        <v>7172</v>
      </c>
      <c r="AO1" s="1" t="s">
        <v>7173</v>
      </c>
      <c r="AY1" s="1" t="s">
        <v>7174</v>
      </c>
      <c r="BI1" s="1" t="s">
        <v>7175</v>
      </c>
      <c r="BS1" s="1" t="s">
        <v>7176</v>
      </c>
      <c r="CC1" s="1" t="s">
        <v>7177</v>
      </c>
      <c r="CM1" s="1" t="s">
        <v>7178</v>
      </c>
      <c r="CW1" s="1" t="s">
        <v>7179</v>
      </c>
      <c r="DG1" s="1" t="s">
        <v>7180</v>
      </c>
      <c r="DQ1" s="1" t="s">
        <v>7181</v>
      </c>
      <c r="EA1" s="1" t="s">
        <v>7182</v>
      </c>
      <c r="EK1" s="1" t="s">
        <v>7183</v>
      </c>
      <c r="EU1" s="1" t="s">
        <v>7184</v>
      </c>
      <c r="FE1" s="1" t="s">
        <v>7185</v>
      </c>
      <c r="FO1" s="1" t="s">
        <v>7186</v>
      </c>
      <c r="FY1" s="1" t="s">
        <v>7187</v>
      </c>
      <c r="GI1" s="1" t="s">
        <v>7188</v>
      </c>
      <c r="GS1" s="1" t="s">
        <v>7189</v>
      </c>
      <c r="HC1" s="1" t="s">
        <v>7190</v>
      </c>
      <c r="HM1" s="1" t="s">
        <v>7191</v>
      </c>
      <c r="HW1" s="1" t="s">
        <v>7192</v>
      </c>
      <c r="IG1" s="1" t="s">
        <v>7193</v>
      </c>
      <c r="IQ1" s="1" t="s">
        <v>7194</v>
      </c>
      <c r="JA1" s="1" t="s">
        <v>7195</v>
      </c>
      <c r="JK1" s="1" t="s">
        <v>7196</v>
      </c>
      <c r="JU1" s="1" t="s">
        <v>7197</v>
      </c>
      <c r="KE1" s="1" t="s">
        <v>7198</v>
      </c>
      <c r="KO1" s="1" t="s">
        <v>7199</v>
      </c>
      <c r="KY1" s="1" t="s">
        <v>7200</v>
      </c>
      <c r="LI1" s="1" t="s">
        <v>7201</v>
      </c>
      <c r="LS1" s="1" t="s">
        <v>7202</v>
      </c>
      <c r="MC1" s="1" t="s">
        <v>7203</v>
      </c>
      <c r="MM1" s="1" t="s">
        <v>7204</v>
      </c>
      <c r="MW1" s="1" t="s">
        <v>7205</v>
      </c>
      <c r="NG1" s="1" t="s">
        <v>7206</v>
      </c>
      <c r="NQ1" s="1" t="s">
        <v>7207</v>
      </c>
      <c r="OA1" s="1" t="s">
        <v>7208</v>
      </c>
    </row>
    <row r="2" spans="1:396" x14ac:dyDescent="0.25">
      <c r="A2" s="2" t="s">
        <v>3620</v>
      </c>
      <c r="K2" s="2" t="s">
        <v>2602</v>
      </c>
      <c r="U2" s="2" t="s">
        <v>7209</v>
      </c>
      <c r="AE2" s="2" t="s">
        <v>6798</v>
      </c>
      <c r="AO2" s="2" t="s">
        <v>976</v>
      </c>
      <c r="AY2" s="2" t="s">
        <v>5170</v>
      </c>
      <c r="BI2" s="2" t="s">
        <v>5492</v>
      </c>
      <c r="BS2" s="2" t="s">
        <v>7210</v>
      </c>
      <c r="CC2" s="2" t="s">
        <v>6552</v>
      </c>
      <c r="CM2" s="2" t="s">
        <v>5990</v>
      </c>
      <c r="CW2" s="2" t="s">
        <v>7211</v>
      </c>
      <c r="DG2" s="2" t="s">
        <v>3328</v>
      </c>
      <c r="DQ2" s="2" t="s">
        <v>3613</v>
      </c>
      <c r="EA2" s="2" t="s">
        <v>7212</v>
      </c>
      <c r="EK2" s="2" t="s">
        <v>2318</v>
      </c>
      <c r="EU2" s="2" t="s">
        <v>7213</v>
      </c>
      <c r="FE2" s="2" t="s">
        <v>7214</v>
      </c>
      <c r="FO2" s="2" t="s">
        <v>577</v>
      </c>
      <c r="FY2" s="2" t="s">
        <v>7215</v>
      </c>
      <c r="GI2" s="2" t="s">
        <v>175</v>
      </c>
      <c r="GS2" s="2" t="s">
        <v>7216</v>
      </c>
      <c r="HC2" s="2" t="s">
        <v>1925</v>
      </c>
      <c r="HM2" s="2" t="s">
        <v>7217</v>
      </c>
      <c r="HW2" s="2" t="s">
        <v>7218</v>
      </c>
      <c r="IG2" s="2" t="s">
        <v>7219</v>
      </c>
      <c r="IQ2" s="2" t="s">
        <v>3336</v>
      </c>
      <c r="JA2" s="2" t="s">
        <v>6001</v>
      </c>
      <c r="JK2" s="2" t="s">
        <v>1639</v>
      </c>
      <c r="JU2" s="2" t="s">
        <v>7220</v>
      </c>
      <c r="KE2" s="2" t="s">
        <v>4213</v>
      </c>
      <c r="KO2" s="2" t="s">
        <v>7221</v>
      </c>
      <c r="KY2" s="2" t="s">
        <v>7222</v>
      </c>
      <c r="LI2" s="2" t="s">
        <v>7223</v>
      </c>
      <c r="LS2" s="2" t="s">
        <v>7224</v>
      </c>
      <c r="MC2" s="2" t="s">
        <v>7225</v>
      </c>
      <c r="MM2" s="2" t="s">
        <v>5330</v>
      </c>
      <c r="MW2" s="2" t="s">
        <v>7226</v>
      </c>
      <c r="NG2" s="2" t="s">
        <v>5756</v>
      </c>
      <c r="NQ2" s="2" t="s">
        <v>7227</v>
      </c>
      <c r="OA2" s="2" t="s">
        <v>7228</v>
      </c>
    </row>
    <row r="3" spans="1:396" x14ac:dyDescent="0.25">
      <c r="A3" t="s">
        <v>4663</v>
      </c>
      <c r="K3" t="s">
        <v>6263</v>
      </c>
      <c r="U3" t="s">
        <v>7229</v>
      </c>
      <c r="AE3" t="s">
        <v>2064</v>
      </c>
      <c r="AO3" t="s">
        <v>7066</v>
      </c>
      <c r="AY3" t="s">
        <v>7230</v>
      </c>
      <c r="BI3" t="s">
        <v>915</v>
      </c>
      <c r="BS3" t="s">
        <v>7231</v>
      </c>
      <c r="CC3" t="s">
        <v>3716</v>
      </c>
      <c r="CM3" t="s">
        <v>5526</v>
      </c>
      <c r="CW3" t="s">
        <v>4315</v>
      </c>
      <c r="DG3" t="s">
        <v>3631</v>
      </c>
      <c r="DQ3" t="s">
        <v>202</v>
      </c>
      <c r="EA3" t="s">
        <v>1485</v>
      </c>
      <c r="EK3" t="s">
        <v>1209</v>
      </c>
      <c r="EU3" t="s">
        <v>7232</v>
      </c>
      <c r="FE3" t="s">
        <v>7233</v>
      </c>
      <c r="FO3" t="s">
        <v>94</v>
      </c>
      <c r="FY3" t="s">
        <v>7234</v>
      </c>
      <c r="GI3" t="s">
        <v>3818</v>
      </c>
      <c r="GS3" t="s">
        <v>2732</v>
      </c>
      <c r="HC3" t="s">
        <v>4832</v>
      </c>
      <c r="HM3" t="s">
        <v>4752</v>
      </c>
      <c r="HW3" t="s">
        <v>7235</v>
      </c>
      <c r="IG3" t="s">
        <v>3821</v>
      </c>
      <c r="IQ3" t="s">
        <v>7236</v>
      </c>
      <c r="JA3" t="s">
        <v>7237</v>
      </c>
      <c r="JK3" t="s">
        <v>6572</v>
      </c>
      <c r="JU3" t="s">
        <v>7238</v>
      </c>
      <c r="KE3" t="s">
        <v>7239</v>
      </c>
      <c r="KO3" t="s">
        <v>7240</v>
      </c>
      <c r="KY3" t="s">
        <v>4661</v>
      </c>
      <c r="LI3" t="s">
        <v>919</v>
      </c>
      <c r="LS3" t="s">
        <v>1213</v>
      </c>
      <c r="MC3" t="s">
        <v>7241</v>
      </c>
      <c r="MM3" t="s">
        <v>7242</v>
      </c>
      <c r="MW3" t="s">
        <v>6488</v>
      </c>
      <c r="NG3" t="s">
        <v>7243</v>
      </c>
      <c r="NQ3" t="s">
        <v>7244</v>
      </c>
      <c r="OA3" t="s">
        <v>7245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_xll.BDS("VLY US Equity","SUPPLY_CHAIN_SUPPLIERS","RELATIONSHIP_AS_OF_DATE","20150527","cols=1;rows=2")</f>
        <v>VNO US Equity</v>
      </c>
      <c r="F5" t="str">
        <f>_xll.BDS("VLY US Equity","SUPPLY_CHAIN_CUSTOMERS","RELATIONSHIP_AS_OF_DATE","20150527")</f>
        <v>#N/A N/A</v>
      </c>
      <c r="K5" t="str">
        <f>_xll.BDS("CY US Equity","SUPPLY_CHAIN_SUPPLIERS","RELATIONSHIP_AS_OF_DATE","20120612")</f>
        <v>#N/A N/A</v>
      </c>
      <c r="P5" t="str">
        <f>_xll.BDS("CY US Equity","SUPPLY_CHAIN_CUSTOMERS","RELATIONSHIP_AS_OF_DATE","20120612")</f>
        <v>#N/A N/A</v>
      </c>
      <c r="U5" t="str">
        <f>_xll.BDS("OLBK US Equity","SUPPLY_CHAIN_SUPPLIERS","RELATIONSHIP_AS_OF_DATE","20170927")</f>
        <v>#N/A N/A</v>
      </c>
      <c r="Z5" t="str">
        <f>_xll.BDS("OLBK US Equity","SUPPLY_CHAIN_CUSTOMERS","RELATIONSHIP_AS_OF_DATE","20170927")</f>
        <v>#N/A N/A</v>
      </c>
      <c r="AE5" t="str">
        <f>_xll.BDS("2676187Q US Equity","SUPPLY_CHAIN_SUPPLIERS","RELATIONSHIP_AS_OF_DATE","20010504")</f>
        <v>#N/A N/A</v>
      </c>
      <c r="AJ5" t="str">
        <f>_xll.BDS("2676187Q US Equity","SUPPLY_CHAIN_CUSTOMERS","RELATIONSHIP_AS_OF_DATE","20010504")</f>
        <v>#N/A N/A</v>
      </c>
      <c r="AO5" t="str">
        <f>_xll.BDS("MTCH US Equity","SUPPLY_CHAIN_SUPPLIERS","RELATIONSHIP_AS_OF_DATE","20021219","cols=1;rows=5")</f>
        <v>053300 KS Equity</v>
      </c>
      <c r="AT5" t="str">
        <f>_xll.BDS("MTCH US Equity","SUPPLY_CHAIN_CUSTOMERS","RELATIONSHIP_AS_OF_DATE","20021219","cols=1;rows=3")</f>
        <v>AAPL US Equity</v>
      </c>
      <c r="AY5" t="str">
        <f>_xll.BDS("NWBI US Equity","SUPPLY_CHAIN_SUPPLIERS","RELATIONSHIP_AS_OF_DATE","20030312")</f>
        <v>FISV US Equity</v>
      </c>
      <c r="BD5" t="str">
        <f>_xll.BDS("NWBI US Equity","SUPPLY_CHAIN_CUSTOMERS","RELATIONSHIP_AS_OF_DATE","20030312")</f>
        <v>#N/A N/A</v>
      </c>
      <c r="BI5" t="str">
        <f>_xll.BDS("3075558Q US Equity","SUPPLY_CHAIN_SUPPLIERS","RELATIONSHIP_AS_OF_DATE","19980618")</f>
        <v>#N/A N/A</v>
      </c>
      <c r="BN5" t="str">
        <f>_xll.BDS("3075558Q US Equity","SUPPLY_CHAIN_CUSTOMERS","RELATIONSHIP_AS_OF_DATE","19980618")</f>
        <v>#N/A N/A</v>
      </c>
      <c r="BS5" t="str">
        <f>_xll.BDS("BFC US Equity","SUPPLY_CHAIN_SUPPLIERS","RELATIONSHIP_AS_OF_DATE","20220119")</f>
        <v>#N/A N/A</v>
      </c>
      <c r="BX5" t="str">
        <f>_xll.BDS("BFC US Equity","SUPPLY_CHAIN_CUSTOMERS","RELATIONSHIP_AS_OF_DATE","20220119")</f>
        <v>#N/A N/A</v>
      </c>
      <c r="CC5" t="str">
        <f>_xll.BDS("WTNY US Equity","SUPPLY_CHAIN_SUPPLIERS","RELATIONSHIP_AS_OF_DATE","20050728")</f>
        <v>#N/A N/A</v>
      </c>
      <c r="CH5" t="str">
        <f>_xll.BDS("WTNY US Equity","SUPPLY_CHAIN_CUSTOMERS","RELATIONSHIP_AS_OF_DATE","20050728")</f>
        <v>#N/A N/A</v>
      </c>
      <c r="CM5" t="str">
        <f>_xll.BDS("ZRAN US Equity","SUPPLY_CHAIN_SUPPLIERS","RELATIONSHIP_AS_OF_DATE","20000824")</f>
        <v>#N/A N/A</v>
      </c>
      <c r="CR5" t="str">
        <f>_xll.BDS("ZRAN US Equity","SUPPLY_CHAIN_CUSTOMERS","RELATIONSHIP_AS_OF_DATE","20000824")</f>
        <v>#N/A N/A</v>
      </c>
      <c r="CW5" t="str">
        <f>_xll.BDS("LBAI US Equity","SUPPLY_CHAIN_SUPPLIERS","RELATIONSHIP_AS_OF_DATE","20210712")</f>
        <v>#N/A N/A</v>
      </c>
      <c r="DB5" t="str">
        <f>_xll.BDS("LBAI US Equity","SUPPLY_CHAIN_CUSTOMERS","RELATIONSHIP_AS_OF_DATE","20210712")</f>
        <v>#N/A N/A</v>
      </c>
      <c r="DG5" t="str">
        <f>_xll.BDS("TIN US Equity","SUPPLY_CHAIN_SUPPLIERS","RELATIONSHIP_AS_OF_DATE","19981116")</f>
        <v>#N/A N/A</v>
      </c>
      <c r="DL5" t="str">
        <f>_xll.BDS("TIN US Equity","SUPPLY_CHAIN_CUSTOMERS","RELATIONSHIP_AS_OF_DATE","19981116")</f>
        <v>#N/A N/A</v>
      </c>
      <c r="DQ5" t="str">
        <f>_xll.BDS("390297Q US Equity","SUPPLY_CHAIN_SUPPLIERS","RELATIONSHIP_AS_OF_DATE","19980413")</f>
        <v>#N/A N/A</v>
      </c>
      <c r="DV5" t="str">
        <f>_xll.BDS("390297Q US Equity","SUPPLY_CHAIN_CUSTOMERS","RELATIONSHIP_AS_OF_DATE","19980413")</f>
        <v>#N/A N/A</v>
      </c>
      <c r="EA5" t="str">
        <f>_xll.BDS("TDFXQ US Equity","SUPPLY_CHAIN_SUPPLIERS","RELATIONSHIP_AS_OF_DATE","19981214")</f>
        <v>#N/A N/A</v>
      </c>
      <c r="EF5" t="str">
        <f>_xll.BDS("TDFXQ US Equity","SUPPLY_CHAIN_CUSTOMERS","RELATIONSHIP_AS_OF_DATE","19981214")</f>
        <v>#N/A N/A</v>
      </c>
      <c r="EK5" t="str">
        <f>_xll.BDS("GWR US Equity","SUPPLY_CHAIN_SUPPLIERS","RELATIONSHIP_AS_OF_DATE","20160815","cols=1;rows=5")</f>
        <v>AEE US Equity</v>
      </c>
      <c r="EP5" t="str">
        <f>_xll.BDS("GWR US Equity","SUPPLY_CHAIN_CUSTOMERS","RELATIONSHIP_AS_OF_DATE","20160815")</f>
        <v>SDSYA US Equity</v>
      </c>
      <c r="EU5" t="str">
        <f>_xll.BDS("RSYS US Equity","SUPPLY_CHAIN_SUPPLIERS","RELATIONSHIP_AS_OF_DATE","19990524")</f>
        <v>#N/A N/A</v>
      </c>
      <c r="EZ5" t="str">
        <f>_xll.BDS("RSYS US Equity","SUPPLY_CHAIN_CUSTOMERS","RELATIONSHIP_AS_OF_DATE","19990524")</f>
        <v>#N/A N/A</v>
      </c>
      <c r="FE5" t="str">
        <f>_xll.BDS("OCAI US Equity","SUPPLY_CHAIN_SUPPLIERS","RELATIONSHIP_AS_OF_DATE","20010517")</f>
        <v>#N/A N/A</v>
      </c>
      <c r="FJ5" t="str">
        <f>_xll.BDS("OCAI US Equity","SUPPLY_CHAIN_CUSTOMERS","RELATIONSHIP_AS_OF_DATE","20010517")</f>
        <v>#N/A N/A</v>
      </c>
      <c r="FO5" t="str">
        <f>_xll.BDS("355488Q US Equity","SUPPLY_CHAIN_SUPPLIERS","RELATIONSHIP_AS_OF_DATE","19980113")</f>
        <v>#N/A N/A</v>
      </c>
      <c r="FT5" t="str">
        <f>_xll.BDS("355488Q US Equity","SUPPLY_CHAIN_CUSTOMERS","RELATIONSHIP_AS_OF_DATE","19980113")</f>
        <v>#N/A N/A</v>
      </c>
      <c r="FY5" t="str">
        <f>_xll.BDS("WSO US Equity","SUPPLY_CHAIN_SUPPLIERS","RELATIONSHIP_AS_OF_DATE","20070705","cols=1;rows=5")</f>
        <v>CARR US Equity</v>
      </c>
      <c r="GD5" t="str">
        <f>_xll.BDS("WSO US Equity","SUPPLY_CHAIN_CUSTOMERS","RELATIONSHIP_AS_OF_DATE","20070705","cols=1;rows=2")</f>
        <v>CARR US Equity</v>
      </c>
      <c r="GI5" t="str">
        <f>_xll.BDS("TFC US Equity","SUPPLY_CHAIN_SUPPLIERS","RELATIONSHIP_AS_OF_DATE","19980810","cols=1;rows=5")</f>
        <v>ADBE US Equity</v>
      </c>
      <c r="GN5" t="str">
        <f>_xll.BDS("TFC US Equity","SUPPLY_CHAIN_CUSTOMERS","RELATIONSHIP_AS_OF_DATE","19980810")</f>
        <v>RENG IN Equity</v>
      </c>
      <c r="GS5" t="str">
        <f>_xll.BDS("DME US Equity","SUPPLY_CHAIN_SUPPLIERS","RELATIONSHIP_AS_OF_DATE","19981216")</f>
        <v>#N/A N/A</v>
      </c>
      <c r="GX5" t="str">
        <f>_xll.BDS("DME US Equity","SUPPLY_CHAIN_CUSTOMERS","RELATIONSHIP_AS_OF_DATE","19981216")</f>
        <v>#N/A N/A</v>
      </c>
      <c r="HC5" t="str">
        <f>_xll.BDS("SNV US Equity","SUPPLY_CHAIN_SUPPLIERS","RELATIONSHIP_AS_OF_DATE","19990322")</f>
        <v>VYX US Equity</v>
      </c>
      <c r="HH5" t="str">
        <f>_xll.BDS("SNV US Equity","SUPPLY_CHAIN_CUSTOMERS","RELATIONSHIP_AS_OF_DATE","19990322")</f>
        <v>#N/A N/A</v>
      </c>
      <c r="HM5" t="str">
        <f>_xll.BDS("NCOG US Equity","SUPPLY_CHAIN_SUPPLIERS","RELATIONSHIP_AS_OF_DATE","19990513")</f>
        <v>#N/A N/A</v>
      </c>
      <c r="HR5" t="str">
        <f>_xll.BDS("NCOG US Equity","SUPPLY_CHAIN_CUSTOMERS","RELATIONSHIP_AS_OF_DATE","19990513")</f>
        <v>#N/A N/A</v>
      </c>
      <c r="HW5" t="str">
        <f>_xll.BDS("RESC US Equity","SUPPLY_CHAIN_SUPPLIERS","RELATIONSHIP_AS_OF_DATE","19981110")</f>
        <v>#N/A N/A</v>
      </c>
      <c r="IB5" t="str">
        <f>_xll.BDS("RESC US Equity","SUPPLY_CHAIN_CUSTOMERS","RELATIONSHIP_AS_OF_DATE","19981110")</f>
        <v>#N/A N/A</v>
      </c>
      <c r="IG5" t="str">
        <f>_xll.BDS("IWLC US Equity","SUPPLY_CHAIN_SUPPLIERS","RELATIONSHIP_AS_OF_DATE","19980217")</f>
        <v>#N/A N/A</v>
      </c>
      <c r="IL5" t="str">
        <f>_xll.BDS("IWLC US Equity","SUPPLY_CHAIN_CUSTOMERS","RELATIONSHIP_AS_OF_DATE","19980217")</f>
        <v>#N/A N/A</v>
      </c>
      <c r="IQ5" t="str">
        <f>_xll.BDS("3346Q US Equity","SUPPLY_CHAIN_SUPPLIERS","RELATIONSHIP_AS_OF_DATE","19990902")</f>
        <v>#N/A N/A</v>
      </c>
      <c r="IV5" t="str">
        <f>_xll.BDS("3346Q US Equity","SUPPLY_CHAIN_CUSTOMERS","RELATIONSHIP_AS_OF_DATE","19990902")</f>
        <v>#N/A N/A</v>
      </c>
      <c r="JA5" t="str">
        <f>_xll.BDS("BPFH US Equity","SUPPLY_CHAIN_SUPPLIERS","RELATIONSHIP_AS_OF_DATE","20010627")</f>
        <v>#N/A N/A</v>
      </c>
      <c r="JF5" t="str">
        <f>_xll.BDS("BPFH US Equity","SUPPLY_CHAIN_CUSTOMERS","RELATIONSHIP_AS_OF_DATE","20010627")</f>
        <v>#N/A N/A</v>
      </c>
      <c r="JK5" t="str">
        <f>_xll.BDS("AMCC US Equity","SUPPLY_CHAIN_SUPPLIERS","RELATIONSHIP_AS_OF_DATE","20030828")</f>
        <v>#N/A N/A</v>
      </c>
      <c r="JP5" t="str">
        <f>_xll.BDS("AMCC US Equity","SUPPLY_CHAIN_CUSTOMERS","RELATIONSHIP_AS_OF_DATE","20030828")</f>
        <v>#N/A N/A</v>
      </c>
      <c r="JU5" t="str">
        <f>_xll.BDS("CW US Equity","SUPPLY_CHAIN_SUPPLIERS","RELATIONSHIP_AS_OF_DATE","20121101","cols=1;rows=5")</f>
        <v>MELE BB Equity</v>
      </c>
      <c r="JZ5" t="str">
        <f>_xll.BDS("CW US Equity","SUPPLY_CHAIN_CUSTOMERS","RELATIONSHIP_AS_OF_DATE","20121101","cols=1;rows=5")</f>
        <v>3352Z US Equity</v>
      </c>
      <c r="KE5" t="str">
        <f>_xll.BDS("NAL US Equity","SUPPLY_CHAIN_SUPPLIERS","RELATIONSHIP_AS_OF_DATE","20060718")</f>
        <v>#N/A N/A</v>
      </c>
      <c r="KJ5" t="str">
        <f>_xll.BDS("NAL US Equity","SUPPLY_CHAIN_CUSTOMERS","RELATIONSHIP_AS_OF_DATE","20060718")</f>
        <v>#N/A N/A</v>
      </c>
      <c r="KO5" t="str">
        <f>_xll.BDS("ODSY US Equity","SUPPLY_CHAIN_SUPPLIERS","RELATIONSHIP_AS_OF_DATE","20080115")</f>
        <v>#N/A N/A</v>
      </c>
      <c r="KT5" t="str">
        <f>_xll.BDS("ODSY US Equity","SUPPLY_CHAIN_CUSTOMERS","RELATIONSHIP_AS_OF_DATE","20080115")</f>
        <v>#N/A N/A</v>
      </c>
      <c r="KY5" t="str">
        <f>_xll.BDS("OSBC US Equity","SUPPLY_CHAIN_SUPPLIERS","RELATIONSHIP_AS_OF_DATE","20210726")</f>
        <v>#N/A N/A</v>
      </c>
      <c r="LD5" t="str">
        <f>_xll.BDS("OSBC US Equity","SUPPLY_CHAIN_CUSTOMERS","RELATIONSHIP_AS_OF_DATE","20210726")</f>
        <v>#N/A N/A</v>
      </c>
      <c r="LI5" t="str">
        <f>_xll.BDS("AON US Equity","SUPPLY_CHAIN_SUPPLIERS","RELATIONSHIP_AS_OF_DATE","20010223","cols=1;rows=5")</f>
        <v>1972 HK Equity</v>
      </c>
      <c r="LN5" t="str">
        <f>_xll.BDS("AON US Equity","SUPPLY_CHAIN_CUSTOMERS","RELATIONSHIP_AS_OF_DATE","20010223","cols=1;rows=5")</f>
        <v>FPAYQ US Equity</v>
      </c>
      <c r="LS5" t="str">
        <f>_xll.BDS("WAI US Equity","SUPPLY_CHAIN_SUPPLIERS","RELATIONSHIP_AS_OF_DATE","19980309")</f>
        <v>#N/A N/A</v>
      </c>
      <c r="LX5" t="str">
        <f>_xll.BDS("WAI US Equity","SUPPLY_CHAIN_CUSTOMERS","RELATIONSHIP_AS_OF_DATE","19980309")</f>
        <v>#N/A N/A</v>
      </c>
      <c r="MC5" t="str">
        <f>_xll.BDS("INVA US Equity","SUPPLY_CHAIN_SUPPLIERS","RELATIONSHIP_AS_OF_DATE","20220711","cols=1;rows=5")</f>
        <v>7431Z US Equity</v>
      </c>
      <c r="MH5" t="str">
        <f>_xll.BDS("INVA US Equity","SUPPLY_CHAIN_CUSTOMERS","RELATIONSHIP_AS_OF_DATE","20220711","cols=1;rows=5")</f>
        <v>GSK LN Equity</v>
      </c>
      <c r="MM5" t="str">
        <f>_xll.BDS("TSFG US Equity","SUPPLY_CHAIN_SUPPLIERS","RELATIONSHIP_AS_OF_DATE","20020321")</f>
        <v>#N/A N/A</v>
      </c>
      <c r="MR5" t="str">
        <f>_xll.BDS("TSFG US Equity","SUPPLY_CHAIN_CUSTOMERS","RELATIONSHIP_AS_OF_DATE","20020321")</f>
        <v>#N/A N/A</v>
      </c>
      <c r="MW5" t="str">
        <f>_xll.BDS("LTWC US Equity","SUPPLY_CHAIN_SUPPLIERS","RELATIONSHIP_AS_OF_DATE","20010420")</f>
        <v>#N/A N/A</v>
      </c>
      <c r="NB5" t="str">
        <f>_xll.BDS("LTWC US Equity","SUPPLY_CHAIN_CUSTOMERS","RELATIONSHIP_AS_OF_DATE","20010420")</f>
        <v>#N/A N/A</v>
      </c>
      <c r="NG5" t="str">
        <f>_xll.BDS("RNST US Equity","SUPPLY_CHAIN_SUPPLIERS","RELATIONSHIP_AS_OF_DATE","20130207")</f>
        <v>#N/A N/A</v>
      </c>
      <c r="NL5" t="str">
        <f>_xll.BDS("RNST US Equity","SUPPLY_CHAIN_CUSTOMERS","RELATIONSHIP_AS_OF_DATE","20130207")</f>
        <v>#N/A N/A</v>
      </c>
      <c r="NQ5" t="str">
        <f>_xll.BDS("SKYW US Equity","SUPPLY_CHAIN_SUPPLIERS","RELATIONSHIP_AS_OF_DATE","20100804","cols=1;rows=5")</f>
        <v>GE US Equity</v>
      </c>
      <c r="NV5" t="str">
        <f>_xll.BDS("SKYW US Equity","SUPPLY_CHAIN_CUSTOMERS","RELATIONSHIP_AS_OF_DATE","20100804","cols=1;rows=5")</f>
        <v>AAL US Equity</v>
      </c>
      <c r="OA5" t="str">
        <f>_xll.BDS("BMTC US Equity","SUPPLY_CHAIN_SUPPLIERS","RELATIONSHIP_AS_OF_DATE","20170131")</f>
        <v>#N/A N/A</v>
      </c>
      <c r="OF5" t="str">
        <f>_xll.BDS("BMTC US Equity","SUPPLY_CHAIN_CUSTOMERS","RELATIONSHIP_AS_OF_DATE","20170131")</f>
        <v>#N/A N/A</v>
      </c>
    </row>
    <row r="6" spans="1:396" x14ac:dyDescent="0.25">
      <c r="A6" t="s">
        <v>3162</v>
      </c>
      <c r="AO6" t="s">
        <v>11503</v>
      </c>
      <c r="AT6" t="s">
        <v>2705</v>
      </c>
      <c r="EK6" t="s">
        <v>10696</v>
      </c>
      <c r="FY6" t="s">
        <v>11983</v>
      </c>
      <c r="GD6" t="s">
        <v>11708</v>
      </c>
      <c r="GI6" t="s">
        <v>11371</v>
      </c>
      <c r="JU6" t="s">
        <v>10878</v>
      </c>
      <c r="JZ6" t="s">
        <v>1363</v>
      </c>
      <c r="LI6" t="s">
        <v>11436</v>
      </c>
      <c r="LN6" t="s">
        <v>11405</v>
      </c>
      <c r="MC6" t="s">
        <v>10843</v>
      </c>
      <c r="MH6" t="s">
        <v>10795</v>
      </c>
      <c r="NQ6" t="s">
        <v>10973</v>
      </c>
      <c r="NV6" t="s">
        <v>2208</v>
      </c>
    </row>
    <row r="7" spans="1:396" x14ac:dyDescent="0.25">
      <c r="AO7" t="s">
        <v>11504</v>
      </c>
      <c r="AT7" t="s">
        <v>11037</v>
      </c>
      <c r="EK7" t="s">
        <v>1265</v>
      </c>
      <c r="FY7" t="s">
        <v>489</v>
      </c>
      <c r="GI7" t="s">
        <v>10986</v>
      </c>
      <c r="JU7" t="s">
        <v>1935</v>
      </c>
      <c r="JZ7" t="s">
        <v>667</v>
      </c>
      <c r="LI7" t="s">
        <v>11289</v>
      </c>
      <c r="LN7" t="s">
        <v>11406</v>
      </c>
      <c r="MC7" t="s">
        <v>10844</v>
      </c>
      <c r="MH7" t="s">
        <v>10796</v>
      </c>
      <c r="NQ7" t="s">
        <v>11010</v>
      </c>
      <c r="NV7" t="s">
        <v>1847</v>
      </c>
    </row>
    <row r="8" spans="1:396" x14ac:dyDescent="0.25">
      <c r="AO8" t="s">
        <v>5236</v>
      </c>
      <c r="EK8" t="s">
        <v>10977</v>
      </c>
      <c r="FY8" t="s">
        <v>982</v>
      </c>
      <c r="GI8" t="s">
        <v>11372</v>
      </c>
      <c r="JU8" t="s">
        <v>12300</v>
      </c>
      <c r="JZ8" t="s">
        <v>10939</v>
      </c>
      <c r="LI8" t="s">
        <v>11437</v>
      </c>
      <c r="LN8" t="s">
        <v>11407</v>
      </c>
      <c r="MC8" t="s">
        <v>10834</v>
      </c>
      <c r="MH8" t="s">
        <v>10797</v>
      </c>
      <c r="NQ8" t="s">
        <v>10878</v>
      </c>
      <c r="NV8" t="s">
        <v>11599</v>
      </c>
    </row>
    <row r="9" spans="1:396" x14ac:dyDescent="0.25">
      <c r="AO9" t="s">
        <v>11505</v>
      </c>
      <c r="EK9" t="s">
        <v>8925</v>
      </c>
      <c r="FY9" t="s">
        <v>11751</v>
      </c>
      <c r="GI9" t="s">
        <v>10987</v>
      </c>
      <c r="JU9" t="s">
        <v>12301</v>
      </c>
      <c r="JZ9" t="s">
        <v>10785</v>
      </c>
      <c r="LI9" t="s">
        <v>11438</v>
      </c>
      <c r="LN9" t="s">
        <v>11408</v>
      </c>
      <c r="MC9" t="s">
        <v>10845</v>
      </c>
      <c r="MH9" t="s">
        <v>10798</v>
      </c>
      <c r="NQ9" t="s">
        <v>11450</v>
      </c>
      <c r="NV9" t="s">
        <v>1652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7246</v>
      </c>
      <c r="K1" s="1" t="s">
        <v>7247</v>
      </c>
      <c r="U1" s="1" t="s">
        <v>7248</v>
      </c>
      <c r="AE1" s="1" t="s">
        <v>7249</v>
      </c>
      <c r="AO1" s="1" t="s">
        <v>7250</v>
      </c>
      <c r="AY1" s="1" t="s">
        <v>7251</v>
      </c>
      <c r="BI1" s="1" t="s">
        <v>7252</v>
      </c>
      <c r="BS1" s="1" t="s">
        <v>7253</v>
      </c>
      <c r="CC1" s="1" t="s">
        <v>7254</v>
      </c>
      <c r="CM1" s="1" t="s">
        <v>7255</v>
      </c>
      <c r="CW1" s="1" t="s">
        <v>7256</v>
      </c>
      <c r="DG1" s="1" t="s">
        <v>7257</v>
      </c>
      <c r="DQ1" s="1" t="s">
        <v>7258</v>
      </c>
      <c r="EA1" s="1" t="s">
        <v>7259</v>
      </c>
      <c r="EK1" s="1" t="s">
        <v>7260</v>
      </c>
      <c r="EU1" s="1" t="s">
        <v>7261</v>
      </c>
      <c r="FE1" s="1" t="s">
        <v>7262</v>
      </c>
      <c r="FO1" s="1" t="s">
        <v>7263</v>
      </c>
      <c r="FY1" s="1" t="s">
        <v>7264</v>
      </c>
      <c r="GI1" s="1" t="s">
        <v>7265</v>
      </c>
      <c r="GS1" s="1" t="s">
        <v>7266</v>
      </c>
      <c r="HC1" s="1" t="s">
        <v>7267</v>
      </c>
      <c r="HM1" s="1" t="s">
        <v>7268</v>
      </c>
      <c r="HW1" s="1" t="s">
        <v>7269</v>
      </c>
      <c r="IG1" s="1" t="s">
        <v>7270</v>
      </c>
      <c r="IQ1" s="1" t="s">
        <v>7271</v>
      </c>
      <c r="JA1" s="1" t="s">
        <v>7272</v>
      </c>
      <c r="JK1" s="1" t="s">
        <v>7273</v>
      </c>
      <c r="JU1" s="1" t="s">
        <v>7274</v>
      </c>
      <c r="KE1" s="1" t="s">
        <v>7275</v>
      </c>
      <c r="KO1" s="1" t="s">
        <v>7276</v>
      </c>
      <c r="KY1" s="1" t="s">
        <v>7277</v>
      </c>
      <c r="LI1" s="1" t="s">
        <v>7278</v>
      </c>
      <c r="LS1" s="1" t="s">
        <v>7279</v>
      </c>
      <c r="MC1" s="1" t="s">
        <v>7280</v>
      </c>
      <c r="MM1" s="1" t="s">
        <v>7281</v>
      </c>
      <c r="MW1" s="1" t="s">
        <v>7282</v>
      </c>
      <c r="NG1" s="1" t="s">
        <v>7283</v>
      </c>
      <c r="NQ1" s="1" t="s">
        <v>7284</v>
      </c>
      <c r="OA1" s="1" t="s">
        <v>7285</v>
      </c>
    </row>
    <row r="2" spans="1:396" x14ac:dyDescent="0.25">
      <c r="A2" s="2" t="s">
        <v>7286</v>
      </c>
      <c r="K2" s="2" t="s">
        <v>7287</v>
      </c>
      <c r="U2" s="2" t="s">
        <v>5241</v>
      </c>
      <c r="AE2" s="2" t="s">
        <v>7288</v>
      </c>
      <c r="AO2" s="2" t="s">
        <v>3056</v>
      </c>
      <c r="AY2" s="2" t="s">
        <v>6322</v>
      </c>
      <c r="BI2" s="2" t="s">
        <v>7289</v>
      </c>
      <c r="BS2" s="2" t="s">
        <v>7290</v>
      </c>
      <c r="CC2" s="2" t="s">
        <v>3243</v>
      </c>
      <c r="CM2" s="2" t="s">
        <v>2874</v>
      </c>
      <c r="CW2" s="2" t="s">
        <v>7291</v>
      </c>
      <c r="DG2" s="2" t="s">
        <v>276</v>
      </c>
      <c r="DQ2" s="2" t="s">
        <v>6968</v>
      </c>
      <c r="EA2" s="2" t="s">
        <v>7292</v>
      </c>
      <c r="EK2" s="2" t="s">
        <v>5832</v>
      </c>
      <c r="EU2" s="2" t="s">
        <v>7293</v>
      </c>
      <c r="FE2" s="2" t="s">
        <v>7294</v>
      </c>
      <c r="FO2" s="2" t="s">
        <v>6244</v>
      </c>
      <c r="FY2" s="2" t="s">
        <v>4641</v>
      </c>
      <c r="GI2" s="2" t="s">
        <v>7295</v>
      </c>
      <c r="GS2" s="2" t="s">
        <v>1928</v>
      </c>
      <c r="HC2" s="2" t="s">
        <v>6244</v>
      </c>
      <c r="HM2" s="2" t="s">
        <v>6798</v>
      </c>
      <c r="HW2" s="2" t="s">
        <v>7296</v>
      </c>
      <c r="IG2" s="2" t="s">
        <v>791</v>
      </c>
      <c r="IQ2" s="2" t="s">
        <v>7297</v>
      </c>
      <c r="JA2" s="2" t="s">
        <v>7298</v>
      </c>
      <c r="JK2" s="2" t="s">
        <v>5497</v>
      </c>
      <c r="JU2" s="2" t="s">
        <v>7299</v>
      </c>
      <c r="KE2" s="2" t="s">
        <v>1656</v>
      </c>
      <c r="KO2" s="2" t="s">
        <v>2981</v>
      </c>
      <c r="KY2" s="2" t="s">
        <v>3258</v>
      </c>
      <c r="LI2" s="2" t="s">
        <v>4209</v>
      </c>
      <c r="LS2" s="2" t="s">
        <v>6551</v>
      </c>
      <c r="MC2" s="2" t="s">
        <v>673</v>
      </c>
      <c r="MM2" s="2" t="s">
        <v>7300</v>
      </c>
      <c r="MW2" s="2" t="s">
        <v>4125</v>
      </c>
      <c r="NG2" s="2" t="s">
        <v>7301</v>
      </c>
      <c r="NQ2" s="2" t="s">
        <v>7302</v>
      </c>
      <c r="OA2" s="2" t="s">
        <v>6885</v>
      </c>
    </row>
    <row r="3" spans="1:396" x14ac:dyDescent="0.25">
      <c r="A3" t="s">
        <v>7303</v>
      </c>
      <c r="K3" t="s">
        <v>7304</v>
      </c>
      <c r="U3" t="s">
        <v>7305</v>
      </c>
      <c r="AE3" t="s">
        <v>7306</v>
      </c>
      <c r="AO3" t="s">
        <v>7307</v>
      </c>
      <c r="AY3" t="s">
        <v>7308</v>
      </c>
      <c r="BI3" t="s">
        <v>7309</v>
      </c>
      <c r="BS3" t="s">
        <v>7310</v>
      </c>
      <c r="CC3" t="s">
        <v>7082</v>
      </c>
      <c r="CM3" t="s">
        <v>7311</v>
      </c>
      <c r="CW3" t="s">
        <v>6489</v>
      </c>
      <c r="DG3" t="s">
        <v>7312</v>
      </c>
      <c r="DQ3" t="s">
        <v>7313</v>
      </c>
      <c r="EA3" t="s">
        <v>7314</v>
      </c>
      <c r="EK3" t="s">
        <v>3173</v>
      </c>
      <c r="EU3" t="s">
        <v>2227</v>
      </c>
      <c r="FE3" t="s">
        <v>4493</v>
      </c>
      <c r="FO3" t="s">
        <v>7315</v>
      </c>
      <c r="FY3" t="s">
        <v>908</v>
      </c>
      <c r="GI3" t="s">
        <v>7316</v>
      </c>
      <c r="GS3" t="s">
        <v>7317</v>
      </c>
      <c r="HC3" t="s">
        <v>7318</v>
      </c>
      <c r="HM3" t="s">
        <v>4328</v>
      </c>
      <c r="HW3" t="s">
        <v>7319</v>
      </c>
      <c r="IG3" t="s">
        <v>5860</v>
      </c>
      <c r="IQ3" t="s">
        <v>7320</v>
      </c>
      <c r="JA3" t="s">
        <v>7164</v>
      </c>
      <c r="JK3" t="s">
        <v>7321</v>
      </c>
      <c r="JU3" t="s">
        <v>7322</v>
      </c>
      <c r="KE3" t="s">
        <v>3968</v>
      </c>
      <c r="KO3" t="s">
        <v>7323</v>
      </c>
      <c r="KY3" t="s">
        <v>7314</v>
      </c>
      <c r="LI3" t="s">
        <v>7324</v>
      </c>
      <c r="LS3" t="s">
        <v>2730</v>
      </c>
      <c r="MC3" t="s">
        <v>4421</v>
      </c>
      <c r="MM3" t="s">
        <v>7325</v>
      </c>
      <c r="MW3" t="s">
        <v>6006</v>
      </c>
      <c r="NG3" t="s">
        <v>7326</v>
      </c>
      <c r="NQ3" t="s">
        <v>7327</v>
      </c>
      <c r="OA3" t="s">
        <v>7328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_xll.BDS("KTO US Equity","SUPPLY_CHAIN_SUPPLIERS","RELATIONSHIP_AS_OF_DATE","20021216")</f>
        <v>#N/A N/A</v>
      </c>
      <c r="F5" t="str">
        <f>_xll.BDS("KTO US Equity","SUPPLY_CHAIN_CUSTOMERS","RELATIONSHIP_AS_OF_DATE","20021216")</f>
        <v>#N/A N/A</v>
      </c>
      <c r="K5" t="str">
        <f>_xll.BDS("CTLT US Equity","SUPPLY_CHAIN_SUPPLIERS","RELATIONSHIP_AS_OF_DATE","20180703","cols=1;rows=5")</f>
        <v>AZTA US Equity</v>
      </c>
      <c r="P5" t="str">
        <f>_xll.BDS("CTLT US Equity","SUPPLY_CHAIN_CUSTOMERS","RELATIONSHIP_AS_OF_DATE","20180703","cols=1;rows=5")</f>
        <v>NOVOB DC Equity</v>
      </c>
      <c r="U5" t="str">
        <f>_xll.BDS("TSA US Equity","SUPPLY_CHAIN_SUPPLIERS","RELATIONSHIP_AS_OF_DATE","20010222")</f>
        <v>#N/A N/A</v>
      </c>
      <c r="Z5" t="str">
        <f>_xll.BDS("TSA US Equity","SUPPLY_CHAIN_CUSTOMERS","RELATIONSHIP_AS_OF_DATE","20010222")</f>
        <v>#N/A N/A</v>
      </c>
      <c r="AE5" t="str">
        <f>_xll.BDS("ASRT US Equity","SUPPLY_CHAIN_SUPPLIERS","RELATIONSHIP_AS_OF_DATE","20200316","cols=1;rows=5")</f>
        <v>HALO US Equity</v>
      </c>
      <c r="AJ5" t="str">
        <f>_xll.BDS("ASRT US Equity","SUPPLY_CHAIN_CUSTOMERS","RELATIONSHIP_AS_OF_DATE","20200316","cols=1;rows=5")</f>
        <v>COR US Equity</v>
      </c>
      <c r="AO5" t="str">
        <f>_xll.BDS("INTU US Equity","SUPPLY_CHAIN_SUPPLIERS","RELATIONSHIP_AS_OF_DATE","20071219","cols=1;rows=5")</f>
        <v>EMBASSY IN Equity</v>
      </c>
      <c r="AT5" t="str">
        <f>_xll.BDS("INTU US Equity","SUPPLY_CHAIN_CUSTOMERS","RELATIONSHIP_AS_OF_DATE","20071219","cols=1;rows=5")</f>
        <v>SNX US Equity</v>
      </c>
      <c r="AY5" t="str">
        <f>_xll.BDS("CNVR US Equity","SUPPLY_CHAIN_SUPPLIERS","RELATIONSHIP_AS_OF_DATE","20020311")</f>
        <v>#N/A N/A</v>
      </c>
      <c r="BD5" t="str">
        <f>_xll.BDS("CNVR US Equity","SUPPLY_CHAIN_CUSTOMERS","RELATIONSHIP_AS_OF_DATE","20020311")</f>
        <v>#N/A N/A</v>
      </c>
      <c r="BI5" t="str">
        <f>_xll.BDS("FSTR US Equity","SUPPLY_CHAIN_SUPPLIERS","RELATIONSHIP_AS_OF_DATE","20100217","cols=1;rows=5")</f>
        <v>AEP US Equity</v>
      </c>
      <c r="BN5" t="str">
        <f>_xll.BDS("FSTR US Equity","SUPPLY_CHAIN_CUSTOMERS","RELATIONSHIP_AS_OF_DATE","20100217")</f>
        <v>#N/A N/A</v>
      </c>
      <c r="BS5" t="str">
        <f>_xll.BDS("CAMPQ US Equity","SUPPLY_CHAIN_SUPPLIERS","RELATIONSHIP_AS_OF_DATE","20151210","cols=1;rows=5")</f>
        <v>0131527D US Equity</v>
      </c>
      <c r="BX5" t="str">
        <f>_xll.BDS("CAMPQ US Equity","SUPPLY_CHAIN_CUSTOMERS","RELATIONSHIP_AS_OF_DATE","20151210","cols=1;rows=5")</f>
        <v>SNX US Equity</v>
      </c>
      <c r="CC5" t="str">
        <f>_xll.BDS("3406956Q US Equity","SUPPLY_CHAIN_SUPPLIERS","RELATIONSHIP_AS_OF_DATE","20030723")</f>
        <v>#N/A N/A</v>
      </c>
      <c r="CH5" t="str">
        <f>_xll.BDS("3406956Q US Equity","SUPPLY_CHAIN_CUSTOMERS","RELATIONSHIP_AS_OF_DATE","20030723")</f>
        <v>#N/A N/A</v>
      </c>
      <c r="CM5" t="str">
        <f>_xll.BDS("FNB US Equity","SUPPLY_CHAIN_SUPPLIERS","RELATIONSHIP_AS_OF_DATE","20220601")</f>
        <v>HY US Equity</v>
      </c>
      <c r="CR5" t="str">
        <f>_xll.BDS("FNB US Equity","SUPPLY_CHAIN_CUSTOMERS","RELATIONSHIP_AS_OF_DATE","20220601")</f>
        <v>#N/A N/A</v>
      </c>
      <c r="CW5" t="str">
        <f>_xll.BDS("604898Q US Equity","SUPPLY_CHAIN_SUPPLIERS","RELATIONSHIP_AS_OF_DATE","20000131")</f>
        <v>#N/A N/A</v>
      </c>
      <c r="DB5" t="str">
        <f>_xll.BDS("604898Q US Equity","SUPPLY_CHAIN_CUSTOMERS","RELATIONSHIP_AS_OF_DATE","20000131")</f>
        <v>#N/A N/A</v>
      </c>
      <c r="DG5" t="str">
        <f>_xll.BDS("WM US Equity","SUPPLY_CHAIN_SUPPLIERS","RELATIONSHIP_AS_OF_DATE","19980127","cols=1;rows=5")</f>
        <v>CNR CN Equity</v>
      </c>
      <c r="DL5" t="str">
        <f>_xll.BDS("WM US Equity","SUPPLY_CHAIN_CUSTOMERS","RELATIONSHIP_AS_OF_DATE","19980127")</f>
        <v>FLCM US Equity</v>
      </c>
      <c r="DQ5" t="str">
        <f>_xll.BDS("2185054D US Equity","SUPPLY_CHAIN_SUPPLIERS","RELATIONSHIP_AS_OF_DATE","20110124")</f>
        <v>#N/A N/A</v>
      </c>
      <c r="DV5" t="str">
        <f>_xll.BDS("2185054D US Equity","SUPPLY_CHAIN_CUSTOMERS","RELATIONSHIP_AS_OF_DATE","20110124")</f>
        <v>#N/A N/A</v>
      </c>
      <c r="EA5" t="str">
        <f>_xll.BDS("PSTB US Equity","SUPPLY_CHAIN_SUPPLIERS","RELATIONSHIP_AS_OF_DATE","20151001")</f>
        <v>#N/A N/A</v>
      </c>
      <c r="EF5" t="str">
        <f>_xll.BDS("PSTB US Equity","SUPPLY_CHAIN_CUSTOMERS","RELATIONSHIP_AS_OF_DATE","20151001")</f>
        <v>#N/A N/A</v>
      </c>
      <c r="EK5" t="str">
        <f>_xll.BDS("VIAS US Equity","SUPPLY_CHAIN_SUPPLIERS","RELATIONSHIP_AS_OF_DATE","20091006")</f>
        <v>#N/A N/A</v>
      </c>
      <c r="EP5" t="str">
        <f>_xll.BDS("VIAS US Equity","SUPPLY_CHAIN_CUSTOMERS","RELATIONSHIP_AS_OF_DATE","20091006")</f>
        <v>#N/A N/A</v>
      </c>
      <c r="EU5" t="str">
        <f>_xll.BDS("WNEB US Equity","SUPPLY_CHAIN_SUPPLIERS","RELATIONSHIP_AS_OF_DATE","20160404")</f>
        <v>#N/A N/A</v>
      </c>
      <c r="EZ5" t="str">
        <f>_xll.BDS("WNEB US Equity","SUPPLY_CHAIN_CUSTOMERS","RELATIONSHIP_AS_OF_DATE","20160404")</f>
        <v>#N/A N/A</v>
      </c>
      <c r="FE5" t="str">
        <f>_xll.BDS("CALX US Equity","SUPPLY_CHAIN_SUPPLIERS","RELATIONSHIP_AS_OF_DATE","20100916","cols=1;rows=5")</f>
        <v>JBL US Equity</v>
      </c>
      <c r="FJ5" t="str">
        <f>_xll.BDS("CALX US Equity","SUPPLY_CHAIN_CUSTOMERS","RELATIONSHIP_AS_OF_DATE","20100916","cols=1;rows=5")</f>
        <v>0035808D US Equity</v>
      </c>
      <c r="FO5" t="str">
        <f>_xll.BDS("BBT US Equity","SUPPLY_CHAIN_SUPPLIERS","RELATIONSHIP_AS_OF_DATE","20101221")</f>
        <v>#N/A N/A</v>
      </c>
      <c r="FT5" t="str">
        <f>_xll.BDS("BBT US Equity","SUPPLY_CHAIN_CUSTOMERS","RELATIONSHIP_AS_OF_DATE","20101221")</f>
        <v>#N/A N/A</v>
      </c>
      <c r="FY5" t="str">
        <f>_xll.BDS("CHZ US Equity","SUPPLY_CHAIN_SUPPLIERS","RELATIONSHIP_AS_OF_DATE","20070119")</f>
        <v>#N/A N/A</v>
      </c>
      <c r="GD5" t="str">
        <f>_xll.BDS("CHZ US Equity","SUPPLY_CHAIN_CUSTOMERS","RELATIONSHIP_AS_OF_DATE","20070119")</f>
        <v>#N/A N/A</v>
      </c>
      <c r="GI5" t="str">
        <f>_xll.BDS("CSTR US Equity","SUPPLY_CHAIN_SUPPLIERS","RELATIONSHIP_AS_OF_DATE","20180611")</f>
        <v>#N/A N/A</v>
      </c>
      <c r="GN5" t="str">
        <f>_xll.BDS("CSTR US Equity","SUPPLY_CHAIN_CUSTOMERS","RELATIONSHIP_AS_OF_DATE","20180611")</f>
        <v>#N/A N/A</v>
      </c>
      <c r="GS5" t="str">
        <f>_xll.BDS("3867693Z US Equity","SUPPLY_CHAIN_SUPPLIERS","RELATIONSHIP_AS_OF_DATE","20070404")</f>
        <v>#N/A N/A</v>
      </c>
      <c r="GX5" t="str">
        <f>_xll.BDS("3867693Z US Equity","SUPPLY_CHAIN_CUSTOMERS","RELATIONSHIP_AS_OF_DATE","20070404")</f>
        <v>#N/A N/A</v>
      </c>
      <c r="HC5" t="str">
        <f>_xll.BDS("BBT US Equity","SUPPLY_CHAIN_SUPPLIERS","RELATIONSHIP_AS_OF_DATE","20141104")</f>
        <v>#N/A N/A</v>
      </c>
      <c r="HH5" t="str">
        <f>_xll.BDS("BBT US Equity","SUPPLY_CHAIN_CUSTOMERS","RELATIONSHIP_AS_OF_DATE","20141104")</f>
        <v>#N/A N/A</v>
      </c>
      <c r="HM5" t="str">
        <f>_xll.BDS("2676187Q US Equity","SUPPLY_CHAIN_SUPPLIERS","RELATIONSHIP_AS_OF_DATE","20010629")</f>
        <v>#N/A N/A</v>
      </c>
      <c r="HR5" t="str">
        <f>_xll.BDS("2676187Q US Equity","SUPPLY_CHAIN_CUSTOMERS","RELATIONSHIP_AS_OF_DATE","20010629")</f>
        <v>#N/A N/A</v>
      </c>
      <c r="HW5" t="str">
        <f>_xll.BDS("TWGP US Equity","SUPPLY_CHAIN_SUPPLIERS","RELATIONSHIP_AS_OF_DATE","20090622")</f>
        <v>#N/A N/A</v>
      </c>
      <c r="IB5" t="str">
        <f>_xll.BDS("TWGP US Equity","SUPPLY_CHAIN_CUSTOMERS","RELATIONSHIP_AS_OF_DATE","20090622")</f>
        <v>#N/A N/A</v>
      </c>
      <c r="IG5" t="str">
        <f>_xll.BDS("LVLT US Equity","SUPPLY_CHAIN_SUPPLIERS","RELATIONSHIP_AS_OF_DATE","20020502")</f>
        <v>#N/A N/A</v>
      </c>
      <c r="IL5" t="str">
        <f>_xll.BDS("LVLT US Equity","SUPPLY_CHAIN_CUSTOMERS","RELATIONSHIP_AS_OF_DATE","20020502")</f>
        <v>#N/A N/A</v>
      </c>
      <c r="IQ5" t="str">
        <f>_xll.BDS("DTSI US Equity","SUPPLY_CHAIN_SUPPLIERS","RELATIONSHIP_AS_OF_DATE","20120417")</f>
        <v>#N/A N/A</v>
      </c>
      <c r="IV5" t="str">
        <f>_xll.BDS("DTSI US Equity","SUPPLY_CHAIN_CUSTOMERS","RELATIONSHIP_AS_OF_DATE","20120417")</f>
        <v>#N/A N/A</v>
      </c>
      <c r="JA5" t="str">
        <f>_xll.BDS("SYMM US Equity","SUPPLY_CHAIN_SUPPLIERS","RELATIONSHIP_AS_OF_DATE","20020523")</f>
        <v>#N/A N/A</v>
      </c>
      <c r="JF5" t="str">
        <f>_xll.BDS("SYMM US Equity","SUPPLY_CHAIN_CUSTOMERS","RELATIONSHIP_AS_OF_DATE","20020523")</f>
        <v>#N/A N/A</v>
      </c>
      <c r="JK5" t="str">
        <f>_xll.BDS("FRME US Equity","SUPPLY_CHAIN_SUPPLIERS","RELATIONSHIP_AS_OF_DATE","20130513")</f>
        <v>#N/A N/A</v>
      </c>
      <c r="JP5" t="str">
        <f>_xll.BDS("FRME US Equity","SUPPLY_CHAIN_CUSTOMERS","RELATIONSHIP_AS_OF_DATE","20130513")</f>
        <v>#N/A N/A</v>
      </c>
      <c r="JU5" t="str">
        <f>_xll.BDS("DVD US Equity","SUPPLY_CHAIN_SUPPLIERS","RELATIONSHIP_AS_OF_DATE","19980327")</f>
        <v>#N/A N/A</v>
      </c>
      <c r="JZ5" t="str">
        <f>_xll.BDS("DVD US Equity","SUPPLY_CHAIN_CUSTOMERS","RELATIONSHIP_AS_OF_DATE","19980327")</f>
        <v>#N/A N/A</v>
      </c>
      <c r="KE5" t="str">
        <f>_xll.BDS("CAR US Equity","SUPPLY_CHAIN_SUPPLIERS","RELATIONSHIP_AS_OF_DATE","20020822","cols=1;rows=5")</f>
        <v>VRRM US Equity</v>
      </c>
      <c r="KJ5" t="str">
        <f>_xll.BDS("CAR US Equity","SUPPLY_CHAIN_CUSTOMERS","RELATIONSHIP_AS_OF_DATE","20020822","cols=1;rows=5")</f>
        <v>EIH IN Equity</v>
      </c>
      <c r="KO5" t="str">
        <f>_xll.BDS("9876549D US Equity","SUPPLY_CHAIN_SUPPLIERS","RELATIONSHIP_AS_OF_DATE","20131125")</f>
        <v>#N/A N/A</v>
      </c>
      <c r="KT5" t="str">
        <f>_xll.BDS("9876549D US Equity","SUPPLY_CHAIN_CUSTOMERS","RELATIONSHIP_AS_OF_DATE","20131125")</f>
        <v>#N/A N/A</v>
      </c>
      <c r="KY5" t="str">
        <f>_xll.BDS("PPBI US Equity","SUPPLY_CHAIN_SUPPLIERS","RELATIONSHIP_AS_OF_DATE","20151001")</f>
        <v>MUST SP Equity</v>
      </c>
      <c r="LD5" t="str">
        <f>_xll.BDS("PPBI US Equity","SUPPLY_CHAIN_CUSTOMERS","RELATIONSHIP_AS_OF_DATE","20151001")</f>
        <v>#N/A N/A</v>
      </c>
      <c r="LI5" t="str">
        <f>_xll.BDS("RAMP US Equity","SUPPLY_CHAIN_SUPPLIERS","RELATIONSHIP_AS_OF_DATE","20050325","cols=1;rows=5")</f>
        <v>GOOGL US Equity</v>
      </c>
      <c r="LN5" t="str">
        <f>_xll.BDS("RAMP US Equity","SUPPLY_CHAIN_CUSTOMERS","RELATIONSHIP_AS_OF_DATE","20050325","cols=1;rows=5")</f>
        <v>AD NA Equity</v>
      </c>
      <c r="LS5" t="str">
        <f>_xll.BDS("1916526D US Equity","SUPPLY_CHAIN_SUPPLIERS","RELATIONSHIP_AS_OF_DATE","20011119")</f>
        <v>#N/A N/A</v>
      </c>
      <c r="LX5" t="str">
        <f>_xll.BDS("1916526D US Equity","SUPPLY_CHAIN_CUSTOMERS","RELATIONSHIP_AS_OF_DATE","20011119")</f>
        <v>#N/A N/A</v>
      </c>
      <c r="MC5" t="str">
        <f>_xll.BDS("LEN US Equity","SUPPLY_CHAIN_SUPPLIERS","RELATIONSHIP_AS_OF_DATE","20020617","cols=1;rows=5")</f>
        <v>WLK US Equity</v>
      </c>
      <c r="MH5" t="str">
        <f>_xll.BDS("LEN US Equity","SUPPLY_CHAIN_CUSTOMERS","RELATIONSHIP_AS_OF_DATE","20020617")</f>
        <v>#N/A N/A</v>
      </c>
      <c r="MM5" t="str">
        <f>_xll.BDS("DLB US Equity","SUPPLY_CHAIN_SUPPLIERS","RELATIONSHIP_AS_OF_DATE","20120713","cols=1;rows=5")</f>
        <v>QCOM US Equity</v>
      </c>
      <c r="MR5" t="str">
        <f>_xll.BDS("DLB US Equity","SUPPLY_CHAIN_CUSTOMERS","RELATIONSHIP_AS_OF_DATE","20120713","cols=1;rows=5")</f>
        <v>AAPL US Equity</v>
      </c>
      <c r="MW5" t="str">
        <f>_xll.BDS("78651Q US Equity","SUPPLY_CHAIN_SUPPLIERS","RELATIONSHIP_AS_OF_DATE","19981028")</f>
        <v>#N/A N/A</v>
      </c>
      <c r="NB5" t="str">
        <f>_xll.BDS("78651Q US Equity","SUPPLY_CHAIN_CUSTOMERS","RELATIONSHIP_AS_OF_DATE","19981028")</f>
        <v>#N/A N/A</v>
      </c>
      <c r="NG5" t="str">
        <f>_xll.BDS("1495787D US Equity","SUPPLY_CHAIN_SUPPLIERS","RELATIONSHIP_AS_OF_DATE","20061212")</f>
        <v>#N/A N/A</v>
      </c>
      <c r="NL5" t="str">
        <f>_xll.BDS("1495787D US Equity","SUPPLY_CHAIN_CUSTOMERS","RELATIONSHIP_AS_OF_DATE","20061212")</f>
        <v>#N/A N/A</v>
      </c>
      <c r="NQ5" t="str">
        <f>_xll.BDS("RARE US Equity","SUPPLY_CHAIN_SUPPLIERS","RELATIONSHIP_AS_OF_DATE","20171003","cols=1;rows=5")</f>
        <v>DHC US Equity</v>
      </c>
      <c r="NV5" t="str">
        <f>_xll.BDS("RARE US Equity","SUPPLY_CHAIN_CUSTOMERS","RELATIONSHIP_AS_OF_DATE","20171003","cols=1;rows=5")</f>
        <v>4151 JP Equity</v>
      </c>
      <c r="OA5" t="str">
        <f>_xll.BDS("SBLUQ US Equity","SUPPLY_CHAIN_SUPPLIERS","RELATIONSHIP_AS_OF_DATE","20010201")</f>
        <v>#N/A N/A</v>
      </c>
      <c r="OF5" t="str">
        <f>_xll.BDS("SBLUQ US Equity","SUPPLY_CHAIN_CUSTOMERS","RELATIONSHIP_AS_OF_DATE","20010201")</f>
        <v>#N/A N/A</v>
      </c>
    </row>
    <row r="6" spans="1:396" x14ac:dyDescent="0.25">
      <c r="K6" t="s">
        <v>11775</v>
      </c>
      <c r="P6" t="s">
        <v>11772</v>
      </c>
      <c r="AE6" t="s">
        <v>11066</v>
      </c>
      <c r="AJ6" t="s">
        <v>385</v>
      </c>
      <c r="AO6" t="s">
        <v>2204</v>
      </c>
      <c r="AT6" t="s">
        <v>10787</v>
      </c>
      <c r="BI6" t="s">
        <v>11689</v>
      </c>
      <c r="BS6" t="s">
        <v>11618</v>
      </c>
      <c r="BX6" t="s">
        <v>11630</v>
      </c>
      <c r="DG6" t="s">
        <v>171</v>
      </c>
      <c r="FE6" t="s">
        <v>10672</v>
      </c>
      <c r="FJ6" t="s">
        <v>11422</v>
      </c>
      <c r="KE6" t="s">
        <v>12031</v>
      </c>
      <c r="KJ6" t="s">
        <v>11677</v>
      </c>
      <c r="LI6" t="s">
        <v>11709</v>
      </c>
      <c r="LN6" t="s">
        <v>11440</v>
      </c>
      <c r="MC6" t="s">
        <v>6073</v>
      </c>
      <c r="MM6" t="s">
        <v>11610</v>
      </c>
      <c r="MR6" t="s">
        <v>10892</v>
      </c>
      <c r="NQ6" t="s">
        <v>11775</v>
      </c>
      <c r="NV6" t="s">
        <v>51</v>
      </c>
    </row>
    <row r="7" spans="1:396" x14ac:dyDescent="0.25">
      <c r="K7" t="s">
        <v>11822</v>
      </c>
      <c r="P7" t="s">
        <v>10637</v>
      </c>
      <c r="AE7" t="s">
        <v>12057</v>
      </c>
      <c r="AJ7" t="s">
        <v>970</v>
      </c>
      <c r="AO7" t="s">
        <v>11074</v>
      </c>
      <c r="AT7" t="s">
        <v>10660</v>
      </c>
      <c r="BI7" t="s">
        <v>8925</v>
      </c>
      <c r="BS7" t="s">
        <v>11619</v>
      </c>
      <c r="BX7" t="s">
        <v>11631</v>
      </c>
      <c r="DG7" t="s">
        <v>4570</v>
      </c>
      <c r="FE7" t="s">
        <v>171</v>
      </c>
      <c r="FJ7" t="s">
        <v>11423</v>
      </c>
      <c r="KE7" t="s">
        <v>10807</v>
      </c>
      <c r="KJ7" t="s">
        <v>11678</v>
      </c>
      <c r="LI7" t="s">
        <v>6477</v>
      </c>
      <c r="LN7" t="s">
        <v>11364</v>
      </c>
      <c r="MC7" t="s">
        <v>4307</v>
      </c>
      <c r="MM7" t="s">
        <v>11611</v>
      </c>
      <c r="MR7" t="s">
        <v>10912</v>
      </c>
      <c r="NQ7" t="s">
        <v>11776</v>
      </c>
      <c r="NV7" t="s">
        <v>52</v>
      </c>
    </row>
    <row r="8" spans="1:396" x14ac:dyDescent="0.25">
      <c r="K8" t="s">
        <v>11290</v>
      </c>
      <c r="P8" t="s">
        <v>11773</v>
      </c>
      <c r="AE8" t="s">
        <v>10810</v>
      </c>
      <c r="AJ8" t="s">
        <v>51</v>
      </c>
      <c r="AO8" t="s">
        <v>12035</v>
      </c>
      <c r="AT8" t="s">
        <v>5236</v>
      </c>
      <c r="BI8" t="s">
        <v>693</v>
      </c>
      <c r="BS8" t="s">
        <v>11620</v>
      </c>
      <c r="BX8" t="s">
        <v>11632</v>
      </c>
      <c r="DG8" t="s">
        <v>11339</v>
      </c>
      <c r="FE8" t="s">
        <v>11616</v>
      </c>
      <c r="FJ8" t="s">
        <v>11424</v>
      </c>
      <c r="KE8" t="s">
        <v>171</v>
      </c>
      <c r="KJ8" t="s">
        <v>11679</v>
      </c>
      <c r="LI8" t="s">
        <v>469</v>
      </c>
      <c r="LN8" t="s">
        <v>11441</v>
      </c>
      <c r="MC8" t="s">
        <v>11362</v>
      </c>
      <c r="MM8" t="s">
        <v>11612</v>
      </c>
      <c r="MR8" t="s">
        <v>11089</v>
      </c>
      <c r="NQ8" t="s">
        <v>11777</v>
      </c>
      <c r="NV8" t="s">
        <v>472</v>
      </c>
    </row>
    <row r="9" spans="1:396" x14ac:dyDescent="0.25">
      <c r="K9" t="s">
        <v>11823</v>
      </c>
      <c r="P9" t="s">
        <v>11774</v>
      </c>
      <c r="AE9" t="s">
        <v>12058</v>
      </c>
      <c r="AJ9" t="s">
        <v>11728</v>
      </c>
      <c r="AO9" t="s">
        <v>12036</v>
      </c>
      <c r="AT9" t="s">
        <v>4655</v>
      </c>
      <c r="BI9" t="s">
        <v>382</v>
      </c>
      <c r="BS9" t="s">
        <v>11621</v>
      </c>
      <c r="BX9" t="s">
        <v>11633</v>
      </c>
      <c r="DG9" t="s">
        <v>11151</v>
      </c>
      <c r="FE9" t="s">
        <v>11617</v>
      </c>
      <c r="FJ9" t="s">
        <v>11425</v>
      </c>
      <c r="KE9" t="s">
        <v>12032</v>
      </c>
      <c r="KJ9" t="s">
        <v>11680</v>
      </c>
      <c r="LI9" t="s">
        <v>11710</v>
      </c>
      <c r="LN9" t="s">
        <v>11442</v>
      </c>
      <c r="MC9" t="s">
        <v>11363</v>
      </c>
      <c r="MM9" t="s">
        <v>11613</v>
      </c>
      <c r="MR9" t="s">
        <v>11604</v>
      </c>
      <c r="NQ9" t="s">
        <v>11778</v>
      </c>
      <c r="NV9" t="s">
        <v>11748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7329</v>
      </c>
      <c r="K1" s="1" t="s">
        <v>7330</v>
      </c>
      <c r="U1" s="1" t="s">
        <v>7331</v>
      </c>
      <c r="AE1" s="1" t="s">
        <v>7332</v>
      </c>
      <c r="AO1" s="1" t="s">
        <v>7333</v>
      </c>
      <c r="AY1" s="1" t="s">
        <v>7334</v>
      </c>
      <c r="BI1" s="1" t="s">
        <v>7335</v>
      </c>
      <c r="BS1" s="1" t="s">
        <v>7336</v>
      </c>
      <c r="CC1" s="1" t="s">
        <v>7337</v>
      </c>
      <c r="CM1" s="1" t="s">
        <v>7338</v>
      </c>
      <c r="CW1" s="1" t="s">
        <v>7339</v>
      </c>
      <c r="DG1" s="1" t="s">
        <v>7340</v>
      </c>
      <c r="DQ1" s="1" t="s">
        <v>7341</v>
      </c>
      <c r="EA1" s="1" t="s">
        <v>7342</v>
      </c>
      <c r="EK1" s="1" t="s">
        <v>7343</v>
      </c>
      <c r="EU1" s="1" t="s">
        <v>7344</v>
      </c>
      <c r="FE1" s="1" t="s">
        <v>7345</v>
      </c>
      <c r="FO1" s="1" t="s">
        <v>7346</v>
      </c>
      <c r="FY1" s="1" t="s">
        <v>7347</v>
      </c>
      <c r="GI1" s="1" t="s">
        <v>7348</v>
      </c>
      <c r="GS1" s="1" t="s">
        <v>7349</v>
      </c>
      <c r="HC1" s="1" t="s">
        <v>7350</v>
      </c>
      <c r="HM1" s="1" t="s">
        <v>7351</v>
      </c>
      <c r="HW1" s="1" t="s">
        <v>7352</v>
      </c>
      <c r="IG1" s="1" t="s">
        <v>7353</v>
      </c>
      <c r="IQ1" s="1" t="s">
        <v>7354</v>
      </c>
      <c r="JA1" s="1" t="s">
        <v>7355</v>
      </c>
      <c r="JK1" s="1" t="s">
        <v>7356</v>
      </c>
      <c r="JU1" s="1" t="s">
        <v>7357</v>
      </c>
      <c r="KE1" s="1" t="s">
        <v>7358</v>
      </c>
      <c r="KO1" s="1" t="s">
        <v>7359</v>
      </c>
      <c r="KY1" s="1" t="s">
        <v>7360</v>
      </c>
      <c r="LI1" s="1" t="s">
        <v>7361</v>
      </c>
      <c r="LS1" s="1" t="s">
        <v>7362</v>
      </c>
      <c r="MC1" s="1" t="s">
        <v>7363</v>
      </c>
      <c r="MM1" s="1" t="s">
        <v>7364</v>
      </c>
      <c r="MW1" s="1" t="s">
        <v>7365</v>
      </c>
      <c r="NG1" s="1" t="s">
        <v>7366</v>
      </c>
      <c r="NQ1" s="1" t="s">
        <v>7367</v>
      </c>
      <c r="OA1" s="1" t="s">
        <v>7368</v>
      </c>
    </row>
    <row r="2" spans="1:396" x14ac:dyDescent="0.25">
      <c r="A2" s="2" t="s">
        <v>7369</v>
      </c>
      <c r="K2" s="2" t="s">
        <v>4559</v>
      </c>
      <c r="U2" s="2" t="s">
        <v>7370</v>
      </c>
      <c r="AE2" s="2" t="s">
        <v>7371</v>
      </c>
      <c r="AO2" s="2" t="s">
        <v>7372</v>
      </c>
      <c r="AY2" s="2" t="s">
        <v>7373</v>
      </c>
      <c r="BI2" s="2" t="s">
        <v>7374</v>
      </c>
      <c r="BS2" s="2" t="s">
        <v>7375</v>
      </c>
      <c r="CC2" s="2" t="s">
        <v>1463</v>
      </c>
      <c r="CM2" s="2" t="s">
        <v>7376</v>
      </c>
      <c r="CW2" s="2" t="s">
        <v>7377</v>
      </c>
      <c r="DG2" s="2" t="s">
        <v>368</v>
      </c>
      <c r="DQ2" s="2" t="s">
        <v>7378</v>
      </c>
      <c r="EA2" s="2" t="s">
        <v>166</v>
      </c>
      <c r="EK2" s="2" t="s">
        <v>7379</v>
      </c>
      <c r="EU2" s="2" t="s">
        <v>7380</v>
      </c>
      <c r="FE2" s="2" t="s">
        <v>1945</v>
      </c>
      <c r="FO2" s="2" t="s">
        <v>1634</v>
      </c>
      <c r="FY2" s="2" t="s">
        <v>7381</v>
      </c>
      <c r="GI2" s="2" t="s">
        <v>7382</v>
      </c>
      <c r="GS2" s="2" t="s">
        <v>5064</v>
      </c>
      <c r="HC2" s="2" t="s">
        <v>7383</v>
      </c>
      <c r="HM2" s="2" t="s">
        <v>7384</v>
      </c>
      <c r="HW2" s="2" t="s">
        <v>7385</v>
      </c>
      <c r="IG2" s="2" t="s">
        <v>7386</v>
      </c>
      <c r="IQ2" s="2" t="s">
        <v>5071</v>
      </c>
      <c r="JA2" s="2" t="s">
        <v>7387</v>
      </c>
      <c r="JK2" s="2" t="s">
        <v>2883</v>
      </c>
      <c r="JU2" s="2" t="s">
        <v>7388</v>
      </c>
      <c r="KE2" s="2" t="s">
        <v>3153</v>
      </c>
      <c r="KO2" s="2" t="s">
        <v>7389</v>
      </c>
      <c r="KY2" s="2" t="s">
        <v>5495</v>
      </c>
      <c r="LI2" s="2" t="s">
        <v>7390</v>
      </c>
      <c r="LS2" s="2" t="s">
        <v>6064</v>
      </c>
      <c r="MC2" s="2" t="s">
        <v>4565</v>
      </c>
      <c r="MM2" s="2" t="s">
        <v>7391</v>
      </c>
      <c r="MW2" s="2" t="s">
        <v>7392</v>
      </c>
      <c r="NG2" s="2" t="s">
        <v>7393</v>
      </c>
      <c r="NQ2" s="2" t="s">
        <v>7394</v>
      </c>
      <c r="OA2" s="2" t="s">
        <v>5256</v>
      </c>
    </row>
    <row r="3" spans="1:396" x14ac:dyDescent="0.25">
      <c r="A3" t="s">
        <v>3449</v>
      </c>
      <c r="K3" t="s">
        <v>7395</v>
      </c>
      <c r="U3" t="s">
        <v>7396</v>
      </c>
      <c r="AE3" t="s">
        <v>7397</v>
      </c>
      <c r="AO3" t="s">
        <v>7398</v>
      </c>
      <c r="AY3" t="s">
        <v>7399</v>
      </c>
      <c r="BI3" t="s">
        <v>7400</v>
      </c>
      <c r="BS3" t="s">
        <v>7401</v>
      </c>
      <c r="CC3" t="s">
        <v>5347</v>
      </c>
      <c r="CM3" t="s">
        <v>2915</v>
      </c>
      <c r="CW3" t="s">
        <v>810</v>
      </c>
      <c r="DG3" t="s">
        <v>7402</v>
      </c>
      <c r="DQ3" t="s">
        <v>7403</v>
      </c>
      <c r="EA3" t="s">
        <v>4230</v>
      </c>
      <c r="EK3" t="s">
        <v>2327</v>
      </c>
      <c r="EU3" t="s">
        <v>7404</v>
      </c>
      <c r="FE3" t="s">
        <v>7405</v>
      </c>
      <c r="FO3" t="s">
        <v>7406</v>
      </c>
      <c r="FY3" t="s">
        <v>7407</v>
      </c>
      <c r="GI3" t="s">
        <v>7408</v>
      </c>
      <c r="GS3" t="s">
        <v>7409</v>
      </c>
      <c r="HC3" t="s">
        <v>7410</v>
      </c>
      <c r="HM3" t="s">
        <v>703</v>
      </c>
      <c r="HW3" t="s">
        <v>7411</v>
      </c>
      <c r="IG3" t="s">
        <v>6264</v>
      </c>
      <c r="IQ3" t="s">
        <v>425</v>
      </c>
      <c r="JA3" t="s">
        <v>5432</v>
      </c>
      <c r="JK3" t="s">
        <v>3991</v>
      </c>
      <c r="JU3" t="s">
        <v>7412</v>
      </c>
      <c r="KE3" t="s">
        <v>5765</v>
      </c>
      <c r="KO3" t="s">
        <v>7413</v>
      </c>
      <c r="KY3" t="s">
        <v>7414</v>
      </c>
      <c r="LI3" t="s">
        <v>1961</v>
      </c>
      <c r="LS3" t="s">
        <v>7415</v>
      </c>
      <c r="MC3" t="s">
        <v>4589</v>
      </c>
      <c r="MM3" t="s">
        <v>3177</v>
      </c>
      <c r="MW3" t="s">
        <v>7416</v>
      </c>
      <c r="NG3" t="s">
        <v>923</v>
      </c>
      <c r="NQ3" t="s">
        <v>3735</v>
      </c>
      <c r="OA3" t="s">
        <v>4828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_xll.BDS("MSFG US Equity","SUPPLY_CHAIN_SUPPLIERS","RELATIONSHIP_AS_OF_DATE","20151124")</f>
        <v>#N/A N/A</v>
      </c>
      <c r="F5" t="str">
        <f>_xll.BDS("MSFG US Equity","SUPPLY_CHAIN_CUSTOMERS","RELATIONSHIP_AS_OF_DATE","20151124")</f>
        <v>#N/A N/A</v>
      </c>
      <c r="K5" t="str">
        <f>_xll.BDS("NPBC US Equity","SUPPLY_CHAIN_SUPPLIERS","RELATIONSHIP_AS_OF_DATE","19980722")</f>
        <v>#N/A N/A</v>
      </c>
      <c r="P5" t="str">
        <f>_xll.BDS("NPBC US Equity","SUPPLY_CHAIN_CUSTOMERS","RELATIONSHIP_AS_OF_DATE","19980722")</f>
        <v>#N/A N/A</v>
      </c>
      <c r="U5" t="str">
        <f>_xll.BDS("SBMC US Equity","SUPPLY_CHAIN_SUPPLIERS","RELATIONSHIP_AS_OF_DATE","20010208")</f>
        <v>#N/A N/A</v>
      </c>
      <c r="Z5" t="str">
        <f>_xll.BDS("SBMC US Equity","SUPPLY_CHAIN_CUSTOMERS","RELATIONSHIP_AS_OF_DATE","20010208")</f>
        <v>#N/A N/A</v>
      </c>
      <c r="AE5" t="str">
        <f>_xll.BDS("TTI US Equity","SUPPLY_CHAIN_SUPPLIERS","RELATIONSHIP_AS_OF_DATE","20040623","cols=1;rows=5")</f>
        <v>002196 CH Equity</v>
      </c>
      <c r="AJ5" t="str">
        <f>_xll.BDS("TTI US Equity","SUPPLY_CHAIN_CUSTOMERS","RELATIONSHIP_AS_OF_DATE","20040623")</f>
        <v>EOSE US Equity</v>
      </c>
      <c r="AO5" t="str">
        <f>_xll.BDS("PALM US Equity","SUPPLY_CHAIN_SUPPLIERS","RELATIONSHIP_AS_OF_DATE","20030604")</f>
        <v>#N/A N/A</v>
      </c>
      <c r="AT5" t="str">
        <f>_xll.BDS("PALM US Equity","SUPPLY_CHAIN_CUSTOMERS","RELATIONSHIP_AS_OF_DATE","20030604")</f>
        <v>#N/A N/A</v>
      </c>
      <c r="AY5" t="str">
        <f>_xll.BDS("RJETQ US Equity","SUPPLY_CHAIN_SUPPLIERS","RELATIONSHIP_AS_OF_DATE","20090814","cols=1;rows=5")</f>
        <v>EMBJ3 BZ Equity</v>
      </c>
      <c r="BD5" t="str">
        <f>_xll.BDS("RJETQ US Equity","SUPPLY_CHAIN_CUSTOMERS","RELATIONSHIP_AS_OF_DATE","20090814","cols=1;rows=2")</f>
        <v>AAL US Equity</v>
      </c>
      <c r="BI5" t="str">
        <f>_xll.BDS("FVB US Equity","SUPPLY_CHAIN_SUPPLIERS","RELATIONSHIP_AS_OF_DATE","20010305")</f>
        <v>#N/A N/A</v>
      </c>
      <c r="BN5" t="str">
        <f>_xll.BDS("FVB US Equity","SUPPLY_CHAIN_CUSTOMERS","RELATIONSHIP_AS_OF_DATE","20010305")</f>
        <v>#N/A N/A</v>
      </c>
      <c r="BS5" t="str">
        <f>_xll.BDS("SFSW US Equity","SUPPLY_CHAIN_SUPPLIERS","RELATIONSHIP_AS_OF_DATE","19980602")</f>
        <v>#N/A N/A</v>
      </c>
      <c r="BX5" t="str">
        <f>_xll.BDS("SFSW US Equity","SUPPLY_CHAIN_CUSTOMERS","RELATIONSHIP_AS_OF_DATE","19980602")</f>
        <v>#N/A N/A</v>
      </c>
      <c r="CC5" t="str">
        <f>_xll.BDS("ITW US Equity","SUPPLY_CHAIN_SUPPLIERS","RELATIONSHIP_AS_OF_DATE","19990107","cols=1;rows=5")</f>
        <v>179 HK Equity</v>
      </c>
      <c r="CH5" t="str">
        <f>_xll.BDS("ITW US Equity","SUPPLY_CHAIN_CUSTOMERS","RELATIONSHIP_AS_OF_DATE","19990107","cols=1;rows=5")</f>
        <v>TSCO US Equity</v>
      </c>
      <c r="CM5" t="str">
        <f>_xll.BDS("CIVB US Equity","SUPPLY_CHAIN_SUPPLIERS","RELATIONSHIP_AS_OF_DATE","20180312")</f>
        <v>#N/A N/A</v>
      </c>
      <c r="CR5" t="str">
        <f>_xll.BDS("CIVB US Equity","SUPPLY_CHAIN_CUSTOMERS","RELATIONSHIP_AS_OF_DATE","20180312")</f>
        <v>#N/A N/A</v>
      </c>
      <c r="CW5" t="str">
        <f>_xll.BDS("EZPW US Equity","SUPPLY_CHAIN_SUPPLIERS","RELATIONSHIP_AS_OF_DATE","20080317")</f>
        <v>NCNO US Equity</v>
      </c>
      <c r="DB5" t="str">
        <f>_xll.BDS("EZPW US Equity","SUPPLY_CHAIN_CUSTOMERS","RELATIONSHIP_AS_OF_DATE","20080317","cols=1;rows=2")</f>
        <v>ICHB MM Equity</v>
      </c>
      <c r="DG5" t="str">
        <f>_xll.BDS("JNJ US Equity","SUPPLY_CHAIN_SUPPLIERS","RELATIONSHIP_AS_OF_DATE","20010126","cols=1;rows=5")</f>
        <v>GMAB DC Equity</v>
      </c>
      <c r="DL5" t="str">
        <f>_xll.BDS("JNJ US Equity","SUPPLY_CHAIN_CUSTOMERS","RELATIONSHIP_AS_OF_DATE","20010126","cols=1;rows=5")</f>
        <v>MCK US Equity</v>
      </c>
      <c r="DQ5" t="str">
        <f>_xll.BDS("AXP US Equity","SUPPLY_CHAIN_SUPPLIERS","RELATIONSHIP_AS_OF_DATE","20010214","cols=1;rows=5")</f>
        <v>ADBE US Equity</v>
      </c>
      <c r="DV5" t="str">
        <f>_xll.BDS("AXP US Equity","SUPPLY_CHAIN_CUSTOMERS","RELATIONSHIP_AS_OF_DATE","20010214","cols=1;rows=5")</f>
        <v>8206440Z LN Equity</v>
      </c>
      <c r="EA5" t="str">
        <f>_xll.BDS("WFC US Equity","SUPPLY_CHAIN_SUPPLIERS","RELATIONSHIP_AS_OF_DATE","19990930","cols=1;rows=5")</f>
        <v>ADBE US Equity</v>
      </c>
      <c r="EF5" t="str">
        <f>_xll.BDS("WFC US Equity","SUPPLY_CHAIN_CUSTOMERS","RELATIONSHIP_AS_OF_DATE","19990930","cols=1;rows=5")</f>
        <v>CDW US Equity</v>
      </c>
      <c r="EK5" t="str">
        <f>_xll.BDS("PRGY US Equity","SUPPLY_CHAIN_SUPPLIERS","RELATIONSHIP_AS_OF_DATE","19991108")</f>
        <v>#N/A N/A</v>
      </c>
      <c r="EP5" t="str">
        <f>_xll.BDS("PRGY US Equity","SUPPLY_CHAIN_CUSTOMERS","RELATIONSHIP_AS_OF_DATE","19991108")</f>
        <v>#N/A N/A</v>
      </c>
      <c r="EU5" t="str">
        <f>_xll.BDS("AZZ US Equity","SUPPLY_CHAIN_SUPPLIERS","RELATIONSHIP_AS_OF_DATE","20100401","cols=1;rows=5")</f>
        <v>010120 KS Equity</v>
      </c>
      <c r="EZ5" t="str">
        <f>_xll.BDS("AZZ US Equity","SUPPLY_CHAIN_CUSTOMERS","RELATIONSHIP_AS_OF_DATE","20100401","cols=1;rows=5")</f>
        <v>TT US Equity</v>
      </c>
      <c r="FE5" t="str">
        <f>_xll.BDS("ONB US Equity","SUPPLY_CHAIN_SUPPLIERS","RELATIONSHIP_AS_OF_DATE","20130910","cols=1;rows=3")</f>
        <v>FCPT US Equity</v>
      </c>
      <c r="FJ5" t="str">
        <f>_xll.BDS("ONB US Equity","SUPPLY_CHAIN_CUSTOMERS","RELATIONSHIP_AS_OF_DATE","20130910")</f>
        <v>#N/A N/A</v>
      </c>
      <c r="FO5" t="str">
        <f>_xll.BDS("1837572D US Equity","SUPPLY_CHAIN_SUPPLIERS","RELATIONSHIP_AS_OF_DATE","19990405")</f>
        <v>#N/A N/A</v>
      </c>
      <c r="FT5" t="str">
        <f>_xll.BDS("1837572D US Equity","SUPPLY_CHAIN_CUSTOMERS","RELATIONSHIP_AS_OF_DATE","19990405")</f>
        <v>#N/A N/A</v>
      </c>
      <c r="FY5" t="str">
        <f>_xll.BDS("EMUS US Equity","SUPPLY_CHAIN_SUPPLIERS","RELATIONSHIP_AS_OF_DATE","19991130")</f>
        <v>#N/A N/A</v>
      </c>
      <c r="GD5" t="str">
        <f>_xll.BDS("EMUS US Equity","SUPPLY_CHAIN_CUSTOMERS","RELATIONSHIP_AS_OF_DATE","19991130")</f>
        <v>#N/A N/A</v>
      </c>
      <c r="GI5" t="str">
        <f>_xll.BDS("AXS US Equity","SUPPLY_CHAIN_SUPPLIERS","RELATIONSHIP_AS_OF_DATE","20101129")</f>
        <v>#N/A N/A</v>
      </c>
      <c r="GN5" t="str">
        <f>_xll.BDS("AXS US Equity","SUPPLY_CHAIN_CUSTOMERS","RELATIONSHIP_AS_OF_DATE","20101129")</f>
        <v>#N/A N/A</v>
      </c>
      <c r="GS5" t="str">
        <f>_xll.BDS("CFR US Equity","SUPPLY_CHAIN_SUPPLIERS","RELATIONSHIP_AS_OF_DATE","20050420","cols=1;rows=4")</f>
        <v>INFO IN Equity</v>
      </c>
      <c r="GX5" t="str">
        <f>_xll.BDS("CFR US Equity","SUPPLY_CHAIN_CUSTOMERS","RELATIONSHIP_AS_OF_DATE","20050420")</f>
        <v>#N/A N/A</v>
      </c>
      <c r="HC5" t="str">
        <f>_xll.BDS("CBKN US Equity","SUPPLY_CHAIN_SUPPLIERS","RELATIONSHIP_AS_OF_DATE","20050629")</f>
        <v>#N/A N/A</v>
      </c>
      <c r="HH5" t="str">
        <f>_xll.BDS("CBKN US Equity","SUPPLY_CHAIN_CUSTOMERS","RELATIONSHIP_AS_OF_DATE","20050629")</f>
        <v>#N/A N/A</v>
      </c>
      <c r="HM5" t="str">
        <f>_xll.BDS("PRIM US Equity","SUPPLY_CHAIN_SUPPLIERS","RELATIONSHIP_AS_OF_DATE","20180328","cols=1;rows=5")</f>
        <v>TEL US Equity</v>
      </c>
      <c r="HR5" t="str">
        <f>_xll.BDS("PRIM US Equity","SUPPLY_CHAIN_CUSTOMERS","RELATIONSHIP_AS_OF_DATE","20180328","cols=1;rows=5")</f>
        <v>XOM US Equity</v>
      </c>
      <c r="HW5" t="str">
        <f>_xll.BDS("2348717Q US Equity","SUPPLY_CHAIN_SUPPLIERS","RELATIONSHIP_AS_OF_DATE","19990812")</f>
        <v>#N/A N/A</v>
      </c>
      <c r="IB5" t="str">
        <f>_xll.BDS("2348717Q US Equity","SUPPLY_CHAIN_CUSTOMERS","RELATIONSHIP_AS_OF_DATE","19990812")</f>
        <v>#N/A N/A</v>
      </c>
      <c r="IG5" t="str">
        <f>_xll.BDS("UALAQ US Equity","SUPPLY_CHAIN_SUPPLIERS","RELATIONSHIP_AS_OF_DATE","20010604")</f>
        <v>#N/A N/A</v>
      </c>
      <c r="IL5" t="str">
        <f>_xll.BDS("UALAQ US Equity","SUPPLY_CHAIN_CUSTOMERS","RELATIONSHIP_AS_OF_DATE","20010604")</f>
        <v>#N/A N/A</v>
      </c>
      <c r="IQ5" t="str">
        <f>_xll.BDS("NUAN US Equity","SUPPLY_CHAIN_SUPPLIERS","RELATIONSHIP_AS_OF_DATE","20050509")</f>
        <v>#N/A N/A</v>
      </c>
      <c r="IV5" t="str">
        <f>_xll.BDS("NUAN US Equity","SUPPLY_CHAIN_CUSTOMERS","RELATIONSHIP_AS_OF_DATE","20050509")</f>
        <v>#N/A N/A</v>
      </c>
      <c r="JA5" t="str">
        <f>_xll.BDS("OMC US Equity","SUPPLY_CHAIN_SUPPLIERS","RELATIONSHIP_AS_OF_DATE","19991001","cols=1;rows=5")</f>
        <v>TTD US Equity</v>
      </c>
      <c r="JF5" t="str">
        <f>_xll.BDS("OMC US Equity","SUPPLY_CHAIN_CUSTOMERS","RELATIONSHIP_AS_OF_DATE","19991001","cols=1;rows=5")</f>
        <v>1012751D US Equity</v>
      </c>
      <c r="JK5" t="str">
        <f>_xll.BDS("MMM US Equity","SUPPLY_CHAIN_SUPPLIERS","RELATIONSHIP_AS_OF_DATE","20001003","cols=1;rows=5")</f>
        <v>BAS GR Equity</v>
      </c>
      <c r="JP5" t="str">
        <f>_xll.BDS("MMM US Equity","SUPPLY_CHAIN_CUSTOMERS","RELATIONSHIP_AS_OF_DATE","20001003","cols=1;rows=5")</f>
        <v>SOLV US Equity</v>
      </c>
      <c r="JU5" t="str">
        <f>_xll.BDS("BBOX US Equity","SUPPLY_CHAIN_SUPPLIERS","RELATIONSHIP_AS_OF_DATE","20041220")</f>
        <v>#N/A N/A</v>
      </c>
      <c r="JZ5" t="str">
        <f>_xll.BDS("BBOX US Equity","SUPPLY_CHAIN_CUSTOMERS","RELATIONSHIP_AS_OF_DATE","20041220")</f>
        <v>#N/A N/A</v>
      </c>
      <c r="KE5" t="str">
        <f>_xll.BDS("9876544D US Equity","SUPPLY_CHAIN_SUPPLIERS","RELATIONSHIP_AS_OF_DATE","20030630")</f>
        <v>#N/A N/A</v>
      </c>
      <c r="KJ5" t="str">
        <f>_xll.BDS("9876544D US Equity","SUPPLY_CHAIN_CUSTOMERS","RELATIONSHIP_AS_OF_DATE","20030630")</f>
        <v>#N/A N/A</v>
      </c>
      <c r="KO5" t="str">
        <f>_xll.BDS("CUNO US Equity","SUPPLY_CHAIN_SUPPLIERS","RELATIONSHIP_AS_OF_DATE","20040526")</f>
        <v>#N/A N/A</v>
      </c>
      <c r="KT5" t="str">
        <f>_xll.BDS("CUNO US Equity","SUPPLY_CHAIN_CUSTOMERS","RELATIONSHIP_AS_OF_DATE","20040526")</f>
        <v>#N/A N/A</v>
      </c>
      <c r="KY5" t="str">
        <f>_xll.BDS("PEBO US Equity","SUPPLY_CHAIN_SUPPLIERS","RELATIONSHIP_AS_OF_DATE","20140804")</f>
        <v>#N/A N/A</v>
      </c>
      <c r="LD5" t="str">
        <f>_xll.BDS("PEBO US Equity","SUPPLY_CHAIN_CUSTOMERS","RELATIONSHIP_AS_OF_DATE","20140804")</f>
        <v>#N/A N/A</v>
      </c>
      <c r="LI5" t="str">
        <f>_xll.BDS("WEB US Equity","SUPPLY_CHAIN_SUPPLIERS","RELATIONSHIP_AS_OF_DATE","20070627","cols=1;rows=2")</f>
        <v>TIG LN Equity</v>
      </c>
      <c r="LN5" t="str">
        <f>_xll.BDS("WEB US Equity","SUPPLY_CHAIN_CUSTOMERS","RELATIONSHIP_AS_OF_DATE","20070627")</f>
        <v>#N/A N/A</v>
      </c>
      <c r="LS5" t="str">
        <f>_xll.BDS("FCF US Equity","SUPPLY_CHAIN_SUPPLIERS","RELATIONSHIP_AS_OF_DATE","20161003")</f>
        <v>#N/A N/A</v>
      </c>
      <c r="LX5" t="str">
        <f>_xll.BDS("FCF US Equity","SUPPLY_CHAIN_CUSTOMERS","RELATIONSHIP_AS_OF_DATE","20161003")</f>
        <v>#N/A N/A</v>
      </c>
      <c r="MC5" t="str">
        <f>_xll.BDS("GZBX US Equity","SUPPLY_CHAIN_SUPPLIERS","RELATIONSHIP_AS_OF_DATE","20000306")</f>
        <v>#N/A N/A</v>
      </c>
      <c r="MH5" t="str">
        <f>_xll.BDS("GZBX US Equity","SUPPLY_CHAIN_CUSTOMERS","RELATIONSHIP_AS_OF_DATE","20000306")</f>
        <v>#N/A N/A</v>
      </c>
      <c r="MM5" t="str">
        <f>_xll.BDS("DVINQ US Equity","SUPPLY_CHAIN_SUPPLIERS","RELATIONSHIP_AS_OF_DATE","20010709")</f>
        <v>#N/A N/A</v>
      </c>
      <c r="MR5" t="str">
        <f>_xll.BDS("DVINQ US Equity","SUPPLY_CHAIN_CUSTOMERS","RELATIONSHIP_AS_OF_DATE","20010709")</f>
        <v>#N/A N/A</v>
      </c>
      <c r="MW5" t="str">
        <f>_xll.BDS("KLXE US Equity","SUPPLY_CHAIN_SUPPLIERS","RELATIONSHIP_AS_OF_DATE","20200503")</f>
        <v>HTG LN Equity</v>
      </c>
      <c r="NB5" t="str">
        <f>_xll.BDS("KLXE US Equity","SUPPLY_CHAIN_CUSTOMERS","RELATIONSHIP_AS_OF_DATE","20200503","cols=1;rows=5")</f>
        <v>3668565Z US Equity</v>
      </c>
      <c r="NG5" t="str">
        <f>_xll.BDS("VGR US Equity","SUPPLY_CHAIN_SUPPLIERS","RELATIONSHIP_AS_OF_DATE","20050927","cols=1;rows=4")</f>
        <v>AEP US Equity</v>
      </c>
      <c r="NL5" t="str">
        <f>_xll.BDS("VGR US Equity","SUPPLY_CHAIN_CUSTOMERS","RELATIONSHIP_AS_OF_DATE","20050927","cols=1;rows=2")</f>
        <v>AVOL SW Equity</v>
      </c>
      <c r="NQ5" t="str">
        <f>_xll.BDS("MSCS US Equity","SUPPLY_CHAIN_SUPPLIERS","RELATIONSHIP_AS_OF_DATE","20020318")</f>
        <v>#N/A N/A</v>
      </c>
      <c r="NV5" t="str">
        <f>_xll.BDS("MSCS US Equity","SUPPLY_CHAIN_CUSTOMERS","RELATIONSHIP_AS_OF_DATE","20020318")</f>
        <v>#N/A N/A</v>
      </c>
      <c r="OA5" t="str">
        <f>_xll.BDS("CBCGQ US Equity","SUPPLY_CHAIN_SUPPLIERS","RELATIONSHIP_AS_OF_DATE","20020528")</f>
        <v>#N/A N/A</v>
      </c>
      <c r="OF5" t="str">
        <f>_xll.BDS("CBCGQ US Equity","SUPPLY_CHAIN_CUSTOMERS","RELATIONSHIP_AS_OF_DATE","20020528")</f>
        <v>#N/A N/A</v>
      </c>
    </row>
    <row r="6" spans="1:396" x14ac:dyDescent="0.25">
      <c r="AE6" t="s">
        <v>2111</v>
      </c>
      <c r="AY6" t="s">
        <v>11031</v>
      </c>
      <c r="BD6" t="s">
        <v>1652</v>
      </c>
      <c r="CC6" t="s">
        <v>11335</v>
      </c>
      <c r="CH6" t="s">
        <v>10660</v>
      </c>
      <c r="DB6" t="s">
        <v>11234</v>
      </c>
      <c r="DG6" t="s">
        <v>10735</v>
      </c>
      <c r="DL6" t="s">
        <v>1468</v>
      </c>
      <c r="DQ6" t="s">
        <v>7475</v>
      </c>
      <c r="DV6" t="s">
        <v>11671</v>
      </c>
      <c r="EA6" t="s">
        <v>10986</v>
      </c>
      <c r="EF6" t="s">
        <v>11473</v>
      </c>
      <c r="EU6" t="s">
        <v>2111</v>
      </c>
      <c r="EZ6" t="s">
        <v>11906</v>
      </c>
      <c r="FE6" t="s">
        <v>8932</v>
      </c>
      <c r="GS6" t="s">
        <v>11644</v>
      </c>
      <c r="HM6" t="s">
        <v>11606</v>
      </c>
      <c r="HR6" t="s">
        <v>679</v>
      </c>
      <c r="JA6" t="s">
        <v>1654</v>
      </c>
      <c r="JF6" t="s">
        <v>2028</v>
      </c>
      <c r="JK6" t="s">
        <v>11159</v>
      </c>
      <c r="JP6" t="s">
        <v>11194</v>
      </c>
      <c r="LI6" t="s">
        <v>11122</v>
      </c>
      <c r="NB6" t="s">
        <v>11726</v>
      </c>
      <c r="NG6" t="s">
        <v>260</v>
      </c>
      <c r="NL6" t="s">
        <v>11723</v>
      </c>
    </row>
    <row r="7" spans="1:396" x14ac:dyDescent="0.25">
      <c r="AE7" t="s">
        <v>10696</v>
      </c>
      <c r="AY7" t="s">
        <v>1164</v>
      </c>
      <c r="CC7" t="s">
        <v>10807</v>
      </c>
      <c r="CH7" t="s">
        <v>10998</v>
      </c>
      <c r="DG7" t="s">
        <v>45</v>
      </c>
      <c r="DL7" t="s">
        <v>970</v>
      </c>
      <c r="DQ7" t="s">
        <v>11662</v>
      </c>
      <c r="DV7" t="s">
        <v>11672</v>
      </c>
      <c r="EA7" t="s">
        <v>988</v>
      </c>
      <c r="EF7" t="s">
        <v>10787</v>
      </c>
      <c r="EU7" t="s">
        <v>10696</v>
      </c>
      <c r="EZ7" t="s">
        <v>11907</v>
      </c>
      <c r="FE7" t="s">
        <v>3162</v>
      </c>
      <c r="GS7" t="s">
        <v>11372</v>
      </c>
      <c r="HM7" t="s">
        <v>11607</v>
      </c>
      <c r="HR7" t="s">
        <v>780</v>
      </c>
      <c r="JA7" t="s">
        <v>11365</v>
      </c>
      <c r="JF7" t="s">
        <v>1175</v>
      </c>
      <c r="JK7" t="s">
        <v>11585</v>
      </c>
      <c r="JP7" t="s">
        <v>11542</v>
      </c>
      <c r="NB7" t="s">
        <v>2871</v>
      </c>
      <c r="NG7" t="s">
        <v>3150</v>
      </c>
    </row>
    <row r="8" spans="1:396" x14ac:dyDescent="0.25">
      <c r="AE8" t="s">
        <v>158</v>
      </c>
      <c r="AY8" t="s">
        <v>12378</v>
      </c>
      <c r="CC8" t="s">
        <v>11336</v>
      </c>
      <c r="CH8" t="s">
        <v>6473</v>
      </c>
      <c r="DG8" t="s">
        <v>3437</v>
      </c>
      <c r="DL8" t="s">
        <v>51</v>
      </c>
      <c r="DQ8" t="s">
        <v>11690</v>
      </c>
      <c r="DV8" t="s">
        <v>11673</v>
      </c>
      <c r="EA8" t="s">
        <v>1548</v>
      </c>
      <c r="EF8" t="s">
        <v>3340</v>
      </c>
      <c r="EU8" t="s">
        <v>158</v>
      </c>
      <c r="EZ8" t="s">
        <v>11908</v>
      </c>
      <c r="GS8" t="s">
        <v>11645</v>
      </c>
      <c r="HM8" t="s">
        <v>11608</v>
      </c>
      <c r="HR8" t="s">
        <v>11508</v>
      </c>
      <c r="JA8" t="s">
        <v>11194</v>
      </c>
      <c r="JF8" t="s">
        <v>12034</v>
      </c>
      <c r="JK8" t="s">
        <v>11541</v>
      </c>
      <c r="JP8" t="s">
        <v>570</v>
      </c>
      <c r="NB8" t="s">
        <v>11727</v>
      </c>
      <c r="NG8" t="s">
        <v>8464</v>
      </c>
    </row>
    <row r="9" spans="1:396" x14ac:dyDescent="0.25">
      <c r="AE9" t="s">
        <v>693</v>
      </c>
      <c r="AY9" t="s">
        <v>11007</v>
      </c>
      <c r="CC9" t="s">
        <v>11337</v>
      </c>
      <c r="CH9" t="s">
        <v>3239</v>
      </c>
      <c r="DG9" t="s">
        <v>11012</v>
      </c>
      <c r="DL9" t="s">
        <v>10944</v>
      </c>
      <c r="DQ9" t="s">
        <v>11691</v>
      </c>
      <c r="DV9" t="s">
        <v>11674</v>
      </c>
      <c r="EA9" t="s">
        <v>10877</v>
      </c>
      <c r="EF9" t="s">
        <v>11174</v>
      </c>
      <c r="EU9" t="s">
        <v>693</v>
      </c>
      <c r="EZ9" t="s">
        <v>11909</v>
      </c>
      <c r="HM9" t="s">
        <v>11609</v>
      </c>
      <c r="HR9" t="s">
        <v>260</v>
      </c>
      <c r="JA9" t="s">
        <v>11366</v>
      </c>
      <c r="JF9" t="s">
        <v>46</v>
      </c>
      <c r="JK9" t="s">
        <v>11410</v>
      </c>
      <c r="JP9" t="s">
        <v>11090</v>
      </c>
      <c r="NB9" t="s">
        <v>156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7417</v>
      </c>
      <c r="K1" s="1" t="s">
        <v>7418</v>
      </c>
      <c r="U1" s="1" t="s">
        <v>7419</v>
      </c>
      <c r="AE1" s="1" t="s">
        <v>7420</v>
      </c>
      <c r="AO1" s="1" t="s">
        <v>7421</v>
      </c>
      <c r="AY1" s="1" t="s">
        <v>7422</v>
      </c>
      <c r="BI1" s="1" t="s">
        <v>7423</v>
      </c>
      <c r="BS1" s="1" t="s">
        <v>7424</v>
      </c>
      <c r="CC1" s="1" t="s">
        <v>7425</v>
      </c>
      <c r="CM1" s="1" t="s">
        <v>7426</v>
      </c>
      <c r="CW1" s="1" t="s">
        <v>7427</v>
      </c>
      <c r="DG1" s="1" t="s">
        <v>7428</v>
      </c>
      <c r="DQ1" s="1" t="s">
        <v>7429</v>
      </c>
      <c r="EA1" s="1" t="s">
        <v>7430</v>
      </c>
      <c r="EK1" s="1" t="s">
        <v>7431</v>
      </c>
      <c r="EU1" s="1" t="s">
        <v>7432</v>
      </c>
      <c r="FE1" s="1" t="s">
        <v>7433</v>
      </c>
      <c r="FO1" s="1" t="s">
        <v>7434</v>
      </c>
      <c r="FY1" s="1" t="s">
        <v>7435</v>
      </c>
      <c r="GI1" s="1" t="s">
        <v>7436</v>
      </c>
      <c r="GS1" s="1" t="s">
        <v>7437</v>
      </c>
      <c r="HC1" s="1" t="s">
        <v>7438</v>
      </c>
      <c r="HM1" s="1" t="s">
        <v>7439</v>
      </c>
      <c r="HW1" s="1" t="s">
        <v>7440</v>
      </c>
      <c r="IG1" s="1" t="s">
        <v>7441</v>
      </c>
      <c r="IQ1" s="1" t="s">
        <v>7442</v>
      </c>
      <c r="JA1" s="1" t="s">
        <v>7443</v>
      </c>
      <c r="JK1" s="1" t="s">
        <v>7444</v>
      </c>
      <c r="JU1" s="1" t="s">
        <v>7445</v>
      </c>
      <c r="KE1" s="1" t="s">
        <v>7446</v>
      </c>
      <c r="KO1" s="1" t="s">
        <v>7447</v>
      </c>
      <c r="KY1" s="1" t="s">
        <v>7448</v>
      </c>
      <c r="LI1" s="1" t="s">
        <v>7449</v>
      </c>
      <c r="LS1" s="1" t="s">
        <v>7450</v>
      </c>
      <c r="MC1" s="1" t="s">
        <v>7451</v>
      </c>
      <c r="MM1" s="1" t="s">
        <v>7452</v>
      </c>
      <c r="MW1" s="1" t="s">
        <v>7453</v>
      </c>
      <c r="NG1" s="1" t="s">
        <v>7454</v>
      </c>
      <c r="NQ1" s="1" t="s">
        <v>7455</v>
      </c>
      <c r="OA1" s="1" t="s">
        <v>7456</v>
      </c>
    </row>
    <row r="2" spans="1:396" x14ac:dyDescent="0.25">
      <c r="A2" s="2" t="s">
        <v>66</v>
      </c>
      <c r="K2" s="2" t="s">
        <v>7457</v>
      </c>
      <c r="U2" s="2" t="s">
        <v>7458</v>
      </c>
      <c r="AE2" s="2" t="s">
        <v>7459</v>
      </c>
      <c r="AO2" s="2" t="s">
        <v>2874</v>
      </c>
      <c r="AY2" s="2" t="s">
        <v>7460</v>
      </c>
      <c r="BI2" s="2" t="s">
        <v>64</v>
      </c>
      <c r="BS2" s="2" t="s">
        <v>7461</v>
      </c>
      <c r="CC2" s="2" t="s">
        <v>7462</v>
      </c>
      <c r="CM2" s="2" t="s">
        <v>64</v>
      </c>
      <c r="CW2" s="2" t="s">
        <v>5586</v>
      </c>
      <c r="DG2" s="2" t="s">
        <v>3880</v>
      </c>
      <c r="DQ2" s="2" t="s">
        <v>2782</v>
      </c>
      <c r="EA2" s="2" t="s">
        <v>172</v>
      </c>
      <c r="EK2" s="2" t="s">
        <v>5071</v>
      </c>
      <c r="EU2" s="2" t="s">
        <v>7463</v>
      </c>
      <c r="FE2" s="2" t="s">
        <v>1742</v>
      </c>
      <c r="FO2" s="2" t="s">
        <v>7464</v>
      </c>
      <c r="FY2" s="2" t="s">
        <v>6802</v>
      </c>
      <c r="GI2" s="2" t="s">
        <v>4913</v>
      </c>
      <c r="GS2" s="2" t="s">
        <v>3063</v>
      </c>
      <c r="HC2" s="2" t="s">
        <v>3620</v>
      </c>
      <c r="HM2" s="2" t="s">
        <v>4486</v>
      </c>
      <c r="HW2" s="2" t="s">
        <v>4388</v>
      </c>
      <c r="IG2" s="2" t="s">
        <v>5330</v>
      </c>
      <c r="IQ2" s="2" t="s">
        <v>7465</v>
      </c>
      <c r="JA2" s="2" t="s">
        <v>7466</v>
      </c>
      <c r="JK2" s="2" t="s">
        <v>7467</v>
      </c>
      <c r="JU2" s="2" t="s">
        <v>7468</v>
      </c>
      <c r="KE2" s="2" t="s">
        <v>7469</v>
      </c>
      <c r="KO2" s="2" t="s">
        <v>7470</v>
      </c>
      <c r="KY2" s="2" t="s">
        <v>165</v>
      </c>
      <c r="LI2" s="2" t="s">
        <v>7471</v>
      </c>
      <c r="LS2" s="2" t="s">
        <v>3333</v>
      </c>
      <c r="MC2" s="2" t="s">
        <v>7472</v>
      </c>
      <c r="MM2" s="2" t="s">
        <v>1835</v>
      </c>
      <c r="MW2" s="2" t="s">
        <v>7473</v>
      </c>
      <c r="NG2" s="2" t="s">
        <v>7474</v>
      </c>
      <c r="NQ2" s="2" t="s">
        <v>7475</v>
      </c>
      <c r="OA2" s="2" t="s">
        <v>5337</v>
      </c>
    </row>
    <row r="3" spans="1:396" x14ac:dyDescent="0.25">
      <c r="A3" t="s">
        <v>7476</v>
      </c>
      <c r="K3" t="s">
        <v>7477</v>
      </c>
      <c r="U3" t="s">
        <v>6484</v>
      </c>
      <c r="AE3" t="s">
        <v>2996</v>
      </c>
      <c r="AO3" t="s">
        <v>3008</v>
      </c>
      <c r="AY3" t="s">
        <v>7478</v>
      </c>
      <c r="BI3" t="s">
        <v>7479</v>
      </c>
      <c r="BS3" t="s">
        <v>7235</v>
      </c>
      <c r="CC3" t="s">
        <v>312</v>
      </c>
      <c r="CM3" t="s">
        <v>7480</v>
      </c>
      <c r="CW3" t="s">
        <v>7481</v>
      </c>
      <c r="DG3" t="s">
        <v>7482</v>
      </c>
      <c r="DQ3" t="s">
        <v>2637</v>
      </c>
      <c r="EA3" t="s">
        <v>4319</v>
      </c>
      <c r="EK3" t="s">
        <v>7483</v>
      </c>
      <c r="EU3" t="s">
        <v>3541</v>
      </c>
      <c r="FE3" t="s">
        <v>7484</v>
      </c>
      <c r="FO3" t="s">
        <v>7485</v>
      </c>
      <c r="FY3" t="s">
        <v>718</v>
      </c>
      <c r="GI3" t="s">
        <v>7486</v>
      </c>
      <c r="GS3" t="s">
        <v>7487</v>
      </c>
      <c r="HC3" t="s">
        <v>2822</v>
      </c>
      <c r="HM3" t="s">
        <v>7488</v>
      </c>
      <c r="HW3" t="s">
        <v>4662</v>
      </c>
      <c r="IG3" t="s">
        <v>3196</v>
      </c>
      <c r="IQ3" t="s">
        <v>7489</v>
      </c>
      <c r="JA3" t="s">
        <v>3095</v>
      </c>
      <c r="JK3" t="s">
        <v>5615</v>
      </c>
      <c r="JU3" t="s">
        <v>621</v>
      </c>
      <c r="KE3" t="s">
        <v>7490</v>
      </c>
      <c r="KO3" t="s">
        <v>7491</v>
      </c>
      <c r="KY3" t="s">
        <v>6493</v>
      </c>
      <c r="LI3" t="s">
        <v>7492</v>
      </c>
      <c r="LS3" t="s">
        <v>7493</v>
      </c>
      <c r="MC3" t="s">
        <v>1667</v>
      </c>
      <c r="MM3" t="s">
        <v>7494</v>
      </c>
      <c r="MW3" t="s">
        <v>1668</v>
      </c>
      <c r="NG3" t="s">
        <v>6574</v>
      </c>
      <c r="NQ3" t="s">
        <v>7495</v>
      </c>
      <c r="OA3" t="s">
        <v>1493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_xll.BDS("MDT US Equity","SUPPLY_CHAIN_SUPPLIERS","RELATIONSHIP_AS_OF_DATE","19980713","cols=1;rows=5")</f>
        <v>FLEX US Equity</v>
      </c>
      <c r="F5" t="str">
        <f>_xll.BDS("MDT US Equity","SUPPLY_CHAIN_CUSTOMERS","RELATIONSHIP_AS_OF_DATE","19980713","cols=1;rows=5")</f>
        <v>4104 TT Equity</v>
      </c>
      <c r="K5" t="str">
        <f>_xll.BDS("VATE US Equity","SUPPLY_CHAIN_SUPPLIERS","RELATIONSHIP_AS_OF_DATE","20140513","cols=1;rows=3")</f>
        <v>000963 CH Equity</v>
      </c>
      <c r="P5" t="str">
        <f>_xll.BDS("VATE US Equity","SUPPLY_CHAIN_CUSTOMERS","RELATIONSHIP_AS_OF_DATE","20140513","cols=1;rows=2")</f>
        <v>000963 CH Equity</v>
      </c>
      <c r="U5" t="str">
        <f>_xll.BDS("1850874D US Equity","SUPPLY_CHAIN_SUPPLIERS","RELATIONSHIP_AS_OF_DATE","19980528")</f>
        <v>#N/A N/A</v>
      </c>
      <c r="Z5" t="str">
        <f>_xll.BDS("1850874D US Equity","SUPPLY_CHAIN_CUSTOMERS","RELATIONSHIP_AS_OF_DATE","19980528")</f>
        <v>#N/A N/A</v>
      </c>
      <c r="AE5" t="str">
        <f>_xll.BDS("NCOM US Equity","SUPPLY_CHAIN_SUPPLIERS","RELATIONSHIP_AS_OF_DATE","20170816")</f>
        <v>#N/A N/A</v>
      </c>
      <c r="AJ5" t="str">
        <f>_xll.BDS("NCOM US Equity","SUPPLY_CHAIN_CUSTOMERS","RELATIONSHIP_AS_OF_DATE","20170816")</f>
        <v>#N/A N/A</v>
      </c>
      <c r="AO5" t="str">
        <f>_xll.BDS("FNB US Equity","SUPPLY_CHAIN_SUPPLIERS","RELATIONSHIP_AS_OF_DATE","20130219")</f>
        <v>HY US Equity</v>
      </c>
      <c r="AT5" t="str">
        <f>_xll.BDS("FNB US Equity","SUPPLY_CHAIN_CUSTOMERS","RELATIONSHIP_AS_OF_DATE","20130219")</f>
        <v>#N/A N/A</v>
      </c>
      <c r="AY5" t="str">
        <f>_xll.BDS("TRMK US Equity","SUPPLY_CHAIN_SUPPLIERS","RELATIONSHIP_AS_OF_DATE","20001213")</f>
        <v>1514239D US Equity</v>
      </c>
      <c r="BD5" t="str">
        <f>_xll.BDS("TRMK US Equity","SUPPLY_CHAIN_CUSTOMERS","RELATIONSHIP_AS_OF_DATE","20001213")</f>
        <v>#N/A N/A</v>
      </c>
      <c r="BI5" t="str">
        <f>_xll.BDS("nan Equity","SUPPLY_CHAIN_SUPPLIERS","RELATIONSHIP_AS_OF_DATE","20140402")</f>
        <v>#N/A N/A</v>
      </c>
      <c r="BN5" t="str">
        <f>_xll.BDS("nan Equity","SUPPLY_CHAIN_CUSTOMERS","RELATIONSHIP_AS_OF_DATE","20140402")</f>
        <v>#N/A N/A</v>
      </c>
      <c r="BS5" t="str">
        <f>_xll.BDS("753397Q US Equity","SUPPLY_CHAIN_SUPPLIERS","RELATIONSHIP_AS_OF_DATE","19981110")</f>
        <v>#N/A N/A</v>
      </c>
      <c r="BX5" t="str">
        <f>_xll.BDS("753397Q US Equity","SUPPLY_CHAIN_CUSTOMERS","RELATIONSHIP_AS_OF_DATE","19981110")</f>
        <v>#N/A N/A</v>
      </c>
      <c r="CC5" t="str">
        <f>_xll.BDS("724273Q US Equity","SUPPLY_CHAIN_SUPPLIERS","RELATIONSHIP_AS_OF_DATE","19980311")</f>
        <v>#N/A N/A</v>
      </c>
      <c r="CH5" t="str">
        <f>_xll.BDS("724273Q US Equity","SUPPLY_CHAIN_CUSTOMERS","RELATIONSHIP_AS_OF_DATE","19980311")</f>
        <v>#N/A N/A</v>
      </c>
      <c r="CM5" t="str">
        <f>_xll.BDS("nan Equity","SUPPLY_CHAIN_SUPPLIERS","RELATIONSHIP_AS_OF_DATE","20100624")</f>
        <v>#N/A N/A</v>
      </c>
      <c r="CR5" t="str">
        <f>_xll.BDS("nan Equity","SUPPLY_CHAIN_CUSTOMERS","RELATIONSHIP_AS_OF_DATE","20100624")</f>
        <v>#N/A N/A</v>
      </c>
      <c r="CW5" t="str">
        <f>_xll.BDS("CVG US Equity","SUPPLY_CHAIN_SUPPLIERS","RELATIONSHIP_AS_OF_DATE","20040325")</f>
        <v>#N/A N/A</v>
      </c>
      <c r="DB5" t="str">
        <f>_xll.BDS("CVG US Equity","SUPPLY_CHAIN_CUSTOMERS","RELATIONSHIP_AS_OF_DATE","20040325")</f>
        <v>#N/A N/A</v>
      </c>
      <c r="DG5" t="str">
        <f>_xll.BDS("SNPS US Equity","SUPPLY_CHAIN_SUPPLIERS","RELATIONSHIP_AS_OF_DATE","20041201","cols=1;rows=5")</f>
        <v>000660 KS Equity</v>
      </c>
      <c r="DL5" t="str">
        <f>_xll.BDS("SNPS US Equity","SUPPLY_CHAIN_CUSTOMERS","RELATIONSHIP_AS_OF_DATE","20041201","cols=1;rows=5")</f>
        <v>2454 TT Equity</v>
      </c>
      <c r="DQ5" t="str">
        <f>_xll.BDS("ICBC US Equity","SUPPLY_CHAIN_SUPPLIERS","RELATIONSHIP_AS_OF_DATE","19990413")</f>
        <v>#N/A N/A</v>
      </c>
      <c r="DV5" t="str">
        <f>_xll.BDS("ICBC US Equity","SUPPLY_CHAIN_CUSTOMERS","RELATIONSHIP_AS_OF_DATE","19990413")</f>
        <v>#N/A N/A</v>
      </c>
      <c r="EA5" t="str">
        <f>_xll.BDS("CB US Equity","SUPPLY_CHAIN_SUPPLIERS","RELATIONSHIP_AS_OF_DATE","20110908","cols=1;rows=5")</f>
        <v>049480 KS Equity</v>
      </c>
      <c r="EF5" t="str">
        <f>_xll.BDS("CB US Equity","SUPPLY_CHAIN_CUSTOMERS","RELATIONSHIP_AS_OF_DATE","20110908")</f>
        <v>NSP US Equity</v>
      </c>
      <c r="EK5" t="str">
        <f>_xll.BDS("NUAN US Equity","SUPPLY_CHAIN_SUPPLIERS","RELATIONSHIP_AS_OF_DATE","20030425")</f>
        <v>#N/A N/A</v>
      </c>
      <c r="EP5" t="str">
        <f>_xll.BDS("NUAN US Equity","SUPPLY_CHAIN_CUSTOMERS","RELATIONSHIP_AS_OF_DATE","20030425")</f>
        <v>#N/A N/A</v>
      </c>
      <c r="EU5" t="str">
        <f>_xll.BDS("3588Q US Equity","SUPPLY_CHAIN_SUPPLIERS","RELATIONSHIP_AS_OF_DATE","19990602")</f>
        <v>#N/A N/A</v>
      </c>
      <c r="EZ5" t="str">
        <f>_xll.BDS("3588Q US Equity","SUPPLY_CHAIN_CUSTOMERS","RELATIONSHIP_AS_OF_DATE","19990602")</f>
        <v>#N/A N/A</v>
      </c>
      <c r="FE5" t="str">
        <f>_xll.BDS("AVTA US Equity","SUPPLY_CHAIN_SUPPLIERS","RELATIONSHIP_AS_OF_DATE","20040326","cols=1;rows=2")</f>
        <v>LMRT SP Equity</v>
      </c>
      <c r="FJ5" t="str">
        <f>_xll.BDS("AVTA US Equity","SUPPLY_CHAIN_CUSTOMERS","RELATIONSHIP_AS_OF_DATE","20040326")</f>
        <v>#N/A N/A</v>
      </c>
      <c r="FO5" t="str">
        <f>_xll.BDS("MYR US Equity","SUPPLY_CHAIN_SUPPLIERS","RELATIONSHIP_AS_OF_DATE","19980218")</f>
        <v>#N/A N/A</v>
      </c>
      <c r="FT5" t="str">
        <f>_xll.BDS("MYR US Equity","SUPPLY_CHAIN_CUSTOMERS","RELATIONSHIP_AS_OF_DATE","19980218")</f>
        <v>#N/A N/A</v>
      </c>
      <c r="FY5" t="str">
        <f>_xll.BDS("1894768D US Equity","SUPPLY_CHAIN_SUPPLIERS","RELATIONSHIP_AS_OF_DATE","19980317")</f>
        <v>#N/A N/A</v>
      </c>
      <c r="GD5" t="str">
        <f>_xll.BDS("1894768D US Equity","SUPPLY_CHAIN_CUSTOMERS","RELATIONSHIP_AS_OF_DATE","19980317")</f>
        <v>AWTC MK Equity</v>
      </c>
      <c r="GI5" t="str">
        <f>_xll.BDS("MCF US Equity","SUPPLY_CHAIN_SUPPLIERS","RELATIONSHIP_AS_OF_DATE","20201026")</f>
        <v>#N/A N/A</v>
      </c>
      <c r="GN5" t="str">
        <f>_xll.BDS("MCF US Equity","SUPPLY_CHAIN_CUSTOMERS","RELATIONSHIP_AS_OF_DATE","20201026")</f>
        <v>#N/A N/A</v>
      </c>
      <c r="GS5" t="str">
        <f>_xll.BDS("INDB US Equity","SUPPLY_CHAIN_SUPPLIERS","RELATIONSHIP_AS_OF_DATE","20071011")</f>
        <v>#N/A N/A</v>
      </c>
      <c r="GX5" t="str">
        <f>_xll.BDS("INDB US Equity","SUPPLY_CHAIN_CUSTOMERS","RELATIONSHIP_AS_OF_DATE","20071011")</f>
        <v>#N/A N/A</v>
      </c>
      <c r="HC5" t="str">
        <f>_xll.BDS("VLY US Equity","SUPPLY_CHAIN_SUPPLIERS","RELATIONSHIP_AS_OF_DATE","19981218","cols=1;rows=2")</f>
        <v>VNO US Equity</v>
      </c>
      <c r="HH5" t="str">
        <f>_xll.BDS("VLY US Equity","SUPPLY_CHAIN_CUSTOMERS","RELATIONSHIP_AS_OF_DATE","19981218")</f>
        <v>#N/A N/A</v>
      </c>
      <c r="HM5" t="str">
        <f>_xll.BDS("OCFC US Equity","SUPPLY_CHAIN_SUPPLIERS","RELATIONSHIP_AS_OF_DATE","20150225")</f>
        <v>#N/A N/A</v>
      </c>
      <c r="HR5" t="str">
        <f>_xll.BDS("OCFC US Equity","SUPPLY_CHAIN_CUSTOMERS","RELATIONSHIP_AS_OF_DATE","20150225")</f>
        <v>#N/A N/A</v>
      </c>
      <c r="HW5" t="str">
        <f>_xll.BDS("ACIW US Equity","SUPPLY_CHAIN_SUPPLIERS","RELATIONSHIP_AS_OF_DATE","20130130","cols=1;rows=5")</f>
        <v>HPE US Equity</v>
      </c>
      <c r="IB5" t="str">
        <f>_xll.BDS("ACIW US Equity","SUPPLY_CHAIN_CUSTOMERS","RELATIONSHIP_AS_OF_DATE","20130130","cols=1;rows=5")</f>
        <v>0267572D SM Equity</v>
      </c>
      <c r="IG5" t="str">
        <f>_xll.BDS("TSFG US Equity","SUPPLY_CHAIN_SUPPLIERS","RELATIONSHIP_AS_OF_DATE","20030514")</f>
        <v>#N/A N/A</v>
      </c>
      <c r="IL5" t="str">
        <f>_xll.BDS("TSFG US Equity","SUPPLY_CHAIN_CUSTOMERS","RELATIONSHIP_AS_OF_DATE","20030514")</f>
        <v>#N/A N/A</v>
      </c>
      <c r="IQ5" t="str">
        <f>_xll.BDS("LCRY US Equity","SUPPLY_CHAIN_SUPPLIERS","RELATIONSHIP_AS_OF_DATE","20040902")</f>
        <v>#N/A N/A</v>
      </c>
      <c r="IV5" t="str">
        <f>_xll.BDS("LCRY US Equity","SUPPLY_CHAIN_CUSTOMERS","RELATIONSHIP_AS_OF_DATE","20040902")</f>
        <v>#N/A N/A</v>
      </c>
      <c r="JA5" t="str">
        <f>_xll.BDS("2447428D US Equity","SUPPLY_CHAIN_SUPPLIERS","RELATIONSHIP_AS_OF_DATE","20060403","cols=1;rows=2")</f>
        <v>551 HK Equity</v>
      </c>
      <c r="JF5" t="str">
        <f>_xll.BDS("2447428D US Equity","SUPPLY_CHAIN_CUSTOMERS","RELATIONSHIP_AS_OF_DATE","20060403","cols=1;rows=5")</f>
        <v>ARVINDFA IN Equity</v>
      </c>
      <c r="JK5" t="str">
        <f>_xll.BDS("OPCH US Equity","SUPPLY_CHAIN_SUPPLIERS","RELATIONSHIP_AS_OF_DATE","20040809","cols=1;rows=2")</f>
        <v>PLTR US Equity</v>
      </c>
      <c r="JP5" t="str">
        <f>_xll.BDS("OPCH US Equity","SUPPLY_CHAIN_CUSTOMERS","RELATIONSHIP_AS_OF_DATE","20040809")</f>
        <v>9877893Z US Equity</v>
      </c>
      <c r="JU5" t="str">
        <f>_xll.BDS("ANT US Equity","SUPPLY_CHAIN_SUPPLIERS","RELATIONSHIP_AS_OF_DATE","19990308")</f>
        <v>#N/A N/A</v>
      </c>
      <c r="JZ5" t="str">
        <f>_xll.BDS("ANT US Equity","SUPPLY_CHAIN_CUSTOMERS","RELATIONSHIP_AS_OF_DATE","19990308")</f>
        <v>#N/A N/A</v>
      </c>
      <c r="KE5" t="str">
        <f>_xll.BDS("SLFI US Equity","SUPPLY_CHAIN_SUPPLIERS","RELATIONSHIP_AS_OF_DATE","20000125")</f>
        <v>#N/A N/A</v>
      </c>
      <c r="KJ5" t="str">
        <f>_xll.BDS("SLFI US Equity","SUPPLY_CHAIN_CUSTOMERS","RELATIONSHIP_AS_OF_DATE","20000125")</f>
        <v>#N/A N/A</v>
      </c>
      <c r="KO5" t="str">
        <f>_xll.BDS("IGL US Equity","SUPPLY_CHAIN_SUPPLIERS","RELATIONSHIP_AS_OF_DATE","20040115")</f>
        <v>#N/A N/A</v>
      </c>
      <c r="KT5" t="str">
        <f>_xll.BDS("IGL US Equity","SUPPLY_CHAIN_CUSTOMERS","RELATIONSHIP_AS_OF_DATE","20040115")</f>
        <v>#N/A N/A</v>
      </c>
      <c r="KY5" t="str">
        <f>_xll.BDS("IBM US Equity","SUPPLY_CHAIN_SUPPLIERS","RELATIONSHIP_AS_OF_DATE","20011030","cols=1;rows=5")</f>
        <v>005930 KS Equity</v>
      </c>
      <c r="LD5" t="str">
        <f>_xll.BDS("IBM US Equity","SUPPLY_CHAIN_CUSTOMERS","RELATIONSHIP_AS_OF_DATE","20011030","cols=1;rows=5")</f>
        <v>AMZN US Equity</v>
      </c>
      <c r="LI5" t="str">
        <f>_xll.BDS("539355Q US Equity","SUPPLY_CHAIN_SUPPLIERS","RELATIONSHIP_AS_OF_DATE","19990415")</f>
        <v>#N/A N/A</v>
      </c>
      <c r="LN5" t="str">
        <f>_xll.BDS("539355Q US Equity","SUPPLY_CHAIN_CUSTOMERS","RELATIONSHIP_AS_OF_DATE","19990415")</f>
        <v>#N/A N/A</v>
      </c>
      <c r="LS5" t="str">
        <f>_xll.BDS("UBSI US Equity","SUPPLY_CHAIN_SUPPLIERS","RELATIONSHIP_AS_OF_DATE","20101216")</f>
        <v>FICO US Equity</v>
      </c>
      <c r="LX5" t="str">
        <f>_xll.BDS("UBSI US Equity","SUPPLY_CHAIN_CUSTOMERS","RELATIONSHIP_AS_OF_DATE","20101216")</f>
        <v>#N/A N/A</v>
      </c>
      <c r="MC5" t="str">
        <f>_xll.BDS("HOV US Equity","SUPPLY_CHAIN_SUPPLIERS","RELATIONSHIP_AS_OF_DATE","20000828","cols=1;rows=5")</f>
        <v>WMS US Equity</v>
      </c>
      <c r="MH5" t="str">
        <f>_xll.BDS("HOV US Equity","SUPPLY_CHAIN_CUSTOMERS","RELATIONSHIP_AS_OF_DATE","20000828")</f>
        <v>#N/A N/A</v>
      </c>
      <c r="MM5" t="str">
        <f>_xll.BDS("CADE US Equity","SUPPLY_CHAIN_SUPPLIERS","RELATIONSHIP_AS_OF_DATE","20210113","cols=1;rows=3")</f>
        <v>15647Z US Equity</v>
      </c>
      <c r="MR5" t="str">
        <f>_xll.BDS("CADE US Equity","SUPPLY_CHAIN_CUSTOMERS","RELATIONSHIP_AS_OF_DATE","20210113")</f>
        <v>#N/A N/A</v>
      </c>
      <c r="MW5" t="str">
        <f>_xll.BDS("JAMS US Equity","SUPPLY_CHAIN_SUPPLIERS","RELATIONSHIP_AS_OF_DATE","19990128")</f>
        <v>#N/A N/A</v>
      </c>
      <c r="NB5" t="str">
        <f>_xll.BDS("JAMS US Equity","SUPPLY_CHAIN_CUSTOMERS","RELATIONSHIP_AS_OF_DATE","19990128")</f>
        <v>#N/A N/A</v>
      </c>
      <c r="NG5" t="str">
        <f>_xll.BDS("ENMC US Equity","SUPPLY_CHAIN_SUPPLIERS","RELATIONSHIP_AS_OF_DATE","20051114")</f>
        <v>#N/A N/A</v>
      </c>
      <c r="NL5" t="str">
        <f>_xll.BDS("ENMC US Equity","SUPPLY_CHAIN_CUSTOMERS","RELATIONSHIP_AS_OF_DATE","20051114")</f>
        <v>#N/A N/A</v>
      </c>
      <c r="NQ5" t="str">
        <f>_xll.BDS("PEGA US Equity","SUPPLY_CHAIN_SUPPLIERS","RELATIONSHIP_AS_OF_DATE","20100315","cols=1;rows=5")</f>
        <v>HCLT IN Equity</v>
      </c>
      <c r="NV5" t="str">
        <f>_xll.BDS("PEGA US Equity","SUPPLY_CHAIN_CUSTOMERS","RELATIONSHIP_AS_OF_DATE","20100315","cols=1;rows=5")</f>
        <v>ACN US Equity</v>
      </c>
      <c r="OA5" t="str">
        <f>_xll.BDS("CBU US Equity","SUPPLY_CHAIN_SUPPLIERS","RELATIONSHIP_AS_OF_DATE","20101025")</f>
        <v>#N/A N/A</v>
      </c>
      <c r="OF5" t="str">
        <f>_xll.BDS("CBU US Equity","SUPPLY_CHAIN_CUSTOMERS","RELATIONSHIP_AS_OF_DATE","20101025")</f>
        <v>#N/A N/A</v>
      </c>
    </row>
    <row r="6" spans="1:396" x14ac:dyDescent="0.25">
      <c r="A6" t="s">
        <v>11060</v>
      </c>
      <c r="F6" t="s">
        <v>11016</v>
      </c>
      <c r="K6" t="s">
        <v>11044</v>
      </c>
      <c r="P6" t="s">
        <v>11487</v>
      </c>
      <c r="DG6" t="s">
        <v>11065</v>
      </c>
      <c r="DL6" t="s">
        <v>684</v>
      </c>
      <c r="EA6" t="s">
        <v>11951</v>
      </c>
      <c r="FE6" t="s">
        <v>11707</v>
      </c>
      <c r="HC6" t="s">
        <v>3162</v>
      </c>
      <c r="HW6" t="s">
        <v>165</v>
      </c>
      <c r="IB6" t="s">
        <v>11469</v>
      </c>
      <c r="JA6" t="s">
        <v>10881</v>
      </c>
      <c r="JF6" t="s">
        <v>6553</v>
      </c>
      <c r="JK6" t="s">
        <v>12126</v>
      </c>
      <c r="KY6" t="s">
        <v>41</v>
      </c>
      <c r="LD6" t="s">
        <v>266</v>
      </c>
      <c r="MC6" t="s">
        <v>11358</v>
      </c>
      <c r="MM6" t="s">
        <v>11053</v>
      </c>
      <c r="NQ6" t="s">
        <v>10748</v>
      </c>
      <c r="NV6" t="s">
        <v>11598</v>
      </c>
    </row>
    <row r="7" spans="1:396" x14ac:dyDescent="0.25">
      <c r="A7" t="s">
        <v>10735</v>
      </c>
      <c r="F7" t="s">
        <v>8926</v>
      </c>
      <c r="K7" t="s">
        <v>11045</v>
      </c>
      <c r="DG7" t="s">
        <v>6477</v>
      </c>
      <c r="DL7" t="s">
        <v>6473</v>
      </c>
      <c r="EA7" t="s">
        <v>11952</v>
      </c>
      <c r="HW7" t="s">
        <v>171</v>
      </c>
      <c r="IB7" t="s">
        <v>11470</v>
      </c>
      <c r="JF7" t="s">
        <v>10880</v>
      </c>
      <c r="KY7" t="s">
        <v>469</v>
      </c>
      <c r="LD7" t="s">
        <v>10892</v>
      </c>
      <c r="MC7" t="s">
        <v>11359</v>
      </c>
      <c r="MM7" t="s">
        <v>3162</v>
      </c>
      <c r="NQ7" t="s">
        <v>11605</v>
      </c>
      <c r="NV7" t="s">
        <v>2968</v>
      </c>
    </row>
    <row r="8" spans="1:396" x14ac:dyDescent="0.25">
      <c r="A8" t="s">
        <v>3439</v>
      </c>
      <c r="F8" t="s">
        <v>10140</v>
      </c>
      <c r="DG8" t="s">
        <v>266</v>
      </c>
      <c r="DL8" t="s">
        <v>11248</v>
      </c>
      <c r="EA8" t="s">
        <v>11953</v>
      </c>
      <c r="HW8" t="s">
        <v>11614</v>
      </c>
      <c r="IB8" t="s">
        <v>11471</v>
      </c>
      <c r="JF8" t="s">
        <v>10881</v>
      </c>
      <c r="KY8" t="s">
        <v>2881</v>
      </c>
      <c r="LD8" t="s">
        <v>6473</v>
      </c>
      <c r="MC8" t="s">
        <v>11360</v>
      </c>
      <c r="NQ8" t="s">
        <v>5755</v>
      </c>
      <c r="NV8" t="s">
        <v>10909</v>
      </c>
    </row>
    <row r="9" spans="1:396" x14ac:dyDescent="0.25">
      <c r="A9" t="s">
        <v>10806</v>
      </c>
      <c r="F9" t="s">
        <v>10746</v>
      </c>
      <c r="DG9" t="s">
        <v>11466</v>
      </c>
      <c r="DL9" t="s">
        <v>2967</v>
      </c>
      <c r="EA9" t="s">
        <v>11954</v>
      </c>
      <c r="HW9" t="s">
        <v>11615</v>
      </c>
      <c r="IB9" t="s">
        <v>11472</v>
      </c>
      <c r="JF9" t="s">
        <v>10773</v>
      </c>
      <c r="KY9" t="s">
        <v>10853</v>
      </c>
      <c r="LD9" t="s">
        <v>969</v>
      </c>
      <c r="MC9" t="s">
        <v>11361</v>
      </c>
      <c r="NQ9" t="s">
        <v>10811</v>
      </c>
      <c r="NV9" t="s">
        <v>10718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7496</v>
      </c>
      <c r="K1" s="1" t="s">
        <v>7497</v>
      </c>
      <c r="U1" s="1" t="s">
        <v>7498</v>
      </c>
      <c r="AE1" s="1" t="s">
        <v>7499</v>
      </c>
      <c r="AO1" s="1" t="s">
        <v>7500</v>
      </c>
      <c r="AY1" s="1" t="s">
        <v>7501</v>
      </c>
      <c r="BI1" s="1" t="s">
        <v>7502</v>
      </c>
      <c r="BS1" s="1" t="s">
        <v>7503</v>
      </c>
      <c r="CC1" s="1" t="s">
        <v>7504</v>
      </c>
      <c r="CM1" s="1" t="s">
        <v>7505</v>
      </c>
      <c r="CW1" s="1" t="s">
        <v>7506</v>
      </c>
      <c r="DG1" s="1" t="s">
        <v>7507</v>
      </c>
      <c r="DQ1" s="1" t="s">
        <v>7508</v>
      </c>
      <c r="EA1" s="1" t="s">
        <v>7509</v>
      </c>
      <c r="EK1" s="1" t="s">
        <v>7510</v>
      </c>
      <c r="EU1" s="1" t="s">
        <v>7511</v>
      </c>
      <c r="FE1" s="1" t="s">
        <v>7512</v>
      </c>
      <c r="FO1" s="1" t="s">
        <v>7513</v>
      </c>
      <c r="FY1" s="1" t="s">
        <v>7514</v>
      </c>
      <c r="GI1" s="1" t="s">
        <v>7515</v>
      </c>
      <c r="GS1" s="1" t="s">
        <v>7516</v>
      </c>
      <c r="HC1" s="1" t="s">
        <v>7517</v>
      </c>
      <c r="HM1" s="1" t="s">
        <v>7518</v>
      </c>
      <c r="HW1" s="1" t="s">
        <v>7519</v>
      </c>
      <c r="IG1" s="1" t="s">
        <v>7520</v>
      </c>
      <c r="IQ1" s="1" t="s">
        <v>7521</v>
      </c>
      <c r="JA1" s="1" t="s">
        <v>7522</v>
      </c>
      <c r="JK1" s="1" t="s">
        <v>7523</v>
      </c>
      <c r="JU1" s="1" t="s">
        <v>7524</v>
      </c>
      <c r="KE1" s="1" t="s">
        <v>7525</v>
      </c>
      <c r="KO1" s="1" t="s">
        <v>7526</v>
      </c>
      <c r="KY1" s="1" t="s">
        <v>7527</v>
      </c>
      <c r="LI1" s="1" t="s">
        <v>7528</v>
      </c>
      <c r="LS1" s="1" t="s">
        <v>7529</v>
      </c>
      <c r="MC1" s="1" t="s">
        <v>7530</v>
      </c>
      <c r="MM1" s="1" t="s">
        <v>7531</v>
      </c>
      <c r="MW1" s="1" t="s">
        <v>7532</v>
      </c>
      <c r="NG1" s="1" t="s">
        <v>7533</v>
      </c>
      <c r="NQ1" s="1" t="s">
        <v>7534</v>
      </c>
      <c r="OA1" s="1" t="s">
        <v>7535</v>
      </c>
    </row>
    <row r="2" spans="1:396" x14ac:dyDescent="0.25">
      <c r="A2" s="2" t="s">
        <v>7536</v>
      </c>
      <c r="K2" s="2" t="s">
        <v>7537</v>
      </c>
      <c r="U2" s="2" t="s">
        <v>175</v>
      </c>
      <c r="AE2" s="2" t="s">
        <v>7538</v>
      </c>
      <c r="AO2" s="2" t="s">
        <v>4735</v>
      </c>
      <c r="AY2" s="2" t="s">
        <v>5419</v>
      </c>
      <c r="BI2" s="2" t="s">
        <v>4985</v>
      </c>
      <c r="BS2" s="2" t="s">
        <v>5339</v>
      </c>
      <c r="CC2" s="2" t="s">
        <v>7539</v>
      </c>
      <c r="CM2" s="2" t="s">
        <v>7540</v>
      </c>
      <c r="CW2" s="2" t="s">
        <v>7541</v>
      </c>
      <c r="DG2" s="2" t="s">
        <v>1463</v>
      </c>
      <c r="DQ2" s="2" t="s">
        <v>7542</v>
      </c>
      <c r="EA2" s="2" t="s">
        <v>5498</v>
      </c>
      <c r="EK2" s="2" t="s">
        <v>175</v>
      </c>
      <c r="EU2" s="2" t="s">
        <v>2220</v>
      </c>
      <c r="FE2" s="2" t="s">
        <v>4390</v>
      </c>
      <c r="FO2" s="2" t="s">
        <v>175</v>
      </c>
      <c r="FY2" s="2" t="s">
        <v>40</v>
      </c>
      <c r="GI2" s="2" t="s">
        <v>7543</v>
      </c>
      <c r="GS2" s="2" t="s">
        <v>7544</v>
      </c>
      <c r="HC2" s="2" t="s">
        <v>1270</v>
      </c>
      <c r="HM2" s="2" t="s">
        <v>7211</v>
      </c>
      <c r="HW2" s="2" t="s">
        <v>4565</v>
      </c>
      <c r="IG2" s="2" t="s">
        <v>7545</v>
      </c>
      <c r="IQ2" s="2" t="s">
        <v>7546</v>
      </c>
      <c r="JA2" s="2" t="s">
        <v>2781</v>
      </c>
      <c r="JK2" s="2" t="s">
        <v>2321</v>
      </c>
      <c r="JU2" s="2" t="s">
        <v>4388</v>
      </c>
      <c r="KE2" s="2" t="s">
        <v>7547</v>
      </c>
      <c r="KO2" s="2" t="s">
        <v>1634</v>
      </c>
      <c r="KY2" s="2" t="s">
        <v>3442</v>
      </c>
      <c r="LI2" s="2" t="s">
        <v>6712</v>
      </c>
      <c r="LS2" s="2" t="s">
        <v>7542</v>
      </c>
      <c r="MC2" s="2" t="s">
        <v>270</v>
      </c>
      <c r="MM2" s="2" t="s">
        <v>6391</v>
      </c>
      <c r="MW2" s="2" t="s">
        <v>7548</v>
      </c>
      <c r="NG2" s="2" t="s">
        <v>7060</v>
      </c>
      <c r="NQ2" s="2" t="s">
        <v>5673</v>
      </c>
      <c r="OA2" s="2" t="s">
        <v>5915</v>
      </c>
    </row>
    <row r="3" spans="1:396" x14ac:dyDescent="0.25">
      <c r="A3" t="s">
        <v>203</v>
      </c>
      <c r="K3" t="s">
        <v>7549</v>
      </c>
      <c r="U3" t="s">
        <v>6249</v>
      </c>
      <c r="AE3" t="s">
        <v>2730</v>
      </c>
      <c r="AO3" t="s">
        <v>7550</v>
      </c>
      <c r="AY3" t="s">
        <v>6169</v>
      </c>
      <c r="BI3" t="s">
        <v>7551</v>
      </c>
      <c r="BS3" t="s">
        <v>7552</v>
      </c>
      <c r="CC3" t="s">
        <v>4140</v>
      </c>
      <c r="CM3" t="s">
        <v>4589</v>
      </c>
      <c r="CW3" t="s">
        <v>903</v>
      </c>
      <c r="DG3" t="s">
        <v>7553</v>
      </c>
      <c r="DQ3" t="s">
        <v>7554</v>
      </c>
      <c r="EA3" t="s">
        <v>7555</v>
      </c>
      <c r="EK3" t="s">
        <v>199</v>
      </c>
      <c r="EU3" t="s">
        <v>7556</v>
      </c>
      <c r="FE3" t="s">
        <v>7557</v>
      </c>
      <c r="FO3" t="s">
        <v>2229</v>
      </c>
      <c r="FY3" t="s">
        <v>7558</v>
      </c>
      <c r="GI3" t="s">
        <v>7559</v>
      </c>
      <c r="GS3" t="s">
        <v>7485</v>
      </c>
      <c r="HC3" t="s">
        <v>7560</v>
      </c>
      <c r="HM3" t="s">
        <v>102</v>
      </c>
      <c r="HW3" t="s">
        <v>4589</v>
      </c>
      <c r="IG3" t="s">
        <v>189</v>
      </c>
      <c r="IQ3" t="s">
        <v>5927</v>
      </c>
      <c r="JA3" t="s">
        <v>7308</v>
      </c>
      <c r="JK3" t="s">
        <v>7559</v>
      </c>
      <c r="JU3" t="s">
        <v>7561</v>
      </c>
      <c r="KE3" t="s">
        <v>7166</v>
      </c>
      <c r="KO3" t="s">
        <v>5775</v>
      </c>
      <c r="KY3" t="s">
        <v>7562</v>
      </c>
      <c r="LI3" t="s">
        <v>287</v>
      </c>
      <c r="LS3" t="s">
        <v>7563</v>
      </c>
      <c r="MC3" t="s">
        <v>7564</v>
      </c>
      <c r="MM3" t="s">
        <v>2051</v>
      </c>
      <c r="MW3" t="s">
        <v>402</v>
      </c>
      <c r="NG3" t="s">
        <v>7565</v>
      </c>
      <c r="NQ3" t="s">
        <v>7564</v>
      </c>
      <c r="OA3" t="s">
        <v>4163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_xll.BDS("RTHM LN Equity","SUPPLY_CHAIN_SUPPLIERS","RELATIONSHIP_AS_OF_DATE","20170905")</f>
        <v>#N/A N/A</v>
      </c>
      <c r="F5" t="str">
        <f>_xll.BDS("RTHM LN Equity","SUPPLY_CHAIN_CUSTOMERS","RELATIONSHIP_AS_OF_DATE","20170905")</f>
        <v>#N/A N/A</v>
      </c>
      <c r="K5" t="str">
        <f>_xll.BDS("FMAO US Equity","SUPPLY_CHAIN_SUPPLIERS","RELATIONSHIP_AS_OF_DATE","20210504")</f>
        <v>MLNK US Equity</v>
      </c>
      <c r="P5" t="str">
        <f>_xll.BDS("FMAO US Equity","SUPPLY_CHAIN_CUSTOMERS","RELATIONSHIP_AS_OF_DATE","20210504")</f>
        <v>#N/A N/A</v>
      </c>
      <c r="U5" t="str">
        <f>_xll.BDS("TFC US Equity","SUPPLY_CHAIN_SUPPLIERS","RELATIONSHIP_AS_OF_DATE","19990225","cols=1;rows=5")</f>
        <v>ADBE US Equity</v>
      </c>
      <c r="Z5" t="str">
        <f>_xll.BDS("TFC US Equity","SUPPLY_CHAIN_CUSTOMERS","RELATIONSHIP_AS_OF_DATE","19990225")</f>
        <v>RENG IN Equity</v>
      </c>
      <c r="AE5" t="str">
        <f>_xll.BDS("CPSS US Equity","SUPPLY_CHAIN_SUPPLIERS","RELATIONSHIP_AS_OF_DATE","20011119")</f>
        <v>MUST SP Equity</v>
      </c>
      <c r="AJ5" t="str">
        <f>_xll.BDS("CPSS US Equity","SUPPLY_CHAIN_CUSTOMERS","RELATIONSHIP_AS_OF_DATE","20011119")</f>
        <v>#N/A N/A</v>
      </c>
      <c r="AO5" t="str">
        <f>_xll.BDS("FMBI US Equity","SUPPLY_CHAIN_SUPPLIERS","RELATIONSHIP_AS_OF_DATE","20030911")</f>
        <v>#N/A N/A</v>
      </c>
      <c r="AT5" t="str">
        <f>_xll.BDS("FMBI US Equity","SUPPLY_CHAIN_CUSTOMERS","RELATIONSHIP_AS_OF_DATE","20030911")</f>
        <v>#N/A N/A</v>
      </c>
      <c r="AY5" t="str">
        <f>_xll.BDS("TCBK US Equity","SUPPLY_CHAIN_SUPPLIERS","RELATIONSHIP_AS_OF_DATE","20210727")</f>
        <v>#N/A N/A</v>
      </c>
      <c r="BD5" t="str">
        <f>_xll.BDS("TCBK US Equity","SUPPLY_CHAIN_CUSTOMERS","RELATIONSHIP_AS_OF_DATE","20210727")</f>
        <v>#N/A N/A</v>
      </c>
      <c r="BI5" t="str">
        <f>_xll.BDS("YDKN US Equity","SUPPLY_CHAIN_SUPPLIERS","RELATIONSHIP_AS_OF_DATE","20080910")</f>
        <v>#N/A N/A</v>
      </c>
      <c r="BN5" t="str">
        <f>_xll.BDS("YDKN US Equity","SUPPLY_CHAIN_CUSTOMERS","RELATIONSHIP_AS_OF_DATE","20080910")</f>
        <v>#N/A N/A</v>
      </c>
      <c r="BS5" t="str">
        <f>_xll.BDS("FBNC US Equity","SUPPLY_CHAIN_SUPPLIERS","RELATIONSHIP_AS_OF_DATE","20160622")</f>
        <v>#N/A N/A</v>
      </c>
      <c r="BX5" t="str">
        <f>_xll.BDS("FBNC US Equity","SUPPLY_CHAIN_CUSTOMERS","RELATIONSHIP_AS_OF_DATE","20160622")</f>
        <v>#N/A N/A</v>
      </c>
      <c r="CC5" t="str">
        <f>_xll.BDS("WIBC US Equity","SUPPLY_CHAIN_SUPPLIERS","RELATIONSHIP_AS_OF_DATE","20130715")</f>
        <v>#N/A N/A</v>
      </c>
      <c r="CH5" t="str">
        <f>_xll.BDS("WIBC US Equity","SUPPLY_CHAIN_CUSTOMERS","RELATIONSHIP_AS_OF_DATE","20130715")</f>
        <v>#N/A N/A</v>
      </c>
      <c r="CM5" t="str">
        <f>_xll.BDS("VTEQ US Equity","SUPPLY_CHAIN_SUPPLIERS","RELATIONSHIP_AS_OF_DATE","20000306")</f>
        <v>#N/A N/A</v>
      </c>
      <c r="CR5" t="str">
        <f>_xll.BDS("VTEQ US Equity","SUPPLY_CHAIN_CUSTOMERS","RELATIONSHIP_AS_OF_DATE","20000306")</f>
        <v>#N/A N/A</v>
      </c>
      <c r="CW5" t="str">
        <f>_xll.BDS("OKWHQ US Equity","SUPPLY_CHAIN_SUPPLIERS","RELATIONSHIP_AS_OF_DATE","19980105")</f>
        <v>PCYO US Equity</v>
      </c>
      <c r="DB5" t="str">
        <f>_xll.BDS("OKWHQ US Equity","SUPPLY_CHAIN_CUSTOMERS","RELATIONSHIP_AS_OF_DATE","19980105")</f>
        <v>#N/A N/A</v>
      </c>
      <c r="DG5" t="str">
        <f>_xll.BDS("ITW US Equity","SUPPLY_CHAIN_SUPPLIERS","RELATIONSHIP_AS_OF_DATE","20060620","cols=1;rows=5")</f>
        <v>179 HK Equity</v>
      </c>
      <c r="DL5" t="str">
        <f>_xll.BDS("ITW US Equity","SUPPLY_CHAIN_CUSTOMERS","RELATIONSHIP_AS_OF_DATE","20060620","cols=1;rows=5")</f>
        <v>TSCO US Equity</v>
      </c>
      <c r="DQ5" t="str">
        <f>_xll.BDS("XBKS US Equity","SUPPLY_CHAIN_SUPPLIERS","RELATIONSHIP_AS_OF_DATE","20160210")</f>
        <v>#N/A N/A</v>
      </c>
      <c r="DV5" t="str">
        <f>_xll.BDS("XBKS US Equity","SUPPLY_CHAIN_CUSTOMERS","RELATIONSHIP_AS_OF_DATE","20160210")</f>
        <v>#N/A N/A</v>
      </c>
      <c r="EA5" t="str">
        <f>_xll.BDS("UPBD US Equity","SUPPLY_CHAIN_SUPPLIERS","RELATIONSHIP_AS_OF_DATE","20040204","cols=1;rows=5")</f>
        <v>066570 KS Equity</v>
      </c>
      <c r="EF5" t="str">
        <f>_xll.BDS("UPBD US Equity","SUPPLY_CHAIN_CUSTOMERS","RELATIONSHIP_AS_OF_DATE","20040204")</f>
        <v>0112951Z US Equity</v>
      </c>
      <c r="EK5" t="str">
        <f>_xll.BDS("TFC US Equity","SUPPLY_CHAIN_SUPPLIERS","RELATIONSHIP_AS_OF_DATE","20000906","cols=1;rows=5")</f>
        <v>ADBE US Equity</v>
      </c>
      <c r="EP5" t="str">
        <f>_xll.BDS("TFC US Equity","SUPPLY_CHAIN_CUSTOMERS","RELATIONSHIP_AS_OF_DATE","20000906")</f>
        <v>RENG IN Equity</v>
      </c>
      <c r="EU5" t="str">
        <f>_xll.BDS("PRGNQ US Equity","SUPPLY_CHAIN_SUPPLIERS","RELATIONSHIP_AS_OF_DATE","19980507")</f>
        <v>#N/A N/A</v>
      </c>
      <c r="EZ5" t="str">
        <f>_xll.BDS("PRGNQ US Equity","SUPPLY_CHAIN_CUSTOMERS","RELATIONSHIP_AS_OF_DATE","19980507")</f>
        <v>#N/A N/A</v>
      </c>
      <c r="FE5" t="str">
        <f>_xll.BDS("AZA US Equity","SUPPLY_CHAIN_SUPPLIERS","RELATIONSHIP_AS_OF_DATE","20000929")</f>
        <v>#N/A N/A</v>
      </c>
      <c r="FJ5" t="str">
        <f>_xll.BDS("AZA US Equity","SUPPLY_CHAIN_CUSTOMERS","RELATIONSHIP_AS_OF_DATE","20000929")</f>
        <v>#N/A N/A</v>
      </c>
      <c r="FO5" t="str">
        <f>_xll.BDS("TFC US Equity","SUPPLY_CHAIN_SUPPLIERS","RELATIONSHIP_AS_OF_DATE","20010710","cols=1;rows=5")</f>
        <v>ADBE US Equity</v>
      </c>
      <c r="FT5" t="str">
        <f>_xll.BDS("TFC US Equity","SUPPLY_CHAIN_CUSTOMERS","RELATIONSHIP_AS_OF_DATE","20010710")</f>
        <v>RENG IN Equity</v>
      </c>
      <c r="FY5" t="str">
        <f>_xll.BDS("TWX US Equity","SUPPLY_CHAIN_SUPPLIERS","RELATIONSHIP_AS_OF_DATE","20010723")</f>
        <v>#N/A N/A</v>
      </c>
      <c r="GD5" t="str">
        <f>_xll.BDS("TWX US Equity","SUPPLY_CHAIN_CUSTOMERS","RELATIONSHIP_AS_OF_DATE","20010723")</f>
        <v>#N/A N/A</v>
      </c>
      <c r="GI5" t="str">
        <f>_xll.BDS("RMK US Equity","SUPPLY_CHAIN_SUPPLIERS","RELATIONSHIP_AS_OF_DATE","20021024")</f>
        <v>#N/A N/A</v>
      </c>
      <c r="GN5" t="str">
        <f>_xll.BDS("RMK US Equity","SUPPLY_CHAIN_CUSTOMERS","RELATIONSHIP_AS_OF_DATE","20021024")</f>
        <v>#N/A N/A</v>
      </c>
      <c r="GS5" t="str">
        <f>_xll.BDS("EGP US Equity","SUPPLY_CHAIN_SUPPLIERS","RELATIONSHIP_AS_OF_DATE","19980218")</f>
        <v>#N/A N/A</v>
      </c>
      <c r="GX5" t="str">
        <f>_xll.BDS("EGP US Equity","SUPPLY_CHAIN_CUSTOMERS","RELATIONSHIP_AS_OF_DATE","19980218","cols=1;rows=5")</f>
        <v>AMZN US Equity</v>
      </c>
      <c r="HC5" t="str">
        <f>_xll.BDS("EMN US Equity","SUPPLY_CHAIN_SUPPLIERS","RELATIONSHIP_AS_OF_DATE","20110622","cols=1;rows=5")</f>
        <v>AI FP Equity</v>
      </c>
      <c r="HH5" t="str">
        <f>_xll.BDS("EMN US Equity","SUPPLY_CHAIN_CUSTOMERS","RELATIONSHIP_AS_OF_DATE","20110622","cols=1;rows=5")</f>
        <v>JNJ US Equity</v>
      </c>
      <c r="HM5" t="str">
        <f>_xll.BDS("LBAI US Equity","SUPPLY_CHAIN_SUPPLIERS","RELATIONSHIP_AS_OF_DATE","20031027")</f>
        <v>#N/A N/A</v>
      </c>
      <c r="HR5" t="str">
        <f>_xll.BDS("LBAI US Equity","SUPPLY_CHAIN_CUSTOMERS","RELATIONSHIP_AS_OF_DATE","20031027")</f>
        <v>#N/A N/A</v>
      </c>
      <c r="HW5" t="str">
        <f>_xll.BDS("GZBX US Equity","SUPPLY_CHAIN_SUPPLIERS","RELATIONSHIP_AS_OF_DATE","20000306")</f>
        <v>#N/A N/A</v>
      </c>
      <c r="IB5" t="str">
        <f>_xll.BDS("GZBX US Equity","SUPPLY_CHAIN_CUSTOMERS","RELATIONSHIP_AS_OF_DATE","20000306")</f>
        <v>#N/A N/A</v>
      </c>
      <c r="IG5" t="str">
        <f>_xll.BDS("GLDB US Equity","SUPPLY_CHAIN_SUPPLIERS","RELATIONSHIP_AS_OF_DATE","19990907")</f>
        <v>#N/A N/A</v>
      </c>
      <c r="IL5" t="str">
        <f>_xll.BDS("GLDB US Equity","SUPPLY_CHAIN_CUSTOMERS","RELATIONSHIP_AS_OF_DATE","19990907")</f>
        <v>#N/A N/A</v>
      </c>
      <c r="IQ5" t="str">
        <f>_xll.BDS("FLS US Equity","SUPPLY_CHAIN_SUPPLIERS","RELATIONSHIP_AS_OF_DATE","19991118","cols=1;rows=5")</f>
        <v>PTC US Equity</v>
      </c>
      <c r="IV5" t="str">
        <f>_xll.BDS("FLS US Equity","SUPPLY_CHAIN_CUSTOMERS","RELATIONSHIP_AS_OF_DATE","19991118","cols=1;rows=5")</f>
        <v>ARAMCO AB Equity</v>
      </c>
      <c r="JA5" t="str">
        <f>_xll.BDS("EXE US Equity","SUPPLY_CHAIN_SUPPLIERS","RELATIONSHIP_AS_OF_DATE","20020311","cols=1;rows=5")</f>
        <v>PRIM US Equity</v>
      </c>
      <c r="JF5" t="str">
        <f>_xll.BDS("EXE US Equity","SUPPLY_CHAIN_CUSTOMERS","RELATIONSHIP_AS_OF_DATE","20020311","cols=1;rows=3")</f>
        <v>37895Z CY Equity</v>
      </c>
      <c r="JK5" t="str">
        <f>_xll.BDS("DRS US Equity","SUPPLY_CHAIN_SUPPLIERS","RELATIONSHIP_AS_OF_DATE","20021024")</f>
        <v>#N/A N/A</v>
      </c>
      <c r="JP5" t="str">
        <f>_xll.BDS("DRS US Equity","SUPPLY_CHAIN_CUSTOMERS","RELATIONSHIP_AS_OF_DATE","20021024","cols=1;rows=5")</f>
        <v>3352Z US Equity</v>
      </c>
      <c r="JU5" t="str">
        <f>_xll.BDS("ACIW US Equity","SUPPLY_CHAIN_SUPPLIERS","RELATIONSHIP_AS_OF_DATE","20130923","cols=1;rows=5")</f>
        <v>HPE US Equity</v>
      </c>
      <c r="JZ5" t="str">
        <f>_xll.BDS("ACIW US Equity","SUPPLY_CHAIN_CUSTOMERS","RELATIONSHIP_AS_OF_DATE","20130923","cols=1;rows=5")</f>
        <v>0267572D SM Equity</v>
      </c>
      <c r="KE5" t="str">
        <f>_xll.BDS("OPLK US Equity","SUPPLY_CHAIN_SUPPLIERS","RELATIONSHIP_AS_OF_DATE","20070423")</f>
        <v>#N/A N/A</v>
      </c>
      <c r="KJ5" t="str">
        <f>_xll.BDS("OPLK US Equity","SUPPLY_CHAIN_CUSTOMERS","RELATIONSHIP_AS_OF_DATE","20070423")</f>
        <v>#N/A N/A</v>
      </c>
      <c r="KO5" t="str">
        <f>_xll.BDS("1837572D US Equity","SUPPLY_CHAIN_SUPPLIERS","RELATIONSHIP_AS_OF_DATE","19990715")</f>
        <v>#N/A N/A</v>
      </c>
      <c r="KT5" t="str">
        <f>_xll.BDS("1837572D US Equity","SUPPLY_CHAIN_CUSTOMERS","RELATIONSHIP_AS_OF_DATE","19990715")</f>
        <v>#N/A N/A</v>
      </c>
      <c r="KY5" t="str">
        <f>_xll.BDS("GBCI US Equity","SUPPLY_CHAIN_SUPPLIERS","RELATIONSHIP_AS_OF_DATE","20000920")</f>
        <v>VYX US Equity</v>
      </c>
      <c r="LD5" t="str">
        <f>_xll.BDS("GBCI US Equity","SUPPLY_CHAIN_CUSTOMERS","RELATIONSHIP_AS_OF_DATE","20000920")</f>
        <v>#N/A N/A</v>
      </c>
      <c r="LI5" t="str">
        <f>_xll.BDS("HRBT US Equity","SUPPLY_CHAIN_SUPPLIERS","RELATIONSHIP_AS_OF_DATE","20010904")</f>
        <v>#N/A N/A</v>
      </c>
      <c r="LN5" t="str">
        <f>_xll.BDS("HRBT US Equity","SUPPLY_CHAIN_CUSTOMERS","RELATIONSHIP_AS_OF_DATE","20010904")</f>
        <v>#N/A N/A</v>
      </c>
      <c r="LS5" t="str">
        <f>_xll.BDS("XBKS US Equity","SUPPLY_CHAIN_SUPPLIERS","RELATIONSHIP_AS_OF_DATE","20080924")</f>
        <v>#N/A N/A</v>
      </c>
      <c r="LX5" t="str">
        <f>_xll.BDS("XBKS US Equity","SUPPLY_CHAIN_CUSTOMERS","RELATIONSHIP_AS_OF_DATE","20080924")</f>
        <v>#N/A N/A</v>
      </c>
      <c r="MC5" t="str">
        <f>_xll.BDS("USB US Equity","SUPPLY_CHAIN_SUPPLIERS","RELATIONSHIP_AS_OF_DATE","20060601","cols=1;rows=5")</f>
        <v>INFO IN Equity</v>
      </c>
      <c r="MH5" t="str">
        <f>_xll.BDS("USB US Equity","SUPPLY_CHAIN_CUSTOMERS","RELATIONSHIP_AS_OF_DATE","20060601","cols=1;rows=2")</f>
        <v>FISV US Equity</v>
      </c>
      <c r="MM5" t="str">
        <f>_xll.BDS("CARO US Equity","SUPPLY_CHAIN_SUPPLIERS","RELATIONSHIP_AS_OF_DATE","20190715")</f>
        <v>#N/A N/A</v>
      </c>
      <c r="MR5" t="str">
        <f>_xll.BDS("CARO US Equity","SUPPLY_CHAIN_CUSTOMERS","RELATIONSHIP_AS_OF_DATE","20190715")</f>
        <v>#N/A N/A</v>
      </c>
      <c r="MW5" t="str">
        <f>_xll.BDS("TPTH US Equity","SUPPLY_CHAIN_SUPPLIERS","RELATIONSHIP_AS_OF_DATE","19990607")</f>
        <v>#N/A N/A</v>
      </c>
      <c r="NB5" t="str">
        <f>_xll.BDS("TPTH US Equity","SUPPLY_CHAIN_CUSTOMERS","RELATIONSHIP_AS_OF_DATE","19990607")</f>
        <v>#N/A N/A</v>
      </c>
      <c r="NG5" t="str">
        <f>_xll.BDS("ACCL US Equity","SUPPLY_CHAIN_SUPPLIERS","RELATIONSHIP_AS_OF_DATE","20100405","cols=1;rows=2")</f>
        <v>3343935Z HK Equity</v>
      </c>
      <c r="NL5" t="str">
        <f>_xll.BDS("ACCL US Equity","SUPPLY_CHAIN_CUSTOMERS","RELATIONSHIP_AS_OF_DATE","20100405")</f>
        <v>#N/A N/A</v>
      </c>
      <c r="NQ5" t="str">
        <f>_xll.BDS("1642488D US Equity","SUPPLY_CHAIN_SUPPLIERS","RELATIONSHIP_AS_OF_DATE","20060601")</f>
        <v>#N/A N/A</v>
      </c>
      <c r="NV5" t="str">
        <f>_xll.BDS("1642488D US Equity","SUPPLY_CHAIN_CUSTOMERS","RELATIONSHIP_AS_OF_DATE","20060601")</f>
        <v>#N/A N/A</v>
      </c>
      <c r="OA5" t="str">
        <f>_xll.BDS("NBTB US Equity","SUPPLY_CHAIN_SUPPLIERS","RELATIONSHIP_AS_OF_DATE","19990816")</f>
        <v>FRSH US Equity</v>
      </c>
      <c r="OF5" t="str">
        <f>_xll.BDS("NBTB US Equity","SUPPLY_CHAIN_CUSTOMERS","RELATIONSHIP_AS_OF_DATE","19990816")</f>
        <v>#N/A N/A</v>
      </c>
    </row>
    <row r="6" spans="1:396" x14ac:dyDescent="0.25">
      <c r="U6" t="s">
        <v>11371</v>
      </c>
      <c r="DG6" t="s">
        <v>11335</v>
      </c>
      <c r="DL6" t="s">
        <v>10660</v>
      </c>
      <c r="EA6" t="s">
        <v>11368</v>
      </c>
      <c r="EK6" t="s">
        <v>11371</v>
      </c>
      <c r="FO6" t="s">
        <v>11371</v>
      </c>
      <c r="GX6" t="s">
        <v>11532</v>
      </c>
      <c r="HC6" t="s">
        <v>11509</v>
      </c>
      <c r="HH6" t="s">
        <v>11946</v>
      </c>
      <c r="IQ6" t="s">
        <v>11718</v>
      </c>
      <c r="IV6" t="s">
        <v>11250</v>
      </c>
      <c r="JA6" t="s">
        <v>4211</v>
      </c>
      <c r="JF6" t="s">
        <v>11540</v>
      </c>
      <c r="JP6" t="s">
        <v>42</v>
      </c>
      <c r="JU6" t="s">
        <v>165</v>
      </c>
      <c r="JZ6" t="s">
        <v>11469</v>
      </c>
      <c r="MC6" t="s">
        <v>266</v>
      </c>
      <c r="MH6" t="s">
        <v>11294</v>
      </c>
      <c r="NG6" t="s">
        <v>11670</v>
      </c>
    </row>
    <row r="7" spans="1:396" x14ac:dyDescent="0.25">
      <c r="U7" t="s">
        <v>10986</v>
      </c>
      <c r="DG7" t="s">
        <v>10807</v>
      </c>
      <c r="DL7" t="s">
        <v>10998</v>
      </c>
      <c r="EA7" t="s">
        <v>10912</v>
      </c>
      <c r="EK7" t="s">
        <v>10986</v>
      </c>
      <c r="FO7" t="s">
        <v>10986</v>
      </c>
      <c r="GX7" t="s">
        <v>11533</v>
      </c>
      <c r="HC7" t="s">
        <v>11510</v>
      </c>
      <c r="HH7" t="s">
        <v>10939</v>
      </c>
      <c r="IQ7" t="s">
        <v>11719</v>
      </c>
      <c r="IV7" t="s">
        <v>11712</v>
      </c>
      <c r="JA7" t="s">
        <v>11312</v>
      </c>
      <c r="JF7" t="s">
        <v>780</v>
      </c>
      <c r="JP7" t="s">
        <v>10785</v>
      </c>
      <c r="JU7" t="s">
        <v>171</v>
      </c>
      <c r="JZ7" t="s">
        <v>11470</v>
      </c>
      <c r="MC7" t="s">
        <v>1654</v>
      </c>
    </row>
    <row r="8" spans="1:396" x14ac:dyDescent="0.25">
      <c r="U8" t="s">
        <v>11372</v>
      </c>
      <c r="DG8" t="s">
        <v>11336</v>
      </c>
      <c r="DL8" t="s">
        <v>6473</v>
      </c>
      <c r="EA8" t="s">
        <v>2024</v>
      </c>
      <c r="EK8" t="s">
        <v>11372</v>
      </c>
      <c r="FO8" t="s">
        <v>11372</v>
      </c>
      <c r="GX8" t="s">
        <v>11534</v>
      </c>
      <c r="HC8" t="s">
        <v>11511</v>
      </c>
      <c r="HH8" t="s">
        <v>58</v>
      </c>
      <c r="IQ8" t="s">
        <v>11720</v>
      </c>
      <c r="IV8" t="s">
        <v>60</v>
      </c>
      <c r="JA8" t="s">
        <v>11355</v>
      </c>
      <c r="JP8" t="s">
        <v>388</v>
      </c>
      <c r="JU8" t="s">
        <v>11614</v>
      </c>
      <c r="JZ8" t="s">
        <v>11471</v>
      </c>
      <c r="MC8" t="s">
        <v>772</v>
      </c>
    </row>
    <row r="9" spans="1:396" x14ac:dyDescent="0.25">
      <c r="U9" t="s">
        <v>10987</v>
      </c>
      <c r="DG9" t="s">
        <v>11337</v>
      </c>
      <c r="DL9" t="s">
        <v>3239</v>
      </c>
      <c r="EA9" t="s">
        <v>11139</v>
      </c>
      <c r="EK9" t="s">
        <v>10987</v>
      </c>
      <c r="FO9" t="s">
        <v>10987</v>
      </c>
      <c r="GX9" t="s">
        <v>11535</v>
      </c>
      <c r="HC9" t="s">
        <v>11449</v>
      </c>
      <c r="HH9" t="s">
        <v>261</v>
      </c>
      <c r="IQ9" t="s">
        <v>11417</v>
      </c>
      <c r="IV9" t="s">
        <v>47</v>
      </c>
      <c r="JA9" t="s">
        <v>11356</v>
      </c>
      <c r="JP9" t="s">
        <v>10786</v>
      </c>
      <c r="JU9" t="s">
        <v>11615</v>
      </c>
      <c r="JZ9" t="s">
        <v>11472</v>
      </c>
      <c r="MC9" t="s">
        <v>11073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7566</v>
      </c>
      <c r="K1" s="1" t="s">
        <v>7567</v>
      </c>
      <c r="U1" s="1" t="s">
        <v>7568</v>
      </c>
      <c r="AE1" s="1" t="s">
        <v>7569</v>
      </c>
      <c r="AO1" s="1" t="s">
        <v>7570</v>
      </c>
      <c r="AY1" s="1" t="s">
        <v>7571</v>
      </c>
      <c r="BI1" s="1" t="s">
        <v>7572</v>
      </c>
      <c r="BS1" s="1" t="s">
        <v>7573</v>
      </c>
      <c r="CC1" s="1" t="s">
        <v>7574</v>
      </c>
      <c r="CM1" s="1" t="s">
        <v>7575</v>
      </c>
      <c r="CW1" s="1" t="s">
        <v>7576</v>
      </c>
      <c r="DG1" s="1" t="s">
        <v>7577</v>
      </c>
      <c r="DQ1" s="1" t="s">
        <v>7578</v>
      </c>
      <c r="EA1" s="1" t="s">
        <v>7579</v>
      </c>
      <c r="EK1" s="1" t="s">
        <v>7580</v>
      </c>
      <c r="EU1" s="1" t="s">
        <v>7581</v>
      </c>
      <c r="FE1" s="1" t="s">
        <v>7582</v>
      </c>
      <c r="FO1" s="1" t="s">
        <v>7583</v>
      </c>
      <c r="FY1" s="1" t="s">
        <v>7584</v>
      </c>
      <c r="GI1" s="1" t="s">
        <v>7585</v>
      </c>
      <c r="GS1" s="1" t="s">
        <v>7586</v>
      </c>
      <c r="HC1" s="1" t="s">
        <v>7587</v>
      </c>
      <c r="HM1" s="1" t="s">
        <v>7588</v>
      </c>
      <c r="HW1" s="1" t="s">
        <v>7589</v>
      </c>
      <c r="IG1" s="1" t="s">
        <v>7590</v>
      </c>
      <c r="IQ1" s="1" t="s">
        <v>7591</v>
      </c>
      <c r="JA1" s="1" t="s">
        <v>7592</v>
      </c>
      <c r="JK1" s="1" t="s">
        <v>7593</v>
      </c>
      <c r="JU1" s="1" t="s">
        <v>7594</v>
      </c>
      <c r="KE1" s="1" t="s">
        <v>7595</v>
      </c>
      <c r="KO1" s="1" t="s">
        <v>7596</v>
      </c>
      <c r="KY1" s="1" t="s">
        <v>7597</v>
      </c>
      <c r="LI1" s="1" t="s">
        <v>7598</v>
      </c>
      <c r="LS1" s="1" t="s">
        <v>7599</v>
      </c>
      <c r="MC1" s="1" t="s">
        <v>7600</v>
      </c>
      <c r="MM1" s="1" t="s">
        <v>7601</v>
      </c>
      <c r="MW1" s="1" t="s">
        <v>7602</v>
      </c>
      <c r="NG1" s="1" t="s">
        <v>7603</v>
      </c>
      <c r="NQ1" s="1" t="s">
        <v>7604</v>
      </c>
      <c r="OA1" s="1" t="s">
        <v>7605</v>
      </c>
    </row>
    <row r="2" spans="1:396" x14ac:dyDescent="0.25">
      <c r="A2" s="2" t="s">
        <v>7606</v>
      </c>
      <c r="K2" s="2" t="s">
        <v>2027</v>
      </c>
      <c r="U2" s="2" t="s">
        <v>3057</v>
      </c>
      <c r="AE2" s="2" t="s">
        <v>7607</v>
      </c>
      <c r="AO2" s="2" t="s">
        <v>7608</v>
      </c>
      <c r="AY2" s="2" t="s">
        <v>3792</v>
      </c>
      <c r="BI2" s="2" t="s">
        <v>7609</v>
      </c>
      <c r="BS2" s="2" t="s">
        <v>7610</v>
      </c>
      <c r="CC2" s="2" t="s">
        <v>7611</v>
      </c>
      <c r="CM2" s="2" t="s">
        <v>7612</v>
      </c>
      <c r="CW2" s="2" t="s">
        <v>669</v>
      </c>
      <c r="DG2" s="2" t="s">
        <v>7217</v>
      </c>
      <c r="DQ2" s="2" t="s">
        <v>261</v>
      </c>
      <c r="EA2" s="2" t="s">
        <v>7613</v>
      </c>
      <c r="EK2" s="2" t="s">
        <v>7614</v>
      </c>
      <c r="EU2" s="2" t="s">
        <v>5663</v>
      </c>
      <c r="FE2" s="2" t="s">
        <v>1942</v>
      </c>
      <c r="FO2" s="2" t="s">
        <v>2412</v>
      </c>
      <c r="FY2" s="2" t="s">
        <v>7615</v>
      </c>
      <c r="GI2" s="2" t="s">
        <v>6308</v>
      </c>
      <c r="GS2" s="2" t="s">
        <v>7616</v>
      </c>
      <c r="HC2" s="2" t="s">
        <v>7617</v>
      </c>
      <c r="HM2" s="2" t="s">
        <v>7064</v>
      </c>
      <c r="HW2" s="2" t="s">
        <v>1068</v>
      </c>
      <c r="IG2" s="2" t="s">
        <v>3333</v>
      </c>
      <c r="IQ2" s="2" t="s">
        <v>1372</v>
      </c>
      <c r="JA2" s="2" t="s">
        <v>3442</v>
      </c>
      <c r="JK2" s="2" t="s">
        <v>5067</v>
      </c>
      <c r="JU2" s="2" t="s">
        <v>158</v>
      </c>
      <c r="KE2" s="2" t="s">
        <v>3156</v>
      </c>
      <c r="KO2" s="2" t="s">
        <v>2874</v>
      </c>
      <c r="KY2" s="2" t="s">
        <v>880</v>
      </c>
      <c r="LI2" s="2" t="s">
        <v>7618</v>
      </c>
      <c r="LS2" s="2" t="s">
        <v>7619</v>
      </c>
      <c r="MC2" s="2" t="s">
        <v>2313</v>
      </c>
      <c r="MM2" s="2" t="s">
        <v>6722</v>
      </c>
      <c r="MW2" s="2" t="s">
        <v>6980</v>
      </c>
      <c r="NG2" s="2" t="s">
        <v>7620</v>
      </c>
      <c r="NQ2" s="2" t="s">
        <v>7621</v>
      </c>
      <c r="OA2" s="2" t="s">
        <v>7622</v>
      </c>
    </row>
    <row r="3" spans="1:396" x14ac:dyDescent="0.25">
      <c r="A3" t="s">
        <v>7623</v>
      </c>
      <c r="K3" t="s">
        <v>7624</v>
      </c>
      <c r="U3" t="s">
        <v>81</v>
      </c>
      <c r="AE3" t="s">
        <v>1383</v>
      </c>
      <c r="AO3" t="s">
        <v>5272</v>
      </c>
      <c r="AY3" t="s">
        <v>4400</v>
      </c>
      <c r="BI3" t="s">
        <v>5531</v>
      </c>
      <c r="BS3" t="s">
        <v>1853</v>
      </c>
      <c r="CC3" t="s">
        <v>7625</v>
      </c>
      <c r="CM3" t="s">
        <v>7626</v>
      </c>
      <c r="CW3" t="s">
        <v>7627</v>
      </c>
      <c r="DG3" t="s">
        <v>7628</v>
      </c>
      <c r="DQ3" t="s">
        <v>7555</v>
      </c>
      <c r="EA3" t="s">
        <v>3899</v>
      </c>
      <c r="EK3" t="s">
        <v>7629</v>
      </c>
      <c r="EU3" t="s">
        <v>7630</v>
      </c>
      <c r="FE3" t="s">
        <v>3079</v>
      </c>
      <c r="FO3" t="s">
        <v>1488</v>
      </c>
      <c r="FY3" t="s">
        <v>7631</v>
      </c>
      <c r="GI3" t="s">
        <v>7632</v>
      </c>
      <c r="GS3" t="s">
        <v>2338</v>
      </c>
      <c r="HC3" t="s">
        <v>7633</v>
      </c>
      <c r="HM3" t="s">
        <v>7634</v>
      </c>
      <c r="HW3" t="s">
        <v>1096</v>
      </c>
      <c r="IG3" t="s">
        <v>7485</v>
      </c>
      <c r="IQ3" t="s">
        <v>7635</v>
      </c>
      <c r="JA3" t="s">
        <v>7636</v>
      </c>
      <c r="JK3" t="s">
        <v>4243</v>
      </c>
      <c r="JU3" t="s">
        <v>7637</v>
      </c>
      <c r="KE3" t="s">
        <v>7303</v>
      </c>
      <c r="KO3" t="s">
        <v>7638</v>
      </c>
      <c r="KY3" t="s">
        <v>5681</v>
      </c>
      <c r="LI3" t="s">
        <v>6832</v>
      </c>
      <c r="LS3" t="s">
        <v>7639</v>
      </c>
      <c r="MC3" t="s">
        <v>602</v>
      </c>
      <c r="MM3" t="s">
        <v>7640</v>
      </c>
      <c r="MW3" t="s">
        <v>7641</v>
      </c>
      <c r="NG3" t="s">
        <v>3818</v>
      </c>
      <c r="NQ3" t="s">
        <v>4072</v>
      </c>
      <c r="OA3" t="s">
        <v>7642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_xll.BDS("AMNB US Equity","SUPPLY_CHAIN_SUPPLIERS","RELATIONSHIP_AS_OF_DATE","20181001")</f>
        <v>#N/A N/A</v>
      </c>
      <c r="F5" t="str">
        <f>_xll.BDS("AMNB US Equity","SUPPLY_CHAIN_CUSTOMERS","RELATIONSHIP_AS_OF_DATE","20181001")</f>
        <v>#N/A N/A</v>
      </c>
      <c r="K5" t="str">
        <f>_xll.BDS("MSCC US Equity","SUPPLY_CHAIN_SUPPLIERS","RELATIONSHIP_AS_OF_DATE","20100330")</f>
        <v>FE US Equity</v>
      </c>
      <c r="P5" t="str">
        <f>_xll.BDS("MSCC US Equity","SUPPLY_CHAIN_CUSTOMERS","RELATIONSHIP_AS_OF_DATE","20100330")</f>
        <v>#N/A N/A</v>
      </c>
      <c r="U5" t="str">
        <f>_xll.BDS("GME US Equity","SUPPLY_CHAIN_SUPPLIERS","RELATIONSHIP_AS_OF_DATE","20150526","cols=1;rows=5")</f>
        <v>6758 JP Equity</v>
      </c>
      <c r="Z5" t="str">
        <f>_xll.BDS("GME US Equity","SUPPLY_CHAIN_CUSTOMERS","RELATIONSHIP_AS_OF_DATE","20150526")</f>
        <v>1918839D AU Equity</v>
      </c>
      <c r="AE5" t="str">
        <f>_xll.BDS("0544801D US Equity","SUPPLY_CHAIN_SUPPLIERS","RELATIONSHIP_AS_OF_DATE","19980827")</f>
        <v>#N/A N/A</v>
      </c>
      <c r="AJ5" t="str">
        <f>_xll.BDS("0544801D US Equity","SUPPLY_CHAIN_CUSTOMERS","RELATIONSHIP_AS_OF_DATE","19980827")</f>
        <v>#N/A N/A</v>
      </c>
      <c r="AO5" t="str">
        <f>_xll.BDS("2119228Q US Equity","SUPPLY_CHAIN_SUPPLIERS","RELATIONSHIP_AS_OF_DATE","19980807")</f>
        <v>#N/A N/A</v>
      </c>
      <c r="AT5" t="str">
        <f>_xll.BDS("2119228Q US Equity","SUPPLY_CHAIN_CUSTOMERS","RELATIONSHIP_AS_OF_DATE","19980807")</f>
        <v>#N/A N/A</v>
      </c>
      <c r="AY5" t="str">
        <f>_xll.BDS("1436225D US Equity","SUPPLY_CHAIN_SUPPLIERS","RELATIONSHIP_AS_OF_DATE","20030804")</f>
        <v>#N/A N/A</v>
      </c>
      <c r="BD5" t="str">
        <f>_xll.BDS("1436225D US Equity","SUPPLY_CHAIN_CUSTOMERS","RELATIONSHIP_AS_OF_DATE","20030804")</f>
        <v>#N/A N/A</v>
      </c>
      <c r="BI5" t="str">
        <f>_xll.BDS("FMNB US Equity","SUPPLY_CHAIN_SUPPLIERS","RELATIONSHIP_AS_OF_DATE","20210623")</f>
        <v>#N/A N/A</v>
      </c>
      <c r="BN5" t="str">
        <f>_xll.BDS("FMNB US Equity","SUPPLY_CHAIN_CUSTOMERS","RELATIONSHIP_AS_OF_DATE","20210623")</f>
        <v>#N/A N/A</v>
      </c>
      <c r="BS5" t="str">
        <f>_xll.BDS("HLYW US Equity","SUPPLY_CHAIN_SUPPLIERS","RELATIONSHIP_AS_OF_DATE","19980730")</f>
        <v>#N/A N/A</v>
      </c>
      <c r="BX5" t="str">
        <f>_xll.BDS("HLYW US Equity","SUPPLY_CHAIN_CUSTOMERS","RELATIONSHIP_AS_OF_DATE","19980730")</f>
        <v>#N/A N/A</v>
      </c>
      <c r="CC5" t="str">
        <f>_xll.BDS("HBNC US Equity","SUPPLY_CHAIN_SUPPLIERS","RELATIONSHIP_AS_OF_DATE","20160310")</f>
        <v>#N/A N/A</v>
      </c>
      <c r="CH5" t="str">
        <f>_xll.BDS("HBNC US Equity","SUPPLY_CHAIN_CUSTOMERS","RELATIONSHIP_AS_OF_DATE","20160310")</f>
        <v>#N/A N/A</v>
      </c>
      <c r="CM5" t="str">
        <f>_xll.BDS("538087Q US Equity","SUPPLY_CHAIN_SUPPLIERS","RELATIONSHIP_AS_OF_DATE","20030331")</f>
        <v>#N/A N/A</v>
      </c>
      <c r="CR5" t="str">
        <f>_xll.BDS("538087Q US Equity","SUPPLY_CHAIN_CUSTOMERS","RELATIONSHIP_AS_OF_DATE","20030331")</f>
        <v>#N/A N/A</v>
      </c>
      <c r="CW5" t="str">
        <f>_xll.BDS("MSI US Equity","SUPPLY_CHAIN_SUPPLIERS","RELATIONSHIP_AS_OF_DATE","20010221","cols=1;rows=5")</f>
        <v>SANM US Equity</v>
      </c>
      <c r="DB5" t="str">
        <f>_xll.BDS("MSI US Equity","SUPPLY_CHAIN_CUSTOMERS","RELATIONSHIP_AS_OF_DATE","20010221","cols=1;rows=5")</f>
        <v>3352Z US Equity</v>
      </c>
      <c r="DG5" t="str">
        <f>_xll.BDS("NCOG US Equity","SUPPLY_CHAIN_SUPPLIERS","RELATIONSHIP_AS_OF_DATE","20031118")</f>
        <v>#N/A N/A</v>
      </c>
      <c r="DL5" t="str">
        <f>_xll.BDS("NCOG US Equity","SUPPLY_CHAIN_CUSTOMERS","RELATIONSHIP_AS_OF_DATE","20031118")</f>
        <v>#N/A N/A</v>
      </c>
      <c r="DQ5" t="str">
        <f>_xll.BDS("HPQ US Equity","SUPPLY_CHAIN_SUPPLIERS","RELATIONSHIP_AS_OF_DATE","20040204","cols=1;rows=5")</f>
        <v>2356 TT Equity</v>
      </c>
      <c r="DV5" t="str">
        <f>_xll.BDS("HPQ US Equity","SUPPLY_CHAIN_CUSTOMERS","RELATIONSHIP_AS_OF_DATE","20040204","cols=1;rows=5")</f>
        <v>SNX US Equity</v>
      </c>
      <c r="EA5" t="str">
        <f>_xll.BDS("JAS US Equity","SUPPLY_CHAIN_SUPPLIERS","RELATIONSHIP_AS_OF_DATE","19980202","cols=1;rows=5")</f>
        <v>KIM US Equity</v>
      </c>
      <c r="EF5" t="str">
        <f>_xll.BDS("JAS US Equity","SUPPLY_CHAIN_CUSTOMERS","RELATIONSHIP_AS_OF_DATE","19980202")</f>
        <v>#N/A N/A</v>
      </c>
      <c r="EK5" t="str">
        <f>_xll.BDS("TRN US Equity","SUPPLY_CHAIN_SUPPLIERS","RELATIONSHIP_AS_OF_DATE","20091230","cols=1;rows=5")</f>
        <v>WAB US Equity</v>
      </c>
      <c r="EP5" t="str">
        <f>_xll.BDS("TRN US Equity","SUPPLY_CHAIN_CUSTOMERS","RELATIONSHIP_AS_OF_DATE","20091230","cols=1;rows=5")</f>
        <v>SHEL LN Equity</v>
      </c>
      <c r="EU5" t="str">
        <f>_xll.BDS("MAFB US Equity","SUPPLY_CHAIN_SUPPLIERS","RELATIONSHIP_AS_OF_DATE","20021217")</f>
        <v>#N/A N/A</v>
      </c>
      <c r="EZ5" t="str">
        <f>_xll.BDS("MAFB US Equity","SUPPLY_CHAIN_CUSTOMERS","RELATIONSHIP_AS_OF_DATE","20021217")</f>
        <v>#N/A N/A</v>
      </c>
      <c r="FE5" t="str">
        <f>_xll.BDS("HC US Equity","SUPPLY_CHAIN_SUPPLIERS","RELATIONSHIP_AS_OF_DATE","20000620")</f>
        <v>#N/A N/A</v>
      </c>
      <c r="FJ5" t="str">
        <f>_xll.BDS("HC US Equity","SUPPLY_CHAIN_CUSTOMERS","RELATIONSHIP_AS_OF_DATE","20000620")</f>
        <v>#N/A N/A</v>
      </c>
      <c r="FO5" t="str">
        <f>_xll.BDS("PBCT US Equity","SUPPLY_CHAIN_SUPPLIERS","RELATIONSHIP_AS_OF_DATE","20100715")</f>
        <v>#N/A N/A</v>
      </c>
      <c r="FT5" t="str">
        <f>_xll.BDS("PBCT US Equity","SUPPLY_CHAIN_CUSTOMERS","RELATIONSHIP_AS_OF_DATE","20100715")</f>
        <v>#N/A N/A</v>
      </c>
      <c r="FY5" t="str">
        <f>_xll.BDS("FFIC US Equity","SUPPLY_CHAIN_SUPPLIERS","RELATIONSHIP_AS_OF_DATE","20191025")</f>
        <v>#N/A N/A</v>
      </c>
      <c r="GD5" t="str">
        <f>_xll.BDS("FFIC US Equity","SUPPLY_CHAIN_CUSTOMERS","RELATIONSHIP_AS_OF_DATE","20191025")</f>
        <v>#N/A N/A</v>
      </c>
      <c r="GI5" t="str">
        <f>_xll.BDS("WAFD US Equity","SUPPLY_CHAIN_SUPPLIERS","RELATIONSHIP_AS_OF_DATE","20061010","cols=1;rows=2")</f>
        <v>ORCL US Equity</v>
      </c>
      <c r="GN5" t="str">
        <f>_xll.BDS("WAFD US Equity","SUPPLY_CHAIN_CUSTOMERS","RELATIONSHIP_AS_OF_DATE","20061010")</f>
        <v>#N/A N/A</v>
      </c>
      <c r="GS5" t="str">
        <f>_xll.BDS("SUPR US Equity","SUPPLY_CHAIN_SUPPLIERS","RELATIONSHIP_AS_OF_DATE","20060501")</f>
        <v>#N/A N/A</v>
      </c>
      <c r="GX5" t="str">
        <f>_xll.BDS("SUPR US Equity","SUPPLY_CHAIN_CUSTOMERS","RELATIONSHIP_AS_OF_DATE","20060501")</f>
        <v>#N/A N/A</v>
      </c>
      <c r="HC5" t="str">
        <f>_xll.BDS("662053Q US Equity","SUPPLY_CHAIN_SUPPLIERS","RELATIONSHIP_AS_OF_DATE","20000816")</f>
        <v>#N/A N/A</v>
      </c>
      <c r="HH5" t="str">
        <f>_xll.BDS("662053Q US Equity","SUPPLY_CHAIN_CUSTOMERS","RELATIONSHIP_AS_OF_DATE","20000816")</f>
        <v>#N/A N/A</v>
      </c>
      <c r="HM5" t="str">
        <f>_xll.BDS("UB US Equity","SUPPLY_CHAIN_SUPPLIERS","RELATIONSHIP_AS_OF_DATE","20030408")</f>
        <v>#N/A N/A</v>
      </c>
      <c r="HR5" t="str">
        <f>_xll.BDS("UB US Equity","SUPPLY_CHAIN_CUSTOMERS","RELATIONSHIP_AS_OF_DATE","20030408")</f>
        <v>#N/A N/A</v>
      </c>
      <c r="HW5" t="str">
        <f>_xll.BDS("HBAN US Equity","SUPPLY_CHAIN_SUPPLIERS","RELATIONSHIP_AS_OF_DATE","20131010","cols=1;rows=4")</f>
        <v>004800 KS Equity</v>
      </c>
      <c r="IB5" t="str">
        <f>_xll.BDS("HBAN US Equity","SUPPLY_CHAIN_CUSTOMERS","RELATIONSHIP_AS_OF_DATE","20131010")</f>
        <v>#N/A N/A</v>
      </c>
      <c r="IG5" t="str">
        <f>_xll.BDS("UBSI US Equity","SUPPLY_CHAIN_SUPPLIERS","RELATIONSHIP_AS_OF_DATE","19980218")</f>
        <v>FICO US Equity</v>
      </c>
      <c r="IL5" t="str">
        <f>_xll.BDS("UBSI US Equity","SUPPLY_CHAIN_CUSTOMERS","RELATIONSHIP_AS_OF_DATE","19980218")</f>
        <v>#N/A N/A</v>
      </c>
      <c r="IQ5" t="str">
        <f>_xll.BDS("1023761D US Equity","SUPPLY_CHAIN_SUPPLIERS","RELATIONSHIP_AS_OF_DATE","20120625")</f>
        <v>#N/A N/A</v>
      </c>
      <c r="IV5" t="str">
        <f>_xll.BDS("1023761D US Equity","SUPPLY_CHAIN_CUSTOMERS","RELATIONSHIP_AS_OF_DATE","20120625")</f>
        <v>#N/A N/A</v>
      </c>
      <c r="JA5" t="str">
        <f>_xll.BDS("GBCI US Equity","SUPPLY_CHAIN_SUPPLIERS","RELATIONSHIP_AS_OF_DATE","20190930")</f>
        <v>VYX US Equity</v>
      </c>
      <c r="JF5" t="str">
        <f>_xll.BDS("GBCI US Equity","SUPPLY_CHAIN_CUSTOMERS","RELATIONSHIP_AS_OF_DATE","20190930")</f>
        <v>#N/A N/A</v>
      </c>
      <c r="JK5" t="str">
        <f>_xll.BDS("IBOC US Equity","SUPPLY_CHAIN_SUPPLIERS","RELATIONSHIP_AS_OF_DATE","20010731")</f>
        <v>CSGS US Equity</v>
      </c>
      <c r="JP5" t="str">
        <f>_xll.BDS("IBOC US Equity","SUPPLY_CHAIN_CUSTOMERS","RELATIONSHIP_AS_OF_DATE","20010731")</f>
        <v>#N/A N/A</v>
      </c>
      <c r="JU5" t="str">
        <f>_xll.BDS("BRK/A US Equity","SUPPLY_CHAIN_SUPPLIERS","RELATIONSHIP_AS_OF_DATE","20060816","cols=1;rows=5")</f>
        <v>HSY US Equity</v>
      </c>
      <c r="JZ5" t="str">
        <f>_xll.BDS("BRK/A US Equity","SUPPLY_CHAIN_CUSTOMERS","RELATIONSHIP_AS_OF_DATE","20060816","cols=1;rows=5")</f>
        <v>WMT US Equity</v>
      </c>
      <c r="KE5" t="str">
        <f>_xll.BDS("838969Q US Equity","SUPPLY_CHAIN_SUPPLIERS","RELATIONSHIP_AS_OF_DATE","20021216")</f>
        <v>#N/A N/A</v>
      </c>
      <c r="KJ5" t="str">
        <f>_xll.BDS("838969Q US Equity","SUPPLY_CHAIN_CUSTOMERS","RELATIONSHIP_AS_OF_DATE","20021216")</f>
        <v>#N/A N/A</v>
      </c>
      <c r="KO5" t="str">
        <f>_xll.BDS("FNB US Equity","SUPPLY_CHAIN_SUPPLIERS","RELATIONSHIP_AS_OF_DATE","20140408")</f>
        <v>HY US Equity</v>
      </c>
      <c r="KT5" t="str">
        <f>_xll.BDS("FNB US Equity","SUPPLY_CHAIN_CUSTOMERS","RELATIONSHIP_AS_OF_DATE","20140408")</f>
        <v>#N/A N/A</v>
      </c>
      <c r="KY5" t="str">
        <f>_xll.BDS("2860436Q US Equity","SUPPLY_CHAIN_SUPPLIERS","RELATIONSHIP_AS_OF_DATE","19990730")</f>
        <v>#N/A N/A</v>
      </c>
      <c r="LD5" t="str">
        <f>_xll.BDS("2860436Q US Equity","SUPPLY_CHAIN_CUSTOMERS","RELATIONSHIP_AS_OF_DATE","19990730")</f>
        <v>#N/A N/A</v>
      </c>
      <c r="LI5" t="str">
        <f>_xll.BDS("8277831Q US Equity","SUPPLY_CHAIN_SUPPLIERS","RELATIONSHIP_AS_OF_DATE","20041217")</f>
        <v>#N/A N/A</v>
      </c>
      <c r="LN5" t="str">
        <f>_xll.BDS("8277831Q US Equity","SUPPLY_CHAIN_CUSTOMERS","RELATIONSHIP_AS_OF_DATE","20041217")</f>
        <v>#N/A N/A</v>
      </c>
      <c r="LS5" t="str">
        <f>_xll.BDS("SPLP US Equity","SUPPLY_CHAIN_SUPPLIERS","RELATIONSHIP_AS_OF_DATE","20170306","cols=1;rows=5")</f>
        <v>1116L US Equity</v>
      </c>
      <c r="LX5" t="str">
        <f>_xll.BDS("SPLP US Equity","SUPPLY_CHAIN_CUSTOMERS","RELATIONSHIP_AS_OF_DATE","20170306","cols=1;rows=5")</f>
        <v>SNX US Equity</v>
      </c>
      <c r="MC5" t="str">
        <f>_xll.BDS("1822785D US Equity","SUPPLY_CHAIN_SUPPLIERS","RELATIONSHIP_AS_OF_DATE","19980108")</f>
        <v>#N/A N/A</v>
      </c>
      <c r="MH5" t="str">
        <f>_xll.BDS("1822785D US Equity","SUPPLY_CHAIN_CUSTOMERS","RELATIONSHIP_AS_OF_DATE","19980108")</f>
        <v>#N/A N/A</v>
      </c>
      <c r="MM5" t="str">
        <f>_xll.BDS("BNCN US Equity","SUPPLY_CHAIN_SUPPLIERS","RELATIONSHIP_AS_OF_DATE","20150814")</f>
        <v>#N/A N/A</v>
      </c>
      <c r="MR5" t="str">
        <f>_xll.BDS("BNCN US Equity","SUPPLY_CHAIN_CUSTOMERS","RELATIONSHIP_AS_OF_DATE","20150814")</f>
        <v>#N/A N/A</v>
      </c>
      <c r="MW5" t="str">
        <f>_xll.BDS("ALAB US Equity","SUPPLY_CHAIN_SUPPLIERS","RELATIONSHIP_AS_OF_DATE","20051027","cols=1;rows=5")</f>
        <v>AMKR US Equity</v>
      </c>
      <c r="NB5" t="str">
        <f>_xll.BDS("ALAB US Equity","SUPPLY_CHAIN_CUSTOMERS","RELATIONSHIP_AS_OF_DATE","20051027","cols=1;rows=5")</f>
        <v>AMZN US Equity</v>
      </c>
      <c r="NG5" t="str">
        <f>_xll.BDS("MLI US Equity","SUPPLY_CHAIN_SUPPLIERS","RELATIONSHIP_AS_OF_DATE","19980810","cols=1;rows=5")</f>
        <v>301309 CH Equity</v>
      </c>
      <c r="NL5" t="str">
        <f>_xll.BDS("MLI US Equity","SUPPLY_CHAIN_CUSTOMERS","RELATIONSHIP_AS_OF_DATE","19980810","cols=1;rows=2")</f>
        <v>WSO US Equity</v>
      </c>
      <c r="NQ5" t="str">
        <f>_xll.BDS("KWD US Equity","SUPPLY_CHAIN_SUPPLIERS","RELATIONSHIP_AS_OF_DATE","20020515")</f>
        <v>#N/A N/A</v>
      </c>
      <c r="NV5" t="str">
        <f>_xll.BDS("KWD US Equity","SUPPLY_CHAIN_CUSTOMERS","RELATIONSHIP_AS_OF_DATE","20020515")</f>
        <v>#N/A N/A</v>
      </c>
      <c r="OA5" t="str">
        <f>_xll.BDS("ITGR US Equity","SUPPLY_CHAIN_SUPPLIERS","RELATIONSHIP_AS_OF_DATE","20070430","cols=1;rows=5")</f>
        <v>6201 JP Equity</v>
      </c>
      <c r="OF5" t="str">
        <f>_xll.BDS("ITGR US Equity","SUPPLY_CHAIN_CUSTOMERS","RELATIONSHIP_AS_OF_DATE","20070430","cols=1;rows=4")</f>
        <v>082920 KS Equity</v>
      </c>
    </row>
    <row r="6" spans="1:396" x14ac:dyDescent="0.25">
      <c r="U6" t="s">
        <v>11167</v>
      </c>
      <c r="CW6" t="s">
        <v>10734</v>
      </c>
      <c r="DB6" t="s">
        <v>2881</v>
      </c>
      <c r="DQ6" t="s">
        <v>383</v>
      </c>
      <c r="DV6" t="s">
        <v>4139</v>
      </c>
      <c r="EA6" t="s">
        <v>10888</v>
      </c>
      <c r="EK6" t="s">
        <v>11721</v>
      </c>
      <c r="EP6" t="s">
        <v>11702</v>
      </c>
      <c r="GI6" t="s">
        <v>154</v>
      </c>
      <c r="HW6" t="s">
        <v>10713</v>
      </c>
      <c r="JU6" t="s">
        <v>2792</v>
      </c>
      <c r="JZ6" t="s">
        <v>10677</v>
      </c>
      <c r="LS6" t="s">
        <v>2111</v>
      </c>
      <c r="LX6" t="s">
        <v>11321</v>
      </c>
      <c r="MW6" t="s">
        <v>11090</v>
      </c>
      <c r="NB6" t="s">
        <v>6477</v>
      </c>
      <c r="NG6" t="s">
        <v>2111</v>
      </c>
      <c r="NL6" t="s">
        <v>10871</v>
      </c>
      <c r="OA6" t="s">
        <v>11536</v>
      </c>
      <c r="OF6" t="s">
        <v>167</v>
      </c>
    </row>
    <row r="7" spans="1:396" x14ac:dyDescent="0.25">
      <c r="U7" t="s">
        <v>11367</v>
      </c>
      <c r="CW7" t="s">
        <v>10858</v>
      </c>
      <c r="DB7" t="s">
        <v>4139</v>
      </c>
      <c r="DQ7" t="s">
        <v>11038</v>
      </c>
      <c r="DV7" t="s">
        <v>11749</v>
      </c>
      <c r="EA7" t="s">
        <v>10890</v>
      </c>
      <c r="EK7" t="s">
        <v>11074</v>
      </c>
      <c r="EP7" t="s">
        <v>58</v>
      </c>
      <c r="HW7" t="s">
        <v>154</v>
      </c>
      <c r="JU7" t="s">
        <v>10737</v>
      </c>
      <c r="JZ7" t="s">
        <v>4642</v>
      </c>
      <c r="LS7" t="s">
        <v>693</v>
      </c>
      <c r="LX7" t="s">
        <v>11322</v>
      </c>
      <c r="MW7" t="s">
        <v>11204</v>
      </c>
      <c r="NB7" t="s">
        <v>11038</v>
      </c>
      <c r="NG7" t="s">
        <v>10696</v>
      </c>
      <c r="OA7" t="s">
        <v>10696</v>
      </c>
      <c r="OF7" t="s">
        <v>262</v>
      </c>
    </row>
    <row r="8" spans="1:396" x14ac:dyDescent="0.25">
      <c r="U8" t="s">
        <v>11368</v>
      </c>
      <c r="CW8" t="s">
        <v>10859</v>
      </c>
      <c r="DB8" t="s">
        <v>10660</v>
      </c>
      <c r="DQ8" t="s">
        <v>11176</v>
      </c>
      <c r="DV8" t="s">
        <v>10660</v>
      </c>
      <c r="EA8" t="s">
        <v>991</v>
      </c>
      <c r="EK8" t="s">
        <v>11722</v>
      </c>
      <c r="EP8" t="s">
        <v>11703</v>
      </c>
      <c r="HW8" t="s">
        <v>11543</v>
      </c>
      <c r="JU8" t="s">
        <v>4475</v>
      </c>
      <c r="JZ8" t="s">
        <v>1363</v>
      </c>
      <c r="LS8" t="s">
        <v>260</v>
      </c>
      <c r="LX8" t="s">
        <v>10853</v>
      </c>
      <c r="MW8" t="s">
        <v>162</v>
      </c>
      <c r="NB8" t="s">
        <v>11183</v>
      </c>
      <c r="NG8" t="s">
        <v>158</v>
      </c>
      <c r="OA8" t="s">
        <v>1265</v>
      </c>
      <c r="OF8" t="s">
        <v>66</v>
      </c>
    </row>
    <row r="9" spans="1:396" x14ac:dyDescent="0.25">
      <c r="U9" t="s">
        <v>261</v>
      </c>
      <c r="CW9" t="s">
        <v>10860</v>
      </c>
      <c r="DB9" t="s">
        <v>10808</v>
      </c>
      <c r="DQ9" t="s">
        <v>10852</v>
      </c>
      <c r="DV9" t="s">
        <v>10918</v>
      </c>
      <c r="EA9" t="s">
        <v>11725</v>
      </c>
      <c r="EK9" t="s">
        <v>2111</v>
      </c>
      <c r="EP9" t="s">
        <v>780</v>
      </c>
      <c r="JU9" t="s">
        <v>10738</v>
      </c>
      <c r="JZ9" t="s">
        <v>42</v>
      </c>
      <c r="LS9" t="s">
        <v>10715</v>
      </c>
      <c r="LX9" t="s">
        <v>10787</v>
      </c>
      <c r="MW9" t="s">
        <v>10913</v>
      </c>
      <c r="NB9" t="s">
        <v>11176</v>
      </c>
      <c r="NG9" t="s">
        <v>6710</v>
      </c>
      <c r="OA9" t="s">
        <v>1545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7643</v>
      </c>
      <c r="K1" s="1" t="s">
        <v>7644</v>
      </c>
      <c r="U1" s="1" t="s">
        <v>7645</v>
      </c>
      <c r="AE1" s="1" t="s">
        <v>7646</v>
      </c>
      <c r="AO1" s="1" t="s">
        <v>7647</v>
      </c>
      <c r="AY1" s="1" t="s">
        <v>7648</v>
      </c>
      <c r="BI1" s="1" t="s">
        <v>7649</v>
      </c>
      <c r="BS1" s="1" t="s">
        <v>7650</v>
      </c>
      <c r="CC1" s="1" t="s">
        <v>7651</v>
      </c>
      <c r="CM1" s="1" t="s">
        <v>7652</v>
      </c>
      <c r="CW1" s="1" t="s">
        <v>7653</v>
      </c>
      <c r="DG1" s="1" t="s">
        <v>7654</v>
      </c>
      <c r="DQ1" s="1" t="s">
        <v>7655</v>
      </c>
      <c r="EA1" s="1" t="s">
        <v>7656</v>
      </c>
      <c r="EK1" s="1" t="s">
        <v>7657</v>
      </c>
      <c r="EU1" s="1" t="s">
        <v>7658</v>
      </c>
      <c r="FE1" s="1" t="s">
        <v>7659</v>
      </c>
      <c r="FO1" s="1" t="s">
        <v>7660</v>
      </c>
      <c r="FY1" s="1" t="s">
        <v>7661</v>
      </c>
      <c r="GI1" s="1" t="s">
        <v>7662</v>
      </c>
      <c r="GS1" s="1" t="s">
        <v>7663</v>
      </c>
      <c r="HC1" s="1" t="s">
        <v>7664</v>
      </c>
      <c r="HM1" s="1" t="s">
        <v>7665</v>
      </c>
      <c r="HW1" s="1" t="s">
        <v>7666</v>
      </c>
      <c r="IG1" s="1" t="s">
        <v>7667</v>
      </c>
      <c r="IQ1" s="1" t="s">
        <v>7668</v>
      </c>
      <c r="JA1" s="1" t="s">
        <v>7669</v>
      </c>
      <c r="JK1" s="1" t="s">
        <v>7670</v>
      </c>
      <c r="JU1" s="1" t="s">
        <v>7671</v>
      </c>
      <c r="KE1" s="1" t="s">
        <v>7672</v>
      </c>
      <c r="KO1" s="1" t="s">
        <v>7673</v>
      </c>
      <c r="KY1" s="1" t="s">
        <v>7674</v>
      </c>
      <c r="LI1" s="1" t="s">
        <v>7675</v>
      </c>
      <c r="LS1" s="1" t="s">
        <v>7676</v>
      </c>
      <c r="MC1" s="1" t="s">
        <v>7677</v>
      </c>
      <c r="MM1" s="1" t="s">
        <v>7678</v>
      </c>
      <c r="MW1" s="1" t="s">
        <v>7679</v>
      </c>
      <c r="NG1" s="1" t="s">
        <v>7680</v>
      </c>
      <c r="NQ1" s="1" t="s">
        <v>7681</v>
      </c>
      <c r="OA1" s="1" t="s">
        <v>7682</v>
      </c>
    </row>
    <row r="2" spans="1:396" x14ac:dyDescent="0.25">
      <c r="A2" s="2" t="s">
        <v>2596</v>
      </c>
      <c r="K2" s="2" t="s">
        <v>265</v>
      </c>
      <c r="U2" s="2" t="s">
        <v>7683</v>
      </c>
      <c r="AE2" s="2" t="s">
        <v>7684</v>
      </c>
      <c r="AO2" s="2" t="s">
        <v>6807</v>
      </c>
      <c r="AY2" s="2" t="s">
        <v>2212</v>
      </c>
      <c r="BI2" s="2" t="s">
        <v>4822</v>
      </c>
      <c r="BS2" s="2" t="s">
        <v>7685</v>
      </c>
      <c r="CC2" s="2" t="s">
        <v>7686</v>
      </c>
      <c r="CM2" s="2" t="s">
        <v>6722</v>
      </c>
      <c r="CW2" s="2" t="s">
        <v>4395</v>
      </c>
      <c r="DG2" s="2" t="s">
        <v>6723</v>
      </c>
      <c r="DQ2" s="2" t="s">
        <v>2702</v>
      </c>
      <c r="EA2" s="2" t="s">
        <v>5330</v>
      </c>
      <c r="EK2" s="2" t="s">
        <v>7687</v>
      </c>
      <c r="EU2" s="2" t="s">
        <v>1365</v>
      </c>
      <c r="FE2" s="2" t="s">
        <v>975</v>
      </c>
      <c r="FO2" s="2" t="s">
        <v>7688</v>
      </c>
      <c r="FY2" s="2" t="s">
        <v>7689</v>
      </c>
      <c r="GI2" s="2" t="s">
        <v>7690</v>
      </c>
      <c r="GS2" s="2" t="s">
        <v>6715</v>
      </c>
      <c r="HC2" s="2" t="s">
        <v>1466</v>
      </c>
      <c r="HM2" s="2" t="s">
        <v>5412</v>
      </c>
      <c r="HW2" s="2" t="s">
        <v>5915</v>
      </c>
      <c r="IG2" s="2" t="s">
        <v>4309</v>
      </c>
      <c r="IQ2" s="2" t="s">
        <v>5412</v>
      </c>
      <c r="JA2" s="2" t="s">
        <v>2706</v>
      </c>
      <c r="JK2" s="2" t="s">
        <v>272</v>
      </c>
      <c r="JU2" s="2" t="s">
        <v>7691</v>
      </c>
      <c r="KE2" s="2" t="s">
        <v>383</v>
      </c>
      <c r="KO2" s="2" t="s">
        <v>7692</v>
      </c>
      <c r="KY2" s="2" t="s">
        <v>5249</v>
      </c>
      <c r="LI2" s="2" t="s">
        <v>7693</v>
      </c>
      <c r="LS2" s="2" t="s">
        <v>7694</v>
      </c>
      <c r="MC2" s="2" t="s">
        <v>7695</v>
      </c>
      <c r="MM2" s="2" t="s">
        <v>6310</v>
      </c>
      <c r="MW2" s="2" t="s">
        <v>7696</v>
      </c>
      <c r="NG2" s="2" t="s">
        <v>6228</v>
      </c>
      <c r="NQ2" s="2" t="s">
        <v>3070</v>
      </c>
      <c r="OA2" s="2" t="s">
        <v>7697</v>
      </c>
    </row>
    <row r="3" spans="1:396" x14ac:dyDescent="0.25">
      <c r="A3" t="s">
        <v>7698</v>
      </c>
      <c r="K3" t="s">
        <v>7699</v>
      </c>
      <c r="U3" t="s">
        <v>7700</v>
      </c>
      <c r="AE3" t="s">
        <v>3819</v>
      </c>
      <c r="AO3" t="s">
        <v>7701</v>
      </c>
      <c r="AY3" t="s">
        <v>7702</v>
      </c>
      <c r="BI3" t="s">
        <v>7703</v>
      </c>
      <c r="BS3" t="s">
        <v>7704</v>
      </c>
      <c r="CC3" t="s">
        <v>1384</v>
      </c>
      <c r="CM3" t="s">
        <v>90</v>
      </c>
      <c r="CW3" t="s">
        <v>7705</v>
      </c>
      <c r="DG3" t="s">
        <v>6826</v>
      </c>
      <c r="DQ3" t="s">
        <v>7706</v>
      </c>
      <c r="EA3" t="s">
        <v>7707</v>
      </c>
      <c r="EK3" t="s">
        <v>3076</v>
      </c>
      <c r="EU3" t="s">
        <v>7708</v>
      </c>
      <c r="FE3" t="s">
        <v>1566</v>
      </c>
      <c r="FO3" t="s">
        <v>7709</v>
      </c>
      <c r="FY3" t="s">
        <v>7710</v>
      </c>
      <c r="GI3" t="s">
        <v>7711</v>
      </c>
      <c r="GS3" t="s">
        <v>7712</v>
      </c>
      <c r="HC3" t="s">
        <v>720</v>
      </c>
      <c r="HM3" t="s">
        <v>7713</v>
      </c>
      <c r="HW3" t="s">
        <v>4155</v>
      </c>
      <c r="IG3" t="s">
        <v>7714</v>
      </c>
      <c r="IQ3" t="s">
        <v>7715</v>
      </c>
      <c r="JA3" t="s">
        <v>7716</v>
      </c>
      <c r="JK3" t="s">
        <v>1483</v>
      </c>
      <c r="JU3" t="s">
        <v>4489</v>
      </c>
      <c r="KE3" t="s">
        <v>421</v>
      </c>
      <c r="KO3" t="s">
        <v>5344</v>
      </c>
      <c r="KY3" t="s">
        <v>316</v>
      </c>
      <c r="LI3" t="s">
        <v>3096</v>
      </c>
      <c r="LS3" t="s">
        <v>7717</v>
      </c>
      <c r="MC3" t="s">
        <v>7149</v>
      </c>
      <c r="MM3" t="s">
        <v>7718</v>
      </c>
      <c r="MW3" t="s">
        <v>7719</v>
      </c>
      <c r="NG3" t="s">
        <v>4422</v>
      </c>
      <c r="NQ3" t="s">
        <v>811</v>
      </c>
      <c r="OA3" t="s">
        <v>2150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_xll.BDS("ZION US Equity","SUPPLY_CHAIN_SUPPLIERS","RELATIONSHIP_AS_OF_DATE","19980325","cols=1;rows=2")</f>
        <v>MUST SP Equity</v>
      </c>
      <c r="F5" t="str">
        <f>_xll.BDS("ZION US Equity","SUPPLY_CHAIN_CUSTOMERS","RELATIONSHIP_AS_OF_DATE","19980325")</f>
        <v>#N/A N/A</v>
      </c>
      <c r="K5" t="str">
        <f>_xll.BDS("1255173D US Equity","SUPPLY_CHAIN_SUPPLIERS","RELATIONSHIP_AS_OF_DATE","20000901")</f>
        <v>#N/A N/A</v>
      </c>
      <c r="P5" t="str">
        <f>_xll.BDS("1255173D US Equity","SUPPLY_CHAIN_CUSTOMERS","RELATIONSHIP_AS_OF_DATE","20000901")</f>
        <v>#N/A N/A</v>
      </c>
      <c r="U5" t="str">
        <f>_xll.BDS("MOFG US Equity","SUPPLY_CHAIN_SUPPLIERS","RELATIONSHIP_AS_OF_DATE","20070912")</f>
        <v>#N/A N/A</v>
      </c>
      <c r="Z5" t="str">
        <f>_xll.BDS("MOFG US Equity","SUPPLY_CHAIN_CUSTOMERS","RELATIONSHIP_AS_OF_DATE","20070912")</f>
        <v>#N/A N/A</v>
      </c>
      <c r="AE5" t="str">
        <f>_xll.BDS("TSCPQ US Equity","SUPPLY_CHAIN_SUPPLIERS","RELATIONSHIP_AS_OF_DATE","19991201")</f>
        <v>#N/A N/A</v>
      </c>
      <c r="AJ5" t="str">
        <f>_xll.BDS("TSCPQ US Equity","SUPPLY_CHAIN_CUSTOMERS","RELATIONSHIP_AS_OF_DATE","19991201")</f>
        <v>#N/A N/A</v>
      </c>
      <c r="AO5" t="str">
        <f>_xll.BDS("FCBN US Equity","SUPPLY_CHAIN_SUPPLIERS","RELATIONSHIP_AS_OF_DATE","20080626")</f>
        <v>#N/A N/A</v>
      </c>
      <c r="AT5" t="str">
        <f>_xll.BDS("FCBN US Equity","SUPPLY_CHAIN_CUSTOMERS","RELATIONSHIP_AS_OF_DATE","20080626")</f>
        <v>#N/A N/A</v>
      </c>
      <c r="AY5" t="str">
        <f>_xll.BDS("ZAYO US Equity","SUPPLY_CHAIN_SUPPLIERS","RELATIONSHIP_AS_OF_DATE","20090528","cols=1;rows=5")</f>
        <v>DCREIT SP Equity</v>
      </c>
      <c r="BD5" t="str">
        <f>_xll.BDS("ZAYO US Equity","SUPPLY_CHAIN_CUSTOMERS","RELATIONSHIP_AS_OF_DATE","20090528","cols=1;rows=4")</f>
        <v>CLCO LN Equity</v>
      </c>
      <c r="BI5" t="str">
        <f>_xll.BDS("KRNY US Equity","SUPPLY_CHAIN_SUPPLIERS","RELATIONSHIP_AS_OF_DATE","20191218")</f>
        <v>FISV US Equity</v>
      </c>
      <c r="BN5" t="str">
        <f>_xll.BDS("KRNY US Equity","SUPPLY_CHAIN_CUSTOMERS","RELATIONSHIP_AS_OF_DATE","20191218")</f>
        <v>#N/A N/A</v>
      </c>
      <c r="BS5" t="str">
        <f>_xll.BDS("CUNB US Equity","SUPPLY_CHAIN_SUPPLIERS","RELATIONSHIP_AS_OF_DATE","20140603")</f>
        <v>#N/A N/A</v>
      </c>
      <c r="BX5" t="str">
        <f>_xll.BDS("CUNB US Equity","SUPPLY_CHAIN_CUSTOMERS","RELATIONSHIP_AS_OF_DATE","20140603")</f>
        <v>#N/A N/A</v>
      </c>
      <c r="CC5" t="str">
        <f>_xll.BDS("TSICQ US Equity","SUPPLY_CHAIN_SUPPLIERS","RELATIONSHIP_AS_OF_DATE","19980504")</f>
        <v>#N/A N/A</v>
      </c>
      <c r="CH5" t="str">
        <f>_xll.BDS("TSICQ US Equity","SUPPLY_CHAIN_CUSTOMERS","RELATIONSHIP_AS_OF_DATE","19980504")</f>
        <v>#N/A N/A</v>
      </c>
      <c r="CM5" t="str">
        <f>_xll.BDS("BNCN US Equity","SUPPLY_CHAIN_SUPPLIERS","RELATIONSHIP_AS_OF_DATE","20141117")</f>
        <v>#N/A N/A</v>
      </c>
      <c r="CR5" t="str">
        <f>_xll.BDS("BNCN US Equity","SUPPLY_CHAIN_CUSTOMERS","RELATIONSHIP_AS_OF_DATE","20141117")</f>
        <v>#N/A N/A</v>
      </c>
      <c r="CW5" t="str">
        <f>_xll.BDS("WSBC US Equity","SUPPLY_CHAIN_SUPPLIERS","RELATIONSHIP_AS_OF_DATE","20171113")</f>
        <v>#N/A N/A</v>
      </c>
      <c r="DB5" t="str">
        <f>_xll.BDS("WSBC US Equity","SUPPLY_CHAIN_CUSTOMERS","RELATIONSHIP_AS_OF_DATE","20171113","cols=1;rows=2")</f>
        <v>NINE CN Equity</v>
      </c>
      <c r="DG5" t="str">
        <f>_xll.BDS("CRLL US Equity","SUPPLY_CHAIN_SUPPLIERS","RELATIONSHIP_AS_OF_DATE","19980604")</f>
        <v>#N/A N/A</v>
      </c>
      <c r="DL5" t="str">
        <f>_xll.BDS("CRLL US Equity","SUPPLY_CHAIN_CUSTOMERS","RELATIONSHIP_AS_OF_DATE","19980604")</f>
        <v>#N/A N/A</v>
      </c>
      <c r="DQ5" t="str">
        <f>_xll.BDS("ITG US Equity","SUPPLY_CHAIN_SUPPLIERS","RELATIONSHIP_AS_OF_DATE","20020228")</f>
        <v>#N/A N/A</v>
      </c>
      <c r="DV5" t="str">
        <f>_xll.BDS("ITG US Equity","SUPPLY_CHAIN_CUSTOMERS","RELATIONSHIP_AS_OF_DATE","20020228")</f>
        <v>#N/A N/A</v>
      </c>
      <c r="EA5" t="str">
        <f>_xll.BDS("TSFG US Equity","SUPPLY_CHAIN_SUPPLIERS","RELATIONSHIP_AS_OF_DATE","20041027")</f>
        <v>#N/A N/A</v>
      </c>
      <c r="EF5" t="str">
        <f>_xll.BDS("TSFG US Equity","SUPPLY_CHAIN_CUSTOMERS","RELATIONSHIP_AS_OF_DATE","20041027")</f>
        <v>#N/A N/A</v>
      </c>
      <c r="EK5" t="str">
        <f>_xll.BDS("NETM US Equity","SUPPLY_CHAIN_SUPPLIERS","RELATIONSHIP_AS_OF_DATE","19991021")</f>
        <v>#N/A N/A</v>
      </c>
      <c r="EP5" t="str">
        <f>_xll.BDS("NETM US Equity","SUPPLY_CHAIN_CUSTOMERS","RELATIONSHIP_AS_OF_DATE","19991021")</f>
        <v>#N/A N/A</v>
      </c>
      <c r="EU5" t="str">
        <f>_xll.BDS("TDY US Equity","SUPPLY_CHAIN_SUPPLIERS","RELATIONSHIP_AS_OF_DATE","20040408","cols=1;rows=5")</f>
        <v>VOYG US Equity</v>
      </c>
      <c r="EZ5" t="str">
        <f>_xll.BDS("TDY US Equity","SUPPLY_CHAIN_CUSTOMERS","RELATIONSHIP_AS_OF_DATE","20040408","cols=1;rows=5")</f>
        <v>3352Z US Equity</v>
      </c>
      <c r="FE5" t="str">
        <f>_xll.BDS("1715651D US Equity","SUPPLY_CHAIN_SUPPLIERS","RELATIONSHIP_AS_OF_DATE","19991005")</f>
        <v>FE US Equity</v>
      </c>
      <c r="FJ5" t="str">
        <f>_xll.BDS("1715651D US Equity","SUPPLY_CHAIN_CUSTOMERS","RELATIONSHIP_AS_OF_DATE","19991005")</f>
        <v>#N/A N/A</v>
      </c>
      <c r="FO5" t="str">
        <f>_xll.BDS("KROL US Equity","SUPPLY_CHAIN_SUPPLIERS","RELATIONSHIP_AS_OF_DATE","20030624")</f>
        <v>COL SM Equity</v>
      </c>
      <c r="FT5" t="str">
        <f>_xll.BDS("KROL US Equity","SUPPLY_CHAIN_CUSTOMERS","RELATIONSHIP_AS_OF_DATE","20030624")</f>
        <v>BHILQ US Equity</v>
      </c>
      <c r="FY5" t="str">
        <f>_xll.BDS("KNBT US Equity","SUPPLY_CHAIN_SUPPLIERS","RELATIONSHIP_AS_OF_DATE","20041209")</f>
        <v>#N/A N/A</v>
      </c>
      <c r="GD5" t="str">
        <f>_xll.BDS("KNBT US Equity","SUPPLY_CHAIN_CUSTOMERS","RELATIONSHIP_AS_OF_DATE","20041209")</f>
        <v>#N/A N/A</v>
      </c>
      <c r="GI5" t="str">
        <f>_xll.BDS("601238Q US Equity","SUPPLY_CHAIN_SUPPLIERS","RELATIONSHIP_AS_OF_DATE","19981007")</f>
        <v>#N/A N/A</v>
      </c>
      <c r="GN5" t="str">
        <f>_xll.BDS("601238Q US Equity","SUPPLY_CHAIN_CUSTOMERS","RELATIONSHIP_AS_OF_DATE","19981007")</f>
        <v>#N/A N/A</v>
      </c>
      <c r="GS5" t="str">
        <f>_xll.BDS("UNBJ US Equity","SUPPLY_CHAIN_SUPPLIERS","RELATIONSHIP_AS_OF_DATE","19980922")</f>
        <v>#N/A N/A</v>
      </c>
      <c r="GX5" t="str">
        <f>_xll.BDS("UNBJ US Equity","SUPPLY_CHAIN_CUSTOMERS","RELATIONSHIP_AS_OF_DATE","19980922")</f>
        <v>#N/A N/A</v>
      </c>
      <c r="HC5" t="str">
        <f>_xll.BDS("1431816D US Equity","SUPPLY_CHAIN_SUPPLIERS","RELATIONSHIP_AS_OF_DATE","19990222")</f>
        <v>#N/A N/A</v>
      </c>
      <c r="HH5" t="str">
        <f>_xll.BDS("1431816D US Equity","SUPPLY_CHAIN_CUSTOMERS","RELATIONSHIP_AS_OF_DATE","19990222")</f>
        <v>#N/A N/A</v>
      </c>
      <c r="HM5" t="str">
        <f>_xll.BDS("FULT US Equity","SUPPLY_CHAIN_SUPPLIERS","RELATIONSHIP_AS_OF_DATE","20050111","cols=1;rows=2")</f>
        <v>DLX US Equity</v>
      </c>
      <c r="HR5" t="str">
        <f>_xll.BDS("FULT US Equity","SUPPLY_CHAIN_CUSTOMERS","RELATIONSHIP_AS_OF_DATE","20050111")</f>
        <v>#N/A N/A</v>
      </c>
      <c r="HW5" t="str">
        <f>_xll.BDS("NBTB US Equity","SUPPLY_CHAIN_SUPPLIERS","RELATIONSHIP_AS_OF_DATE","19991208")</f>
        <v>FRSH US Equity</v>
      </c>
      <c r="IB5" t="str">
        <f>_xll.BDS("NBTB US Equity","SUPPLY_CHAIN_CUSTOMERS","RELATIONSHIP_AS_OF_DATE","19991208")</f>
        <v>#N/A N/A</v>
      </c>
      <c r="IG5" t="str">
        <f>_xll.BDS("764144Q US Equity","SUPPLY_CHAIN_SUPPLIERS","RELATIONSHIP_AS_OF_DATE","20030205")</f>
        <v>#N/A N/A</v>
      </c>
      <c r="IL5" t="str">
        <f>_xll.BDS("764144Q US Equity","SUPPLY_CHAIN_CUSTOMERS","RELATIONSHIP_AS_OF_DATE","20030205")</f>
        <v>#N/A N/A</v>
      </c>
      <c r="IQ5" t="str">
        <f>_xll.BDS("FULT US Equity","SUPPLY_CHAIN_SUPPLIERS","RELATIONSHIP_AS_OF_DATE","20030116","cols=1;rows=2")</f>
        <v>DLX US Equity</v>
      </c>
      <c r="IV5" t="str">
        <f>_xll.BDS("FULT US Equity","SUPPLY_CHAIN_CUSTOMERS","RELATIONSHIP_AS_OF_DATE","20030116")</f>
        <v>#N/A N/A</v>
      </c>
      <c r="JA5" t="str">
        <f>_xll.BDS("WSFS US Equity","SUPPLY_CHAIN_SUPPLIERS","RELATIONSHIP_AS_OF_DATE","20150303")</f>
        <v>1748433D US Equity</v>
      </c>
      <c r="JF5" t="str">
        <f>_xll.BDS("WSFS US Equity","SUPPLY_CHAIN_CUSTOMERS","RELATIONSHIP_AS_OF_DATE","20150303")</f>
        <v>#N/A N/A</v>
      </c>
      <c r="JK5" t="str">
        <f>_xll.BDS("TMO US Equity","SUPPLY_CHAIN_SUPPLIERS","RELATIONSHIP_AS_OF_DATE","19980812","cols=1;rows=5")</f>
        <v>EMR US Equity</v>
      </c>
      <c r="JP5" t="str">
        <f>_xll.BDS("TMO US Equity","SUPPLY_CHAIN_CUSTOMERS","RELATIONSHIP_AS_OF_DATE","19980812","cols=1;rows=5")</f>
        <v>4195 TT Equity</v>
      </c>
      <c r="JU5" t="str">
        <f>_xll.BDS("VRSOQ US Equity","SUPPLY_CHAIN_SUPPLIERS","RELATIONSHIP_AS_OF_DATE","20000613")</f>
        <v>#N/A N/A</v>
      </c>
      <c r="JZ5" t="str">
        <f>_xll.BDS("VRSOQ US Equity","SUPPLY_CHAIN_CUSTOMERS","RELATIONSHIP_AS_OF_DATE","20000613")</f>
        <v>#N/A N/A</v>
      </c>
      <c r="KE5" t="str">
        <f>_xll.BDS("INTC US Equity","SUPPLY_CHAIN_SUPPLIERS","RELATIONSHIP_AS_OF_DATE","19981019","cols=1;rows=5")</f>
        <v>ASML NA Equity</v>
      </c>
      <c r="KJ5" t="str">
        <f>_xll.BDS("INTC US Equity","SUPPLY_CHAIN_CUSTOMERS","RELATIONSHIP_AS_OF_DATE","19981019","cols=1;rows=5")</f>
        <v>DELL US Equity</v>
      </c>
      <c r="KO5" t="str">
        <f>_xll.BDS("TARRQ US Equity","SUPPLY_CHAIN_SUPPLIERS","RELATIONSHIP_AS_OF_DATE","19980219")</f>
        <v>#N/A N/A</v>
      </c>
      <c r="KT5" t="str">
        <f>_xll.BDS("TARRQ US Equity","SUPPLY_CHAIN_CUSTOMERS","RELATIONSHIP_AS_OF_DATE","19980219")</f>
        <v>#N/A N/A</v>
      </c>
      <c r="KY5" t="str">
        <f>_xll.BDS("CHCO US Equity","SUPPLY_CHAIN_SUPPLIERS","RELATIONSHIP_AS_OF_DATE","20180711")</f>
        <v>#N/A N/A</v>
      </c>
      <c r="LD5" t="str">
        <f>_xll.BDS("CHCO US Equity","SUPPLY_CHAIN_CUSTOMERS","RELATIONSHIP_AS_OF_DATE","20180711")</f>
        <v>#N/A N/A</v>
      </c>
      <c r="LI5" t="str">
        <f>_xll.BDS("8215820Q US Equity","SUPPLY_CHAIN_SUPPLIERS","RELATIONSHIP_AS_OF_DATE","20001101")</f>
        <v>#N/A N/A</v>
      </c>
      <c r="LN5" t="str">
        <f>_xll.BDS("8215820Q US Equity","SUPPLY_CHAIN_CUSTOMERS","RELATIONSHIP_AS_OF_DATE","20001101")</f>
        <v>#N/A N/A</v>
      </c>
      <c r="LS5" t="str">
        <f>_xll.BDS("FMBH US Equity","SUPPLY_CHAIN_SUPPLIERS","RELATIONSHIP_AS_OF_DATE","20160426")</f>
        <v>#N/A N/A</v>
      </c>
      <c r="LX5" t="str">
        <f>_xll.BDS("FMBH US Equity","SUPPLY_CHAIN_CUSTOMERS","RELATIONSHIP_AS_OF_DATE","20160426")</f>
        <v>#N/A N/A</v>
      </c>
      <c r="MC5" t="str">
        <f>_xll.BDS("0977894D US Equity","SUPPLY_CHAIN_SUPPLIERS","RELATIONSHIP_AS_OF_DATE","20120531")</f>
        <v>#N/A N/A</v>
      </c>
      <c r="MH5" t="str">
        <f>_xll.BDS("0977894D US Equity","SUPPLY_CHAIN_CUSTOMERS","RELATIONSHIP_AS_OF_DATE","20120531")</f>
        <v>#N/A N/A</v>
      </c>
      <c r="MM5" t="str">
        <f>_xll.BDS("GBBK US Equity","SUPPLY_CHAIN_SUPPLIERS","RELATIONSHIP_AS_OF_DATE","20000127")</f>
        <v>#N/A N/A</v>
      </c>
      <c r="MR5" t="str">
        <f>_xll.BDS("GBBK US Equity","SUPPLY_CHAIN_CUSTOMERS","RELATIONSHIP_AS_OF_DATE","20000127")</f>
        <v>#N/A N/A</v>
      </c>
      <c r="MW5" t="str">
        <f>_xll.BDS("MTTB US Equity","SUPPLY_CHAIN_SUPPLIERS","RELATIONSHIP_AS_OF_DATE","19980130")</f>
        <v>#N/A N/A</v>
      </c>
      <c r="NB5" t="str">
        <f>_xll.BDS("MTTB US Equity","SUPPLY_CHAIN_CUSTOMERS","RELATIONSHIP_AS_OF_DATE","19980130")</f>
        <v>#N/A N/A</v>
      </c>
      <c r="NG5" t="str">
        <f>_xll.BDS("NOVL US Equity","SUPPLY_CHAIN_SUPPLIERS","RELATIONSHIP_AS_OF_DATE","20020610")</f>
        <v>#N/A N/A</v>
      </c>
      <c r="NL5" t="str">
        <f>_xll.BDS("NOVL US Equity","SUPPLY_CHAIN_CUSTOMERS","RELATIONSHIP_AS_OF_DATE","20020610")</f>
        <v>#N/A N/A</v>
      </c>
      <c r="NQ5" t="str">
        <f>_xll.BDS("BOKF US Equity","SUPPLY_CHAIN_SUPPLIERS","RELATIONSHIP_AS_OF_DATE","20000821","cols=1;rows=2")</f>
        <v>BLND US Equity</v>
      </c>
      <c r="NV5" t="str">
        <f>_xll.BDS("BOKF US Equity","SUPPLY_CHAIN_CUSTOMERS","RELATIONSHIP_AS_OF_DATE","20000821")</f>
        <v>#N/A N/A</v>
      </c>
      <c r="OA5" t="str">
        <f>_xll.BDS("COFS US Equity","SUPPLY_CHAIN_SUPPLIERS","RELATIONSHIP_AS_OF_DATE","20190325")</f>
        <v>#N/A N/A</v>
      </c>
      <c r="OF5" t="str">
        <f>_xll.BDS("COFS US Equity","SUPPLY_CHAIN_CUSTOMERS","RELATIONSHIP_AS_OF_DATE","20190325")</f>
        <v>#N/A N/A</v>
      </c>
    </row>
    <row r="6" spans="1:396" x14ac:dyDescent="0.25">
      <c r="A6" t="s">
        <v>11221</v>
      </c>
      <c r="AY6" t="s">
        <v>3712</v>
      </c>
      <c r="BD6" t="s">
        <v>11546</v>
      </c>
      <c r="DB6" t="s">
        <v>11320</v>
      </c>
      <c r="EU6" t="s">
        <v>7220</v>
      </c>
      <c r="EZ6" t="s">
        <v>1363</v>
      </c>
      <c r="HM6" t="s">
        <v>154</v>
      </c>
      <c r="IQ6" t="s">
        <v>154</v>
      </c>
      <c r="JK6" t="s">
        <v>44</v>
      </c>
      <c r="JP6" t="s">
        <v>10662</v>
      </c>
      <c r="KE6" t="s">
        <v>11090</v>
      </c>
      <c r="KJ6" t="s">
        <v>261</v>
      </c>
      <c r="NQ6" t="s">
        <v>10739</v>
      </c>
    </row>
    <row r="7" spans="1:396" x14ac:dyDescent="0.25">
      <c r="AY7" t="s">
        <v>967</v>
      </c>
      <c r="BD7" t="s">
        <v>11688</v>
      </c>
      <c r="EU7" t="s">
        <v>10878</v>
      </c>
      <c r="EZ7" t="s">
        <v>10939</v>
      </c>
      <c r="JK7" t="s">
        <v>10734</v>
      </c>
      <c r="JP7" t="s">
        <v>10761</v>
      </c>
      <c r="KE7" t="s">
        <v>10729</v>
      </c>
      <c r="KJ7" t="s">
        <v>10853</v>
      </c>
    </row>
    <row r="8" spans="1:396" x14ac:dyDescent="0.25">
      <c r="AY8" t="s">
        <v>3533</v>
      </c>
      <c r="BD8" t="s">
        <v>10680</v>
      </c>
      <c r="EU8" t="s">
        <v>11247</v>
      </c>
      <c r="EZ8" t="s">
        <v>274</v>
      </c>
      <c r="JK8" t="s">
        <v>10735</v>
      </c>
      <c r="JP8" t="s">
        <v>10762</v>
      </c>
      <c r="KE8" t="s">
        <v>10892</v>
      </c>
      <c r="KJ8" t="s">
        <v>11566</v>
      </c>
    </row>
    <row r="9" spans="1:396" x14ac:dyDescent="0.25">
      <c r="AY9" t="s">
        <v>11044</v>
      </c>
      <c r="EU9" t="s">
        <v>155</v>
      </c>
      <c r="EZ9" t="s">
        <v>6473</v>
      </c>
      <c r="JK9" t="s">
        <v>3073</v>
      </c>
      <c r="JP9" t="s">
        <v>10763</v>
      </c>
      <c r="KE9" t="s">
        <v>1267</v>
      </c>
      <c r="KJ9" t="s">
        <v>11875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7720</v>
      </c>
      <c r="K1" s="1" t="s">
        <v>7721</v>
      </c>
      <c r="U1" s="1" t="s">
        <v>7722</v>
      </c>
      <c r="AE1" s="1" t="s">
        <v>7723</v>
      </c>
      <c r="AO1" s="1" t="s">
        <v>7724</v>
      </c>
      <c r="AY1" s="1" t="s">
        <v>7725</v>
      </c>
      <c r="BI1" s="1" t="s">
        <v>7726</v>
      </c>
      <c r="BS1" s="1" t="s">
        <v>7727</v>
      </c>
      <c r="CC1" s="1" t="s">
        <v>7728</v>
      </c>
      <c r="CM1" s="1" t="s">
        <v>7729</v>
      </c>
      <c r="CW1" s="1" t="s">
        <v>7730</v>
      </c>
      <c r="DG1" s="1" t="s">
        <v>7731</v>
      </c>
      <c r="DQ1" s="1" t="s">
        <v>7732</v>
      </c>
      <c r="EA1" s="1" t="s">
        <v>7733</v>
      </c>
      <c r="EK1" s="1" t="s">
        <v>7734</v>
      </c>
      <c r="EU1" s="1" t="s">
        <v>7735</v>
      </c>
      <c r="FE1" s="1" t="s">
        <v>7736</v>
      </c>
      <c r="FO1" s="1" t="s">
        <v>7737</v>
      </c>
      <c r="FY1" s="1" t="s">
        <v>7738</v>
      </c>
      <c r="GI1" s="1" t="s">
        <v>7739</v>
      </c>
      <c r="GS1" s="1" t="s">
        <v>7740</v>
      </c>
      <c r="HC1" s="1" t="s">
        <v>7741</v>
      </c>
      <c r="HM1" s="1" t="s">
        <v>7742</v>
      </c>
      <c r="HW1" s="1" t="s">
        <v>7743</v>
      </c>
      <c r="IG1" s="1" t="s">
        <v>7744</v>
      </c>
      <c r="IQ1" s="1" t="s">
        <v>7745</v>
      </c>
      <c r="JA1" s="1" t="s">
        <v>7746</v>
      </c>
      <c r="JK1" s="1" t="s">
        <v>7747</v>
      </c>
      <c r="JU1" s="1" t="s">
        <v>7748</v>
      </c>
      <c r="KE1" s="1" t="s">
        <v>7749</v>
      </c>
      <c r="KO1" s="1" t="s">
        <v>7750</v>
      </c>
      <c r="KY1" s="1" t="s">
        <v>7751</v>
      </c>
      <c r="LI1" s="1" t="s">
        <v>7752</v>
      </c>
      <c r="LS1" s="1" t="s">
        <v>7753</v>
      </c>
      <c r="MC1" s="1" t="s">
        <v>7754</v>
      </c>
      <c r="MM1" s="1" t="s">
        <v>7755</v>
      </c>
      <c r="MW1" s="1" t="s">
        <v>7756</v>
      </c>
      <c r="NG1" s="1" t="s">
        <v>7757</v>
      </c>
      <c r="NQ1" s="1" t="s">
        <v>7758</v>
      </c>
      <c r="OA1" s="1" t="s">
        <v>7759</v>
      </c>
    </row>
    <row r="2" spans="1:396" x14ac:dyDescent="0.25">
      <c r="A2" s="2" t="s">
        <v>3617</v>
      </c>
      <c r="K2" s="2" t="s">
        <v>7760</v>
      </c>
      <c r="U2" s="2" t="s">
        <v>1925</v>
      </c>
      <c r="AE2" s="2" t="s">
        <v>7761</v>
      </c>
      <c r="AO2" s="2" t="s">
        <v>969</v>
      </c>
      <c r="AY2" s="2" t="s">
        <v>7688</v>
      </c>
      <c r="BI2" s="2" t="s">
        <v>7762</v>
      </c>
      <c r="BS2" s="2" t="s">
        <v>1164</v>
      </c>
      <c r="CC2" s="2" t="s">
        <v>4559</v>
      </c>
      <c r="CM2" s="2" t="s">
        <v>6901</v>
      </c>
      <c r="CW2" s="2" t="s">
        <v>5069</v>
      </c>
      <c r="DG2" s="2" t="s">
        <v>7763</v>
      </c>
      <c r="DQ2" s="2" t="s">
        <v>7764</v>
      </c>
      <c r="EA2" s="2" t="s">
        <v>693</v>
      </c>
      <c r="EK2" s="2" t="s">
        <v>4298</v>
      </c>
      <c r="EU2" s="2" t="s">
        <v>969</v>
      </c>
      <c r="FE2" s="2" t="s">
        <v>5663</v>
      </c>
      <c r="FO2" s="2" t="s">
        <v>5337</v>
      </c>
      <c r="FY2" s="2" t="s">
        <v>7765</v>
      </c>
      <c r="GI2" s="2" t="s">
        <v>7766</v>
      </c>
      <c r="GS2" s="2" t="s">
        <v>7767</v>
      </c>
      <c r="HC2" s="2" t="s">
        <v>7768</v>
      </c>
      <c r="HM2" s="2" t="s">
        <v>7769</v>
      </c>
      <c r="HW2" s="2" t="s">
        <v>6549</v>
      </c>
      <c r="IG2" s="2" t="s">
        <v>7770</v>
      </c>
      <c r="IQ2" s="2" t="s">
        <v>7771</v>
      </c>
      <c r="JA2" s="2" t="s">
        <v>64</v>
      </c>
      <c r="JK2" s="2" t="s">
        <v>6081</v>
      </c>
      <c r="JU2" s="2" t="s">
        <v>64</v>
      </c>
      <c r="KE2" s="2" t="s">
        <v>5915</v>
      </c>
      <c r="KO2" s="2" t="s">
        <v>5064</v>
      </c>
      <c r="KY2" s="2" t="s">
        <v>3706</v>
      </c>
      <c r="LI2" s="2" t="s">
        <v>7772</v>
      </c>
      <c r="LS2" s="2" t="s">
        <v>7608</v>
      </c>
      <c r="MC2" s="2" t="s">
        <v>982</v>
      </c>
      <c r="MM2" s="2" t="s">
        <v>7773</v>
      </c>
      <c r="MW2" s="2" t="s">
        <v>5674</v>
      </c>
      <c r="NG2" s="2" t="s">
        <v>4387</v>
      </c>
      <c r="NQ2" s="2" t="s">
        <v>4984</v>
      </c>
      <c r="OA2" s="2" t="s">
        <v>2695</v>
      </c>
    </row>
    <row r="3" spans="1:396" x14ac:dyDescent="0.25">
      <c r="A3" t="s">
        <v>2807</v>
      </c>
      <c r="K3" t="s">
        <v>7774</v>
      </c>
      <c r="U3" t="s">
        <v>5446</v>
      </c>
      <c r="AE3" t="s">
        <v>7775</v>
      </c>
      <c r="AO3" t="s">
        <v>82</v>
      </c>
      <c r="AY3" t="s">
        <v>3629</v>
      </c>
      <c r="BI3" t="s">
        <v>3187</v>
      </c>
      <c r="BS3" t="s">
        <v>7776</v>
      </c>
      <c r="CC3" t="s">
        <v>7777</v>
      </c>
      <c r="CM3" t="s">
        <v>7778</v>
      </c>
      <c r="CW3" t="s">
        <v>3265</v>
      </c>
      <c r="DG3" t="s">
        <v>1968</v>
      </c>
      <c r="DQ3" t="s">
        <v>1303</v>
      </c>
      <c r="EA3" t="s">
        <v>7149</v>
      </c>
      <c r="EK3" t="s">
        <v>76</v>
      </c>
      <c r="EU3" t="s">
        <v>4836</v>
      </c>
      <c r="FE3" t="s">
        <v>3195</v>
      </c>
      <c r="FO3" t="s">
        <v>7779</v>
      </c>
      <c r="FY3" t="s">
        <v>5269</v>
      </c>
      <c r="GI3" t="s">
        <v>7780</v>
      </c>
      <c r="GS3" t="s">
        <v>2423</v>
      </c>
      <c r="HC3" t="s">
        <v>7781</v>
      </c>
      <c r="HM3" t="s">
        <v>7782</v>
      </c>
      <c r="HW3" t="s">
        <v>7783</v>
      </c>
      <c r="IG3" t="s">
        <v>7784</v>
      </c>
      <c r="IQ3" t="s">
        <v>7785</v>
      </c>
      <c r="JA3" t="s">
        <v>7786</v>
      </c>
      <c r="JK3" t="s">
        <v>7787</v>
      </c>
      <c r="JU3" t="s">
        <v>7788</v>
      </c>
      <c r="KE3" t="s">
        <v>1686</v>
      </c>
      <c r="KO3" t="s">
        <v>3895</v>
      </c>
      <c r="KY3" t="s">
        <v>6005</v>
      </c>
      <c r="LI3" t="s">
        <v>7789</v>
      </c>
      <c r="LS3" t="s">
        <v>5784</v>
      </c>
      <c r="MC3" t="s">
        <v>2726</v>
      </c>
      <c r="MM3" t="s">
        <v>6923</v>
      </c>
      <c r="MW3" t="s">
        <v>84</v>
      </c>
      <c r="NG3" t="s">
        <v>5263</v>
      </c>
      <c r="NQ3" t="s">
        <v>7790</v>
      </c>
      <c r="OA3" t="s">
        <v>7791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_xll.BDS("540513Q US Equity","SUPPLY_CHAIN_SUPPLIERS","RELATIONSHIP_AS_OF_DATE","20031125")</f>
        <v>#N/A N/A</v>
      </c>
      <c r="F5" t="str">
        <f>_xll.BDS("540513Q US Equity","SUPPLY_CHAIN_CUSTOMERS","RELATIONSHIP_AS_OF_DATE","20031125")</f>
        <v>#N/A N/A</v>
      </c>
      <c r="K5" t="str">
        <f>_xll.BDS("3520842Q US Equity","SUPPLY_CHAIN_SUPPLIERS","RELATIONSHIP_AS_OF_DATE","19980923")</f>
        <v>#N/A N/A</v>
      </c>
      <c r="P5" t="str">
        <f>_xll.BDS("3520842Q US Equity","SUPPLY_CHAIN_CUSTOMERS","RELATIONSHIP_AS_OF_DATE","19980923")</f>
        <v>#N/A N/A</v>
      </c>
      <c r="U5" t="str">
        <f>_xll.BDS("SNV US Equity","SUPPLY_CHAIN_SUPPLIERS","RELATIONSHIP_AS_OF_DATE","20020430")</f>
        <v>VYX US Equity</v>
      </c>
      <c r="Z5" t="str">
        <f>_xll.BDS("SNV US Equity","SUPPLY_CHAIN_CUSTOMERS","RELATIONSHIP_AS_OF_DATE","20020430")</f>
        <v>#N/A N/A</v>
      </c>
      <c r="AE5" t="str">
        <f>_xll.BDS("RILY US Equity","SUPPLY_CHAIN_SUPPLIERS","RELATIONSHIP_AS_OF_DATE","20170221","cols=1;rows=5")</f>
        <v>1460 TT Equity</v>
      </c>
      <c r="AJ5" t="str">
        <f>_xll.BDS("RILY US Equity","SUPPLY_CHAIN_CUSTOMERS","RELATIONSHIP_AS_OF_DATE","20170221","cols=1;rows=5")</f>
        <v>NSIT US Equity</v>
      </c>
      <c r="AO5" t="str">
        <f>_xll.BDS("CSCO US Equity","SUPPLY_CHAIN_SUPPLIERS","RELATIONSHIP_AS_OF_DATE","19980728","cols=1;rows=5")</f>
        <v>NVDA US Equity</v>
      </c>
      <c r="AT5" t="str">
        <f>_xll.BDS("CSCO US Equity","SUPPLY_CHAIN_CUSTOMERS","RELATIONSHIP_AS_OF_DATE","19980728","cols=1;rows=5")</f>
        <v>SNX US Equity</v>
      </c>
      <c r="AY5" t="str">
        <f>_xll.BDS("KROL US Equity","SUPPLY_CHAIN_SUPPLIERS","RELATIONSHIP_AS_OF_DATE","20020402")</f>
        <v>COL SM Equity</v>
      </c>
      <c r="BD5" t="str">
        <f>_xll.BDS("KROL US Equity","SUPPLY_CHAIN_CUSTOMERS","RELATIONSHIP_AS_OF_DATE","20020402")</f>
        <v>BHILQ US Equity</v>
      </c>
      <c r="BI5" t="str">
        <f>_xll.BDS("ERDR US Equity","SUPPLY_CHAIN_SUPPLIERS","RELATIONSHIP_AS_OF_DATE","19990521")</f>
        <v>#N/A N/A</v>
      </c>
      <c r="BN5" t="str">
        <f>_xll.BDS("ERDR US Equity","SUPPLY_CHAIN_CUSTOMERS","RELATIONSHIP_AS_OF_DATE","19990521")</f>
        <v>#N/A N/A</v>
      </c>
      <c r="BS5" t="str">
        <f>_xll.BDS("GE US Equity","SUPPLY_CHAIN_SUPPLIERS","RELATIONSHIP_AS_OF_DATE","20020417","cols=1;rows=5")</f>
        <v>SAF FP Equity</v>
      </c>
      <c r="BX5" t="str">
        <f>_xll.BDS("GE US Equity","SUPPLY_CHAIN_CUSTOMERS","RELATIONSHIP_AS_OF_DATE","20020417","cols=1;rows=5")</f>
        <v>3352Z US Equity</v>
      </c>
      <c r="CC5" t="str">
        <f>_xll.BDS("NPBC US Equity","SUPPLY_CHAIN_SUPPLIERS","RELATIONSHIP_AS_OF_DATE","20050907")</f>
        <v>#N/A N/A</v>
      </c>
      <c r="CH5" t="str">
        <f>_xll.BDS("NPBC US Equity","SUPPLY_CHAIN_CUSTOMERS","RELATIONSHIP_AS_OF_DATE","20050907")</f>
        <v>#N/A N/A</v>
      </c>
      <c r="CM5" t="str">
        <f>_xll.BDS("SVC US Equity","SUPPLY_CHAIN_SUPPLIERS","RELATIONSHIP_AS_OF_DATE","20201230","cols=1;rows=4")</f>
        <v>OPITQ US Equity</v>
      </c>
      <c r="CR5" t="str">
        <f>_xll.BDS("SVC US Equity","SUPPLY_CHAIN_CUSTOMERS","RELATIONSHIP_AS_OF_DATE","20201230")</f>
        <v>OPITQ US Equity</v>
      </c>
      <c r="CW5" t="str">
        <f>_xll.BDS("ONIT US Equity","SUPPLY_CHAIN_SUPPLIERS","RELATIONSHIP_AS_OF_DATE","19990416","cols=1;rows=2")</f>
        <v>MDC US Equity</v>
      </c>
      <c r="DB5" t="str">
        <f>_xll.BDS("ONIT US Equity","SUPPLY_CHAIN_CUSTOMERS","RELATIONSHIP_AS_OF_DATE","19990416")</f>
        <v>MNTX US Equity</v>
      </c>
      <c r="DG5" t="str">
        <f>_xll.BDS("82473Q US Equity","SUPPLY_CHAIN_SUPPLIERS","RELATIONSHIP_AS_OF_DATE","19980209")</f>
        <v>#N/A N/A</v>
      </c>
      <c r="DL5" t="str">
        <f>_xll.BDS("82473Q US Equity","SUPPLY_CHAIN_CUSTOMERS","RELATIONSHIP_AS_OF_DATE","19980209")</f>
        <v>#N/A N/A</v>
      </c>
      <c r="DQ5" t="str">
        <f>_xll.BDS("LMNX US Equity","SUPPLY_CHAIN_SUPPLIERS","RELATIONSHIP_AS_OF_DATE","20160516")</f>
        <v>#N/A N/A</v>
      </c>
      <c r="DV5" t="str">
        <f>_xll.BDS("LMNX US Equity","SUPPLY_CHAIN_CUSTOMERS","RELATIONSHIP_AS_OF_DATE","20160516")</f>
        <v>#N/A N/A</v>
      </c>
      <c r="EA5" t="str">
        <f>_xll.BDS("CNP US Equity","SUPPLY_CHAIN_SUPPLIERS","RELATIONSHIP_AS_OF_DATE","20120531","cols=1;rows=5")</f>
        <v>PWR US Equity</v>
      </c>
      <c r="EF5" t="str">
        <f>_xll.BDS("CNP US Equity","SUPPLY_CHAIN_CUSTOMERS","RELATIONSHIP_AS_OF_DATE","20120531","cols=1;rows=5")</f>
        <v>NRG US Equity</v>
      </c>
      <c r="EK5" t="str">
        <f>_xll.BDS("CSGP US Equity","SUPPLY_CHAIN_SUPPLIERS","RELATIONSHIP_AS_OF_DATE","19991104","cols=1;rows=5")</f>
        <v>MUST SP Equity</v>
      </c>
      <c r="EP5" t="str">
        <f>_xll.BDS("CSGP US Equity","SUPPLY_CHAIN_CUSTOMERS","RELATIONSHIP_AS_OF_DATE","19991104","cols=1;rows=3")</f>
        <v>SNX US Equity</v>
      </c>
      <c r="EU5" t="str">
        <f>_xll.BDS("CSCO US Equity","SUPPLY_CHAIN_SUPPLIERS","RELATIONSHIP_AS_OF_DATE","20040909","cols=1;rows=5")</f>
        <v>NVDA US Equity</v>
      </c>
      <c r="EZ5" t="str">
        <f>_xll.BDS("CSCO US Equity","SUPPLY_CHAIN_CUSTOMERS","RELATIONSHIP_AS_OF_DATE","20040909","cols=1;rows=5")</f>
        <v>SNX US Equity</v>
      </c>
      <c r="FE5" t="str">
        <f>_xll.BDS("MAFB US Equity","SUPPLY_CHAIN_SUPPLIERS","RELATIONSHIP_AS_OF_DATE","19980817")</f>
        <v>#N/A N/A</v>
      </c>
      <c r="FJ5" t="str">
        <f>_xll.BDS("MAFB US Equity","SUPPLY_CHAIN_CUSTOMERS","RELATIONSHIP_AS_OF_DATE","19980817")</f>
        <v>#N/A N/A</v>
      </c>
      <c r="FO5" t="str">
        <f>_xll.BDS("CBU US Equity","SUPPLY_CHAIN_SUPPLIERS","RELATIONSHIP_AS_OF_DATE","20001129")</f>
        <v>#N/A N/A</v>
      </c>
      <c r="FT5" t="str">
        <f>_xll.BDS("CBU US Equity","SUPPLY_CHAIN_CUSTOMERS","RELATIONSHIP_AS_OF_DATE","20001129")</f>
        <v>#N/A N/A</v>
      </c>
      <c r="FY5" t="str">
        <f>_xll.BDS("UCFC US Equity","SUPPLY_CHAIN_SUPPLIERS","RELATIONSHIP_AS_OF_DATE","20001211")</f>
        <v>#N/A N/A</v>
      </c>
      <c r="GD5" t="str">
        <f>_xll.BDS("UCFC US Equity","SUPPLY_CHAIN_CUSTOMERS","RELATIONSHIP_AS_OF_DATE","20001211")</f>
        <v>#N/A N/A</v>
      </c>
      <c r="GI5" t="str">
        <f>_xll.BDS("FSLA US Equity","SUPPLY_CHAIN_SUPPLIERS","RELATIONSHIP_AS_OF_DATE","19980709")</f>
        <v>#N/A N/A</v>
      </c>
      <c r="GN5" t="str">
        <f>_xll.BDS("FSLA US Equity","SUPPLY_CHAIN_CUSTOMERS","RELATIONSHIP_AS_OF_DATE","19980709")</f>
        <v>#N/A N/A</v>
      </c>
      <c r="GS5" t="str">
        <f>_xll.BDS("3482Q US Equity","SUPPLY_CHAIN_SUPPLIERS","RELATIONSHIP_AS_OF_DATE","19980302")</f>
        <v>#N/A N/A</v>
      </c>
      <c r="GX5" t="str">
        <f>_xll.BDS("3482Q US Equity","SUPPLY_CHAIN_CUSTOMERS","RELATIONSHIP_AS_OF_DATE","19980302")</f>
        <v>#N/A N/A</v>
      </c>
      <c r="HC5" t="str">
        <f>_xll.BDS("1518080D US Equity","SUPPLY_CHAIN_SUPPLIERS","RELATIONSHIP_AS_OF_DATE","20060615")</f>
        <v>#N/A N/A</v>
      </c>
      <c r="HH5" t="str">
        <f>_xll.BDS("1518080D US Equity","SUPPLY_CHAIN_CUSTOMERS","RELATIONSHIP_AS_OF_DATE","20060615")</f>
        <v>#N/A N/A</v>
      </c>
      <c r="HM5" t="str">
        <f>_xll.BDS("HNH US Equity","SUPPLY_CHAIN_SUPPLIERS","RELATIONSHIP_AS_OF_DATE","20150618")</f>
        <v>#N/A N/A</v>
      </c>
      <c r="HR5" t="str">
        <f>_xll.BDS("HNH US Equity","SUPPLY_CHAIN_CUSTOMERS","RELATIONSHIP_AS_OF_DATE","20150618")</f>
        <v>#N/A N/A</v>
      </c>
      <c r="HW5" t="str">
        <f>_xll.BDS("8206908Q US Equity","SUPPLY_CHAIN_SUPPLIERS","RELATIONSHIP_AS_OF_DATE","19991105")</f>
        <v>#N/A N/A</v>
      </c>
      <c r="IB5" t="str">
        <f>_xll.BDS("8206908Q US Equity","SUPPLY_CHAIN_CUSTOMERS","RELATIONSHIP_AS_OF_DATE","19991105")</f>
        <v>#N/A N/A</v>
      </c>
      <c r="IG5" t="str">
        <f>_xll.BDS("IIIV US Equity","SUPPLY_CHAIN_SUPPLIERS","RELATIONSHIP_AS_OF_DATE","20210205")</f>
        <v>#N/A N/A</v>
      </c>
      <c r="IL5" t="str">
        <f>_xll.BDS("IIIV US Equity","SUPPLY_CHAIN_CUSTOMERS","RELATIONSHIP_AS_OF_DATE","20210205")</f>
        <v>80459Z CN Equity</v>
      </c>
      <c r="IQ5" t="str">
        <f>_xll.BDS("ARXX US Equity","SUPPLY_CHAIN_SUPPLIERS","RELATIONSHIP_AS_OF_DATE","20020415")</f>
        <v>#N/A N/A</v>
      </c>
      <c r="IV5" t="str">
        <f>_xll.BDS("ARXX US Equity","SUPPLY_CHAIN_CUSTOMERS","RELATIONSHIP_AS_OF_DATE","20020415")</f>
        <v>FEG SP Equity</v>
      </c>
      <c r="JA5" t="str">
        <f>_xll.BDS("nan Equity","SUPPLY_CHAIN_SUPPLIERS","RELATIONSHIP_AS_OF_DATE","20100719")</f>
        <v>#N/A N/A</v>
      </c>
      <c r="JF5" t="str">
        <f>_xll.BDS("nan Equity","SUPPLY_CHAIN_CUSTOMERS","RELATIONSHIP_AS_OF_DATE","20100719")</f>
        <v>#N/A N/A</v>
      </c>
      <c r="JK5" t="str">
        <f>_xll.BDS("STBA US Equity","SUPPLY_CHAIN_SUPPLIERS","RELATIONSHIP_AS_OF_DATE","20020320")</f>
        <v>#N/A N/A</v>
      </c>
      <c r="JP5" t="str">
        <f>_xll.BDS("STBA US Equity","SUPPLY_CHAIN_CUSTOMERS","RELATIONSHIP_AS_OF_DATE","20020320")</f>
        <v>#N/A N/A</v>
      </c>
      <c r="JU5" t="str">
        <f>_xll.BDS("nan Equity","SUPPLY_CHAIN_SUPPLIERS","RELATIONSHIP_AS_OF_DATE","20050809")</f>
        <v>#N/A N/A</v>
      </c>
      <c r="JZ5" t="str">
        <f>_xll.BDS("nan Equity","SUPPLY_CHAIN_CUSTOMERS","RELATIONSHIP_AS_OF_DATE","20050809")</f>
        <v>#N/A N/A</v>
      </c>
      <c r="KE5" t="str">
        <f>_xll.BDS("NBTB US Equity","SUPPLY_CHAIN_SUPPLIERS","RELATIONSHIP_AS_OF_DATE","20050614")</f>
        <v>FRSH US Equity</v>
      </c>
      <c r="KJ5" t="str">
        <f>_xll.BDS("NBTB US Equity","SUPPLY_CHAIN_CUSTOMERS","RELATIONSHIP_AS_OF_DATE","20050614")</f>
        <v>#N/A N/A</v>
      </c>
      <c r="KO5" t="str">
        <f>_xll.BDS("CFR US Equity","SUPPLY_CHAIN_SUPPLIERS","RELATIONSHIP_AS_OF_DATE","20051110","cols=1;rows=4")</f>
        <v>INFO IN Equity</v>
      </c>
      <c r="KT5" t="str">
        <f>_xll.BDS("CFR US Equity","SUPPLY_CHAIN_CUSTOMERS","RELATIONSHIP_AS_OF_DATE","20051110")</f>
        <v>#N/A N/A</v>
      </c>
      <c r="KY5" t="str">
        <f>_xll.BDS("STEL US Equity","SUPPLY_CHAIN_SUPPLIERS","RELATIONSHIP_AS_OF_DATE","20010613")</f>
        <v>#N/A N/A</v>
      </c>
      <c r="LD5" t="str">
        <f>_xll.BDS("STEL US Equity","SUPPLY_CHAIN_CUSTOMERS","RELATIONSHIP_AS_OF_DATE","20010613")</f>
        <v>#N/A N/A</v>
      </c>
      <c r="LI5" t="str">
        <f>_xll.BDS("IFCJ US Equity","SUPPLY_CHAIN_SUPPLIERS","RELATIONSHIP_AS_OF_DATE","20021118")</f>
        <v>#N/A N/A</v>
      </c>
      <c r="LN5" t="str">
        <f>_xll.BDS("IFCJ US Equity","SUPPLY_CHAIN_CUSTOMERS","RELATIONSHIP_AS_OF_DATE","20021118")</f>
        <v>#N/A N/A</v>
      </c>
      <c r="LS5" t="str">
        <f>_xll.BDS("2119228Q US Equity","SUPPLY_CHAIN_SUPPLIERS","RELATIONSHIP_AS_OF_DATE","19980723")</f>
        <v>#N/A N/A</v>
      </c>
      <c r="LX5" t="str">
        <f>_xll.BDS("2119228Q US Equity","SUPPLY_CHAIN_CUSTOMERS","RELATIONSHIP_AS_OF_DATE","19980723")</f>
        <v>#N/A N/A</v>
      </c>
      <c r="MC5" t="str">
        <f>_xll.BDS("EMR US Equity","SUPPLY_CHAIN_SUPPLIERS","RELATIONSHIP_AS_OF_DATE","20070514","cols=1;rows=5")</f>
        <v>JBL US Equity</v>
      </c>
      <c r="MH5" t="str">
        <f>_xll.BDS("EMR US Equity","SUPPLY_CHAIN_CUSTOMERS","RELATIONSHIP_AS_OF_DATE","20070514","cols=1;rows=5")</f>
        <v>TMO US Equity</v>
      </c>
      <c r="MM5" t="str">
        <f>_xll.BDS("56485Q US Equity","SUPPLY_CHAIN_SUPPLIERS","RELATIONSHIP_AS_OF_DATE","19981001")</f>
        <v>#N/A N/A</v>
      </c>
      <c r="MR5" t="str">
        <f>_xll.BDS("56485Q US Equity","SUPPLY_CHAIN_CUSTOMERS","RELATIONSHIP_AS_OF_DATE","19981001")</f>
        <v>#N/A N/A</v>
      </c>
      <c r="MW5" t="str">
        <f>_xll.BDS("HFWA US Equity","SUPPLY_CHAIN_SUPPLIERS","RELATIONSHIP_AS_OF_DATE","20180308")</f>
        <v>#N/A N/A</v>
      </c>
      <c r="NB5" t="str">
        <f>_xll.BDS("HFWA US Equity","SUPPLY_CHAIN_CUSTOMERS","RELATIONSHIP_AS_OF_DATE","20180308")</f>
        <v>#N/A N/A</v>
      </c>
      <c r="NG5" t="str">
        <f>_xll.BDS("QMCO US Equity","SUPPLY_CHAIN_SUPPLIERS","RELATIONSHIP_AS_OF_DATE","19990511","cols=1;rows=5")</f>
        <v>300505 CH Equity</v>
      </c>
      <c r="NL5" t="str">
        <f>_xll.BDS("QMCO US Equity","SUPPLY_CHAIN_CUSTOMERS","RELATIONSHIP_AS_OF_DATE","19990511","cols=1;rows=5")</f>
        <v>ARW US Equity</v>
      </c>
      <c r="NQ5" t="str">
        <f>_xll.BDS("EFSC US Equity","SUPPLY_CHAIN_SUPPLIERS","RELATIONSHIP_AS_OF_DATE","20200820")</f>
        <v>#N/A N/A</v>
      </c>
      <c r="NV5" t="str">
        <f>_xll.BDS("EFSC US Equity","SUPPLY_CHAIN_CUSTOMERS","RELATIONSHIP_AS_OF_DATE","20200820")</f>
        <v>#N/A N/A</v>
      </c>
      <c r="OA5" t="str">
        <f>_xll.BDS("FNFG US Equity","SUPPLY_CHAIN_SUPPLIERS","RELATIONSHIP_AS_OF_DATE","19991229")</f>
        <v>#N/A N/A</v>
      </c>
      <c r="OF5" t="str">
        <f>_xll.BDS("FNFG US Equity","SUPPLY_CHAIN_CUSTOMERS","RELATIONSHIP_AS_OF_DATE","19991229")</f>
        <v>#N/A N/A</v>
      </c>
    </row>
    <row r="6" spans="1:396" x14ac:dyDescent="0.25">
      <c r="AE6" t="s">
        <v>11374</v>
      </c>
      <c r="AJ6" t="s">
        <v>10918</v>
      </c>
      <c r="AO6" t="s">
        <v>11089</v>
      </c>
      <c r="AT6" t="s">
        <v>266</v>
      </c>
      <c r="BS6" t="s">
        <v>11008</v>
      </c>
      <c r="BX6" t="s">
        <v>1363</v>
      </c>
      <c r="CM6" t="s">
        <v>11662</v>
      </c>
      <c r="CW6" t="s">
        <v>11341</v>
      </c>
      <c r="EA6" t="s">
        <v>7384</v>
      </c>
      <c r="EF6" t="s">
        <v>574</v>
      </c>
      <c r="EK6" t="s">
        <v>266</v>
      </c>
      <c r="EP6" t="s">
        <v>11767</v>
      </c>
      <c r="EU6" t="s">
        <v>11089</v>
      </c>
      <c r="EZ6" t="s">
        <v>266</v>
      </c>
      <c r="KO6" t="s">
        <v>11644</v>
      </c>
      <c r="MC6" t="s">
        <v>10830</v>
      </c>
      <c r="MH6" t="s">
        <v>570</v>
      </c>
      <c r="NG6" t="s">
        <v>11562</v>
      </c>
      <c r="NL6" t="s">
        <v>2881</v>
      </c>
    </row>
    <row r="7" spans="1:396" x14ac:dyDescent="0.25">
      <c r="AE7" t="s">
        <v>2705</v>
      </c>
      <c r="AJ7" t="s">
        <v>10919</v>
      </c>
      <c r="AO7" t="s">
        <v>11090</v>
      </c>
      <c r="AT7" t="s">
        <v>10892</v>
      </c>
      <c r="BS7" t="s">
        <v>11009</v>
      </c>
      <c r="BX7" t="s">
        <v>10939</v>
      </c>
      <c r="CM7" t="s">
        <v>11294</v>
      </c>
      <c r="EA7" t="s">
        <v>11530</v>
      </c>
      <c r="EF7" t="s">
        <v>11527</v>
      </c>
      <c r="EK7" t="s">
        <v>11817</v>
      </c>
      <c r="EP7" t="s">
        <v>11768</v>
      </c>
      <c r="EU7" t="s">
        <v>11090</v>
      </c>
      <c r="EZ7" t="s">
        <v>10892</v>
      </c>
      <c r="KO7" t="s">
        <v>11372</v>
      </c>
      <c r="MC7" t="s">
        <v>11595</v>
      </c>
      <c r="MH7" t="s">
        <v>2219</v>
      </c>
      <c r="NG7" t="s">
        <v>10715</v>
      </c>
      <c r="NL7" t="s">
        <v>10918</v>
      </c>
    </row>
    <row r="8" spans="1:396" x14ac:dyDescent="0.25">
      <c r="AE8" t="s">
        <v>11375</v>
      </c>
      <c r="AJ8" t="s">
        <v>10920</v>
      </c>
      <c r="AO8" t="s">
        <v>10734</v>
      </c>
      <c r="AT8" t="s">
        <v>469</v>
      </c>
      <c r="BS8" t="s">
        <v>11010</v>
      </c>
      <c r="BX8" t="s">
        <v>1652</v>
      </c>
      <c r="CM8" t="s">
        <v>11663</v>
      </c>
      <c r="EA8" t="s">
        <v>11531</v>
      </c>
      <c r="EF8" t="s">
        <v>11528</v>
      </c>
      <c r="EK8" t="s">
        <v>11818</v>
      </c>
      <c r="EU8" t="s">
        <v>10734</v>
      </c>
      <c r="EZ8" t="s">
        <v>469</v>
      </c>
      <c r="KO8" t="s">
        <v>11645</v>
      </c>
      <c r="MC8" t="s">
        <v>11161</v>
      </c>
      <c r="MH8" t="s">
        <v>11345</v>
      </c>
      <c r="NG8" t="s">
        <v>6477</v>
      </c>
      <c r="NL8" t="s">
        <v>4219</v>
      </c>
    </row>
    <row r="9" spans="1:396" x14ac:dyDescent="0.25">
      <c r="AE9" t="s">
        <v>11084</v>
      </c>
      <c r="AJ9" t="s">
        <v>10921</v>
      </c>
      <c r="AO9" t="s">
        <v>11170</v>
      </c>
      <c r="AT9" t="s">
        <v>41</v>
      </c>
      <c r="BS9" t="s">
        <v>3625</v>
      </c>
      <c r="BX9" t="s">
        <v>1740</v>
      </c>
      <c r="EA9" t="s">
        <v>10643</v>
      </c>
      <c r="EF9" t="s">
        <v>11529</v>
      </c>
      <c r="EK9" t="s">
        <v>11819</v>
      </c>
      <c r="EU9" t="s">
        <v>11170</v>
      </c>
      <c r="EZ9" t="s">
        <v>41</v>
      </c>
      <c r="MC9" t="s">
        <v>11596</v>
      </c>
      <c r="MH9" t="s">
        <v>7215</v>
      </c>
      <c r="NG9" t="s">
        <v>10810</v>
      </c>
      <c r="NL9" t="s">
        <v>10672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7792</v>
      </c>
      <c r="K1" s="1" t="s">
        <v>7793</v>
      </c>
      <c r="U1" s="1" t="s">
        <v>7794</v>
      </c>
      <c r="AE1" s="1" t="s">
        <v>7795</v>
      </c>
      <c r="AO1" s="1" t="s">
        <v>7796</v>
      </c>
      <c r="AY1" s="1" t="s">
        <v>7797</v>
      </c>
      <c r="BI1" s="1" t="s">
        <v>7798</v>
      </c>
      <c r="BS1" s="1" t="s">
        <v>7799</v>
      </c>
      <c r="CC1" s="1" t="s">
        <v>7800</v>
      </c>
      <c r="CM1" s="1" t="s">
        <v>7801</v>
      </c>
      <c r="CW1" s="1" t="s">
        <v>7802</v>
      </c>
      <c r="DG1" s="1" t="s">
        <v>7803</v>
      </c>
      <c r="DQ1" s="1" t="s">
        <v>7804</v>
      </c>
      <c r="EA1" s="1" t="s">
        <v>7805</v>
      </c>
      <c r="EK1" s="1" t="s">
        <v>7806</v>
      </c>
      <c r="EU1" s="1" t="s">
        <v>7807</v>
      </c>
      <c r="FE1" s="1" t="s">
        <v>7808</v>
      </c>
      <c r="FO1" s="1" t="s">
        <v>7809</v>
      </c>
      <c r="FY1" s="1" t="s">
        <v>7810</v>
      </c>
      <c r="GI1" s="1" t="s">
        <v>7811</v>
      </c>
      <c r="GS1" s="1" t="s">
        <v>7812</v>
      </c>
      <c r="HC1" s="1" t="s">
        <v>7813</v>
      </c>
      <c r="HM1" s="1" t="s">
        <v>7814</v>
      </c>
      <c r="HW1" s="1" t="s">
        <v>7815</v>
      </c>
      <c r="IG1" s="1" t="s">
        <v>7816</v>
      </c>
      <c r="IQ1" s="1" t="s">
        <v>7817</v>
      </c>
      <c r="JA1" s="1" t="s">
        <v>7818</v>
      </c>
      <c r="JK1" s="1" t="s">
        <v>7819</v>
      </c>
      <c r="JU1" s="1" t="s">
        <v>7820</v>
      </c>
      <c r="KE1" s="1" t="s">
        <v>7821</v>
      </c>
      <c r="KO1" s="1" t="s">
        <v>7822</v>
      </c>
      <c r="KY1" s="1" t="s">
        <v>7823</v>
      </c>
      <c r="LI1" s="1" t="s">
        <v>7824</v>
      </c>
      <c r="LS1" s="1" t="s">
        <v>7825</v>
      </c>
      <c r="MC1" s="1" t="s">
        <v>7826</v>
      </c>
      <c r="MM1" s="1" t="s">
        <v>7827</v>
      </c>
      <c r="MW1" s="1" t="s">
        <v>7828</v>
      </c>
      <c r="NG1" s="1" t="s">
        <v>7829</v>
      </c>
      <c r="NQ1" s="1" t="s">
        <v>7830</v>
      </c>
      <c r="OA1" s="1" t="s">
        <v>7831</v>
      </c>
    </row>
    <row r="2" spans="1:396" x14ac:dyDescent="0.25">
      <c r="A2" s="2" t="s">
        <v>4309</v>
      </c>
      <c r="K2" s="2" t="s">
        <v>7832</v>
      </c>
      <c r="U2" s="2" t="s">
        <v>6551</v>
      </c>
      <c r="AE2" s="2" t="s">
        <v>7833</v>
      </c>
      <c r="AO2" s="2" t="s">
        <v>7834</v>
      </c>
      <c r="AY2" s="2" t="s">
        <v>7835</v>
      </c>
      <c r="BI2" s="2" t="s">
        <v>7836</v>
      </c>
      <c r="BS2" s="2" t="s">
        <v>7837</v>
      </c>
      <c r="CC2" s="2" t="s">
        <v>7838</v>
      </c>
      <c r="CM2" s="2" t="s">
        <v>65</v>
      </c>
      <c r="CW2" s="2" t="s">
        <v>1177</v>
      </c>
      <c r="DG2" s="2" t="s">
        <v>4395</v>
      </c>
      <c r="DQ2" s="2" t="s">
        <v>4735</v>
      </c>
      <c r="EA2" s="2" t="s">
        <v>2302</v>
      </c>
      <c r="EK2" s="2" t="s">
        <v>1164</v>
      </c>
      <c r="EU2" s="2" t="s">
        <v>7839</v>
      </c>
      <c r="FE2" s="2" t="s">
        <v>1164</v>
      </c>
      <c r="FO2" s="2" t="s">
        <v>7840</v>
      </c>
      <c r="FY2" s="2" t="s">
        <v>5497</v>
      </c>
      <c r="GI2" s="2" t="s">
        <v>7841</v>
      </c>
      <c r="GS2" s="2" t="s">
        <v>7842</v>
      </c>
      <c r="HC2" s="2" t="s">
        <v>5170</v>
      </c>
      <c r="HM2" s="2" t="s">
        <v>7055</v>
      </c>
      <c r="HW2" s="2" t="s">
        <v>5674</v>
      </c>
      <c r="IG2" s="2" t="s">
        <v>7843</v>
      </c>
      <c r="IQ2" s="2" t="s">
        <v>7844</v>
      </c>
      <c r="JA2" s="2" t="s">
        <v>7845</v>
      </c>
      <c r="JK2" s="2" t="s">
        <v>7846</v>
      </c>
      <c r="JU2" s="2" t="s">
        <v>7847</v>
      </c>
      <c r="KE2" s="2" t="s">
        <v>6977</v>
      </c>
      <c r="KO2" s="2" t="s">
        <v>986</v>
      </c>
      <c r="KY2" s="2" t="s">
        <v>2874</v>
      </c>
      <c r="LI2" s="2" t="s">
        <v>1356</v>
      </c>
      <c r="LS2" s="2" t="s">
        <v>376</v>
      </c>
      <c r="MC2" s="2" t="s">
        <v>166</v>
      </c>
      <c r="MM2" s="2" t="s">
        <v>7846</v>
      </c>
      <c r="MW2" s="2" t="s">
        <v>7848</v>
      </c>
      <c r="NG2" s="2" t="s">
        <v>7849</v>
      </c>
      <c r="NQ2" s="2" t="s">
        <v>2877</v>
      </c>
      <c r="OA2" s="2" t="s">
        <v>1945</v>
      </c>
    </row>
    <row r="3" spans="1:396" x14ac:dyDescent="0.25">
      <c r="A3" t="s">
        <v>7850</v>
      </c>
      <c r="K3" t="s">
        <v>1380</v>
      </c>
      <c r="U3" t="s">
        <v>7083</v>
      </c>
      <c r="AE3" t="s">
        <v>5176</v>
      </c>
      <c r="AO3" t="s">
        <v>7851</v>
      </c>
      <c r="AY3" t="s">
        <v>7852</v>
      </c>
      <c r="BI3" t="s">
        <v>7853</v>
      </c>
      <c r="BS3" t="s">
        <v>7854</v>
      </c>
      <c r="CC3" t="s">
        <v>6170</v>
      </c>
      <c r="CM3" t="s">
        <v>3178</v>
      </c>
      <c r="CW3" t="s">
        <v>7855</v>
      </c>
      <c r="DG3" t="s">
        <v>6908</v>
      </c>
      <c r="DQ3" t="s">
        <v>3732</v>
      </c>
      <c r="EA3" t="s">
        <v>1589</v>
      </c>
      <c r="EK3" t="s">
        <v>6668</v>
      </c>
      <c r="EU3" t="s">
        <v>7856</v>
      </c>
      <c r="FE3" t="s">
        <v>5924</v>
      </c>
      <c r="FO3" t="s">
        <v>1661</v>
      </c>
      <c r="FY3" t="s">
        <v>7857</v>
      </c>
      <c r="GI3" t="s">
        <v>5020</v>
      </c>
      <c r="GS3" t="s">
        <v>1761</v>
      </c>
      <c r="HC3" t="s">
        <v>7858</v>
      </c>
      <c r="HM3" t="s">
        <v>6415</v>
      </c>
      <c r="HW3" t="s">
        <v>4843</v>
      </c>
      <c r="IG3" t="s">
        <v>7859</v>
      </c>
      <c r="IQ3" t="s">
        <v>914</v>
      </c>
      <c r="JA3" t="s">
        <v>7860</v>
      </c>
      <c r="JK3" t="s">
        <v>3446</v>
      </c>
      <c r="JU3" t="s">
        <v>6489</v>
      </c>
      <c r="KE3" t="s">
        <v>308</v>
      </c>
      <c r="KO3" t="s">
        <v>7861</v>
      </c>
      <c r="KY3" t="s">
        <v>7862</v>
      </c>
      <c r="LI3" t="s">
        <v>7863</v>
      </c>
      <c r="LS3" t="s">
        <v>2640</v>
      </c>
      <c r="MC3" t="s">
        <v>7864</v>
      </c>
      <c r="MM3" t="s">
        <v>3178</v>
      </c>
      <c r="MW3" t="s">
        <v>5013</v>
      </c>
      <c r="NG3" t="s">
        <v>7865</v>
      </c>
      <c r="NQ3" t="s">
        <v>7866</v>
      </c>
      <c r="OA3" t="s">
        <v>2232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_xll.BDS("764144Q US Equity","SUPPLY_CHAIN_SUPPLIERS","RELATIONSHIP_AS_OF_DATE","19990118")</f>
        <v>#N/A N/A</v>
      </c>
      <c r="F5" t="str">
        <f>_xll.BDS("764144Q US Equity","SUPPLY_CHAIN_CUSTOMERS","RELATIONSHIP_AS_OF_DATE","19990118")</f>
        <v>#N/A N/A</v>
      </c>
      <c r="K5" t="str">
        <f>_xll.BDS("3264Q US Equity","SUPPLY_CHAIN_SUPPLIERS","RELATIONSHIP_AS_OF_DATE","19990623")</f>
        <v>#N/A N/A</v>
      </c>
      <c r="P5" t="str">
        <f>_xll.BDS("3264Q US Equity","SUPPLY_CHAIN_CUSTOMERS","RELATIONSHIP_AS_OF_DATE","19990623")</f>
        <v>#N/A N/A</v>
      </c>
      <c r="U5" t="str">
        <f>_xll.BDS("1916526D US Equity","SUPPLY_CHAIN_SUPPLIERS","RELATIONSHIP_AS_OF_DATE","19990604")</f>
        <v>#N/A N/A</v>
      </c>
      <c r="Z5" t="str">
        <f>_xll.BDS("1916526D US Equity","SUPPLY_CHAIN_CUSTOMERS","RELATIONSHIP_AS_OF_DATE","19990604")</f>
        <v>#N/A N/A</v>
      </c>
      <c r="AE5" t="str">
        <f>_xll.BDS("696500Q US Equity","SUPPLY_CHAIN_SUPPLIERS","RELATIONSHIP_AS_OF_DATE","20000608")</f>
        <v>#N/A N/A</v>
      </c>
      <c r="AJ5" t="str">
        <f>_xll.BDS("696500Q US Equity","SUPPLY_CHAIN_CUSTOMERS","RELATIONSHIP_AS_OF_DATE","20000608")</f>
        <v>#N/A N/A</v>
      </c>
      <c r="AO5" t="str">
        <f>_xll.BDS("SPSS US Equity","SUPPLY_CHAIN_SUPPLIERS","RELATIONSHIP_AS_OF_DATE","20001107")</f>
        <v>#N/A N/A</v>
      </c>
      <c r="AT5" t="str">
        <f>_xll.BDS("SPSS US Equity","SUPPLY_CHAIN_CUSTOMERS","RELATIONSHIP_AS_OF_DATE","20001107")</f>
        <v>#N/A N/A</v>
      </c>
      <c r="AY5" t="str">
        <f>_xll.BDS("UNTC US Equity","SUPPLY_CHAIN_SUPPLIERS","RELATIONSHIP_AS_OF_DATE","20030701")</f>
        <v>#N/A N/A</v>
      </c>
      <c r="BD5" t="str">
        <f>_xll.BDS("UNTC US Equity","SUPPLY_CHAIN_CUSTOMERS","RELATIONSHIP_AS_OF_DATE","20030701","cols=1;rows=5")</f>
        <v>0006815D US Equity</v>
      </c>
      <c r="BI5" t="str">
        <f>_xll.BDS("GTK US Equity","SUPPLY_CHAIN_SUPPLIERS","RELATIONSHIP_AS_OF_DATE","20030317")</f>
        <v>#N/A N/A</v>
      </c>
      <c r="BN5" t="str">
        <f>_xll.BDS("GTK US Equity","SUPPLY_CHAIN_CUSTOMERS","RELATIONSHIP_AS_OF_DATE","20030317")</f>
        <v>#N/A N/A</v>
      </c>
      <c r="BS5" t="str">
        <f>_xll.BDS("1520415D US Equity","SUPPLY_CHAIN_SUPPLIERS","RELATIONSHIP_AS_OF_DATE","19980917")</f>
        <v>#N/A N/A</v>
      </c>
      <c r="BX5" t="str">
        <f>_xll.BDS("1520415D US Equity","SUPPLY_CHAIN_CUSTOMERS","RELATIONSHIP_AS_OF_DATE","19980917")</f>
        <v>#N/A N/A</v>
      </c>
      <c r="CC5" t="str">
        <f>_xll.BDS("AEGN US Equity","SUPPLY_CHAIN_SUPPLIERS","RELATIONSHIP_AS_OF_DATE","20160105","cols=1;rows=5")</f>
        <v>AEE US Equity</v>
      </c>
      <c r="CH5" t="str">
        <f>_xll.BDS("AEGN US Equity","SUPPLY_CHAIN_CUSTOMERS","RELATIONSHIP_AS_OF_DATE","20160105")</f>
        <v>#N/A N/A</v>
      </c>
      <c r="CM5" t="str">
        <f>_xll.BDS("MRK US Equity","SUPPLY_CHAIN_SUPPLIERS","RELATIONSHIP_AS_OF_DATE","19990802","cols=1;rows=5")</f>
        <v>AZN LN Equity</v>
      </c>
      <c r="CR5" t="str">
        <f>_xll.BDS("MRK US Equity","SUPPLY_CHAIN_CUSTOMERS","RELATIONSHIP_AS_OF_DATE","19990802","cols=1;rows=5")</f>
        <v>COR US Equity</v>
      </c>
      <c r="CW5" t="str">
        <f>_xll.BDS("SYK US Equity","SUPPLY_CHAIN_SUPPLIERS","RELATIONSHIP_AS_OF_DATE","20131231","cols=1;rows=5")</f>
        <v>FLEX US Equity</v>
      </c>
      <c r="DB5" t="str">
        <f>_xll.BDS("SYK US Equity","SUPPLY_CHAIN_CUSTOMERS","RELATIONSHIP_AS_OF_DATE","20131231","cols=1;rows=5")</f>
        <v>CNXN US Equity</v>
      </c>
      <c r="DG5" t="str">
        <f>_xll.BDS("WSBC US Equity","SUPPLY_CHAIN_SUPPLIERS","RELATIONSHIP_AS_OF_DATE","20040825")</f>
        <v>#N/A N/A</v>
      </c>
      <c r="DL5" t="str">
        <f>_xll.BDS("WSBC US Equity","SUPPLY_CHAIN_CUSTOMERS","RELATIONSHIP_AS_OF_DATE","20040825","cols=1;rows=2")</f>
        <v>NINE CN Equity</v>
      </c>
      <c r="DQ5" t="str">
        <f>_xll.BDS("FMBI US Equity","SUPPLY_CHAIN_SUPPLIERS","RELATIONSHIP_AS_OF_DATE","20180607")</f>
        <v>#N/A N/A</v>
      </c>
      <c r="DV5" t="str">
        <f>_xll.BDS("FMBI US Equity","SUPPLY_CHAIN_CUSTOMERS","RELATIONSHIP_AS_OF_DATE","20180607")</f>
        <v>#N/A N/A</v>
      </c>
      <c r="EA5" t="str">
        <f>_xll.BDS("FIBK US Equity","SUPPLY_CHAIN_SUPPLIERS","RELATIONSHIP_AS_OF_DATE","20180425")</f>
        <v>FISV US Equity</v>
      </c>
      <c r="EF5" t="str">
        <f>_xll.BDS("FIBK US Equity","SUPPLY_CHAIN_CUSTOMERS","RELATIONSHIP_AS_OF_DATE","20180425")</f>
        <v>#N/A N/A</v>
      </c>
      <c r="EK5" t="str">
        <f>_xll.BDS("GE US Equity","SUPPLY_CHAIN_SUPPLIERS","RELATIONSHIP_AS_OF_DATE","20010409","cols=1;rows=5")</f>
        <v>SAF FP Equity</v>
      </c>
      <c r="EP5" t="str">
        <f>_xll.BDS("GE US Equity","SUPPLY_CHAIN_CUSTOMERS","RELATIONSHIP_AS_OF_DATE","20010409","cols=1;rows=5")</f>
        <v>3352Z US Equity</v>
      </c>
      <c r="EU5" t="str">
        <f>_xll.BDS("BRMR US Equity","SUPPLY_CHAIN_SUPPLIERS","RELATIONSHIP_AS_OF_DATE","20101227")</f>
        <v>#N/A N/A</v>
      </c>
      <c r="EZ5" t="str">
        <f>_xll.BDS("BRMR US Equity","SUPPLY_CHAIN_CUSTOMERS","RELATIONSHIP_AS_OF_DATE","20101227")</f>
        <v>#N/A N/A</v>
      </c>
      <c r="FE5" t="str">
        <f>_xll.BDS("GE US Equity","SUPPLY_CHAIN_SUPPLIERS","RELATIONSHIP_AS_OF_DATE","19991129","cols=1;rows=5")</f>
        <v>SAF FP Equity</v>
      </c>
      <c r="FJ5" t="str">
        <f>_xll.BDS("GE US Equity","SUPPLY_CHAIN_CUSTOMERS","RELATIONSHIP_AS_OF_DATE","19991129","cols=1;rows=5")</f>
        <v>3352Z US Equity</v>
      </c>
      <c r="FO5" t="str">
        <f>_xll.BDS("SIB US Equity","SUPPLY_CHAIN_SUPPLIERS","RELATIONSHIP_AS_OF_DATE","19990820")</f>
        <v>#N/A N/A</v>
      </c>
      <c r="FT5" t="str">
        <f>_xll.BDS("SIB US Equity","SUPPLY_CHAIN_CUSTOMERS","RELATIONSHIP_AS_OF_DATE","19990820")</f>
        <v>#N/A N/A</v>
      </c>
      <c r="FY5" t="str">
        <f>_xll.BDS("FRME US Equity","SUPPLY_CHAIN_SUPPLIERS","RELATIONSHIP_AS_OF_DATE","20080903")</f>
        <v>#N/A N/A</v>
      </c>
      <c r="GD5" t="str">
        <f>_xll.BDS("FRME US Equity","SUPPLY_CHAIN_CUSTOMERS","RELATIONSHIP_AS_OF_DATE","20080903")</f>
        <v>#N/A N/A</v>
      </c>
      <c r="GI5" t="str">
        <f>_xll.BDS("BORL US Equity","SUPPLY_CHAIN_SUPPLIERS","RELATIONSHIP_AS_OF_DATE","20060208")</f>
        <v>#N/A N/A</v>
      </c>
      <c r="GN5" t="str">
        <f>_xll.BDS("BORL US Equity","SUPPLY_CHAIN_CUSTOMERS","RELATIONSHIP_AS_OF_DATE","20060208")</f>
        <v>#N/A N/A</v>
      </c>
      <c r="GS5" t="str">
        <f>_xll.BDS("1670211D US Equity","SUPPLY_CHAIN_SUPPLIERS","RELATIONSHIP_AS_OF_DATE","20000214")</f>
        <v>#N/A N/A</v>
      </c>
      <c r="GX5" t="str">
        <f>_xll.BDS("1670211D US Equity","SUPPLY_CHAIN_CUSTOMERS","RELATIONSHIP_AS_OF_DATE","20000214")</f>
        <v>#N/A N/A</v>
      </c>
      <c r="HC5" t="str">
        <f>_xll.BDS("NWBI US Equity","SUPPLY_CHAIN_SUPPLIERS","RELATIONSHIP_AS_OF_DATE","20180612")</f>
        <v>FISV US Equity</v>
      </c>
      <c r="HH5" t="str">
        <f>_xll.BDS("NWBI US Equity","SUPPLY_CHAIN_CUSTOMERS","RELATIONSHIP_AS_OF_DATE","20180612")</f>
        <v>#N/A N/A</v>
      </c>
      <c r="HM5" t="str">
        <f>_xll.BDS("1978022D US Equity","SUPPLY_CHAIN_SUPPLIERS","RELATIONSHIP_AS_OF_DATE","20040429")</f>
        <v>#N/A N/A</v>
      </c>
      <c r="HR5" t="str">
        <f>_xll.BDS("1978022D US Equity","SUPPLY_CHAIN_CUSTOMERS","RELATIONSHIP_AS_OF_DATE","20040429")</f>
        <v>#N/A N/A</v>
      </c>
      <c r="HW5" t="str">
        <f>_xll.BDS("HFWA US Equity","SUPPLY_CHAIN_SUPPLIERS","RELATIONSHIP_AS_OF_DATE","20170727")</f>
        <v>#N/A N/A</v>
      </c>
      <c r="IB5" t="str">
        <f>_xll.BDS("HFWA US Equity","SUPPLY_CHAIN_CUSTOMERS","RELATIONSHIP_AS_OF_DATE","20170727")</f>
        <v>#N/A N/A</v>
      </c>
      <c r="IG5" t="str">
        <f>_xll.BDS("RCNCQ US Equity","SUPPLY_CHAIN_SUPPLIERS","RELATIONSHIP_AS_OF_DATE","19980121")</f>
        <v>#N/A N/A</v>
      </c>
      <c r="IL5" t="str">
        <f>_xll.BDS("RCNCQ US Equity","SUPPLY_CHAIN_CUSTOMERS","RELATIONSHIP_AS_OF_DATE","19980121")</f>
        <v>#N/A N/A</v>
      </c>
      <c r="IQ5" t="str">
        <f>_xll.BDS("GABC US Equity","SUPPLY_CHAIN_SUPPLIERS","RELATIONSHIP_AS_OF_DATE","20151026")</f>
        <v>#N/A N/A</v>
      </c>
      <c r="IV5" t="str">
        <f>_xll.BDS("GABC US Equity","SUPPLY_CHAIN_CUSTOMERS","RELATIONSHIP_AS_OF_DATE","20151026")</f>
        <v>#N/A N/A</v>
      </c>
      <c r="JA5" t="str">
        <f>_xll.BDS("ENVA US Equity","SUPPLY_CHAIN_SUPPLIERS","RELATIONSHIP_AS_OF_DATE","20200728")</f>
        <v>ASCL LN Equity</v>
      </c>
      <c r="JF5" t="str">
        <f>_xll.BDS("ENVA US Equity","SUPPLY_CHAIN_CUSTOMERS","RELATIONSHIP_AS_OF_DATE","20200728")</f>
        <v>#N/A N/A</v>
      </c>
      <c r="JK5" t="str">
        <f>_xll.BDS("TMP US Equity","SUPPLY_CHAIN_SUPPLIERS","RELATIONSHIP_AS_OF_DATE","20120126")</f>
        <v>#N/A N/A</v>
      </c>
      <c r="JP5" t="str">
        <f>_xll.BDS("TMP US Equity","SUPPLY_CHAIN_CUSTOMERS","RELATIONSHIP_AS_OF_DATE","20120126")</f>
        <v>#N/A N/A</v>
      </c>
      <c r="JU5" t="str">
        <f>_xll.BDS("696119Q US Equity","SUPPLY_CHAIN_SUPPLIERS","RELATIONSHIP_AS_OF_DATE","20000131")</f>
        <v>#N/A N/A</v>
      </c>
      <c r="JZ5" t="str">
        <f>_xll.BDS("696119Q US Equity","SUPPLY_CHAIN_CUSTOMERS","RELATIONSHIP_AS_OF_DATE","20000131")</f>
        <v>#N/A N/A</v>
      </c>
      <c r="KE5" t="str">
        <f>_xll.BDS("DIAN US Equity","SUPPLY_CHAIN_SUPPLIERS","RELATIONSHIP_AS_OF_DATE","19980820")</f>
        <v>#N/A N/A</v>
      </c>
      <c r="KJ5" t="str">
        <f>_xll.BDS("DIAN US Equity","SUPPLY_CHAIN_CUSTOMERS","RELATIONSHIP_AS_OF_DATE","19980820")</f>
        <v>#N/A N/A</v>
      </c>
      <c r="KO5" t="str">
        <f>_xll.BDS("CG US Equity","SUPPLY_CHAIN_SUPPLIERS","RELATIONSHIP_AS_OF_DATE","20150831","cols=1;rows=5")</f>
        <v>SLG US Equity</v>
      </c>
      <c r="KT5" t="str">
        <f>_xll.BDS("CG US Equity","SUPPLY_CHAIN_CUSTOMERS","RELATIONSHIP_AS_OF_DATE","20150831","cols=1;rows=5")</f>
        <v>POOL US Equity</v>
      </c>
      <c r="KY5" t="str">
        <f>_xll.BDS("FNB US Equity","SUPPLY_CHAIN_SUPPLIERS","RELATIONSHIP_AS_OF_DATE","20080215")</f>
        <v>HY US Equity</v>
      </c>
      <c r="LD5" t="str">
        <f>_xll.BDS("FNB US Equity","SUPPLY_CHAIN_CUSTOMERS","RELATIONSHIP_AS_OF_DATE","20080215")</f>
        <v>#N/A N/A</v>
      </c>
      <c r="LI5" t="str">
        <f>_xll.BDS("TCF US Equity","SUPPLY_CHAIN_SUPPLIERS","RELATIONSHIP_AS_OF_DATE","20100108")</f>
        <v>#N/A N/A</v>
      </c>
      <c r="LN5" t="str">
        <f>_xll.BDS("TCF US Equity","SUPPLY_CHAIN_CUSTOMERS","RELATIONSHIP_AS_OF_DATE","20100108")</f>
        <v>#N/A N/A</v>
      </c>
      <c r="LS5" t="str">
        <f>_xll.BDS("1996074D US Equity","SUPPLY_CHAIN_SUPPLIERS","RELATIONSHIP_AS_OF_DATE","19990920")</f>
        <v>#N/A N/A</v>
      </c>
      <c r="LX5" t="str">
        <f>_xll.BDS("1996074D US Equity","SUPPLY_CHAIN_CUSTOMERS","RELATIONSHIP_AS_OF_DATE","19990920")</f>
        <v>#N/A N/A</v>
      </c>
      <c r="MC5" t="str">
        <f>_xll.BDS("WFC US Equity","SUPPLY_CHAIN_SUPPLIERS","RELATIONSHIP_AS_OF_DATE","20011213","cols=1;rows=5")</f>
        <v>ADBE US Equity</v>
      </c>
      <c r="MH5" t="str">
        <f>_xll.BDS("WFC US Equity","SUPPLY_CHAIN_CUSTOMERS","RELATIONSHIP_AS_OF_DATE","20011213","cols=1;rows=5")</f>
        <v>CDW US Equity</v>
      </c>
      <c r="MM5" t="str">
        <f>_xll.BDS("TMP US Equity","SUPPLY_CHAIN_SUPPLIERS","RELATIONSHIP_AS_OF_DATE","19990802")</f>
        <v>#N/A N/A</v>
      </c>
      <c r="MR5" t="str">
        <f>_xll.BDS("TMP US Equity","SUPPLY_CHAIN_CUSTOMERS","RELATIONSHIP_AS_OF_DATE","19990802")</f>
        <v>#N/A N/A</v>
      </c>
      <c r="MW5" t="str">
        <f>_xll.BDS("ESBF US Equity","SUPPLY_CHAIN_SUPPLIERS","RELATIONSHIP_AS_OF_DATE","20040812")</f>
        <v>#N/A N/A</v>
      </c>
      <c r="NB5" t="str">
        <f>_xll.BDS("ESBF US Equity","SUPPLY_CHAIN_CUSTOMERS","RELATIONSHIP_AS_OF_DATE","20040812")</f>
        <v>#N/A N/A</v>
      </c>
      <c r="NG5" t="str">
        <f>_xll.BDS("CLGX US Equity","SUPPLY_CHAIN_SUPPLIERS","RELATIONSHIP_AS_OF_DATE","19980118")</f>
        <v>5331Z US Equity</v>
      </c>
      <c r="NL5" t="str">
        <f>_xll.BDS("CLGX US Equity","SUPPLY_CHAIN_CUSTOMERS","RELATIONSHIP_AS_OF_DATE","19980118")</f>
        <v>#N/A N/A</v>
      </c>
      <c r="NQ5" t="str">
        <f>_xll.BDS("PTEN US Equity","SUPPLY_CHAIN_SUPPLIERS","RELATIONSHIP_AS_OF_DATE","20030527","cols=1;rows=5")</f>
        <v>DNOW US Equity</v>
      </c>
      <c r="NV5" t="str">
        <f>_xll.BDS("PTEN US Equity","SUPPLY_CHAIN_CUSTOMERS","RELATIONSHIP_AS_OF_DATE","20030527","cols=1;rows=3")</f>
        <v>ARCH NO Equity</v>
      </c>
      <c r="OA5" t="str">
        <f>_xll.BDS("ONB US Equity","SUPPLY_CHAIN_SUPPLIERS","RELATIONSHIP_AS_OF_DATE","19991220","cols=1;rows=3")</f>
        <v>FCPT US Equity</v>
      </c>
      <c r="OF5" t="str">
        <f>_xll.BDS("ONB US Equity","SUPPLY_CHAIN_CUSTOMERS","RELATIONSHIP_AS_OF_DATE","19991220")</f>
        <v>#N/A N/A</v>
      </c>
    </row>
    <row r="6" spans="1:396" x14ac:dyDescent="0.25">
      <c r="BD6" t="s">
        <v>10641</v>
      </c>
      <c r="CC6" t="s">
        <v>10696</v>
      </c>
      <c r="CM6" t="s">
        <v>368</v>
      </c>
      <c r="CR6" t="s">
        <v>385</v>
      </c>
      <c r="CW6" t="s">
        <v>11412</v>
      </c>
      <c r="DB6" t="s">
        <v>11830</v>
      </c>
      <c r="DL6" t="s">
        <v>11320</v>
      </c>
      <c r="EK6" t="s">
        <v>11008</v>
      </c>
      <c r="EP6" t="s">
        <v>1363</v>
      </c>
      <c r="FE6" t="s">
        <v>11008</v>
      </c>
      <c r="FJ6" t="s">
        <v>1363</v>
      </c>
      <c r="KO6" t="s">
        <v>10877</v>
      </c>
      <c r="KT6" t="s">
        <v>11686</v>
      </c>
      <c r="MC6" t="s">
        <v>10986</v>
      </c>
      <c r="MH6" t="s">
        <v>11473</v>
      </c>
      <c r="NQ6" t="s">
        <v>10696</v>
      </c>
      <c r="NV6" t="s">
        <v>156</v>
      </c>
      <c r="OA6" t="s">
        <v>8932</v>
      </c>
    </row>
    <row r="7" spans="1:396" x14ac:dyDescent="0.25">
      <c r="BD7" t="s">
        <v>10642</v>
      </c>
      <c r="CC7" t="s">
        <v>693</v>
      </c>
      <c r="CM7" t="s">
        <v>11467</v>
      </c>
      <c r="CR7" t="s">
        <v>970</v>
      </c>
      <c r="CW7" t="s">
        <v>11413</v>
      </c>
      <c r="DB7" t="s">
        <v>11831</v>
      </c>
      <c r="EK7" t="s">
        <v>11009</v>
      </c>
      <c r="EP7" t="s">
        <v>10939</v>
      </c>
      <c r="FE7" t="s">
        <v>11009</v>
      </c>
      <c r="FJ7" t="s">
        <v>10939</v>
      </c>
      <c r="KO7" t="s">
        <v>11282</v>
      </c>
      <c r="KT7" t="s">
        <v>11114</v>
      </c>
      <c r="MC7" t="s">
        <v>988</v>
      </c>
      <c r="MH7" t="s">
        <v>10787</v>
      </c>
      <c r="NQ7" t="s">
        <v>693</v>
      </c>
      <c r="NV7" t="s">
        <v>11277</v>
      </c>
      <c r="OA7" t="s">
        <v>3162</v>
      </c>
    </row>
    <row r="8" spans="1:396" x14ac:dyDescent="0.25">
      <c r="BD8" t="s">
        <v>10643</v>
      </c>
      <c r="CC8" t="s">
        <v>10715</v>
      </c>
      <c r="CM8" t="s">
        <v>11468</v>
      </c>
      <c r="CR8" t="s">
        <v>43</v>
      </c>
      <c r="CW8" t="s">
        <v>11414</v>
      </c>
      <c r="DB8" t="s">
        <v>11832</v>
      </c>
      <c r="EK8" t="s">
        <v>11010</v>
      </c>
      <c r="EP8" t="s">
        <v>1652</v>
      </c>
      <c r="FE8" t="s">
        <v>11010</v>
      </c>
      <c r="FJ8" t="s">
        <v>1652</v>
      </c>
      <c r="KO8" t="s">
        <v>11283</v>
      </c>
      <c r="KT8" t="s">
        <v>11010</v>
      </c>
      <c r="MC8" t="s">
        <v>1548</v>
      </c>
      <c r="MH8" t="s">
        <v>3340</v>
      </c>
      <c r="NQ8" t="s">
        <v>11313</v>
      </c>
    </row>
    <row r="9" spans="1:396" x14ac:dyDescent="0.25">
      <c r="BD9" t="s">
        <v>10644</v>
      </c>
      <c r="CC9" t="s">
        <v>10740</v>
      </c>
      <c r="CM9" t="s">
        <v>11159</v>
      </c>
      <c r="CR9" t="s">
        <v>11467</v>
      </c>
      <c r="CW9" t="s">
        <v>5575</v>
      </c>
      <c r="DB9" t="s">
        <v>11833</v>
      </c>
      <c r="EK9" t="s">
        <v>3625</v>
      </c>
      <c r="EP9" t="s">
        <v>1740</v>
      </c>
      <c r="FE9" t="s">
        <v>3625</v>
      </c>
      <c r="FJ9" t="s">
        <v>1740</v>
      </c>
      <c r="KO9" t="s">
        <v>11139</v>
      </c>
      <c r="KT9" t="s">
        <v>10660</v>
      </c>
      <c r="MC9" t="s">
        <v>10877</v>
      </c>
      <c r="MH9" t="s">
        <v>11174</v>
      </c>
      <c r="NQ9" t="s">
        <v>10740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7867</v>
      </c>
      <c r="K1" s="1" t="s">
        <v>7868</v>
      </c>
      <c r="U1" s="1" t="s">
        <v>7869</v>
      </c>
      <c r="AE1" s="1" t="s">
        <v>7870</v>
      </c>
      <c r="AO1" s="1" t="s">
        <v>7871</v>
      </c>
      <c r="AY1" s="1" t="s">
        <v>7872</v>
      </c>
      <c r="BI1" s="1" t="s">
        <v>7873</v>
      </c>
      <c r="BS1" s="1" t="s">
        <v>7874</v>
      </c>
      <c r="CC1" s="1" t="s">
        <v>7875</v>
      </c>
      <c r="CM1" s="1" t="s">
        <v>7876</v>
      </c>
      <c r="CW1" s="1" t="s">
        <v>7877</v>
      </c>
      <c r="DG1" s="1" t="s">
        <v>7878</v>
      </c>
      <c r="DQ1" s="1" t="s">
        <v>7879</v>
      </c>
      <c r="EA1" s="1" t="s">
        <v>7880</v>
      </c>
      <c r="EK1" s="1" t="s">
        <v>7881</v>
      </c>
      <c r="EU1" s="1" t="s">
        <v>7882</v>
      </c>
      <c r="FE1" s="1" t="s">
        <v>7883</v>
      </c>
      <c r="FO1" s="1" t="s">
        <v>7884</v>
      </c>
      <c r="FY1" s="1" t="s">
        <v>7885</v>
      </c>
      <c r="GI1" s="1" t="s">
        <v>7886</v>
      </c>
      <c r="GS1" s="1" t="s">
        <v>7887</v>
      </c>
      <c r="HC1" s="1" t="s">
        <v>7888</v>
      </c>
      <c r="HM1" s="1" t="s">
        <v>7889</v>
      </c>
      <c r="HW1" s="1" t="s">
        <v>7890</v>
      </c>
      <c r="IG1" s="1" t="s">
        <v>7891</v>
      </c>
      <c r="IQ1" s="1" t="s">
        <v>7892</v>
      </c>
      <c r="JA1" s="1" t="s">
        <v>7893</v>
      </c>
      <c r="JK1" s="1" t="s">
        <v>7894</v>
      </c>
      <c r="JU1" s="1" t="s">
        <v>7895</v>
      </c>
      <c r="KE1" s="1" t="s">
        <v>7896</v>
      </c>
      <c r="KO1" s="1" t="s">
        <v>7897</v>
      </c>
      <c r="KY1" s="1" t="s">
        <v>7898</v>
      </c>
      <c r="LI1" s="1" t="s">
        <v>7899</v>
      </c>
      <c r="LS1" s="1" t="s">
        <v>7900</v>
      </c>
      <c r="MC1" s="1" t="s">
        <v>7901</v>
      </c>
      <c r="MM1" s="1" t="s">
        <v>7902</v>
      </c>
      <c r="MW1" s="1" t="s">
        <v>7903</v>
      </c>
      <c r="NG1" s="1" t="s">
        <v>7904</v>
      </c>
      <c r="NQ1" s="1" t="s">
        <v>7905</v>
      </c>
      <c r="OA1" s="1" t="s">
        <v>7906</v>
      </c>
    </row>
    <row r="2" spans="1:396" x14ac:dyDescent="0.25">
      <c r="A2" s="2" t="s">
        <v>570</v>
      </c>
      <c r="K2" s="2" t="s">
        <v>7907</v>
      </c>
      <c r="U2" s="2" t="s">
        <v>7908</v>
      </c>
      <c r="AE2" s="2" t="s">
        <v>1649</v>
      </c>
      <c r="AO2" s="2" t="s">
        <v>7909</v>
      </c>
      <c r="AY2" s="2" t="s">
        <v>7910</v>
      </c>
      <c r="BI2" s="2" t="s">
        <v>7911</v>
      </c>
      <c r="BS2" s="2" t="s">
        <v>7912</v>
      </c>
      <c r="CC2" s="2" t="s">
        <v>5337</v>
      </c>
      <c r="CM2" s="2" t="s">
        <v>2294</v>
      </c>
      <c r="CW2" s="2" t="s">
        <v>7292</v>
      </c>
      <c r="DG2" s="2" t="s">
        <v>7913</v>
      </c>
      <c r="DQ2" s="2" t="s">
        <v>7914</v>
      </c>
      <c r="EA2" s="2" t="s">
        <v>7849</v>
      </c>
      <c r="EK2" s="2" t="s">
        <v>7915</v>
      </c>
      <c r="EU2" s="2" t="s">
        <v>5073</v>
      </c>
      <c r="FE2" s="2" t="s">
        <v>2116</v>
      </c>
      <c r="FO2" s="2" t="s">
        <v>7916</v>
      </c>
      <c r="FY2" s="2" t="s">
        <v>7917</v>
      </c>
      <c r="GI2" s="2" t="s">
        <v>7918</v>
      </c>
      <c r="GS2" s="2" t="s">
        <v>7919</v>
      </c>
      <c r="HC2" s="2" t="s">
        <v>2874</v>
      </c>
      <c r="HM2" s="2" t="s">
        <v>7920</v>
      </c>
      <c r="HW2" s="2" t="s">
        <v>7921</v>
      </c>
      <c r="IG2" s="2" t="s">
        <v>5337</v>
      </c>
      <c r="IQ2" s="2" t="s">
        <v>7922</v>
      </c>
      <c r="JA2" s="2" t="s">
        <v>7923</v>
      </c>
      <c r="JK2" s="2" t="s">
        <v>7924</v>
      </c>
      <c r="JU2" s="2" t="s">
        <v>6244</v>
      </c>
      <c r="KE2" s="2" t="s">
        <v>6642</v>
      </c>
      <c r="KO2" s="2" t="s">
        <v>2126</v>
      </c>
      <c r="KY2" s="2" t="s">
        <v>1272</v>
      </c>
      <c r="LI2" s="2" t="s">
        <v>7925</v>
      </c>
      <c r="LS2" s="2" t="s">
        <v>7926</v>
      </c>
      <c r="MC2" s="2" t="s">
        <v>7927</v>
      </c>
      <c r="MM2" s="2" t="s">
        <v>5339</v>
      </c>
      <c r="MW2" s="2" t="s">
        <v>1945</v>
      </c>
      <c r="NG2" s="2" t="s">
        <v>2695</v>
      </c>
      <c r="NQ2" s="2" t="s">
        <v>7928</v>
      </c>
      <c r="OA2" s="2" t="s">
        <v>3785</v>
      </c>
    </row>
    <row r="3" spans="1:396" x14ac:dyDescent="0.25">
      <c r="A3" t="s">
        <v>7929</v>
      </c>
      <c r="K3" t="s">
        <v>5175</v>
      </c>
      <c r="U3" t="s">
        <v>2337</v>
      </c>
      <c r="AE3" t="s">
        <v>7930</v>
      </c>
      <c r="AO3" t="s">
        <v>7931</v>
      </c>
      <c r="AY3" t="s">
        <v>3176</v>
      </c>
      <c r="BI3" t="s">
        <v>4576</v>
      </c>
      <c r="BS3" t="s">
        <v>7932</v>
      </c>
      <c r="CC3" t="s">
        <v>7933</v>
      </c>
      <c r="CM3" t="s">
        <v>7934</v>
      </c>
      <c r="CW3" t="s">
        <v>7935</v>
      </c>
      <c r="DG3" t="s">
        <v>7936</v>
      </c>
      <c r="DQ3" t="s">
        <v>7937</v>
      </c>
      <c r="EA3" t="s">
        <v>7303</v>
      </c>
      <c r="EK3" t="s">
        <v>7938</v>
      </c>
      <c r="EU3" t="s">
        <v>6010</v>
      </c>
      <c r="FE3" t="s">
        <v>7939</v>
      </c>
      <c r="FO3" t="s">
        <v>1782</v>
      </c>
      <c r="FY3" t="s">
        <v>7940</v>
      </c>
      <c r="GI3" t="s">
        <v>6404</v>
      </c>
      <c r="GS3" t="s">
        <v>7941</v>
      </c>
      <c r="HC3" t="s">
        <v>7942</v>
      </c>
      <c r="HM3" t="s">
        <v>7943</v>
      </c>
      <c r="HW3" t="s">
        <v>7318</v>
      </c>
      <c r="IG3" t="s">
        <v>2725</v>
      </c>
      <c r="IQ3" t="s">
        <v>7944</v>
      </c>
      <c r="JA3" t="s">
        <v>7945</v>
      </c>
      <c r="JK3" t="s">
        <v>4067</v>
      </c>
      <c r="JU3" t="s">
        <v>5366</v>
      </c>
      <c r="KE3" t="s">
        <v>7946</v>
      </c>
      <c r="KO3" t="s">
        <v>7947</v>
      </c>
      <c r="KY3" t="s">
        <v>7948</v>
      </c>
      <c r="LI3" t="s">
        <v>7949</v>
      </c>
      <c r="LS3" t="s">
        <v>7950</v>
      </c>
      <c r="MC3" t="s">
        <v>7951</v>
      </c>
      <c r="MM3" t="s">
        <v>4918</v>
      </c>
      <c r="MW3" t="s">
        <v>7952</v>
      </c>
      <c r="NG3" t="s">
        <v>2143</v>
      </c>
      <c r="NQ3" t="s">
        <v>7953</v>
      </c>
      <c r="OA3" t="s">
        <v>2442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_xll.BDS("HD US Equity","SUPPLY_CHAIN_SUPPLIERS","RELATIONSHIP_AS_OF_DATE","20120807","cols=1;rows=5")</f>
        <v>669 HK Equity</v>
      </c>
      <c r="F5" t="str">
        <f>_xll.BDS("HD US Equity","SUPPLY_CHAIN_CUSTOMERS","RELATIONSHIP_AS_OF_DATE","20120807","cols=1;rows=5")</f>
        <v>603201 CH Equity</v>
      </c>
      <c r="K5" t="str">
        <f>_xll.BDS("2567699D US Equity","SUPPLY_CHAIN_SUPPLIERS","RELATIONSHIP_AS_OF_DATE","19980622")</f>
        <v>#N/A N/A</v>
      </c>
      <c r="P5" t="str">
        <f>_xll.BDS("2567699D US Equity","SUPPLY_CHAIN_CUSTOMERS","RELATIONSHIP_AS_OF_DATE","19980622")</f>
        <v>#N/A N/A</v>
      </c>
      <c r="U5" t="str">
        <f>_xll.BDS("1860560D US Equity","SUPPLY_CHAIN_SUPPLIERS","RELATIONSHIP_AS_OF_DATE","20141222")</f>
        <v>#N/A N/A</v>
      </c>
      <c r="Z5" t="str">
        <f>_xll.BDS("1860560D US Equity","SUPPLY_CHAIN_CUSTOMERS","RELATIONSHIP_AS_OF_DATE","20141222")</f>
        <v>#N/A N/A</v>
      </c>
      <c r="AE5" t="str">
        <f>_xll.BDS("STJ US Equity","SUPPLY_CHAIN_SUPPLIERS","RELATIONSHIP_AS_OF_DATE","20080409")</f>
        <v>#N/A N/A</v>
      </c>
      <c r="AJ5" t="str">
        <f>_xll.BDS("STJ US Equity","SUPPLY_CHAIN_CUSTOMERS","RELATIONSHIP_AS_OF_DATE","20080409")</f>
        <v>#N/A N/A</v>
      </c>
      <c r="AO5" t="str">
        <f>_xll.BDS("CHTRQ US Equity","SUPPLY_CHAIN_SUPPLIERS","RELATIONSHIP_AS_OF_DATE","20010801")</f>
        <v>#N/A N/A</v>
      </c>
      <c r="AT5" t="str">
        <f>_xll.BDS("CHTRQ US Equity","SUPPLY_CHAIN_CUSTOMERS","RELATIONSHIP_AS_OF_DATE","20010801")</f>
        <v>#N/A N/A</v>
      </c>
      <c r="AY5" t="str">
        <f>_xll.BDS("CGCP US Equity","SUPPLY_CHAIN_SUPPLIERS","RELATIONSHIP_AS_OF_DATE","19981022")</f>
        <v>#N/A N/A</v>
      </c>
      <c r="BD5" t="str">
        <f>_xll.BDS("CGCP US Equity","SUPPLY_CHAIN_CUSTOMERS","RELATIONSHIP_AS_OF_DATE","19981022")</f>
        <v>#N/A N/A</v>
      </c>
      <c r="BI5" t="str">
        <f>_xll.BDS("CBSH US Equity","SUPPLY_CHAIN_SUPPLIERS","RELATIONSHIP_AS_OF_DATE","20060413","cols=1;rows=2")</f>
        <v>TEMN SW Equity</v>
      </c>
      <c r="BN5" t="str">
        <f>_xll.BDS("CBSH US Equity","SUPPLY_CHAIN_CUSTOMERS","RELATIONSHIP_AS_OF_DATE","20060413")</f>
        <v>#N/A N/A</v>
      </c>
      <c r="BS5" t="str">
        <f>_xll.BDS("MMSI US Equity","SUPPLY_CHAIN_SUPPLIERS","RELATIONSHIP_AS_OF_DATE","20100513","cols=1;rows=5")</f>
        <v>BRK/A US Equity</v>
      </c>
      <c r="BX5" t="str">
        <f>_xll.BDS("MMSI US Equity","SUPPLY_CHAIN_CUSTOMERS","RELATIONSHIP_AS_OF_DATE","20100513","cols=1;rows=2")</f>
        <v>4203 JP Equity</v>
      </c>
      <c r="CC5" t="str">
        <f>_xll.BDS("CBU US Equity","SUPPLY_CHAIN_SUPPLIERS","RELATIONSHIP_AS_OF_DATE","20211004")</f>
        <v>#N/A N/A</v>
      </c>
      <c r="CH5" t="str">
        <f>_xll.BDS("CBU US Equity","SUPPLY_CHAIN_CUSTOMERS","RELATIONSHIP_AS_OF_DATE","20211004")</f>
        <v>#N/A N/A</v>
      </c>
      <c r="CM5" t="str">
        <f>_xll.BDS("2258717D US Equity","SUPPLY_CHAIN_SUPPLIERS","RELATIONSHIP_AS_OF_DATE","20071227")</f>
        <v>#N/A N/A</v>
      </c>
      <c r="CR5" t="str">
        <f>_xll.BDS("2258717D US Equity","SUPPLY_CHAIN_CUSTOMERS","RELATIONSHIP_AS_OF_DATE","20071227")</f>
        <v>#N/A N/A</v>
      </c>
      <c r="CW5" t="str">
        <f>_xll.BDS("PSTB US Equity","SUPPLY_CHAIN_SUPPLIERS","RELATIONSHIP_AS_OF_DATE","20120514")</f>
        <v>#N/A N/A</v>
      </c>
      <c r="DB5" t="str">
        <f>_xll.BDS("PSTB US Equity","SUPPLY_CHAIN_CUSTOMERS","RELATIONSHIP_AS_OF_DATE","20120514")</f>
        <v>#N/A N/A</v>
      </c>
      <c r="DG5" t="str">
        <f>_xll.BDS("ZBRA US Equity","SUPPLY_CHAIN_SUPPLIERS","RELATIONSHIP_AS_OF_DATE","20180705","cols=1;rows=5")</f>
        <v>JBL US Equity</v>
      </c>
      <c r="DL5" t="str">
        <f>_xll.BDS("ZBRA US Equity","SUPPLY_CHAIN_CUSTOMERS","RELATIONSHIP_AS_OF_DATE","20180705","cols=1;rows=5")</f>
        <v>SCSC US Equity</v>
      </c>
      <c r="DQ5" t="str">
        <f>_xll.BDS("HBEK US Equity","SUPPLY_CHAIN_SUPPLIERS","RELATIONSHIP_AS_OF_DATE","20030812")</f>
        <v>#N/A N/A</v>
      </c>
      <c r="DV5" t="str">
        <f>_xll.BDS("HBEK US Equity","SUPPLY_CHAIN_CUSTOMERS","RELATIONSHIP_AS_OF_DATE","20030812")</f>
        <v>#N/A N/A</v>
      </c>
      <c r="EA5" t="str">
        <f>_xll.BDS("CLGX US Equity","SUPPLY_CHAIN_SUPPLIERS","RELATIONSHIP_AS_OF_DATE","20021216")</f>
        <v>5331Z US Equity</v>
      </c>
      <c r="EF5" t="str">
        <f>_xll.BDS("CLGX US Equity","SUPPLY_CHAIN_CUSTOMERS","RELATIONSHIP_AS_OF_DATE","20021216")</f>
        <v>#N/A N/A</v>
      </c>
      <c r="EK5" t="str">
        <f>_xll.BDS("0852602D US Equity","SUPPLY_CHAIN_SUPPLIERS","RELATIONSHIP_AS_OF_DATE","19981210")</f>
        <v>#N/A N/A</v>
      </c>
      <c r="EP5" t="str">
        <f>_xll.BDS("0852602D US Equity","SUPPLY_CHAIN_CUSTOMERS","RELATIONSHIP_AS_OF_DATE","19981210")</f>
        <v>#N/A N/A</v>
      </c>
      <c r="EU5" t="str">
        <f>_xll.BDS("HAIN US Equity","SUPPLY_CHAIN_SUPPLIERS","RELATIONSHIP_AS_OF_DATE","19990406","cols=1;rows=5")</f>
        <v>KDP US Equity</v>
      </c>
      <c r="EZ5" t="str">
        <f>_xll.BDS("HAIN US Equity","SUPPLY_CHAIN_CUSTOMERS","RELATIONSHIP_AS_OF_DATE","19990406","cols=1;rows=5")</f>
        <v>WMT US Equity</v>
      </c>
      <c r="FE5" t="str">
        <f>_xll.BDS("2649Q US Equity","SUPPLY_CHAIN_SUPPLIERS","RELATIONSHIP_AS_OF_DATE","19980211")</f>
        <v>#N/A N/A</v>
      </c>
      <c r="FJ5" t="str">
        <f>_xll.BDS("2649Q US Equity","SUPPLY_CHAIN_CUSTOMERS","RELATIONSHIP_AS_OF_DATE","19980211")</f>
        <v>#N/A N/A</v>
      </c>
      <c r="FO5" t="str">
        <f>_xll.BDS("MYGN US Equity","SUPPLY_CHAIN_SUPPLIERS","RELATIONSHIP_AS_OF_DATE","20110427","cols=1;rows=5")</f>
        <v>ILMN US Equity</v>
      </c>
      <c r="FT5" t="str">
        <f>_xll.BDS("MYGN US Equity","SUPPLY_CHAIN_CUSTOMERS","RELATIONSHIP_AS_OF_DATE","20110427","cols=1;rows=4")</f>
        <v>9877893Z US Equity</v>
      </c>
      <c r="FY5" t="str">
        <f>_xll.BDS("SPPI US Equity","SUPPLY_CHAIN_SUPPLIERS","RELATIONSHIP_AS_OF_DATE","20120405","cols=1;rows=5")</f>
        <v>0031457D US Equity</v>
      </c>
      <c r="GD5" t="str">
        <f>_xll.BDS("SPPI US Equity","SUPPLY_CHAIN_CUSTOMERS","RELATIONSHIP_AS_OF_DATE","20120405","cols=1;rows=3")</f>
        <v>4272 JP Equity</v>
      </c>
      <c r="GI5" t="str">
        <f>_xll.BDS("IXX US Equity","SUPPLY_CHAIN_SUPPLIERS","RELATIONSHIP_AS_OF_DATE","19980323")</f>
        <v>#N/A N/A</v>
      </c>
      <c r="GN5" t="str">
        <f>_xll.BDS("IXX US Equity","SUPPLY_CHAIN_CUSTOMERS","RELATIONSHIP_AS_OF_DATE","19980323")</f>
        <v>#N/A N/A</v>
      </c>
      <c r="GS5" t="str">
        <f>_xll.BDS("SOHO US Equity","SUPPLY_CHAIN_SUPPLIERS","RELATIONSHIP_AS_OF_DATE","20180305")</f>
        <v>SPG US Equity</v>
      </c>
      <c r="GX5" t="str">
        <f>_xll.BDS("SOHO US Equity","SUPPLY_CHAIN_CUSTOMERS","RELATIONSHIP_AS_OF_DATE","20180305")</f>
        <v>#N/A N/A</v>
      </c>
      <c r="HC5" t="str">
        <f>_xll.BDS("FNB US Equity","SUPPLY_CHAIN_SUPPLIERS","RELATIONSHIP_AS_OF_DATE","20040506")</f>
        <v>HY US Equity</v>
      </c>
      <c r="HH5" t="str">
        <f>_xll.BDS("FNB US Equity","SUPPLY_CHAIN_CUSTOMERS","RELATIONSHIP_AS_OF_DATE","20040506")</f>
        <v>#N/A N/A</v>
      </c>
      <c r="HM5" t="str">
        <f>_xll.BDS("373937Q US Equity","SUPPLY_CHAIN_SUPPLIERS","RELATIONSHIP_AS_OF_DATE","20000128")</f>
        <v>#N/A N/A</v>
      </c>
      <c r="HR5" t="str">
        <f>_xll.BDS("373937Q US Equity","SUPPLY_CHAIN_CUSTOMERS","RELATIONSHIP_AS_OF_DATE","20000128")</f>
        <v>#N/A N/A</v>
      </c>
      <c r="HW5" t="str">
        <f>_xll.BDS("ENOC US Equity","SUPPLY_CHAIN_SUPPLIERS","RELATIONSHIP_AS_OF_DATE","20141104")</f>
        <v>#N/A N/A</v>
      </c>
      <c r="IB5" t="str">
        <f>_xll.BDS("ENOC US Equity","SUPPLY_CHAIN_CUSTOMERS","RELATIONSHIP_AS_OF_DATE","20141104")</f>
        <v>#N/A N/A</v>
      </c>
      <c r="IG5" t="str">
        <f>_xll.BDS("CBU US Equity","SUPPLY_CHAIN_SUPPLIERS","RELATIONSHIP_AS_OF_DATE","20030609")</f>
        <v>#N/A N/A</v>
      </c>
      <c r="IL5" t="str">
        <f>_xll.BDS("CBU US Equity","SUPPLY_CHAIN_CUSTOMERS","RELATIONSHIP_AS_OF_DATE","20030609")</f>
        <v>#N/A N/A</v>
      </c>
      <c r="IQ5" t="str">
        <f>_xll.BDS("FINN US Equity","SUPPLY_CHAIN_SUPPLIERS","RELATIONSHIP_AS_OF_DATE","20010911","cols=1;rows=3")</f>
        <v>8247120Z US Equity</v>
      </c>
      <c r="IV5" t="str">
        <f>_xll.BDS("FINN US Equity","SUPPLY_CHAIN_CUSTOMERS","RELATIONSHIP_AS_OF_DATE","20010911")</f>
        <v>#N/A N/A</v>
      </c>
      <c r="JA5" t="str">
        <f>_xll.BDS("FDBC US Equity","SUPPLY_CHAIN_SUPPLIERS","RELATIONSHIP_AS_OF_DATE","20191210")</f>
        <v>#N/A N/A</v>
      </c>
      <c r="JF5" t="str">
        <f>_xll.BDS("FDBC US Equity","SUPPLY_CHAIN_CUSTOMERS","RELATIONSHIP_AS_OF_DATE","20191210")</f>
        <v>#N/A N/A</v>
      </c>
      <c r="JK5" t="str">
        <f>_xll.BDS("CHD US Equity","SUPPLY_CHAIN_SUPPLIERS","RELATIONSHIP_AS_OF_DATE","20010402","cols=1;rows=5")</f>
        <v>GPK US Equity</v>
      </c>
      <c r="JP5" t="str">
        <f>_xll.BDS("CHD US Equity","SUPPLY_CHAIN_CUSTOMERS","RELATIONSHIP_AS_OF_DATE","20010402","cols=1;rows=5")</f>
        <v>WMT US Equity</v>
      </c>
      <c r="JU5" t="str">
        <f>_xll.BDS("BBT US Equity","SUPPLY_CHAIN_SUPPLIERS","RELATIONSHIP_AS_OF_DATE","20070515")</f>
        <v>#N/A N/A</v>
      </c>
      <c r="JZ5" t="str">
        <f>_xll.BDS("BBT US Equity","SUPPLY_CHAIN_CUSTOMERS","RELATIONSHIP_AS_OF_DATE","20070515")</f>
        <v>#N/A N/A</v>
      </c>
      <c r="KE5" t="str">
        <f>_xll.BDS("MENT US Equity","SUPPLY_CHAIN_SUPPLIERS","RELATIONSHIP_AS_OF_DATE","20011207")</f>
        <v>#N/A N/A</v>
      </c>
      <c r="KJ5" t="str">
        <f>_xll.BDS("MENT US Equity","SUPPLY_CHAIN_CUSTOMERS","RELATIONSHIP_AS_OF_DATE","20011207")</f>
        <v>#N/A N/A</v>
      </c>
      <c r="KO5" t="str">
        <f>_xll.BDS("ON US Equity","SUPPLY_CHAIN_SUPPLIERS","RELATIONSHIP_AS_OF_DATE","20080717","cols=1;rows=5")</f>
        <v>981 HK Equity</v>
      </c>
      <c r="KT5" t="str">
        <f>_xll.BDS("ON US Equity","SUPPLY_CHAIN_CUSTOMERS","RELATIONSHIP_AS_OF_DATE","20080717","cols=1;rows=5")</f>
        <v>3036 TT Equity</v>
      </c>
      <c r="KY5" t="str">
        <f>_xll.BDS("FITB US Equity","SUPPLY_CHAIN_SUPPLIERS","RELATIONSHIP_AS_OF_DATE","19980925","cols=1;rows=5")</f>
        <v>004800 KS Equity</v>
      </c>
      <c r="LD5" t="str">
        <f>_xll.BDS("FITB US Equity","SUPPLY_CHAIN_CUSTOMERS","RELATIONSHIP_AS_OF_DATE","19980925")</f>
        <v>USIO US Equity</v>
      </c>
      <c r="LI5" t="str">
        <f>_xll.BDS("PNWB US Equity","SUPPLY_CHAIN_SUPPLIERS","RELATIONSHIP_AS_OF_DATE","20020722")</f>
        <v>#N/A N/A</v>
      </c>
      <c r="LN5" t="str">
        <f>_xll.BDS("PNWB US Equity","SUPPLY_CHAIN_CUSTOMERS","RELATIONSHIP_AS_OF_DATE","20020722")</f>
        <v>#N/A N/A</v>
      </c>
      <c r="LS5" t="str">
        <f>_xll.BDS("STBZ US Equity","SUPPLY_CHAIN_SUPPLIERS","RELATIONSHIP_AS_OF_DATE","20140624")</f>
        <v>#N/A N/A</v>
      </c>
      <c r="LX5" t="str">
        <f>_xll.BDS("STBZ US Equity","SUPPLY_CHAIN_CUSTOMERS","RELATIONSHIP_AS_OF_DATE","20140624")</f>
        <v>#N/A N/A</v>
      </c>
      <c r="MC5" t="str">
        <f>_xll.BDS("LAMR US Equity","SUPPLY_CHAIN_SUPPLIERS","RELATIONSHIP_AS_OF_DATE","20221213","cols=1;rows=2")</f>
        <v>CPTP US Equity</v>
      </c>
      <c r="MH5" t="str">
        <f>_xll.BDS("LAMR US Equity","SUPPLY_CHAIN_CUSTOMERS","RELATIONSHIP_AS_OF_DATE","20221213","cols=1;rows=2")</f>
        <v>1414936D US Equity</v>
      </c>
      <c r="MM5" t="str">
        <f>_xll.BDS("FBNC US Equity","SUPPLY_CHAIN_SUPPLIERS","RELATIONSHIP_AS_OF_DATE","19991215")</f>
        <v>#N/A N/A</v>
      </c>
      <c r="MR5" t="str">
        <f>_xll.BDS("FBNC US Equity","SUPPLY_CHAIN_CUSTOMERS","RELATIONSHIP_AS_OF_DATE","19991215")</f>
        <v>#N/A N/A</v>
      </c>
      <c r="MW5" t="str">
        <f>_xll.BDS("ONB US Equity","SUPPLY_CHAIN_SUPPLIERS","RELATIONSHIP_AS_OF_DATE","20120125","cols=1;rows=3")</f>
        <v>FCPT US Equity</v>
      </c>
      <c r="NB5" t="str">
        <f>_xll.BDS("ONB US Equity","SUPPLY_CHAIN_CUSTOMERS","RELATIONSHIP_AS_OF_DATE","20120125")</f>
        <v>#N/A N/A</v>
      </c>
      <c r="NG5" t="str">
        <f>_xll.BDS("FNFG US Equity","SUPPLY_CHAIN_SUPPLIERS","RELATIONSHIP_AS_OF_DATE","20000327")</f>
        <v>#N/A N/A</v>
      </c>
      <c r="NL5" t="str">
        <f>_xll.BDS("FNFG US Equity","SUPPLY_CHAIN_CUSTOMERS","RELATIONSHIP_AS_OF_DATE","20000327")</f>
        <v>#N/A N/A</v>
      </c>
      <c r="NQ5" t="str">
        <f>_xll.BDS("OAKT US Equity","SUPPLY_CHAIN_SUPPLIERS","RELATIONSHIP_AS_OF_DATE","19990729")</f>
        <v>#N/A N/A</v>
      </c>
      <c r="NV5" t="str">
        <f>_xll.BDS("OAKT US Equity","SUPPLY_CHAIN_CUSTOMERS","RELATIONSHIP_AS_OF_DATE","19990729")</f>
        <v>#N/A N/A</v>
      </c>
      <c r="OA5" t="str">
        <f>_xll.BDS("PRMW CN Equity","SUPPLY_CHAIN_SUPPLIERS","RELATIONSHIP_AS_OF_DATE","20181015","cols=1;rows=5")</f>
        <v>AEE US Equity</v>
      </c>
      <c r="OF5" t="str">
        <f>_xll.BDS("PRMW CN Equity","SUPPLY_CHAIN_CUSTOMERS","RELATIONSHIP_AS_OF_DATE","20181015")</f>
        <v>COST US Equity</v>
      </c>
    </row>
    <row r="6" spans="1:396" x14ac:dyDescent="0.25">
      <c r="A6" t="s">
        <v>11717</v>
      </c>
      <c r="F6" t="s">
        <v>11432</v>
      </c>
      <c r="BI6" t="s">
        <v>11350</v>
      </c>
      <c r="BS6" t="s">
        <v>693</v>
      </c>
      <c r="BX6" t="s">
        <v>11211</v>
      </c>
      <c r="DG6" t="s">
        <v>11049</v>
      </c>
      <c r="DL6" t="s">
        <v>2881</v>
      </c>
      <c r="EU6" t="s">
        <v>11255</v>
      </c>
      <c r="EZ6" t="s">
        <v>5983</v>
      </c>
      <c r="FO6" t="s">
        <v>10776</v>
      </c>
      <c r="FT6" t="s">
        <v>11587</v>
      </c>
      <c r="FY6" t="s">
        <v>11558</v>
      </c>
      <c r="GD6" t="s">
        <v>11212</v>
      </c>
      <c r="IQ6" t="s">
        <v>10732</v>
      </c>
      <c r="JK6" t="s">
        <v>11667</v>
      </c>
      <c r="JP6" t="s">
        <v>469</v>
      </c>
      <c r="KO6" t="s">
        <v>11203</v>
      </c>
      <c r="KT6" t="s">
        <v>6473</v>
      </c>
      <c r="KY6" t="s">
        <v>4388</v>
      </c>
      <c r="MC6" t="s">
        <v>11158</v>
      </c>
      <c r="MH6" t="s">
        <v>11319</v>
      </c>
      <c r="MW6" t="s">
        <v>8932</v>
      </c>
      <c r="OA6" t="s">
        <v>158</v>
      </c>
    </row>
    <row r="7" spans="1:396" x14ac:dyDescent="0.25">
      <c r="A7" t="s">
        <v>1274</v>
      </c>
      <c r="F7" t="s">
        <v>11704</v>
      </c>
      <c r="BS7" t="s">
        <v>382</v>
      </c>
      <c r="DG7" t="s">
        <v>3955</v>
      </c>
      <c r="DL7" t="s">
        <v>10660</v>
      </c>
      <c r="EU7" t="s">
        <v>11256</v>
      </c>
      <c r="EZ7" t="s">
        <v>1736</v>
      </c>
      <c r="FO7" t="s">
        <v>11592</v>
      </c>
      <c r="FT7" t="s">
        <v>11588</v>
      </c>
      <c r="FY7" t="s">
        <v>11559</v>
      </c>
      <c r="GD7" t="s">
        <v>6145</v>
      </c>
      <c r="IQ7" t="s">
        <v>3162</v>
      </c>
      <c r="JK7" t="s">
        <v>1473</v>
      </c>
      <c r="JP7" t="s">
        <v>52</v>
      </c>
      <c r="KO7" t="s">
        <v>11410</v>
      </c>
      <c r="KT7" t="s">
        <v>3519</v>
      </c>
      <c r="KY7" t="s">
        <v>11522</v>
      </c>
      <c r="MW7" t="s">
        <v>3162</v>
      </c>
      <c r="OA7" t="s">
        <v>693</v>
      </c>
    </row>
    <row r="8" spans="1:396" x14ac:dyDescent="0.25">
      <c r="A8" t="s">
        <v>11194</v>
      </c>
      <c r="F8" t="s">
        <v>11705</v>
      </c>
      <c r="BS8" t="s">
        <v>10740</v>
      </c>
      <c r="DG8" t="s">
        <v>11059</v>
      </c>
      <c r="DL8" t="s">
        <v>6386</v>
      </c>
      <c r="EU8" t="s">
        <v>10751</v>
      </c>
      <c r="EZ8" t="s">
        <v>10646</v>
      </c>
      <c r="FO8" t="s">
        <v>11593</v>
      </c>
      <c r="FT8" t="s">
        <v>11200</v>
      </c>
      <c r="FY8" t="s">
        <v>10851</v>
      </c>
      <c r="JK8" t="s">
        <v>11668</v>
      </c>
      <c r="JP8" t="s">
        <v>10838</v>
      </c>
      <c r="KO8" t="s">
        <v>11411</v>
      </c>
      <c r="KT8" t="s">
        <v>10658</v>
      </c>
      <c r="KY8" t="s">
        <v>11523</v>
      </c>
      <c r="OA8" t="s">
        <v>260</v>
      </c>
    </row>
    <row r="9" spans="1:396" x14ac:dyDescent="0.25">
      <c r="A9" t="s">
        <v>10967</v>
      </c>
      <c r="F9" t="s">
        <v>11706</v>
      </c>
      <c r="BS9" t="s">
        <v>480</v>
      </c>
      <c r="DG9" t="s">
        <v>2126</v>
      </c>
      <c r="DL9" t="s">
        <v>10918</v>
      </c>
      <c r="EU9" t="s">
        <v>11257</v>
      </c>
      <c r="EZ9" t="s">
        <v>10690</v>
      </c>
      <c r="FO9" t="s">
        <v>11594</v>
      </c>
      <c r="FY9" t="s">
        <v>10715</v>
      </c>
      <c r="JK9" t="s">
        <v>11669</v>
      </c>
      <c r="JP9" t="s">
        <v>3715</v>
      </c>
      <c r="KO9" t="s">
        <v>4898</v>
      </c>
      <c r="KT9" t="s">
        <v>11566</v>
      </c>
      <c r="KY9" t="s">
        <v>8762</v>
      </c>
      <c r="OA9" t="s">
        <v>3150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7954</v>
      </c>
      <c r="K1" s="1" t="s">
        <v>7955</v>
      </c>
      <c r="U1" s="1" t="s">
        <v>7956</v>
      </c>
      <c r="AE1" s="1" t="s">
        <v>7957</v>
      </c>
      <c r="AO1" s="1" t="s">
        <v>7958</v>
      </c>
      <c r="AY1" s="1" t="s">
        <v>7959</v>
      </c>
      <c r="BI1" s="1" t="s">
        <v>7960</v>
      </c>
      <c r="BS1" s="1" t="s">
        <v>7961</v>
      </c>
      <c r="CC1" s="1" t="s">
        <v>7962</v>
      </c>
      <c r="CM1" s="1" t="s">
        <v>7963</v>
      </c>
      <c r="CW1" s="1" t="s">
        <v>7964</v>
      </c>
      <c r="DG1" s="1" t="s">
        <v>7965</v>
      </c>
      <c r="DQ1" s="1" t="s">
        <v>7966</v>
      </c>
      <c r="EA1" s="1" t="s">
        <v>7967</v>
      </c>
      <c r="EK1" s="1" t="s">
        <v>7968</v>
      </c>
      <c r="EU1" s="1" t="s">
        <v>7969</v>
      </c>
      <c r="FE1" s="1" t="s">
        <v>7970</v>
      </c>
      <c r="FO1" s="1" t="s">
        <v>7971</v>
      </c>
      <c r="FY1" s="1" t="s">
        <v>7972</v>
      </c>
      <c r="GI1" s="1" t="s">
        <v>7973</v>
      </c>
      <c r="GS1" s="1" t="s">
        <v>7974</v>
      </c>
      <c r="HC1" s="1" t="s">
        <v>7975</v>
      </c>
      <c r="HM1" s="1" t="s">
        <v>7976</v>
      </c>
      <c r="HW1" s="1" t="s">
        <v>7977</v>
      </c>
      <c r="IG1" s="1" t="s">
        <v>7978</v>
      </c>
      <c r="IQ1" s="1" t="s">
        <v>7979</v>
      </c>
      <c r="JA1" s="1" t="s">
        <v>7980</v>
      </c>
      <c r="JK1" s="1" t="s">
        <v>7981</v>
      </c>
      <c r="JU1" s="1" t="s">
        <v>7982</v>
      </c>
      <c r="KE1" s="1" t="s">
        <v>7983</v>
      </c>
      <c r="KO1" s="1" t="s">
        <v>7984</v>
      </c>
      <c r="KY1" s="1" t="s">
        <v>7985</v>
      </c>
      <c r="LI1" s="1" t="s">
        <v>7986</v>
      </c>
      <c r="LS1" s="1" t="s">
        <v>7987</v>
      </c>
      <c r="MC1" s="1" t="s">
        <v>7988</v>
      </c>
      <c r="MM1" s="1" t="s">
        <v>7989</v>
      </c>
      <c r="MW1" s="1" t="s">
        <v>7990</v>
      </c>
      <c r="NG1" s="1" t="s">
        <v>7991</v>
      </c>
      <c r="NQ1" s="1" t="s">
        <v>7992</v>
      </c>
      <c r="OA1" s="1" t="s">
        <v>7993</v>
      </c>
    </row>
    <row r="2" spans="1:396" x14ac:dyDescent="0.25">
      <c r="A2" s="2" t="s">
        <v>2318</v>
      </c>
      <c r="K2" s="2" t="s">
        <v>7994</v>
      </c>
      <c r="U2" s="2" t="s">
        <v>7694</v>
      </c>
      <c r="AE2" s="2" t="s">
        <v>7995</v>
      </c>
      <c r="AO2" s="2" t="s">
        <v>2967</v>
      </c>
      <c r="AY2" s="2" t="s">
        <v>3162</v>
      </c>
      <c r="BI2" s="2" t="s">
        <v>1945</v>
      </c>
      <c r="BS2" s="2" t="s">
        <v>7286</v>
      </c>
      <c r="CC2" s="2" t="s">
        <v>7996</v>
      </c>
      <c r="CM2" s="2" t="s">
        <v>7997</v>
      </c>
      <c r="CW2" s="2" t="s">
        <v>7052</v>
      </c>
      <c r="DG2" s="2" t="s">
        <v>5990</v>
      </c>
      <c r="DQ2" s="2" t="s">
        <v>3442</v>
      </c>
      <c r="EA2" s="2" t="s">
        <v>7998</v>
      </c>
      <c r="EK2" s="2" t="s">
        <v>2874</v>
      </c>
      <c r="EU2" s="2" t="s">
        <v>1925</v>
      </c>
      <c r="FE2" s="2" t="s">
        <v>4638</v>
      </c>
      <c r="FO2" s="2" t="s">
        <v>6713</v>
      </c>
      <c r="FY2" s="2" t="s">
        <v>265</v>
      </c>
      <c r="GI2" s="2" t="s">
        <v>1080</v>
      </c>
      <c r="GS2" s="2" t="s">
        <v>4208</v>
      </c>
      <c r="HC2" s="2" t="s">
        <v>7999</v>
      </c>
      <c r="HM2" s="2" t="s">
        <v>6244</v>
      </c>
      <c r="HW2" s="2" t="s">
        <v>8000</v>
      </c>
      <c r="IG2" s="2" t="s">
        <v>4395</v>
      </c>
      <c r="IQ2" s="2" t="s">
        <v>8001</v>
      </c>
      <c r="JA2" s="2" t="s">
        <v>8002</v>
      </c>
      <c r="JK2" s="2" t="s">
        <v>8003</v>
      </c>
      <c r="JU2" s="2" t="s">
        <v>8004</v>
      </c>
      <c r="KE2" s="2" t="s">
        <v>8005</v>
      </c>
      <c r="KO2" s="2" t="s">
        <v>8006</v>
      </c>
      <c r="KY2" s="2" t="s">
        <v>3954</v>
      </c>
      <c r="LI2" s="2" t="s">
        <v>8007</v>
      </c>
      <c r="LS2" s="2" t="s">
        <v>1079</v>
      </c>
      <c r="MC2" s="2" t="s">
        <v>8008</v>
      </c>
      <c r="MM2" s="2" t="s">
        <v>1937</v>
      </c>
      <c r="MW2" s="2" t="s">
        <v>8009</v>
      </c>
      <c r="NG2" s="2" t="s">
        <v>8010</v>
      </c>
      <c r="NQ2" s="2" t="s">
        <v>64</v>
      </c>
      <c r="OA2" s="2" t="s">
        <v>8011</v>
      </c>
    </row>
    <row r="3" spans="1:396" x14ac:dyDescent="0.25">
      <c r="A3" t="s">
        <v>8012</v>
      </c>
      <c r="K3" t="s">
        <v>3358</v>
      </c>
      <c r="U3" t="s">
        <v>5438</v>
      </c>
      <c r="AE3" t="s">
        <v>8013</v>
      </c>
      <c r="AO3" t="s">
        <v>5524</v>
      </c>
      <c r="AY3" t="s">
        <v>611</v>
      </c>
      <c r="BI3" t="s">
        <v>4855</v>
      </c>
      <c r="BS3" t="s">
        <v>5101</v>
      </c>
      <c r="CC3" t="s">
        <v>6834</v>
      </c>
      <c r="CM3" t="s">
        <v>8014</v>
      </c>
      <c r="CW3" t="s">
        <v>8015</v>
      </c>
      <c r="DG3" t="s">
        <v>8016</v>
      </c>
      <c r="DQ3" t="s">
        <v>2919</v>
      </c>
      <c r="EA3" t="s">
        <v>6652</v>
      </c>
      <c r="EK3" t="s">
        <v>8017</v>
      </c>
      <c r="EU3" t="s">
        <v>8018</v>
      </c>
      <c r="FE3" t="s">
        <v>8019</v>
      </c>
      <c r="FO3" t="s">
        <v>3281</v>
      </c>
      <c r="FY3" t="s">
        <v>8020</v>
      </c>
      <c r="GI3" t="s">
        <v>7162</v>
      </c>
      <c r="GS3" t="s">
        <v>3087</v>
      </c>
      <c r="HC3" t="s">
        <v>8021</v>
      </c>
      <c r="HM3" t="s">
        <v>1666</v>
      </c>
      <c r="HW3" t="s">
        <v>8022</v>
      </c>
      <c r="IG3" t="s">
        <v>7305</v>
      </c>
      <c r="IQ3" t="s">
        <v>2137</v>
      </c>
      <c r="JA3" t="s">
        <v>8023</v>
      </c>
      <c r="JK3" t="s">
        <v>8024</v>
      </c>
      <c r="JU3" t="s">
        <v>8025</v>
      </c>
      <c r="KE3" t="s">
        <v>8026</v>
      </c>
      <c r="KO3" t="s">
        <v>1761</v>
      </c>
      <c r="KY3" t="s">
        <v>7559</v>
      </c>
      <c r="LI3" t="s">
        <v>8027</v>
      </c>
      <c r="LS3" t="s">
        <v>8028</v>
      </c>
      <c r="MC3" t="s">
        <v>109</v>
      </c>
      <c r="MM3" t="s">
        <v>8029</v>
      </c>
      <c r="MW3" t="s">
        <v>8030</v>
      </c>
      <c r="NG3" t="s">
        <v>8031</v>
      </c>
      <c r="NQ3" t="s">
        <v>6994</v>
      </c>
      <c r="OA3" t="s">
        <v>3644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_xll.BDS("GWR US Equity","SUPPLY_CHAIN_SUPPLIERS","RELATIONSHIP_AS_OF_DATE","20080429","cols=1;rows=5")</f>
        <v>AEE US Equity</v>
      </c>
      <c r="F5" t="str">
        <f>_xll.BDS("GWR US Equity","SUPPLY_CHAIN_CUSTOMERS","RELATIONSHIP_AS_OF_DATE","20080429")</f>
        <v>SDSYA US Equity</v>
      </c>
      <c r="K5" t="str">
        <f>_xll.BDS("1779128D US Equity","SUPPLY_CHAIN_SUPPLIERS","RELATIONSHIP_AS_OF_DATE","20011218")</f>
        <v>#N/A N/A</v>
      </c>
      <c r="P5" t="str">
        <f>_xll.BDS("1779128D US Equity","SUPPLY_CHAIN_CUSTOMERS","RELATIONSHIP_AS_OF_DATE","20011218")</f>
        <v>#N/A N/A</v>
      </c>
      <c r="U5" t="str">
        <f>_xll.BDS("FMBH US Equity","SUPPLY_CHAIN_SUPPLIERS","RELATIONSHIP_AS_OF_DATE","20171211")</f>
        <v>#N/A N/A</v>
      </c>
      <c r="Z5" t="str">
        <f>_xll.BDS("FMBH US Equity","SUPPLY_CHAIN_CUSTOMERS","RELATIONSHIP_AS_OF_DATE","20171211")</f>
        <v>#N/A N/A</v>
      </c>
      <c r="AE5" t="str">
        <f>_xll.BDS("MOG/A US Equity","SUPPLY_CHAIN_SUPPLIERS","RELATIONSHIP_AS_OF_DATE","20070112","cols=1;rows=5")</f>
        <v>HEI US Equity</v>
      </c>
      <c r="AJ5" t="str">
        <f>_xll.BDS("MOG/A US Equity","SUPPLY_CHAIN_CUSTOMERS","RELATIONSHIP_AS_OF_DATE","20070112","cols=1;rows=5")</f>
        <v>3352Z US Equity</v>
      </c>
      <c r="AO5" t="str">
        <f>_xll.BDS("UPS US Equity","SUPPLY_CHAIN_SUPPLIERS","RELATIONSHIP_AS_OF_DATE","20010116","cols=1;rows=5")</f>
        <v>BA US Equity</v>
      </c>
      <c r="AT5" t="str">
        <f>_xll.BDS("UPS US Equity","SUPPLY_CHAIN_CUSTOMERS","RELATIONSHIP_AS_OF_DATE","20010116","cols=1;rows=5")</f>
        <v>AMZN US Equity</v>
      </c>
      <c r="AY5" t="str">
        <f>_xll.BDS("VYX US Equity","SUPPLY_CHAIN_SUPPLIERS","RELATIONSHIP_AS_OF_DATE","20181022","cols=1;rows=5")</f>
        <v>CUZ US Equity</v>
      </c>
      <c r="BD5" t="str">
        <f>_xll.BDS("VYX US Equity","SUPPLY_CHAIN_CUSTOMERS","RELATIONSHIP_AS_OF_DATE","20181022","cols=1;rows=5")</f>
        <v>TSCO LN Equity</v>
      </c>
      <c r="BI5" t="str">
        <f>_xll.BDS("ONB US Equity","SUPPLY_CHAIN_SUPPLIERS","RELATIONSHIP_AS_OF_DATE","20101006","cols=1;rows=3")</f>
        <v>FCPT US Equity</v>
      </c>
      <c r="BN5" t="str">
        <f>_xll.BDS("ONB US Equity","SUPPLY_CHAIN_CUSTOMERS","RELATIONSHIP_AS_OF_DATE","20101006")</f>
        <v>#N/A N/A</v>
      </c>
      <c r="BS5" t="str">
        <f>_xll.BDS("KTO US Equity","SUPPLY_CHAIN_SUPPLIERS","RELATIONSHIP_AS_OF_DATE","20031022")</f>
        <v>#N/A N/A</v>
      </c>
      <c r="BX5" t="str">
        <f>_xll.BDS("KTO US Equity","SUPPLY_CHAIN_CUSTOMERS","RELATIONSHIP_AS_OF_DATE","20031022")</f>
        <v>#N/A N/A</v>
      </c>
      <c r="CC5" t="str">
        <f>_xll.BDS("CMKC US Equity","SUPPLY_CHAIN_SUPPLIERS","RELATIONSHIP_AS_OF_DATE","20010719")</f>
        <v>#N/A N/A</v>
      </c>
      <c r="CH5" t="str">
        <f>_xll.BDS("CMKC US Equity","SUPPLY_CHAIN_CUSTOMERS","RELATIONSHIP_AS_OF_DATE","20010719")</f>
        <v>#N/A N/A</v>
      </c>
      <c r="CM5" t="str">
        <f>_xll.BDS("1806854D US Equity","SUPPLY_CHAIN_SUPPLIERS","RELATIONSHIP_AS_OF_DATE","20021205")</f>
        <v>#N/A N/A</v>
      </c>
      <c r="CR5" t="str">
        <f>_xll.BDS("1806854D US Equity","SUPPLY_CHAIN_CUSTOMERS","RELATIONSHIP_AS_OF_DATE","20021205")</f>
        <v>#N/A N/A</v>
      </c>
      <c r="CW5" t="str">
        <f>_xll.BDS("MPB US Equity","SUPPLY_CHAIN_SUPPLIERS","RELATIONSHIP_AS_OF_DATE","20180116")</f>
        <v>#N/A N/A</v>
      </c>
      <c r="DB5" t="str">
        <f>_xll.BDS("MPB US Equity","SUPPLY_CHAIN_CUSTOMERS","RELATIONSHIP_AS_OF_DATE","20180116")</f>
        <v>#N/A N/A</v>
      </c>
      <c r="DG5" t="str">
        <f>_xll.BDS("ZRAN US Equity","SUPPLY_CHAIN_SUPPLIERS","RELATIONSHIP_AS_OF_DATE","20100908")</f>
        <v>#N/A N/A</v>
      </c>
      <c r="DL5" t="str">
        <f>_xll.BDS("ZRAN US Equity","SUPPLY_CHAIN_CUSTOMERS","RELATIONSHIP_AS_OF_DATE","20100908")</f>
        <v>#N/A N/A</v>
      </c>
      <c r="DQ5" t="str">
        <f>_xll.BDS("GBCI US Equity","SUPPLY_CHAIN_SUPPLIERS","RELATIONSHIP_AS_OF_DATE","20060420")</f>
        <v>VYX US Equity</v>
      </c>
      <c r="DV5" t="str">
        <f>_xll.BDS("GBCI US Equity","SUPPLY_CHAIN_CUSTOMERS","RELATIONSHIP_AS_OF_DATE","20060420")</f>
        <v>#N/A N/A</v>
      </c>
      <c r="EA5" t="str">
        <f>_xll.BDS("USX US Equity","SUPPLY_CHAIN_SUPPLIERS","RELATIONSHIP_AS_OF_DATE","19980601","cols=1;rows=2")</f>
        <v>AUR US Equity</v>
      </c>
      <c r="EF5" t="str">
        <f>_xll.BDS("USX US Equity","SUPPLY_CHAIN_CUSTOMERS","RELATIONSHIP_AS_OF_DATE","19980601")</f>
        <v>#N/A N/A</v>
      </c>
      <c r="EK5" t="str">
        <f>_xll.BDS("FNB US Equity","SUPPLY_CHAIN_SUPPLIERS","RELATIONSHIP_AS_OF_DATE","20130614")</f>
        <v>HY US Equity</v>
      </c>
      <c r="EP5" t="str">
        <f>_xll.BDS("FNB US Equity","SUPPLY_CHAIN_CUSTOMERS","RELATIONSHIP_AS_OF_DATE","20130614")</f>
        <v>#N/A N/A</v>
      </c>
      <c r="EU5" t="str">
        <f>_xll.BDS("SNV US Equity","SUPPLY_CHAIN_SUPPLIERS","RELATIONSHIP_AS_OF_DATE","20020925")</f>
        <v>VYX US Equity</v>
      </c>
      <c r="EZ5" t="str">
        <f>_xll.BDS("SNV US Equity","SUPPLY_CHAIN_CUSTOMERS","RELATIONSHIP_AS_OF_DATE","20020925")</f>
        <v>#N/A N/A</v>
      </c>
      <c r="FE5" t="str">
        <f>_xll.BDS("NIC US Equity","SUPPLY_CHAIN_SUPPLIERS","RELATIONSHIP_AS_OF_DATE","20161104")</f>
        <v>VYX US Equity</v>
      </c>
      <c r="FJ5" t="str">
        <f>_xll.BDS("NIC US Equity","SUPPLY_CHAIN_CUSTOMERS","RELATIONSHIP_AS_OF_DATE","20161104")</f>
        <v>#N/A N/A</v>
      </c>
      <c r="FO5" t="str">
        <f>_xll.BDS("IBKC US Equity","SUPPLY_CHAIN_SUPPLIERS","RELATIONSHIP_AS_OF_DATE","20060727")</f>
        <v>#N/A N/A</v>
      </c>
      <c r="FT5" t="str">
        <f>_xll.BDS("IBKC US Equity","SUPPLY_CHAIN_CUSTOMERS","RELATIONSHIP_AS_OF_DATE","20060727")</f>
        <v>#N/A N/A</v>
      </c>
      <c r="FY5" t="str">
        <f>_xll.BDS("1255173D US Equity","SUPPLY_CHAIN_SUPPLIERS","RELATIONSHIP_AS_OF_DATE","20050913")</f>
        <v>#N/A N/A</v>
      </c>
      <c r="GD5" t="str">
        <f>_xll.BDS("1255173D US Equity","SUPPLY_CHAIN_CUSTOMERS","RELATIONSHIP_AS_OF_DATE","20050913")</f>
        <v>#N/A N/A</v>
      </c>
      <c r="GI5" t="str">
        <f>_xll.BDS("UNP US Equity","SUPPLY_CHAIN_SUPPLIERS","RELATIONSHIP_AS_OF_DATE","20011015","cols=1;rows=5")</f>
        <v>WAB US Equity</v>
      </c>
      <c r="GN5" t="str">
        <f>_xll.BDS("UNP US Equity","SUPPLY_CHAIN_CUSTOMERS","RELATIONSHIP_AS_OF_DATE","20011015","cols=1;rows=5")</f>
        <v>0517476D US Equity</v>
      </c>
      <c r="GS5" t="str">
        <f>_xll.BDS("MATW US Equity","SUPPLY_CHAIN_SUPPLIERS","RELATIONSHIP_AS_OF_DATE","20010523")</f>
        <v>#N/A N/A</v>
      </c>
      <c r="GX5" t="str">
        <f>_xll.BDS("MATW US Equity","SUPPLY_CHAIN_CUSTOMERS","RELATIONSHIP_AS_OF_DATE","20010523","cols=1;rows=5")</f>
        <v>TSCO LN Equity</v>
      </c>
      <c r="HC5" t="str">
        <f>_xll.BDS("SCMF US Equity","SUPPLY_CHAIN_SUPPLIERS","RELATIONSHIP_AS_OF_DATE","20030730")</f>
        <v>#N/A N/A</v>
      </c>
      <c r="HH5" t="str">
        <f>_xll.BDS("SCMF US Equity","SUPPLY_CHAIN_CUSTOMERS","RELATIONSHIP_AS_OF_DATE","20030730")</f>
        <v>#N/A N/A</v>
      </c>
      <c r="HM5" t="str">
        <f>_xll.BDS("BBT US Equity","SUPPLY_CHAIN_SUPPLIERS","RELATIONSHIP_AS_OF_DATE","20101012")</f>
        <v>#N/A N/A</v>
      </c>
      <c r="HR5" t="str">
        <f>_xll.BDS("BBT US Equity","SUPPLY_CHAIN_CUSTOMERS","RELATIONSHIP_AS_OF_DATE","20101012")</f>
        <v>#N/A N/A</v>
      </c>
      <c r="HW5" t="str">
        <f>_xll.BDS("GADS US Equity","SUPPLY_CHAIN_SUPPLIERS","RELATIONSHIP_AS_OF_DATE","20140213")</f>
        <v>#N/A N/A</v>
      </c>
      <c r="IB5" t="str">
        <f>_xll.BDS("GADS US Equity","SUPPLY_CHAIN_CUSTOMERS","RELATIONSHIP_AS_OF_DATE","20140213")</f>
        <v>#N/A N/A</v>
      </c>
      <c r="IG5" t="str">
        <f>_xll.BDS("WSBC US Equity","SUPPLY_CHAIN_SUPPLIERS","RELATIONSHIP_AS_OF_DATE","20010222")</f>
        <v>#N/A N/A</v>
      </c>
      <c r="IL5" t="str">
        <f>_xll.BDS("WSBC US Equity","SUPPLY_CHAIN_CUSTOMERS","RELATIONSHIP_AS_OF_DATE","20010222","cols=1;rows=2")</f>
        <v>NINE CN Equity</v>
      </c>
      <c r="IQ5" t="str">
        <f>_xll.BDS("PLXS US Equity","SUPPLY_CHAIN_SUPPLIERS","RELATIONSHIP_AS_OF_DATE","19990317","cols=1;rows=5")</f>
        <v>VSH US Equity</v>
      </c>
      <c r="IV5" t="str">
        <f>_xll.BDS("PLXS US Equity","SUPPLY_CHAIN_CUSTOMERS","RELATIONSHIP_AS_OF_DATE","19990317","cols=1;rows=5")</f>
        <v>0219682Z US Equity</v>
      </c>
      <c r="JA5" t="str">
        <f>_xll.BDS("EW US Equity","SUPPLY_CHAIN_SUPPLIERS","RELATIONSHIP_AS_OF_DATE","20190212","cols=1;rows=5")</f>
        <v>BHE US Equity</v>
      </c>
      <c r="JF5" t="str">
        <f>_xll.BDS("EW US Equity","SUPPLY_CHAIN_CUSTOMERS","RELATIONSHIP_AS_OF_DATE","20190212")</f>
        <v>6208 TT Equity</v>
      </c>
      <c r="JK5" t="str">
        <f>_xll.BDS("FSBW US Equity","SUPPLY_CHAIN_SUPPLIERS","RELATIONSHIP_AS_OF_DATE","20180717")</f>
        <v>#N/A N/A</v>
      </c>
      <c r="JP5" t="str">
        <f>_xll.BDS("FSBW US Equity","SUPPLY_CHAIN_CUSTOMERS","RELATIONSHIP_AS_OF_DATE","20180717")</f>
        <v>#N/A N/A</v>
      </c>
      <c r="JU5" t="str">
        <f>_xll.BDS("FPFCQ US Equity","SUPPLY_CHAIN_SUPPLIERS","RELATIONSHIP_AS_OF_DATE","20031110")</f>
        <v>#N/A N/A</v>
      </c>
      <c r="JZ5" t="str">
        <f>_xll.BDS("FPFCQ US Equity","SUPPLY_CHAIN_CUSTOMERS","RELATIONSHIP_AS_OF_DATE","20031110")</f>
        <v>#N/A N/A</v>
      </c>
      <c r="KE5" t="str">
        <f>_xll.BDS("ESC US Equity","SUPPLY_CHAIN_SUPPLIERS","RELATIONSHIP_AS_OF_DATE","20030718")</f>
        <v>#N/A N/A</v>
      </c>
      <c r="KJ5" t="str">
        <f>_xll.BDS("ESC US Equity","SUPPLY_CHAIN_CUSTOMERS","RELATIONSHIP_AS_OF_DATE","20030718")</f>
        <v>#N/A N/A</v>
      </c>
      <c r="KO5" t="str">
        <f>_xll.BDS("SBAN US Equity","SUPPLY_CHAIN_SUPPLIERS","RELATIONSHIP_AS_OF_DATE","20000214")</f>
        <v>#N/A N/A</v>
      </c>
      <c r="KT5" t="str">
        <f>_xll.BDS("SBAN US Equity","SUPPLY_CHAIN_CUSTOMERS","RELATIONSHIP_AS_OF_DATE","20000214")</f>
        <v>#N/A N/A</v>
      </c>
      <c r="KY5" t="str">
        <f>_xll.BDS("2674129Q US Equity","SUPPLY_CHAIN_SUPPLIERS","RELATIONSHIP_AS_OF_DATE","20021024")</f>
        <v>#N/A N/A</v>
      </c>
      <c r="LD5" t="str">
        <f>_xll.BDS("2674129Q US Equity","SUPPLY_CHAIN_CUSTOMERS","RELATIONSHIP_AS_OF_DATE","20021024")</f>
        <v>#N/A N/A</v>
      </c>
      <c r="LI5" t="str">
        <f>_xll.BDS("FMFC US Equity","SUPPLY_CHAIN_SUPPLIERS","RELATIONSHIP_AS_OF_DATE","19990708")</f>
        <v>#N/A N/A</v>
      </c>
      <c r="LN5" t="str">
        <f>_xll.BDS("FMFC US Equity","SUPPLY_CHAIN_CUSTOMERS","RELATIONSHIP_AS_OF_DATE","19990708")</f>
        <v>#N/A N/A</v>
      </c>
      <c r="LS5" t="str">
        <f>_xll.BDS("9980328D US Equity","SUPPLY_CHAIN_SUPPLIERS","RELATIONSHIP_AS_OF_DATE","20110406","cols=1;rows=5")</f>
        <v>1052024D US Equity</v>
      </c>
      <c r="LX5" t="str">
        <f>_xll.BDS("9980328D US Equity","SUPPLY_CHAIN_CUSTOMERS","RELATIONSHIP_AS_OF_DATE","20110406","cols=1;rows=5")</f>
        <v>002630 KS Equity</v>
      </c>
      <c r="MC5" t="str">
        <f>_xll.BDS("AMG US Equity","SUPPLY_CHAIN_SUPPLIERS","RELATIONSHIP_AS_OF_DATE","20091214")</f>
        <v>#N/A N/A</v>
      </c>
      <c r="MH5" t="str">
        <f>_xll.BDS("AMG US Equity","SUPPLY_CHAIN_CUSTOMERS","RELATIONSHIP_AS_OF_DATE","20091214")</f>
        <v>#N/A N/A</v>
      </c>
      <c r="MM5" t="str">
        <f>_xll.BDS("OEI US Equity","SUPPLY_CHAIN_SUPPLIERS","RELATIONSHIP_AS_OF_DATE","20010118")</f>
        <v>#N/A N/A</v>
      </c>
      <c r="MR5" t="str">
        <f>_xll.BDS("OEI US Equity","SUPPLY_CHAIN_CUSTOMERS","RELATIONSHIP_AS_OF_DATE","20010118")</f>
        <v>#N/A N/A</v>
      </c>
      <c r="MW5" t="str">
        <f>_xll.BDS("PERY US Equity","SUPPLY_CHAIN_SUPPLIERS","RELATIONSHIP_AS_OF_DATE","20030204","cols=1;rows=5")</f>
        <v>002404 CH Equity</v>
      </c>
      <c r="NB5" t="str">
        <f>_xll.BDS("PERY US Equity","SUPPLY_CHAIN_CUSTOMERS","RELATIONSHIP_AS_OF_DATE","20030204","cols=1;rows=5")</f>
        <v>1402 TT Equity</v>
      </c>
      <c r="NG5" t="str">
        <f>_xll.BDS("WDR US Equity","SUPPLY_CHAIN_SUPPLIERS","RELATIONSHIP_AS_OF_DATE","20020829")</f>
        <v>#N/A N/A</v>
      </c>
      <c r="NL5" t="str">
        <f>_xll.BDS("WDR US Equity","SUPPLY_CHAIN_CUSTOMERS","RELATIONSHIP_AS_OF_DATE","20020829")</f>
        <v>#N/A N/A</v>
      </c>
      <c r="NQ5" t="str">
        <f>_xll.BDS("nan Equity","SUPPLY_CHAIN_SUPPLIERS","RELATIONSHIP_AS_OF_DATE","20060321")</f>
        <v>#N/A N/A</v>
      </c>
      <c r="NV5" t="str">
        <f>_xll.BDS("nan Equity","SUPPLY_CHAIN_CUSTOMERS","RELATIONSHIP_AS_OF_DATE","20060321")</f>
        <v>#N/A N/A</v>
      </c>
      <c r="OA5" t="str">
        <f>_xll.BDS("153550Q US Equity","SUPPLY_CHAIN_SUPPLIERS","RELATIONSHIP_AS_OF_DATE","20000706")</f>
        <v>#N/A N/A</v>
      </c>
      <c r="OF5" t="str">
        <f>_xll.BDS("153550Q US Equity","SUPPLY_CHAIN_CUSTOMERS","RELATIONSHIP_AS_OF_DATE","20000706")</f>
        <v>#N/A N/A</v>
      </c>
    </row>
    <row r="6" spans="1:396" x14ac:dyDescent="0.25">
      <c r="A6" t="s">
        <v>10696</v>
      </c>
      <c r="AE6" t="s">
        <v>7220</v>
      </c>
      <c r="AJ6" t="s">
        <v>1363</v>
      </c>
      <c r="AO6" t="s">
        <v>171</v>
      </c>
      <c r="AT6" t="s">
        <v>1736</v>
      </c>
      <c r="AY6" t="s">
        <v>10735</v>
      </c>
      <c r="BD6" t="s">
        <v>11394</v>
      </c>
      <c r="BI6" t="s">
        <v>8932</v>
      </c>
      <c r="EA6" t="s">
        <v>171</v>
      </c>
      <c r="GI6" t="s">
        <v>5491</v>
      </c>
      <c r="GN6" t="s">
        <v>11744</v>
      </c>
      <c r="GX6" t="s">
        <v>10892</v>
      </c>
      <c r="IL6" t="s">
        <v>11320</v>
      </c>
      <c r="IQ6" t="s">
        <v>11032</v>
      </c>
      <c r="IV6" t="s">
        <v>11342</v>
      </c>
      <c r="JA6" t="s">
        <v>10851</v>
      </c>
      <c r="LS6" t="s">
        <v>11453</v>
      </c>
      <c r="LX6" t="s">
        <v>11428</v>
      </c>
      <c r="MW6" t="s">
        <v>11714</v>
      </c>
      <c r="NB6" t="s">
        <v>11110</v>
      </c>
    </row>
    <row r="7" spans="1:396" x14ac:dyDescent="0.25">
      <c r="A7" t="s">
        <v>1265</v>
      </c>
      <c r="AE7" t="s">
        <v>11557</v>
      </c>
      <c r="AJ7" t="s">
        <v>10785</v>
      </c>
      <c r="AO7" t="s">
        <v>11159</v>
      </c>
      <c r="AT7" t="s">
        <v>385</v>
      </c>
      <c r="AY7" t="s">
        <v>11984</v>
      </c>
      <c r="BD7" t="s">
        <v>10680</v>
      </c>
      <c r="BI7" t="s">
        <v>3162</v>
      </c>
      <c r="GI7" t="s">
        <v>11853</v>
      </c>
      <c r="GN7" t="s">
        <v>11745</v>
      </c>
      <c r="GX7" t="s">
        <v>11125</v>
      </c>
      <c r="IQ7" t="s">
        <v>11660</v>
      </c>
      <c r="IV7" t="s">
        <v>11343</v>
      </c>
      <c r="JA7" t="s">
        <v>158</v>
      </c>
      <c r="LS7" t="s">
        <v>11289</v>
      </c>
      <c r="LX7" t="s">
        <v>11429</v>
      </c>
      <c r="MW7" t="s">
        <v>11715</v>
      </c>
      <c r="NB7" t="s">
        <v>11111</v>
      </c>
    </row>
    <row r="8" spans="1:396" x14ac:dyDescent="0.25">
      <c r="A8" t="s">
        <v>10977</v>
      </c>
      <c r="AE8" t="s">
        <v>4217</v>
      </c>
      <c r="AJ8" t="s">
        <v>42</v>
      </c>
      <c r="AO8" t="s">
        <v>10940</v>
      </c>
      <c r="AT8" t="s">
        <v>2881</v>
      </c>
      <c r="AY8" t="s">
        <v>11516</v>
      </c>
      <c r="BD8" t="s">
        <v>10660</v>
      </c>
      <c r="GI8" t="s">
        <v>171</v>
      </c>
      <c r="GN8" t="s">
        <v>1655</v>
      </c>
      <c r="GX8" t="s">
        <v>11126</v>
      </c>
      <c r="IQ8" t="s">
        <v>11015</v>
      </c>
      <c r="IV8" t="s">
        <v>11344</v>
      </c>
      <c r="JA8" t="s">
        <v>11311</v>
      </c>
      <c r="LS8" t="s">
        <v>10996</v>
      </c>
      <c r="LX8" t="s">
        <v>11430</v>
      </c>
      <c r="MW8" t="s">
        <v>11373</v>
      </c>
      <c r="NB8" t="s">
        <v>11112</v>
      </c>
    </row>
    <row r="9" spans="1:396" x14ac:dyDescent="0.25">
      <c r="A9" t="s">
        <v>8925</v>
      </c>
      <c r="AE9" t="s">
        <v>11009</v>
      </c>
      <c r="AJ9" t="s">
        <v>10939</v>
      </c>
      <c r="AO9" t="s">
        <v>11507</v>
      </c>
      <c r="AT9" t="s">
        <v>364</v>
      </c>
      <c r="AY9" t="s">
        <v>4646</v>
      </c>
      <c r="BD9" t="s">
        <v>10787</v>
      </c>
      <c r="GI9" t="s">
        <v>7614</v>
      </c>
      <c r="GN9" t="s">
        <v>11746</v>
      </c>
      <c r="GX9" t="s">
        <v>11127</v>
      </c>
      <c r="IQ9" t="s">
        <v>11661</v>
      </c>
      <c r="IV9" t="s">
        <v>10657</v>
      </c>
      <c r="JA9" t="s">
        <v>10715</v>
      </c>
      <c r="LS9" t="s">
        <v>11454</v>
      </c>
      <c r="LX9" t="s">
        <v>11431</v>
      </c>
      <c r="MW9" t="s">
        <v>11716</v>
      </c>
      <c r="NB9" t="s">
        <v>6476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8032</v>
      </c>
      <c r="K1" s="1" t="s">
        <v>8033</v>
      </c>
      <c r="U1" s="1" t="s">
        <v>8034</v>
      </c>
      <c r="AE1" s="1" t="s">
        <v>8035</v>
      </c>
      <c r="AO1" s="1" t="s">
        <v>8036</v>
      </c>
      <c r="AY1" s="1" t="s">
        <v>8037</v>
      </c>
      <c r="BI1" s="1" t="s">
        <v>8038</v>
      </c>
      <c r="BS1" s="1" t="s">
        <v>8039</v>
      </c>
      <c r="CC1" s="1" t="s">
        <v>8040</v>
      </c>
      <c r="CM1" s="1" t="s">
        <v>8041</v>
      </c>
      <c r="CW1" s="1" t="s">
        <v>8042</v>
      </c>
      <c r="DG1" s="1" t="s">
        <v>8043</v>
      </c>
      <c r="DQ1" s="1" t="s">
        <v>8044</v>
      </c>
      <c r="EA1" s="1" t="s">
        <v>8045</v>
      </c>
      <c r="EK1" s="1" t="s">
        <v>8046</v>
      </c>
      <c r="EU1" s="1" t="s">
        <v>8047</v>
      </c>
      <c r="FE1" s="1" t="s">
        <v>8048</v>
      </c>
      <c r="FO1" s="1" t="s">
        <v>8049</v>
      </c>
      <c r="FY1" s="1" t="s">
        <v>8050</v>
      </c>
      <c r="GI1" s="1" t="s">
        <v>8051</v>
      </c>
      <c r="GS1" s="1" t="s">
        <v>8052</v>
      </c>
      <c r="HC1" s="1" t="s">
        <v>8053</v>
      </c>
      <c r="HM1" s="1" t="s">
        <v>8054</v>
      </c>
      <c r="HW1" s="1" t="s">
        <v>8055</v>
      </c>
      <c r="IG1" s="1" t="s">
        <v>8056</v>
      </c>
      <c r="IQ1" s="1" t="s">
        <v>8057</v>
      </c>
      <c r="JA1" s="1" t="s">
        <v>8058</v>
      </c>
      <c r="JK1" s="1" t="s">
        <v>8059</v>
      </c>
      <c r="JU1" s="1" t="s">
        <v>8060</v>
      </c>
      <c r="KE1" s="1" t="s">
        <v>8061</v>
      </c>
      <c r="KO1" s="1" t="s">
        <v>8062</v>
      </c>
      <c r="KY1" s="1" t="s">
        <v>8063</v>
      </c>
      <c r="LI1" s="1" t="s">
        <v>8064</v>
      </c>
      <c r="LS1" s="1" t="s">
        <v>8065</v>
      </c>
      <c r="MC1" s="1" t="s">
        <v>8066</v>
      </c>
      <c r="MM1" s="1" t="s">
        <v>8067</v>
      </c>
      <c r="MW1" s="1" t="s">
        <v>8068</v>
      </c>
      <c r="NG1" s="1" t="s">
        <v>8069</v>
      </c>
      <c r="NQ1" s="1" t="s">
        <v>8070</v>
      </c>
      <c r="OA1" s="1" t="s">
        <v>8071</v>
      </c>
    </row>
    <row r="2" spans="1:396" x14ac:dyDescent="0.25">
      <c r="A2" s="2" t="s">
        <v>8072</v>
      </c>
      <c r="K2" s="2" t="s">
        <v>165</v>
      </c>
      <c r="U2" s="2" t="s">
        <v>8073</v>
      </c>
      <c r="AE2" s="2" t="s">
        <v>4130</v>
      </c>
      <c r="AO2" s="2" t="s">
        <v>8074</v>
      </c>
      <c r="AY2" s="2" t="s">
        <v>368</v>
      </c>
      <c r="BI2" s="2" t="s">
        <v>8004</v>
      </c>
      <c r="BS2" s="2" t="s">
        <v>8075</v>
      </c>
      <c r="CC2" s="2" t="s">
        <v>5328</v>
      </c>
      <c r="CM2" s="2" t="s">
        <v>8076</v>
      </c>
      <c r="CW2" s="2" t="s">
        <v>5249</v>
      </c>
      <c r="DG2" s="2" t="s">
        <v>8077</v>
      </c>
      <c r="DQ2" s="2" t="s">
        <v>7611</v>
      </c>
      <c r="EA2" s="2" t="s">
        <v>8078</v>
      </c>
      <c r="EK2" s="2" t="s">
        <v>8079</v>
      </c>
      <c r="EU2" s="2" t="s">
        <v>7611</v>
      </c>
      <c r="FE2" s="2" t="s">
        <v>8080</v>
      </c>
      <c r="FO2" s="2" t="s">
        <v>1376</v>
      </c>
      <c r="FY2" s="2" t="s">
        <v>8081</v>
      </c>
      <c r="GI2" s="2" t="s">
        <v>8082</v>
      </c>
      <c r="GS2" s="2" t="s">
        <v>8083</v>
      </c>
      <c r="HC2" s="2" t="s">
        <v>8084</v>
      </c>
      <c r="HM2" s="2" t="s">
        <v>8085</v>
      </c>
      <c r="HW2" s="2" t="s">
        <v>1756</v>
      </c>
      <c r="IG2" s="2" t="s">
        <v>8086</v>
      </c>
      <c r="IQ2" s="2" t="s">
        <v>2302</v>
      </c>
      <c r="JA2" s="2" t="s">
        <v>3156</v>
      </c>
      <c r="JK2" s="2" t="s">
        <v>2596</v>
      </c>
      <c r="JU2" s="2" t="s">
        <v>8087</v>
      </c>
      <c r="KE2" s="2" t="s">
        <v>270</v>
      </c>
      <c r="KO2" s="2" t="s">
        <v>8088</v>
      </c>
      <c r="KY2" s="2" t="s">
        <v>1164</v>
      </c>
      <c r="LI2" s="2" t="s">
        <v>61</v>
      </c>
      <c r="LS2" s="2" t="s">
        <v>8089</v>
      </c>
      <c r="MC2" s="2" t="s">
        <v>8090</v>
      </c>
      <c r="MM2" s="2" t="s">
        <v>7211</v>
      </c>
      <c r="MW2" s="2" t="s">
        <v>8091</v>
      </c>
      <c r="NG2" s="2" t="s">
        <v>8092</v>
      </c>
      <c r="NQ2" s="2" t="s">
        <v>6899</v>
      </c>
      <c r="OA2" s="2" t="s">
        <v>8093</v>
      </c>
    </row>
    <row r="3" spans="1:396" x14ac:dyDescent="0.25">
      <c r="A3" t="s">
        <v>1672</v>
      </c>
      <c r="K3" t="s">
        <v>4578</v>
      </c>
      <c r="U3" t="s">
        <v>716</v>
      </c>
      <c r="AE3" t="s">
        <v>8094</v>
      </c>
      <c r="AO3" t="s">
        <v>8095</v>
      </c>
      <c r="AY3" t="s">
        <v>8096</v>
      </c>
      <c r="BI3" t="s">
        <v>8097</v>
      </c>
      <c r="BS3" t="s">
        <v>102</v>
      </c>
      <c r="CC3" t="s">
        <v>8098</v>
      </c>
      <c r="CM3" t="s">
        <v>8099</v>
      </c>
      <c r="CW3" t="s">
        <v>8100</v>
      </c>
      <c r="DG3" t="s">
        <v>8101</v>
      </c>
      <c r="DQ3" t="s">
        <v>8102</v>
      </c>
      <c r="EA3" t="s">
        <v>4738</v>
      </c>
      <c r="EK3" t="s">
        <v>8103</v>
      </c>
      <c r="EU3" t="s">
        <v>8104</v>
      </c>
      <c r="FE3" t="s">
        <v>6821</v>
      </c>
      <c r="FO3" t="s">
        <v>8105</v>
      </c>
      <c r="FY3" t="s">
        <v>8106</v>
      </c>
      <c r="GI3" t="s">
        <v>8107</v>
      </c>
      <c r="GS3" t="s">
        <v>8108</v>
      </c>
      <c r="HC3" t="s">
        <v>7086</v>
      </c>
      <c r="HM3" t="s">
        <v>8109</v>
      </c>
      <c r="HW3" t="s">
        <v>8110</v>
      </c>
      <c r="IG3" t="s">
        <v>3819</v>
      </c>
      <c r="IQ3" t="s">
        <v>5942</v>
      </c>
      <c r="JA3" t="s">
        <v>8111</v>
      </c>
      <c r="JK3" t="s">
        <v>2345</v>
      </c>
      <c r="JU3" t="s">
        <v>8112</v>
      </c>
      <c r="KE3" t="s">
        <v>1583</v>
      </c>
      <c r="KO3" t="s">
        <v>8113</v>
      </c>
      <c r="KY3" t="s">
        <v>8114</v>
      </c>
      <c r="LI3" t="s">
        <v>8115</v>
      </c>
      <c r="LS3" t="s">
        <v>8116</v>
      </c>
      <c r="MC3" t="s">
        <v>8117</v>
      </c>
      <c r="MM3" t="s">
        <v>8118</v>
      </c>
      <c r="MW3" t="s">
        <v>7485</v>
      </c>
      <c r="NG3" t="s">
        <v>1211</v>
      </c>
      <c r="NQ3" t="s">
        <v>8119</v>
      </c>
      <c r="OA3" t="s">
        <v>3177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_xll.BDS("679882Q US Equity","SUPPLY_CHAIN_SUPPLIERS","RELATIONSHIP_AS_OF_DATE","19980104")</f>
        <v>#N/A N/A</v>
      </c>
      <c r="F5" t="str">
        <f>_xll.BDS("679882Q US Equity","SUPPLY_CHAIN_CUSTOMERS","RELATIONSHIP_AS_OF_DATE","19980104")</f>
        <v>#N/A N/A</v>
      </c>
      <c r="K5" t="str">
        <f>_xll.BDS("IBM US Equity","SUPPLY_CHAIN_SUPPLIERS","RELATIONSHIP_AS_OF_DATE","20000114","cols=1;rows=5")</f>
        <v>005930 KS Equity</v>
      </c>
      <c r="P5" t="str">
        <f>_xll.BDS("IBM US Equity","SUPPLY_CHAIN_CUSTOMERS","RELATIONSHIP_AS_OF_DATE","20000114","cols=1;rows=5")</f>
        <v>AMZN US Equity</v>
      </c>
      <c r="U5" t="str">
        <f>_xll.BDS("SPH US Equity","SUPPLY_CHAIN_SUPPLIERS","RELATIONSHIP_AS_OF_DATE","19990527","cols=1;rows=5")</f>
        <v>MEC US Equity</v>
      </c>
      <c r="Z5" t="str">
        <f>_xll.BDS("SPH US Equity","SUPPLY_CHAIN_CUSTOMERS","RELATIONSHIP_AS_OF_DATE","19990527")</f>
        <v>#N/A N/A</v>
      </c>
      <c r="AE5" t="str">
        <f>_xll.BDS("IVZ US Equity","SUPPLY_CHAIN_SUPPLIERS","RELATIONSHIP_AS_OF_DATE","20090611","cols=1;rows=5")</f>
        <v>600626 CH Equity</v>
      </c>
      <c r="AJ5" t="str">
        <f>_xll.BDS("IVZ US Equity","SUPPLY_CHAIN_CUSTOMERS","RELATIONSHIP_AS_OF_DATE","20090611","cols=1;rows=2")</f>
        <v>600626 CH Equity</v>
      </c>
      <c r="AO5" t="str">
        <f>_xll.BDS("SYRS US Equity","SUPPLY_CHAIN_SUPPLIERS","RELATIONSHIP_AS_OF_DATE","20220705","cols=1;rows=2")</f>
        <v>4579 JP Equity</v>
      </c>
      <c r="AT5" t="str">
        <f>_xll.BDS("SYRS US Equity","SUPPLY_CHAIN_CUSTOMERS","RELATIONSHIP_AS_OF_DATE","20220705")</f>
        <v>INCY US Equity</v>
      </c>
      <c r="AY5" t="str">
        <f>_xll.BDS("JNJ US Equity","SUPPLY_CHAIN_SUPPLIERS","RELATIONSHIP_AS_OF_DATE","20021113","cols=1;rows=5")</f>
        <v>GMAB DC Equity</v>
      </c>
      <c r="BD5" t="str">
        <f>_xll.BDS("JNJ US Equity","SUPPLY_CHAIN_CUSTOMERS","RELATIONSHIP_AS_OF_DATE","20021113","cols=1;rows=5")</f>
        <v>MCK US Equity</v>
      </c>
      <c r="BI5" t="str">
        <f>_xll.BDS("FPFCQ US Equity","SUPPLY_CHAIN_SUPPLIERS","RELATIONSHIP_AS_OF_DATE","20000524")</f>
        <v>#N/A N/A</v>
      </c>
      <c r="BN5" t="str">
        <f>_xll.BDS("FPFCQ US Equity","SUPPLY_CHAIN_CUSTOMERS","RELATIONSHIP_AS_OF_DATE","20000524")</f>
        <v>#N/A N/A</v>
      </c>
      <c r="BS5" t="str">
        <f>_xll.BDS("CBRI US Equity","SUPPLY_CHAIN_SUPPLIERS","RELATIONSHIP_AS_OF_DATE","20031027")</f>
        <v>#N/A N/A</v>
      </c>
      <c r="BX5" t="str">
        <f>_xll.BDS("CBRI US Equity","SUPPLY_CHAIN_CUSTOMERS","RELATIONSHIP_AS_OF_DATE","20031027")</f>
        <v>#N/A N/A</v>
      </c>
      <c r="CC5" t="str">
        <f>_xll.BDS("OAK US Equity","SUPPLY_CHAIN_SUPPLIERS","RELATIONSHIP_AS_OF_DATE","20080905")</f>
        <v>#N/A N/A</v>
      </c>
      <c r="CH5" t="str">
        <f>_xll.BDS("OAK US Equity","SUPPLY_CHAIN_CUSTOMERS","RELATIONSHIP_AS_OF_DATE","20080905")</f>
        <v>#N/A N/A</v>
      </c>
      <c r="CM5" t="str">
        <f>_xll.BDS("BOFLQ US Equity","SUPPLY_CHAIN_SUPPLIERS","RELATIONSHIP_AS_OF_DATE","20060829")</f>
        <v>#N/A N/A</v>
      </c>
      <c r="CR5" t="str">
        <f>_xll.BDS("BOFLQ US Equity","SUPPLY_CHAIN_CUSTOMERS","RELATIONSHIP_AS_OF_DATE","20060829")</f>
        <v>#N/A N/A</v>
      </c>
      <c r="CW5" t="str">
        <f>_xll.BDS("CHCO US Equity","SUPPLY_CHAIN_SUPPLIERS","RELATIONSHIP_AS_OF_DATE","20041229")</f>
        <v>#N/A N/A</v>
      </c>
      <c r="DB5" t="str">
        <f>_xll.BDS("CHCO US Equity","SUPPLY_CHAIN_CUSTOMERS","RELATIONSHIP_AS_OF_DATE","20041229")</f>
        <v>#N/A N/A</v>
      </c>
      <c r="DG5" t="str">
        <f>_xll.BDS("FBMS US Equity","SUPPLY_CHAIN_SUPPLIERS","RELATIONSHIP_AS_OF_DATE","20171006")</f>
        <v>#N/A N/A</v>
      </c>
      <c r="DL5" t="str">
        <f>_xll.BDS("FBMS US Equity","SUPPLY_CHAIN_CUSTOMERS","RELATIONSHIP_AS_OF_DATE","20171006")</f>
        <v>#N/A N/A</v>
      </c>
      <c r="DQ5" t="str">
        <f>_xll.BDS("HBNC US Equity","SUPPLY_CHAIN_SUPPLIERS","RELATIONSHIP_AS_OF_DATE","20150219")</f>
        <v>#N/A N/A</v>
      </c>
      <c r="DV5" t="str">
        <f>_xll.BDS("HBNC US Equity","SUPPLY_CHAIN_CUSTOMERS","RELATIONSHIP_AS_OF_DATE","20150219")</f>
        <v>#N/A N/A</v>
      </c>
      <c r="EA5" t="str">
        <f>_xll.BDS("953386Q US Equity","SUPPLY_CHAIN_SUPPLIERS","RELATIONSHIP_AS_OF_DATE","20011001")</f>
        <v>#N/A N/A</v>
      </c>
      <c r="EF5" t="str">
        <f>_xll.BDS("953386Q US Equity","SUPPLY_CHAIN_CUSTOMERS","RELATIONSHIP_AS_OF_DATE","20011001")</f>
        <v>#N/A N/A</v>
      </c>
      <c r="EK5" t="str">
        <f>_xll.BDS("MNR US Equity","SUPPLY_CHAIN_SUPPLIERS","RELATIONSHIP_AS_OF_DATE","20070326")</f>
        <v>#N/A N/A</v>
      </c>
      <c r="EP5" t="str">
        <f>_xll.BDS("MNR US Equity","SUPPLY_CHAIN_CUSTOMERS","RELATIONSHIP_AS_OF_DATE","20070326")</f>
        <v>#N/A N/A</v>
      </c>
      <c r="EU5" t="str">
        <f>_xll.BDS("HBNC US Equity","SUPPLY_CHAIN_SUPPLIERS","RELATIONSHIP_AS_OF_DATE","20170614")</f>
        <v>#N/A N/A</v>
      </c>
      <c r="EZ5" t="str">
        <f>_xll.BDS("HBNC US Equity","SUPPLY_CHAIN_CUSTOMERS","RELATIONSHIP_AS_OF_DATE","20170614")</f>
        <v>#N/A N/A</v>
      </c>
      <c r="FE5" t="str">
        <f>_xll.BDS("PLA US Equity","SUPPLY_CHAIN_SUPPLIERS","RELATIONSHIP_AS_OF_DATE","19980204")</f>
        <v>#N/A N/A</v>
      </c>
      <c r="FJ5" t="str">
        <f>_xll.BDS("PLA US Equity","SUPPLY_CHAIN_CUSTOMERS","RELATIONSHIP_AS_OF_DATE","19980204")</f>
        <v>#N/A N/A</v>
      </c>
      <c r="FO5" t="str">
        <f>_xll.BDS("TDG US Equity","SUPPLY_CHAIN_SUPPLIERS","RELATIONSHIP_AS_OF_DATE","20100806","cols=1;rows=5")</f>
        <v>DCO US Equity</v>
      </c>
      <c r="FT5" t="str">
        <f>_xll.BDS("TDG US Equity","SUPPLY_CHAIN_CUSTOMERS","RELATIONSHIP_AS_OF_DATE","20100806","cols=1;rows=5")</f>
        <v>BA US Equity</v>
      </c>
      <c r="FY5" t="str">
        <f>_xll.BDS("MRCY US Equity","SUPPLY_CHAIN_SUPPLIERS","RELATIONSHIP_AS_OF_DATE","20120610","cols=1;rows=5")</f>
        <v>MU US Equity</v>
      </c>
      <c r="GD5" t="str">
        <f>_xll.BDS("MRCY US Equity","SUPPLY_CHAIN_CUSTOMERS","RELATIONSHIP_AS_OF_DATE","20120610","cols=1;rows=5")</f>
        <v>RTX US Equity</v>
      </c>
      <c r="GI5" t="str">
        <f>_xll.BDS("1911768D US Equity","SUPPLY_CHAIN_SUPPLIERS","RELATIONSHIP_AS_OF_DATE","19991119")</f>
        <v>#N/A N/A</v>
      </c>
      <c r="GN5" t="str">
        <f>_xll.BDS("1911768D US Equity","SUPPLY_CHAIN_CUSTOMERS","RELATIONSHIP_AS_OF_DATE","19991119")</f>
        <v>#N/A N/A</v>
      </c>
      <c r="GS5" t="str">
        <f>_xll.BDS("CAC US Equity","SUPPLY_CHAIN_SUPPLIERS","RELATIONSHIP_AS_OF_DATE","20070814")</f>
        <v>#N/A N/A</v>
      </c>
      <c r="GX5" t="str">
        <f>_xll.BDS("CAC US Equity","SUPPLY_CHAIN_CUSTOMERS","RELATIONSHIP_AS_OF_DATE","20070814")</f>
        <v>#N/A N/A</v>
      </c>
      <c r="HC5" t="str">
        <f>_xll.BDS("AFSC US Equity","SUPPLY_CHAIN_SUPPLIERS","RELATIONSHIP_AS_OF_DATE","19980414")</f>
        <v>#N/A N/A</v>
      </c>
      <c r="HH5" t="str">
        <f>_xll.BDS("AFSC US Equity","SUPPLY_CHAIN_CUSTOMERS","RELATIONSHIP_AS_OF_DATE","19980414")</f>
        <v>#N/A N/A</v>
      </c>
      <c r="HM5" t="str">
        <f>_xll.BDS("KN US Equity","SUPPLY_CHAIN_SUPPLIERS","RELATIONSHIP_AS_OF_DATE","20150430","cols=1;rows=5")</f>
        <v>131290 KS Equity</v>
      </c>
      <c r="HR5" t="str">
        <f>_xll.BDS("KN US Equity","SUPPLY_CHAIN_CUSTOMERS","RELATIONSHIP_AS_OF_DATE","20150430","cols=1;rows=5")</f>
        <v>1702531D DC Equity</v>
      </c>
      <c r="HW5" t="str">
        <f>_xll.BDS("1920486D US Equity","SUPPLY_CHAIN_SUPPLIERS","RELATIONSHIP_AS_OF_DATE","20010202")</f>
        <v>#N/A N/A</v>
      </c>
      <c r="IB5" t="str">
        <f>_xll.BDS("1920486D US Equity","SUPPLY_CHAIN_CUSTOMERS","RELATIONSHIP_AS_OF_DATE","20010202")</f>
        <v>#N/A N/A</v>
      </c>
      <c r="IG5" t="str">
        <f>_xll.BDS("INSM US Equity","SUPPLY_CHAIN_SUPPLIERS","RELATIONSHIP_AS_OF_DATE","19991201","cols=1;rows=5")</f>
        <v>0546227D CN Equity</v>
      </c>
      <c r="IL5" t="str">
        <f>_xll.BDS("INSM US Equity","SUPPLY_CHAIN_CUSTOMERS","RELATIONSHIP_AS_OF_DATE","19991201")</f>
        <v>#N/A N/A</v>
      </c>
      <c r="IQ5" t="str">
        <f>_xll.BDS("FIBK US Equity","SUPPLY_CHAIN_SUPPLIERS","RELATIONSHIP_AS_OF_DATE","20140210")</f>
        <v>FISV US Equity</v>
      </c>
      <c r="IV5" t="str">
        <f>_xll.BDS("FIBK US Equity","SUPPLY_CHAIN_CUSTOMERS","RELATIONSHIP_AS_OF_DATE","20140210")</f>
        <v>#N/A N/A</v>
      </c>
      <c r="JA5" t="str">
        <f>_xll.BDS("838969Q US Equity","SUPPLY_CHAIN_SUPPLIERS","RELATIONSHIP_AS_OF_DATE","20040128")</f>
        <v>#N/A N/A</v>
      </c>
      <c r="JF5" t="str">
        <f>_xll.BDS("838969Q US Equity","SUPPLY_CHAIN_CUSTOMERS","RELATIONSHIP_AS_OF_DATE","20040128")</f>
        <v>#N/A N/A</v>
      </c>
      <c r="JK5" t="str">
        <f>_xll.BDS("ZION US Equity","SUPPLY_CHAIN_SUPPLIERS","RELATIONSHIP_AS_OF_DATE","20000107","cols=1;rows=2")</f>
        <v>MUST SP Equity</v>
      </c>
      <c r="JP5" t="str">
        <f>_xll.BDS("ZION US Equity","SUPPLY_CHAIN_CUSTOMERS","RELATIONSHIP_AS_OF_DATE","20000107")</f>
        <v>#N/A N/A</v>
      </c>
      <c r="JU5" t="str">
        <f>_xll.BDS("EXEL US Equity","SUPPLY_CHAIN_SUPPLIERS","RELATIONSHIP_AS_OF_DATE","20000907","cols=1;rows=5")</f>
        <v>RPRX US Equity</v>
      </c>
      <c r="JZ5" t="str">
        <f>_xll.BDS("EXEL US Equity","SUPPLY_CHAIN_CUSTOMERS","RELATIONSHIP_AS_OF_DATE","20000907","cols=1;rows=5")</f>
        <v>COR US Equity</v>
      </c>
      <c r="KE5" t="str">
        <f>_xll.BDS("USB US Equity","SUPPLY_CHAIN_SUPPLIERS","RELATIONSHIP_AS_OF_DATE","20061106","cols=1;rows=5")</f>
        <v>INFO IN Equity</v>
      </c>
      <c r="KJ5" t="str">
        <f>_xll.BDS("USB US Equity","SUPPLY_CHAIN_CUSTOMERS","RELATIONSHIP_AS_OF_DATE","20061106","cols=1;rows=2")</f>
        <v>FISV US Equity</v>
      </c>
      <c r="KO5" t="str">
        <f>_xll.BDS("FCBC US Equity","SUPPLY_CHAIN_SUPPLIERS","RELATIONSHIP_AS_OF_DATE","20190911")</f>
        <v>#N/A N/A</v>
      </c>
      <c r="KT5" t="str">
        <f>_xll.BDS("FCBC US Equity","SUPPLY_CHAIN_CUSTOMERS","RELATIONSHIP_AS_OF_DATE","20190911")</f>
        <v>#N/A N/A</v>
      </c>
      <c r="KY5" t="str">
        <f>_xll.BDS("GE US Equity","SUPPLY_CHAIN_SUPPLIERS","RELATIONSHIP_AS_OF_DATE","20031112","cols=1;rows=5")</f>
        <v>SAF FP Equity</v>
      </c>
      <c r="LD5" t="str">
        <f>_xll.BDS("GE US Equity","SUPPLY_CHAIN_CUSTOMERS","RELATIONSHIP_AS_OF_DATE","20031112","cols=1;rows=5")</f>
        <v>3352Z US Equity</v>
      </c>
      <c r="LI5" t="str">
        <f>_xll.BDS("JPM US Equity","SUPPLY_CHAIN_SUPPLIERS","RELATIONSHIP_AS_OF_DATE","20050107","cols=1;rows=5")</f>
        <v>LUV US Equity</v>
      </c>
      <c r="LN5" t="str">
        <f>_xll.BDS("JPM US Equity","SUPPLY_CHAIN_CUSTOMERS","RELATIONSHIP_AS_OF_DATE","20050107","cols=1;rows=5")</f>
        <v>000737 CH Equity</v>
      </c>
      <c r="LS5" t="str">
        <f>_xll.BDS("NEB US Equity","SUPPLY_CHAIN_SUPPLIERS","RELATIONSHIP_AS_OF_DATE","20030424")</f>
        <v>#N/A N/A</v>
      </c>
      <c r="LX5" t="str">
        <f>_xll.BDS("NEB US Equity","SUPPLY_CHAIN_CUSTOMERS","RELATIONSHIP_AS_OF_DATE","20030424")</f>
        <v>#N/A N/A</v>
      </c>
      <c r="MC5" t="str">
        <f>_xll.BDS("PSEC US Equity","SUPPLY_CHAIN_SUPPLIERS","RELATIONSHIP_AS_OF_DATE","20090803")</f>
        <v>MPW AU Equity</v>
      </c>
      <c r="MH5" t="str">
        <f>_xll.BDS("PSEC US Equity","SUPPLY_CHAIN_CUSTOMERS","RELATIONSHIP_AS_OF_DATE","20090803")</f>
        <v>#N/A N/A</v>
      </c>
      <c r="MM5" t="str">
        <f>_xll.BDS("LBAI US Equity","SUPPLY_CHAIN_SUPPLIERS","RELATIONSHIP_AS_OF_DATE","19981207")</f>
        <v>#N/A N/A</v>
      </c>
      <c r="MR5" t="str">
        <f>_xll.BDS("LBAI US Equity","SUPPLY_CHAIN_CUSTOMERS","RELATIONSHIP_AS_OF_DATE","19981207")</f>
        <v>#N/A N/A</v>
      </c>
      <c r="MW5" t="str">
        <f>_xll.BDS("1068347D US Equity","SUPPLY_CHAIN_SUPPLIERS","RELATIONSHIP_AS_OF_DATE","19980218")</f>
        <v>#N/A N/A</v>
      </c>
      <c r="NB5" t="str">
        <f>_xll.BDS("1068347D US Equity","SUPPLY_CHAIN_CUSTOMERS","RELATIONSHIP_AS_OF_DATE","19980218")</f>
        <v>#N/A N/A</v>
      </c>
      <c r="NG5" t="str">
        <f>_xll.BDS("FBNW US Equity","SUPPLY_CHAIN_SUPPLIERS","RELATIONSHIP_AS_OF_DATE","20030224")</f>
        <v>#N/A N/A</v>
      </c>
      <c r="NL5" t="str">
        <f>_xll.BDS("FBNW US Equity","SUPPLY_CHAIN_CUSTOMERS","RELATIONSHIP_AS_OF_DATE","20030224")</f>
        <v>#N/A N/A</v>
      </c>
      <c r="NQ5" t="str">
        <f>_xll.BDS("388103Q US Equity","SUPPLY_CHAIN_SUPPLIERS","RELATIONSHIP_AS_OF_DATE","20000315")</f>
        <v>#N/A N/A</v>
      </c>
      <c r="NV5" t="str">
        <f>_xll.BDS("388103Q US Equity","SUPPLY_CHAIN_CUSTOMERS","RELATIONSHIP_AS_OF_DATE","20000315")</f>
        <v>#N/A N/A</v>
      </c>
      <c r="OA5" t="str">
        <f>_xll.BDS("3417644Q US Equity","SUPPLY_CHAIN_SUPPLIERS","RELATIONSHIP_AS_OF_DATE","20010709")</f>
        <v>#N/A N/A</v>
      </c>
      <c r="OF5" t="str">
        <f>_xll.BDS("3417644Q US Equity","SUPPLY_CHAIN_CUSTOMERS","RELATIONSHIP_AS_OF_DATE","20010709")</f>
        <v>#N/A N/A</v>
      </c>
    </row>
    <row r="6" spans="1:396" x14ac:dyDescent="0.25">
      <c r="K6" t="s">
        <v>41</v>
      </c>
      <c r="P6" t="s">
        <v>266</v>
      </c>
      <c r="U6" t="s">
        <v>11564</v>
      </c>
      <c r="AE6" t="s">
        <v>11307</v>
      </c>
      <c r="AJ6" t="s">
        <v>11275</v>
      </c>
      <c r="AO6" t="s">
        <v>11521</v>
      </c>
      <c r="AY6" t="s">
        <v>10735</v>
      </c>
      <c r="BD6" t="s">
        <v>1468</v>
      </c>
      <c r="FO6" t="s">
        <v>10878</v>
      </c>
      <c r="FT6" t="s">
        <v>10939</v>
      </c>
      <c r="FY6" t="s">
        <v>5575</v>
      </c>
      <c r="GD6" t="s">
        <v>388</v>
      </c>
      <c r="HM6" t="s">
        <v>11095</v>
      </c>
      <c r="HR6" t="s">
        <v>158</v>
      </c>
      <c r="IG6" t="s">
        <v>11698</v>
      </c>
      <c r="JK6" t="s">
        <v>11221</v>
      </c>
      <c r="JU6" t="s">
        <v>44</v>
      </c>
      <c r="JZ6" t="s">
        <v>385</v>
      </c>
      <c r="KE6" t="s">
        <v>266</v>
      </c>
      <c r="KJ6" t="s">
        <v>11294</v>
      </c>
      <c r="KY6" t="s">
        <v>11008</v>
      </c>
      <c r="LD6" t="s">
        <v>1363</v>
      </c>
      <c r="LI6" t="s">
        <v>3865</v>
      </c>
      <c r="LN6" t="s">
        <v>12010</v>
      </c>
    </row>
    <row r="7" spans="1:396" x14ac:dyDescent="0.25">
      <c r="K7" t="s">
        <v>469</v>
      </c>
      <c r="P7" t="s">
        <v>10892</v>
      </c>
      <c r="U7" t="s">
        <v>11565</v>
      </c>
      <c r="AE7" t="s">
        <v>11308</v>
      </c>
      <c r="AY7" t="s">
        <v>45</v>
      </c>
      <c r="BD7" t="s">
        <v>970</v>
      </c>
      <c r="FO7" t="s">
        <v>11030</v>
      </c>
      <c r="FT7" t="s">
        <v>10785</v>
      </c>
      <c r="FY7" t="s">
        <v>11059</v>
      </c>
      <c r="GD7" t="s">
        <v>10785</v>
      </c>
      <c r="HM7" t="s">
        <v>10715</v>
      </c>
      <c r="HR7" t="s">
        <v>10893</v>
      </c>
      <c r="IG7" t="s">
        <v>11699</v>
      </c>
      <c r="JU7" t="s">
        <v>11339</v>
      </c>
      <c r="JZ7" t="s">
        <v>52</v>
      </c>
      <c r="KE7" t="s">
        <v>1654</v>
      </c>
      <c r="KY7" t="s">
        <v>11009</v>
      </c>
      <c r="LD7" t="s">
        <v>10939</v>
      </c>
      <c r="LI7" t="s">
        <v>12022</v>
      </c>
      <c r="LN7" t="s">
        <v>12011</v>
      </c>
    </row>
    <row r="8" spans="1:396" x14ac:dyDescent="0.25">
      <c r="K8" t="s">
        <v>2881</v>
      </c>
      <c r="P8" t="s">
        <v>6473</v>
      </c>
      <c r="U8" t="s">
        <v>1161</v>
      </c>
      <c r="AE8" t="s">
        <v>11309</v>
      </c>
      <c r="AY8" t="s">
        <v>3437</v>
      </c>
      <c r="BD8" t="s">
        <v>51</v>
      </c>
      <c r="FO8" t="s">
        <v>11031</v>
      </c>
      <c r="FT8" t="s">
        <v>1652</v>
      </c>
      <c r="FY8" t="s">
        <v>586</v>
      </c>
      <c r="GD8" t="s">
        <v>10657</v>
      </c>
      <c r="HM8" t="s">
        <v>480</v>
      </c>
      <c r="HR8" t="s">
        <v>6473</v>
      </c>
      <c r="IG8" t="s">
        <v>11700</v>
      </c>
      <c r="JU8" t="s">
        <v>5074</v>
      </c>
      <c r="JZ8" t="s">
        <v>51</v>
      </c>
      <c r="KE8" t="s">
        <v>772</v>
      </c>
      <c r="KY8" t="s">
        <v>11010</v>
      </c>
      <c r="LD8" t="s">
        <v>1652</v>
      </c>
      <c r="LI8" t="s">
        <v>171</v>
      </c>
      <c r="LN8" t="s">
        <v>10657</v>
      </c>
    </row>
    <row r="9" spans="1:396" x14ac:dyDescent="0.25">
      <c r="K9" t="s">
        <v>10853</v>
      </c>
      <c r="P9" t="s">
        <v>969</v>
      </c>
      <c r="U9" t="s">
        <v>56</v>
      </c>
      <c r="AE9" t="s">
        <v>11310</v>
      </c>
      <c r="AY9" t="s">
        <v>11012</v>
      </c>
      <c r="BD9" t="s">
        <v>10944</v>
      </c>
      <c r="FO9" t="s">
        <v>11032</v>
      </c>
      <c r="FT9" t="s">
        <v>1847</v>
      </c>
      <c r="FY9" t="s">
        <v>11401</v>
      </c>
      <c r="GD9" t="s">
        <v>274</v>
      </c>
      <c r="HM9" t="s">
        <v>10957</v>
      </c>
      <c r="HR9" t="s">
        <v>10853</v>
      </c>
      <c r="IG9" t="s">
        <v>11701</v>
      </c>
      <c r="JU9" t="s">
        <v>11340</v>
      </c>
      <c r="JZ9" t="s">
        <v>472</v>
      </c>
      <c r="KE9" t="s">
        <v>11073</v>
      </c>
      <c r="KY9" t="s">
        <v>3625</v>
      </c>
      <c r="LD9" t="s">
        <v>1740</v>
      </c>
      <c r="LI9" t="s">
        <v>1654</v>
      </c>
      <c r="LN9" t="s">
        <v>12012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8120</v>
      </c>
      <c r="K1" s="1" t="s">
        <v>8121</v>
      </c>
      <c r="U1" s="1" t="s">
        <v>8122</v>
      </c>
      <c r="AE1" s="1" t="s">
        <v>8123</v>
      </c>
      <c r="AO1" s="1" t="s">
        <v>8124</v>
      </c>
      <c r="AY1" s="1" t="s">
        <v>8125</v>
      </c>
      <c r="BI1" s="1" t="s">
        <v>8126</v>
      </c>
      <c r="BS1" s="1" t="s">
        <v>8127</v>
      </c>
      <c r="CC1" s="1" t="s">
        <v>8128</v>
      </c>
      <c r="CM1" s="1" t="s">
        <v>8129</v>
      </c>
      <c r="CW1" s="1" t="s">
        <v>8130</v>
      </c>
      <c r="DG1" s="1" t="s">
        <v>8131</v>
      </c>
      <c r="DQ1" s="1" t="s">
        <v>8132</v>
      </c>
      <c r="EA1" s="1" t="s">
        <v>8133</v>
      </c>
      <c r="EK1" s="1" t="s">
        <v>8134</v>
      </c>
      <c r="EU1" s="1" t="s">
        <v>8135</v>
      </c>
      <c r="FE1" s="1" t="s">
        <v>8136</v>
      </c>
      <c r="FO1" s="1" t="s">
        <v>8137</v>
      </c>
      <c r="FY1" s="1" t="s">
        <v>8138</v>
      </c>
      <c r="GI1" s="1" t="s">
        <v>8139</v>
      </c>
      <c r="GS1" s="1" t="s">
        <v>8140</v>
      </c>
      <c r="HC1" s="1" t="s">
        <v>8141</v>
      </c>
      <c r="HM1" s="1" t="s">
        <v>8142</v>
      </c>
      <c r="HW1" s="1" t="s">
        <v>8143</v>
      </c>
      <c r="IG1" s="1" t="s">
        <v>8144</v>
      </c>
      <c r="IQ1" s="1" t="s">
        <v>8145</v>
      </c>
      <c r="JA1" s="1" t="s">
        <v>8146</v>
      </c>
      <c r="JK1" s="1" t="s">
        <v>8147</v>
      </c>
      <c r="JU1" s="1" t="s">
        <v>8148</v>
      </c>
      <c r="KE1" s="1" t="s">
        <v>8149</v>
      </c>
      <c r="KO1" s="1" t="s">
        <v>8150</v>
      </c>
      <c r="KY1" s="1" t="s">
        <v>8151</v>
      </c>
      <c r="LI1" s="1" t="s">
        <v>8152</v>
      </c>
      <c r="LS1" s="1" t="s">
        <v>8153</v>
      </c>
      <c r="MC1" s="1" t="s">
        <v>8154</v>
      </c>
      <c r="MM1" s="1" t="s">
        <v>8155</v>
      </c>
      <c r="MW1" s="1" t="s">
        <v>8156</v>
      </c>
      <c r="NG1" s="1" t="s">
        <v>8157</v>
      </c>
      <c r="NQ1" s="1" t="s">
        <v>8158</v>
      </c>
      <c r="OA1" s="1" t="s">
        <v>8159</v>
      </c>
    </row>
    <row r="2" spans="1:396" x14ac:dyDescent="0.25">
      <c r="A2" s="2" t="s">
        <v>8160</v>
      </c>
      <c r="K2" s="2" t="s">
        <v>8161</v>
      </c>
      <c r="U2" s="2" t="s">
        <v>8162</v>
      </c>
      <c r="AE2" s="2" t="s">
        <v>4822</v>
      </c>
      <c r="AO2" s="2" t="s">
        <v>4815</v>
      </c>
      <c r="AY2" s="2" t="s">
        <v>4567</v>
      </c>
      <c r="BI2" s="2" t="s">
        <v>262</v>
      </c>
      <c r="BS2" s="2" t="s">
        <v>2517</v>
      </c>
      <c r="CC2" s="2" t="s">
        <v>4481</v>
      </c>
      <c r="CM2" s="2" t="s">
        <v>880</v>
      </c>
      <c r="CW2" s="2" t="s">
        <v>7693</v>
      </c>
      <c r="DG2" s="2" t="s">
        <v>3258</v>
      </c>
      <c r="DQ2" s="2" t="s">
        <v>4213</v>
      </c>
      <c r="EA2" s="2" t="s">
        <v>7609</v>
      </c>
      <c r="EK2" s="2" t="s">
        <v>6560</v>
      </c>
      <c r="EU2" s="2" t="s">
        <v>1945</v>
      </c>
      <c r="FE2" s="2" t="s">
        <v>8163</v>
      </c>
      <c r="FO2" s="2" t="s">
        <v>8004</v>
      </c>
      <c r="FY2" s="2" t="s">
        <v>3530</v>
      </c>
      <c r="GI2" s="2" t="s">
        <v>1755</v>
      </c>
      <c r="GS2" s="2" t="s">
        <v>8164</v>
      </c>
      <c r="HC2" s="2" t="s">
        <v>8165</v>
      </c>
      <c r="HM2" s="2" t="s">
        <v>1934</v>
      </c>
      <c r="HW2" s="2" t="s">
        <v>3058</v>
      </c>
      <c r="IG2" s="2" t="s">
        <v>8166</v>
      </c>
      <c r="IQ2" s="2" t="s">
        <v>5252</v>
      </c>
      <c r="JA2" s="2" t="s">
        <v>4395</v>
      </c>
      <c r="JK2" s="2" t="s">
        <v>8167</v>
      </c>
      <c r="JU2" s="2" t="s">
        <v>979</v>
      </c>
      <c r="KE2" s="2" t="s">
        <v>7223</v>
      </c>
      <c r="KO2" s="2" t="s">
        <v>4735</v>
      </c>
      <c r="KY2" s="2" t="s">
        <v>1463</v>
      </c>
      <c r="LI2" s="2" t="s">
        <v>8168</v>
      </c>
      <c r="LS2" s="2" t="s">
        <v>5989</v>
      </c>
      <c r="MC2" s="2" t="s">
        <v>7769</v>
      </c>
      <c r="MM2" s="2" t="s">
        <v>8169</v>
      </c>
      <c r="MW2" s="2" t="s">
        <v>8170</v>
      </c>
      <c r="NG2" s="2" t="s">
        <v>3954</v>
      </c>
      <c r="NQ2" s="2" t="s">
        <v>8171</v>
      </c>
      <c r="OA2" s="2" t="s">
        <v>6547</v>
      </c>
    </row>
    <row r="3" spans="1:396" x14ac:dyDescent="0.25">
      <c r="A3" t="s">
        <v>8172</v>
      </c>
      <c r="K3" t="s">
        <v>8173</v>
      </c>
      <c r="U3" t="s">
        <v>6502</v>
      </c>
      <c r="AE3" t="s">
        <v>8174</v>
      </c>
      <c r="AO3" t="s">
        <v>8175</v>
      </c>
      <c r="AY3" t="s">
        <v>8176</v>
      </c>
      <c r="BI3" t="s">
        <v>8177</v>
      </c>
      <c r="BS3" t="s">
        <v>2344</v>
      </c>
      <c r="CC3" t="s">
        <v>1566</v>
      </c>
      <c r="CM3" t="s">
        <v>1773</v>
      </c>
      <c r="CW3" t="s">
        <v>6907</v>
      </c>
      <c r="DG3" t="s">
        <v>8178</v>
      </c>
      <c r="DQ3" t="s">
        <v>4239</v>
      </c>
      <c r="EA3" t="s">
        <v>4829</v>
      </c>
      <c r="EK3" t="s">
        <v>8179</v>
      </c>
      <c r="EU3" t="s">
        <v>1023</v>
      </c>
      <c r="FE3" t="s">
        <v>3187</v>
      </c>
      <c r="FO3" t="s">
        <v>8180</v>
      </c>
      <c r="FY3" t="s">
        <v>3645</v>
      </c>
      <c r="GI3" t="s">
        <v>492</v>
      </c>
      <c r="GS3" t="s">
        <v>8181</v>
      </c>
      <c r="HC3" t="s">
        <v>1875</v>
      </c>
      <c r="HM3" t="s">
        <v>2544</v>
      </c>
      <c r="HW3" t="s">
        <v>7715</v>
      </c>
      <c r="IG3" t="s">
        <v>2534</v>
      </c>
      <c r="IQ3" t="s">
        <v>4831</v>
      </c>
      <c r="JA3" t="s">
        <v>8182</v>
      </c>
      <c r="JK3" t="s">
        <v>7782</v>
      </c>
      <c r="JU3" t="s">
        <v>8183</v>
      </c>
      <c r="KE3" t="s">
        <v>8184</v>
      </c>
      <c r="KO3" t="s">
        <v>8185</v>
      </c>
      <c r="KY3" t="s">
        <v>8186</v>
      </c>
      <c r="LI3" t="s">
        <v>1203</v>
      </c>
      <c r="LS3" t="s">
        <v>1483</v>
      </c>
      <c r="MC3" t="s">
        <v>415</v>
      </c>
      <c r="MM3" t="s">
        <v>8187</v>
      </c>
      <c r="MW3" t="s">
        <v>8188</v>
      </c>
      <c r="NG3" t="s">
        <v>8189</v>
      </c>
      <c r="NQ3" t="s">
        <v>7318</v>
      </c>
      <c r="OA3" t="s">
        <v>82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_xll.BDS("1611364D US Equity","SUPPLY_CHAIN_SUPPLIERS","RELATIONSHIP_AS_OF_DATE","19990711")</f>
        <v>2304886D US Equity</v>
      </c>
      <c r="F5" t="str">
        <f>_xll.BDS("1611364D US Equity","SUPPLY_CHAIN_CUSTOMERS","RELATIONSHIP_AS_OF_DATE","19990711")</f>
        <v>8033 TT Equity</v>
      </c>
      <c r="K5" t="str">
        <f>_xll.BDS("FSNMQ US Equity","SUPPLY_CHAIN_SUPPLIERS","RELATIONSHIP_AS_OF_DATE","20061005")</f>
        <v>#N/A N/A</v>
      </c>
      <c r="P5" t="str">
        <f>_xll.BDS("FSNMQ US Equity","SUPPLY_CHAIN_CUSTOMERS","RELATIONSHIP_AS_OF_DATE","20061005")</f>
        <v>#N/A N/A</v>
      </c>
      <c r="U5" t="str">
        <f>_xll.BDS("3075370Q US Equity","SUPPLY_CHAIN_SUPPLIERS","RELATIONSHIP_AS_OF_DATE","19980401")</f>
        <v>#N/A N/A</v>
      </c>
      <c r="Z5" t="str">
        <f>_xll.BDS("3075370Q US Equity","SUPPLY_CHAIN_CUSTOMERS","RELATIONSHIP_AS_OF_DATE","19980401")</f>
        <v>#N/A N/A</v>
      </c>
      <c r="AE5" t="str">
        <f>_xll.BDS("KRNY US Equity","SUPPLY_CHAIN_SUPPLIERS","RELATIONSHIP_AS_OF_DATE","20100525")</f>
        <v>FISV US Equity</v>
      </c>
      <c r="AJ5" t="str">
        <f>_xll.BDS("KRNY US Equity","SUPPLY_CHAIN_CUSTOMERS","RELATIONSHIP_AS_OF_DATE","20100525")</f>
        <v>#N/A N/A</v>
      </c>
      <c r="AO5" t="str">
        <f>_xll.BDS("8397627Q US Equity","SUPPLY_CHAIN_SUPPLIERS","RELATIONSHIP_AS_OF_DATE","20030409")</f>
        <v>#N/A N/A</v>
      </c>
      <c r="AT5" t="str">
        <f>_xll.BDS("8397627Q US Equity","SUPPLY_CHAIN_CUSTOMERS","RELATIONSHIP_AS_OF_DATE","20030409")</f>
        <v>#N/A N/A</v>
      </c>
      <c r="AY5" t="str">
        <f>_xll.BDS("OSGIQ US Equity","SUPPLY_CHAIN_SUPPLIERS","RELATIONSHIP_AS_OF_DATE","20090729")</f>
        <v>#N/A N/A</v>
      </c>
      <c r="BD5" t="str">
        <f>_xll.BDS("OSGIQ US Equity","SUPPLY_CHAIN_CUSTOMERS","RELATIONSHIP_AS_OF_DATE","20090729")</f>
        <v>#N/A N/A</v>
      </c>
      <c r="BI5" t="str">
        <f>_xll.BDS("BSX US Equity","SUPPLY_CHAIN_SUPPLIERS","RELATIONSHIP_AS_OF_DATE","20050414","cols=1;rows=5")</f>
        <v>FLEX US Equity</v>
      </c>
      <c r="BN5" t="str">
        <f>_xll.BDS("BSX US Equity","SUPPLY_CHAIN_CUSTOMERS","RELATIONSHIP_AS_OF_DATE","20050414","cols=1;rows=5")</f>
        <v>000078 CH Equity</v>
      </c>
      <c r="BS5" t="str">
        <f>_xll.BDS("OCR US Equity","SUPPLY_CHAIN_SUPPLIERS","RELATIONSHIP_AS_OF_DATE","19980223")</f>
        <v>#N/A N/A</v>
      </c>
      <c r="BX5" t="str">
        <f>_xll.BDS("OCR US Equity","SUPPLY_CHAIN_CUSTOMERS","RELATIONSHIP_AS_OF_DATE","19980223","cols=1;rows=2")</f>
        <v>3176 TT Equity</v>
      </c>
      <c r="CC5" t="str">
        <f>_xll.BDS("SUG US Equity","SUPPLY_CHAIN_SUPPLIERS","RELATIONSHIP_AS_OF_DATE","19991005")</f>
        <v>#N/A N/A</v>
      </c>
      <c r="CH5" t="str">
        <f>_xll.BDS("SUG US Equity","SUPPLY_CHAIN_CUSTOMERS","RELATIONSHIP_AS_OF_DATE","19991005")</f>
        <v>#N/A N/A</v>
      </c>
      <c r="CM5" t="str">
        <f>_xll.BDS("2860436Q US Equity","SUPPLY_CHAIN_SUPPLIERS","RELATIONSHIP_AS_OF_DATE","20000726")</f>
        <v>#N/A N/A</v>
      </c>
      <c r="CR5" t="str">
        <f>_xll.BDS("2860436Q US Equity","SUPPLY_CHAIN_CUSTOMERS","RELATIONSHIP_AS_OF_DATE","20000726")</f>
        <v>#N/A N/A</v>
      </c>
      <c r="CW5" t="str">
        <f>_xll.BDS("8215820Q US Equity","SUPPLY_CHAIN_SUPPLIERS","RELATIONSHIP_AS_OF_DATE","20010619")</f>
        <v>#N/A N/A</v>
      </c>
      <c r="DB5" t="str">
        <f>_xll.BDS("8215820Q US Equity","SUPPLY_CHAIN_CUSTOMERS","RELATIONSHIP_AS_OF_DATE","20010619")</f>
        <v>#N/A N/A</v>
      </c>
      <c r="DG5" t="str">
        <f>_xll.BDS("PPBI US Equity","SUPPLY_CHAIN_SUPPLIERS","RELATIONSHIP_AS_OF_DATE","20141022")</f>
        <v>MUST SP Equity</v>
      </c>
      <c r="DL5" t="str">
        <f>_xll.BDS("PPBI US Equity","SUPPLY_CHAIN_CUSTOMERS","RELATIONSHIP_AS_OF_DATE","20141022")</f>
        <v>#N/A N/A</v>
      </c>
      <c r="DQ5" t="str">
        <f>_xll.BDS("NAL US Equity","SUPPLY_CHAIN_SUPPLIERS","RELATIONSHIP_AS_OF_DATE","20030716")</f>
        <v>#N/A N/A</v>
      </c>
      <c r="DV5" t="str">
        <f>_xll.BDS("NAL US Equity","SUPPLY_CHAIN_CUSTOMERS","RELATIONSHIP_AS_OF_DATE","20030716")</f>
        <v>#N/A N/A</v>
      </c>
      <c r="EA5" t="str">
        <f>_xll.BDS("FMNB US Equity","SUPPLY_CHAIN_SUPPLIERS","RELATIONSHIP_AS_OF_DATE","20150127")</f>
        <v>#N/A N/A</v>
      </c>
      <c r="EF5" t="str">
        <f>_xll.BDS("FMNB US Equity","SUPPLY_CHAIN_CUSTOMERS","RELATIONSHIP_AS_OF_DATE","20150127")</f>
        <v>#N/A N/A</v>
      </c>
      <c r="EK5" t="str">
        <f>_xll.BDS("BTFG US Equity","SUPPLY_CHAIN_SUPPLIERS","RELATIONSHIP_AS_OF_DATE","20030528")</f>
        <v>#N/A N/A</v>
      </c>
      <c r="EP5" t="str">
        <f>_xll.BDS("BTFG US Equity","SUPPLY_CHAIN_CUSTOMERS","RELATIONSHIP_AS_OF_DATE","20030528")</f>
        <v>#N/A N/A</v>
      </c>
      <c r="EU5" t="str">
        <f>_xll.BDS("ONB US Equity","SUPPLY_CHAIN_SUPPLIERS","RELATIONSHIP_AS_OF_DATE","20061023","cols=1;rows=3")</f>
        <v>FCPT US Equity</v>
      </c>
      <c r="EZ5" t="str">
        <f>_xll.BDS("ONB US Equity","SUPPLY_CHAIN_CUSTOMERS","RELATIONSHIP_AS_OF_DATE","20061023")</f>
        <v>#N/A N/A</v>
      </c>
      <c r="FE5" t="str">
        <f>_xll.BDS("RSHCQ US Equity","SUPPLY_CHAIN_SUPPLIERS","RELATIONSHIP_AS_OF_DATE","19990521")</f>
        <v>INVE US Equity</v>
      </c>
      <c r="FJ5" t="str">
        <f>_xll.BDS("RSHCQ US Equity","SUPPLY_CHAIN_CUSTOMERS","RELATIONSHIP_AS_OF_DATE","19990521")</f>
        <v>#N/A N/A</v>
      </c>
      <c r="FO5" t="str">
        <f>_xll.BDS("FPFCQ US Equity","SUPPLY_CHAIN_SUPPLIERS","RELATIONSHIP_AS_OF_DATE","20060127")</f>
        <v>#N/A N/A</v>
      </c>
      <c r="FT5" t="str">
        <f>_xll.BDS("FPFCQ US Equity","SUPPLY_CHAIN_CUSTOMERS","RELATIONSHIP_AS_OF_DATE","20060127")</f>
        <v>#N/A N/A</v>
      </c>
      <c r="FY5" t="str">
        <f>_xll.BDS("CVBF US Equity","SUPPLY_CHAIN_SUPPLIERS","RELATIONSHIP_AS_OF_DATE","19990518")</f>
        <v>#N/A N/A</v>
      </c>
      <c r="GD5" t="str">
        <f>_xll.BDS("CVBF US Equity","SUPPLY_CHAIN_CUSTOMERS","RELATIONSHIP_AS_OF_DATE","19990518")</f>
        <v>#N/A N/A</v>
      </c>
      <c r="GI5" t="str">
        <f>_xll.BDS("1284849D US Equity","SUPPLY_CHAIN_SUPPLIERS","RELATIONSHIP_AS_OF_DATE","20010416","cols=1;rows=5")</f>
        <v>AEE US Equity</v>
      </c>
      <c r="GN5" t="str">
        <f>_xll.BDS("1284849D US Equity","SUPPLY_CHAIN_CUSTOMERS","RELATIONSHIP_AS_OF_DATE","20010416")</f>
        <v>4569 JP Equity</v>
      </c>
      <c r="GS5" t="str">
        <f>_xll.BDS("STOKQ US Equity","SUPPLY_CHAIN_SUPPLIERS","RELATIONSHIP_AS_OF_DATE","20000606")</f>
        <v>#N/A N/A</v>
      </c>
      <c r="GX5" t="str">
        <f>_xll.BDS("STOKQ US Equity","SUPPLY_CHAIN_CUSTOMERS","RELATIONSHIP_AS_OF_DATE","20000606")</f>
        <v>#N/A N/A</v>
      </c>
      <c r="HC5" t="str">
        <f>_xll.BDS("NNN US Equity","SUPPLY_CHAIN_SUPPLIERS","RELATIONSHIP_AS_OF_DATE","20010702")</f>
        <v>#N/A N/A</v>
      </c>
      <c r="HH5" t="str">
        <f>_xll.BDS("NNN US Equity","SUPPLY_CHAIN_CUSTOMERS","RELATIONSHIP_AS_OF_DATE","20010702","cols=1;rows=5")</f>
        <v>3382 JP Equity</v>
      </c>
      <c r="HM5" t="str">
        <f>_xll.BDS("1927294D US Equity","SUPPLY_CHAIN_SUPPLIERS","RELATIONSHIP_AS_OF_DATE","19990301")</f>
        <v>FE US Equity</v>
      </c>
      <c r="HR5" t="str">
        <f>_xll.BDS("1927294D US Equity","SUPPLY_CHAIN_CUSTOMERS","RELATIONSHIP_AS_OF_DATE","19990301")</f>
        <v>#N/A N/A</v>
      </c>
      <c r="HW5" t="str">
        <f>_xll.BDS("605018Q US Equity","SUPPLY_CHAIN_SUPPLIERS","RELATIONSHIP_AS_OF_DATE","20030116")</f>
        <v>#N/A N/A</v>
      </c>
      <c r="IB5" t="str">
        <f>_xll.BDS("605018Q US Equity","SUPPLY_CHAIN_CUSTOMERS","RELATIONSHIP_AS_OF_DATE","20030116")</f>
        <v>#N/A N/A</v>
      </c>
      <c r="IG5" t="str">
        <f>_xll.BDS("QVDX US Equity","SUPPLY_CHAIN_SUPPLIERS","RELATIONSHIP_AS_OF_DATE","20010514")</f>
        <v>#N/A N/A</v>
      </c>
      <c r="IL5" t="str">
        <f>_xll.BDS("QVDX US Equity","SUPPLY_CHAIN_CUSTOMERS","RELATIONSHIP_AS_OF_DATE","20010514")</f>
        <v>#N/A N/A</v>
      </c>
      <c r="IQ5" t="str">
        <f>_xll.BDS("LGTO US Equity","SUPPLY_CHAIN_SUPPLIERS","RELATIONSHIP_AS_OF_DATE","19981026")</f>
        <v>#N/A N/A</v>
      </c>
      <c r="IV5" t="str">
        <f>_xll.BDS("LGTO US Equity","SUPPLY_CHAIN_CUSTOMERS","RELATIONSHIP_AS_OF_DATE","19981026")</f>
        <v>256811Z US Equity</v>
      </c>
      <c r="JA5" t="str">
        <f>_xll.BDS("WSBC US Equity","SUPPLY_CHAIN_SUPPLIERS","RELATIONSHIP_AS_OF_DATE","20120719")</f>
        <v>#N/A N/A</v>
      </c>
      <c r="JF5" t="str">
        <f>_xll.BDS("WSBC US Equity","SUPPLY_CHAIN_CUSTOMERS","RELATIONSHIP_AS_OF_DATE","20120719","cols=1;rows=2")</f>
        <v>NINE CN Equity</v>
      </c>
      <c r="JK5" t="str">
        <f>_xll.BDS("HBCP US Equity","SUPPLY_CHAIN_SUPPLIERS","RELATIONSHIP_AS_OF_DATE","20150618")</f>
        <v>#N/A N/A</v>
      </c>
      <c r="JP5" t="str">
        <f>_xll.BDS("HBCP US Equity","SUPPLY_CHAIN_CUSTOMERS","RELATIONSHIP_AS_OF_DATE","20150618")</f>
        <v>#N/A N/A</v>
      </c>
      <c r="JU5" t="str">
        <f>_xll.BDS("WLL US Equity","SUPPLY_CHAIN_SUPPLIERS","RELATIONSHIP_AS_OF_DATE","20040202")</f>
        <v>#N/A N/A</v>
      </c>
      <c r="JZ5" t="str">
        <f>_xll.BDS("WLL US Equity","SUPPLY_CHAIN_CUSTOMERS","RELATIONSHIP_AS_OF_DATE","20040202")</f>
        <v>#N/A N/A</v>
      </c>
      <c r="KE5" t="str">
        <f>_xll.BDS("AON US Equity","SUPPLY_CHAIN_SUPPLIERS","RELATIONSHIP_AS_OF_DATE","20120227","cols=1;rows=5")</f>
        <v>1972 HK Equity</v>
      </c>
      <c r="KJ5" t="str">
        <f>_xll.BDS("AON US Equity","SUPPLY_CHAIN_CUSTOMERS","RELATIONSHIP_AS_OF_DATE","20120227","cols=1;rows=5")</f>
        <v>FPAYQ US Equity</v>
      </c>
      <c r="KO5" t="str">
        <f>_xll.BDS("FMBI US Equity","SUPPLY_CHAIN_SUPPLIERS","RELATIONSHIP_AS_OF_DATE","20151112")</f>
        <v>#N/A N/A</v>
      </c>
      <c r="KT5" t="str">
        <f>_xll.BDS("FMBI US Equity","SUPPLY_CHAIN_CUSTOMERS","RELATIONSHIP_AS_OF_DATE","20151112")</f>
        <v>#N/A N/A</v>
      </c>
      <c r="KY5" t="str">
        <f>_xll.BDS("ITW US Equity","SUPPLY_CHAIN_SUPPLIERS","RELATIONSHIP_AS_OF_DATE","20010411","cols=1;rows=5")</f>
        <v>179 HK Equity</v>
      </c>
      <c r="LD5" t="str">
        <f>_xll.BDS("ITW US Equity","SUPPLY_CHAIN_CUSTOMERS","RELATIONSHIP_AS_OF_DATE","20010411","cols=1;rows=5")</f>
        <v>TSCO US Equity</v>
      </c>
      <c r="LI5" t="str">
        <f>_xll.BDS("TA US Equity","SUPPLY_CHAIN_SUPPLIERS","RELATIONSHIP_AS_OF_DATE","20070530","cols=1;rows=5")</f>
        <v>0707205D US Equity</v>
      </c>
      <c r="LN5" t="str">
        <f>_xll.BDS("TA US Equity","SUPPLY_CHAIN_CUSTOMERS","RELATIONSHIP_AS_OF_DATE","20070530")</f>
        <v>#N/A N/A</v>
      </c>
      <c r="LS5" t="str">
        <f>_xll.BDS("HAS US Equity","SUPPLY_CHAIN_SUPPLIERS","RELATIONSHIP_AS_OF_DATE","19980812","cols=1;rows=5")</f>
        <v>PTC US Equity</v>
      </c>
      <c r="LX5" t="str">
        <f>_xll.BDS("HAS US Equity","SUPPLY_CHAIN_CUSTOMERS","RELATIONSHIP_AS_OF_DATE","19980812","cols=1;rows=5")</f>
        <v>AMZN US Equity</v>
      </c>
      <c r="MC5" t="str">
        <f>_xll.BDS("HNH US Equity","SUPPLY_CHAIN_SUPPLIERS","RELATIONSHIP_AS_OF_DATE","20150601")</f>
        <v>#N/A N/A</v>
      </c>
      <c r="MH5" t="str">
        <f>_xll.BDS("HNH US Equity","SUPPLY_CHAIN_CUSTOMERS","RELATIONSHIP_AS_OF_DATE","20150601")</f>
        <v>#N/A N/A</v>
      </c>
      <c r="MM5" t="str">
        <f>_xll.BDS("LNY US Equity","SUPPLY_CHAIN_SUPPLIERS","RELATIONSHIP_AS_OF_DATE","20000926","cols=1;rows=2")</f>
        <v>AEYE US Equity</v>
      </c>
      <c r="MR5" t="str">
        <f>_xll.BDS("LNY US Equity","SUPPLY_CHAIN_CUSTOMERS","RELATIONSHIP_AS_OF_DATE","20000926")</f>
        <v>#N/A N/A</v>
      </c>
      <c r="MW5" t="str">
        <f>_xll.BDS("SOA US Equity","SUPPLY_CHAIN_SUPPLIERS","RELATIONSHIP_AS_OF_DATE","20111007")</f>
        <v>#N/A N/A</v>
      </c>
      <c r="NB5" t="str">
        <f>_xll.BDS("SOA US Equity","SUPPLY_CHAIN_CUSTOMERS","RELATIONSHIP_AS_OF_DATE","20111007")</f>
        <v>#N/A N/A</v>
      </c>
      <c r="NG5" t="str">
        <f>_xll.BDS("2674129Q US Equity","SUPPLY_CHAIN_SUPPLIERS","RELATIONSHIP_AS_OF_DATE","20041222")</f>
        <v>#N/A N/A</v>
      </c>
      <c r="NL5" t="str">
        <f>_xll.BDS("2674129Q US Equity","SUPPLY_CHAIN_CUSTOMERS","RELATIONSHIP_AS_OF_DATE","20041222")</f>
        <v>#N/A N/A</v>
      </c>
      <c r="NQ5" t="str">
        <f>_xll.BDS("LNN US Equity","SUPPLY_CHAIN_SUPPLIERS","RELATIONSHIP_AS_OF_DATE","20141104","cols=1;rows=5")</f>
        <v>1530039D US Equity</v>
      </c>
      <c r="NV5" t="str">
        <f>_xll.BDS("LNN US Equity","SUPPLY_CHAIN_CUSTOMERS","RELATIONSHIP_AS_OF_DATE","20141104","cols=1;rows=2")</f>
        <v>0398293Z US Equity</v>
      </c>
      <c r="OA5" t="str">
        <f>_xll.BDS("HNBC US Equity","SUPPLY_CHAIN_SUPPLIERS","RELATIONSHIP_AS_OF_DATE","19980728")</f>
        <v>#N/A N/A</v>
      </c>
      <c r="OF5" t="str">
        <f>_xll.BDS("HNBC US Equity","SUPPLY_CHAIN_CUSTOMERS","RELATIONSHIP_AS_OF_DATE","19980728")</f>
        <v>#N/A N/A</v>
      </c>
    </row>
    <row r="6" spans="1:396" x14ac:dyDescent="0.25">
      <c r="BI6" t="s">
        <v>10735</v>
      </c>
      <c r="BN6" t="s">
        <v>10744</v>
      </c>
      <c r="BX6" t="s">
        <v>11784</v>
      </c>
      <c r="EU6" t="s">
        <v>8932</v>
      </c>
      <c r="GI6" t="s">
        <v>10696</v>
      </c>
      <c r="HH6" t="s">
        <v>11388</v>
      </c>
      <c r="JF6" t="s">
        <v>11320</v>
      </c>
      <c r="KE6" t="s">
        <v>11436</v>
      </c>
      <c r="KJ6" t="s">
        <v>11405</v>
      </c>
      <c r="KY6" t="s">
        <v>11335</v>
      </c>
      <c r="LD6" t="s">
        <v>10660</v>
      </c>
      <c r="LI6" t="s">
        <v>11269</v>
      </c>
      <c r="LS6" t="s">
        <v>11517</v>
      </c>
      <c r="LX6" t="s">
        <v>10676</v>
      </c>
      <c r="MM6" t="s">
        <v>11743</v>
      </c>
      <c r="NQ6" t="s">
        <v>8762</v>
      </c>
      <c r="NV6" t="s">
        <v>11713</v>
      </c>
    </row>
    <row r="7" spans="1:396" x14ac:dyDescent="0.25">
      <c r="BI7" t="s">
        <v>10806</v>
      </c>
      <c r="BN7" t="s">
        <v>10745</v>
      </c>
      <c r="EU7" t="s">
        <v>3162</v>
      </c>
      <c r="GI7" t="s">
        <v>1265</v>
      </c>
      <c r="HH7" t="s">
        <v>11389</v>
      </c>
      <c r="KE7" t="s">
        <v>11289</v>
      </c>
      <c r="KJ7" t="s">
        <v>11406</v>
      </c>
      <c r="KY7" t="s">
        <v>10807</v>
      </c>
      <c r="LD7" t="s">
        <v>10998</v>
      </c>
      <c r="LI7" t="s">
        <v>11270</v>
      </c>
      <c r="LS7" t="s">
        <v>10912</v>
      </c>
      <c r="LX7" t="s">
        <v>10805</v>
      </c>
      <c r="NQ7" t="s">
        <v>682</v>
      </c>
    </row>
    <row r="8" spans="1:396" x14ac:dyDescent="0.25">
      <c r="BI8" t="s">
        <v>4043</v>
      </c>
      <c r="BN8" t="s">
        <v>10746</v>
      </c>
      <c r="GI8" t="s">
        <v>158</v>
      </c>
      <c r="HH8" t="s">
        <v>11390</v>
      </c>
      <c r="KE8" t="s">
        <v>11437</v>
      </c>
      <c r="KJ8" t="s">
        <v>11407</v>
      </c>
      <c r="KY8" t="s">
        <v>11336</v>
      </c>
      <c r="LD8" t="s">
        <v>6473</v>
      </c>
      <c r="LI8" t="s">
        <v>11271</v>
      </c>
      <c r="LS8" t="s">
        <v>11518</v>
      </c>
      <c r="LX8" t="s">
        <v>10775</v>
      </c>
      <c r="NQ8" t="s">
        <v>11396</v>
      </c>
    </row>
    <row r="9" spans="1:396" x14ac:dyDescent="0.25">
      <c r="BI9" t="s">
        <v>10807</v>
      </c>
      <c r="BN9" t="s">
        <v>10747</v>
      </c>
      <c r="GI9" t="s">
        <v>260</v>
      </c>
      <c r="HH9" t="s">
        <v>11278</v>
      </c>
      <c r="KE9" t="s">
        <v>11438</v>
      </c>
      <c r="KJ9" t="s">
        <v>11408</v>
      </c>
      <c r="KY9" t="s">
        <v>11337</v>
      </c>
      <c r="LD9" t="s">
        <v>3239</v>
      </c>
      <c r="LI9" t="s">
        <v>11272</v>
      </c>
      <c r="LS9" t="s">
        <v>11519</v>
      </c>
      <c r="LX9" t="s">
        <v>11114</v>
      </c>
      <c r="NQ9" t="s">
        <v>10593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8190</v>
      </c>
      <c r="K1" s="1" t="s">
        <v>8191</v>
      </c>
      <c r="U1" s="1" t="s">
        <v>8192</v>
      </c>
      <c r="AE1" s="1" t="s">
        <v>8193</v>
      </c>
      <c r="AO1" s="1" t="s">
        <v>8194</v>
      </c>
      <c r="AY1" s="1" t="s">
        <v>8195</v>
      </c>
      <c r="BI1" s="1" t="s">
        <v>8196</v>
      </c>
      <c r="BS1" s="1" t="s">
        <v>8197</v>
      </c>
      <c r="CC1" s="1" t="s">
        <v>8198</v>
      </c>
      <c r="CM1" s="1" t="s">
        <v>8199</v>
      </c>
      <c r="CW1" s="1" t="s">
        <v>8200</v>
      </c>
      <c r="DG1" s="1" t="s">
        <v>8201</v>
      </c>
      <c r="DQ1" s="1" t="s">
        <v>8202</v>
      </c>
      <c r="EA1" s="1" t="s">
        <v>8203</v>
      </c>
      <c r="EK1" s="1" t="s">
        <v>8204</v>
      </c>
      <c r="EU1" s="1" t="s">
        <v>8205</v>
      </c>
      <c r="FE1" s="1" t="s">
        <v>8206</v>
      </c>
      <c r="FO1" s="1" t="s">
        <v>8207</v>
      </c>
      <c r="FY1" s="1" t="s">
        <v>8208</v>
      </c>
      <c r="GI1" s="1" t="s">
        <v>8209</v>
      </c>
      <c r="GS1" s="1" t="s">
        <v>8210</v>
      </c>
      <c r="HC1" s="1" t="s">
        <v>8211</v>
      </c>
      <c r="HM1" s="1" t="s">
        <v>8212</v>
      </c>
      <c r="HW1" s="1" t="s">
        <v>8213</v>
      </c>
      <c r="IG1" s="1" t="s">
        <v>8214</v>
      </c>
      <c r="IQ1" s="1" t="s">
        <v>8215</v>
      </c>
      <c r="JA1" s="1" t="s">
        <v>8216</v>
      </c>
      <c r="JK1" s="1" t="s">
        <v>8217</v>
      </c>
      <c r="JU1" s="1" t="s">
        <v>8218</v>
      </c>
      <c r="KE1" s="1" t="s">
        <v>8219</v>
      </c>
      <c r="KO1" s="1" t="s">
        <v>8220</v>
      </c>
      <c r="KY1" s="1" t="s">
        <v>8221</v>
      </c>
      <c r="LI1" s="1" t="s">
        <v>8222</v>
      </c>
      <c r="LS1" s="1" t="s">
        <v>8223</v>
      </c>
      <c r="MC1" s="1" t="s">
        <v>8224</v>
      </c>
      <c r="MM1" s="1" t="s">
        <v>8225</v>
      </c>
      <c r="MW1" s="1" t="s">
        <v>8226</v>
      </c>
      <c r="NG1" s="1" t="s">
        <v>8227</v>
      </c>
      <c r="NQ1" s="1" t="s">
        <v>8228</v>
      </c>
      <c r="OA1" s="1" t="s">
        <v>8229</v>
      </c>
    </row>
    <row r="2" spans="1:396" x14ac:dyDescent="0.25">
      <c r="A2" s="2" t="s">
        <v>8230</v>
      </c>
      <c r="K2" s="2" t="s">
        <v>8231</v>
      </c>
      <c r="U2" s="2" t="s">
        <v>5756</v>
      </c>
      <c r="AE2" s="2" t="s">
        <v>5492</v>
      </c>
      <c r="AO2" s="2" t="s">
        <v>8232</v>
      </c>
      <c r="AY2" s="2" t="s">
        <v>70</v>
      </c>
      <c r="BI2" s="2" t="s">
        <v>8233</v>
      </c>
      <c r="BS2" s="2" t="s">
        <v>8234</v>
      </c>
      <c r="CC2" s="2" t="s">
        <v>7849</v>
      </c>
      <c r="CM2" s="2" t="s">
        <v>7690</v>
      </c>
      <c r="CW2" s="2" t="s">
        <v>8235</v>
      </c>
      <c r="DG2" s="2" t="s">
        <v>8236</v>
      </c>
      <c r="DQ2" s="2" t="s">
        <v>1931</v>
      </c>
      <c r="EA2" s="2" t="s">
        <v>6809</v>
      </c>
      <c r="EK2" s="2" t="s">
        <v>4655</v>
      </c>
      <c r="EU2" s="2" t="s">
        <v>8237</v>
      </c>
      <c r="FE2" s="2" t="s">
        <v>1836</v>
      </c>
      <c r="FO2" s="2" t="s">
        <v>7142</v>
      </c>
      <c r="FY2" s="2" t="s">
        <v>8238</v>
      </c>
      <c r="GI2" s="2" t="s">
        <v>8239</v>
      </c>
      <c r="GS2" s="2" t="s">
        <v>272</v>
      </c>
      <c r="HC2" s="2" t="s">
        <v>8240</v>
      </c>
      <c r="HM2" s="2" t="s">
        <v>8241</v>
      </c>
      <c r="HW2" s="2" t="s">
        <v>4469</v>
      </c>
      <c r="IG2" s="2" t="s">
        <v>792</v>
      </c>
      <c r="IQ2" s="2" t="s">
        <v>368</v>
      </c>
      <c r="JA2" s="2" t="s">
        <v>7619</v>
      </c>
      <c r="JK2" s="2" t="s">
        <v>8242</v>
      </c>
      <c r="JU2" s="2" t="s">
        <v>2874</v>
      </c>
      <c r="KE2" s="2" t="s">
        <v>7616</v>
      </c>
      <c r="KO2" s="2" t="s">
        <v>7927</v>
      </c>
      <c r="KY2" s="2" t="s">
        <v>8243</v>
      </c>
      <c r="LI2" s="2" t="s">
        <v>8244</v>
      </c>
      <c r="LS2" s="2" t="s">
        <v>3433</v>
      </c>
      <c r="MC2" s="2" t="s">
        <v>6798</v>
      </c>
      <c r="MM2" s="2" t="s">
        <v>5669</v>
      </c>
      <c r="MW2" s="2" t="s">
        <v>5412</v>
      </c>
      <c r="NG2" s="2" t="s">
        <v>5762</v>
      </c>
      <c r="NQ2" s="2" t="s">
        <v>5497</v>
      </c>
      <c r="OA2" s="2" t="s">
        <v>8245</v>
      </c>
    </row>
    <row r="3" spans="1:396" x14ac:dyDescent="0.25">
      <c r="A3" t="s">
        <v>5275</v>
      </c>
      <c r="K3" t="s">
        <v>5264</v>
      </c>
      <c r="U3" t="s">
        <v>697</v>
      </c>
      <c r="AE3" t="s">
        <v>302</v>
      </c>
      <c r="AO3" t="s">
        <v>8246</v>
      </c>
      <c r="AY3" t="s">
        <v>3741</v>
      </c>
      <c r="BI3" t="s">
        <v>707</v>
      </c>
      <c r="BS3" t="s">
        <v>3093</v>
      </c>
      <c r="CC3" t="s">
        <v>8247</v>
      </c>
      <c r="CM3" t="s">
        <v>6483</v>
      </c>
      <c r="CW3" t="s">
        <v>3277</v>
      </c>
      <c r="DG3" t="s">
        <v>204</v>
      </c>
      <c r="DQ3" t="s">
        <v>1288</v>
      </c>
      <c r="EA3" t="s">
        <v>7081</v>
      </c>
      <c r="EK3" t="s">
        <v>1690</v>
      </c>
      <c r="EU3" t="s">
        <v>5172</v>
      </c>
      <c r="FE3" t="s">
        <v>5768</v>
      </c>
      <c r="FO3" t="s">
        <v>8248</v>
      </c>
      <c r="FY3" t="s">
        <v>8249</v>
      </c>
      <c r="GI3" t="s">
        <v>3461</v>
      </c>
      <c r="GS3" t="s">
        <v>6489</v>
      </c>
      <c r="HC3" t="s">
        <v>7556</v>
      </c>
      <c r="HM3" t="s">
        <v>5934</v>
      </c>
      <c r="HW3" t="s">
        <v>8250</v>
      </c>
      <c r="IG3" t="s">
        <v>8251</v>
      </c>
      <c r="IQ3" t="s">
        <v>7715</v>
      </c>
      <c r="JA3" t="s">
        <v>8252</v>
      </c>
      <c r="JK3" t="s">
        <v>2423</v>
      </c>
      <c r="JU3" t="s">
        <v>1678</v>
      </c>
      <c r="KE3" t="s">
        <v>1298</v>
      </c>
      <c r="KO3" t="s">
        <v>8253</v>
      </c>
      <c r="KY3" t="s">
        <v>179</v>
      </c>
      <c r="LI3" t="s">
        <v>8254</v>
      </c>
      <c r="LS3" t="s">
        <v>8255</v>
      </c>
      <c r="MC3" t="s">
        <v>8256</v>
      </c>
      <c r="MM3" t="s">
        <v>8257</v>
      </c>
      <c r="MW3" t="s">
        <v>604</v>
      </c>
      <c r="NG3" t="s">
        <v>392</v>
      </c>
      <c r="NQ3" t="s">
        <v>8258</v>
      </c>
      <c r="OA3" t="s">
        <v>8259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_xll.BDS("VHI US Equity","SUPPLY_CHAIN_SUPPLIERS","RELATIONSHIP_AS_OF_DATE","20020726","cols=1;rows=5")</f>
        <v>RIO LN Equity</v>
      </c>
      <c r="F5" t="str">
        <f>_xll.BDS("VHI US Equity","SUPPLY_CHAIN_CUSTOMERS","RELATIONSHIP_AS_OF_DATE","20020726","cols=1;rows=5")</f>
        <v>3352Z US Equity</v>
      </c>
      <c r="K5" t="str">
        <f>_xll.BDS("XXIA US Equity","SUPPLY_CHAIN_SUPPLIERS","RELATIONSHIP_AS_OF_DATE","20090511")</f>
        <v>#N/A N/A</v>
      </c>
      <c r="P5" t="str">
        <f>_xll.BDS("XXIA US Equity","SUPPLY_CHAIN_CUSTOMERS","RELATIONSHIP_AS_OF_DATE","20090511")</f>
        <v>#N/A N/A</v>
      </c>
      <c r="U5" t="str">
        <f>_xll.BDS("RNST US Equity","SUPPLY_CHAIN_SUPPLIERS","RELATIONSHIP_AS_OF_DATE","20040715")</f>
        <v>#N/A N/A</v>
      </c>
      <c r="Z5" t="str">
        <f>_xll.BDS("RNST US Equity","SUPPLY_CHAIN_CUSTOMERS","RELATIONSHIP_AS_OF_DATE","20040715")</f>
        <v>#N/A N/A</v>
      </c>
      <c r="AE5" t="str">
        <f>_xll.BDS("3075558Q US Equity","SUPPLY_CHAIN_SUPPLIERS","RELATIONSHIP_AS_OF_DATE","19991004")</f>
        <v>#N/A N/A</v>
      </c>
      <c r="AJ5" t="str">
        <f>_xll.BDS("3075558Q US Equity","SUPPLY_CHAIN_CUSTOMERS","RELATIONSHIP_AS_OF_DATE","19991004")</f>
        <v>#N/A N/A</v>
      </c>
      <c r="AO5" t="str">
        <f>_xll.BDS("FINB US Equity","SUPPLY_CHAIN_SUPPLIERS","RELATIONSHIP_AS_OF_DATE","20000419")</f>
        <v>#N/A N/A</v>
      </c>
      <c r="AT5" t="str">
        <f>_xll.BDS("FINB US Equity","SUPPLY_CHAIN_CUSTOMERS","RELATIONSHIP_AS_OF_DATE","20000419")</f>
        <v>#N/A N/A</v>
      </c>
      <c r="AY5" t="str">
        <f>_xll.BDS("0848680D US Equity","SUPPLY_CHAIN_SUPPLIERS","RELATIONSHIP_AS_OF_DATE","20090728")</f>
        <v>#N/A N/A</v>
      </c>
      <c r="BD5" t="str">
        <f>_xll.BDS("0848680D US Equity","SUPPLY_CHAIN_CUSTOMERS","RELATIONSHIP_AS_OF_DATE","20090728")</f>
        <v>#N/A N/A</v>
      </c>
      <c r="BI5" t="str">
        <f>_xll.BDS("9990201D US Equity","SUPPLY_CHAIN_SUPPLIERS","RELATIONSHIP_AS_OF_DATE","19980720")</f>
        <v>#N/A N/A</v>
      </c>
      <c r="BN5" t="str">
        <f>_xll.BDS("9990201D US Equity","SUPPLY_CHAIN_CUSTOMERS","RELATIONSHIP_AS_OF_DATE","19980720")</f>
        <v>#N/A N/A</v>
      </c>
      <c r="BS5" t="str">
        <f>_xll.BDS("CBAN US Equity","SUPPLY_CHAIN_SUPPLIERS","RELATIONSHIP_AS_OF_DATE","20210422")</f>
        <v>#N/A N/A</v>
      </c>
      <c r="BX5" t="str">
        <f>_xll.BDS("CBAN US Equity","SUPPLY_CHAIN_CUSTOMERS","RELATIONSHIP_AS_OF_DATE","20210422")</f>
        <v>#N/A N/A</v>
      </c>
      <c r="CC5" t="str">
        <f>_xll.BDS("CLGX US Equity","SUPPLY_CHAIN_SUPPLIERS","RELATIONSHIP_AS_OF_DATE","20010130")</f>
        <v>5331Z US Equity</v>
      </c>
      <c r="CH5" t="str">
        <f>_xll.BDS("CLGX US Equity","SUPPLY_CHAIN_CUSTOMERS","RELATIONSHIP_AS_OF_DATE","20010130")</f>
        <v>#N/A N/A</v>
      </c>
      <c r="CM5" t="str">
        <f>_xll.BDS("601238Q US Equity","SUPPLY_CHAIN_SUPPLIERS","RELATIONSHIP_AS_OF_DATE","19980417")</f>
        <v>#N/A N/A</v>
      </c>
      <c r="CR5" t="str">
        <f>_xll.BDS("601238Q US Equity","SUPPLY_CHAIN_CUSTOMERS","RELATIONSHIP_AS_OF_DATE","19980417")</f>
        <v>#N/A N/A</v>
      </c>
      <c r="CW5" t="str">
        <f>_xll.BDS("REXR US Equity","SUPPLY_CHAIN_SUPPLIERS","RELATIONSHIP_AS_OF_DATE","20210331")</f>
        <v>#N/A N/A</v>
      </c>
      <c r="DB5" t="str">
        <f>_xll.BDS("REXR US Equity","SUPPLY_CHAIN_CUSTOMERS","RELATIONSHIP_AS_OF_DATE","20210331","cols=1;rows=5")</f>
        <v>0127334D US Equity</v>
      </c>
      <c r="DG5" t="str">
        <f>_xll.BDS("LFT US Equity","SUPPLY_CHAIN_SUPPLIERS","RELATIONSHIP_AS_OF_DATE","20180430")</f>
        <v>#N/A N/A</v>
      </c>
      <c r="DL5" t="str">
        <f>_xll.BDS("LFT US Equity","SUPPLY_CHAIN_CUSTOMERS","RELATIONSHIP_AS_OF_DATE","20180430")</f>
        <v>#N/A N/A</v>
      </c>
      <c r="DQ5" t="str">
        <f>_xll.BDS("FLG US Equity","SUPPLY_CHAIN_SUPPLIERS","RELATIONSHIP_AS_OF_DATE","20050801","cols=1;rows=5")</f>
        <v>CXM US Equity</v>
      </c>
      <c r="DV5" t="str">
        <f>_xll.BDS("FLG US Equity","SUPPLY_CHAIN_CUSTOMERS","RELATIONSHIP_AS_OF_DATE","20050801")</f>
        <v>#N/A N/A</v>
      </c>
      <c r="EA5" t="str">
        <f>_xll.BDS("SCFS US Equity","SUPPLY_CHAIN_SUPPLIERS","RELATIONSHIP_AS_OF_DATE","20000721")</f>
        <v>#N/A N/A</v>
      </c>
      <c r="EF5" t="str">
        <f>_xll.BDS("SCFS US Equity","SUPPLY_CHAIN_CUSTOMERS","RELATIONSHIP_AS_OF_DATE","20000721")</f>
        <v>#N/A N/A</v>
      </c>
      <c r="EK5" t="str">
        <f>_xll.BDS("ADP US Equity","SUPPLY_CHAIN_SUPPLIERS","RELATIONSHIP_AS_OF_DATE","20010618","cols=1;rows=5")</f>
        <v>CUZ US Equity</v>
      </c>
      <c r="EP5" t="str">
        <f>_xll.BDS("ADP US Equity","SUPPLY_CHAIN_CUSTOMERS","RELATIONSHIP_AS_OF_DATE","20010618","cols=1;rows=2")</f>
        <v>SGE LN Equity</v>
      </c>
      <c r="EU5" t="str">
        <f>_xll.BDS("FTBK US Equity","SUPPLY_CHAIN_SUPPLIERS","RELATIONSHIP_AS_OF_DATE","20070725")</f>
        <v>#N/A N/A</v>
      </c>
      <c r="EZ5" t="str">
        <f>_xll.BDS("FTBK US Equity","SUPPLY_CHAIN_CUSTOMERS","RELATIONSHIP_AS_OF_DATE","20070725")</f>
        <v>#N/A N/A</v>
      </c>
      <c r="FE5" t="str">
        <f>_xll.BDS("PCP US Equity","SUPPLY_CHAIN_SUPPLIERS","RELATIONSHIP_AS_OF_DATE","19980225")</f>
        <v>FE US Equity</v>
      </c>
      <c r="FJ5" t="str">
        <f>_xll.BDS("PCP US Equity","SUPPLY_CHAIN_CUSTOMERS","RELATIONSHIP_AS_OF_DATE","19980225")</f>
        <v>#N/A N/A</v>
      </c>
      <c r="FO5" t="str">
        <f>_xll.BDS("DZSIQ US Equity","SUPPLY_CHAIN_SUPPLIERS","RELATIONSHIP_AS_OF_DATE","20040422","cols=1;rows=5")</f>
        <v>039560 KS Equity</v>
      </c>
      <c r="FT5" t="str">
        <f>_xll.BDS("DZSIQ US Equity","SUPPLY_CHAIN_CUSTOMERS","RELATIONSHIP_AS_OF_DATE","20040422","cols=1;rows=5")</f>
        <v>039560 KS Equity</v>
      </c>
      <c r="FY5" t="str">
        <f>_xll.BDS("0272214Q US Equity","SUPPLY_CHAIN_SUPPLIERS","RELATIONSHIP_AS_OF_DATE","19990707")</f>
        <v>#N/A N/A</v>
      </c>
      <c r="GD5" t="str">
        <f>_xll.BDS("0272214Q US Equity","SUPPLY_CHAIN_CUSTOMERS","RELATIONSHIP_AS_OF_DATE","19990707")</f>
        <v>#N/A N/A</v>
      </c>
      <c r="GI5" t="str">
        <f>_xll.BDS("MDEA US Equity","SUPPLY_CHAIN_SUPPLIERS","RELATIONSHIP_AS_OF_DATE","19991228")</f>
        <v>QCOM US Equity</v>
      </c>
      <c r="GN5" t="str">
        <f>_xll.BDS("MDEA US Equity","SUPPLY_CHAIN_CUSTOMERS","RELATIONSHIP_AS_OF_DATE","19991228")</f>
        <v>#N/A N/A</v>
      </c>
      <c r="GS5" t="str">
        <f>_xll.BDS("TMO US Equity","SUPPLY_CHAIN_SUPPLIERS","RELATIONSHIP_AS_OF_DATE","20000131","cols=1;rows=5")</f>
        <v>EMR US Equity</v>
      </c>
      <c r="GX5" t="str">
        <f>_xll.BDS("TMO US Equity","SUPPLY_CHAIN_CUSTOMERS","RELATIONSHIP_AS_OF_DATE","20000131","cols=1;rows=5")</f>
        <v>4195 TT Equity</v>
      </c>
      <c r="HC5" t="str">
        <f>_xll.BDS("OV US Equity","SUPPLY_CHAIN_SUPPLIERS","RELATIONSHIP_AS_OF_DATE","19980507")</f>
        <v>#N/A N/A</v>
      </c>
      <c r="HH5" t="str">
        <f>_xll.BDS("OV US Equity","SUPPLY_CHAIN_CUSTOMERS","RELATIONSHIP_AS_OF_DATE","19980507")</f>
        <v>#N/A N/A</v>
      </c>
      <c r="HM5" t="str">
        <f>_xll.BDS("KNXA US Equity","SUPPLY_CHAIN_SUPPLIERS","RELATIONSHIP_AS_OF_DATE","20100901")</f>
        <v>#N/A N/A</v>
      </c>
      <c r="HR5" t="str">
        <f>_xll.BDS("KNXA US Equity","SUPPLY_CHAIN_CUSTOMERS","RELATIONSHIP_AS_OF_DATE","20100901")</f>
        <v>#N/A N/A</v>
      </c>
      <c r="HW5" t="str">
        <f>_xll.BDS("OZK US Equity","SUPPLY_CHAIN_SUPPLIERS","RELATIONSHIP_AS_OF_DATE","20130124")</f>
        <v>#N/A N/A</v>
      </c>
      <c r="IB5" t="str">
        <f>_xll.BDS("OZK US Equity","SUPPLY_CHAIN_CUSTOMERS","RELATIONSHIP_AS_OF_DATE","20130124")</f>
        <v>#N/A N/A</v>
      </c>
      <c r="IG5" t="str">
        <f>_xll.BDS("COHR US Equity","SUPPLY_CHAIN_SUPPLIERS","RELATIONSHIP_AS_OF_DATE","20160119","cols=1;rows=5")</f>
        <v>AVGO US Equity</v>
      </c>
      <c r="IL5" t="str">
        <f>_xll.BDS("COHR US Equity","SUPPLY_CHAIN_CUSTOMERS","RELATIONSHIP_AS_OF_DATE","20160119","cols=1;rows=5")</f>
        <v>HPE US Equity</v>
      </c>
      <c r="IQ5" t="str">
        <f>_xll.BDS("JNJ US Equity","SUPPLY_CHAIN_SUPPLIERS","RELATIONSHIP_AS_OF_DATE","20030116","cols=1;rows=5")</f>
        <v>GMAB DC Equity</v>
      </c>
      <c r="IV5" t="str">
        <f>_xll.BDS("JNJ US Equity","SUPPLY_CHAIN_CUSTOMERS","RELATIONSHIP_AS_OF_DATE","20030116","cols=1;rows=5")</f>
        <v>MCK US Equity</v>
      </c>
      <c r="JA5" t="str">
        <f>_xll.BDS("SPLP US Equity","SUPPLY_CHAIN_SUPPLIERS","RELATIONSHIP_AS_OF_DATE","20161207","cols=1;rows=5")</f>
        <v>1116L US Equity</v>
      </c>
      <c r="JF5" t="str">
        <f>_xll.BDS("SPLP US Equity","SUPPLY_CHAIN_CUSTOMERS","RELATIONSHIP_AS_OF_DATE","20161207","cols=1;rows=5")</f>
        <v>SNX US Equity</v>
      </c>
      <c r="JK5" t="str">
        <f>_xll.BDS("MFA US Equity","SUPPLY_CHAIN_SUPPLIERS","RELATIONSHIP_AS_OF_DATE","19980302")</f>
        <v>#N/A N/A</v>
      </c>
      <c r="JP5" t="str">
        <f>_xll.BDS("MFA US Equity","SUPPLY_CHAIN_CUSTOMERS","RELATIONSHIP_AS_OF_DATE","19980302")</f>
        <v>#N/A N/A</v>
      </c>
      <c r="JU5" t="str">
        <f>_xll.BDS("FNB US Equity","SUPPLY_CHAIN_SUPPLIERS","RELATIONSHIP_AS_OF_DATE","20100809")</f>
        <v>HY US Equity</v>
      </c>
      <c r="JZ5" t="str">
        <f>_xll.BDS("FNB US Equity","SUPPLY_CHAIN_CUSTOMERS","RELATIONSHIP_AS_OF_DATE","20100809")</f>
        <v>#N/A N/A</v>
      </c>
      <c r="KE5" t="str">
        <f>_xll.BDS("SUPR US Equity","SUPPLY_CHAIN_SUPPLIERS","RELATIONSHIP_AS_OF_DATE","20060306")</f>
        <v>#N/A N/A</v>
      </c>
      <c r="KJ5" t="str">
        <f>_xll.BDS("SUPR US Equity","SUPPLY_CHAIN_CUSTOMERS","RELATIONSHIP_AS_OF_DATE","20060306")</f>
        <v>#N/A N/A</v>
      </c>
      <c r="KO5" t="str">
        <f>_xll.BDS("LAMR US Equity","SUPPLY_CHAIN_SUPPLIERS","RELATIONSHIP_AS_OF_DATE","20040920","cols=1;rows=2")</f>
        <v>CPTP US Equity</v>
      </c>
      <c r="KT5" t="str">
        <f>_xll.BDS("LAMR US Equity","SUPPLY_CHAIN_CUSTOMERS","RELATIONSHIP_AS_OF_DATE","20040920","cols=1;rows=2")</f>
        <v>1414936D US Equity</v>
      </c>
      <c r="KY5" t="str">
        <f>_xll.BDS("HTLF US Equity","SUPPLY_CHAIN_SUPPLIERS","RELATIONSHIP_AS_OF_DATE","20190116")</f>
        <v>INFA US Equity</v>
      </c>
      <c r="LD5" t="str">
        <f>_xll.BDS("HTLF US Equity","SUPPLY_CHAIN_CUSTOMERS","RELATIONSHIP_AS_OF_DATE","20190116")</f>
        <v>#N/A N/A</v>
      </c>
      <c r="LI5" t="str">
        <f>_xll.BDS("CSCQ US Equity","SUPPLY_CHAIN_SUPPLIERS","RELATIONSHIP_AS_OF_DATE","19980924")</f>
        <v>#N/A N/A</v>
      </c>
      <c r="LN5" t="str">
        <f>_xll.BDS("CSCQ US Equity","SUPPLY_CHAIN_CUSTOMERS","RELATIONSHIP_AS_OF_DATE","19980924")</f>
        <v>#N/A N/A</v>
      </c>
      <c r="LS5" t="str">
        <f>_xll.BDS("2619871D US Equity","SUPPLY_CHAIN_SUPPLIERS","RELATIONSHIP_AS_OF_DATE","20010320","cols=1;rows=5")</f>
        <v>301501 CH Equity</v>
      </c>
      <c r="LX5" t="str">
        <f>_xll.BDS("2619871D US Equity","SUPPLY_CHAIN_CUSTOMERS","RELATIONSHIP_AS_OF_DATE","20010320","cols=1;rows=5")</f>
        <v>002980 CH Equity</v>
      </c>
      <c r="MC5" t="str">
        <f>_xll.BDS("2676187Q US Equity","SUPPLY_CHAIN_SUPPLIERS","RELATIONSHIP_AS_OF_DATE","20010831")</f>
        <v>#N/A N/A</v>
      </c>
      <c r="MH5" t="str">
        <f>_xll.BDS("2676187Q US Equity","SUPPLY_CHAIN_CUSTOMERS","RELATIONSHIP_AS_OF_DATE","20010831")</f>
        <v>#N/A N/A</v>
      </c>
      <c r="MM5" t="str">
        <f>_xll.BDS("FFWM US Equity","SUPPLY_CHAIN_SUPPLIERS","RELATIONSHIP_AS_OF_DATE","20171219")</f>
        <v>#N/A N/A</v>
      </c>
      <c r="MR5" t="str">
        <f>_xll.BDS("FFWM US Equity","SUPPLY_CHAIN_CUSTOMERS","RELATIONSHIP_AS_OF_DATE","20171219")</f>
        <v>#N/A N/A</v>
      </c>
      <c r="MW5" t="str">
        <f>_xll.BDS("FULT US Equity","SUPPLY_CHAIN_SUPPLIERS","RELATIONSHIP_AS_OF_DATE","19980126","cols=1;rows=2")</f>
        <v>DLX US Equity</v>
      </c>
      <c r="NB5" t="str">
        <f>_xll.BDS("FULT US Equity","SUPPLY_CHAIN_CUSTOMERS","RELATIONSHIP_AS_OF_DATE","19980126")</f>
        <v>#N/A N/A</v>
      </c>
      <c r="NG5" t="str">
        <f>_xll.BDS("PRA US Equity","SUPPLY_CHAIN_SUPPLIERS","RELATIONSHIP_AS_OF_DATE","20050228")</f>
        <v>#N/A N/A</v>
      </c>
      <c r="NL5" t="str">
        <f>_xll.BDS("PRA US Equity","SUPPLY_CHAIN_CUSTOMERS","RELATIONSHIP_AS_OF_DATE","20050228")</f>
        <v>#N/A N/A</v>
      </c>
      <c r="NQ5" t="str">
        <f>_xll.BDS("FRME US Equity","SUPPLY_CHAIN_SUPPLIERS","RELATIONSHIP_AS_OF_DATE","20150629")</f>
        <v>#N/A N/A</v>
      </c>
      <c r="NV5" t="str">
        <f>_xll.BDS("FRME US Equity","SUPPLY_CHAIN_CUSTOMERS","RELATIONSHIP_AS_OF_DATE","20150629")</f>
        <v>#N/A N/A</v>
      </c>
      <c r="OA5" t="str">
        <f>_xll.BDS("TMWD US Equity","SUPPLY_CHAIN_SUPPLIERS","RELATIONSHIP_AS_OF_DATE","20000629")</f>
        <v>#N/A N/A</v>
      </c>
      <c r="OF5" t="str">
        <f>_xll.BDS("TMWD US Equity","SUPPLY_CHAIN_CUSTOMERS","RELATIONSHIP_AS_OF_DATE","20000629")</f>
        <v>#N/A N/A</v>
      </c>
    </row>
    <row r="6" spans="1:396" x14ac:dyDescent="0.25">
      <c r="A6" t="s">
        <v>11300</v>
      </c>
      <c r="F6" t="s">
        <v>673</v>
      </c>
      <c r="DB6" t="s">
        <v>274</v>
      </c>
      <c r="DQ6" t="s">
        <v>11962</v>
      </c>
      <c r="EK6" t="s">
        <v>1473</v>
      </c>
      <c r="EP6" t="s">
        <v>11439</v>
      </c>
      <c r="FO6" t="s">
        <v>11314</v>
      </c>
      <c r="FT6" t="s">
        <v>10787</v>
      </c>
      <c r="GS6" t="s">
        <v>44</v>
      </c>
      <c r="GX6" t="s">
        <v>10662</v>
      </c>
      <c r="IG6" t="s">
        <v>11042</v>
      </c>
      <c r="IL6" t="s">
        <v>969</v>
      </c>
      <c r="IQ6" t="s">
        <v>10735</v>
      </c>
      <c r="IV6" t="s">
        <v>1468</v>
      </c>
      <c r="JA6" t="s">
        <v>2111</v>
      </c>
      <c r="JF6" t="s">
        <v>11321</v>
      </c>
      <c r="KO6" t="s">
        <v>11158</v>
      </c>
      <c r="KT6" t="s">
        <v>11319</v>
      </c>
      <c r="LS6" t="s">
        <v>11377</v>
      </c>
      <c r="LX6" t="s">
        <v>11323</v>
      </c>
      <c r="MW6" t="s">
        <v>154</v>
      </c>
    </row>
    <row r="7" spans="1:396" x14ac:dyDescent="0.25">
      <c r="A7" t="s">
        <v>11301</v>
      </c>
      <c r="F7" t="s">
        <v>11273</v>
      </c>
      <c r="DB7" t="s">
        <v>12177</v>
      </c>
      <c r="DQ7" t="s">
        <v>11963</v>
      </c>
      <c r="EK7" t="s">
        <v>11460</v>
      </c>
      <c r="FO7" t="s">
        <v>11315</v>
      </c>
      <c r="FT7" t="s">
        <v>11264</v>
      </c>
      <c r="GS7" t="s">
        <v>10734</v>
      </c>
      <c r="GX7" t="s">
        <v>10761</v>
      </c>
      <c r="IG7" t="s">
        <v>10726</v>
      </c>
      <c r="IL7" t="s">
        <v>10732</v>
      </c>
      <c r="IQ7" t="s">
        <v>45</v>
      </c>
      <c r="IV7" t="s">
        <v>970</v>
      </c>
      <c r="JA7" t="s">
        <v>693</v>
      </c>
      <c r="JF7" t="s">
        <v>11322</v>
      </c>
      <c r="LS7" t="s">
        <v>11378</v>
      </c>
      <c r="LX7" t="s">
        <v>11324</v>
      </c>
    </row>
    <row r="8" spans="1:396" x14ac:dyDescent="0.25">
      <c r="A8" t="s">
        <v>11302</v>
      </c>
      <c r="F8" t="s">
        <v>2878</v>
      </c>
      <c r="DB8" t="s">
        <v>9224</v>
      </c>
      <c r="DQ8" t="s">
        <v>154</v>
      </c>
      <c r="EK8" t="s">
        <v>11461</v>
      </c>
      <c r="FO8" t="s">
        <v>11316</v>
      </c>
      <c r="FT8" t="s">
        <v>11265</v>
      </c>
      <c r="GS8" t="s">
        <v>10735</v>
      </c>
      <c r="GX8" t="s">
        <v>10762</v>
      </c>
      <c r="IG8" t="s">
        <v>4898</v>
      </c>
      <c r="IL8" t="s">
        <v>11376</v>
      </c>
      <c r="IQ8" t="s">
        <v>3437</v>
      </c>
      <c r="IV8" t="s">
        <v>51</v>
      </c>
      <c r="JA8" t="s">
        <v>260</v>
      </c>
      <c r="JF8" t="s">
        <v>10853</v>
      </c>
      <c r="LS8" t="s">
        <v>1081</v>
      </c>
      <c r="LX8" t="s">
        <v>5248</v>
      </c>
    </row>
    <row r="9" spans="1:396" x14ac:dyDescent="0.25">
      <c r="A9" t="s">
        <v>11012</v>
      </c>
      <c r="F9" t="s">
        <v>11274</v>
      </c>
      <c r="DB9" t="s">
        <v>12178</v>
      </c>
      <c r="DQ9" t="s">
        <v>11964</v>
      </c>
      <c r="EK9" t="s">
        <v>11462</v>
      </c>
      <c r="FO9" t="s">
        <v>11317</v>
      </c>
      <c r="FT9" t="s">
        <v>11266</v>
      </c>
      <c r="GS9" t="s">
        <v>3073</v>
      </c>
      <c r="GX9" t="s">
        <v>10763</v>
      </c>
      <c r="IG9" t="s">
        <v>11043</v>
      </c>
      <c r="IL9" t="s">
        <v>10893</v>
      </c>
      <c r="IQ9" t="s">
        <v>11012</v>
      </c>
      <c r="IV9" t="s">
        <v>10944</v>
      </c>
      <c r="JA9" t="s">
        <v>10715</v>
      </c>
      <c r="JF9" t="s">
        <v>10787</v>
      </c>
      <c r="LS9" t="s">
        <v>11379</v>
      </c>
      <c r="LX9" t="s">
        <v>11325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8260</v>
      </c>
      <c r="K1" s="1" t="s">
        <v>8261</v>
      </c>
      <c r="U1" s="1" t="s">
        <v>8262</v>
      </c>
      <c r="AE1" s="1" t="s">
        <v>8263</v>
      </c>
      <c r="AO1" s="1" t="s">
        <v>8264</v>
      </c>
      <c r="AY1" s="1" t="s">
        <v>8265</v>
      </c>
      <c r="BI1" s="1" t="s">
        <v>8266</v>
      </c>
      <c r="BS1" s="1" t="s">
        <v>8267</v>
      </c>
      <c r="CC1" s="1" t="s">
        <v>8268</v>
      </c>
      <c r="CM1" s="1" t="s">
        <v>8269</v>
      </c>
      <c r="CW1" s="1" t="s">
        <v>8270</v>
      </c>
      <c r="DG1" s="1" t="s">
        <v>8271</v>
      </c>
      <c r="DQ1" s="1" t="s">
        <v>8272</v>
      </c>
      <c r="EA1" s="1" t="s">
        <v>8273</v>
      </c>
      <c r="EK1" s="1" t="s">
        <v>8274</v>
      </c>
      <c r="EU1" s="1" t="s">
        <v>8275</v>
      </c>
      <c r="FE1" s="1" t="s">
        <v>8276</v>
      </c>
      <c r="FO1" s="1" t="s">
        <v>8277</v>
      </c>
      <c r="FY1" s="1" t="s">
        <v>8278</v>
      </c>
      <c r="GI1" s="1" t="s">
        <v>8279</v>
      </c>
      <c r="GS1" s="1" t="s">
        <v>8280</v>
      </c>
      <c r="HC1" s="1" t="s">
        <v>8281</v>
      </c>
      <c r="HM1" s="1" t="s">
        <v>8282</v>
      </c>
      <c r="HW1" s="1" t="s">
        <v>8283</v>
      </c>
      <c r="IG1" s="1" t="s">
        <v>8284</v>
      </c>
      <c r="IQ1" s="1" t="s">
        <v>8285</v>
      </c>
      <c r="JA1" s="1" t="s">
        <v>8286</v>
      </c>
      <c r="JK1" s="1" t="s">
        <v>8287</v>
      </c>
      <c r="JU1" s="1" t="s">
        <v>8288</v>
      </c>
      <c r="KE1" s="1" t="s">
        <v>8289</v>
      </c>
      <c r="KO1" s="1" t="s">
        <v>8290</v>
      </c>
      <c r="KY1" s="1" t="s">
        <v>8291</v>
      </c>
      <c r="LI1" s="1" t="s">
        <v>8292</v>
      </c>
      <c r="LS1" s="1" t="s">
        <v>8293</v>
      </c>
      <c r="MC1" s="1" t="s">
        <v>8294</v>
      </c>
      <c r="MM1" s="1" t="s">
        <v>8295</v>
      </c>
      <c r="MW1" s="1" t="s">
        <v>8296</v>
      </c>
      <c r="NG1" s="1" t="s">
        <v>8297</v>
      </c>
      <c r="NQ1" s="1" t="s">
        <v>8298</v>
      </c>
      <c r="OA1" s="1" t="s">
        <v>8299</v>
      </c>
    </row>
    <row r="2" spans="1:396" x14ac:dyDescent="0.25">
      <c r="A2" s="2" t="s">
        <v>2874</v>
      </c>
      <c r="K2" s="2" t="s">
        <v>7844</v>
      </c>
      <c r="U2" s="2" t="s">
        <v>4299</v>
      </c>
      <c r="AE2" s="2" t="s">
        <v>8300</v>
      </c>
      <c r="AO2" s="2" t="s">
        <v>8301</v>
      </c>
      <c r="AY2" s="2" t="s">
        <v>8302</v>
      </c>
      <c r="BI2" s="2" t="s">
        <v>8303</v>
      </c>
      <c r="BS2" s="2" t="s">
        <v>1945</v>
      </c>
      <c r="CC2" s="2" t="s">
        <v>4395</v>
      </c>
      <c r="CM2" s="2" t="s">
        <v>4638</v>
      </c>
      <c r="CW2" s="2" t="s">
        <v>1642</v>
      </c>
      <c r="DG2" s="2" t="s">
        <v>8304</v>
      </c>
      <c r="DQ2" s="2" t="s">
        <v>3535</v>
      </c>
      <c r="EA2" s="2" t="s">
        <v>5747</v>
      </c>
      <c r="EK2" s="2" t="s">
        <v>3070</v>
      </c>
      <c r="EU2" s="2" t="s">
        <v>5914</v>
      </c>
      <c r="FE2" s="2" t="s">
        <v>8305</v>
      </c>
      <c r="FO2" s="2" t="s">
        <v>8306</v>
      </c>
      <c r="FY2" s="2" t="s">
        <v>4566</v>
      </c>
      <c r="GI2" s="2" t="s">
        <v>8307</v>
      </c>
      <c r="GS2" s="2" t="s">
        <v>8308</v>
      </c>
      <c r="HC2" s="2" t="s">
        <v>5253</v>
      </c>
      <c r="HM2" s="2" t="s">
        <v>7376</v>
      </c>
      <c r="HW2" s="2" t="s">
        <v>8309</v>
      </c>
      <c r="IG2" s="2" t="s">
        <v>8310</v>
      </c>
      <c r="IQ2" s="2" t="s">
        <v>262</v>
      </c>
      <c r="JA2" s="2" t="s">
        <v>5167</v>
      </c>
      <c r="JK2" s="2" t="s">
        <v>8311</v>
      </c>
      <c r="JU2" s="2" t="s">
        <v>2690</v>
      </c>
      <c r="KE2" s="2" t="s">
        <v>7211</v>
      </c>
      <c r="KO2" s="2" t="s">
        <v>8312</v>
      </c>
      <c r="KY2" s="2" t="s">
        <v>3333</v>
      </c>
      <c r="LI2" s="2" t="s">
        <v>8313</v>
      </c>
      <c r="LS2" s="2" t="s">
        <v>2126</v>
      </c>
      <c r="MC2" s="2" t="s">
        <v>8314</v>
      </c>
      <c r="MM2" s="2" t="s">
        <v>8315</v>
      </c>
      <c r="MW2" s="2" t="s">
        <v>387</v>
      </c>
      <c r="NG2" s="2" t="s">
        <v>8316</v>
      </c>
      <c r="NQ2" s="2" t="s">
        <v>3871</v>
      </c>
      <c r="OA2" s="2" t="s">
        <v>8317</v>
      </c>
    </row>
    <row r="3" spans="1:396" x14ac:dyDescent="0.25">
      <c r="A3" t="s">
        <v>2445</v>
      </c>
      <c r="K3" t="s">
        <v>6423</v>
      </c>
      <c r="U3" t="s">
        <v>5698</v>
      </c>
      <c r="AE3" t="s">
        <v>3895</v>
      </c>
      <c r="AO3" t="s">
        <v>8318</v>
      </c>
      <c r="AY3" t="s">
        <v>5851</v>
      </c>
      <c r="BI3" t="s">
        <v>8319</v>
      </c>
      <c r="BS3" t="s">
        <v>6993</v>
      </c>
      <c r="CC3" t="s">
        <v>8320</v>
      </c>
      <c r="CM3" t="s">
        <v>3101</v>
      </c>
      <c r="CW3" t="s">
        <v>8321</v>
      </c>
      <c r="DG3" t="s">
        <v>3631</v>
      </c>
      <c r="DQ3" t="s">
        <v>5526</v>
      </c>
      <c r="EA3" t="s">
        <v>3985</v>
      </c>
      <c r="EK3" t="s">
        <v>8322</v>
      </c>
      <c r="EU3" t="s">
        <v>8323</v>
      </c>
      <c r="FE3" t="s">
        <v>8324</v>
      </c>
      <c r="FO3" t="s">
        <v>8325</v>
      </c>
      <c r="FY3" t="s">
        <v>2999</v>
      </c>
      <c r="GI3" t="s">
        <v>6487</v>
      </c>
      <c r="GS3" t="s">
        <v>4760</v>
      </c>
      <c r="HC3" t="s">
        <v>8326</v>
      </c>
      <c r="HM3" t="s">
        <v>8327</v>
      </c>
      <c r="HW3" t="s">
        <v>2348</v>
      </c>
      <c r="IG3" t="s">
        <v>8328</v>
      </c>
      <c r="IQ3" t="s">
        <v>8329</v>
      </c>
      <c r="JA3" t="s">
        <v>8330</v>
      </c>
      <c r="JK3" t="s">
        <v>4666</v>
      </c>
      <c r="JU3" t="s">
        <v>8331</v>
      </c>
      <c r="KE3" t="s">
        <v>1398</v>
      </c>
      <c r="KO3" t="s">
        <v>8332</v>
      </c>
      <c r="KY3" t="s">
        <v>5104</v>
      </c>
      <c r="LI3" t="s">
        <v>8333</v>
      </c>
      <c r="LS3" t="s">
        <v>109</v>
      </c>
      <c r="MC3" t="s">
        <v>1780</v>
      </c>
      <c r="MM3" t="s">
        <v>8334</v>
      </c>
      <c r="MW3" t="s">
        <v>8335</v>
      </c>
      <c r="NG3" t="s">
        <v>3461</v>
      </c>
      <c r="NQ3" t="s">
        <v>8336</v>
      </c>
      <c r="OA3" t="s">
        <v>402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_xll.BDS("FNB US Equity","SUPPLY_CHAIN_SUPPLIERS","RELATIONSHIP_AS_OF_DATE","20051221")</f>
        <v>HY US Equity</v>
      </c>
      <c r="F5" t="str">
        <f>_xll.BDS("FNB US Equity","SUPPLY_CHAIN_CUSTOMERS","RELATIONSHIP_AS_OF_DATE","20051221")</f>
        <v>#N/A N/A</v>
      </c>
      <c r="K5" t="str">
        <f>_xll.BDS("GABC US Equity","SUPPLY_CHAIN_SUPPLIERS","RELATIONSHIP_AS_OF_DATE","20190221")</f>
        <v>#N/A N/A</v>
      </c>
      <c r="P5" t="str">
        <f>_xll.BDS("GABC US Equity","SUPPLY_CHAIN_CUSTOMERS","RELATIONSHIP_AS_OF_DATE","20190221")</f>
        <v>#N/A N/A</v>
      </c>
      <c r="U5" t="str">
        <f>_xll.BDS("1552309D US Equity","SUPPLY_CHAIN_SUPPLIERS","RELATIONSHIP_AS_OF_DATE","20000121")</f>
        <v>#N/A N/A</v>
      </c>
      <c r="Z5" t="str">
        <f>_xll.BDS("1552309D US Equity","SUPPLY_CHAIN_CUSTOMERS","RELATIONSHIP_AS_OF_DATE","20000121")</f>
        <v>#N/A N/A</v>
      </c>
      <c r="AE5" t="str">
        <f>_xll.BDS("DEVC US Equity","SUPPLY_CHAIN_SUPPLIERS","RELATIONSHIP_AS_OF_DATE","20051110")</f>
        <v>#N/A N/A</v>
      </c>
      <c r="AJ5" t="str">
        <f>_xll.BDS("DEVC US Equity","SUPPLY_CHAIN_CUSTOMERS","RELATIONSHIP_AS_OF_DATE","20051110")</f>
        <v>#N/A N/A</v>
      </c>
      <c r="AO5" t="str">
        <f>_xll.BDS("JKHY US Equity","SUPPLY_CHAIN_SUPPLIERS","RELATIONSHIP_AS_OF_DATE","20090817","cols=1;rows=5")</f>
        <v>7751 JP Equity</v>
      </c>
      <c r="AT5" t="str">
        <f>_xll.BDS("JKHY US Equity","SUPPLY_CHAIN_CUSTOMERS","RELATIONSHIP_AS_OF_DATE","20090817","cols=1;rows=3")</f>
        <v>CDW US Equity</v>
      </c>
      <c r="AY5" t="str">
        <f>_xll.BDS("MGRM US Equity","SUPPLY_CHAIN_SUPPLIERS","RELATIONSHIP_AS_OF_DATE","20040601")</f>
        <v>#N/A N/A</v>
      </c>
      <c r="BD5" t="str">
        <f>_xll.BDS("MGRM US Equity","SUPPLY_CHAIN_CUSTOMERS","RELATIONSHIP_AS_OF_DATE","20040601")</f>
        <v>#N/A N/A</v>
      </c>
      <c r="BI5" t="str">
        <f>_xll.BDS("IDPIQ US Equity","SUPPLY_CHAIN_SUPPLIERS","RELATIONSHIP_AS_OF_DATE","20040322")</f>
        <v>#N/A N/A</v>
      </c>
      <c r="BN5" t="str">
        <f>_xll.BDS("IDPIQ US Equity","SUPPLY_CHAIN_CUSTOMERS","RELATIONSHIP_AS_OF_DATE","20040322")</f>
        <v>#N/A N/A</v>
      </c>
      <c r="BS5" t="str">
        <f>_xll.BDS("ONB US Equity","SUPPLY_CHAIN_SUPPLIERS","RELATIONSHIP_AS_OF_DATE","20140604","cols=1;rows=3")</f>
        <v>FCPT US Equity</v>
      </c>
      <c r="BX5" t="str">
        <f>_xll.BDS("ONB US Equity","SUPPLY_CHAIN_CUSTOMERS","RELATIONSHIP_AS_OF_DATE","20140604")</f>
        <v>#N/A N/A</v>
      </c>
      <c r="CC5" t="str">
        <f>_xll.BDS("WSBC US Equity","SUPPLY_CHAIN_SUPPLIERS","RELATIONSHIP_AS_OF_DATE","20040401")</f>
        <v>#N/A N/A</v>
      </c>
      <c r="CH5" t="str">
        <f>_xll.BDS("WSBC US Equity","SUPPLY_CHAIN_CUSTOMERS","RELATIONSHIP_AS_OF_DATE","20040401","cols=1;rows=2")</f>
        <v>NINE CN Equity</v>
      </c>
      <c r="CM5" t="str">
        <f>_xll.BDS("NIC US Equity","SUPPLY_CHAIN_SUPPLIERS","RELATIONSHIP_AS_OF_DATE","20190627")</f>
        <v>VYX US Equity</v>
      </c>
      <c r="CR5" t="str">
        <f>_xll.BDS("NIC US Equity","SUPPLY_CHAIN_CUSTOMERS","RELATIONSHIP_AS_OF_DATE","20190627")</f>
        <v>#N/A N/A</v>
      </c>
      <c r="CW5" t="str">
        <f>_xll.BDS("SSB US Equity","SUPPLY_CHAIN_SUPPLIERS","RELATIONSHIP_AS_OF_DATE","20120808","cols=1;rows=4")</f>
        <v>BLND US Equity</v>
      </c>
      <c r="DB5" t="str">
        <f>_xll.BDS("SSB US Equity","SUPPLY_CHAIN_CUSTOMERS","RELATIONSHIP_AS_OF_DATE","20120808")</f>
        <v>#N/A N/A</v>
      </c>
      <c r="DG5" t="str">
        <f>_xll.BDS("CWT US Equity","SUPPLY_CHAIN_SUPPLIERS","RELATIONSHIP_AS_OF_DATE","19981116","cols=1;rows=5")</f>
        <v>27252MF US Equity</v>
      </c>
      <c r="DL5" t="str">
        <f>_xll.BDS("CWT US Equity","SUPPLY_CHAIN_CUSTOMERS","RELATIONSHIP_AS_OF_DATE","19981116","cols=1;rows=2")</f>
        <v>29859MF US Equity</v>
      </c>
      <c r="DQ5" t="str">
        <f>_xll.BDS("4612775Q US Equity","SUPPLY_CHAIN_SUPPLIERS","RELATIONSHIP_AS_OF_DATE","20000824")</f>
        <v>#N/A N/A</v>
      </c>
      <c r="DV5" t="str">
        <f>_xll.BDS("4612775Q US Equity","SUPPLY_CHAIN_CUSTOMERS","RELATIONSHIP_AS_OF_DATE","20000824")</f>
        <v>#N/A N/A</v>
      </c>
      <c r="EA5" t="str">
        <f>_xll.BDS("FSCO US Equity","SUPPLY_CHAIN_SUPPLIERS","RELATIONSHIP_AS_OF_DATE","19990113")</f>
        <v>#N/A N/A</v>
      </c>
      <c r="EF5" t="str">
        <f>_xll.BDS("FSCO US Equity","SUPPLY_CHAIN_CUSTOMERS","RELATIONSHIP_AS_OF_DATE","19990113")</f>
        <v>#N/A N/A</v>
      </c>
      <c r="EK5" t="str">
        <f>_xll.BDS("BOKF US Equity","SUPPLY_CHAIN_SUPPLIERS","RELATIONSHIP_AS_OF_DATE","20020516","cols=1;rows=2")</f>
        <v>BLND US Equity</v>
      </c>
      <c r="EP5" t="str">
        <f>_xll.BDS("BOKF US Equity","SUPPLY_CHAIN_CUSTOMERS","RELATIONSHIP_AS_OF_DATE","20020516")</f>
        <v>#N/A N/A</v>
      </c>
      <c r="EU5" t="str">
        <f>_xll.BDS("BRKL US Equity","SUPPLY_CHAIN_SUPPLIERS","RELATIONSHIP_AS_OF_DATE","20040707")</f>
        <v>#N/A N/A</v>
      </c>
      <c r="EZ5" t="str">
        <f>_xll.BDS("BRKL US Equity","SUPPLY_CHAIN_CUSTOMERS","RELATIONSHIP_AS_OF_DATE","20040707")</f>
        <v>#N/A N/A</v>
      </c>
      <c r="FE5" t="str">
        <f>_xll.BDS("PILLQ US Equity","SUPPLY_CHAIN_SUPPLIERS","RELATIONSHIP_AS_OF_DATE","20031208")</f>
        <v>#N/A N/A</v>
      </c>
      <c r="FJ5" t="str">
        <f>_xll.BDS("PILLQ US Equity","SUPPLY_CHAIN_CUSTOMERS","RELATIONSHIP_AS_OF_DATE","20031208")</f>
        <v>#N/A N/A</v>
      </c>
      <c r="FO5" t="str">
        <f>_xll.BDS("BANR US Equity","SUPPLY_CHAIN_SUPPLIERS","RELATIONSHIP_AS_OF_DATE","20190724")</f>
        <v>AAT US Equity</v>
      </c>
      <c r="FT5" t="str">
        <f>_xll.BDS("BANR US Equity","SUPPLY_CHAIN_CUSTOMERS","RELATIONSHIP_AS_OF_DATE","20190724")</f>
        <v>#N/A N/A</v>
      </c>
      <c r="FY5" t="str">
        <f>_xll.BDS("SASR US Equity","SUPPLY_CHAIN_SUPPLIERS","RELATIONSHIP_AS_OF_DATE","20061011")</f>
        <v>#N/A N/A</v>
      </c>
      <c r="GD5" t="str">
        <f>_xll.BDS("SASR US Equity","SUPPLY_CHAIN_CUSTOMERS","RELATIONSHIP_AS_OF_DATE","20061011")</f>
        <v>#N/A N/A</v>
      </c>
      <c r="GI5" t="str">
        <f>_xll.BDS("BRKR US Equity","SUPPLY_CHAIN_SUPPLIERS","RELATIONSHIP_AS_OF_DATE","20030407","cols=1;rows=5")</f>
        <v>LMT US Equity</v>
      </c>
      <c r="GN5" t="str">
        <f>_xll.BDS("BRKR US Equity","SUPPLY_CHAIN_CUSTOMERS","RELATIONSHIP_AS_OF_DATE","20030407","cols=1;rows=5")</f>
        <v>0209593D SW Equity</v>
      </c>
      <c r="GS5" t="str">
        <f>_xll.BDS("AB US Equity","SUPPLY_CHAIN_SUPPLIERS","RELATIONSHIP_AS_OF_DATE","20130815","cols=1;rows=3")</f>
        <v>1779797D US Equity</v>
      </c>
      <c r="GX5" t="str">
        <f>_xll.BDS("AB US Equity","SUPPLY_CHAIN_CUSTOMERS","RELATIONSHIP_AS_OF_DATE","20130815")</f>
        <v>#N/A N/A</v>
      </c>
      <c r="HC5" t="str">
        <f>_xll.BDS("1709056D US Equity","SUPPLY_CHAIN_SUPPLIERS","RELATIONSHIP_AS_OF_DATE","20050729")</f>
        <v>#N/A N/A</v>
      </c>
      <c r="HH5" t="str">
        <f>_xll.BDS("1709056D US Equity","SUPPLY_CHAIN_CUSTOMERS","RELATIONSHIP_AS_OF_DATE","20050729")</f>
        <v>#N/A N/A</v>
      </c>
      <c r="HM5" t="str">
        <f>_xll.BDS("CIVB US Equity","SUPPLY_CHAIN_SUPPLIERS","RELATIONSHIP_AS_OF_DATE","20070608")</f>
        <v>#N/A N/A</v>
      </c>
      <c r="HR5" t="str">
        <f>_xll.BDS("CIVB US Equity","SUPPLY_CHAIN_CUSTOMERS","RELATIONSHIP_AS_OF_DATE","20070608")</f>
        <v>#N/A N/A</v>
      </c>
      <c r="HW5" t="str">
        <f>_xll.BDS("SNBC US Equity","SUPPLY_CHAIN_SUPPLIERS","RELATIONSHIP_AS_OF_DATE","20040217")</f>
        <v>#N/A N/A</v>
      </c>
      <c r="IB5" t="str">
        <f>_xll.BDS("SNBC US Equity","SUPPLY_CHAIN_CUSTOMERS","RELATIONSHIP_AS_OF_DATE","20040217")</f>
        <v>#N/A N/A</v>
      </c>
      <c r="IG5" t="str">
        <f>_xll.BDS("JAKK US Equity","SUPPLY_CHAIN_SUPPLIERS","RELATIONSHIP_AS_OF_DATE","20020209","cols=1;rows=5")</f>
        <v>002699 CH Equity</v>
      </c>
      <c r="IL5" t="str">
        <f>_xll.BDS("JAKK US Equity","SUPPLY_CHAIN_CUSTOMERS","RELATIONSHIP_AS_OF_DATE","20020209","cols=1;rows=5")</f>
        <v>TGT US Equity</v>
      </c>
      <c r="IQ5" t="str">
        <f>_xll.BDS("BSX US Equity","SUPPLY_CHAIN_SUPPLIERS","RELATIONSHIP_AS_OF_DATE","20020514","cols=1;rows=5")</f>
        <v>FLEX US Equity</v>
      </c>
      <c r="IV5" t="str">
        <f>_xll.BDS("BSX US Equity","SUPPLY_CHAIN_CUSTOMERS","RELATIONSHIP_AS_OF_DATE","20020514","cols=1;rows=5")</f>
        <v>000078 CH Equity</v>
      </c>
      <c r="JA5" t="str">
        <f>_xll.BDS("3097837Q US Equity","SUPPLY_CHAIN_SUPPLIERS","RELATIONSHIP_AS_OF_DATE","20020813")</f>
        <v>#N/A N/A</v>
      </c>
      <c r="JF5" t="str">
        <f>_xll.BDS("3097837Q US Equity","SUPPLY_CHAIN_CUSTOMERS","RELATIONSHIP_AS_OF_DATE","20020813")</f>
        <v>#N/A N/A</v>
      </c>
      <c r="JK5" t="str">
        <f>_xll.BDS("991592Q US Equity","SUPPLY_CHAIN_SUPPLIERS","RELATIONSHIP_AS_OF_DATE","20001222")</f>
        <v>#N/A N/A</v>
      </c>
      <c r="JP5" t="str">
        <f>_xll.BDS("991592Q US Equity","SUPPLY_CHAIN_CUSTOMERS","RELATIONSHIP_AS_OF_DATE","20001222")</f>
        <v>#N/A N/A</v>
      </c>
      <c r="JU5" t="str">
        <f>_xll.BDS("2309719Q US Equity","SUPPLY_CHAIN_SUPPLIERS","RELATIONSHIP_AS_OF_DATE","20000323")</f>
        <v>#N/A N/A</v>
      </c>
      <c r="JZ5" t="str">
        <f>_xll.BDS("2309719Q US Equity","SUPPLY_CHAIN_CUSTOMERS","RELATIONSHIP_AS_OF_DATE","20000323")</f>
        <v>#N/A N/A</v>
      </c>
      <c r="KE5" t="str">
        <f>_xll.BDS("LBAI US Equity","SUPPLY_CHAIN_SUPPLIERS","RELATIONSHIP_AS_OF_DATE","20130129")</f>
        <v>#N/A N/A</v>
      </c>
      <c r="KJ5" t="str">
        <f>_xll.BDS("LBAI US Equity","SUPPLY_CHAIN_CUSTOMERS","RELATIONSHIP_AS_OF_DATE","20130129")</f>
        <v>#N/A N/A</v>
      </c>
      <c r="KO5" t="str">
        <f>_xll.BDS("CDNW US Equity","SUPPLY_CHAIN_SUPPLIERS","RELATIONSHIP_AS_OF_DATE","19981023")</f>
        <v>#N/A N/A</v>
      </c>
      <c r="KT5" t="str">
        <f>_xll.BDS("CDNW US Equity","SUPPLY_CHAIN_CUSTOMERS","RELATIONSHIP_AS_OF_DATE","19981023")</f>
        <v>#N/A N/A</v>
      </c>
      <c r="KY5" t="str">
        <f>_xll.BDS("UBSI US Equity","SUPPLY_CHAIN_SUPPLIERS","RELATIONSHIP_AS_OF_DATE","20010614")</f>
        <v>FICO US Equity</v>
      </c>
      <c r="LD5" t="str">
        <f>_xll.BDS("UBSI US Equity","SUPPLY_CHAIN_CUSTOMERS","RELATIONSHIP_AS_OF_DATE","20010614")</f>
        <v>#N/A N/A</v>
      </c>
      <c r="LI5" t="str">
        <f>_xll.BDS("HL US Equity","SUPPLY_CHAIN_SUPPLIERS","RELATIONSHIP_AS_OF_DATE","20080213","cols=1;rows=5")</f>
        <v>0082624D US Equity</v>
      </c>
      <c r="LN5" t="str">
        <f>_xll.BDS("HL US Equity","SUPPLY_CHAIN_CUSTOMERS","RELATIONSHIP_AS_OF_DATE","20080213")</f>
        <v>#N/A N/A</v>
      </c>
      <c r="LS5" t="str">
        <f>_xll.BDS("ON US Equity","SUPPLY_CHAIN_SUPPLIERS","RELATIONSHIP_AS_OF_DATE","20091214","cols=1;rows=5")</f>
        <v>981 HK Equity</v>
      </c>
      <c r="LX5" t="str">
        <f>_xll.BDS("ON US Equity","SUPPLY_CHAIN_CUSTOMERS","RELATIONSHIP_AS_OF_DATE","20091214","cols=1;rows=5")</f>
        <v>3036 TT Equity</v>
      </c>
      <c r="MC5" t="str">
        <f>_xll.BDS("OPLN US Equity","SUPPLY_CHAIN_SUPPLIERS","RELATIONSHIP_AS_OF_DATE","20110815")</f>
        <v>GRT-U CN Equity</v>
      </c>
      <c r="MH5" t="str">
        <f>_xll.BDS("OPLN US Equity","SUPPLY_CHAIN_CUSTOMERS","RELATIONSHIP_AS_OF_DATE","20110815","cols=1;rows=5")</f>
        <v>19280Z US Equity</v>
      </c>
      <c r="MM5" t="str">
        <f>_xll.BDS("SIFI US Equity","SUPPLY_CHAIN_SUPPLIERS","RELATIONSHIP_AS_OF_DATE","20130305")</f>
        <v>#N/A N/A</v>
      </c>
      <c r="MR5" t="str">
        <f>_xll.BDS("SIFI US Equity","SUPPLY_CHAIN_CUSTOMERS","RELATIONSHIP_AS_OF_DATE","20130305")</f>
        <v>#N/A N/A</v>
      </c>
      <c r="MW5" t="str">
        <f>_xll.BDS("DHR US Equity","SUPPLY_CHAIN_SUPPLIERS","RELATIONSHIP_AS_OF_DATE","20051202","cols=1;rows=5")</f>
        <v>FLEX US Equity</v>
      </c>
      <c r="NB5" t="str">
        <f>_xll.BDS("DHR US Equity","SUPPLY_CHAIN_CUSTOMERS","RELATIONSHIP_AS_OF_DATE","20051202","cols=1;rows=5")</f>
        <v>CDW US Equity</v>
      </c>
      <c r="NG5" t="str">
        <f>_xll.BDS("TWAV US Equity","SUPPLY_CHAIN_SUPPLIERS","RELATIONSHIP_AS_OF_DATE","19991228")</f>
        <v>#N/A N/A</v>
      </c>
      <c r="NL5" t="str">
        <f>_xll.BDS("TWAV US Equity","SUPPLY_CHAIN_CUSTOMERS","RELATIONSHIP_AS_OF_DATE","19991228","cols=1;rows=5")</f>
        <v>3414924Q US Equity</v>
      </c>
      <c r="NQ5" t="str">
        <f>_xll.BDS("EQY US Equity","SUPPLY_CHAIN_SUPPLIERS","RELATIONSHIP_AS_OF_DATE","20010531")</f>
        <v>#N/A N/A</v>
      </c>
      <c r="NV5" t="str">
        <f>_xll.BDS("EQY US Equity","SUPPLY_CHAIN_CUSTOMERS","RELATIONSHIP_AS_OF_DATE","20010531")</f>
        <v>#N/A N/A</v>
      </c>
      <c r="OA5" t="str">
        <f>_xll.BDS("LTWO US Equity","SUPPLY_CHAIN_SUPPLIERS","RELATIONSHIP_AS_OF_DATE","19990607")</f>
        <v>#N/A N/A</v>
      </c>
      <c r="OF5" t="str">
        <f>_xll.BDS("LTWO US Equity","SUPPLY_CHAIN_CUSTOMERS","RELATIONSHIP_AS_OF_DATE","19990607")</f>
        <v>#N/A N/A</v>
      </c>
    </row>
    <row r="6" spans="1:396" x14ac:dyDescent="0.25">
      <c r="AO6" t="s">
        <v>10732</v>
      </c>
      <c r="AT6" t="s">
        <v>10792</v>
      </c>
      <c r="BS6" t="s">
        <v>8932</v>
      </c>
      <c r="CH6" t="s">
        <v>11320</v>
      </c>
      <c r="CW6" t="s">
        <v>10829</v>
      </c>
      <c r="DG6" t="s">
        <v>11303</v>
      </c>
      <c r="DL6" t="s">
        <v>11268</v>
      </c>
      <c r="EK6" t="s">
        <v>10739</v>
      </c>
      <c r="GI6" t="s">
        <v>11332</v>
      </c>
      <c r="GN6" t="s">
        <v>11351</v>
      </c>
      <c r="GS6" t="s">
        <v>11014</v>
      </c>
      <c r="IG6" t="s">
        <v>11167</v>
      </c>
      <c r="IL6" t="s">
        <v>10676</v>
      </c>
      <c r="IQ6" t="s">
        <v>10735</v>
      </c>
      <c r="IV6" t="s">
        <v>10744</v>
      </c>
      <c r="LI6" t="s">
        <v>11128</v>
      </c>
      <c r="LS6" t="s">
        <v>11203</v>
      </c>
      <c r="LX6" t="s">
        <v>6473</v>
      </c>
      <c r="MH6" t="s">
        <v>11455</v>
      </c>
      <c r="MW6" t="s">
        <v>10735</v>
      </c>
      <c r="NB6" t="s">
        <v>2881</v>
      </c>
      <c r="NL6" t="s">
        <v>11330</v>
      </c>
    </row>
    <row r="7" spans="1:396" x14ac:dyDescent="0.25">
      <c r="AO7" t="s">
        <v>10853</v>
      </c>
      <c r="AT7" t="s">
        <v>10793</v>
      </c>
      <c r="BS7" t="s">
        <v>3162</v>
      </c>
      <c r="CW7" t="s">
        <v>11242</v>
      </c>
      <c r="DG7" t="s">
        <v>11304</v>
      </c>
      <c r="GI7" t="s">
        <v>11168</v>
      </c>
      <c r="GN7" t="s">
        <v>11352</v>
      </c>
      <c r="GS7" t="s">
        <v>11263</v>
      </c>
      <c r="IG7" t="s">
        <v>1274</v>
      </c>
      <c r="IL7" t="s">
        <v>469</v>
      </c>
      <c r="IQ7" t="s">
        <v>10806</v>
      </c>
      <c r="IV7" t="s">
        <v>10745</v>
      </c>
      <c r="LI7" t="s">
        <v>11129</v>
      </c>
      <c r="LS7" t="s">
        <v>11410</v>
      </c>
      <c r="LX7" t="s">
        <v>3519</v>
      </c>
      <c r="MH7" t="s">
        <v>11456</v>
      </c>
      <c r="MW7" t="s">
        <v>273</v>
      </c>
      <c r="NB7" t="s">
        <v>10661</v>
      </c>
      <c r="NL7" t="s">
        <v>969</v>
      </c>
    </row>
    <row r="8" spans="1:396" x14ac:dyDescent="0.25">
      <c r="AO8" t="s">
        <v>165</v>
      </c>
      <c r="CW8" t="s">
        <v>3162</v>
      </c>
      <c r="DG8" t="s">
        <v>11305</v>
      </c>
      <c r="GI8" t="s">
        <v>1365</v>
      </c>
      <c r="GN8" t="s">
        <v>11353</v>
      </c>
      <c r="IG8" t="s">
        <v>2317</v>
      </c>
      <c r="IL8" t="s">
        <v>10805</v>
      </c>
      <c r="IQ8" t="s">
        <v>4043</v>
      </c>
      <c r="IV8" t="s">
        <v>10746</v>
      </c>
      <c r="LI8" t="s">
        <v>11130</v>
      </c>
      <c r="LS8" t="s">
        <v>11411</v>
      </c>
      <c r="LX8" t="s">
        <v>10658</v>
      </c>
      <c r="MH8" t="s">
        <v>11457</v>
      </c>
      <c r="MW8" t="s">
        <v>6320</v>
      </c>
      <c r="NB8" t="s">
        <v>10662</v>
      </c>
      <c r="NL8" t="s">
        <v>11331</v>
      </c>
    </row>
    <row r="9" spans="1:396" x14ac:dyDescent="0.25">
      <c r="AO9" t="s">
        <v>266</v>
      </c>
      <c r="DG9" t="s">
        <v>11306</v>
      </c>
      <c r="GI9" t="s">
        <v>11333</v>
      </c>
      <c r="GN9" t="s">
        <v>11354</v>
      </c>
      <c r="IG9" t="s">
        <v>1461</v>
      </c>
      <c r="IL9" t="s">
        <v>677</v>
      </c>
      <c r="IQ9" t="s">
        <v>10807</v>
      </c>
      <c r="IV9" t="s">
        <v>10747</v>
      </c>
      <c r="LI9" t="s">
        <v>11131</v>
      </c>
      <c r="LS9" t="s">
        <v>4898</v>
      </c>
      <c r="LX9" t="s">
        <v>11566</v>
      </c>
      <c r="MH9" t="s">
        <v>10927</v>
      </c>
      <c r="MW9" t="s">
        <v>1654</v>
      </c>
      <c r="NB9" t="s">
        <v>10663</v>
      </c>
      <c r="NL9" t="s">
        <v>261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8337</v>
      </c>
      <c r="K1" s="1" t="s">
        <v>8338</v>
      </c>
      <c r="U1" s="1" t="s">
        <v>8339</v>
      </c>
      <c r="AE1" s="1" t="s">
        <v>8340</v>
      </c>
      <c r="AO1" s="1" t="s">
        <v>8341</v>
      </c>
      <c r="AY1" s="1" t="s">
        <v>8342</v>
      </c>
      <c r="BI1" s="1" t="s">
        <v>8343</v>
      </c>
      <c r="BS1" s="1" t="s">
        <v>8344</v>
      </c>
      <c r="CC1" s="1" t="s">
        <v>8345</v>
      </c>
      <c r="CM1" s="1" t="s">
        <v>8346</v>
      </c>
      <c r="CW1" s="1" t="s">
        <v>8347</v>
      </c>
      <c r="DG1" s="1" t="s">
        <v>8348</v>
      </c>
      <c r="DQ1" s="1" t="s">
        <v>8349</v>
      </c>
      <c r="EA1" s="1" t="s">
        <v>8350</v>
      </c>
      <c r="EK1" s="1" t="s">
        <v>8351</v>
      </c>
      <c r="EU1" s="1" t="s">
        <v>8352</v>
      </c>
      <c r="FE1" s="1" t="s">
        <v>8353</v>
      </c>
      <c r="FO1" s="1" t="s">
        <v>8354</v>
      </c>
      <c r="FY1" s="1" t="s">
        <v>8355</v>
      </c>
      <c r="GI1" s="1" t="s">
        <v>8356</v>
      </c>
      <c r="GS1" s="1" t="s">
        <v>8357</v>
      </c>
      <c r="HC1" s="1" t="s">
        <v>8358</v>
      </c>
      <c r="HM1" s="1" t="s">
        <v>8359</v>
      </c>
      <c r="HW1" s="1" t="s">
        <v>8360</v>
      </c>
      <c r="IG1" s="1" t="s">
        <v>8361</v>
      </c>
      <c r="IQ1" s="1" t="s">
        <v>8362</v>
      </c>
      <c r="JA1" s="1" t="s">
        <v>8363</v>
      </c>
      <c r="JK1" s="1" t="s">
        <v>8364</v>
      </c>
      <c r="JU1" s="1" t="s">
        <v>8365</v>
      </c>
      <c r="KE1" s="1" t="s">
        <v>8366</v>
      </c>
      <c r="KO1" s="1" t="s">
        <v>8367</v>
      </c>
      <c r="KY1" s="1" t="s">
        <v>8368</v>
      </c>
      <c r="LI1" s="1" t="s">
        <v>8369</v>
      </c>
      <c r="LS1" s="1" t="s">
        <v>8370</v>
      </c>
      <c r="MC1" s="1" t="s">
        <v>8371</v>
      </c>
      <c r="MM1" s="1" t="s">
        <v>8372</v>
      </c>
      <c r="MW1" s="1" t="s">
        <v>8373</v>
      </c>
      <c r="NG1" s="1" t="s">
        <v>8374</v>
      </c>
      <c r="NQ1" s="1" t="s">
        <v>8375</v>
      </c>
      <c r="OA1" s="1" t="s">
        <v>8376</v>
      </c>
    </row>
    <row r="2" spans="1:396" x14ac:dyDescent="0.25">
      <c r="A2" s="2" t="s">
        <v>881</v>
      </c>
      <c r="K2" s="2" t="s">
        <v>3060</v>
      </c>
      <c r="U2" s="2" t="s">
        <v>8377</v>
      </c>
      <c r="AE2" s="2" t="s">
        <v>3620</v>
      </c>
      <c r="AO2" s="2" t="s">
        <v>4822</v>
      </c>
      <c r="AY2" s="2" t="s">
        <v>7761</v>
      </c>
      <c r="BI2" s="2" t="s">
        <v>8378</v>
      </c>
      <c r="BS2" s="2" t="s">
        <v>472</v>
      </c>
      <c r="CC2" s="2" t="s">
        <v>8379</v>
      </c>
      <c r="CM2" s="2" t="s">
        <v>5761</v>
      </c>
      <c r="CW2" s="2" t="s">
        <v>8380</v>
      </c>
      <c r="DG2" s="2" t="s">
        <v>8381</v>
      </c>
      <c r="DQ2" s="2" t="s">
        <v>8382</v>
      </c>
      <c r="EA2" s="2" t="s">
        <v>1925</v>
      </c>
      <c r="EK2" s="2" t="s">
        <v>8383</v>
      </c>
      <c r="EU2" s="2" t="s">
        <v>8384</v>
      </c>
      <c r="FE2" s="2" t="s">
        <v>1375</v>
      </c>
      <c r="FO2" s="2" t="s">
        <v>5497</v>
      </c>
      <c r="FY2" s="2" t="s">
        <v>2502</v>
      </c>
      <c r="GI2" s="2" t="s">
        <v>4647</v>
      </c>
      <c r="GS2" s="2" t="s">
        <v>2313</v>
      </c>
      <c r="HC2" s="2" t="s">
        <v>7064</v>
      </c>
      <c r="HM2" s="2" t="s">
        <v>8385</v>
      </c>
      <c r="HW2" s="2" t="s">
        <v>8386</v>
      </c>
      <c r="IG2" s="2" t="s">
        <v>8387</v>
      </c>
      <c r="IQ2" s="2" t="s">
        <v>6629</v>
      </c>
      <c r="JA2" s="2" t="s">
        <v>8388</v>
      </c>
      <c r="JK2" s="2" t="s">
        <v>8389</v>
      </c>
      <c r="JU2" s="2" t="s">
        <v>6552</v>
      </c>
      <c r="KE2" s="2" t="s">
        <v>5246</v>
      </c>
      <c r="KO2" s="2" t="s">
        <v>8390</v>
      </c>
      <c r="KY2" s="2" t="s">
        <v>1081</v>
      </c>
      <c r="LI2" s="2" t="s">
        <v>8391</v>
      </c>
      <c r="LS2" s="2" t="s">
        <v>8392</v>
      </c>
      <c r="MC2" s="2" t="s">
        <v>3792</v>
      </c>
      <c r="MM2" s="2" t="s">
        <v>8393</v>
      </c>
      <c r="MW2" s="2" t="s">
        <v>4488</v>
      </c>
      <c r="NG2" s="2" t="s">
        <v>5256</v>
      </c>
      <c r="NQ2" s="2" t="s">
        <v>8394</v>
      </c>
      <c r="OA2" s="2" t="s">
        <v>5998</v>
      </c>
    </row>
    <row r="3" spans="1:396" x14ac:dyDescent="0.25">
      <c r="A3" t="s">
        <v>592</v>
      </c>
      <c r="K3" t="s">
        <v>491</v>
      </c>
      <c r="U3" t="s">
        <v>3637</v>
      </c>
      <c r="AE3" t="s">
        <v>4922</v>
      </c>
      <c r="AO3" t="s">
        <v>8395</v>
      </c>
      <c r="AY3" t="s">
        <v>407</v>
      </c>
      <c r="BI3" t="s">
        <v>8396</v>
      </c>
      <c r="BS3" t="s">
        <v>2635</v>
      </c>
      <c r="CC3" t="s">
        <v>8397</v>
      </c>
      <c r="CM3" t="s">
        <v>8398</v>
      </c>
      <c r="CW3" t="s">
        <v>6668</v>
      </c>
      <c r="DG3" t="s">
        <v>8399</v>
      </c>
      <c r="DQ3" t="s">
        <v>3633</v>
      </c>
      <c r="EA3" t="s">
        <v>4926</v>
      </c>
      <c r="EK3" t="s">
        <v>8400</v>
      </c>
      <c r="EU3" t="s">
        <v>2148</v>
      </c>
      <c r="FE3" t="s">
        <v>8018</v>
      </c>
      <c r="FO3" t="s">
        <v>8401</v>
      </c>
      <c r="FY3" t="s">
        <v>5789</v>
      </c>
      <c r="GI3" t="s">
        <v>8325</v>
      </c>
      <c r="GS3" t="s">
        <v>1952</v>
      </c>
      <c r="HC3" t="s">
        <v>8402</v>
      </c>
      <c r="HM3" t="s">
        <v>5189</v>
      </c>
      <c r="HW3" t="s">
        <v>6419</v>
      </c>
      <c r="IG3" t="s">
        <v>5442</v>
      </c>
      <c r="IQ3" t="s">
        <v>6650</v>
      </c>
      <c r="JA3" t="s">
        <v>6904</v>
      </c>
      <c r="JK3" t="s">
        <v>8403</v>
      </c>
      <c r="JU3" t="s">
        <v>8404</v>
      </c>
      <c r="KE3" t="s">
        <v>2422</v>
      </c>
      <c r="KO3" t="s">
        <v>8336</v>
      </c>
      <c r="KY3" t="s">
        <v>8405</v>
      </c>
      <c r="LI3" t="s">
        <v>8406</v>
      </c>
      <c r="LS3" t="s">
        <v>8407</v>
      </c>
      <c r="MC3" t="s">
        <v>1206</v>
      </c>
      <c r="MM3" t="s">
        <v>1182</v>
      </c>
      <c r="MW3" t="s">
        <v>8408</v>
      </c>
      <c r="NG3" t="s">
        <v>8409</v>
      </c>
      <c r="NQ3" t="s">
        <v>8410</v>
      </c>
      <c r="OA3" t="s">
        <v>392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_xll.BDS("TXN US Equity","SUPPLY_CHAIN_SUPPLIERS","RELATIONSHIP_AS_OF_DATE","19990503","cols=1;rows=5")</f>
        <v>2330 TT Equity</v>
      </c>
      <c r="F5" t="str">
        <f>_xll.BDS("TXN US Equity","SUPPLY_CHAIN_CUSTOMERS","RELATIONSHIP_AS_OF_DATE","19990503","cols=1;rows=5")</f>
        <v>VOW GR Equity</v>
      </c>
      <c r="K5" t="str">
        <f>_xll.BDS("EFX US Equity","SUPPLY_CHAIN_SUPPLIERS","RELATIONSHIP_AS_OF_DATE","20170616","cols=1;rows=5")</f>
        <v>FICO US Equity</v>
      </c>
      <c r="P5" t="str">
        <f>_xll.BDS("EFX US Equity","SUPPLY_CHAIN_CUSTOMERS","RELATIONSHIP_AS_OF_DATE","20170616","cols=1;rows=5")</f>
        <v>2512660D US Equity</v>
      </c>
      <c r="U5" t="str">
        <f>_xll.BDS("TCI US Equity","SUPPLY_CHAIN_SUPPLIERS","RELATIONSHIP_AS_OF_DATE","19980921")</f>
        <v>4401 TT Equity</v>
      </c>
      <c r="Z5" t="str">
        <f>_xll.BDS("TCI US Equity","SUPPLY_CHAIN_CUSTOMERS","RELATIONSHIP_AS_OF_DATE","19980921")</f>
        <v>#N/A N/A</v>
      </c>
      <c r="AE5" t="str">
        <f>_xll.BDS("VLY US Equity","SUPPLY_CHAIN_SUPPLIERS","RELATIONSHIP_AS_OF_DATE","19980529","cols=1;rows=2")</f>
        <v>VNO US Equity</v>
      </c>
      <c r="AJ5" t="str">
        <f>_xll.BDS("VLY US Equity","SUPPLY_CHAIN_CUSTOMERS","RELATIONSHIP_AS_OF_DATE","19980529")</f>
        <v>#N/A N/A</v>
      </c>
      <c r="AO5" t="str">
        <f>_xll.BDS("KRNY US Equity","SUPPLY_CHAIN_SUPPLIERS","RELATIONSHIP_AS_OF_DATE","20020110")</f>
        <v>FISV US Equity</v>
      </c>
      <c r="AT5" t="str">
        <f>_xll.BDS("KRNY US Equity","SUPPLY_CHAIN_CUSTOMERS","RELATIONSHIP_AS_OF_DATE","20020110")</f>
        <v>#N/A N/A</v>
      </c>
      <c r="AY5" t="str">
        <f>_xll.BDS("RILY US Equity","SUPPLY_CHAIN_SUPPLIERS","RELATIONSHIP_AS_OF_DATE","20151116","cols=1;rows=5")</f>
        <v>1460 TT Equity</v>
      </c>
      <c r="BD5" t="str">
        <f>_xll.BDS("RILY US Equity","SUPPLY_CHAIN_CUSTOMERS","RELATIONSHIP_AS_OF_DATE","20151116","cols=1;rows=5")</f>
        <v>NSIT US Equity</v>
      </c>
      <c r="BI5" t="str">
        <f>_xll.BDS("ESIC US Equity","SUPPLY_CHAIN_SUPPLIERS","RELATIONSHIP_AS_OF_DATE","20070503")</f>
        <v>#N/A N/A</v>
      </c>
      <c r="BN5" t="str">
        <f>_xll.BDS("ESIC US Equity","SUPPLY_CHAIN_CUSTOMERS","RELATIONSHIP_AS_OF_DATE","20070503")</f>
        <v>#N/A N/A</v>
      </c>
      <c r="BS5" t="str">
        <f>_xll.BDS("UNH US Equity","SUPPLY_CHAIN_SUPPLIERS","RELATIONSHIP_AS_OF_DATE","20001010","cols=1;rows=5")</f>
        <v>VRTX US Equity</v>
      </c>
      <c r="BX5" t="str">
        <f>_xll.BDS("UNH US Equity","SUPPLY_CHAIN_CUSTOMERS","RELATIONSHIP_AS_OF_DATE","20001010","cols=1;rows=5")</f>
        <v>9877893Z US Equity</v>
      </c>
      <c r="CC5" t="str">
        <f>_xll.BDS("ROP US Equity","SUPPLY_CHAIN_SUPPLIERS","RELATIONSHIP_AS_OF_DATE","20171005","cols=1;rows=5")</f>
        <v>MSFT US Equity</v>
      </c>
      <c r="CH5" t="str">
        <f>_xll.BDS("ROP US Equity","SUPPLY_CHAIN_CUSTOMERS","RELATIONSHIP_AS_OF_DATE","20171005","cols=1;rows=5")</f>
        <v>CDW US Equity</v>
      </c>
      <c r="CM5" t="str">
        <f>_xll.BDS("CNOB US Equity","SUPPLY_CHAIN_SUPPLIERS","RELATIONSHIP_AS_OF_DATE","20180712")</f>
        <v>NCNO US Equity</v>
      </c>
      <c r="CR5" t="str">
        <f>_xll.BDS("CNOB US Equity","SUPPLY_CHAIN_CUSTOMERS","RELATIONSHIP_AS_OF_DATE","20180712")</f>
        <v>#N/A N/A</v>
      </c>
      <c r="CW5" t="str">
        <f>_xll.BDS("2740937Q US Equity","SUPPLY_CHAIN_SUPPLIERS","RELATIONSHIP_AS_OF_DATE","20010409")</f>
        <v>#N/A N/A</v>
      </c>
      <c r="DB5" t="str">
        <f>_xll.BDS("2740937Q US Equity","SUPPLY_CHAIN_CUSTOMERS","RELATIONSHIP_AS_OF_DATE","20010409")</f>
        <v>#N/A N/A</v>
      </c>
      <c r="DG5" t="str">
        <f>_xll.BDS("DNBK US Equity","SUPPLY_CHAIN_SUPPLIERS","RELATIONSHIP_AS_OF_DATE","20090617")</f>
        <v>#N/A N/A</v>
      </c>
      <c r="DL5" t="str">
        <f>_xll.BDS("DNBK US Equity","SUPPLY_CHAIN_CUSTOMERS","RELATIONSHIP_AS_OF_DATE","20090617")</f>
        <v>#N/A N/A</v>
      </c>
      <c r="DQ5" t="str">
        <f>_xll.BDS("FISI US Equity","SUPPLY_CHAIN_SUPPLIERS","RELATIONSHIP_AS_OF_DATE","20001102")</f>
        <v>#N/A N/A</v>
      </c>
      <c r="DV5" t="str">
        <f>_xll.BDS("FISI US Equity","SUPPLY_CHAIN_CUSTOMERS","RELATIONSHIP_AS_OF_DATE","20001102")</f>
        <v>#N/A N/A</v>
      </c>
      <c r="EA5" t="str">
        <f>_xll.BDS("SNV US Equity","SUPPLY_CHAIN_SUPPLIERS","RELATIONSHIP_AS_OF_DATE","20000919")</f>
        <v>VYX US Equity</v>
      </c>
      <c r="EF5" t="str">
        <f>_xll.BDS("SNV US Equity","SUPPLY_CHAIN_CUSTOMERS","RELATIONSHIP_AS_OF_DATE","20000919")</f>
        <v>#N/A N/A</v>
      </c>
      <c r="EK5" t="str">
        <f>_xll.BDS("IBCP US Equity","SUPPLY_CHAIN_SUPPLIERS","RELATIONSHIP_AS_OF_DATE","19990324")</f>
        <v>#N/A N/A</v>
      </c>
      <c r="EP5" t="str">
        <f>_xll.BDS("IBCP US Equity","SUPPLY_CHAIN_CUSTOMERS","RELATIONSHIP_AS_OF_DATE","19990324")</f>
        <v>#N/A N/A</v>
      </c>
      <c r="EU5" t="str">
        <f>_xll.BDS("NWBD US Equity","SUPPLY_CHAIN_SUPPLIERS","RELATIONSHIP_AS_OF_DATE","20060628")</f>
        <v>278650 KS Equity</v>
      </c>
      <c r="EZ5" t="str">
        <f>_xll.BDS("NWBD US Equity","SUPPLY_CHAIN_CUSTOMERS","RELATIONSHIP_AS_OF_DATE","20060628")</f>
        <v>#N/A N/A</v>
      </c>
      <c r="FE5" t="str">
        <f>_xll.BDS("KEY US Equity","SUPPLY_CHAIN_SUPPLIERS","RELATIONSHIP_AS_OF_DATE","20020925","cols=1;rows=5")</f>
        <v>BILL US Equity</v>
      </c>
      <c r="FJ5" t="str">
        <f>_xll.BDS("KEY US Equity","SUPPLY_CHAIN_CUSTOMERS","RELATIONSHIP_AS_OF_DATE","20020925")</f>
        <v>#N/A N/A</v>
      </c>
      <c r="FO5" t="str">
        <f>_xll.BDS("FRME US Equity","SUPPLY_CHAIN_SUPPLIERS","RELATIONSHIP_AS_OF_DATE","20020828")</f>
        <v>#N/A N/A</v>
      </c>
      <c r="FT5" t="str">
        <f>_xll.BDS("FRME US Equity","SUPPLY_CHAIN_CUSTOMERS","RELATIONSHIP_AS_OF_DATE","20020828")</f>
        <v>#N/A N/A</v>
      </c>
      <c r="FY5" t="str">
        <f>_xll.BDS("2641504Q US Equity","SUPPLY_CHAIN_SUPPLIERS","RELATIONSHIP_AS_OF_DATE","20010123")</f>
        <v>#N/A N/A</v>
      </c>
      <c r="GD5" t="str">
        <f>_xll.BDS("2641504Q US Equity","SUPPLY_CHAIN_CUSTOMERS","RELATIONSHIP_AS_OF_DATE","20010123")</f>
        <v>#N/A N/A</v>
      </c>
      <c r="GI5" t="str">
        <f>_xll.BDS("ISBC US Equity","SUPPLY_CHAIN_SUPPLIERS","RELATIONSHIP_AS_OF_DATE","20190724")</f>
        <v>#N/A N/A</v>
      </c>
      <c r="GN5" t="str">
        <f>_xll.BDS("ISBC US Equity","SUPPLY_CHAIN_CUSTOMERS","RELATIONSHIP_AS_OF_DATE","20190724")</f>
        <v>#N/A N/A</v>
      </c>
      <c r="GS5" t="str">
        <f>_xll.BDS("1822785D US Equity","SUPPLY_CHAIN_SUPPLIERS","RELATIONSHIP_AS_OF_DATE","19980702")</f>
        <v>#N/A N/A</v>
      </c>
      <c r="GX5" t="str">
        <f>_xll.BDS("1822785D US Equity","SUPPLY_CHAIN_CUSTOMERS","RELATIONSHIP_AS_OF_DATE","19980702")</f>
        <v>#N/A N/A</v>
      </c>
      <c r="HC5" t="str">
        <f>_xll.BDS("UB US Equity","SUPPLY_CHAIN_SUPPLIERS","RELATIONSHIP_AS_OF_DATE","20020806")</f>
        <v>#N/A N/A</v>
      </c>
      <c r="HH5" t="str">
        <f>_xll.BDS("UB US Equity","SUPPLY_CHAIN_CUSTOMERS","RELATIONSHIP_AS_OF_DATE","20020806")</f>
        <v>#N/A N/A</v>
      </c>
      <c r="HM5" t="str">
        <f>_xll.BDS("AGATQ US Equity","SUPPLY_CHAIN_SUPPLIERS","RELATIONSHIP_AS_OF_DATE","19980129")</f>
        <v>#N/A N/A</v>
      </c>
      <c r="HR5" t="str">
        <f>_xll.BDS("AGATQ US Equity","SUPPLY_CHAIN_CUSTOMERS","RELATIONSHIP_AS_OF_DATE","19980129")</f>
        <v>#N/A N/A</v>
      </c>
      <c r="HW5" t="str">
        <f>_xll.BDS("812489Q US Equity","SUPPLY_CHAIN_SUPPLIERS","RELATIONSHIP_AS_OF_DATE","19981211")</f>
        <v>#N/A N/A</v>
      </c>
      <c r="IB5" t="str">
        <f>_xll.BDS("812489Q US Equity","SUPPLY_CHAIN_CUSTOMERS","RELATIONSHIP_AS_OF_DATE","19981211")</f>
        <v>#N/A N/A</v>
      </c>
      <c r="IG5" t="str">
        <f>_xll.BDS("FEIC US Equity","SUPPLY_CHAIN_SUPPLIERS","RELATIONSHIP_AS_OF_DATE","19981203","cols=1;rows=5")</f>
        <v>9501 JP Equity</v>
      </c>
      <c r="IL5" t="str">
        <f>_xll.BDS("FEIC US Equity","SUPPLY_CHAIN_CUSTOMERS","RELATIONSHIP_AS_OF_DATE","19981203")</f>
        <v>#N/A N/A</v>
      </c>
      <c r="IQ5" t="str">
        <f>_xll.BDS("WYPT US Equity","SUPPLY_CHAIN_SUPPLIERS","RELATIONSHIP_AS_OF_DATE","20000328")</f>
        <v>#N/A N/A</v>
      </c>
      <c r="IV5" t="str">
        <f>_xll.BDS("WYPT US Equity","SUPPLY_CHAIN_CUSTOMERS","RELATIONSHIP_AS_OF_DATE","20000328")</f>
        <v>#N/A N/A</v>
      </c>
      <c r="JA5" t="str">
        <f>_xll.BDS("FUR US Equity","SUPPLY_CHAIN_SUPPLIERS","RELATIONSHIP_AS_OF_DATE","20040112")</f>
        <v>#N/A N/A</v>
      </c>
      <c r="JF5" t="str">
        <f>_xll.BDS("FUR US Equity","SUPPLY_CHAIN_CUSTOMERS","RELATIONSHIP_AS_OF_DATE","20040112")</f>
        <v>#N/A N/A</v>
      </c>
      <c r="JK5" t="str">
        <f>_xll.BDS("CLDX US Equity","SUPPLY_CHAIN_SUPPLIERS","RELATIONSHIP_AS_OF_DATE","20090529","cols=1;rows=5")</f>
        <v>6047Z US Equity</v>
      </c>
      <c r="JP5" t="str">
        <f>_xll.BDS("CLDX US Equity","SUPPLY_CHAIN_CUSTOMERS","RELATIONSHIP_AS_OF_DATE","20090529","cols=1;rows=4")</f>
        <v>572123Z US Equity</v>
      </c>
      <c r="JU5" t="str">
        <f>_xll.BDS("WTNY US Equity","SUPPLY_CHAIN_SUPPLIERS","RELATIONSHIP_AS_OF_DATE","20040319")</f>
        <v>#N/A N/A</v>
      </c>
      <c r="JZ5" t="str">
        <f>_xll.BDS("WTNY US Equity","SUPPLY_CHAIN_CUSTOMERS","RELATIONSHIP_AS_OF_DATE","20040319")</f>
        <v>#N/A N/A</v>
      </c>
      <c r="KE5" t="str">
        <f>_xll.BDS("HU US Equity","SUPPLY_CHAIN_SUPPLIERS","RELATIONSHIP_AS_OF_DATE","19990126")</f>
        <v>#N/A N/A</v>
      </c>
      <c r="KJ5" t="str">
        <f>_xll.BDS("HU US Equity","SUPPLY_CHAIN_CUSTOMERS","RELATIONSHIP_AS_OF_DATE","19990126")</f>
        <v>#N/A N/A</v>
      </c>
      <c r="KO5" t="str">
        <f>_xll.BDS("CMD US Equity","SUPPLY_CHAIN_SUPPLIERS","RELATIONSHIP_AS_OF_DATE","20010531")</f>
        <v>FE US Equity</v>
      </c>
      <c r="KT5" t="str">
        <f>_xll.BDS("CMD US Equity","SUPPLY_CHAIN_CUSTOMERS","RELATIONSHIP_AS_OF_DATE","20010531")</f>
        <v>#N/A N/A</v>
      </c>
      <c r="KY5" t="str">
        <f>_xll.BDS("KIM US Equity","SUPPLY_CHAIN_SUPPLIERS","RELATIONSHIP_AS_OF_DATE","20051201")</f>
        <v>WOOD IJ Equity</v>
      </c>
      <c r="LD5" t="str">
        <f>_xll.BDS("KIM US Equity","SUPPLY_CHAIN_CUSTOMERS","RELATIONSHIP_AS_OF_DATE","20051201","cols=1;rows=5")</f>
        <v>TJX US Equity</v>
      </c>
      <c r="LI5" t="str">
        <f>_xll.BDS("MDDS US Equity","SUPPLY_CHAIN_SUPPLIERS","RELATIONSHIP_AS_OF_DATE","19980910")</f>
        <v>#N/A N/A</v>
      </c>
      <c r="LN5" t="str">
        <f>_xll.BDS("MDDS US Equity","SUPPLY_CHAIN_CUSTOMERS","RELATIONSHIP_AS_OF_DATE","19980910")</f>
        <v>#N/A N/A</v>
      </c>
      <c r="LS5" t="str">
        <f>_xll.BDS("VABK US Equity","SUPPLY_CHAIN_SUPPLIERS","RELATIONSHIP_AS_OF_DATE","20201001")</f>
        <v>#N/A N/A</v>
      </c>
      <c r="LX5" t="str">
        <f>_xll.BDS("VABK US Equity","SUPPLY_CHAIN_CUSTOMERS","RELATIONSHIP_AS_OF_DATE","20201001")</f>
        <v>#N/A N/A</v>
      </c>
      <c r="MC5" t="str">
        <f>_xll.BDS("1436225D US Equity","SUPPLY_CHAIN_SUPPLIERS","RELATIONSHIP_AS_OF_DATE","19981008")</f>
        <v>#N/A N/A</v>
      </c>
      <c r="MH5" t="str">
        <f>_xll.BDS("1436225D US Equity","SUPPLY_CHAIN_CUSTOMERS","RELATIONSHIP_AS_OF_DATE","19981008")</f>
        <v>#N/A N/A</v>
      </c>
      <c r="MM5" t="str">
        <f>_xll.BDS("CCTX US Equity","SUPPLY_CHAIN_SUPPLIERS","RELATIONSHIP_AS_OF_DATE","19990517")</f>
        <v>#N/A N/A</v>
      </c>
      <c r="MR5" t="str">
        <f>_xll.BDS("CCTX US Equity","SUPPLY_CHAIN_CUSTOMERS","RELATIONSHIP_AS_OF_DATE","19990517")</f>
        <v>#N/A N/A</v>
      </c>
      <c r="MW5" t="str">
        <f>_xll.BDS("PFC US Equity","SUPPLY_CHAIN_SUPPLIERS","RELATIONSHIP_AS_OF_DATE","20160823")</f>
        <v>#N/A N/A</v>
      </c>
      <c r="NB5" t="str">
        <f>_xll.BDS("PFC US Equity","SUPPLY_CHAIN_CUSTOMERS","RELATIONSHIP_AS_OF_DATE","20160823")</f>
        <v>#N/A N/A</v>
      </c>
      <c r="NG5" t="str">
        <f>_xll.BDS("CBCGQ US Equity","SUPPLY_CHAIN_SUPPLIERS","RELATIONSHIP_AS_OF_DATE","19980424")</f>
        <v>#N/A N/A</v>
      </c>
      <c r="NL5" t="str">
        <f>_xll.BDS("CBCGQ US Equity","SUPPLY_CHAIN_CUSTOMERS","RELATIONSHIP_AS_OF_DATE","19980424")</f>
        <v>#N/A N/A</v>
      </c>
      <c r="NQ5" t="str">
        <f>_xll.BDS("NFBK US Equity","SUPPLY_CHAIN_SUPPLIERS","RELATIONSHIP_AS_OF_DATE","20191223")</f>
        <v>#N/A N/A</v>
      </c>
      <c r="NV5" t="str">
        <f>_xll.BDS("NFBK US Equity","SUPPLY_CHAIN_CUSTOMERS","RELATIONSHIP_AS_OF_DATE","20191223")</f>
        <v>#N/A N/A</v>
      </c>
      <c r="OA5" t="str">
        <f>_xll.BDS("1339658D US Equity","SUPPLY_CHAIN_SUPPLIERS","RELATIONSHIP_AS_OF_DATE","20050228")</f>
        <v>#N/A N/A</v>
      </c>
      <c r="OF5" t="str">
        <f>_xll.BDS("1339658D US Equity","SUPPLY_CHAIN_CUSTOMERS","RELATIONSHIP_AS_OF_DATE","20050228")</f>
        <v>#N/A N/A</v>
      </c>
    </row>
    <row r="6" spans="1:396" x14ac:dyDescent="0.25">
      <c r="A6" t="s">
        <v>12033</v>
      </c>
      <c r="F6" t="s">
        <v>6473</v>
      </c>
      <c r="K6" t="s">
        <v>2705</v>
      </c>
      <c r="P6" t="s">
        <v>11696</v>
      </c>
      <c r="AE6" t="s">
        <v>3162</v>
      </c>
      <c r="AY6" t="s">
        <v>11374</v>
      </c>
      <c r="BD6" t="s">
        <v>10918</v>
      </c>
      <c r="BS6" t="s">
        <v>10846</v>
      </c>
      <c r="BX6" t="s">
        <v>10657</v>
      </c>
      <c r="CC6" t="s">
        <v>6320</v>
      </c>
      <c r="CH6" t="s">
        <v>2881</v>
      </c>
      <c r="FE6" t="s">
        <v>10772</v>
      </c>
      <c r="IG6" t="s">
        <v>693</v>
      </c>
      <c r="JK6" t="s">
        <v>872</v>
      </c>
      <c r="JP6" t="s">
        <v>11656</v>
      </c>
      <c r="LD6" t="s">
        <v>11525</v>
      </c>
    </row>
    <row r="7" spans="1:396" x14ac:dyDescent="0.25">
      <c r="A7" t="s">
        <v>4898</v>
      </c>
      <c r="F7" t="s">
        <v>5236</v>
      </c>
      <c r="K7" t="s">
        <v>11049</v>
      </c>
      <c r="P7" t="s">
        <v>390</v>
      </c>
      <c r="AY7" t="s">
        <v>2705</v>
      </c>
      <c r="BD7" t="s">
        <v>10919</v>
      </c>
      <c r="BS7" t="s">
        <v>10834</v>
      </c>
      <c r="BX7" t="s">
        <v>165</v>
      </c>
      <c r="CC7" t="s">
        <v>11601</v>
      </c>
      <c r="CH7" t="s">
        <v>4219</v>
      </c>
      <c r="FE7" t="s">
        <v>11232</v>
      </c>
      <c r="IG7" t="s">
        <v>10740</v>
      </c>
      <c r="JK7" t="s">
        <v>572</v>
      </c>
      <c r="JP7" t="s">
        <v>10657</v>
      </c>
      <c r="LD7" t="s">
        <v>570</v>
      </c>
    </row>
    <row r="8" spans="1:396" x14ac:dyDescent="0.25">
      <c r="A8" t="s">
        <v>11933</v>
      </c>
      <c r="F8" t="s">
        <v>11106</v>
      </c>
      <c r="K8" t="s">
        <v>11061</v>
      </c>
      <c r="P8" t="s">
        <v>11697</v>
      </c>
      <c r="AY8" t="s">
        <v>11375</v>
      </c>
      <c r="BD8" t="s">
        <v>10920</v>
      </c>
      <c r="BS8" t="s">
        <v>11029</v>
      </c>
      <c r="BX8" t="s">
        <v>10676</v>
      </c>
      <c r="CC8" t="s">
        <v>11602</v>
      </c>
      <c r="CH8" t="s">
        <v>10787</v>
      </c>
      <c r="FE8" t="s">
        <v>11233</v>
      </c>
      <c r="IG8" t="s">
        <v>10716</v>
      </c>
      <c r="JK8" t="s">
        <v>10809</v>
      </c>
      <c r="JP8" t="s">
        <v>275</v>
      </c>
      <c r="LD8" t="s">
        <v>469</v>
      </c>
    </row>
    <row r="9" spans="1:396" x14ac:dyDescent="0.25">
      <c r="A9" t="s">
        <v>11204</v>
      </c>
      <c r="F9" t="s">
        <v>10660</v>
      </c>
      <c r="K9" t="s">
        <v>10718</v>
      </c>
      <c r="P9" t="s">
        <v>11234</v>
      </c>
      <c r="AY9" t="s">
        <v>11084</v>
      </c>
      <c r="BD9" t="s">
        <v>10921</v>
      </c>
      <c r="BS9" t="s">
        <v>43</v>
      </c>
      <c r="BX9" t="s">
        <v>11267</v>
      </c>
      <c r="CC9" t="s">
        <v>11603</v>
      </c>
      <c r="CH9" t="s">
        <v>11586</v>
      </c>
      <c r="FE9" t="s">
        <v>11234</v>
      </c>
      <c r="IG9" t="s">
        <v>10811</v>
      </c>
      <c r="JK9" t="s">
        <v>10957</v>
      </c>
      <c r="LD9" t="s">
        <v>11526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8411</v>
      </c>
      <c r="K1" s="1" t="s">
        <v>8412</v>
      </c>
      <c r="U1" s="1" t="s">
        <v>8413</v>
      </c>
      <c r="AE1" s="1" t="s">
        <v>8414</v>
      </c>
      <c r="AO1" s="1" t="s">
        <v>8415</v>
      </c>
      <c r="AY1" s="1" t="s">
        <v>8416</v>
      </c>
      <c r="BI1" s="1" t="s">
        <v>8417</v>
      </c>
      <c r="BS1" s="1" t="s">
        <v>8418</v>
      </c>
      <c r="CC1" s="1" t="s">
        <v>8419</v>
      </c>
      <c r="CM1" s="1" t="s">
        <v>8420</v>
      </c>
      <c r="CW1" s="1" t="s">
        <v>8421</v>
      </c>
      <c r="DG1" s="1" t="s">
        <v>8422</v>
      </c>
      <c r="DQ1" s="1" t="s">
        <v>8423</v>
      </c>
      <c r="EA1" s="1" t="s">
        <v>8424</v>
      </c>
      <c r="EK1" s="1" t="s">
        <v>8425</v>
      </c>
      <c r="EU1" s="1" t="s">
        <v>8426</v>
      </c>
      <c r="FE1" s="1" t="s">
        <v>8427</v>
      </c>
      <c r="FO1" s="1" t="s">
        <v>8428</v>
      </c>
      <c r="FY1" s="1" t="s">
        <v>8429</v>
      </c>
      <c r="GI1" s="1" t="s">
        <v>8430</v>
      </c>
      <c r="GS1" s="1" t="s">
        <v>8431</v>
      </c>
      <c r="HC1" s="1" t="s">
        <v>8432</v>
      </c>
      <c r="HM1" s="1" t="s">
        <v>8433</v>
      </c>
      <c r="HW1" s="1" t="s">
        <v>8434</v>
      </c>
      <c r="IG1" s="1" t="s">
        <v>8435</v>
      </c>
      <c r="IQ1" s="1" t="s">
        <v>8436</v>
      </c>
      <c r="JA1" s="1" t="s">
        <v>8437</v>
      </c>
      <c r="JK1" s="1" t="s">
        <v>8438</v>
      </c>
      <c r="JU1" s="1" t="s">
        <v>8439</v>
      </c>
      <c r="KE1" s="1" t="s">
        <v>8440</v>
      </c>
      <c r="KO1" s="1" t="s">
        <v>8441</v>
      </c>
      <c r="KY1" s="1" t="s">
        <v>8442</v>
      </c>
      <c r="LI1" s="1" t="s">
        <v>8443</v>
      </c>
      <c r="LS1" s="1" t="s">
        <v>8444</v>
      </c>
      <c r="MC1" s="1" t="s">
        <v>8445</v>
      </c>
      <c r="MM1" s="1" t="s">
        <v>8446</v>
      </c>
      <c r="MW1" s="1" t="s">
        <v>8447</v>
      </c>
      <c r="NG1" s="1" t="s">
        <v>8448</v>
      </c>
      <c r="NQ1" s="1" t="s">
        <v>8449</v>
      </c>
      <c r="OA1" s="1" t="s">
        <v>8450</v>
      </c>
    </row>
    <row r="2" spans="1:396" x14ac:dyDescent="0.25">
      <c r="A2" s="2" t="s">
        <v>7391</v>
      </c>
      <c r="K2" s="2" t="s">
        <v>387</v>
      </c>
      <c r="U2" s="2" t="s">
        <v>8451</v>
      </c>
      <c r="AE2" s="2" t="s">
        <v>8452</v>
      </c>
      <c r="AO2" s="2" t="s">
        <v>3156</v>
      </c>
      <c r="AY2" s="2" t="s">
        <v>8453</v>
      </c>
      <c r="BI2" s="2" t="s">
        <v>780</v>
      </c>
      <c r="BS2" s="2" t="s">
        <v>6978</v>
      </c>
      <c r="CC2" s="2" t="s">
        <v>8454</v>
      </c>
      <c r="CM2" s="2" t="s">
        <v>6317</v>
      </c>
      <c r="CW2" s="2" t="s">
        <v>6974</v>
      </c>
      <c r="DG2" s="2" t="s">
        <v>3698</v>
      </c>
      <c r="DQ2" s="2" t="s">
        <v>4819</v>
      </c>
      <c r="EA2" s="2" t="s">
        <v>64</v>
      </c>
      <c r="EK2" s="2" t="s">
        <v>8455</v>
      </c>
      <c r="EU2" s="2" t="s">
        <v>8456</v>
      </c>
      <c r="FE2" s="2" t="s">
        <v>2412</v>
      </c>
      <c r="FO2" s="2" t="s">
        <v>2695</v>
      </c>
      <c r="FY2" s="2" t="s">
        <v>4034</v>
      </c>
      <c r="GI2" s="2" t="s">
        <v>272</v>
      </c>
      <c r="GS2" s="2" t="s">
        <v>5847</v>
      </c>
      <c r="HC2" s="2" t="s">
        <v>8457</v>
      </c>
      <c r="HM2" s="2" t="s">
        <v>8458</v>
      </c>
      <c r="HW2" s="2" t="s">
        <v>4139</v>
      </c>
      <c r="IG2" s="2" t="s">
        <v>8459</v>
      </c>
      <c r="IQ2" s="2" t="s">
        <v>8460</v>
      </c>
      <c r="JA2" s="2" t="s">
        <v>8461</v>
      </c>
      <c r="JK2" s="2" t="s">
        <v>4215</v>
      </c>
      <c r="JU2" s="2" t="s">
        <v>2124</v>
      </c>
      <c r="KE2" s="2" t="s">
        <v>7052</v>
      </c>
      <c r="KO2" s="2" t="s">
        <v>3954</v>
      </c>
      <c r="KY2" s="2" t="s">
        <v>8462</v>
      </c>
      <c r="LI2" s="2" t="s">
        <v>7837</v>
      </c>
      <c r="LS2" s="2" t="s">
        <v>4297</v>
      </c>
      <c r="MC2" s="2" t="s">
        <v>8463</v>
      </c>
      <c r="MM2" s="2" t="s">
        <v>969</v>
      </c>
      <c r="MW2" s="2" t="s">
        <v>6070</v>
      </c>
      <c r="NG2" s="2" t="s">
        <v>1180</v>
      </c>
      <c r="NQ2" s="2" t="s">
        <v>6064</v>
      </c>
      <c r="OA2" s="2" t="s">
        <v>8464</v>
      </c>
    </row>
    <row r="3" spans="1:396" x14ac:dyDescent="0.25">
      <c r="A3" t="s">
        <v>8465</v>
      </c>
      <c r="K3" t="s">
        <v>6005</v>
      </c>
      <c r="U3" t="s">
        <v>8466</v>
      </c>
      <c r="AE3" t="s">
        <v>3987</v>
      </c>
      <c r="AO3" t="s">
        <v>8467</v>
      </c>
      <c r="AY3" t="s">
        <v>1009</v>
      </c>
      <c r="BI3" t="s">
        <v>8255</v>
      </c>
      <c r="BS3" t="s">
        <v>715</v>
      </c>
      <c r="CC3" t="s">
        <v>8468</v>
      </c>
      <c r="CM3" t="s">
        <v>8469</v>
      </c>
      <c r="CW3" t="s">
        <v>1575</v>
      </c>
      <c r="DG3" t="s">
        <v>1566</v>
      </c>
      <c r="DQ3" t="s">
        <v>8470</v>
      </c>
      <c r="EA3" t="s">
        <v>4507</v>
      </c>
      <c r="EK3" t="s">
        <v>7305</v>
      </c>
      <c r="EU3" t="s">
        <v>2232</v>
      </c>
      <c r="FE3" t="s">
        <v>1488</v>
      </c>
      <c r="FO3" t="s">
        <v>7949</v>
      </c>
      <c r="FY3" t="s">
        <v>8471</v>
      </c>
      <c r="GI3" t="s">
        <v>6018</v>
      </c>
      <c r="GS3" t="s">
        <v>8472</v>
      </c>
      <c r="HC3" t="s">
        <v>8400</v>
      </c>
      <c r="HM3" t="s">
        <v>3087</v>
      </c>
      <c r="HW3" t="s">
        <v>111</v>
      </c>
      <c r="IG3" t="s">
        <v>3445</v>
      </c>
      <c r="IQ3" t="s">
        <v>2728</v>
      </c>
      <c r="JA3" t="s">
        <v>1204</v>
      </c>
      <c r="JK3" t="s">
        <v>8473</v>
      </c>
      <c r="JU3" t="s">
        <v>8474</v>
      </c>
      <c r="KE3" t="s">
        <v>4668</v>
      </c>
      <c r="KO3" t="s">
        <v>8475</v>
      </c>
      <c r="KY3" t="s">
        <v>6401</v>
      </c>
      <c r="LI3" t="s">
        <v>6839</v>
      </c>
      <c r="LS3" t="s">
        <v>8476</v>
      </c>
      <c r="MC3" t="s">
        <v>6920</v>
      </c>
      <c r="MM3" t="s">
        <v>8114</v>
      </c>
      <c r="MW3" t="s">
        <v>6006</v>
      </c>
      <c r="NG3" t="s">
        <v>8477</v>
      </c>
      <c r="NQ3" t="s">
        <v>3893</v>
      </c>
      <c r="OA3" t="s">
        <v>600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_xll.BDS("DVINQ US Equity","SUPPLY_CHAIN_SUPPLIERS","RELATIONSHIP_AS_OF_DATE","20010918")</f>
        <v>#N/A N/A</v>
      </c>
      <c r="F5" t="str">
        <f>_xll.BDS("DVINQ US Equity","SUPPLY_CHAIN_CUSTOMERS","RELATIONSHIP_AS_OF_DATE","20010918")</f>
        <v>#N/A N/A</v>
      </c>
      <c r="K5" t="str">
        <f>_xll.BDS("DHR US Equity","SUPPLY_CHAIN_SUPPLIERS","RELATIONSHIP_AS_OF_DATE","20010613","cols=1;rows=5")</f>
        <v>FLEX US Equity</v>
      </c>
      <c r="P5" t="str">
        <f>_xll.BDS("DHR US Equity","SUPPLY_CHAIN_CUSTOMERS","RELATIONSHIP_AS_OF_DATE","20010613","cols=1;rows=5")</f>
        <v>CDW US Equity</v>
      </c>
      <c r="U5" t="str">
        <f>_xll.BDS("DENTQ US Equity","SUPPLY_CHAIN_SUPPLIERS","RELATIONSHIP_AS_OF_DATE","19981016")</f>
        <v>#N/A N/A</v>
      </c>
      <c r="Z5" t="str">
        <f>_xll.BDS("DENTQ US Equity","SUPPLY_CHAIN_CUSTOMERS","RELATIONSHIP_AS_OF_DATE","19981016")</f>
        <v>#N/A N/A</v>
      </c>
      <c r="AE5" t="str">
        <f>_xll.BDS("EBIXQ US Equity","SUPPLY_CHAIN_SUPPLIERS","RELATIONSHIP_AS_OF_DATE","20100830","cols=1;rows=5")</f>
        <v>0630827D US Equity</v>
      </c>
      <c r="AJ5" t="str">
        <f>_xll.BDS("EBIXQ US Equity","SUPPLY_CHAIN_CUSTOMERS","RELATIONSHIP_AS_OF_DATE","20100830","cols=1;rows=5")</f>
        <v>1067313D US Equity</v>
      </c>
      <c r="AO5" t="str">
        <f>_xll.BDS("838969Q US Equity","SUPPLY_CHAIN_SUPPLIERS","RELATIONSHIP_AS_OF_DATE","20060613")</f>
        <v>#N/A N/A</v>
      </c>
      <c r="AT5" t="str">
        <f>_xll.BDS("838969Q US Equity","SUPPLY_CHAIN_CUSTOMERS","RELATIONSHIP_AS_OF_DATE","20060613")</f>
        <v>#N/A N/A</v>
      </c>
      <c r="AY5" t="str">
        <f>_xll.BDS("3372216Q US Equity","SUPPLY_CHAIN_SUPPLIERS","RELATIONSHIP_AS_OF_DATE","19981021")</f>
        <v>#N/A N/A</v>
      </c>
      <c r="BD5" t="str">
        <f>_xll.BDS("3372216Q US Equity","SUPPLY_CHAIN_CUSTOMERS","RELATIONSHIP_AS_OF_DATE","19981021")</f>
        <v>#N/A N/A</v>
      </c>
      <c r="BI5" t="str">
        <f>_xll.BDS("VLO US Equity","SUPPLY_CHAIN_SUPPLIERS","RELATIONSHIP_AS_OF_DATE","20010320","cols=1;rows=5")</f>
        <v>DAR US Equity</v>
      </c>
      <c r="BN5" t="str">
        <f>_xll.BDS("VLO US Equity","SUPPLY_CHAIN_CUSTOMERS","RELATIONSHIP_AS_OF_DATE","20010320","cols=1;rows=5")</f>
        <v>ARKO US Equity</v>
      </c>
      <c r="BS5" t="str">
        <f>_xll.BDS("BVH US Equity","SUPPLY_CHAIN_SUPPLIERS","RELATIONSHIP_AS_OF_DATE","20160728")</f>
        <v>ECL US Equity</v>
      </c>
      <c r="BX5" t="str">
        <f>_xll.BDS("BVH US Equity","SUPPLY_CHAIN_CUSTOMERS","RELATIONSHIP_AS_OF_DATE","20160728")</f>
        <v>#N/A N/A</v>
      </c>
      <c r="CC5" t="str">
        <f>_xll.BDS("NKLAQ US Equity","SUPPLY_CHAIN_SUPPLIERS","RELATIONSHIP_AS_OF_DATE","20220801","cols=1;rows=5")</f>
        <v>PLUG US Equity</v>
      </c>
      <c r="CH5" t="str">
        <f>_xll.BDS("NKLAQ US Equity","SUPPLY_CHAIN_CUSTOMERS","RELATIONSHIP_AS_OF_DATE","20220801","cols=1;rows=5")</f>
        <v>0219760D US Equity</v>
      </c>
      <c r="CM5" t="str">
        <f>_xll.BDS("HTBK US Equity","SUPPLY_CHAIN_SUPPLIERS","RELATIONSHIP_AS_OF_DATE","20070209")</f>
        <v>#N/A N/A</v>
      </c>
      <c r="CR5" t="str">
        <f>_xll.BDS("HTBK US Equity","SUPPLY_CHAIN_CUSTOMERS","RELATIONSHIP_AS_OF_DATE","20070209")</f>
        <v>#N/A N/A</v>
      </c>
      <c r="CW5" t="str">
        <f>_xll.BDS("MCHB US Equity","SUPPLY_CHAIN_SUPPLIERS","RELATIONSHIP_AS_OF_DATE","20150928")</f>
        <v>#N/A N/A</v>
      </c>
      <c r="DB5" t="str">
        <f>_xll.BDS("MCHB US Equity","SUPPLY_CHAIN_CUSTOMERS","RELATIONSHIP_AS_OF_DATE","20150928")</f>
        <v>#N/A N/A</v>
      </c>
      <c r="DG5" t="str">
        <f>_xll.BDS("RVTY US Equity","SUPPLY_CHAIN_SUPPLIERS","RELATIONSHIP_AS_OF_DATE","19991005","cols=1;rows=5")</f>
        <v>UPS US Equity</v>
      </c>
      <c r="DL5" t="str">
        <f>_xll.BDS("RVTY US Equity","SUPPLY_CHAIN_CUSTOMERS","RELATIONSHIP_AS_OF_DATE","19991005","cols=1;rows=5")</f>
        <v>002971 CH Equity</v>
      </c>
      <c r="DQ5" t="str">
        <f>_xll.BDS("MFE US Equity","SUPPLY_CHAIN_SUPPLIERS","RELATIONSHIP_AS_OF_DATE","20061003","cols=1;rows=2")</f>
        <v>EMBASSY IN Equity</v>
      </c>
      <c r="DV5" t="str">
        <f>_xll.BDS("MFE US Equity","SUPPLY_CHAIN_CUSTOMERS","RELATIONSHIP_AS_OF_DATE","20061003","cols=1;rows=5")</f>
        <v>2760 JP Equity</v>
      </c>
      <c r="EA5" t="str">
        <f>_xll.BDS("nan Equity","SUPPLY_CHAIN_SUPPLIERS","RELATIONSHIP_AS_OF_DATE","20000627")</f>
        <v>#N/A N/A</v>
      </c>
      <c r="EF5" t="str">
        <f>_xll.BDS("nan Equity","SUPPLY_CHAIN_CUSTOMERS","RELATIONSHIP_AS_OF_DATE","20000627")</f>
        <v>#N/A N/A</v>
      </c>
      <c r="EK5" t="str">
        <f>_xll.BDS("3414924Q US Equity","SUPPLY_CHAIN_SUPPLIERS","RELATIONSHIP_AS_OF_DATE","20010222","cols=1;rows=5")</f>
        <v>051380 KS Equity</v>
      </c>
      <c r="EP5" t="str">
        <f>_xll.BDS("3414924Q US Equity","SUPPLY_CHAIN_CUSTOMERS","RELATIONSHIP_AS_OF_DATE","20010222","cols=1;rows=5")</f>
        <v>051380 KS Equity</v>
      </c>
      <c r="EU5" t="str">
        <f>_xll.BDS("BMS US Equity","SUPPLY_CHAIN_SUPPLIERS","RELATIONSHIP_AS_OF_DATE","19991220")</f>
        <v>FE US Equity</v>
      </c>
      <c r="EZ5" t="str">
        <f>_xll.BDS("BMS US Equity","SUPPLY_CHAIN_CUSTOMERS","RELATIONSHIP_AS_OF_DATE","19991220")</f>
        <v>#N/A N/A</v>
      </c>
      <c r="FE5" t="str">
        <f>_xll.BDS("PBCT US Equity","SUPPLY_CHAIN_SUPPLIERS","RELATIONSHIP_AS_OF_DATE","20100715")</f>
        <v>#N/A N/A</v>
      </c>
      <c r="FJ5" t="str">
        <f>_xll.BDS("PBCT US Equity","SUPPLY_CHAIN_CUSTOMERS","RELATIONSHIP_AS_OF_DATE","20100715")</f>
        <v>#N/A N/A</v>
      </c>
      <c r="FO5" t="str">
        <f>_xll.BDS("FNFG US Equity","SUPPLY_CHAIN_SUPPLIERS","RELATIONSHIP_AS_OF_DATE","20020722")</f>
        <v>#N/A N/A</v>
      </c>
      <c r="FT5" t="str">
        <f>_xll.BDS("FNFG US Equity","SUPPLY_CHAIN_CUSTOMERS","RELATIONSHIP_AS_OF_DATE","20020722")</f>
        <v>#N/A N/A</v>
      </c>
      <c r="FY5" t="str">
        <f>_xll.BDS("COLB US Equity","SUPPLY_CHAIN_SUPPLIERS","RELATIONSHIP_AS_OF_DATE","20070328")</f>
        <v>INVE US Equity</v>
      </c>
      <c r="GD5" t="str">
        <f>_xll.BDS("COLB US Equity","SUPPLY_CHAIN_CUSTOMERS","RELATIONSHIP_AS_OF_DATE","20070328")</f>
        <v>#N/A N/A</v>
      </c>
      <c r="GI5" t="str">
        <f>_xll.BDS("TMO US Equity","SUPPLY_CHAIN_SUPPLIERS","RELATIONSHIP_AS_OF_DATE","20010821","cols=1;rows=5")</f>
        <v>EMR US Equity</v>
      </c>
      <c r="GN5" t="str">
        <f>_xll.BDS("TMO US Equity","SUPPLY_CHAIN_CUSTOMERS","RELATIONSHIP_AS_OF_DATE","20010821","cols=1;rows=5")</f>
        <v>4195 TT Equity</v>
      </c>
      <c r="GS5" t="str">
        <f>_xll.BDS("BCR US Equity","SUPPLY_CHAIN_SUPPLIERS","RELATIONSHIP_AS_OF_DATE","20080310")</f>
        <v>FE US Equity</v>
      </c>
      <c r="GX5" t="str">
        <f>_xll.BDS("BCR US Equity","SUPPLY_CHAIN_CUSTOMERS","RELATIONSHIP_AS_OF_DATE","20080310")</f>
        <v>#N/A N/A</v>
      </c>
      <c r="HC5" t="str">
        <f>_xll.BDS("13620Z US Equity","SUPPLY_CHAIN_SUPPLIERS","RELATIONSHIP_AS_OF_DATE","19990324","cols=1;rows=3")</f>
        <v>BXP US Equity</v>
      </c>
      <c r="HH5" t="str">
        <f>_xll.BDS("13620Z US Equity","SUPPLY_CHAIN_CUSTOMERS","RELATIONSHIP_AS_OF_DATE","19990324","cols=1;rows=2")</f>
        <v>1852812D GR Equity</v>
      </c>
      <c r="HM5" t="str">
        <f>_xll.BDS("724880Q US Equity","SUPPLY_CHAIN_SUPPLIERS","RELATIONSHIP_AS_OF_DATE","20010523")</f>
        <v>#N/A N/A</v>
      </c>
      <c r="HR5" t="str">
        <f>_xll.BDS("724880Q US Equity","SUPPLY_CHAIN_CUSTOMERS","RELATIONSHIP_AS_OF_DATE","20010523")</f>
        <v>#N/A N/A</v>
      </c>
      <c r="HW5" t="str">
        <f>_xll.BDS("BBY US Equity","SUPPLY_CHAIN_SUPPLIERS","RELATIONSHIP_AS_OF_DATE","20080915","cols=1;rows=5")</f>
        <v>AAPL US Equity</v>
      </c>
      <c r="IB5" t="str">
        <f>_xll.BDS("BBY US Equity","SUPPLY_CHAIN_CUSTOMERS","RELATIONSHIP_AS_OF_DATE","20080915","cols=1;rows=5")</f>
        <v>300857 CH Equity</v>
      </c>
      <c r="IG5" t="str">
        <f>_xll.BDS("NXWXQ US Equity","SUPPLY_CHAIN_SUPPLIERS","RELATIONSHIP_AS_OF_DATE","19990827")</f>
        <v>#N/A N/A</v>
      </c>
      <c r="IL5" t="str">
        <f>_xll.BDS("NXWXQ US Equity","SUPPLY_CHAIN_CUSTOMERS","RELATIONSHIP_AS_OF_DATE","19990827")</f>
        <v>#N/A N/A</v>
      </c>
      <c r="IQ5" t="str">
        <f>_xll.BDS("AMNUQ US Equity","SUPPLY_CHAIN_SUPPLIERS","RELATIONSHIP_AS_OF_DATE","19990510")</f>
        <v>#N/A N/A</v>
      </c>
      <c r="IV5" t="str">
        <f>_xll.BDS("AMNUQ US Equity","SUPPLY_CHAIN_CUSTOMERS","RELATIONSHIP_AS_OF_DATE","19990510")</f>
        <v>#N/A N/A</v>
      </c>
      <c r="JA5" t="str">
        <f>_xll.BDS("FSBK US Equity","SUPPLY_CHAIN_SUPPLIERS","RELATIONSHIP_AS_OF_DATE","19990809")</f>
        <v>#N/A N/A</v>
      </c>
      <c r="JF5" t="str">
        <f>_xll.BDS("FSBK US Equity","SUPPLY_CHAIN_CUSTOMERS","RELATIONSHIP_AS_OF_DATE","19990809")</f>
        <v>#N/A N/A</v>
      </c>
      <c r="JK5" t="str">
        <f>_xll.BDS("SGID US Equity","SUPPLY_CHAIN_SUPPLIERS","RELATIONSHIP_AS_OF_DATE","19960425")</f>
        <v>#N/A N/A</v>
      </c>
      <c r="JP5" t="str">
        <f>_xll.BDS("SGID US Equity","SUPPLY_CHAIN_CUSTOMERS","RELATIONSHIP_AS_OF_DATE","19960425")</f>
        <v>#N/A N/A</v>
      </c>
      <c r="JU5" t="str">
        <f>_xll.BDS("PACW US Equity","SUPPLY_CHAIN_SUPPLIERS","RELATIONSHIP_AS_OF_DATE","20050428")</f>
        <v>#N/A N/A</v>
      </c>
      <c r="JZ5" t="str">
        <f>_xll.BDS("PACW US Equity","SUPPLY_CHAIN_CUSTOMERS","RELATIONSHIP_AS_OF_DATE","20050428")</f>
        <v>SNX US Equity</v>
      </c>
      <c r="KE5" t="str">
        <f>_xll.BDS("MPB US Equity","SUPPLY_CHAIN_SUPPLIERS","RELATIONSHIP_AS_OF_DATE","20170329")</f>
        <v>#N/A N/A</v>
      </c>
      <c r="KJ5" t="str">
        <f>_xll.BDS("MPB US Equity","SUPPLY_CHAIN_CUSTOMERS","RELATIONSHIP_AS_OF_DATE","20170329")</f>
        <v>#N/A N/A</v>
      </c>
      <c r="KO5" t="str">
        <f>_xll.BDS("2674129Q US Equity","SUPPLY_CHAIN_SUPPLIERS","RELATIONSHIP_AS_OF_DATE","19981217")</f>
        <v>#N/A N/A</v>
      </c>
      <c r="KT5" t="str">
        <f>_xll.BDS("2674129Q US Equity","SUPPLY_CHAIN_CUSTOMERS","RELATIONSHIP_AS_OF_DATE","19981217")</f>
        <v>#N/A N/A</v>
      </c>
      <c r="KY5" t="str">
        <f>_xll.BDS("BASXQ US Equity","SUPPLY_CHAIN_SUPPLIERS","RELATIONSHIP_AS_OF_DATE","20200309")</f>
        <v>#N/A N/A</v>
      </c>
      <c r="LD5" t="str">
        <f>_xll.BDS("BASXQ US Equity","SUPPLY_CHAIN_CUSTOMERS","RELATIONSHIP_AS_OF_DATE","20200309")</f>
        <v>#N/A N/A</v>
      </c>
      <c r="LI5" t="str">
        <f>_xll.BDS("1520415D US Equity","SUPPLY_CHAIN_SUPPLIERS","RELATIONSHIP_AS_OF_DATE","19980813")</f>
        <v>#N/A N/A</v>
      </c>
      <c r="LN5" t="str">
        <f>_xll.BDS("1520415D US Equity","SUPPLY_CHAIN_CUSTOMERS","RELATIONSHIP_AS_OF_DATE","19980813")</f>
        <v>#N/A N/A</v>
      </c>
      <c r="LS5" t="str">
        <f>_xll.BDS("PAET US Equity","SUPPLY_CHAIN_SUPPLIERS","RELATIONSHIP_AS_OF_DATE","20110209")</f>
        <v>#N/A N/A</v>
      </c>
      <c r="LX5" t="str">
        <f>_xll.BDS("PAET US Equity","SUPPLY_CHAIN_CUSTOMERS","RELATIONSHIP_AS_OF_DATE","20110209")</f>
        <v>AKU CN Equity</v>
      </c>
      <c r="MC5" t="str">
        <f>_xll.BDS("PSCXQ US Equity","SUPPLY_CHAIN_SUPPLIERS","RELATIONSHIP_AS_OF_DATE","19991110")</f>
        <v>#N/A N/A</v>
      </c>
      <c r="MH5" t="str">
        <f>_xll.BDS("PSCXQ US Equity","SUPPLY_CHAIN_CUSTOMERS","RELATIONSHIP_AS_OF_DATE","19991110")</f>
        <v>#N/A N/A</v>
      </c>
      <c r="MM5" t="str">
        <f>_xll.BDS("CSCO US Equity","SUPPLY_CHAIN_SUPPLIERS","RELATIONSHIP_AS_OF_DATE","20031112","cols=1;rows=5")</f>
        <v>NVDA US Equity</v>
      </c>
      <c r="MR5" t="str">
        <f>_xll.BDS("CSCO US Equity","SUPPLY_CHAIN_CUSTOMERS","RELATIONSHIP_AS_OF_DATE","20031112","cols=1;rows=5")</f>
        <v>SNX US Equity</v>
      </c>
      <c r="MW5" t="str">
        <f>_xll.BDS("ITXG US Equity","SUPPLY_CHAIN_SUPPLIERS","RELATIONSHIP_AS_OF_DATE","19981028")</f>
        <v>#N/A N/A</v>
      </c>
      <c r="NB5" t="str">
        <f>_xll.BDS("ITXG US Equity","SUPPLY_CHAIN_CUSTOMERS","RELATIONSHIP_AS_OF_DATE","19981028")</f>
        <v>#N/A N/A</v>
      </c>
      <c r="NG5" t="str">
        <f>_xll.BDS("SPB US Equity","SUPPLY_CHAIN_SUPPLIERS","RELATIONSHIP_AS_OF_DATE","20030929","cols=1;rows=5")</f>
        <v>SLGN US Equity</v>
      </c>
      <c r="NL5" t="str">
        <f>_xll.BDS("SPB US Equity","SUPPLY_CHAIN_CUSTOMERS","RELATIONSHIP_AS_OF_DATE","20030929","cols=1;rows=5")</f>
        <v>WMT US Equity</v>
      </c>
      <c r="NQ5" t="str">
        <f>_xll.BDS("FCF US Equity","SUPPLY_CHAIN_SUPPLIERS","RELATIONSHIP_AS_OF_DATE","20060427")</f>
        <v>#N/A N/A</v>
      </c>
      <c r="NV5" t="str">
        <f>_xll.BDS("FCF US Equity","SUPPLY_CHAIN_CUSTOMERS","RELATIONSHIP_AS_OF_DATE","20060427")</f>
        <v>#N/A N/A</v>
      </c>
      <c r="OA5" t="str">
        <f>_xll.BDS("NEE US Equity","SUPPLY_CHAIN_SUPPLIERS","RELATIONSHIP_AS_OF_DATE","20050328","cols=1;rows=5")</f>
        <v>PWR US Equity</v>
      </c>
      <c r="OF5" t="str">
        <f>_xll.BDS("NEE US Equity","SUPPLY_CHAIN_CUSTOMERS","RELATIONSHIP_AS_OF_DATE","20050328","cols=1;rows=5")</f>
        <v>OGE US Equity</v>
      </c>
    </row>
    <row r="6" spans="1:396" x14ac:dyDescent="0.25">
      <c r="K6" t="s">
        <v>10735</v>
      </c>
      <c r="P6" t="s">
        <v>2881</v>
      </c>
      <c r="AE6" t="s">
        <v>11163</v>
      </c>
      <c r="AJ6" t="s">
        <v>11397</v>
      </c>
      <c r="BI6" t="s">
        <v>171</v>
      </c>
      <c r="BN6" t="s">
        <v>11279</v>
      </c>
      <c r="CC6" t="s">
        <v>11229</v>
      </c>
      <c r="CH6" t="s">
        <v>11646</v>
      </c>
      <c r="DG6" t="s">
        <v>11168</v>
      </c>
      <c r="DL6" t="s">
        <v>11581</v>
      </c>
      <c r="DQ6" t="s">
        <v>11452</v>
      </c>
      <c r="DV6" t="s">
        <v>11107</v>
      </c>
      <c r="EK6" t="s">
        <v>11050</v>
      </c>
      <c r="EP6" t="s">
        <v>11550</v>
      </c>
      <c r="GI6" t="s">
        <v>44</v>
      </c>
      <c r="GN6" t="s">
        <v>10662</v>
      </c>
      <c r="HC6" t="s">
        <v>11488</v>
      </c>
      <c r="HH6" t="s">
        <v>11193</v>
      </c>
      <c r="HW6" t="s">
        <v>10853</v>
      </c>
      <c r="IB6" t="s">
        <v>11432</v>
      </c>
      <c r="MM6" t="s">
        <v>11089</v>
      </c>
      <c r="MR6" t="s">
        <v>266</v>
      </c>
      <c r="NG6" t="s">
        <v>1274</v>
      </c>
      <c r="NL6" t="s">
        <v>469</v>
      </c>
      <c r="OA6" t="s">
        <v>11664</v>
      </c>
      <c r="OF6" t="s">
        <v>11553</v>
      </c>
    </row>
    <row r="7" spans="1:396" x14ac:dyDescent="0.25">
      <c r="K7" t="s">
        <v>273</v>
      </c>
      <c r="P7" t="s">
        <v>10661</v>
      </c>
      <c r="AE7" t="s">
        <v>11164</v>
      </c>
      <c r="AJ7" t="s">
        <v>11398</v>
      </c>
      <c r="BI7" t="s">
        <v>7384</v>
      </c>
      <c r="BN7" t="s">
        <v>11280</v>
      </c>
      <c r="CC7" t="s">
        <v>1549</v>
      </c>
      <c r="CH7" t="s">
        <v>11647</v>
      </c>
      <c r="DG7" t="s">
        <v>10884</v>
      </c>
      <c r="DL7" t="s">
        <v>11430</v>
      </c>
      <c r="DV7" t="s">
        <v>10771</v>
      </c>
      <c r="EK7" t="s">
        <v>10854</v>
      </c>
      <c r="EP7" t="s">
        <v>11551</v>
      </c>
      <c r="GI7" t="s">
        <v>10734</v>
      </c>
      <c r="GN7" t="s">
        <v>10761</v>
      </c>
      <c r="HC7" t="s">
        <v>11489</v>
      </c>
      <c r="HW7" t="s">
        <v>11194</v>
      </c>
      <c r="IB7" t="s">
        <v>11404</v>
      </c>
      <c r="MM7" t="s">
        <v>11090</v>
      </c>
      <c r="MR7" t="s">
        <v>10892</v>
      </c>
      <c r="NG7" t="s">
        <v>11346</v>
      </c>
      <c r="NL7" t="s">
        <v>11295</v>
      </c>
      <c r="OA7" t="s">
        <v>11665</v>
      </c>
      <c r="OF7" t="s">
        <v>11554</v>
      </c>
    </row>
    <row r="8" spans="1:396" x14ac:dyDescent="0.25">
      <c r="K8" t="s">
        <v>6320</v>
      </c>
      <c r="P8" t="s">
        <v>10662</v>
      </c>
      <c r="AE8" t="s">
        <v>11165</v>
      </c>
      <c r="AJ8" t="s">
        <v>11399</v>
      </c>
      <c r="BI8" t="s">
        <v>371</v>
      </c>
      <c r="BN8" t="s">
        <v>11281</v>
      </c>
      <c r="CC8" t="s">
        <v>11230</v>
      </c>
      <c r="CH8" t="s">
        <v>11648</v>
      </c>
      <c r="DG8" t="s">
        <v>10830</v>
      </c>
      <c r="DL8" t="s">
        <v>11582</v>
      </c>
      <c r="DV8" t="s">
        <v>3519</v>
      </c>
      <c r="EK8" t="s">
        <v>11051</v>
      </c>
      <c r="EP8" t="s">
        <v>11552</v>
      </c>
      <c r="GI8" t="s">
        <v>10735</v>
      </c>
      <c r="GN8" t="s">
        <v>10762</v>
      </c>
      <c r="HW8" t="s">
        <v>10892</v>
      </c>
      <c r="IB8" t="s">
        <v>11433</v>
      </c>
      <c r="MM8" t="s">
        <v>10734</v>
      </c>
      <c r="MR8" t="s">
        <v>469</v>
      </c>
      <c r="NG8" t="s">
        <v>11347</v>
      </c>
      <c r="NL8" t="s">
        <v>11296</v>
      </c>
      <c r="OA8" t="s">
        <v>7384</v>
      </c>
      <c r="OF8" t="s">
        <v>11527</v>
      </c>
    </row>
    <row r="9" spans="1:396" x14ac:dyDescent="0.25">
      <c r="K9" t="s">
        <v>1654</v>
      </c>
      <c r="P9" t="s">
        <v>10663</v>
      </c>
      <c r="AE9" t="s">
        <v>11166</v>
      </c>
      <c r="AJ9" t="s">
        <v>11400</v>
      </c>
      <c r="BI9" t="s">
        <v>10940</v>
      </c>
      <c r="BN9" t="s">
        <v>68</v>
      </c>
      <c r="CC9" t="s">
        <v>10855</v>
      </c>
      <c r="CH9" t="s">
        <v>11649</v>
      </c>
      <c r="DG9" t="s">
        <v>11169</v>
      </c>
      <c r="DL9" t="s">
        <v>11583</v>
      </c>
      <c r="DV9" t="s">
        <v>10986</v>
      </c>
      <c r="EK9" t="s">
        <v>6477</v>
      </c>
      <c r="EP9" t="s">
        <v>10961</v>
      </c>
      <c r="GI9" t="s">
        <v>3073</v>
      </c>
      <c r="GN9" t="s">
        <v>10763</v>
      </c>
      <c r="HW9" t="s">
        <v>261</v>
      </c>
      <c r="IB9" t="s">
        <v>11434</v>
      </c>
      <c r="MM9" t="s">
        <v>11170</v>
      </c>
      <c r="MR9" t="s">
        <v>41</v>
      </c>
      <c r="NG9" t="s">
        <v>11348</v>
      </c>
      <c r="NL9" t="s">
        <v>10775</v>
      </c>
      <c r="OA9" t="s">
        <v>11666</v>
      </c>
      <c r="OF9" t="s">
        <v>11555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8478</v>
      </c>
      <c r="K1" s="1" t="s">
        <v>8479</v>
      </c>
      <c r="U1" s="1" t="s">
        <v>8480</v>
      </c>
      <c r="AE1" s="1" t="s">
        <v>8481</v>
      </c>
      <c r="AO1" s="1" t="s">
        <v>8482</v>
      </c>
      <c r="AY1" s="1" t="s">
        <v>8483</v>
      </c>
      <c r="BI1" s="1" t="s">
        <v>8484</v>
      </c>
      <c r="BS1" s="1" t="s">
        <v>8485</v>
      </c>
      <c r="CC1" s="1" t="s">
        <v>8486</v>
      </c>
      <c r="CM1" s="1" t="s">
        <v>8487</v>
      </c>
      <c r="CW1" s="1" t="s">
        <v>8488</v>
      </c>
      <c r="DG1" s="1" t="s">
        <v>8489</v>
      </c>
      <c r="DQ1" s="1" t="s">
        <v>8490</v>
      </c>
      <c r="EA1" s="1" t="s">
        <v>8491</v>
      </c>
      <c r="EK1" s="1" t="s">
        <v>8492</v>
      </c>
      <c r="EU1" s="1" t="s">
        <v>8493</v>
      </c>
      <c r="FE1" s="1" t="s">
        <v>8494</v>
      </c>
      <c r="FO1" s="1" t="s">
        <v>8495</v>
      </c>
      <c r="FY1" s="1" t="s">
        <v>8496</v>
      </c>
      <c r="GI1" s="1" t="s">
        <v>8497</v>
      </c>
      <c r="GS1" s="1" t="s">
        <v>8498</v>
      </c>
      <c r="HC1" s="1" t="s">
        <v>8499</v>
      </c>
      <c r="HM1" s="1" t="s">
        <v>8500</v>
      </c>
      <c r="HW1" s="1" t="s">
        <v>8501</v>
      </c>
      <c r="IG1" s="1" t="s">
        <v>8502</v>
      </c>
      <c r="IQ1" s="1" t="s">
        <v>8503</v>
      </c>
      <c r="JA1" s="1" t="s">
        <v>8504</v>
      </c>
      <c r="JK1" s="1" t="s">
        <v>8505</v>
      </c>
      <c r="JU1" s="1" t="s">
        <v>8506</v>
      </c>
      <c r="KE1" s="1" t="s">
        <v>8507</v>
      </c>
      <c r="KO1" s="1" t="s">
        <v>8508</v>
      </c>
      <c r="KY1" s="1" t="s">
        <v>8509</v>
      </c>
      <c r="LI1" s="1" t="s">
        <v>8510</v>
      </c>
      <c r="LS1" s="1" t="s">
        <v>8511</v>
      </c>
      <c r="MC1" s="1" t="s">
        <v>8512</v>
      </c>
      <c r="MM1" s="1" t="s">
        <v>8513</v>
      </c>
      <c r="MW1" s="1" t="s">
        <v>8514</v>
      </c>
      <c r="NG1" s="1" t="s">
        <v>8515</v>
      </c>
      <c r="NQ1" s="1" t="s">
        <v>8516</v>
      </c>
      <c r="OA1" s="1" t="s">
        <v>8517</v>
      </c>
    </row>
    <row r="2" spans="1:396" x14ac:dyDescent="0.25">
      <c r="A2" s="2" t="s">
        <v>7054</v>
      </c>
      <c r="K2" s="2" t="s">
        <v>8518</v>
      </c>
      <c r="U2" s="2" t="s">
        <v>8519</v>
      </c>
      <c r="AE2" s="2" t="s">
        <v>8520</v>
      </c>
      <c r="AO2" s="2" t="s">
        <v>8521</v>
      </c>
      <c r="AY2" s="2" t="s">
        <v>8522</v>
      </c>
      <c r="BI2" s="2" t="s">
        <v>8523</v>
      </c>
      <c r="BS2" s="2" t="s">
        <v>8524</v>
      </c>
      <c r="CC2" s="2" t="s">
        <v>64</v>
      </c>
      <c r="CM2" s="2" t="s">
        <v>8525</v>
      </c>
      <c r="CW2" s="2" t="s">
        <v>7542</v>
      </c>
      <c r="DG2" s="2" t="s">
        <v>8526</v>
      </c>
      <c r="DQ2" s="2" t="s">
        <v>8527</v>
      </c>
      <c r="EA2" s="2" t="s">
        <v>4559</v>
      </c>
      <c r="EK2" s="2" t="s">
        <v>8528</v>
      </c>
      <c r="EU2" s="2" t="s">
        <v>5671</v>
      </c>
      <c r="FE2" s="2" t="s">
        <v>8529</v>
      </c>
      <c r="FO2" s="2" t="s">
        <v>7369</v>
      </c>
      <c r="FY2" s="2" t="s">
        <v>3442</v>
      </c>
      <c r="GI2" s="2" t="s">
        <v>7369</v>
      </c>
      <c r="GS2" s="2" t="s">
        <v>4469</v>
      </c>
      <c r="HC2" s="2" t="s">
        <v>8530</v>
      </c>
      <c r="HM2" s="2" t="s">
        <v>1743</v>
      </c>
      <c r="HW2" s="2" t="s">
        <v>3959</v>
      </c>
      <c r="IG2" s="2" t="s">
        <v>8531</v>
      </c>
      <c r="IQ2" s="2" t="s">
        <v>4571</v>
      </c>
      <c r="JA2" s="2" t="s">
        <v>1267</v>
      </c>
      <c r="JK2" s="2" t="s">
        <v>8532</v>
      </c>
      <c r="JU2" s="2" t="s">
        <v>8533</v>
      </c>
      <c r="KE2" s="2" t="s">
        <v>8534</v>
      </c>
      <c r="KO2" s="2" t="s">
        <v>8535</v>
      </c>
      <c r="KY2" s="2" t="s">
        <v>3609</v>
      </c>
      <c r="LI2" s="2" t="s">
        <v>2018</v>
      </c>
      <c r="LS2" s="2" t="s">
        <v>8536</v>
      </c>
      <c r="MC2" s="2" t="s">
        <v>8537</v>
      </c>
      <c r="MM2" s="2" t="s">
        <v>8306</v>
      </c>
      <c r="MW2" s="2" t="s">
        <v>8538</v>
      </c>
      <c r="NG2" s="2" t="s">
        <v>8539</v>
      </c>
      <c r="NQ2" s="2" t="s">
        <v>8540</v>
      </c>
      <c r="OA2" s="2" t="s">
        <v>3798</v>
      </c>
    </row>
    <row r="3" spans="1:396" x14ac:dyDescent="0.25">
      <c r="A3" t="s">
        <v>8541</v>
      </c>
      <c r="K3" t="s">
        <v>8542</v>
      </c>
      <c r="U3" t="s">
        <v>8543</v>
      </c>
      <c r="AE3" t="s">
        <v>8544</v>
      </c>
      <c r="AO3" t="s">
        <v>8545</v>
      </c>
      <c r="AY3" t="s">
        <v>3087</v>
      </c>
      <c r="BI3" t="s">
        <v>2919</v>
      </c>
      <c r="BS3" t="s">
        <v>5525</v>
      </c>
      <c r="CC3" t="s">
        <v>3282</v>
      </c>
      <c r="CM3" t="s">
        <v>4151</v>
      </c>
      <c r="CW3" t="s">
        <v>8546</v>
      </c>
      <c r="DG3" t="s">
        <v>2728</v>
      </c>
      <c r="DQ3" t="s">
        <v>8547</v>
      </c>
      <c r="EA3" t="s">
        <v>5859</v>
      </c>
      <c r="EK3" t="s">
        <v>6096</v>
      </c>
      <c r="EU3" t="s">
        <v>2820</v>
      </c>
      <c r="FE3" t="s">
        <v>8548</v>
      </c>
      <c r="FO3" t="s">
        <v>8549</v>
      </c>
      <c r="FY3" t="s">
        <v>8550</v>
      </c>
      <c r="GI3" t="s">
        <v>8551</v>
      </c>
      <c r="GS3" t="s">
        <v>798</v>
      </c>
      <c r="HC3" t="s">
        <v>6564</v>
      </c>
      <c r="HM3" t="s">
        <v>6489</v>
      </c>
      <c r="HW3" t="s">
        <v>8552</v>
      </c>
      <c r="IG3" t="s">
        <v>8553</v>
      </c>
      <c r="IQ3" t="s">
        <v>1117</v>
      </c>
      <c r="JA3" t="s">
        <v>8554</v>
      </c>
      <c r="JK3" t="s">
        <v>6485</v>
      </c>
      <c r="JU3" t="s">
        <v>8555</v>
      </c>
      <c r="KE3" t="s">
        <v>1490</v>
      </c>
      <c r="KO3" t="s">
        <v>806</v>
      </c>
      <c r="KY3" t="s">
        <v>8556</v>
      </c>
      <c r="LI3" t="s">
        <v>8176</v>
      </c>
      <c r="LS3" t="s">
        <v>8557</v>
      </c>
      <c r="MC3" t="s">
        <v>3972</v>
      </c>
      <c r="MM3" t="s">
        <v>8558</v>
      </c>
      <c r="MW3" t="s">
        <v>8559</v>
      </c>
      <c r="NG3" t="s">
        <v>5922</v>
      </c>
      <c r="NQ3" t="s">
        <v>8560</v>
      </c>
      <c r="OA3" t="s">
        <v>5940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_xll.BDS("NBBC US Equity","SUPPLY_CHAIN_SUPPLIERS","RELATIONSHIP_AS_OF_DATE","20131101")</f>
        <v>#N/A N/A</v>
      </c>
      <c r="F5" t="str">
        <f>_xll.BDS("NBBC US Equity","SUPPLY_CHAIN_CUSTOMERS","RELATIONSHIP_AS_OF_DATE","20131101")</f>
        <v>#N/A N/A</v>
      </c>
      <c r="K5" t="str">
        <f>_xll.BDS("NVI US Equity","SUPPLY_CHAIN_SUPPLIERS","RELATIONSHIP_AS_OF_DATE","19980714")</f>
        <v>#N/A N/A</v>
      </c>
      <c r="P5" t="str">
        <f>_xll.BDS("NVI US Equity","SUPPLY_CHAIN_CUSTOMERS","RELATIONSHIP_AS_OF_DATE","19980714")</f>
        <v>#N/A N/A</v>
      </c>
      <c r="U5" t="str">
        <f>_xll.BDS("CMCT US Equity","SUPPLY_CHAIN_SUPPLIERS","RELATIONSHIP_AS_OF_DATE","20030328")</f>
        <v>#N/A N/A</v>
      </c>
      <c r="Z5" t="str">
        <f>_xll.BDS("CMCT US Equity","SUPPLY_CHAIN_CUSTOMERS","RELATIONSHIP_AS_OF_DATE","20030328","cols=1;rows=5")</f>
        <v>11630Z US Equity</v>
      </c>
      <c r="AE5" t="str">
        <f>_xll.BDS("PFNS US Equity","SUPPLY_CHAIN_SUPPLIERS","RELATIONSHIP_AS_OF_DATE","20081205")</f>
        <v>#N/A N/A</v>
      </c>
      <c r="AJ5" t="str">
        <f>_xll.BDS("PFNS US Equity","SUPPLY_CHAIN_CUSTOMERS","RELATIONSHIP_AS_OF_DATE","20081205")</f>
        <v>#N/A N/A</v>
      </c>
      <c r="AO5" t="str">
        <f>_xll.BDS("ACAS US Equity","SUPPLY_CHAIN_SUPPLIERS","RELATIONSHIP_AS_OF_DATE","20031231")</f>
        <v>#N/A N/A</v>
      </c>
      <c r="AT5" t="str">
        <f>_xll.BDS("ACAS US Equity","SUPPLY_CHAIN_CUSTOMERS","RELATIONSHIP_AS_OF_DATE","20031231")</f>
        <v>#N/A N/A</v>
      </c>
      <c r="AY5" t="str">
        <f>_xll.BDS("EOG US Equity","SUPPLY_CHAIN_SUPPLIERS","RELATIONSHIP_AS_OF_DATE","20010523","cols=1;rows=5")</f>
        <v>TEN IM Equity</v>
      </c>
      <c r="BD5" t="str">
        <f>_xll.BDS("EOG US Equity","SUPPLY_CHAIN_CUSTOMERS","RELATIONSHIP_AS_OF_DATE","20010523","cols=1;rows=4")</f>
        <v>2046294D TP Equity</v>
      </c>
      <c r="BI5" t="str">
        <f>_xll.BDS("VNBCQ US Equity","SUPPLY_CHAIN_SUPPLIERS","RELATIONSHIP_AS_OF_DATE","20060420")</f>
        <v>#N/A N/A</v>
      </c>
      <c r="BN5" t="str">
        <f>_xll.BDS("VNBCQ US Equity","SUPPLY_CHAIN_CUSTOMERS","RELATIONSHIP_AS_OF_DATE","20060420")</f>
        <v>#N/A N/A</v>
      </c>
      <c r="BS5" t="str">
        <f>_xll.BDS("MWW US Equity","SUPPLY_CHAIN_SUPPLIERS","RELATIONSHIP_AS_OF_DATE","19990311")</f>
        <v>#N/A N/A</v>
      </c>
      <c r="BX5" t="str">
        <f>_xll.BDS("MWW US Equity","SUPPLY_CHAIN_CUSTOMERS","RELATIONSHIP_AS_OF_DATE","19990311")</f>
        <v>#N/A N/A</v>
      </c>
      <c r="CC5" t="str">
        <f>_xll.BDS("nan Equity","SUPPLY_CHAIN_SUPPLIERS","RELATIONSHIP_AS_OF_DATE","20071129")</f>
        <v>#N/A N/A</v>
      </c>
      <c r="CH5" t="str">
        <f>_xll.BDS("nan Equity","SUPPLY_CHAIN_CUSTOMERS","RELATIONSHIP_AS_OF_DATE","20071129")</f>
        <v>#N/A N/A</v>
      </c>
      <c r="CM5" t="str">
        <f>_xll.BDS("MSTI US Equity","SUPPLY_CHAIN_SUPPLIERS","RELATIONSHIP_AS_OF_DATE","20041108")</f>
        <v>#N/A N/A</v>
      </c>
      <c r="CR5" t="str">
        <f>_xll.BDS("MSTI US Equity","SUPPLY_CHAIN_CUSTOMERS","RELATIONSHIP_AS_OF_DATE","20041108")</f>
        <v>#N/A N/A</v>
      </c>
      <c r="CW5" t="str">
        <f>_xll.BDS("XBKS US Equity","SUPPLY_CHAIN_SUPPLIERS","RELATIONSHIP_AS_OF_DATE","20080109")</f>
        <v>#N/A N/A</v>
      </c>
      <c r="DB5" t="str">
        <f>_xll.BDS("XBKS US Equity","SUPPLY_CHAIN_CUSTOMERS","RELATIONSHIP_AS_OF_DATE","20080109")</f>
        <v>#N/A N/A</v>
      </c>
      <c r="DG5" t="str">
        <f>_xll.BDS("CFBX US Equity","SUPPLY_CHAIN_SUPPLIERS","RELATIONSHIP_AS_OF_DATE","19990510")</f>
        <v>#N/A N/A</v>
      </c>
      <c r="DL5" t="str">
        <f>_xll.BDS("CFBX US Equity","SUPPLY_CHAIN_CUSTOMERS","RELATIONSHIP_AS_OF_DATE","19990510")</f>
        <v>#N/A N/A</v>
      </c>
      <c r="DQ5" t="str">
        <f>_xll.BDS("GNMP US Equity","SUPPLY_CHAIN_SUPPLIERS","RELATIONSHIP_AS_OF_DATE","19990108")</f>
        <v>#N/A N/A</v>
      </c>
      <c r="DV5" t="str">
        <f>_xll.BDS("GNMP US Equity","SUPPLY_CHAIN_CUSTOMERS","RELATIONSHIP_AS_OF_DATE","19990108")</f>
        <v>#N/A N/A</v>
      </c>
      <c r="EA5" t="str">
        <f>_xll.BDS("NPBC US Equity","SUPPLY_CHAIN_SUPPLIERS","RELATIONSHIP_AS_OF_DATE","20070625")</f>
        <v>#N/A N/A</v>
      </c>
      <c r="EF5" t="str">
        <f>_xll.BDS("NPBC US Equity","SUPPLY_CHAIN_CUSTOMERS","RELATIONSHIP_AS_OF_DATE","20070625")</f>
        <v>#N/A N/A</v>
      </c>
      <c r="EK5" t="str">
        <f>_xll.BDS("3026164Q US Equity","SUPPLY_CHAIN_SUPPLIERS","RELATIONSHIP_AS_OF_DATE","20031126")</f>
        <v>#N/A N/A</v>
      </c>
      <c r="EP5" t="str">
        <f>_xll.BDS("3026164Q US Equity","SUPPLY_CHAIN_CUSTOMERS","RELATIONSHIP_AS_OF_DATE","20031126")</f>
        <v>#N/A N/A</v>
      </c>
      <c r="EU5" t="str">
        <f>_xll.BDS("496112Q US Equity","SUPPLY_CHAIN_SUPPLIERS","RELATIONSHIP_AS_OF_DATE","19980526")</f>
        <v>#N/A N/A</v>
      </c>
      <c r="EZ5" t="str">
        <f>_xll.BDS("496112Q US Equity","SUPPLY_CHAIN_CUSTOMERS","RELATIONSHIP_AS_OF_DATE","19980526")</f>
        <v>#N/A N/A</v>
      </c>
      <c r="FE5" t="str">
        <f>_xll.BDS("ORRF US Equity","SUPPLY_CHAIN_SUPPLIERS","RELATIONSHIP_AS_OF_DATE","20181023")</f>
        <v>#N/A N/A</v>
      </c>
      <c r="FJ5" t="str">
        <f>_xll.BDS("ORRF US Equity","SUPPLY_CHAIN_CUSTOMERS","RELATIONSHIP_AS_OF_DATE","20181023")</f>
        <v>#N/A N/A</v>
      </c>
      <c r="FO5" t="str">
        <f>_xll.BDS("MSFG US Equity","SUPPLY_CHAIN_SUPPLIERS","RELATIONSHIP_AS_OF_DATE","20050823")</f>
        <v>#N/A N/A</v>
      </c>
      <c r="FT5" t="str">
        <f>_xll.BDS("MSFG US Equity","SUPPLY_CHAIN_CUSTOMERS","RELATIONSHIP_AS_OF_DATE","20050823")</f>
        <v>#N/A N/A</v>
      </c>
      <c r="FY5" t="str">
        <f>_xll.BDS("GBCI US Equity","SUPPLY_CHAIN_SUPPLIERS","RELATIONSHIP_AS_OF_DATE","20161115")</f>
        <v>VYX US Equity</v>
      </c>
      <c r="GD5" t="str">
        <f>_xll.BDS("GBCI US Equity","SUPPLY_CHAIN_CUSTOMERS","RELATIONSHIP_AS_OF_DATE","20161115")</f>
        <v>#N/A N/A</v>
      </c>
      <c r="GI5" t="str">
        <f>_xll.BDS("MSFG US Equity","SUPPLY_CHAIN_SUPPLIERS","RELATIONSHIP_AS_OF_DATE","20161219")</f>
        <v>#N/A N/A</v>
      </c>
      <c r="GN5" t="str">
        <f>_xll.BDS("MSFG US Equity","SUPPLY_CHAIN_CUSTOMERS","RELATIONSHIP_AS_OF_DATE","20161219")</f>
        <v>#N/A N/A</v>
      </c>
      <c r="GS5" t="str">
        <f>_xll.BDS("OZK US Equity","SUPPLY_CHAIN_SUPPLIERS","RELATIONSHIP_AS_OF_DATE","20150506")</f>
        <v>#N/A N/A</v>
      </c>
      <c r="GX5" t="str">
        <f>_xll.BDS("OZK US Equity","SUPPLY_CHAIN_CUSTOMERS","RELATIONSHIP_AS_OF_DATE","20150506")</f>
        <v>#N/A N/A</v>
      </c>
      <c r="HC5" t="str">
        <f>_xll.BDS("IXYS US Equity","SUPPLY_CHAIN_SUPPLIERS","RELATIONSHIP_AS_OF_DATE","20080516")</f>
        <v>#N/A N/A</v>
      </c>
      <c r="HH5" t="str">
        <f>_xll.BDS("IXYS US Equity","SUPPLY_CHAIN_CUSTOMERS","RELATIONSHIP_AS_OF_DATE","20080516")</f>
        <v>#N/A N/A</v>
      </c>
      <c r="HM5" t="str">
        <f>_xll.BDS("CAA US Equity","SUPPLY_CHAIN_SUPPLIERS","RELATIONSHIP_AS_OF_DATE","20000131")</f>
        <v>#N/A N/A</v>
      </c>
      <c r="HR5" t="str">
        <f>_xll.BDS("CAA US Equity","SUPPLY_CHAIN_CUSTOMERS","RELATIONSHIP_AS_OF_DATE","20000131")</f>
        <v>#N/A N/A</v>
      </c>
      <c r="HW5" t="str">
        <f>_xll.BDS("WFM US Equity","SUPPLY_CHAIN_SUPPLIERS","RELATIONSHIP_AS_OF_DATE","20010809")</f>
        <v>#N/A N/A</v>
      </c>
      <c r="IB5" t="str">
        <f>_xll.BDS("WFM US Equity","SUPPLY_CHAIN_CUSTOMERS","RELATIONSHIP_AS_OF_DATE","20010809")</f>
        <v>#N/A N/A</v>
      </c>
      <c r="IG5" t="str">
        <f>_xll.BDS("EBS US Equity","SUPPLY_CHAIN_SUPPLIERS","RELATIONSHIP_AS_OF_DATE","20100812","cols=1;rows=5")</f>
        <v>ATR US Equity</v>
      </c>
      <c r="IL5" t="str">
        <f>_xll.BDS("EBS US Equity","SUPPLY_CHAIN_CUSTOMERS","RELATIONSHIP_AS_OF_DATE","20100812","cols=1;rows=5")</f>
        <v>3352Z US Equity</v>
      </c>
      <c r="IQ5" t="str">
        <f>_xll.BDS("WTTR US Equity","SUPPLY_CHAIN_SUPPLIERS","RELATIONSHIP_AS_OF_DATE","20211213")</f>
        <v>GNL US Equity</v>
      </c>
      <c r="IV5" t="str">
        <f>_xll.BDS("WTTR US Equity","SUPPLY_CHAIN_CUSTOMERS","RELATIONSHIP_AS_OF_DATE","20211213","cols=1;rows=5")</f>
        <v>0069572D US Equity</v>
      </c>
      <c r="JA5" t="str">
        <f>_xll.BDS("AMAT US Equity","SUPPLY_CHAIN_SUPPLIERS","RELATIONSHIP_AS_OF_DATE","19981012","cols=1;rows=5")</f>
        <v>UCTT US Equity</v>
      </c>
      <c r="JF5" t="str">
        <f>_xll.BDS("AMAT US Equity","SUPPLY_CHAIN_CUSTOMERS","RELATIONSHIP_AS_OF_DATE","19981012","cols=1;rows=5")</f>
        <v>2330 TT Equity</v>
      </c>
      <c r="JK5" t="str">
        <f>_xll.BDS("540721Q US Equity","SUPPLY_CHAIN_SUPPLIERS","RELATIONSHIP_AS_OF_DATE","19980706")</f>
        <v>#N/A N/A</v>
      </c>
      <c r="JP5" t="str">
        <f>_xll.BDS("540721Q US Equity","SUPPLY_CHAIN_CUSTOMERS","RELATIONSHIP_AS_OF_DATE","19980706")</f>
        <v>#N/A N/A</v>
      </c>
      <c r="JU5" t="str">
        <f>_xll.BDS("DRYR US Equity","SUPPLY_CHAIN_SUPPLIERS","RELATIONSHIP_AS_OF_DATE","20040726")</f>
        <v>#N/A N/A</v>
      </c>
      <c r="JZ5" t="str">
        <f>_xll.BDS("DRYR US Equity","SUPPLY_CHAIN_CUSTOMERS","RELATIONSHIP_AS_OF_DATE","20040726")</f>
        <v>ACI US Equity</v>
      </c>
      <c r="KE5" t="str">
        <f>_xll.BDS("ACTRQ US Equity","SUPPLY_CHAIN_SUPPLIERS","RELATIONSHIP_AS_OF_DATE","19990909")</f>
        <v>#N/A N/A</v>
      </c>
      <c r="KJ5" t="str">
        <f>_xll.BDS("ACTRQ US Equity","SUPPLY_CHAIN_CUSTOMERS","RELATIONSHIP_AS_OF_DATE","19990909")</f>
        <v>#N/A N/A</v>
      </c>
      <c r="KO5" t="str">
        <f>_xll.BDS("1794548D US Equity","SUPPLY_CHAIN_SUPPLIERS","RELATIONSHIP_AS_OF_DATE","20001106")</f>
        <v>#N/A N/A</v>
      </c>
      <c r="KT5" t="str">
        <f>_xll.BDS("1794548D US Equity","SUPPLY_CHAIN_CUSTOMERS","RELATIONSHIP_AS_OF_DATE","20001106")</f>
        <v>#N/A N/A</v>
      </c>
      <c r="KY5" t="str">
        <f>_xll.BDS("CSFL US Equity","SUPPLY_CHAIN_SUPPLIERS","RELATIONSHIP_AS_OF_DATE","20151005")</f>
        <v>#N/A N/A</v>
      </c>
      <c r="LD5" t="str">
        <f>_xll.BDS("CSFL US Equity","SUPPLY_CHAIN_CUSTOMERS","RELATIONSHIP_AS_OF_DATE","20151005")</f>
        <v>#N/A N/A</v>
      </c>
      <c r="LI5" t="str">
        <f>_xll.BDS("COV US Equity","SUPPLY_CHAIN_SUPPLIERS","RELATIONSHIP_AS_OF_DATE","20090729")</f>
        <v>#N/A N/A</v>
      </c>
      <c r="LN5" t="str">
        <f>_xll.BDS("COV US Equity","SUPPLY_CHAIN_CUSTOMERS","RELATIONSHIP_AS_OF_DATE","20090729")</f>
        <v>#N/A N/A</v>
      </c>
      <c r="LS5" t="str">
        <f>_xll.BDS("CBNJ US Equity","SUPPLY_CHAIN_SUPPLIERS","RELATIONSHIP_AS_OF_DATE","20140910")</f>
        <v>#N/A N/A</v>
      </c>
      <c r="LX5" t="str">
        <f>_xll.BDS("CBNJ US Equity","SUPPLY_CHAIN_CUSTOMERS","RELATIONSHIP_AS_OF_DATE","20140910")</f>
        <v>#N/A N/A</v>
      </c>
      <c r="MC5" t="str">
        <f>_xll.BDS("IDMCQ US Equity","SUPPLY_CHAIN_SUPPLIERS","RELATIONSHIP_AS_OF_DATE","19990713")</f>
        <v>#N/A N/A</v>
      </c>
      <c r="MH5" t="str">
        <f>_xll.BDS("IDMCQ US Equity","SUPPLY_CHAIN_CUSTOMERS","RELATIONSHIP_AS_OF_DATE","19990713")</f>
        <v>#N/A N/A</v>
      </c>
      <c r="MM5" t="str">
        <f>_xll.BDS("BANR US Equity","SUPPLY_CHAIN_SUPPLIERS","RELATIONSHIP_AS_OF_DATE","20140807")</f>
        <v>AAT US Equity</v>
      </c>
      <c r="MR5" t="str">
        <f>_xll.BDS("BANR US Equity","SUPPLY_CHAIN_CUSTOMERS","RELATIONSHIP_AS_OF_DATE","20140807")</f>
        <v>#N/A N/A</v>
      </c>
      <c r="MW5" t="str">
        <f>_xll.BDS("FNSCQ US Equity","SUPPLY_CHAIN_SUPPLIERS","RELATIONSHIP_AS_OF_DATE","20070827")</f>
        <v>#N/A N/A</v>
      </c>
      <c r="NB5" t="str">
        <f>_xll.BDS("FNSCQ US Equity","SUPPLY_CHAIN_CUSTOMERS","RELATIONSHIP_AS_OF_DATE","20070827")</f>
        <v>#N/A N/A</v>
      </c>
      <c r="NG5" t="str">
        <f>_xll.BDS("HEOP US Equity","SUPPLY_CHAIN_SUPPLIERS","RELATIONSHIP_AS_OF_DATE","20131021")</f>
        <v>#N/A N/A</v>
      </c>
      <c r="NL5" t="str">
        <f>_xll.BDS("HEOP US Equity","SUPPLY_CHAIN_CUSTOMERS","RELATIONSHIP_AS_OF_DATE","20131021")</f>
        <v>#N/A N/A</v>
      </c>
      <c r="NQ5" t="str">
        <f>_xll.BDS("AMAL US Equity","SUPPLY_CHAIN_SUPPLIERS","RELATIONSHIP_AS_OF_DATE","20171215","cols=1;rows=2")</f>
        <v>WK US Equity</v>
      </c>
      <c r="NV5" t="str">
        <f>_xll.BDS("AMAL US Equity","SUPPLY_CHAIN_CUSTOMERS","RELATIONSHIP_AS_OF_DATE","20171215")</f>
        <v>#N/A N/A</v>
      </c>
      <c r="OA5" t="str">
        <f>_xll.BDS("AUB US Equity","SUPPLY_CHAIN_SUPPLIERS","RELATIONSHIP_AS_OF_DATE","20031219")</f>
        <v>TEMN SW Equity</v>
      </c>
      <c r="OF5" t="str">
        <f>_xll.BDS("AUB US Equity","SUPPLY_CHAIN_CUSTOMERS","RELATIONSHIP_AS_OF_DATE","20031219")</f>
        <v>#N/A N/A</v>
      </c>
    </row>
    <row r="6" spans="1:396" x14ac:dyDescent="0.25">
      <c r="Z6" t="s">
        <v>270</v>
      </c>
      <c r="AY6" t="s">
        <v>11463</v>
      </c>
      <c r="BD6" t="s">
        <v>11402</v>
      </c>
      <c r="IG6" t="s">
        <v>11222</v>
      </c>
      <c r="IL6" t="s">
        <v>11560</v>
      </c>
      <c r="IV6" t="s">
        <v>11494</v>
      </c>
      <c r="JA6" t="s">
        <v>11060</v>
      </c>
      <c r="JF6" t="s">
        <v>10892</v>
      </c>
      <c r="NQ6" t="s">
        <v>11053</v>
      </c>
    </row>
    <row r="7" spans="1:396" x14ac:dyDescent="0.25">
      <c r="Z7" t="s">
        <v>11483</v>
      </c>
      <c r="AY7" t="s">
        <v>11464</v>
      </c>
      <c r="BD7" t="s">
        <v>11403</v>
      </c>
      <c r="IG7" t="s">
        <v>11223</v>
      </c>
      <c r="IL7" t="s">
        <v>10797</v>
      </c>
      <c r="IV7" t="s">
        <v>11495</v>
      </c>
      <c r="JA7" t="s">
        <v>9441</v>
      </c>
      <c r="JF7" t="s">
        <v>3611</v>
      </c>
    </row>
    <row r="8" spans="1:396" x14ac:dyDescent="0.25">
      <c r="Z8" t="s">
        <v>11484</v>
      </c>
      <c r="AY8" t="s">
        <v>11312</v>
      </c>
      <c r="BD8" t="s">
        <v>4216</v>
      </c>
      <c r="IG8" t="s">
        <v>6710</v>
      </c>
      <c r="IL8" t="s">
        <v>10778</v>
      </c>
      <c r="IV8" t="s">
        <v>11496</v>
      </c>
      <c r="JA8" t="s">
        <v>5575</v>
      </c>
      <c r="JF8" t="s">
        <v>383</v>
      </c>
    </row>
    <row r="9" spans="1:396" x14ac:dyDescent="0.25">
      <c r="Z9" t="s">
        <v>11485</v>
      </c>
      <c r="AY9" t="s">
        <v>11465</v>
      </c>
      <c r="IG9" t="s">
        <v>480</v>
      </c>
      <c r="IL9" t="s">
        <v>11561</v>
      </c>
      <c r="IV9" t="s">
        <v>11497</v>
      </c>
      <c r="JA9" t="s">
        <v>11486</v>
      </c>
      <c r="JF9" t="s">
        <v>10729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8561</v>
      </c>
      <c r="K1" s="1" t="s">
        <v>8562</v>
      </c>
      <c r="U1" s="1" t="s">
        <v>8563</v>
      </c>
      <c r="AE1" s="1" t="s">
        <v>8564</v>
      </c>
      <c r="AO1" s="1" t="s">
        <v>8565</v>
      </c>
      <c r="AY1" s="1" t="s">
        <v>8566</v>
      </c>
      <c r="BI1" s="1" t="s">
        <v>8567</v>
      </c>
      <c r="BS1" s="1" t="s">
        <v>8568</v>
      </c>
      <c r="CC1" s="1" t="s">
        <v>8569</v>
      </c>
      <c r="CM1" s="1" t="s">
        <v>8570</v>
      </c>
      <c r="CW1" s="1" t="s">
        <v>8571</v>
      </c>
      <c r="DG1" s="1" t="s">
        <v>8572</v>
      </c>
      <c r="DQ1" s="1" t="s">
        <v>8573</v>
      </c>
      <c r="EA1" s="1" t="s">
        <v>8574</v>
      </c>
      <c r="EK1" s="1" t="s">
        <v>8575</v>
      </c>
      <c r="EU1" s="1" t="s">
        <v>8576</v>
      </c>
      <c r="FE1" s="1" t="s">
        <v>8577</v>
      </c>
      <c r="FO1" s="1" t="s">
        <v>8578</v>
      </c>
      <c r="FY1" s="1" t="s">
        <v>8579</v>
      </c>
      <c r="GI1" s="1" t="s">
        <v>8580</v>
      </c>
      <c r="GS1" s="1" t="s">
        <v>8581</v>
      </c>
      <c r="HC1" s="1" t="s">
        <v>8582</v>
      </c>
      <c r="HM1" s="1" t="s">
        <v>8583</v>
      </c>
      <c r="HW1" s="1" t="s">
        <v>8584</v>
      </c>
      <c r="IG1" s="1" t="s">
        <v>8585</v>
      </c>
      <c r="IQ1" s="1" t="s">
        <v>8586</v>
      </c>
      <c r="JA1" s="1" t="s">
        <v>8587</v>
      </c>
      <c r="JK1" s="1" t="s">
        <v>8588</v>
      </c>
      <c r="JU1" s="1" t="s">
        <v>8589</v>
      </c>
      <c r="KE1" s="1" t="s">
        <v>8590</v>
      </c>
      <c r="KO1" s="1" t="s">
        <v>8591</v>
      </c>
      <c r="KY1" s="1" t="s">
        <v>8592</v>
      </c>
      <c r="LI1" s="1" t="s">
        <v>8593</v>
      </c>
      <c r="LS1" s="1" t="s">
        <v>8594</v>
      </c>
      <c r="MC1" s="1" t="s">
        <v>8595</v>
      </c>
      <c r="MM1" s="1" t="s">
        <v>8596</v>
      </c>
      <c r="MW1" s="1" t="s">
        <v>8597</v>
      </c>
      <c r="NG1" s="1" t="s">
        <v>8598</v>
      </c>
      <c r="NQ1" s="1" t="s">
        <v>8599</v>
      </c>
      <c r="OA1" s="1" t="s">
        <v>8600</v>
      </c>
    </row>
    <row r="2" spans="1:396" x14ac:dyDescent="0.25">
      <c r="A2" s="2" t="s">
        <v>3068</v>
      </c>
      <c r="K2" s="2" t="s">
        <v>8601</v>
      </c>
      <c r="U2" s="2" t="s">
        <v>8602</v>
      </c>
      <c r="AE2" s="2" t="s">
        <v>265</v>
      </c>
      <c r="AO2" s="2" t="s">
        <v>8603</v>
      </c>
      <c r="AY2" s="2" t="s">
        <v>2407</v>
      </c>
      <c r="BI2" s="2" t="s">
        <v>1356</v>
      </c>
      <c r="BS2" s="2" t="s">
        <v>8604</v>
      </c>
      <c r="CC2" s="2" t="s">
        <v>66</v>
      </c>
      <c r="CM2" s="2" t="s">
        <v>4821</v>
      </c>
      <c r="CW2" s="2" t="s">
        <v>8605</v>
      </c>
      <c r="DG2" s="2" t="s">
        <v>577</v>
      </c>
      <c r="DQ2" s="2" t="s">
        <v>1840</v>
      </c>
      <c r="EA2" s="2" t="s">
        <v>2124</v>
      </c>
      <c r="EK2" s="2" t="s">
        <v>8606</v>
      </c>
      <c r="EU2" s="2" t="s">
        <v>8607</v>
      </c>
      <c r="FE2" s="2" t="s">
        <v>5587</v>
      </c>
      <c r="FO2" s="2" t="s">
        <v>4488</v>
      </c>
      <c r="FY2" s="2" t="s">
        <v>8608</v>
      </c>
      <c r="GI2" s="2" t="s">
        <v>4034</v>
      </c>
      <c r="GS2" s="2" t="s">
        <v>4823</v>
      </c>
      <c r="HC2" s="2" t="s">
        <v>3063</v>
      </c>
      <c r="HM2" s="2" t="s">
        <v>5845</v>
      </c>
      <c r="HW2" s="2" t="s">
        <v>4380</v>
      </c>
      <c r="IG2" s="2" t="s">
        <v>8609</v>
      </c>
      <c r="IQ2" s="2" t="s">
        <v>8610</v>
      </c>
      <c r="JA2" s="2" t="s">
        <v>8611</v>
      </c>
      <c r="JK2" s="2" t="s">
        <v>5323</v>
      </c>
      <c r="JU2" s="2" t="s">
        <v>8612</v>
      </c>
      <c r="KE2" s="2" t="s">
        <v>8613</v>
      </c>
      <c r="KO2" s="2" t="s">
        <v>8614</v>
      </c>
      <c r="KY2" s="2" t="s">
        <v>8615</v>
      </c>
      <c r="LI2" s="2" t="s">
        <v>2596</v>
      </c>
      <c r="LS2" s="2" t="s">
        <v>7376</v>
      </c>
      <c r="MC2" s="2" t="s">
        <v>1079</v>
      </c>
      <c r="MM2" s="2" t="s">
        <v>8616</v>
      </c>
      <c r="MW2" s="2" t="s">
        <v>2407</v>
      </c>
      <c r="NG2" s="2" t="s">
        <v>4484</v>
      </c>
      <c r="NQ2" s="2" t="s">
        <v>8617</v>
      </c>
      <c r="OA2" s="2" t="s">
        <v>5587</v>
      </c>
    </row>
    <row r="3" spans="1:396" x14ac:dyDescent="0.25">
      <c r="A3" t="s">
        <v>8472</v>
      </c>
      <c r="K3" t="s">
        <v>182</v>
      </c>
      <c r="U3" t="s">
        <v>498</v>
      </c>
      <c r="AE3" t="s">
        <v>8618</v>
      </c>
      <c r="AO3" t="s">
        <v>8619</v>
      </c>
      <c r="AY3" t="s">
        <v>1302</v>
      </c>
      <c r="BI3" t="s">
        <v>8620</v>
      </c>
      <c r="BS3" t="s">
        <v>8621</v>
      </c>
      <c r="CC3" t="s">
        <v>8622</v>
      </c>
      <c r="CM3" t="s">
        <v>4761</v>
      </c>
      <c r="CW3" t="s">
        <v>8623</v>
      </c>
      <c r="DG3" t="s">
        <v>2550</v>
      </c>
      <c r="DQ3" t="s">
        <v>7939</v>
      </c>
      <c r="EA3" t="s">
        <v>901</v>
      </c>
      <c r="EK3" t="s">
        <v>8624</v>
      </c>
      <c r="EU3" t="s">
        <v>290</v>
      </c>
      <c r="FE3" t="s">
        <v>4855</v>
      </c>
      <c r="FO3" t="s">
        <v>8625</v>
      </c>
      <c r="FY3" t="s">
        <v>8626</v>
      </c>
      <c r="GI3" t="s">
        <v>8627</v>
      </c>
      <c r="GS3" t="s">
        <v>8628</v>
      </c>
      <c r="HC3" t="s">
        <v>2532</v>
      </c>
      <c r="HM3" t="s">
        <v>4573</v>
      </c>
      <c r="HW3" t="s">
        <v>8629</v>
      </c>
      <c r="IG3" t="s">
        <v>8630</v>
      </c>
      <c r="IQ3" t="s">
        <v>8631</v>
      </c>
      <c r="JA3" t="s">
        <v>8632</v>
      </c>
      <c r="JK3" t="s">
        <v>8633</v>
      </c>
      <c r="JU3" t="s">
        <v>8634</v>
      </c>
      <c r="KE3" t="s">
        <v>1102</v>
      </c>
      <c r="KO3" t="s">
        <v>3099</v>
      </c>
      <c r="KY3" t="s">
        <v>2722</v>
      </c>
      <c r="LI3" t="s">
        <v>4420</v>
      </c>
      <c r="LS3" t="s">
        <v>514</v>
      </c>
      <c r="MC3" t="s">
        <v>8635</v>
      </c>
      <c r="MM3" t="s">
        <v>5689</v>
      </c>
      <c r="MW3" t="s">
        <v>8636</v>
      </c>
      <c r="NG3" t="s">
        <v>8637</v>
      </c>
      <c r="NQ3" t="s">
        <v>8638</v>
      </c>
      <c r="OA3" t="s">
        <v>8639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_xll.BDS("TQNT US Equity","SUPPLY_CHAIN_SUPPLIERS","RELATIONSHIP_AS_OF_DATE","20080310")</f>
        <v>#N/A N/A</v>
      </c>
      <c r="F5" t="str">
        <f>_xll.BDS("TQNT US Equity","SUPPLY_CHAIN_CUSTOMERS","RELATIONSHIP_AS_OF_DATE","20080310")</f>
        <v>#N/A N/A</v>
      </c>
      <c r="K5" t="str">
        <f>_xll.BDS("IPAS US Equity","SUPPLY_CHAIN_SUPPLIERS","RELATIONSHIP_AS_OF_DATE","20051212")</f>
        <v>#N/A N/A</v>
      </c>
      <c r="P5" t="str">
        <f>_xll.BDS("IPAS US Equity","SUPPLY_CHAIN_CUSTOMERS","RELATIONSHIP_AS_OF_DATE","20051212")</f>
        <v>#N/A N/A</v>
      </c>
      <c r="U5" t="str">
        <f>_xll.BDS("CTS US Equity","SUPPLY_CHAIN_SUPPLIERS","RELATIONSHIP_AS_OF_DATE","20041117","cols=1;rows=5")</f>
        <v>MELE BB Equity</v>
      </c>
      <c r="Z5" t="str">
        <f>_xll.BDS("CTS US Equity","SUPPLY_CHAIN_CUSTOMERS","RELATIONSHIP_AS_OF_DATE","20041117","cols=1;rows=5")</f>
        <v>7203 JP Equity</v>
      </c>
      <c r="AE5" t="str">
        <f>_xll.BDS("1255173D US Equity","SUPPLY_CHAIN_SUPPLIERS","RELATIONSHIP_AS_OF_DATE","20080206")</f>
        <v>#N/A N/A</v>
      </c>
      <c r="AJ5" t="str">
        <f>_xll.BDS("1255173D US Equity","SUPPLY_CHAIN_CUSTOMERS","RELATIONSHIP_AS_OF_DATE","20080206")</f>
        <v>#N/A N/A</v>
      </c>
      <c r="AO5" t="str">
        <f>_xll.BDS("RGS US Equity","SUPPLY_CHAIN_SUPPLIERS","RELATIONSHIP_AS_OF_DATE","19990125","cols=1;rows=5")</f>
        <v>OR FP Equity</v>
      </c>
      <c r="AT5" t="str">
        <f>_xll.BDS("RGS US Equity","SUPPLY_CHAIN_CUSTOMERS","RELATIONSHIP_AS_OF_DATE","19990125","cols=1;rows=5")</f>
        <v>1432638D US Equity</v>
      </c>
      <c r="AY5" t="str">
        <f>_xll.BDS("UMPQ US Equity","SUPPLY_CHAIN_SUPPLIERS","RELATIONSHIP_AS_OF_DATE","20000815")</f>
        <v>#N/A N/A</v>
      </c>
      <c r="BD5" t="str">
        <f>_xll.BDS("UMPQ US Equity","SUPPLY_CHAIN_CUSTOMERS","RELATIONSHIP_AS_OF_DATE","20000815")</f>
        <v>#N/A N/A</v>
      </c>
      <c r="BI5" t="str">
        <f>_xll.BDS("TCF US Equity","SUPPLY_CHAIN_SUPPLIERS","RELATIONSHIP_AS_OF_DATE","20030925")</f>
        <v>#N/A N/A</v>
      </c>
      <c r="BN5" t="str">
        <f>_xll.BDS("TCF US Equity","SUPPLY_CHAIN_CUSTOMERS","RELATIONSHIP_AS_OF_DATE","20030925")</f>
        <v>#N/A N/A</v>
      </c>
      <c r="BS5" t="str">
        <f>_xll.BDS("FTAR US Equity","SUPPLY_CHAIN_SUPPLIERS","RELATIONSHIP_AS_OF_DATE","20110104")</f>
        <v>#N/A N/A</v>
      </c>
      <c r="BX5" t="str">
        <f>_xll.BDS("FTAR US Equity","SUPPLY_CHAIN_CUSTOMERS","RELATIONSHIP_AS_OF_DATE","20110104")</f>
        <v>#N/A N/A</v>
      </c>
      <c r="CC5" t="str">
        <f>_xll.BDS("MDT US Equity","SUPPLY_CHAIN_SUPPLIERS","RELATIONSHIP_AS_OF_DATE","19960325","cols=1;rows=5")</f>
        <v>FLEX US Equity</v>
      </c>
      <c r="CH5" t="str">
        <f>_xll.BDS("MDT US Equity","SUPPLY_CHAIN_CUSTOMERS","RELATIONSHIP_AS_OF_DATE","19960325","cols=1;rows=5")</f>
        <v>4104 TT Equity</v>
      </c>
      <c r="CM5" t="str">
        <f>_xll.BDS("KFRC US Equity","SUPPLY_CHAIN_SUPPLIERS","RELATIONSHIP_AS_OF_DATE","20031202")</f>
        <v>DHX US Equity</v>
      </c>
      <c r="CR5" t="str">
        <f>_xll.BDS("KFRC US Equity","SUPPLY_CHAIN_CUSTOMERS","RELATIONSHIP_AS_OF_DATE","20031202","cols=1;rows=3")</f>
        <v>079960 KS Equity</v>
      </c>
      <c r="CW5" t="str">
        <f>_xll.BDS("CBFV US Equity","SUPPLY_CHAIN_SUPPLIERS","RELATIONSHIP_AS_OF_DATE","20140414")</f>
        <v>MLNK US Equity</v>
      </c>
      <c r="DB5" t="str">
        <f>_xll.BDS("CBFV US Equity","SUPPLY_CHAIN_CUSTOMERS","RELATIONSHIP_AS_OF_DATE","20140414")</f>
        <v>#N/A N/A</v>
      </c>
      <c r="DG5" t="str">
        <f>_xll.BDS("355488Q US Equity","SUPPLY_CHAIN_SUPPLIERS","RELATIONSHIP_AS_OF_DATE","19980324")</f>
        <v>#N/A N/A</v>
      </c>
      <c r="DL5" t="str">
        <f>_xll.BDS("355488Q US Equity","SUPPLY_CHAIN_CUSTOMERS","RELATIONSHIP_AS_OF_DATE","19980324")</f>
        <v>#N/A N/A</v>
      </c>
      <c r="DQ5" t="str">
        <f>_xll.BDS("9990822D US Equity","SUPPLY_CHAIN_SUPPLIERS","RELATIONSHIP_AS_OF_DATE","19980211")</f>
        <v>AMZN US Equity</v>
      </c>
      <c r="DV5" t="str">
        <f>_xll.BDS("9990822D US Equity","SUPPLY_CHAIN_CUSTOMERS","RELATIONSHIP_AS_OF_DATE","19980211","cols=1;rows=3")</f>
        <v>0759608D US Equity</v>
      </c>
      <c r="EA5" t="str">
        <f>_xll.BDS("PACW US Equity","SUPPLY_CHAIN_SUPPLIERS","RELATIONSHIP_AS_OF_DATE","20120430")</f>
        <v>#N/A N/A</v>
      </c>
      <c r="EF5" t="str">
        <f>_xll.BDS("PACW US Equity","SUPPLY_CHAIN_CUSTOMERS","RELATIONSHIP_AS_OF_DATE","20120430")</f>
        <v>SNX US Equity</v>
      </c>
      <c r="EK5" t="str">
        <f>_xll.BDS("FNBCQ US Equity","SUPPLY_CHAIN_SUPPLIERS","RELATIONSHIP_AS_OF_DATE","20141230")</f>
        <v>#N/A N/A</v>
      </c>
      <c r="EP5" t="str">
        <f>_xll.BDS("FNBCQ US Equity","SUPPLY_CHAIN_CUSTOMERS","RELATIONSHIP_AS_OF_DATE","20141230")</f>
        <v>#N/A N/A</v>
      </c>
      <c r="EU5" t="str">
        <f>_xll.BDS("SCZC US Equity","SUPPLY_CHAIN_SUPPLIERS","RELATIONSHIP_AS_OF_DATE","20190528")</f>
        <v>#N/A N/A</v>
      </c>
      <c r="EZ5" t="str">
        <f>_xll.BDS("SCZC US Equity","SUPPLY_CHAIN_CUSTOMERS","RELATIONSHIP_AS_OF_DATE","20190528")</f>
        <v>#N/A N/A</v>
      </c>
      <c r="FE5" t="str">
        <f>_xll.BDS("KTOS US Equity","SUPPLY_CHAIN_SUPPLIERS","RELATIONSHIP_AS_OF_DATE","20101006","cols=1;rows=5")</f>
        <v>EMKR US Equity</v>
      </c>
      <c r="FJ5" t="str">
        <f>_xll.BDS("KTOS US Equity","SUPPLY_CHAIN_CUSTOMERS","RELATIONSHIP_AS_OF_DATE","20101006","cols=1;rows=5")</f>
        <v>3352Z US Equity</v>
      </c>
      <c r="FO5" t="str">
        <f>_xll.BDS("PFC US Equity","SUPPLY_CHAIN_SUPPLIERS","RELATIONSHIP_AS_OF_DATE","20071002")</f>
        <v>#N/A N/A</v>
      </c>
      <c r="FT5" t="str">
        <f>_xll.BDS("PFC US Equity","SUPPLY_CHAIN_CUSTOMERS","RELATIONSHIP_AS_OF_DATE","20071002")</f>
        <v>#N/A N/A</v>
      </c>
      <c r="FY5" t="str">
        <f>_xll.BDS("HTB US Equity","SUPPLY_CHAIN_SUPPLIERS","RELATIONSHIP_AS_OF_DATE","20140123")</f>
        <v>#N/A N/A</v>
      </c>
      <c r="GD5" t="str">
        <f>_xll.BDS("HTB US Equity","SUPPLY_CHAIN_CUSTOMERS","RELATIONSHIP_AS_OF_DATE","20140123")</f>
        <v>#N/A N/A</v>
      </c>
      <c r="GI5" t="str">
        <f>_xll.BDS("COLB US Equity","SUPPLY_CHAIN_SUPPLIERS","RELATIONSHIP_AS_OF_DATE","20140723")</f>
        <v>INVE US Equity</v>
      </c>
      <c r="GN5" t="str">
        <f>_xll.BDS("COLB US Equity","SUPPLY_CHAIN_CUSTOMERS","RELATIONSHIP_AS_OF_DATE","20140723")</f>
        <v>#N/A N/A</v>
      </c>
      <c r="GS5" t="str">
        <f>_xll.BDS("WAL US Equity","SUPPLY_CHAIN_SUPPLIERS","RELATIONSHIP_AS_OF_DATE","20120818")</f>
        <v>CIO US Equity</v>
      </c>
      <c r="GX5" t="str">
        <f>_xll.BDS("WAL US Equity","SUPPLY_CHAIN_CUSTOMERS","RELATIONSHIP_AS_OF_DATE","20120818")</f>
        <v>#N/A N/A</v>
      </c>
      <c r="HC5" t="str">
        <f>_xll.BDS("INDB US Equity","SUPPLY_CHAIN_SUPPLIERS","RELATIONSHIP_AS_OF_DATE","20120501")</f>
        <v>#N/A N/A</v>
      </c>
      <c r="HH5" t="str">
        <f>_xll.BDS("INDB US Equity","SUPPLY_CHAIN_CUSTOMERS","RELATIONSHIP_AS_OF_DATE","20120501")</f>
        <v>#N/A N/A</v>
      </c>
      <c r="HM5" t="str">
        <f>_xll.BDS("PRDO US Equity","SUPPLY_CHAIN_SUPPLIERS","RELATIONSHIP_AS_OF_DATE","20001024")</f>
        <v>#N/A N/A</v>
      </c>
      <c r="HR5" t="str">
        <f>_xll.BDS("PRDO US Equity","SUPPLY_CHAIN_CUSTOMERS","RELATIONSHIP_AS_OF_DATE","20001024")</f>
        <v>#N/A N/A</v>
      </c>
      <c r="HW5" t="str">
        <f>_xll.BDS("UCB US Equity","SUPPLY_CHAIN_SUPPLIERS","RELATIONSHIP_AS_OF_DATE","20170420")</f>
        <v>3764228Z US Equity</v>
      </c>
      <c r="IB5" t="str">
        <f>_xll.BDS("UCB US Equity","SUPPLY_CHAIN_CUSTOMERS","RELATIONSHIP_AS_OF_DATE","20170420")</f>
        <v>#N/A N/A</v>
      </c>
      <c r="IG5" t="str">
        <f>_xll.BDS("JEFF US Equity","SUPPLY_CHAIN_SUPPLIERS","RELATIONSHIP_AS_OF_DATE","19980319")</f>
        <v>#N/A N/A</v>
      </c>
      <c r="IL5" t="str">
        <f>_xll.BDS("JEFF US Equity","SUPPLY_CHAIN_CUSTOMERS","RELATIONSHIP_AS_OF_DATE","19980319")</f>
        <v>#N/A N/A</v>
      </c>
      <c r="IQ5" t="str">
        <f>_xll.BDS("CDOR US Equity","SUPPLY_CHAIN_SUPPLIERS","RELATIONSHIP_AS_OF_DATE","19990611")</f>
        <v>#N/A N/A</v>
      </c>
      <c r="IV5" t="str">
        <f>_xll.BDS("CDOR US Equity","SUPPLY_CHAIN_CUSTOMERS","RELATIONSHIP_AS_OF_DATE","19990611")</f>
        <v>#N/A N/A</v>
      </c>
      <c r="JA5" t="str">
        <f>_xll.BDS("MFSF US Equity","SUPPLY_CHAIN_SUPPLIERS","RELATIONSHIP_AS_OF_DATE","20080108")</f>
        <v>#N/A N/A</v>
      </c>
      <c r="JF5" t="str">
        <f>_xll.BDS("MFSF US Equity","SUPPLY_CHAIN_CUSTOMERS","RELATIONSHIP_AS_OF_DATE","20080108")</f>
        <v>#N/A N/A</v>
      </c>
      <c r="JK5" t="str">
        <f>_xll.BDS("BCIC US Equity","SUPPLY_CHAIN_SUPPLIERS","RELATIONSHIP_AS_OF_DATE","20201223")</f>
        <v>#N/A N/A</v>
      </c>
      <c r="JP5" t="str">
        <f>_xll.BDS("BCIC US Equity","SUPPLY_CHAIN_CUSTOMERS","RELATIONSHIP_AS_OF_DATE","20201223")</f>
        <v>#N/A N/A</v>
      </c>
      <c r="JU5" t="str">
        <f>_xll.BDS("CALP US Equity","SUPPLY_CHAIN_SUPPLIERS","RELATIONSHIP_AS_OF_DATE","20060213")</f>
        <v>#N/A N/A</v>
      </c>
      <c r="JZ5" t="str">
        <f>_xll.BDS("CALP US Equity","SUPPLY_CHAIN_CUSTOMERS","RELATIONSHIP_AS_OF_DATE","20060213")</f>
        <v>#N/A N/A</v>
      </c>
      <c r="KE5" t="str">
        <f>_xll.BDS("CFCB US Equity","SUPPLY_CHAIN_SUPPLIERS","RELATIONSHIP_AS_OF_DATE","20060630")</f>
        <v>#N/A N/A</v>
      </c>
      <c r="KJ5" t="str">
        <f>_xll.BDS("CFCB US Equity","SUPPLY_CHAIN_CUSTOMERS","RELATIONSHIP_AS_OF_DATE","20060630")</f>
        <v>#N/A N/A</v>
      </c>
      <c r="KO5" t="str">
        <f>_xll.BDS("ARL US Equity","SUPPLY_CHAIN_SUPPLIERS","RELATIONSHIP_AS_OF_DATE","20011023")</f>
        <v>#N/A N/A</v>
      </c>
      <c r="KT5" t="str">
        <f>_xll.BDS("ARL US Equity","SUPPLY_CHAIN_CUSTOMERS","RELATIONSHIP_AS_OF_DATE","20011023")</f>
        <v>#N/A N/A</v>
      </c>
      <c r="KY5" t="str">
        <f>_xll.BDS("BF/B US Equity","SUPPLY_CHAIN_SUPPLIERS","RELATIONSHIP_AS_OF_DATE","19990211","cols=1;rows=5")</f>
        <v>OI US Equity</v>
      </c>
      <c r="LD5" t="str">
        <f>_xll.BDS("BF/B US Equity","SUPPLY_CHAIN_CUSTOMERS","RELATIONSHIP_AS_OF_DATE","19990211","cols=1;rows=5")</f>
        <v>CA FP Equity</v>
      </c>
      <c r="LI5" t="str">
        <f>_xll.BDS("ZION US Equity","SUPPLY_CHAIN_SUPPLIERS","RELATIONSHIP_AS_OF_DATE","19990428","cols=1;rows=2")</f>
        <v>MUST SP Equity</v>
      </c>
      <c r="LN5" t="str">
        <f>_xll.BDS("ZION US Equity","SUPPLY_CHAIN_CUSTOMERS","RELATIONSHIP_AS_OF_DATE","19990428")</f>
        <v>#N/A N/A</v>
      </c>
      <c r="LS5" t="str">
        <f>_xll.BDS("CIVB US Equity","SUPPLY_CHAIN_SUPPLIERS","RELATIONSHIP_AS_OF_DATE","20220110")</f>
        <v>#N/A N/A</v>
      </c>
      <c r="LX5" t="str">
        <f>_xll.BDS("CIVB US Equity","SUPPLY_CHAIN_CUSTOMERS","RELATIONSHIP_AS_OF_DATE","20220110")</f>
        <v>#N/A N/A</v>
      </c>
      <c r="MC5" t="str">
        <f>_xll.BDS("9980328D US Equity","SUPPLY_CHAIN_SUPPLIERS","RELATIONSHIP_AS_OF_DATE","20140925","cols=1;rows=5")</f>
        <v>1052024D US Equity</v>
      </c>
      <c r="MH5" t="str">
        <f>_xll.BDS("9980328D US Equity","SUPPLY_CHAIN_CUSTOMERS","RELATIONSHIP_AS_OF_DATE","20140925","cols=1;rows=5")</f>
        <v>002630 KS Equity</v>
      </c>
      <c r="MM5" t="str">
        <f>_xll.BDS("ALNC US Equity","SUPPLY_CHAIN_SUPPLIERS","RELATIONSHIP_AS_OF_DATE","20060424")</f>
        <v>#N/A N/A</v>
      </c>
      <c r="MR5" t="str">
        <f>_xll.BDS("ALNC US Equity","SUPPLY_CHAIN_CUSTOMERS","RELATIONSHIP_AS_OF_DATE","20060424")</f>
        <v>#N/A N/A</v>
      </c>
      <c r="MW5" t="str">
        <f>_xll.BDS("UMPQ US Equity","SUPPLY_CHAIN_SUPPLIERS","RELATIONSHIP_AS_OF_DATE","20010622")</f>
        <v>#N/A N/A</v>
      </c>
      <c r="NB5" t="str">
        <f>_xll.BDS("UMPQ US Equity","SUPPLY_CHAIN_CUSTOMERS","RELATIONSHIP_AS_OF_DATE","20010622")</f>
        <v>#N/A N/A</v>
      </c>
      <c r="NG5" t="str">
        <f>_xll.BDS("DGIT US Equity","SUPPLY_CHAIN_SUPPLIERS","RELATIONSHIP_AS_OF_DATE","20080508")</f>
        <v>#N/A N/A</v>
      </c>
      <c r="NL5" t="str">
        <f>_xll.BDS("DGIT US Equity","SUPPLY_CHAIN_CUSTOMERS","RELATIONSHIP_AS_OF_DATE","20080508")</f>
        <v>#N/A N/A</v>
      </c>
      <c r="NQ5" t="str">
        <f>_xll.BDS("SBKK US Equity","SUPPLY_CHAIN_SUPPLIERS","RELATIONSHIP_AS_OF_DATE","20171107")</f>
        <v>#N/A N/A</v>
      </c>
      <c r="NV5" t="str">
        <f>_xll.BDS("SBKK US Equity","SUPPLY_CHAIN_CUSTOMERS","RELATIONSHIP_AS_OF_DATE","20171107")</f>
        <v>#N/A N/A</v>
      </c>
      <c r="OA5" t="str">
        <f>_xll.BDS("KTOS US Equity","SUPPLY_CHAIN_SUPPLIERS","RELATIONSHIP_AS_OF_DATE","20080221","cols=1;rows=5")</f>
        <v>EMKR US Equity</v>
      </c>
      <c r="OF5" t="str">
        <f>_xll.BDS("KTOS US Equity","SUPPLY_CHAIN_CUSTOMERS","RELATIONSHIP_AS_OF_DATE","20080221","cols=1;rows=5")</f>
        <v>3352Z US Equity</v>
      </c>
    </row>
    <row r="6" spans="1:396" x14ac:dyDescent="0.25">
      <c r="U6" t="s">
        <v>10968</v>
      </c>
      <c r="Z6" t="s">
        <v>1549</v>
      </c>
      <c r="AO6" t="s">
        <v>11116</v>
      </c>
      <c r="AT6" t="s">
        <v>11116</v>
      </c>
      <c r="CC6" t="s">
        <v>11060</v>
      </c>
      <c r="CH6" t="s">
        <v>11016</v>
      </c>
      <c r="CR6" t="s">
        <v>10657</v>
      </c>
      <c r="DV6" t="s">
        <v>2705</v>
      </c>
      <c r="FE6" t="s">
        <v>11086</v>
      </c>
      <c r="FJ6" t="s">
        <v>388</v>
      </c>
      <c r="KY6" t="s">
        <v>11259</v>
      </c>
      <c r="LD6" t="s">
        <v>11114</v>
      </c>
      <c r="LI6" t="s">
        <v>11221</v>
      </c>
      <c r="MC6" t="s">
        <v>11453</v>
      </c>
      <c r="MH6" t="s">
        <v>11428</v>
      </c>
      <c r="OA6" t="s">
        <v>11086</v>
      </c>
      <c r="OF6" t="s">
        <v>388</v>
      </c>
    </row>
    <row r="7" spans="1:396" x14ac:dyDescent="0.25">
      <c r="U7" t="s">
        <v>10969</v>
      </c>
      <c r="Z7" t="s">
        <v>10899</v>
      </c>
      <c r="AO7" t="s">
        <v>158</v>
      </c>
      <c r="AT7" t="s">
        <v>469</v>
      </c>
      <c r="CC7" t="s">
        <v>10735</v>
      </c>
      <c r="CH7" t="s">
        <v>8926</v>
      </c>
      <c r="CR7" t="s">
        <v>11482</v>
      </c>
      <c r="DV7" t="s">
        <v>270</v>
      </c>
      <c r="FE7" t="s">
        <v>11087</v>
      </c>
      <c r="FJ7" t="s">
        <v>10785</v>
      </c>
      <c r="KY7" t="s">
        <v>10696</v>
      </c>
      <c r="LD7" t="s">
        <v>11500</v>
      </c>
      <c r="MC7" t="s">
        <v>11289</v>
      </c>
      <c r="MH7" t="s">
        <v>11429</v>
      </c>
      <c r="OA7" t="s">
        <v>11087</v>
      </c>
      <c r="OF7" t="s">
        <v>10785</v>
      </c>
    </row>
    <row r="8" spans="1:396" x14ac:dyDescent="0.25">
      <c r="U8" t="s">
        <v>10851</v>
      </c>
      <c r="Z8" t="s">
        <v>10953</v>
      </c>
      <c r="AO8" t="s">
        <v>11262</v>
      </c>
      <c r="AT8" t="s">
        <v>11117</v>
      </c>
      <c r="CC8" t="s">
        <v>3439</v>
      </c>
      <c r="CH8" t="s">
        <v>10140</v>
      </c>
      <c r="FE8" t="s">
        <v>10696</v>
      </c>
      <c r="FJ8" t="s">
        <v>42</v>
      </c>
      <c r="KY8" t="s">
        <v>7145</v>
      </c>
      <c r="LD8" t="s">
        <v>11501</v>
      </c>
      <c r="MC8" t="s">
        <v>10996</v>
      </c>
      <c r="MH8" t="s">
        <v>11430</v>
      </c>
      <c r="OA8" t="s">
        <v>10696</v>
      </c>
      <c r="OF8" t="s">
        <v>42</v>
      </c>
    </row>
    <row r="9" spans="1:396" x14ac:dyDescent="0.25">
      <c r="U9" t="s">
        <v>10970</v>
      </c>
      <c r="Z9" t="s">
        <v>371</v>
      </c>
      <c r="AO9" t="s">
        <v>10676</v>
      </c>
      <c r="AT9" t="s">
        <v>10676</v>
      </c>
      <c r="CC9" t="s">
        <v>10806</v>
      </c>
      <c r="CH9" t="s">
        <v>10746</v>
      </c>
      <c r="FE9" t="s">
        <v>1265</v>
      </c>
      <c r="FJ9" t="s">
        <v>1363</v>
      </c>
      <c r="KY9" t="s">
        <v>260</v>
      </c>
      <c r="LD9" t="s">
        <v>11502</v>
      </c>
      <c r="MC9" t="s">
        <v>11454</v>
      </c>
      <c r="MH9" t="s">
        <v>11431</v>
      </c>
      <c r="OA9" t="s">
        <v>1265</v>
      </c>
      <c r="OF9" t="s">
        <v>1363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8640</v>
      </c>
      <c r="K1" s="1" t="s">
        <v>8641</v>
      </c>
      <c r="U1" s="1" t="s">
        <v>8642</v>
      </c>
      <c r="AE1" s="1" t="s">
        <v>8643</v>
      </c>
      <c r="AO1" s="1" t="s">
        <v>8644</v>
      </c>
      <c r="AY1" s="1" t="s">
        <v>8645</v>
      </c>
      <c r="BI1" s="1" t="s">
        <v>8646</v>
      </c>
      <c r="BS1" s="1" t="s">
        <v>8647</v>
      </c>
      <c r="CC1" s="1" t="s">
        <v>8648</v>
      </c>
      <c r="CM1" s="1" t="s">
        <v>8649</v>
      </c>
      <c r="CW1" s="1" t="s">
        <v>8650</v>
      </c>
      <c r="DG1" s="1" t="s">
        <v>8651</v>
      </c>
      <c r="DQ1" s="1" t="s">
        <v>8652</v>
      </c>
      <c r="EA1" s="1" t="s">
        <v>8653</v>
      </c>
      <c r="EK1" s="1" t="s">
        <v>8654</v>
      </c>
      <c r="EU1" s="1" t="s">
        <v>8655</v>
      </c>
      <c r="FE1" s="1" t="s">
        <v>8656</v>
      </c>
      <c r="FO1" s="1" t="s">
        <v>8657</v>
      </c>
      <c r="FY1" s="1" t="s">
        <v>8658</v>
      </c>
      <c r="GI1" s="1" t="s">
        <v>8659</v>
      </c>
      <c r="GS1" s="1" t="s">
        <v>8660</v>
      </c>
      <c r="HC1" s="1" t="s">
        <v>8661</v>
      </c>
      <c r="HM1" s="1" t="s">
        <v>8662</v>
      </c>
      <c r="HW1" s="1" t="s">
        <v>8663</v>
      </c>
      <c r="IG1" s="1" t="s">
        <v>8664</v>
      </c>
      <c r="IQ1" s="1" t="s">
        <v>8665</v>
      </c>
      <c r="JA1" s="1" t="s">
        <v>8666</v>
      </c>
      <c r="JK1" s="1" t="s">
        <v>8667</v>
      </c>
      <c r="JU1" s="1" t="s">
        <v>8668</v>
      </c>
      <c r="KE1" s="1" t="s">
        <v>8669</v>
      </c>
      <c r="KO1" s="1" t="s">
        <v>8670</v>
      </c>
      <c r="KY1" s="1" t="s">
        <v>8671</v>
      </c>
      <c r="LI1" s="1" t="s">
        <v>8672</v>
      </c>
      <c r="LS1" s="1" t="s">
        <v>8673</v>
      </c>
      <c r="MC1" s="1" t="s">
        <v>8674</v>
      </c>
      <c r="MM1" s="1" t="s">
        <v>8675</v>
      </c>
      <c r="MW1" s="1" t="s">
        <v>8676</v>
      </c>
      <c r="NG1" s="1" t="s">
        <v>8677</v>
      </c>
      <c r="NQ1" s="1" t="s">
        <v>8678</v>
      </c>
      <c r="OA1" s="1" t="s">
        <v>8679</v>
      </c>
    </row>
    <row r="2" spans="1:396" x14ac:dyDescent="0.25">
      <c r="A2" s="2" t="s">
        <v>8680</v>
      </c>
      <c r="K2" s="2" t="s">
        <v>4911</v>
      </c>
      <c r="U2" s="2" t="s">
        <v>8681</v>
      </c>
      <c r="AE2" s="2" t="s">
        <v>8682</v>
      </c>
      <c r="AO2" s="2" t="s">
        <v>8683</v>
      </c>
      <c r="AY2" s="2" t="s">
        <v>8684</v>
      </c>
      <c r="BI2" s="2" t="s">
        <v>5158</v>
      </c>
      <c r="BS2" s="2" t="s">
        <v>8685</v>
      </c>
      <c r="CC2" s="2" t="s">
        <v>2875</v>
      </c>
      <c r="CM2" s="2" t="s">
        <v>7847</v>
      </c>
      <c r="CW2" s="2" t="s">
        <v>8686</v>
      </c>
      <c r="DG2" s="2" t="s">
        <v>1274</v>
      </c>
      <c r="DQ2" s="2" t="s">
        <v>8687</v>
      </c>
      <c r="EA2" s="2" t="s">
        <v>1941</v>
      </c>
      <c r="EK2" s="2" t="s">
        <v>8688</v>
      </c>
      <c r="EU2" s="2" t="s">
        <v>3700</v>
      </c>
      <c r="FE2" s="2" t="s">
        <v>5998</v>
      </c>
      <c r="FO2" s="2" t="s">
        <v>7383</v>
      </c>
      <c r="FY2" s="2" t="s">
        <v>8689</v>
      </c>
      <c r="GI2" s="2" t="s">
        <v>8521</v>
      </c>
      <c r="GS2" s="2" t="s">
        <v>8690</v>
      </c>
      <c r="HC2" s="2" t="s">
        <v>8691</v>
      </c>
      <c r="HM2" s="2" t="s">
        <v>8692</v>
      </c>
      <c r="HW2" s="2" t="s">
        <v>8693</v>
      </c>
      <c r="IG2" s="2" t="s">
        <v>8077</v>
      </c>
      <c r="IQ2" s="2" t="s">
        <v>7391</v>
      </c>
      <c r="JA2" s="2" t="s">
        <v>2874</v>
      </c>
      <c r="JK2" s="2" t="s">
        <v>6470</v>
      </c>
      <c r="JU2" s="2" t="s">
        <v>4902</v>
      </c>
      <c r="KE2" s="2" t="s">
        <v>8694</v>
      </c>
      <c r="KO2" s="2" t="s">
        <v>8695</v>
      </c>
      <c r="KY2" s="2" t="s">
        <v>8696</v>
      </c>
      <c r="LI2" s="2" t="s">
        <v>390</v>
      </c>
      <c r="LS2" s="2" t="s">
        <v>8697</v>
      </c>
      <c r="MC2" s="2" t="s">
        <v>6713</v>
      </c>
      <c r="MM2" s="2" t="s">
        <v>8698</v>
      </c>
      <c r="MW2" s="2" t="s">
        <v>7391</v>
      </c>
      <c r="NG2" s="2" t="s">
        <v>8699</v>
      </c>
      <c r="NQ2" s="2" t="s">
        <v>8700</v>
      </c>
      <c r="OA2" s="2" t="s">
        <v>976</v>
      </c>
    </row>
    <row r="3" spans="1:396" x14ac:dyDescent="0.25">
      <c r="A3" t="s">
        <v>8701</v>
      </c>
      <c r="K3" t="s">
        <v>7314</v>
      </c>
      <c r="U3" t="s">
        <v>7082</v>
      </c>
      <c r="AE3" t="s">
        <v>4854</v>
      </c>
      <c r="AO3" t="s">
        <v>8702</v>
      </c>
      <c r="AY3" t="s">
        <v>8703</v>
      </c>
      <c r="BI3" t="s">
        <v>8704</v>
      </c>
      <c r="BS3" t="s">
        <v>8705</v>
      </c>
      <c r="CC3" t="s">
        <v>1281</v>
      </c>
      <c r="CM3" t="s">
        <v>6489</v>
      </c>
      <c r="CW3" t="s">
        <v>6745</v>
      </c>
      <c r="DG3" t="s">
        <v>8706</v>
      </c>
      <c r="DQ3" t="s">
        <v>4243</v>
      </c>
      <c r="EA3" t="s">
        <v>5862</v>
      </c>
      <c r="EK3" t="s">
        <v>8707</v>
      </c>
      <c r="EU3" t="s">
        <v>6646</v>
      </c>
      <c r="FE3" t="s">
        <v>5276</v>
      </c>
      <c r="FO3" t="s">
        <v>8708</v>
      </c>
      <c r="FY3" t="s">
        <v>528</v>
      </c>
      <c r="GI3" t="s">
        <v>6250</v>
      </c>
      <c r="GS3" t="s">
        <v>4764</v>
      </c>
      <c r="HC3" t="s">
        <v>194</v>
      </c>
      <c r="HM3" t="s">
        <v>8709</v>
      </c>
      <c r="HW3" t="s">
        <v>8710</v>
      </c>
      <c r="IG3" t="s">
        <v>8711</v>
      </c>
      <c r="IQ3" t="s">
        <v>8712</v>
      </c>
      <c r="JA3" t="s">
        <v>8713</v>
      </c>
      <c r="JK3" t="s">
        <v>6005</v>
      </c>
      <c r="JU3" t="s">
        <v>5431</v>
      </c>
      <c r="KE3" t="s">
        <v>3192</v>
      </c>
      <c r="KO3" t="s">
        <v>4499</v>
      </c>
      <c r="KY3" t="s">
        <v>3822</v>
      </c>
      <c r="LI3" t="s">
        <v>1783</v>
      </c>
      <c r="LS3" t="s">
        <v>2918</v>
      </c>
      <c r="MC3" t="s">
        <v>8714</v>
      </c>
      <c r="MM3" t="s">
        <v>2730</v>
      </c>
      <c r="MW3" t="s">
        <v>6824</v>
      </c>
      <c r="NG3" t="s">
        <v>8715</v>
      </c>
      <c r="NQ3" t="s">
        <v>8716</v>
      </c>
      <c r="OA3" t="s">
        <v>7490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_xll.BDS("VSB US Equity","SUPPLY_CHAIN_SUPPLIERS","RELATIONSHIP_AS_OF_DATE","20120925")</f>
        <v>#N/A N/A</v>
      </c>
      <c r="F5" t="str">
        <f>_xll.BDS("VSB US Equity","SUPPLY_CHAIN_CUSTOMERS","RELATIONSHIP_AS_OF_DATE","20120925")</f>
        <v>#N/A N/A</v>
      </c>
      <c r="K5" t="str">
        <f>_xll.BDS("ABCB US Equity","SUPPLY_CHAIN_SUPPLIERS","RELATIONSHIP_AS_OF_DATE","20151001")</f>
        <v>5158754Z SS Equity</v>
      </c>
      <c r="P5" t="str">
        <f>_xll.BDS("ABCB US Equity","SUPPLY_CHAIN_CUSTOMERS","RELATIONSHIP_AS_OF_DATE","20151001")</f>
        <v>#N/A N/A</v>
      </c>
      <c r="U5" t="str">
        <f>_xll.BDS("MKTW US Equity","SUPPLY_CHAIN_SUPPLIERS","RELATIONSHIP_AS_OF_DATE","20030723")</f>
        <v>#N/A N/A</v>
      </c>
      <c r="Z5" t="str">
        <f>_xll.BDS("MKTW US Equity","SUPPLY_CHAIN_CUSTOMERS","RELATIONSHIP_AS_OF_DATE","20030723")</f>
        <v>#N/A N/A</v>
      </c>
      <c r="AE5" t="str">
        <f>_xll.BDS("MCYF US Equity","SUPPLY_CHAIN_SUPPLIERS","RELATIONSHIP_AS_OF_DATE","19990223")</f>
        <v>#N/A N/A</v>
      </c>
      <c r="AJ5" t="str">
        <f>_xll.BDS("MCYF US Equity","SUPPLY_CHAIN_CUSTOMERS","RELATIONSHIP_AS_OF_DATE","19990223")</f>
        <v>#N/A N/A</v>
      </c>
      <c r="AO5" t="str">
        <f>_xll.BDS("CELPQ US Equity","SUPPLY_CHAIN_SUPPLIERS","RELATIONSHIP_AS_OF_DATE","20150223","cols=1;rows=5")</f>
        <v>0287229D US Equity</v>
      </c>
      <c r="AT5" t="str">
        <f>_xll.BDS("CELPQ US Equity","SUPPLY_CHAIN_CUSTOMERS","RELATIONSHIP_AS_OF_DATE","20150223")</f>
        <v>#N/A N/A</v>
      </c>
      <c r="AY5" t="str">
        <f>_xll.BDS("ACNB US Equity","SUPPLY_CHAIN_SUPPLIERS","RELATIONSHIP_AS_OF_DATE","20190702")</f>
        <v>#N/A N/A</v>
      </c>
      <c r="BD5" t="str">
        <f>_xll.BDS("ACNB US Equity","SUPPLY_CHAIN_CUSTOMERS","RELATIONSHIP_AS_OF_DATE","20190702")</f>
        <v>#N/A N/A</v>
      </c>
      <c r="BI5" t="str">
        <f>_xll.BDS("CBF US Equity","SUPPLY_CHAIN_SUPPLIERS","RELATIONSHIP_AS_OF_DATE","20120327")</f>
        <v>#N/A N/A</v>
      </c>
      <c r="BN5" t="str">
        <f>_xll.BDS("CBF US Equity","SUPPLY_CHAIN_CUSTOMERS","RELATIONSHIP_AS_OF_DATE","20120327")</f>
        <v>#N/A N/A</v>
      </c>
      <c r="BS5" t="str">
        <f>_xll.BDS("BNBN US Equity","SUPPLY_CHAIN_SUPPLIERS","RELATIONSHIP_AS_OF_DATE","20000914")</f>
        <v>#N/A N/A</v>
      </c>
      <c r="BX5" t="str">
        <f>_xll.BDS("BNBN US Equity","SUPPLY_CHAIN_CUSTOMERS","RELATIONSHIP_AS_OF_DATE","20000914")</f>
        <v>#N/A N/A</v>
      </c>
      <c r="CC5" t="str">
        <f>_xll.BDS("3029830Q US Equity","SUPPLY_CHAIN_SUPPLIERS","RELATIONSHIP_AS_OF_DATE","19990119")</f>
        <v>#N/A N/A</v>
      </c>
      <c r="CH5" t="str">
        <f>_xll.BDS("3029830Q US Equity","SUPPLY_CHAIN_CUSTOMERS","RELATIONSHIP_AS_OF_DATE","19990119")</f>
        <v>#N/A N/A</v>
      </c>
      <c r="CM5" t="str">
        <f>_xll.BDS("696119Q US Equity","SUPPLY_CHAIN_SUPPLIERS","RELATIONSHIP_AS_OF_DATE","20000131")</f>
        <v>#N/A N/A</v>
      </c>
      <c r="CR5" t="str">
        <f>_xll.BDS("696119Q US Equity","SUPPLY_CHAIN_CUSTOMERS","RELATIONSHIP_AS_OF_DATE","20000131")</f>
        <v>#N/A N/A</v>
      </c>
      <c r="CW5" t="str">
        <f>_xll.BDS("TIBX US Equity","SUPPLY_CHAIN_SUPPLIERS","RELATIONSHIP_AS_OF_DATE","20020107","cols=1;rows=5")</f>
        <v>ARE US Equity</v>
      </c>
      <c r="DB5" t="str">
        <f>_xll.BDS("TIBX US Equity","SUPPLY_CHAIN_CUSTOMERS","RELATIONSHIP_AS_OF_DATE","20020107","cols=1;rows=5")</f>
        <v>3565 JP Equity</v>
      </c>
      <c r="DG5" t="str">
        <f>_xll.BDS("SWK US Equity","SUPPLY_CHAIN_SUPPLIERS","RELATIONSHIP_AS_OF_DATE","20101215","cols=1;rows=5")</f>
        <v>HCLT IN Equity</v>
      </c>
      <c r="DL5" t="str">
        <f>_xll.BDS("SWK US Equity","SUPPLY_CHAIN_CUSTOMERS","RELATIONSHIP_AS_OF_DATE","20101215","cols=1;rows=5")</f>
        <v>HD US Equity</v>
      </c>
      <c r="DQ5" t="str">
        <f>_xll.BDS("55148Q US Equity","SUPPLY_CHAIN_SUPPLIERS","RELATIONSHIP_AS_OF_DATE","20010731")</f>
        <v>#N/A N/A</v>
      </c>
      <c r="DV5" t="str">
        <f>_xll.BDS("55148Q US Equity","SUPPLY_CHAIN_CUSTOMERS","RELATIONSHIP_AS_OF_DATE","20010731")</f>
        <v>#N/A N/A</v>
      </c>
      <c r="EA5" t="str">
        <f>_xll.BDS("TEG US Equity","SUPPLY_CHAIN_SUPPLIERS","RELATIONSHIP_AS_OF_DATE","20000530")</f>
        <v>#N/A N/A</v>
      </c>
      <c r="EF5" t="str">
        <f>_xll.BDS("TEG US Equity","SUPPLY_CHAIN_CUSTOMERS","RELATIONSHIP_AS_OF_DATE","20000530")</f>
        <v>#N/A N/A</v>
      </c>
      <c r="EK5" t="str">
        <f>_xll.BDS("ALOY US Equity","SUPPLY_CHAIN_SUPPLIERS","RELATIONSHIP_AS_OF_DATE","20030731")</f>
        <v>WHR LN Equity</v>
      </c>
      <c r="EP5" t="str">
        <f>_xll.BDS("ALOY US Equity","SUPPLY_CHAIN_CUSTOMERS","RELATIONSHIP_AS_OF_DATE","20030731")</f>
        <v>#N/A N/A</v>
      </c>
      <c r="EU5" t="str">
        <f>_xll.BDS("CRXA US Equity","SUPPLY_CHAIN_SUPPLIERS","RELATIONSHIP_AS_OF_DATE","19990610")</f>
        <v>#N/A N/A</v>
      </c>
      <c r="EZ5" t="str">
        <f>_xll.BDS("CRXA US Equity","SUPPLY_CHAIN_CUSTOMERS","RELATIONSHIP_AS_OF_DATE","19990610")</f>
        <v>#N/A N/A</v>
      </c>
      <c r="FE5" t="str">
        <f>_xll.BDS("1339658D US Equity","SUPPLY_CHAIN_SUPPLIERS","RELATIONSHIP_AS_OF_DATE","20000203")</f>
        <v>#N/A N/A</v>
      </c>
      <c r="FJ5" t="str">
        <f>_xll.BDS("1339658D US Equity","SUPPLY_CHAIN_CUSTOMERS","RELATIONSHIP_AS_OF_DATE","20000203")</f>
        <v>#N/A N/A</v>
      </c>
      <c r="FO5" t="str">
        <f>_xll.BDS("CBKN US Equity","SUPPLY_CHAIN_SUPPLIERS","RELATIONSHIP_AS_OF_DATE","20011005")</f>
        <v>#N/A N/A</v>
      </c>
      <c r="FT5" t="str">
        <f>_xll.BDS("CBKN US Equity","SUPPLY_CHAIN_CUSTOMERS","RELATIONSHIP_AS_OF_DATE","20011005")</f>
        <v>#N/A N/A</v>
      </c>
      <c r="FY5" t="str">
        <f>_xll.BDS("MORN US Equity","SUPPLY_CHAIN_SUPPLIERS","RELATIONSHIP_AS_OF_DATE","20071217","cols=1;rows=5")</f>
        <v>DLN LN Equity</v>
      </c>
      <c r="GD5" t="str">
        <f>_xll.BDS("MORN US Equity","SUPPLY_CHAIN_CUSTOMERS","RELATIONSHIP_AS_OF_DATE","20071217","cols=1;rows=4")</f>
        <v>0860231D US Equity</v>
      </c>
      <c r="GI5" t="str">
        <f>_xll.BDS("ACAS US Equity","SUPPLY_CHAIN_SUPPLIERS","RELATIONSHIP_AS_OF_DATE","20010312")</f>
        <v>#N/A N/A</v>
      </c>
      <c r="GN5" t="str">
        <f>_xll.BDS("ACAS US Equity","SUPPLY_CHAIN_CUSTOMERS","RELATIONSHIP_AS_OF_DATE","20010312")</f>
        <v>#N/A N/A</v>
      </c>
      <c r="GS5" t="str">
        <f>_xll.BDS("ESCC US Equity","SUPPLY_CHAIN_SUPPLIERS","RELATIONSHIP_AS_OF_DATE","19980422","cols=1;rows=2")</f>
        <v>BRK/A US Equity</v>
      </c>
      <c r="GX5" t="str">
        <f>_xll.BDS("ESCC US Equity","SUPPLY_CHAIN_CUSTOMERS","RELATIONSHIP_AS_OF_DATE","19980422")</f>
        <v>#N/A N/A</v>
      </c>
      <c r="HC5" t="str">
        <f>_xll.BDS("TUPBQ US Equity","SUPPLY_CHAIN_SUPPLIERS","RELATIONSHIP_AS_OF_DATE","20000913","cols=1;rows=5")</f>
        <v>EMN US Equity</v>
      </c>
      <c r="HH5" t="str">
        <f>_xll.BDS("TUPBQ US Equity","SUPPLY_CHAIN_CUSTOMERS","RELATIONSHIP_AS_OF_DATE","20000913","cols=1;rows=4")</f>
        <v>CA FP Equity</v>
      </c>
      <c r="HM5" t="str">
        <f>_xll.BDS("RCAPQ US Equity","SUPPLY_CHAIN_SUPPLIERS","RELATIONSHIP_AS_OF_DATE","20131002")</f>
        <v>#N/A N/A</v>
      </c>
      <c r="HR5" t="str">
        <f>_xll.BDS("RCAPQ US Equity","SUPPLY_CHAIN_CUSTOMERS","RELATIONSHIP_AS_OF_DATE","20131002")</f>
        <v>#N/A N/A</v>
      </c>
      <c r="HW5" t="str">
        <f>_xll.BDS("ESXB US Equity","SUPPLY_CHAIN_SUPPLIERS","RELATIONSHIP_AS_OF_DATE","20071214")</f>
        <v>#N/A N/A</v>
      </c>
      <c r="IB5" t="str">
        <f>_xll.BDS("ESXB US Equity","SUPPLY_CHAIN_CUSTOMERS","RELATIONSHIP_AS_OF_DATE","20071214")</f>
        <v>#N/A N/A</v>
      </c>
      <c r="IG5" t="str">
        <f>_xll.BDS("FBMS US Equity","SUPPLY_CHAIN_SUPPLIERS","RELATIONSHIP_AS_OF_DATE","20181106")</f>
        <v>#N/A N/A</v>
      </c>
      <c r="IL5" t="str">
        <f>_xll.BDS("FBMS US Equity","SUPPLY_CHAIN_CUSTOMERS","RELATIONSHIP_AS_OF_DATE","20181106")</f>
        <v>#N/A N/A</v>
      </c>
      <c r="IQ5" t="str">
        <f>_xll.BDS("DVINQ US Equity","SUPPLY_CHAIN_SUPPLIERS","RELATIONSHIP_AS_OF_DATE","20011102")</f>
        <v>#N/A N/A</v>
      </c>
      <c r="IV5" t="str">
        <f>_xll.BDS("DVINQ US Equity","SUPPLY_CHAIN_CUSTOMERS","RELATIONSHIP_AS_OF_DATE","20011102")</f>
        <v>#N/A N/A</v>
      </c>
      <c r="JA5" t="str">
        <f>_xll.BDS("FNB US Equity","SUPPLY_CHAIN_SUPPLIERS","RELATIONSHIP_AS_OF_DATE","20121022")</f>
        <v>HY US Equity</v>
      </c>
      <c r="JF5" t="str">
        <f>_xll.BDS("FNB US Equity","SUPPLY_CHAIN_CUSTOMERS","RELATIONSHIP_AS_OF_DATE","20121022")</f>
        <v>#N/A N/A</v>
      </c>
      <c r="JK5" t="str">
        <f>_xll.BDS("DAVLE US Equity","SUPPLY_CHAIN_SUPPLIERS","RELATIONSHIP_AS_OF_DATE","20010613")</f>
        <v>#N/A N/A</v>
      </c>
      <c r="JP5" t="str">
        <f>_xll.BDS("DAVLE US Equity","SUPPLY_CHAIN_CUSTOMERS","RELATIONSHIP_AS_OF_DATE","20010613")</f>
        <v>#N/A N/A</v>
      </c>
      <c r="JU5" t="str">
        <f>_xll.BDS("987200Q US Equity","SUPPLY_CHAIN_SUPPLIERS","RELATIONSHIP_AS_OF_DATE","19991015")</f>
        <v>#N/A N/A</v>
      </c>
      <c r="JZ5" t="str">
        <f>_xll.BDS("987200Q US Equity","SUPPLY_CHAIN_CUSTOMERS","RELATIONSHIP_AS_OF_DATE","19991015")</f>
        <v>#N/A N/A</v>
      </c>
      <c r="KE5" t="str">
        <f>_xll.BDS("213339Q US Equity","SUPPLY_CHAIN_SUPPLIERS","RELATIONSHIP_AS_OF_DATE","19990426")</f>
        <v>#N/A N/A</v>
      </c>
      <c r="KJ5" t="str">
        <f>_xll.BDS("213339Q US Equity","SUPPLY_CHAIN_CUSTOMERS","RELATIONSHIP_AS_OF_DATE","19990426")</f>
        <v>#N/A N/A</v>
      </c>
      <c r="KO5" t="str">
        <f>_xll.BDS("FNWD US Equity","SUPPLY_CHAIN_SUPPLIERS","RELATIONSHIP_AS_OF_DATE","20210729")</f>
        <v>#N/A N/A</v>
      </c>
      <c r="KT5" t="str">
        <f>_xll.BDS("FNWD US Equity","SUPPLY_CHAIN_CUSTOMERS","RELATIONSHIP_AS_OF_DATE","20210729")</f>
        <v>#N/A N/A</v>
      </c>
      <c r="KY5" t="str">
        <f>_xll.BDS("PICM US Equity","SUPPLY_CHAIN_SUPPLIERS","RELATIONSHIP_AS_OF_DATE","19990701")</f>
        <v>#N/A N/A</v>
      </c>
      <c r="LD5" t="str">
        <f>_xll.BDS("PICM US Equity","SUPPLY_CHAIN_CUSTOMERS","RELATIONSHIP_AS_OF_DATE","19990701")</f>
        <v>#N/A N/A</v>
      </c>
      <c r="LI5" t="str">
        <f>_xll.BDS("GEN US Equity","SUPPLY_CHAIN_SUPPLIERS","RELATIONSHIP_AS_OF_DATE","19981015","cols=1;rows=5")</f>
        <v>354 HK Equity</v>
      </c>
      <c r="LN5" t="str">
        <f>_xll.BDS("GEN US Equity","SUPPLY_CHAIN_CUSTOMERS","RELATIONSHIP_AS_OF_DATE","19981015","cols=1;rows=5")</f>
        <v>BABA US Equity</v>
      </c>
      <c r="LS5" t="str">
        <f>_xll.BDS("RLH US Equity","SUPPLY_CHAIN_SUPPLIERS","RELATIONSHIP_AS_OF_DATE","20011018")</f>
        <v>#N/A N/A</v>
      </c>
      <c r="LX5" t="str">
        <f>_xll.BDS("RLH US Equity","SUPPLY_CHAIN_CUSTOMERS","RELATIONSHIP_AS_OF_DATE","20011018")</f>
        <v>#N/A N/A</v>
      </c>
      <c r="MC5" t="str">
        <f>_xll.BDS("IBKC US Equity","SUPPLY_CHAIN_SUPPLIERS","RELATIONSHIP_AS_OF_DATE","20020923")</f>
        <v>#N/A N/A</v>
      </c>
      <c r="MH5" t="str">
        <f>_xll.BDS("IBKC US Equity","SUPPLY_CHAIN_CUSTOMERS","RELATIONSHIP_AS_OF_DATE","20020923")</f>
        <v>#N/A N/A</v>
      </c>
      <c r="MM5" t="str">
        <f>_xll.BDS("CKR US Equity","SUPPLY_CHAIN_SUPPLIERS","RELATIONSHIP_AS_OF_DATE","20011119")</f>
        <v>PAR US Equity</v>
      </c>
      <c r="MR5" t="str">
        <f>_xll.BDS("CKR US Equity","SUPPLY_CHAIN_CUSTOMERS","RELATIONSHIP_AS_OF_DATE","20011119")</f>
        <v>#N/A N/A</v>
      </c>
      <c r="MW5" t="str">
        <f>_xll.BDS("DVINQ US Equity","SUPPLY_CHAIN_SUPPLIERS","RELATIONSHIP_AS_OF_DATE","20010816")</f>
        <v>#N/A N/A</v>
      </c>
      <c r="NB5" t="str">
        <f>_xll.BDS("DVINQ US Equity","SUPPLY_CHAIN_CUSTOMERS","RELATIONSHIP_AS_OF_DATE","20010816")</f>
        <v>#N/A N/A</v>
      </c>
      <c r="NG5" t="str">
        <f>_xll.BDS("STND US Equity","SUPPLY_CHAIN_SUPPLIERS","RELATIONSHIP_AS_OF_DATE","20160829")</f>
        <v>#N/A N/A</v>
      </c>
      <c r="NL5" t="str">
        <f>_xll.BDS("STND US Equity","SUPPLY_CHAIN_CUSTOMERS","RELATIONSHIP_AS_OF_DATE","20160829")</f>
        <v>#N/A N/A</v>
      </c>
      <c r="NQ5" t="str">
        <f>_xll.BDS("SBKCQ US Equity","SUPPLY_CHAIN_SUPPLIERS","RELATIONSHIP_AS_OF_DATE","20060419")</f>
        <v>#N/A N/A</v>
      </c>
      <c r="NV5" t="str">
        <f>_xll.BDS("SBKCQ US Equity","SUPPLY_CHAIN_CUSTOMERS","RELATIONSHIP_AS_OF_DATE","20060419")</f>
        <v>#N/A N/A</v>
      </c>
      <c r="OA5" t="str">
        <f>_xll.BDS("MTCH US Equity","SUPPLY_CHAIN_SUPPLIERS","RELATIONSHIP_AS_OF_DATE","20000125","cols=1;rows=5")</f>
        <v>053300 KS Equity</v>
      </c>
      <c r="OF5" t="str">
        <f>_xll.BDS("MTCH US Equity","SUPPLY_CHAIN_CUSTOMERS","RELATIONSHIP_AS_OF_DATE","20000125","cols=1;rows=3")</f>
        <v>AAPL US Equity</v>
      </c>
    </row>
    <row r="6" spans="1:396" x14ac:dyDescent="0.25">
      <c r="AO6" t="s">
        <v>11478</v>
      </c>
      <c r="CW6" t="s">
        <v>6473</v>
      </c>
      <c r="DB6" t="s">
        <v>6473</v>
      </c>
      <c r="DG6" t="s">
        <v>11160</v>
      </c>
      <c r="DL6" t="s">
        <v>3239</v>
      </c>
      <c r="FY6" t="s">
        <v>10706</v>
      </c>
      <c r="GD6" t="s">
        <v>11391</v>
      </c>
      <c r="GS6" t="s">
        <v>480</v>
      </c>
      <c r="HC6" t="s">
        <v>11326</v>
      </c>
      <c r="HH6" t="s">
        <v>469</v>
      </c>
      <c r="LI6" t="s">
        <v>5409</v>
      </c>
      <c r="LN6" t="s">
        <v>2881</v>
      </c>
      <c r="OA6" t="s">
        <v>11503</v>
      </c>
      <c r="OF6" t="s">
        <v>2705</v>
      </c>
    </row>
    <row r="7" spans="1:396" x14ac:dyDescent="0.25">
      <c r="AO7" t="s">
        <v>11479</v>
      </c>
      <c r="CW7" t="s">
        <v>10822</v>
      </c>
      <c r="DB7" t="s">
        <v>10771</v>
      </c>
      <c r="DG7" t="s">
        <v>1270</v>
      </c>
      <c r="DL7" t="s">
        <v>10676</v>
      </c>
      <c r="FY7" t="s">
        <v>11392</v>
      </c>
      <c r="GD7" t="s">
        <v>11392</v>
      </c>
      <c r="HC7" t="s">
        <v>11327</v>
      </c>
      <c r="HH7" t="s">
        <v>364</v>
      </c>
      <c r="LI7" t="s">
        <v>10981</v>
      </c>
      <c r="LN7" t="s">
        <v>4139</v>
      </c>
      <c r="OA7" t="s">
        <v>11504</v>
      </c>
      <c r="OF7" t="s">
        <v>11037</v>
      </c>
    </row>
    <row r="8" spans="1:396" x14ac:dyDescent="0.25">
      <c r="AO8" t="s">
        <v>11480</v>
      </c>
      <c r="CW8" t="s">
        <v>10823</v>
      </c>
      <c r="DB8" t="s">
        <v>10660</v>
      </c>
      <c r="DG8" t="s">
        <v>11161</v>
      </c>
      <c r="DL8" t="s">
        <v>469</v>
      </c>
      <c r="FY8" t="s">
        <v>11391</v>
      </c>
      <c r="GD8" t="s">
        <v>11393</v>
      </c>
      <c r="HC8" t="s">
        <v>11328</v>
      </c>
      <c r="HH8" t="s">
        <v>10775</v>
      </c>
      <c r="LI8" t="s">
        <v>10982</v>
      </c>
      <c r="LN8" t="s">
        <v>10954</v>
      </c>
      <c r="OA8" t="s">
        <v>5236</v>
      </c>
    </row>
    <row r="9" spans="1:396" x14ac:dyDescent="0.25">
      <c r="AO9" t="s">
        <v>11481</v>
      </c>
      <c r="CW9" t="s">
        <v>10824</v>
      </c>
      <c r="DB9" t="s">
        <v>10772</v>
      </c>
      <c r="DG9" t="s">
        <v>11162</v>
      </c>
      <c r="DL9" t="s">
        <v>10948</v>
      </c>
      <c r="FY9" t="s">
        <v>11435</v>
      </c>
      <c r="HC9" t="s">
        <v>11329</v>
      </c>
      <c r="LI9" t="s">
        <v>279</v>
      </c>
      <c r="LN9" t="s">
        <v>10948</v>
      </c>
      <c r="OA9" t="s">
        <v>11505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8717</v>
      </c>
      <c r="K1" s="1" t="s">
        <v>8718</v>
      </c>
      <c r="U1" s="1" t="s">
        <v>8719</v>
      </c>
      <c r="AE1" s="1" t="s">
        <v>8720</v>
      </c>
      <c r="AO1" s="1" t="s">
        <v>8721</v>
      </c>
      <c r="AY1" s="1" t="s">
        <v>8722</v>
      </c>
      <c r="BI1" s="1" t="s">
        <v>8723</v>
      </c>
      <c r="BS1" s="1" t="s">
        <v>8724</v>
      </c>
      <c r="CC1" s="1" t="s">
        <v>8725</v>
      </c>
      <c r="CM1" s="1" t="s">
        <v>8726</v>
      </c>
      <c r="CW1" s="1" t="s">
        <v>8727</v>
      </c>
      <c r="DG1" s="1" t="s">
        <v>8728</v>
      </c>
      <c r="DQ1" s="1" t="s">
        <v>8729</v>
      </c>
      <c r="EA1" s="1" t="s">
        <v>8730</v>
      </c>
      <c r="EK1" s="1" t="s">
        <v>8731</v>
      </c>
      <c r="EU1" s="1" t="s">
        <v>8732</v>
      </c>
      <c r="FE1" s="1" t="s">
        <v>8733</v>
      </c>
      <c r="FO1" s="1" t="s">
        <v>8734</v>
      </c>
      <c r="FY1" s="1" t="s">
        <v>8735</v>
      </c>
      <c r="GI1" s="1" t="s">
        <v>8736</v>
      </c>
      <c r="GS1" s="1" t="s">
        <v>8737</v>
      </c>
      <c r="HC1" s="1" t="s">
        <v>8738</v>
      </c>
      <c r="HM1" s="1" t="s">
        <v>8739</v>
      </c>
      <c r="HW1" s="1" t="s">
        <v>8740</v>
      </c>
      <c r="IG1" s="1" t="s">
        <v>8741</v>
      </c>
      <c r="IQ1" s="1" t="s">
        <v>8742</v>
      </c>
      <c r="JA1" s="1" t="s">
        <v>8743</v>
      </c>
      <c r="JK1" s="1" t="s">
        <v>8744</v>
      </c>
      <c r="JU1" s="1" t="s">
        <v>8745</v>
      </c>
      <c r="KE1" s="1" t="s">
        <v>8746</v>
      </c>
      <c r="KO1" s="1" t="s">
        <v>8747</v>
      </c>
      <c r="KY1" s="1" t="s">
        <v>8748</v>
      </c>
      <c r="LI1" s="1" t="s">
        <v>8749</v>
      </c>
      <c r="LS1" s="1" t="s">
        <v>8750</v>
      </c>
      <c r="MC1" s="1" t="s">
        <v>8751</v>
      </c>
      <c r="MM1" s="1" t="s">
        <v>8752</v>
      </c>
      <c r="MW1" s="1" t="s">
        <v>8753</v>
      </c>
      <c r="NG1" s="1" t="s">
        <v>8754</v>
      </c>
      <c r="NQ1" s="1" t="s">
        <v>8755</v>
      </c>
      <c r="OA1" s="1" t="s">
        <v>8756</v>
      </c>
    </row>
    <row r="2" spans="1:396" x14ac:dyDescent="0.25">
      <c r="A2" s="2" t="s">
        <v>161</v>
      </c>
      <c r="K2" s="2" t="s">
        <v>8077</v>
      </c>
      <c r="U2" s="2" t="s">
        <v>8757</v>
      </c>
      <c r="AE2" s="2" t="s">
        <v>3058</v>
      </c>
      <c r="AO2" s="2" t="s">
        <v>8758</v>
      </c>
      <c r="AY2" s="2" t="s">
        <v>577</v>
      </c>
      <c r="BI2" s="2" t="s">
        <v>8759</v>
      </c>
      <c r="BS2" s="2" t="s">
        <v>6548</v>
      </c>
      <c r="CC2" s="2" t="s">
        <v>4898</v>
      </c>
      <c r="CM2" s="2" t="s">
        <v>8760</v>
      </c>
      <c r="CW2" s="2" t="s">
        <v>8761</v>
      </c>
      <c r="DG2" s="2" t="s">
        <v>4213</v>
      </c>
      <c r="DQ2" s="2" t="s">
        <v>5844</v>
      </c>
      <c r="EA2" s="2" t="s">
        <v>7378</v>
      </c>
      <c r="EK2" s="2" t="s">
        <v>8605</v>
      </c>
      <c r="EU2" s="2" t="s">
        <v>6798</v>
      </c>
      <c r="FE2" s="2" t="s">
        <v>8692</v>
      </c>
      <c r="FO2" s="2" t="s">
        <v>7065</v>
      </c>
      <c r="FY2" s="2" t="s">
        <v>8762</v>
      </c>
      <c r="GI2" s="2" t="s">
        <v>6322</v>
      </c>
      <c r="GS2" s="2" t="s">
        <v>8763</v>
      </c>
      <c r="HC2" s="2" t="s">
        <v>7209</v>
      </c>
      <c r="HM2" s="2" t="s">
        <v>3617</v>
      </c>
      <c r="HW2" s="2" t="s">
        <v>8693</v>
      </c>
      <c r="IG2" s="2" t="s">
        <v>8764</v>
      </c>
      <c r="IQ2" s="2" t="s">
        <v>8765</v>
      </c>
      <c r="JA2" s="2" t="s">
        <v>6142</v>
      </c>
      <c r="JK2" s="2" t="s">
        <v>669</v>
      </c>
      <c r="JU2" s="2" t="s">
        <v>8766</v>
      </c>
      <c r="KE2" s="2" t="s">
        <v>7844</v>
      </c>
      <c r="KO2" s="2" t="s">
        <v>175</v>
      </c>
      <c r="KY2" s="2" t="s">
        <v>8394</v>
      </c>
      <c r="LI2" s="2" t="s">
        <v>6978</v>
      </c>
      <c r="LS2" s="2" t="s">
        <v>3709</v>
      </c>
      <c r="MC2" s="2" t="s">
        <v>8767</v>
      </c>
      <c r="MM2" s="2" t="s">
        <v>671</v>
      </c>
      <c r="MW2" s="2" t="s">
        <v>7927</v>
      </c>
      <c r="NG2" s="2" t="s">
        <v>8768</v>
      </c>
      <c r="NQ2" s="2" t="s">
        <v>8237</v>
      </c>
      <c r="OA2" s="2" t="s">
        <v>4730</v>
      </c>
    </row>
    <row r="3" spans="1:396" x14ac:dyDescent="0.25">
      <c r="A3" t="s">
        <v>5941</v>
      </c>
      <c r="K3" t="s">
        <v>8769</v>
      </c>
      <c r="U3" t="s">
        <v>720</v>
      </c>
      <c r="AE3" t="s">
        <v>8409</v>
      </c>
      <c r="AO3" t="s">
        <v>8770</v>
      </c>
      <c r="AY3" t="s">
        <v>7237</v>
      </c>
      <c r="BI3" t="s">
        <v>8771</v>
      </c>
      <c r="BS3" t="s">
        <v>8772</v>
      </c>
      <c r="CC3" t="s">
        <v>2431</v>
      </c>
      <c r="CM3" t="s">
        <v>8773</v>
      </c>
      <c r="CW3" t="s">
        <v>8259</v>
      </c>
      <c r="DG3" t="s">
        <v>8774</v>
      </c>
      <c r="DQ3" t="s">
        <v>1301</v>
      </c>
      <c r="EA3" t="s">
        <v>7235</v>
      </c>
      <c r="EK3" t="s">
        <v>3364</v>
      </c>
      <c r="EU3" t="s">
        <v>5269</v>
      </c>
      <c r="FE3" t="s">
        <v>8775</v>
      </c>
      <c r="FO3" t="s">
        <v>8776</v>
      </c>
      <c r="FY3" t="s">
        <v>6493</v>
      </c>
      <c r="GI3" t="s">
        <v>1875</v>
      </c>
      <c r="GS3" t="s">
        <v>8636</v>
      </c>
      <c r="HC3" t="s">
        <v>8777</v>
      </c>
      <c r="HM3" t="s">
        <v>8778</v>
      </c>
      <c r="HW3" t="s">
        <v>3085</v>
      </c>
      <c r="IG3" t="s">
        <v>8779</v>
      </c>
      <c r="IQ3" t="s">
        <v>8780</v>
      </c>
      <c r="JA3" t="s">
        <v>8781</v>
      </c>
      <c r="JK3" t="s">
        <v>4841</v>
      </c>
      <c r="JU3" t="s">
        <v>8782</v>
      </c>
      <c r="KE3" t="s">
        <v>8783</v>
      </c>
      <c r="KO3" t="s">
        <v>8784</v>
      </c>
      <c r="KY3" t="s">
        <v>408</v>
      </c>
      <c r="LI3" t="s">
        <v>5700</v>
      </c>
      <c r="LS3" t="s">
        <v>8785</v>
      </c>
      <c r="MC3" t="s">
        <v>3972</v>
      </c>
      <c r="MM3" t="s">
        <v>8786</v>
      </c>
      <c r="MW3" t="s">
        <v>299</v>
      </c>
      <c r="NG3" t="s">
        <v>5268</v>
      </c>
      <c r="NQ3" t="s">
        <v>1477</v>
      </c>
      <c r="OA3" t="s">
        <v>8787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_xll.BDS("BX US Equity","SUPPLY_CHAIN_SUPPLIERS","RELATIONSHIP_AS_OF_DATE","20091105","cols=1;rows=5")</f>
        <v>ORCL US Equity</v>
      </c>
      <c r="F5" t="str">
        <f>_xll.BDS("BX US Equity","SUPPLY_CHAIN_CUSTOMERS","RELATIONSHIP_AS_OF_DATE","20091105","cols=1;rows=5")</f>
        <v>002284 CH Equity</v>
      </c>
      <c r="K5" t="str">
        <f>_xll.BDS("FBMS US Equity","SUPPLY_CHAIN_SUPPLIERS","RELATIONSHIP_AS_OF_DATE","20171206")</f>
        <v>#N/A N/A</v>
      </c>
      <c r="P5" t="str">
        <f>_xll.BDS("FBMS US Equity","SUPPLY_CHAIN_CUSTOMERS","RELATIONSHIP_AS_OF_DATE","20171206")</f>
        <v>#N/A N/A</v>
      </c>
      <c r="U5" t="str">
        <f>_xll.BDS("SEAP US Equity","SUPPLY_CHAIN_SUPPLIERS","RELATIONSHIP_AS_OF_DATE","19990222")</f>
        <v>#N/A N/A</v>
      </c>
      <c r="Z5" t="str">
        <f>_xll.BDS("SEAP US Equity","SUPPLY_CHAIN_CUSTOMERS","RELATIONSHIP_AS_OF_DATE","19990222")</f>
        <v>#N/A N/A</v>
      </c>
      <c r="AE5" t="str">
        <f>_xll.BDS("605018Q US Equity","SUPPLY_CHAIN_SUPPLIERS","RELATIONSHIP_AS_OF_DATE","19980424")</f>
        <v>#N/A N/A</v>
      </c>
      <c r="AJ5" t="str">
        <f>_xll.BDS("605018Q US Equity","SUPPLY_CHAIN_CUSTOMERS","RELATIONSHIP_AS_OF_DATE","19980424")</f>
        <v>#N/A N/A</v>
      </c>
      <c r="AO5" t="str">
        <f>_xll.BDS("HPOL US Equity","SUPPLY_CHAIN_SUPPLIERS","RELATIONSHIP_AS_OF_DATE","20010806")</f>
        <v>#N/A N/A</v>
      </c>
      <c r="AT5" t="str">
        <f>_xll.BDS("HPOL US Equity","SUPPLY_CHAIN_CUSTOMERS","RELATIONSHIP_AS_OF_DATE","20010806")</f>
        <v>#N/A N/A</v>
      </c>
      <c r="AY5" t="str">
        <f>_xll.BDS("355488Q US Equity","SUPPLY_CHAIN_SUPPLIERS","RELATIONSHIP_AS_OF_DATE","20010627")</f>
        <v>#N/A N/A</v>
      </c>
      <c r="BD5" t="str">
        <f>_xll.BDS("355488Q US Equity","SUPPLY_CHAIN_CUSTOMERS","RELATIONSHIP_AS_OF_DATE","20010627")</f>
        <v>#N/A N/A</v>
      </c>
      <c r="BI5" t="str">
        <f>_xll.BDS("CKEC US Equity","SUPPLY_CHAIN_SUPPLIERS","RELATIONSHIP_AS_OF_DATE","20140515")</f>
        <v>#N/A N/A</v>
      </c>
      <c r="BN5" t="str">
        <f>_xll.BDS("CKEC US Equity","SUPPLY_CHAIN_CUSTOMERS","RELATIONSHIP_AS_OF_DATE","20140515")</f>
        <v>#N/A N/A</v>
      </c>
      <c r="BS5" t="str">
        <f>_xll.BDS("8184843Q US Equity","SUPPLY_CHAIN_SUPPLIERS","RELATIONSHIP_AS_OF_DATE","20040908")</f>
        <v>#N/A N/A</v>
      </c>
      <c r="BX5" t="str">
        <f>_xll.BDS("8184843Q US Equity","SUPPLY_CHAIN_CUSTOMERS","RELATIONSHIP_AS_OF_DATE","20040908")</f>
        <v>#N/A N/A</v>
      </c>
      <c r="CC5" t="str">
        <f>_xll.BDS("KLAC US Equity","SUPPLY_CHAIN_SUPPLIERS","RELATIONSHIP_AS_OF_DATE","20070108","cols=1;rows=5")</f>
        <v>COHR US Equity</v>
      </c>
      <c r="CH5" t="str">
        <f>_xll.BDS("KLAC US Equity","SUPPLY_CHAIN_CUSTOMERS","RELATIONSHIP_AS_OF_DATE","20070108","cols=1;rows=5")</f>
        <v>2330 TT Equity</v>
      </c>
      <c r="CM5" t="str">
        <f>_xll.BDS("BKU US Equity","SUPPLY_CHAIN_SUPPLIERS","RELATIONSHIP_AS_OF_DATE","20110602")</f>
        <v>NEWT US Equity</v>
      </c>
      <c r="CR5" t="str">
        <f>_xll.BDS("BKU US Equity","SUPPLY_CHAIN_CUSTOMERS","RELATIONSHIP_AS_OF_DATE","20110602")</f>
        <v>#N/A N/A</v>
      </c>
      <c r="CW5" t="str">
        <f>_xll.BDS("PSD US Equity","SUPPLY_CHAIN_SUPPLIERS","RELATIONSHIP_AS_OF_DATE","20000629")</f>
        <v>#N/A N/A</v>
      </c>
      <c r="DB5" t="str">
        <f>_xll.BDS("PSD US Equity","SUPPLY_CHAIN_CUSTOMERS","RELATIONSHIP_AS_OF_DATE","20000629")</f>
        <v>#N/A N/A</v>
      </c>
      <c r="DG5" t="str">
        <f>_xll.BDS("NAL US Equity","SUPPLY_CHAIN_SUPPLIERS","RELATIONSHIP_AS_OF_DATE","20050413")</f>
        <v>#N/A N/A</v>
      </c>
      <c r="DL5" t="str">
        <f>_xll.BDS("NAL US Equity","SUPPLY_CHAIN_CUSTOMERS","RELATIONSHIP_AS_OF_DATE","20050413")</f>
        <v>#N/A N/A</v>
      </c>
      <c r="DQ5" t="str">
        <f>_xll.BDS("RLR US Equity","SUPPLY_CHAIN_SUPPLIERS","RELATIONSHIP_AS_OF_DATE","20000229")</f>
        <v>#N/A N/A</v>
      </c>
      <c r="DV5" t="str">
        <f>_xll.BDS("RLR US Equity","SUPPLY_CHAIN_CUSTOMERS","RELATIONSHIP_AS_OF_DATE","20000229")</f>
        <v>#N/A N/A</v>
      </c>
      <c r="EA5" t="str">
        <f>_xll.BDS("AXP US Equity","SUPPLY_CHAIN_SUPPLIERS","RELATIONSHIP_AS_OF_DATE","19981110","cols=1;rows=5")</f>
        <v>ADBE US Equity</v>
      </c>
      <c r="EF5" t="str">
        <f>_xll.BDS("AXP US Equity","SUPPLY_CHAIN_CUSTOMERS","RELATIONSHIP_AS_OF_DATE","19981110","cols=1;rows=5")</f>
        <v>8206440Z LN Equity</v>
      </c>
      <c r="EK5" t="str">
        <f>_xll.BDS("CBFV US Equity","SUPPLY_CHAIN_SUPPLIERS","RELATIONSHIP_AS_OF_DATE","20171116")</f>
        <v>MLNK US Equity</v>
      </c>
      <c r="EP5" t="str">
        <f>_xll.BDS("CBFV US Equity","SUPPLY_CHAIN_CUSTOMERS","RELATIONSHIP_AS_OF_DATE","20171116")</f>
        <v>#N/A N/A</v>
      </c>
      <c r="EU5" t="str">
        <f>_xll.BDS("2676187Q US Equity","SUPPLY_CHAIN_SUPPLIERS","RELATIONSHIP_AS_OF_DATE","20001211")</f>
        <v>#N/A N/A</v>
      </c>
      <c r="EZ5" t="str">
        <f>_xll.BDS("2676187Q US Equity","SUPPLY_CHAIN_CUSTOMERS","RELATIONSHIP_AS_OF_DATE","20001211")</f>
        <v>#N/A N/A</v>
      </c>
      <c r="FE5" t="str">
        <f>_xll.BDS("RCAPQ US Equity","SUPPLY_CHAIN_SUPPLIERS","RELATIONSHIP_AS_OF_DATE","20131118")</f>
        <v>#N/A N/A</v>
      </c>
      <c r="FJ5" t="str">
        <f>_xll.BDS("RCAPQ US Equity","SUPPLY_CHAIN_CUSTOMERS","RELATIONSHIP_AS_OF_DATE","20131118")</f>
        <v>#N/A N/A</v>
      </c>
      <c r="FO5" t="str">
        <f>_xll.BDS("9990253D US Equity","SUPPLY_CHAIN_SUPPLIERS","RELATIONSHIP_AS_OF_DATE","20091223")</f>
        <v>FE US Equity</v>
      </c>
      <c r="FT5" t="str">
        <f>_xll.BDS("9990253D US Equity","SUPPLY_CHAIN_CUSTOMERS","RELATIONSHIP_AS_OF_DATE","20091223","cols=1;rows=5")</f>
        <v>0065069D US Equity</v>
      </c>
      <c r="FY5" t="str">
        <f>_xll.BDS("DGII US Equity","SUPPLY_CHAIN_SUPPLIERS","RELATIONSHIP_AS_OF_DATE","20011030")</f>
        <v>#N/A N/A</v>
      </c>
      <c r="GD5" t="str">
        <f>_xll.BDS("DGII US Equity","SUPPLY_CHAIN_CUSTOMERS","RELATIONSHIP_AS_OF_DATE","20011030","cols=1;rows=5")</f>
        <v>SNX US Equity</v>
      </c>
      <c r="GI5" t="str">
        <f>_xll.BDS("CNVR US Equity","SUPPLY_CHAIN_SUPPLIERS","RELATIONSHIP_AS_OF_DATE","20010702")</f>
        <v>#N/A N/A</v>
      </c>
      <c r="GN5" t="str">
        <f>_xll.BDS("CNVR US Equity","SUPPLY_CHAIN_CUSTOMERS","RELATIONSHIP_AS_OF_DATE","20010702")</f>
        <v>#N/A N/A</v>
      </c>
      <c r="GS5" t="str">
        <f>_xll.BDS("FBA US Equity","SUPPLY_CHAIN_SUPPLIERS","RELATIONSHIP_AS_OF_DATE","20010622")</f>
        <v>#N/A N/A</v>
      </c>
      <c r="GX5" t="str">
        <f>_xll.BDS("FBA US Equity","SUPPLY_CHAIN_CUSTOMERS","RELATIONSHIP_AS_OF_DATE","20010622")</f>
        <v>#N/A N/A</v>
      </c>
      <c r="HC5" t="str">
        <f>_xll.BDS("OLBK US Equity","SUPPLY_CHAIN_SUPPLIERS","RELATIONSHIP_AS_OF_DATE","20120910")</f>
        <v>#N/A N/A</v>
      </c>
      <c r="HH5" t="str">
        <f>_xll.BDS("OLBK US Equity","SUPPLY_CHAIN_CUSTOMERS","RELATIONSHIP_AS_OF_DATE","20120910")</f>
        <v>#N/A N/A</v>
      </c>
      <c r="HM5" t="str">
        <f>_xll.BDS("540513Q US Equity","SUPPLY_CHAIN_SUPPLIERS","RELATIONSHIP_AS_OF_DATE","20030903")</f>
        <v>#N/A N/A</v>
      </c>
      <c r="HR5" t="str">
        <f>_xll.BDS("540513Q US Equity","SUPPLY_CHAIN_CUSTOMERS","RELATIONSHIP_AS_OF_DATE","20030903")</f>
        <v>#N/A N/A</v>
      </c>
      <c r="HW5" t="str">
        <f>_xll.BDS("ESXB US Equity","SUPPLY_CHAIN_SUPPLIERS","RELATIONSHIP_AS_OF_DATE","20070906")</f>
        <v>#N/A N/A</v>
      </c>
      <c r="IB5" t="str">
        <f>_xll.BDS("ESXB US Equity","SUPPLY_CHAIN_CUSTOMERS","RELATIONSHIP_AS_OF_DATE","20070906")</f>
        <v>#N/A N/A</v>
      </c>
      <c r="IG5" t="str">
        <f>_xll.BDS("KBAL US Equity","SUPPLY_CHAIN_SUPPLIERS","RELATIONSHIP_AS_OF_DATE","20061219","cols=1;rows=5")</f>
        <v>CNP US Equity</v>
      </c>
      <c r="IL5" t="str">
        <f>_xll.BDS("KBAL US Equity","SUPPLY_CHAIN_CUSTOMERS","RELATIONSHIP_AS_OF_DATE","20061219","cols=1;rows=2")</f>
        <v>3352Z US Equity</v>
      </c>
      <c r="IQ5" t="str">
        <f>_xll.BDS("TOBC US Equity","SUPPLY_CHAIN_SUPPLIERS","RELATIONSHIP_AS_OF_DATE","20091228")</f>
        <v>#N/A N/A</v>
      </c>
      <c r="IV5" t="str">
        <f>_xll.BDS("TOBC US Equity","SUPPLY_CHAIN_CUSTOMERS","RELATIONSHIP_AS_OF_DATE","20091228")</f>
        <v>#N/A N/A</v>
      </c>
      <c r="JA5" t="str">
        <f>_xll.BDS("GFR US Equity","SUPPLY_CHAIN_SUPPLIERS","RELATIONSHIP_AS_OF_DATE","20020628","cols=1;rows=3")</f>
        <v>1817971D CN Equity</v>
      </c>
      <c r="JF5" t="str">
        <f>_xll.BDS("GFR US Equity","SUPPLY_CHAIN_CUSTOMERS","RELATIONSHIP_AS_OF_DATE","20020628","cols=1;rows=2")</f>
        <v>1188058D SP Equity</v>
      </c>
      <c r="JK5" t="str">
        <f>_xll.BDS("MSI US Equity","SUPPLY_CHAIN_SUPPLIERS","RELATIONSHIP_AS_OF_DATE","20061221","cols=1;rows=5")</f>
        <v>SANM US Equity</v>
      </c>
      <c r="JP5" t="str">
        <f>_xll.BDS("MSI US Equity","SUPPLY_CHAIN_CUSTOMERS","RELATIONSHIP_AS_OF_DATE","20061221","cols=1;rows=5")</f>
        <v>3352Z US Equity</v>
      </c>
      <c r="JU5" t="str">
        <f>_xll.BDS("NTUS US Equity","SUPPLY_CHAIN_SUPPLIERS","RELATIONSHIP_AS_OF_DATE","20051017","cols=1;rows=5")</f>
        <v>DCO US Equity</v>
      </c>
      <c r="JZ5" t="str">
        <f>_xll.BDS("NTUS US Equity","SUPPLY_CHAIN_CUSTOMERS","RELATIONSHIP_AS_OF_DATE","20051017")</f>
        <v>#N/A N/A</v>
      </c>
      <c r="KE5" t="str">
        <f>_xll.BDS("GABC US Equity","SUPPLY_CHAIN_SUPPLIERS","RELATIONSHIP_AS_OF_DATE","19980625")</f>
        <v>#N/A N/A</v>
      </c>
      <c r="KJ5" t="str">
        <f>_xll.BDS("GABC US Equity","SUPPLY_CHAIN_CUSTOMERS","RELATIONSHIP_AS_OF_DATE","19980625")</f>
        <v>#N/A N/A</v>
      </c>
      <c r="KO5" t="str">
        <f>_xll.BDS("TFC US Equity","SUPPLY_CHAIN_SUPPLIERS","RELATIONSHIP_AS_OF_DATE","20020927","cols=1;rows=5")</f>
        <v>ADBE US Equity</v>
      </c>
      <c r="KT5" t="str">
        <f>_xll.BDS("TFC US Equity","SUPPLY_CHAIN_CUSTOMERS","RELATIONSHIP_AS_OF_DATE","20020927")</f>
        <v>RENG IN Equity</v>
      </c>
      <c r="KY5" t="str">
        <f>_xll.BDS("NFBK US Equity","SUPPLY_CHAIN_SUPPLIERS","RELATIONSHIP_AS_OF_DATE","20150826")</f>
        <v>#N/A N/A</v>
      </c>
      <c r="LD5" t="str">
        <f>_xll.BDS("NFBK US Equity","SUPPLY_CHAIN_CUSTOMERS","RELATIONSHIP_AS_OF_DATE","20150826")</f>
        <v>#N/A N/A</v>
      </c>
      <c r="LI5" t="str">
        <f>_xll.BDS("BVH US Equity","SUPPLY_CHAIN_SUPPLIERS","RELATIONSHIP_AS_OF_DATE","20210405")</f>
        <v>ECL US Equity</v>
      </c>
      <c r="LN5" t="str">
        <f>_xll.BDS("BVH US Equity","SUPPLY_CHAIN_CUSTOMERS","RELATIONSHIP_AS_OF_DATE","20210405")</f>
        <v>#N/A N/A</v>
      </c>
      <c r="LS5" t="str">
        <f>_xll.BDS("LKQ US Equity","SUPPLY_CHAIN_SUPPLIERS","RELATIONSHIP_AS_OF_DATE","20150709","cols=1;rows=5")</f>
        <v>INFO IN Equity</v>
      </c>
      <c r="LX5" t="str">
        <f>_xll.BDS("LKQ US Equity","SUPPLY_CHAIN_CUSTOMERS","RELATIONSHIP_AS_OF_DATE","20150709","cols=1;rows=5")</f>
        <v>CEC GR Equity</v>
      </c>
      <c r="MC5" t="str">
        <f>_xll.BDS("FJCC US Equity","SUPPLY_CHAIN_SUPPLIERS","RELATIONSHIP_AS_OF_DATE","19990713")</f>
        <v>038340 KS Equity</v>
      </c>
      <c r="MH5" t="str">
        <f>_xll.BDS("FJCC US Equity","SUPPLY_CHAIN_CUSTOMERS","RELATIONSHIP_AS_OF_DATE","19990713")</f>
        <v>#N/A N/A</v>
      </c>
      <c r="MM5" t="str">
        <f>_xll.BDS("HET US Equity","SUPPLY_CHAIN_SUPPLIERS","RELATIONSHIP_AS_OF_DATE","20020731")</f>
        <v>#N/A N/A</v>
      </c>
      <c r="MR5" t="str">
        <f>_xll.BDS("HET US Equity","SUPPLY_CHAIN_CUSTOMERS","RELATIONSHIP_AS_OF_DATE","20020731")</f>
        <v>#N/A N/A</v>
      </c>
      <c r="MW5" t="str">
        <f>_xll.BDS("LAMR US Equity","SUPPLY_CHAIN_SUPPLIERS","RELATIONSHIP_AS_OF_DATE","20001004","cols=1;rows=2")</f>
        <v>CPTP US Equity</v>
      </c>
      <c r="NB5" t="str">
        <f>_xll.BDS("LAMR US Equity","SUPPLY_CHAIN_CUSTOMERS","RELATIONSHIP_AS_OF_DATE","20001004","cols=1;rows=2")</f>
        <v>1414936D US Equity</v>
      </c>
      <c r="NG5" t="str">
        <f>_xll.BDS("FCCO US Equity","SUPPLY_CHAIN_SUPPLIERS","RELATIONSHIP_AS_OF_DATE","20040413")</f>
        <v>#N/A N/A</v>
      </c>
      <c r="NL5" t="str">
        <f>_xll.BDS("FCCO US Equity","SUPPLY_CHAIN_CUSTOMERS","RELATIONSHIP_AS_OF_DATE","20040413")</f>
        <v>#N/A N/A</v>
      </c>
      <c r="NQ5" t="str">
        <f>_xll.BDS("FTBK US Equity","SUPPLY_CHAIN_SUPPLIERS","RELATIONSHIP_AS_OF_DATE","20050912")</f>
        <v>#N/A N/A</v>
      </c>
      <c r="NV5" t="str">
        <f>_xll.BDS("FTBK US Equity","SUPPLY_CHAIN_CUSTOMERS","RELATIONSHIP_AS_OF_DATE","20050912")</f>
        <v>#N/A N/A</v>
      </c>
      <c r="OA5" t="str">
        <f>_xll.BDS("CVOVQ US Equity","SUPPLY_CHAIN_SUPPLIERS","RELATIONSHIP_AS_OF_DATE","20090507")</f>
        <v>FRSH US Equity</v>
      </c>
      <c r="OF5" t="str">
        <f>_xll.BDS("CVOVQ US Equity","SUPPLY_CHAIN_CUSTOMERS","RELATIONSHIP_AS_OF_DATE","20090507")</f>
        <v>#N/A N/A</v>
      </c>
    </row>
    <row r="6" spans="1:396" x14ac:dyDescent="0.25">
      <c r="A6" t="s">
        <v>7544</v>
      </c>
      <c r="F6" t="s">
        <v>11020</v>
      </c>
      <c r="CC6" t="s">
        <v>11297</v>
      </c>
      <c r="CH6" t="s">
        <v>10892</v>
      </c>
      <c r="EA6" t="s">
        <v>7475</v>
      </c>
      <c r="EF6" t="s">
        <v>11671</v>
      </c>
      <c r="FT6" t="s">
        <v>10945</v>
      </c>
      <c r="GD6" t="s">
        <v>10660</v>
      </c>
      <c r="IG6" t="s">
        <v>260</v>
      </c>
      <c r="IL6" t="s">
        <v>11681</v>
      </c>
      <c r="JA6" t="s">
        <v>11654</v>
      </c>
      <c r="JF6" t="s">
        <v>11600</v>
      </c>
      <c r="JK6" t="s">
        <v>10734</v>
      </c>
      <c r="JP6" t="s">
        <v>2881</v>
      </c>
      <c r="JU6" t="s">
        <v>480</v>
      </c>
      <c r="KO6" t="s">
        <v>11371</v>
      </c>
      <c r="LS6" t="s">
        <v>487</v>
      </c>
      <c r="LX6" t="s">
        <v>10949</v>
      </c>
      <c r="MW6" t="s">
        <v>11158</v>
      </c>
      <c r="NB6" t="s">
        <v>11319</v>
      </c>
    </row>
    <row r="7" spans="1:396" x14ac:dyDescent="0.25">
      <c r="A7" t="s">
        <v>11054</v>
      </c>
      <c r="F7" t="s">
        <v>11021</v>
      </c>
      <c r="CC7" t="s">
        <v>11298</v>
      </c>
      <c r="CH7" t="s">
        <v>3611</v>
      </c>
      <c r="EA7" t="s">
        <v>11662</v>
      </c>
      <c r="EF7" t="s">
        <v>11672</v>
      </c>
      <c r="FT7" t="s">
        <v>10946</v>
      </c>
      <c r="GD7" t="s">
        <v>3519</v>
      </c>
      <c r="IG7" t="s">
        <v>572</v>
      </c>
      <c r="JA7" t="s">
        <v>11655</v>
      </c>
      <c r="JK7" t="s">
        <v>10858</v>
      </c>
      <c r="JP7" t="s">
        <v>4139</v>
      </c>
      <c r="JU7" t="s">
        <v>11104</v>
      </c>
      <c r="KO7" t="s">
        <v>10986</v>
      </c>
      <c r="LS7" t="s">
        <v>10872</v>
      </c>
      <c r="LX7" t="s">
        <v>10950</v>
      </c>
    </row>
    <row r="8" spans="1:396" x14ac:dyDescent="0.25">
      <c r="A8" t="s">
        <v>11055</v>
      </c>
      <c r="F8" t="s">
        <v>11022</v>
      </c>
      <c r="CC8" t="s">
        <v>2973</v>
      </c>
      <c r="CH8" t="s">
        <v>383</v>
      </c>
      <c r="EA8" t="s">
        <v>11690</v>
      </c>
      <c r="EF8" t="s">
        <v>11673</v>
      </c>
      <c r="FT8" t="s">
        <v>10657</v>
      </c>
      <c r="GD8" t="s">
        <v>11394</v>
      </c>
      <c r="IG8" t="s">
        <v>10717</v>
      </c>
      <c r="JK8" t="s">
        <v>10859</v>
      </c>
      <c r="JP8" t="s">
        <v>10660</v>
      </c>
      <c r="JU8" t="s">
        <v>11105</v>
      </c>
      <c r="KO8" t="s">
        <v>11372</v>
      </c>
      <c r="LS8" t="s">
        <v>11395</v>
      </c>
      <c r="LX8" t="s">
        <v>10951</v>
      </c>
    </row>
    <row r="9" spans="1:396" x14ac:dyDescent="0.25">
      <c r="A9" t="s">
        <v>11056</v>
      </c>
      <c r="F9" t="s">
        <v>11023</v>
      </c>
      <c r="CC9" t="s">
        <v>2887</v>
      </c>
      <c r="CH9" t="s">
        <v>10729</v>
      </c>
      <c r="EA9" t="s">
        <v>11691</v>
      </c>
      <c r="EF9" t="s">
        <v>11674</v>
      </c>
      <c r="FT9" t="s">
        <v>10947</v>
      </c>
      <c r="GD9" t="s">
        <v>6473</v>
      </c>
      <c r="IG9" t="s">
        <v>2406</v>
      </c>
      <c r="JK9" t="s">
        <v>10860</v>
      </c>
      <c r="JP9" t="s">
        <v>10808</v>
      </c>
      <c r="JU9" t="s">
        <v>10957</v>
      </c>
      <c r="KO9" t="s">
        <v>10987</v>
      </c>
      <c r="LS9" t="s">
        <v>2883</v>
      </c>
      <c r="LX9" t="s">
        <v>10952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8788</v>
      </c>
      <c r="K1" s="1" t="s">
        <v>8789</v>
      </c>
      <c r="U1" s="1" t="s">
        <v>8790</v>
      </c>
      <c r="AE1" s="1" t="s">
        <v>8791</v>
      </c>
      <c r="AO1" s="1" t="s">
        <v>8792</v>
      </c>
      <c r="AY1" s="1" t="s">
        <v>8793</v>
      </c>
      <c r="BI1" s="1" t="s">
        <v>8794</v>
      </c>
      <c r="BS1" s="1" t="s">
        <v>8795</v>
      </c>
      <c r="CC1" s="1" t="s">
        <v>8796</v>
      </c>
      <c r="CM1" s="1" t="s">
        <v>8797</v>
      </c>
      <c r="CW1" s="1" t="s">
        <v>8798</v>
      </c>
      <c r="DG1" s="1" t="s">
        <v>8799</v>
      </c>
      <c r="DQ1" s="1" t="s">
        <v>8800</v>
      </c>
      <c r="EA1" s="1" t="s">
        <v>8801</v>
      </c>
      <c r="EK1" s="1" t="s">
        <v>8802</v>
      </c>
      <c r="EU1" s="1" t="s">
        <v>8803</v>
      </c>
      <c r="FE1" s="1" t="s">
        <v>8804</v>
      </c>
      <c r="FO1" s="1" t="s">
        <v>8805</v>
      </c>
      <c r="FY1" s="1" t="s">
        <v>8806</v>
      </c>
      <c r="GI1" s="1" t="s">
        <v>8807</v>
      </c>
      <c r="GS1" s="1" t="s">
        <v>8808</v>
      </c>
      <c r="HC1" s="1" t="s">
        <v>8809</v>
      </c>
      <c r="HM1" s="1" t="s">
        <v>8810</v>
      </c>
      <c r="HW1" s="1" t="s">
        <v>8811</v>
      </c>
      <c r="IG1" s="1" t="s">
        <v>8812</v>
      </c>
      <c r="IQ1" s="1" t="s">
        <v>8813</v>
      </c>
      <c r="JA1" s="1" t="s">
        <v>8814</v>
      </c>
      <c r="JK1" s="1" t="s">
        <v>8815</v>
      </c>
      <c r="JU1" s="1" t="s">
        <v>8816</v>
      </c>
      <c r="KE1" s="1" t="s">
        <v>8817</v>
      </c>
      <c r="KO1" s="1" t="s">
        <v>8818</v>
      </c>
      <c r="KY1" s="1" t="s">
        <v>8819</v>
      </c>
      <c r="LI1" s="1" t="s">
        <v>8820</v>
      </c>
      <c r="LS1" s="1" t="s">
        <v>8821</v>
      </c>
      <c r="MC1" s="1" t="s">
        <v>8822</v>
      </c>
      <c r="MM1" s="1" t="s">
        <v>8823</v>
      </c>
      <c r="MW1" s="1" t="s">
        <v>8824</v>
      </c>
      <c r="NG1" s="1" t="s">
        <v>8825</v>
      </c>
      <c r="NQ1" s="1" t="s">
        <v>8826</v>
      </c>
      <c r="OA1" s="1" t="s">
        <v>8827</v>
      </c>
    </row>
    <row r="2" spans="1:396" x14ac:dyDescent="0.25">
      <c r="A2" s="2" t="s">
        <v>8828</v>
      </c>
      <c r="K2" s="2" t="s">
        <v>8829</v>
      </c>
      <c r="U2" s="2" t="s">
        <v>8830</v>
      </c>
      <c r="AE2" s="2" t="s">
        <v>8831</v>
      </c>
      <c r="AO2" s="2" t="s">
        <v>8832</v>
      </c>
      <c r="AY2" s="2" t="s">
        <v>8833</v>
      </c>
      <c r="BI2" s="2" t="s">
        <v>6317</v>
      </c>
      <c r="BS2" s="2" t="s">
        <v>8834</v>
      </c>
      <c r="CC2" s="2" t="s">
        <v>8835</v>
      </c>
      <c r="CM2" s="2" t="s">
        <v>8072</v>
      </c>
      <c r="CW2" s="2" t="s">
        <v>8836</v>
      </c>
      <c r="DG2" s="2" t="s">
        <v>8837</v>
      </c>
      <c r="DQ2" s="2" t="s">
        <v>2873</v>
      </c>
      <c r="EA2" s="2" t="s">
        <v>5246</v>
      </c>
      <c r="EK2" s="2" t="s">
        <v>8838</v>
      </c>
      <c r="EU2" s="2" t="s">
        <v>888</v>
      </c>
      <c r="FE2" s="2" t="s">
        <v>7064</v>
      </c>
      <c r="FO2" s="2" t="s">
        <v>8839</v>
      </c>
      <c r="FY2" s="2" t="s">
        <v>8840</v>
      </c>
      <c r="GI2" s="2" t="s">
        <v>772</v>
      </c>
      <c r="GS2" s="2" t="s">
        <v>7683</v>
      </c>
      <c r="HC2" s="2" t="s">
        <v>8841</v>
      </c>
      <c r="HM2" s="2" t="s">
        <v>8842</v>
      </c>
      <c r="HW2" s="2" t="s">
        <v>6637</v>
      </c>
      <c r="IG2" s="2" t="s">
        <v>165</v>
      </c>
      <c r="IQ2" s="2" t="s">
        <v>8843</v>
      </c>
      <c r="JA2" s="2" t="s">
        <v>8844</v>
      </c>
      <c r="JK2" s="2" t="s">
        <v>2400</v>
      </c>
      <c r="JU2" s="2" t="s">
        <v>4820</v>
      </c>
      <c r="KE2" s="2" t="s">
        <v>8845</v>
      </c>
      <c r="KO2" s="2" t="s">
        <v>6547</v>
      </c>
      <c r="KY2" s="2" t="s">
        <v>4034</v>
      </c>
      <c r="LI2" s="2" t="s">
        <v>781</v>
      </c>
      <c r="LS2" s="2" t="s">
        <v>6082</v>
      </c>
      <c r="MC2" s="2" t="s">
        <v>8846</v>
      </c>
      <c r="MM2" s="2" t="s">
        <v>7469</v>
      </c>
      <c r="MW2" s="2" t="s">
        <v>8847</v>
      </c>
      <c r="NG2" s="2" t="s">
        <v>8848</v>
      </c>
      <c r="NQ2" s="2" t="s">
        <v>8849</v>
      </c>
      <c r="OA2" s="2" t="s">
        <v>990</v>
      </c>
    </row>
    <row r="3" spans="1:396" x14ac:dyDescent="0.25">
      <c r="A3" t="s">
        <v>8850</v>
      </c>
      <c r="K3" t="s">
        <v>8851</v>
      </c>
      <c r="U3" t="s">
        <v>8629</v>
      </c>
      <c r="AE3" t="s">
        <v>416</v>
      </c>
      <c r="AO3" t="s">
        <v>8852</v>
      </c>
      <c r="AY3" t="s">
        <v>8853</v>
      </c>
      <c r="BI3" t="s">
        <v>8854</v>
      </c>
      <c r="BS3" t="s">
        <v>1587</v>
      </c>
      <c r="CC3" t="s">
        <v>8855</v>
      </c>
      <c r="CM3" t="s">
        <v>189</v>
      </c>
      <c r="CW3" t="s">
        <v>208</v>
      </c>
      <c r="DG3" t="s">
        <v>4844</v>
      </c>
      <c r="DQ3" t="s">
        <v>8856</v>
      </c>
      <c r="EA3" t="s">
        <v>2330</v>
      </c>
      <c r="EK3" t="s">
        <v>8857</v>
      </c>
      <c r="EU3" t="s">
        <v>4062</v>
      </c>
      <c r="FE3" t="s">
        <v>8858</v>
      </c>
      <c r="FO3" t="s">
        <v>1964</v>
      </c>
      <c r="FY3" t="s">
        <v>3466</v>
      </c>
      <c r="GI3" t="s">
        <v>8859</v>
      </c>
      <c r="GS3" t="s">
        <v>8860</v>
      </c>
      <c r="HC3" t="s">
        <v>8861</v>
      </c>
      <c r="HM3" t="s">
        <v>5784</v>
      </c>
      <c r="HW3" t="s">
        <v>5695</v>
      </c>
      <c r="IG3" t="s">
        <v>8862</v>
      </c>
      <c r="IQ3" t="s">
        <v>2062</v>
      </c>
      <c r="JA3" t="s">
        <v>1687</v>
      </c>
      <c r="JK3" t="s">
        <v>1952</v>
      </c>
      <c r="JU3" t="s">
        <v>8863</v>
      </c>
      <c r="KE3" t="s">
        <v>8864</v>
      </c>
      <c r="KO3" t="s">
        <v>8865</v>
      </c>
      <c r="KY3" t="s">
        <v>6912</v>
      </c>
      <c r="LI3" t="s">
        <v>2534</v>
      </c>
      <c r="LS3" t="s">
        <v>422</v>
      </c>
      <c r="MC3" t="s">
        <v>8866</v>
      </c>
      <c r="MM3" t="s">
        <v>5682</v>
      </c>
      <c r="MW3" t="s">
        <v>7717</v>
      </c>
      <c r="NG3" t="s">
        <v>8867</v>
      </c>
      <c r="NQ3" t="s">
        <v>8868</v>
      </c>
      <c r="OA3" t="s">
        <v>5095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_xll.BDS("2310330D US Equity","SUPPLY_CHAIN_SUPPLIERS","RELATIONSHIP_AS_OF_DATE","19960214")</f>
        <v>#N/A N/A</v>
      </c>
      <c r="F5" t="str">
        <f>_xll.BDS("2310330D US Equity","SUPPLY_CHAIN_CUSTOMERS","RELATIONSHIP_AS_OF_DATE","19960214")</f>
        <v>#N/A N/A</v>
      </c>
      <c r="K5" t="str">
        <f>_xll.BDS("PFBI US Equity","SUPPLY_CHAIN_SUPPLIERS","RELATIONSHIP_AS_OF_DATE","20150707")</f>
        <v>#N/A N/A</v>
      </c>
      <c r="P5" t="str">
        <f>_xll.BDS("PFBI US Equity","SUPPLY_CHAIN_CUSTOMERS","RELATIONSHIP_AS_OF_DATE","20150707")</f>
        <v>#N/A N/A</v>
      </c>
      <c r="U5" t="str">
        <f>_xll.BDS("RIVE US Equity","SUPPLY_CHAIN_SUPPLIERS","RELATIONSHIP_AS_OF_DATE","20170420")</f>
        <v>#N/A N/A</v>
      </c>
      <c r="Z5" t="str">
        <f>_xll.BDS("RIVE US Equity","SUPPLY_CHAIN_CUSTOMERS","RELATIONSHIP_AS_OF_DATE","20170420")</f>
        <v>#N/A N/A</v>
      </c>
      <c r="AE5" t="str">
        <f>_xll.BDS("SBNC US Equity","SUPPLY_CHAIN_SUPPLIERS","RELATIONSHIP_AS_OF_DATE","20151021")</f>
        <v>#N/A N/A</v>
      </c>
      <c r="AJ5" t="str">
        <f>_xll.BDS("SBNC US Equity","SUPPLY_CHAIN_CUSTOMERS","RELATIONSHIP_AS_OF_DATE","20151021")</f>
        <v>#N/A N/A</v>
      </c>
      <c r="AO5" t="str">
        <f>_xll.BDS("HAE US Equity","SUPPLY_CHAIN_SUPPLIERS","RELATIONSHIP_AS_OF_DATE","20100201","cols=1;rows=5")</f>
        <v>7702 JP Equity</v>
      </c>
      <c r="AT5" t="str">
        <f>_xll.BDS("HAE US Equity","SUPPLY_CHAIN_CUSTOMERS","RELATIONSHIP_AS_OF_DATE","20100201","cols=1;rows=5")</f>
        <v>1130495Z SW Equity</v>
      </c>
      <c r="AY5" t="str">
        <f>_xll.BDS("RCKT US Equity","SUPPLY_CHAIN_SUPPLIERS","RELATIONSHIP_AS_OF_DATE","20220920","cols=1;rows=5")</f>
        <v>5201 JP Equity</v>
      </c>
      <c r="BD5" t="str">
        <f>_xll.BDS("RCKT US Equity","SUPPLY_CHAIN_CUSTOMERS","RELATIONSHIP_AS_OF_DATE","20220920")</f>
        <v>#N/A N/A</v>
      </c>
      <c r="BI5" t="str">
        <f>_xll.BDS("HTBK US Equity","SUPPLY_CHAIN_SUPPLIERS","RELATIONSHIP_AS_OF_DATE","20150423")</f>
        <v>#N/A N/A</v>
      </c>
      <c r="BN5" t="str">
        <f>_xll.BDS("HTBK US Equity","SUPPLY_CHAIN_CUSTOMERS","RELATIONSHIP_AS_OF_DATE","20150423")</f>
        <v>#N/A N/A</v>
      </c>
      <c r="BS5" t="str">
        <f>_xll.BDS("FORR US Equity","SUPPLY_CHAIN_SUPPLIERS","RELATIONSHIP_AS_OF_DATE","20030121","cols=1;rows=4")</f>
        <v>2450443D US Equity</v>
      </c>
      <c r="BX5" t="str">
        <f>_xll.BDS("FORR US Equity","SUPPLY_CHAIN_CUSTOMERS","RELATIONSHIP_AS_OF_DATE","20030121","cols=1;rows=5")</f>
        <v>1319133D US Equity</v>
      </c>
      <c r="CC5" t="str">
        <f>_xll.BDS("BCAL US Equity","SUPPLY_CHAIN_SUPPLIERS","RELATIONSHIP_AS_OF_DATE","20210427")</f>
        <v>#N/A N/A</v>
      </c>
      <c r="CH5" t="str">
        <f>_xll.BDS("BCAL US Equity","SUPPLY_CHAIN_CUSTOMERS","RELATIONSHIP_AS_OF_DATE","20210427")</f>
        <v>#N/A N/A</v>
      </c>
      <c r="CM5" t="str">
        <f>_xll.BDS("679882Q US Equity","SUPPLY_CHAIN_SUPPLIERS","RELATIONSHIP_AS_OF_DATE","19990907")</f>
        <v>#N/A N/A</v>
      </c>
      <c r="CR5" t="str">
        <f>_xll.BDS("679882Q US Equity","SUPPLY_CHAIN_CUSTOMERS","RELATIONSHIP_AS_OF_DATE","19990907")</f>
        <v>#N/A N/A</v>
      </c>
      <c r="CW5" t="str">
        <f>_xll.BDS("FCCY US Equity","SUPPLY_CHAIN_SUPPLIERS","RELATIONSHIP_AS_OF_DATE","20190624")</f>
        <v>#N/A N/A</v>
      </c>
      <c r="DB5" t="str">
        <f>_xll.BDS("FCCY US Equity","SUPPLY_CHAIN_CUSTOMERS","RELATIONSHIP_AS_OF_DATE","20190624")</f>
        <v>#N/A N/A</v>
      </c>
      <c r="DG5" t="str">
        <f>_xll.BDS("HILL US Equity","SUPPLY_CHAIN_SUPPLIERS","RELATIONSHIP_AS_OF_DATE","19990430")</f>
        <v>#N/A N/A</v>
      </c>
      <c r="DL5" t="str">
        <f>_xll.BDS("HILL US Equity","SUPPLY_CHAIN_CUSTOMERS","RELATIONSHIP_AS_OF_DATE","19990430")</f>
        <v>#N/A N/A</v>
      </c>
      <c r="DQ5" t="str">
        <f>_xll.BDS("HWC US Equity","SUPPLY_CHAIN_SUPPLIERS","RELATIONSHIP_AS_OF_DATE","20010131")</f>
        <v>NMRK US Equity</v>
      </c>
      <c r="DV5" t="str">
        <f>_xll.BDS("HWC US Equity","SUPPLY_CHAIN_CUSTOMERS","RELATIONSHIP_AS_OF_DATE","20010131")</f>
        <v>#N/A N/A</v>
      </c>
      <c r="EA5" t="str">
        <f>_xll.BDS("HU US Equity","SUPPLY_CHAIN_SUPPLIERS","RELATIONSHIP_AS_OF_DATE","19990629")</f>
        <v>#N/A N/A</v>
      </c>
      <c r="EF5" t="str">
        <f>_xll.BDS("HU US Equity","SUPPLY_CHAIN_CUSTOMERS","RELATIONSHIP_AS_OF_DATE","19990629")</f>
        <v>#N/A N/A</v>
      </c>
      <c r="EK5" t="str">
        <f>_xll.BDS("3470770Q US Equity","SUPPLY_CHAIN_SUPPLIERS","RELATIONSHIP_AS_OF_DATE","20030321")</f>
        <v>#N/A N/A</v>
      </c>
      <c r="EP5" t="str">
        <f>_xll.BDS("3470770Q US Equity","SUPPLY_CHAIN_CUSTOMERS","RELATIONSHIP_AS_OF_DATE","20030321")</f>
        <v>#N/A N/A</v>
      </c>
      <c r="EU5" t="str">
        <f>_xll.BDS("EQT US Equity","SUPPLY_CHAIN_SUPPLIERS","RELATIONSHIP_AS_OF_DATE","20161025","cols=1;rows=5")</f>
        <v>PWR US Equity</v>
      </c>
      <c r="EZ5" t="str">
        <f>_xll.BDS("EQT US Equity","SUPPLY_CHAIN_CUSTOMERS","RELATIONSHIP_AS_OF_DATE","20161025","cols=1;rows=4")</f>
        <v>0641942D US Equity</v>
      </c>
      <c r="FE5" t="str">
        <f>_xll.BDS("UB US Equity","SUPPLY_CHAIN_SUPPLIERS","RELATIONSHIP_AS_OF_DATE","20011219")</f>
        <v>#N/A N/A</v>
      </c>
      <c r="FJ5" t="str">
        <f>_xll.BDS("UB US Equity","SUPPLY_CHAIN_CUSTOMERS","RELATIONSHIP_AS_OF_DATE","20011219")</f>
        <v>#N/A N/A</v>
      </c>
      <c r="FO5" t="str">
        <f>_xll.BDS("VEXPQ US Equity","SUPPLY_CHAIN_SUPPLIERS","RELATIONSHIP_AS_OF_DATE","20060705")</f>
        <v>#N/A N/A</v>
      </c>
      <c r="FT5" t="str">
        <f>_xll.BDS("VEXPQ US Equity","SUPPLY_CHAIN_CUSTOMERS","RELATIONSHIP_AS_OF_DATE","20060705")</f>
        <v>#N/A N/A</v>
      </c>
      <c r="FY5" t="str">
        <f>_xll.BDS("NWKC US Equity","SUPPLY_CHAIN_SUPPLIERS","RELATIONSHIP_AS_OF_DATE","19991221")</f>
        <v>#N/A N/A</v>
      </c>
      <c r="GD5" t="str">
        <f>_xll.BDS("NWKC US Equity","SUPPLY_CHAIN_CUSTOMERS","RELATIONSHIP_AS_OF_DATE","19991221")</f>
        <v>#N/A N/A</v>
      </c>
      <c r="GI5" t="str">
        <f>_xll.BDS("ECL US Equity","SUPPLY_CHAIN_SUPPLIERS","RELATIONSHIP_AS_OF_DATE","20040311","cols=1;rows=5")</f>
        <v>CLN SW Equity</v>
      </c>
      <c r="GN5" t="str">
        <f>_xll.BDS("ECL US Equity","SUPPLY_CHAIN_CUSTOMERS","RELATIONSHIP_AS_OF_DATE","20040311","cols=1;rows=5")</f>
        <v>WMT US Equity</v>
      </c>
      <c r="GS5" t="str">
        <f>_xll.BDS("MOFG US Equity","SUPPLY_CHAIN_SUPPLIERS","RELATIONSHIP_AS_OF_DATE","20211101")</f>
        <v>#N/A N/A</v>
      </c>
      <c r="GX5" t="str">
        <f>_xll.BDS("MOFG US Equity","SUPPLY_CHAIN_CUSTOMERS","RELATIONSHIP_AS_OF_DATE","20211101")</f>
        <v>#N/A N/A</v>
      </c>
      <c r="HC5" t="str">
        <f>_xll.BDS("RJET US Equity","SUPPLY_CHAIN_SUPPLIERS","RELATIONSHIP_AS_OF_DATE","19980828","cols=1;rows=5")</f>
        <v>AIR US Equity</v>
      </c>
      <c r="HH5" t="str">
        <f>_xll.BDS("RJET US Equity","SUPPLY_CHAIN_CUSTOMERS","RELATIONSHIP_AS_OF_DATE","19980828")</f>
        <v>UAL US Equity</v>
      </c>
      <c r="HM5" t="str">
        <f>_xll.BDS("STXN US Equity","SUPPLY_CHAIN_SUPPLIERS","RELATIONSHIP_AS_OF_DATE","19980723")</f>
        <v>#N/A N/A</v>
      </c>
      <c r="HR5" t="str">
        <f>_xll.BDS("STXN US Equity","SUPPLY_CHAIN_CUSTOMERS","RELATIONSHIP_AS_OF_DATE","19980723")</f>
        <v>#N/A N/A</v>
      </c>
      <c r="HW5" t="str">
        <f>_xll.BDS("IART US Equity","SUPPLY_CHAIN_SUPPLIERS","RELATIONSHIP_AS_OF_DATE","20070807","cols=1;rows=5")</f>
        <v>AEE US Equity</v>
      </c>
      <c r="IB5" t="str">
        <f>_xll.BDS("IART US Equity","SUPPLY_CHAIN_CUSTOMERS","RELATIONSHIP_AS_OF_DATE","20070807")</f>
        <v>#N/A N/A</v>
      </c>
      <c r="IG5" t="str">
        <f>_xll.BDS("IBM US Equity","SUPPLY_CHAIN_SUPPLIERS","RELATIONSHIP_AS_OF_DATE","20010419","cols=1;rows=5")</f>
        <v>005930 KS Equity</v>
      </c>
      <c r="IL5" t="str">
        <f>_xll.BDS("IBM US Equity","SUPPLY_CHAIN_CUSTOMERS","RELATIONSHIP_AS_OF_DATE","20010419","cols=1;rows=5")</f>
        <v>AMZN US Equity</v>
      </c>
      <c r="IQ5" t="str">
        <f>_xll.BDS("CWLM US Equity","SUPPLY_CHAIN_SUPPLIERS","RELATIONSHIP_AS_OF_DATE","20001220","cols=1;rows=5")</f>
        <v>BWXT US Equity</v>
      </c>
      <c r="IV5" t="str">
        <f>_xll.BDS("CWLM US Equity","SUPPLY_CHAIN_CUSTOMERS","RELATIONSHIP_AS_OF_DATE","20001220")</f>
        <v>1400181D SP Equity</v>
      </c>
      <c r="JA5" t="str">
        <f>_xll.BDS("PWOD US Equity","SUPPLY_CHAIN_SUPPLIERS","RELATIONSHIP_AS_OF_DATE","20121018")</f>
        <v>#N/A N/A</v>
      </c>
      <c r="JF5" t="str">
        <f>_xll.BDS("PWOD US Equity","SUPPLY_CHAIN_CUSTOMERS","RELATIONSHIP_AS_OF_DATE","20121018")</f>
        <v>#N/A N/A</v>
      </c>
      <c r="JK5" t="str">
        <f>_xll.BDS("2598Q US Equity","SUPPLY_CHAIN_SUPPLIERS","RELATIONSHIP_AS_OF_DATE","19980702")</f>
        <v>#N/A N/A</v>
      </c>
      <c r="JP5" t="str">
        <f>_xll.BDS("2598Q US Equity","SUPPLY_CHAIN_CUSTOMERS","RELATIONSHIP_AS_OF_DATE","19980702")</f>
        <v>#N/A N/A</v>
      </c>
      <c r="JU5" t="str">
        <f>_xll.BDS("PRK US Equity","SUPPLY_CHAIN_SUPPLIERS","RELATIONSHIP_AS_OF_DATE","20040803")</f>
        <v>WK US Equity</v>
      </c>
      <c r="JZ5" t="str">
        <f>_xll.BDS("PRK US Equity","SUPPLY_CHAIN_CUSTOMERS","RELATIONSHIP_AS_OF_DATE","20040803")</f>
        <v>#N/A N/A</v>
      </c>
      <c r="KE5" t="str">
        <f>_xll.BDS("BCBP US Equity","SUPPLY_CHAIN_SUPPLIERS","RELATIONSHIP_AS_OF_DATE","20090630")</f>
        <v>#N/A N/A</v>
      </c>
      <c r="KJ5" t="str">
        <f>_xll.BDS("BCBP US Equity","SUPPLY_CHAIN_CUSTOMERS","RELATIONSHIP_AS_OF_DATE","20090630")</f>
        <v>#N/A N/A</v>
      </c>
      <c r="KO5" t="str">
        <f>_xll.BDS("HNBC US Equity","SUPPLY_CHAIN_SUPPLIERS","RELATIONSHIP_AS_OF_DATE","20031015")</f>
        <v>#N/A N/A</v>
      </c>
      <c r="KT5" t="str">
        <f>_xll.BDS("HNBC US Equity","SUPPLY_CHAIN_CUSTOMERS","RELATIONSHIP_AS_OF_DATE","20031015")</f>
        <v>#N/A N/A</v>
      </c>
      <c r="KY5" t="str">
        <f>_xll.BDS("COLB US Equity","SUPPLY_CHAIN_SUPPLIERS","RELATIONSHIP_AS_OF_DATE","20040607")</f>
        <v>INVE US Equity</v>
      </c>
      <c r="LD5" t="str">
        <f>_xll.BDS("COLB US Equity","SUPPLY_CHAIN_CUSTOMERS","RELATIONSHIP_AS_OF_DATE","20040607")</f>
        <v>#N/A N/A</v>
      </c>
      <c r="LI5" t="str">
        <f>_xll.BDS("GMST US Equity","SUPPLY_CHAIN_SUPPLIERS","RELATIONSHIP_AS_OF_DATE","20010514")</f>
        <v>#N/A N/A</v>
      </c>
      <c r="LN5" t="str">
        <f>_xll.BDS("GMST US Equity","SUPPLY_CHAIN_CUSTOMERS","RELATIONSHIP_AS_OF_DATE","20010514")</f>
        <v>#N/A N/A</v>
      </c>
      <c r="LS5" t="str">
        <f>_xll.BDS("TTN US Equity","SUPPLY_CHAIN_SUPPLIERS","RELATIONSHIP_AS_OF_DATE","20010625")</f>
        <v>#N/A N/A</v>
      </c>
      <c r="LX5" t="str">
        <f>_xll.BDS("TTN US Equity","SUPPLY_CHAIN_CUSTOMERS","RELATIONSHIP_AS_OF_DATE","20010625")</f>
        <v>#N/A N/A</v>
      </c>
      <c r="MC5" t="str">
        <f>_xll.BDS("PICZQ US Equity","SUPPLY_CHAIN_SUPPLIERS","RELATIONSHIP_AS_OF_DATE","19980423")</f>
        <v>#N/A N/A</v>
      </c>
      <c r="MH5" t="str">
        <f>_xll.BDS("PICZQ US Equity","SUPPLY_CHAIN_CUSTOMERS","RELATIONSHIP_AS_OF_DATE","19980423")</f>
        <v>#N/A N/A</v>
      </c>
      <c r="MM5" t="str">
        <f>_xll.BDS("SLFI US Equity","SUPPLY_CHAIN_SUPPLIERS","RELATIONSHIP_AS_OF_DATE","20040614")</f>
        <v>#N/A N/A</v>
      </c>
      <c r="MR5" t="str">
        <f>_xll.BDS("SLFI US Equity","SUPPLY_CHAIN_CUSTOMERS","RELATIONSHIP_AS_OF_DATE","20040614")</f>
        <v>#N/A N/A</v>
      </c>
      <c r="MW5" t="str">
        <f>_xll.BDS("PCBK US Equity","SUPPLY_CHAIN_SUPPLIERS","RELATIONSHIP_AS_OF_DATE","20160426")</f>
        <v>#N/A N/A</v>
      </c>
      <c r="NB5" t="str">
        <f>_xll.BDS("PCBK US Equity","SUPPLY_CHAIN_CUSTOMERS","RELATIONSHIP_AS_OF_DATE","20160426")</f>
        <v>#N/A N/A</v>
      </c>
      <c r="NG5" t="str">
        <f>_xll.BDS("SDAB US Equity","SUPPLY_CHAIN_SUPPLIERS","RELATIONSHIP_AS_OF_DATE","20030206")</f>
        <v>#N/A N/A</v>
      </c>
      <c r="NL5" t="str">
        <f>_xll.BDS("SDAB US Equity","SUPPLY_CHAIN_CUSTOMERS","RELATIONSHIP_AS_OF_DATE","20030206")</f>
        <v>#N/A N/A</v>
      </c>
      <c r="NQ5" t="str">
        <f>_xll.BDS("3518429Q US Equity","SUPPLY_CHAIN_SUPPLIERS","RELATIONSHIP_AS_OF_DATE","20010104")</f>
        <v>#N/A N/A</v>
      </c>
      <c r="NV5" t="str">
        <f>_xll.BDS("3518429Q US Equity","SUPPLY_CHAIN_CUSTOMERS","RELATIONSHIP_AS_OF_DATE","20010104")</f>
        <v>#N/A N/A</v>
      </c>
      <c r="OA5" t="str">
        <f>_xll.BDS("WBS US Equity","SUPPLY_CHAIN_SUPPLIERS","RELATIONSHIP_AS_OF_DATE","19981111","cols=1;rows=2")</f>
        <v>FISV US Equity</v>
      </c>
      <c r="OF5" t="str">
        <f>_xll.BDS("WBS US Equity","SUPPLY_CHAIN_CUSTOMERS","RELATIONSHIP_AS_OF_DATE","19981111")</f>
        <v>CNXN US Equity</v>
      </c>
    </row>
    <row r="6" spans="1:396" x14ac:dyDescent="0.25">
      <c r="AO6" t="s">
        <v>171</v>
      </c>
      <c r="AT6" t="s">
        <v>11017</v>
      </c>
      <c r="AY6" t="s">
        <v>12016</v>
      </c>
      <c r="BS6" t="s">
        <v>2204</v>
      </c>
      <c r="BX6" t="s">
        <v>11385</v>
      </c>
      <c r="EU6" t="s">
        <v>11171</v>
      </c>
      <c r="EZ6" t="s">
        <v>389</v>
      </c>
      <c r="GI6" t="s">
        <v>10855</v>
      </c>
      <c r="GN6" t="s">
        <v>5236</v>
      </c>
      <c r="HC6" t="s">
        <v>1164</v>
      </c>
      <c r="HW6" t="s">
        <v>158</v>
      </c>
      <c r="IG6" t="s">
        <v>41</v>
      </c>
      <c r="IL6" t="s">
        <v>266</v>
      </c>
      <c r="IQ6" t="s">
        <v>10940</v>
      </c>
      <c r="OA6" t="s">
        <v>10739</v>
      </c>
    </row>
    <row r="7" spans="1:396" x14ac:dyDescent="0.25">
      <c r="AO7" t="s">
        <v>158</v>
      </c>
      <c r="AT7" t="s">
        <v>11475</v>
      </c>
      <c r="AY7" t="s">
        <v>12017</v>
      </c>
      <c r="BS7" t="s">
        <v>11108</v>
      </c>
      <c r="BX7" t="s">
        <v>11386</v>
      </c>
      <c r="EU7" t="s">
        <v>3251</v>
      </c>
      <c r="EZ7" t="s">
        <v>582</v>
      </c>
      <c r="GI7" t="s">
        <v>1746</v>
      </c>
      <c r="GN7" t="s">
        <v>10805</v>
      </c>
      <c r="HC7" t="s">
        <v>11010</v>
      </c>
      <c r="HW7" t="s">
        <v>260</v>
      </c>
      <c r="IG7" t="s">
        <v>469</v>
      </c>
      <c r="IL7" t="s">
        <v>10892</v>
      </c>
      <c r="IQ7" t="s">
        <v>11291</v>
      </c>
    </row>
    <row r="8" spans="1:396" x14ac:dyDescent="0.25">
      <c r="AO8" t="s">
        <v>382</v>
      </c>
      <c r="AT8" t="s">
        <v>11476</v>
      </c>
      <c r="AY8" t="s">
        <v>12018</v>
      </c>
      <c r="BS8" t="s">
        <v>11109</v>
      </c>
      <c r="BX8" t="s">
        <v>2683</v>
      </c>
      <c r="EU8" t="s">
        <v>2406</v>
      </c>
      <c r="EZ8" t="s">
        <v>9373</v>
      </c>
      <c r="GI8" t="s">
        <v>10856</v>
      </c>
      <c r="GN8" t="s">
        <v>2705</v>
      </c>
      <c r="HC8" t="s">
        <v>11450</v>
      </c>
      <c r="HW8" t="s">
        <v>572</v>
      </c>
      <c r="IG8" t="s">
        <v>2881</v>
      </c>
      <c r="IL8" t="s">
        <v>6473</v>
      </c>
      <c r="IQ8" t="s">
        <v>11292</v>
      </c>
    </row>
    <row r="9" spans="1:396" x14ac:dyDescent="0.25">
      <c r="AO9" t="s">
        <v>260</v>
      </c>
      <c r="AT9" t="s">
        <v>11477</v>
      </c>
      <c r="AY9" t="s">
        <v>12019</v>
      </c>
      <c r="BX9" t="s">
        <v>11387</v>
      </c>
      <c r="EU9" t="s">
        <v>11172</v>
      </c>
      <c r="GI9" t="s">
        <v>10857</v>
      </c>
      <c r="GN9" t="s">
        <v>5983</v>
      </c>
      <c r="HC9" t="s">
        <v>11451</v>
      </c>
      <c r="HW9" t="s">
        <v>10957</v>
      </c>
      <c r="IG9" t="s">
        <v>10853</v>
      </c>
      <c r="IL9" t="s">
        <v>969</v>
      </c>
      <c r="IQ9" t="s">
        <v>11293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8869</v>
      </c>
      <c r="K1" s="1" t="s">
        <v>8870</v>
      </c>
      <c r="U1" s="1" t="s">
        <v>8871</v>
      </c>
      <c r="AE1" s="1" t="s">
        <v>8872</v>
      </c>
      <c r="AO1" s="1" t="s">
        <v>8873</v>
      </c>
      <c r="AY1" s="1" t="s">
        <v>8874</v>
      </c>
      <c r="BI1" s="1" t="s">
        <v>8875</v>
      </c>
      <c r="BS1" s="1" t="s">
        <v>8876</v>
      </c>
      <c r="CC1" s="1" t="s">
        <v>8877</v>
      </c>
      <c r="CM1" s="1" t="s">
        <v>8878</v>
      </c>
      <c r="CW1" s="1" t="s">
        <v>8879</v>
      </c>
      <c r="DG1" s="1" t="s">
        <v>8880</v>
      </c>
      <c r="DQ1" s="1" t="s">
        <v>8881</v>
      </c>
      <c r="EA1" s="1" t="s">
        <v>8882</v>
      </c>
      <c r="EK1" s="1" t="s">
        <v>8883</v>
      </c>
      <c r="EU1" s="1" t="s">
        <v>8884</v>
      </c>
      <c r="FE1" s="1" t="s">
        <v>8885</v>
      </c>
      <c r="FO1" s="1" t="s">
        <v>8886</v>
      </c>
      <c r="FY1" s="1" t="s">
        <v>8887</v>
      </c>
      <c r="GI1" s="1" t="s">
        <v>8888</v>
      </c>
      <c r="GS1" s="1" t="s">
        <v>8889</v>
      </c>
      <c r="HC1" s="1" t="s">
        <v>8890</v>
      </c>
      <c r="HM1" s="1" t="s">
        <v>8891</v>
      </c>
      <c r="HW1" s="1" t="s">
        <v>8892</v>
      </c>
      <c r="IG1" s="1" t="s">
        <v>8893</v>
      </c>
      <c r="IQ1" s="1" t="s">
        <v>8894</v>
      </c>
      <c r="JA1" s="1" t="s">
        <v>8895</v>
      </c>
      <c r="JK1" s="1" t="s">
        <v>8896</v>
      </c>
      <c r="JU1" s="1" t="s">
        <v>8897</v>
      </c>
      <c r="KE1" s="1" t="s">
        <v>8898</v>
      </c>
      <c r="KO1" s="1" t="s">
        <v>8899</v>
      </c>
      <c r="KY1" s="1" t="s">
        <v>8900</v>
      </c>
      <c r="LI1" s="1" t="s">
        <v>8901</v>
      </c>
      <c r="LS1" s="1" t="s">
        <v>8902</v>
      </c>
      <c r="MC1" s="1" t="s">
        <v>8903</v>
      </c>
      <c r="MM1" s="1" t="s">
        <v>8904</v>
      </c>
      <c r="MW1" s="1" t="s">
        <v>8905</v>
      </c>
      <c r="NG1" s="1" t="s">
        <v>8906</v>
      </c>
      <c r="NQ1" s="1" t="s">
        <v>8907</v>
      </c>
      <c r="OA1" s="1" t="s">
        <v>8908</v>
      </c>
    </row>
    <row r="2" spans="1:396" x14ac:dyDescent="0.25">
      <c r="A2" s="2" t="s">
        <v>8909</v>
      </c>
      <c r="K2" s="2" t="s">
        <v>5492</v>
      </c>
      <c r="U2" s="2" t="s">
        <v>8910</v>
      </c>
      <c r="AE2" s="2" t="s">
        <v>1753</v>
      </c>
      <c r="AO2" s="2" t="s">
        <v>7369</v>
      </c>
      <c r="AY2" s="2" t="s">
        <v>8911</v>
      </c>
      <c r="BI2" s="2" t="s">
        <v>6310</v>
      </c>
      <c r="BS2" s="2" t="s">
        <v>8912</v>
      </c>
      <c r="CC2" s="2" t="s">
        <v>6391</v>
      </c>
      <c r="CM2" s="2" t="s">
        <v>8913</v>
      </c>
      <c r="CW2" s="2" t="s">
        <v>8914</v>
      </c>
      <c r="DG2" s="2" t="s">
        <v>2319</v>
      </c>
      <c r="DQ2" s="2" t="s">
        <v>6898</v>
      </c>
      <c r="EA2" s="2" t="s">
        <v>171</v>
      </c>
      <c r="EK2" s="2" t="s">
        <v>8915</v>
      </c>
      <c r="EU2" s="2" t="s">
        <v>7619</v>
      </c>
      <c r="FE2" s="2" t="s">
        <v>8916</v>
      </c>
      <c r="FO2" s="2" t="s">
        <v>8917</v>
      </c>
      <c r="FY2" s="2" t="s">
        <v>8918</v>
      </c>
      <c r="GI2" s="2" t="s">
        <v>8919</v>
      </c>
      <c r="GS2" s="2" t="s">
        <v>8920</v>
      </c>
      <c r="HC2" s="2" t="s">
        <v>8921</v>
      </c>
      <c r="HM2" s="2" t="s">
        <v>5073</v>
      </c>
      <c r="HW2" s="2" t="s">
        <v>8922</v>
      </c>
      <c r="IG2" s="2" t="s">
        <v>8923</v>
      </c>
      <c r="IQ2" s="2" t="s">
        <v>385</v>
      </c>
      <c r="JA2" s="2" t="s">
        <v>7687</v>
      </c>
      <c r="JK2" s="2" t="s">
        <v>3621</v>
      </c>
      <c r="JU2" s="2" t="s">
        <v>4566</v>
      </c>
      <c r="KE2" s="2" t="s">
        <v>2314</v>
      </c>
      <c r="KO2" s="2" t="s">
        <v>8924</v>
      </c>
      <c r="KY2" s="2" t="s">
        <v>8925</v>
      </c>
      <c r="LI2" s="2" t="s">
        <v>8926</v>
      </c>
      <c r="LS2" s="2" t="s">
        <v>8927</v>
      </c>
      <c r="MC2" s="2" t="s">
        <v>8928</v>
      </c>
      <c r="MM2" s="2" t="s">
        <v>8929</v>
      </c>
      <c r="MW2" s="2" t="s">
        <v>8930</v>
      </c>
      <c r="NG2" s="2" t="s">
        <v>8931</v>
      </c>
      <c r="NQ2" s="2" t="s">
        <v>5582</v>
      </c>
      <c r="OA2" s="2" t="s">
        <v>8932</v>
      </c>
    </row>
    <row r="3" spans="1:396" x14ac:dyDescent="0.25">
      <c r="A3" t="s">
        <v>1874</v>
      </c>
      <c r="K3" t="s">
        <v>8933</v>
      </c>
      <c r="U3" t="s">
        <v>5769</v>
      </c>
      <c r="AE3" t="s">
        <v>8934</v>
      </c>
      <c r="AO3" t="s">
        <v>8935</v>
      </c>
      <c r="AY3" t="s">
        <v>6095</v>
      </c>
      <c r="BI3" t="s">
        <v>7152</v>
      </c>
      <c r="BS3" t="s">
        <v>8936</v>
      </c>
      <c r="CC3" t="s">
        <v>8937</v>
      </c>
      <c r="CM3" t="s">
        <v>8938</v>
      </c>
      <c r="CW3" t="s">
        <v>8029</v>
      </c>
      <c r="DG3" t="s">
        <v>8939</v>
      </c>
      <c r="DQ3" t="s">
        <v>409</v>
      </c>
      <c r="EA3" t="s">
        <v>7235</v>
      </c>
      <c r="EK3" t="s">
        <v>8940</v>
      </c>
      <c r="EU3" t="s">
        <v>8941</v>
      </c>
      <c r="FE3" t="s">
        <v>8942</v>
      </c>
      <c r="FO3" t="s">
        <v>8943</v>
      </c>
      <c r="FY3" t="s">
        <v>8944</v>
      </c>
      <c r="GI3" t="s">
        <v>5870</v>
      </c>
      <c r="GS3" t="s">
        <v>8945</v>
      </c>
      <c r="HC3" t="s">
        <v>8946</v>
      </c>
      <c r="HM3" t="s">
        <v>8549</v>
      </c>
      <c r="HW3" t="s">
        <v>2241</v>
      </c>
      <c r="IG3" t="s">
        <v>8947</v>
      </c>
      <c r="IQ3" t="s">
        <v>8948</v>
      </c>
      <c r="JA3" t="s">
        <v>3264</v>
      </c>
      <c r="JK3" t="s">
        <v>7086</v>
      </c>
      <c r="JU3" t="s">
        <v>8949</v>
      </c>
      <c r="KE3" t="s">
        <v>1495</v>
      </c>
      <c r="KO3" t="s">
        <v>8950</v>
      </c>
      <c r="KY3" t="s">
        <v>8951</v>
      </c>
      <c r="LI3" t="s">
        <v>6644</v>
      </c>
      <c r="LS3" t="s">
        <v>4928</v>
      </c>
      <c r="MC3" t="s">
        <v>3445</v>
      </c>
      <c r="MM3" t="s">
        <v>8952</v>
      </c>
      <c r="MW3" t="s">
        <v>8619</v>
      </c>
      <c r="NG3" t="s">
        <v>8953</v>
      </c>
      <c r="NQ3" t="s">
        <v>6408</v>
      </c>
      <c r="OA3" t="s">
        <v>7079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_xll.BDS("SMMF US Equity","SUPPLY_CHAIN_SUPPLIERS","RELATIONSHIP_AS_OF_DATE","20160601")</f>
        <v>#N/A N/A</v>
      </c>
      <c r="F5" t="str">
        <f>_xll.BDS("SMMF US Equity","SUPPLY_CHAIN_CUSTOMERS","RELATIONSHIP_AS_OF_DATE","20160601")</f>
        <v>#N/A N/A</v>
      </c>
      <c r="K5" t="str">
        <f>_xll.BDS("3075558Q US Equity","SUPPLY_CHAIN_SUPPLIERS","RELATIONSHIP_AS_OF_DATE","19980825")</f>
        <v>#N/A N/A</v>
      </c>
      <c r="P5" t="str">
        <f>_xll.BDS("3075558Q US Equity","SUPPLY_CHAIN_CUSTOMERS","RELATIONSHIP_AS_OF_DATE","19980825")</f>
        <v>#N/A N/A</v>
      </c>
      <c r="U5" t="str">
        <f>_xll.BDS("FFOH US Equity","SUPPLY_CHAIN_SUPPLIERS","RELATIONSHIP_AS_OF_DATE","19980929")</f>
        <v>#N/A N/A</v>
      </c>
      <c r="Z5" t="str">
        <f>_xll.BDS("FFOH US Equity","SUPPLY_CHAIN_CUSTOMERS","RELATIONSHIP_AS_OF_DATE","19980929")</f>
        <v>#N/A N/A</v>
      </c>
      <c r="AE5" t="str">
        <f>_xll.BDS("IEP US Equity","SUPPLY_CHAIN_SUPPLIERS","RELATIONSHIP_AS_OF_DATE","20020201","cols=1;rows=5")</f>
        <v>SMP US Equity</v>
      </c>
      <c r="AJ5" t="str">
        <f>_xll.BDS("IEP US Equity","SUPPLY_CHAIN_CUSTOMERS","RELATIONSHIP_AS_OF_DATE","20020201","cols=1;rows=2")</f>
        <v>FMGI IN Equity</v>
      </c>
      <c r="AO5" t="str">
        <f>_xll.BDS("MSFG US Equity","SUPPLY_CHAIN_SUPPLIERS","RELATIONSHIP_AS_OF_DATE","20050928")</f>
        <v>#N/A N/A</v>
      </c>
      <c r="AT5" t="str">
        <f>_xll.BDS("MSFG US Equity","SUPPLY_CHAIN_CUSTOMERS","RELATIONSHIP_AS_OF_DATE","20050928")</f>
        <v>#N/A N/A</v>
      </c>
      <c r="AY5" t="str">
        <f>_xll.BDS("SBBX US Equity","SUPPLY_CHAIN_SUPPLIERS","RELATIONSHIP_AS_OF_DATE","20170411")</f>
        <v>#N/A N/A</v>
      </c>
      <c r="BD5" t="str">
        <f>_xll.BDS("SBBX US Equity","SUPPLY_CHAIN_CUSTOMERS","RELATIONSHIP_AS_OF_DATE","20170411")</f>
        <v>#N/A N/A</v>
      </c>
      <c r="BI5" t="str">
        <f>_xll.BDS("GBBK US Equity","SUPPLY_CHAIN_SUPPLIERS","RELATIONSHIP_AS_OF_DATE","19990127")</f>
        <v>#N/A N/A</v>
      </c>
      <c r="BN5" t="str">
        <f>_xll.BDS("GBBK US Equity","SUPPLY_CHAIN_CUSTOMERS","RELATIONSHIP_AS_OF_DATE","19990127")</f>
        <v>#N/A N/A</v>
      </c>
      <c r="BS5" t="str">
        <f>_xll.BDS("2318580D US Equity","SUPPLY_CHAIN_SUPPLIERS","RELATIONSHIP_AS_OF_DATE","20070427")</f>
        <v>#N/A N/A</v>
      </c>
      <c r="BX5" t="str">
        <f>_xll.BDS("2318580D US Equity","SUPPLY_CHAIN_CUSTOMERS","RELATIONSHIP_AS_OF_DATE","20070427")</f>
        <v>#N/A N/A</v>
      </c>
      <c r="CC5" t="str">
        <f>_xll.BDS("CARO US Equity","SUPPLY_CHAIN_SUPPLIERS","RELATIONSHIP_AS_OF_DATE","20161108")</f>
        <v>#N/A N/A</v>
      </c>
      <c r="CH5" t="str">
        <f>_xll.BDS("CARO US Equity","SUPPLY_CHAIN_CUSTOMERS","RELATIONSHIP_AS_OF_DATE","20161108")</f>
        <v>#N/A N/A</v>
      </c>
      <c r="CM5" t="str">
        <f>_xll.BDS("APOL US Equity","SUPPLY_CHAIN_SUPPLIERS","RELATIONSHIP_AS_OF_DATE","20070808")</f>
        <v>#N/A N/A</v>
      </c>
      <c r="CR5" t="str">
        <f>_xll.BDS("APOL US Equity","SUPPLY_CHAIN_CUSTOMERS","RELATIONSHIP_AS_OF_DATE","20070808")</f>
        <v>#N/A N/A</v>
      </c>
      <c r="CW5" t="str">
        <f>_xll.BDS("FNIN US Equity","SUPPLY_CHAIN_SUPPLIERS","RELATIONSHIP_AS_OF_DATE","20010118")</f>
        <v>#N/A N/A</v>
      </c>
      <c r="DB5" t="str">
        <f>_xll.BDS("FNIN US Equity","SUPPLY_CHAIN_CUSTOMERS","RELATIONSHIP_AS_OF_DATE","20010118")</f>
        <v>#N/A N/A</v>
      </c>
      <c r="DG5" t="str">
        <f>_xll.BDS("ETFC US Equity","SUPPLY_CHAIN_SUPPLIERS","RELATIONSHIP_AS_OF_DATE","20010521")</f>
        <v>#N/A N/A</v>
      </c>
      <c r="DL5" t="str">
        <f>_xll.BDS("ETFC US Equity","SUPPLY_CHAIN_CUSTOMERS","RELATIONSHIP_AS_OF_DATE","20010521")</f>
        <v>#N/A N/A</v>
      </c>
      <c r="DQ5" t="str">
        <f>_xll.BDS("BMRC US Equity","SUPPLY_CHAIN_SUPPLIERS","RELATIONSHIP_AS_OF_DATE","20170731")</f>
        <v>#N/A N/A</v>
      </c>
      <c r="DV5" t="str">
        <f>_xll.BDS("BMRC US Equity","SUPPLY_CHAIN_CUSTOMERS","RELATIONSHIP_AS_OF_DATE","20170731")</f>
        <v>#N/A N/A</v>
      </c>
      <c r="EA5" t="str">
        <f>_xll.BDS("ORCL US Equity","SUPPLY_CHAIN_SUPPLIERS","RELATIONSHIP_AS_OF_DATE","19981110","cols=1;rows=5")</f>
        <v>NVDA US Equity</v>
      </c>
      <c r="EF5" t="str">
        <f>_xll.BDS("ORCL US Equity","SUPPLY_CHAIN_CUSTOMERS","RELATIONSHIP_AS_OF_DATE","19981110","cols=1;rows=5")</f>
        <v>ACN US Equity</v>
      </c>
      <c r="EK5" t="str">
        <f>_xll.BDS("KGM US Equity","SUPPLY_CHAIN_SUPPLIERS","RELATIONSHIP_AS_OF_DATE","19980128")</f>
        <v>#N/A N/A</v>
      </c>
      <c r="EP5" t="str">
        <f>_xll.BDS("KGM US Equity","SUPPLY_CHAIN_CUSTOMERS","RELATIONSHIP_AS_OF_DATE","19980128")</f>
        <v>#N/A N/A</v>
      </c>
      <c r="EU5" t="str">
        <f>_xll.BDS("SPLP US Equity","SUPPLY_CHAIN_SUPPLIERS","RELATIONSHIP_AS_OF_DATE","20220107","cols=1;rows=5")</f>
        <v>1116L US Equity</v>
      </c>
      <c r="EZ5" t="str">
        <f>_xll.BDS("SPLP US Equity","SUPPLY_CHAIN_CUSTOMERS","RELATIONSHIP_AS_OF_DATE","20220107","cols=1;rows=5")</f>
        <v>SNX US Equity</v>
      </c>
      <c r="FE5" t="str">
        <f>_xll.BDS("CLDA US Equity","SUPPLY_CHAIN_SUPPLIERS","RELATIONSHIP_AS_OF_DATE","20050621")</f>
        <v>#N/A N/A</v>
      </c>
      <c r="FJ5" t="str">
        <f>_xll.BDS("CLDA US Equity","SUPPLY_CHAIN_CUSTOMERS","RELATIONSHIP_AS_OF_DATE","20050621")</f>
        <v>#N/A N/A</v>
      </c>
      <c r="FO5" t="str">
        <f>_xll.BDS("FNLC US Equity","SUPPLY_CHAIN_SUPPLIERS","RELATIONSHIP_AS_OF_DATE","20040826")</f>
        <v>#N/A N/A</v>
      </c>
      <c r="FT5" t="str">
        <f>_xll.BDS("FNLC US Equity","SUPPLY_CHAIN_CUSTOMERS","RELATIONSHIP_AS_OF_DATE","20040826")</f>
        <v>#N/A N/A</v>
      </c>
      <c r="FY5" t="str">
        <f>_xll.BDS("CICN US Equity","SUPPLY_CHAIN_SUPPLIERS","RELATIONSHIP_AS_OF_DATE","19991020")</f>
        <v>#N/A N/A</v>
      </c>
      <c r="GD5" t="str">
        <f>_xll.BDS("CICN US Equity","SUPPLY_CHAIN_CUSTOMERS","RELATIONSHIP_AS_OF_DATE","19991020")</f>
        <v>#N/A N/A</v>
      </c>
      <c r="GI5" t="str">
        <f>_xll.BDS("PGI US Equity","SUPPLY_CHAIN_SUPPLIERS","RELATIONSHIP_AS_OF_DATE","20130904")</f>
        <v>#N/A N/A</v>
      </c>
      <c r="GN5" t="str">
        <f>_xll.BDS("PGI US Equity","SUPPLY_CHAIN_CUSTOMERS","RELATIONSHIP_AS_OF_DATE","20130904")</f>
        <v>SNX US Equity</v>
      </c>
      <c r="GS5" t="str">
        <f>_xll.BDS("CJBK US Equity","SUPPLY_CHAIN_SUPPLIERS","RELATIONSHIP_AS_OF_DATE","20040630")</f>
        <v>#N/A N/A</v>
      </c>
      <c r="GX5" t="str">
        <f>_xll.BDS("CJBK US Equity","SUPPLY_CHAIN_CUSTOMERS","RELATIONSHIP_AS_OF_DATE","20040630")</f>
        <v>#N/A N/A</v>
      </c>
      <c r="HC5" t="str">
        <f>_xll.BDS("ANLD US Equity","SUPPLY_CHAIN_SUPPLIERS","RELATIONSHIP_AS_OF_DATE","19990831")</f>
        <v>#N/A N/A</v>
      </c>
      <c r="HH5" t="str">
        <f>_xll.BDS("ANLD US Equity","SUPPLY_CHAIN_CUSTOMERS","RELATIONSHIP_AS_OF_DATE","19990831")</f>
        <v>#N/A N/A</v>
      </c>
      <c r="HM5" t="str">
        <f>_xll.BDS("HAIN US Equity","SUPPLY_CHAIN_SUPPLIERS","RELATIONSHIP_AS_OF_DATE","20050823","cols=1;rows=5")</f>
        <v>KDP US Equity</v>
      </c>
      <c r="HR5" t="str">
        <f>_xll.BDS("HAIN US Equity","SUPPLY_CHAIN_CUSTOMERS","RELATIONSHIP_AS_OF_DATE","20050823","cols=1;rows=5")</f>
        <v>WMT US Equity</v>
      </c>
      <c r="HW5" t="str">
        <f>_xll.BDS("ENERQ US Equity","SUPPLY_CHAIN_SUPPLIERS","RELATIONSHIP_AS_OF_DATE","20090722")</f>
        <v>#N/A N/A</v>
      </c>
      <c r="IB5" t="str">
        <f>_xll.BDS("ENERQ US Equity","SUPPLY_CHAIN_CUSTOMERS","RELATIONSHIP_AS_OF_DATE","20090722")</f>
        <v>#N/A N/A</v>
      </c>
      <c r="IG5" t="str">
        <f>_xll.BDS("NGEN US Equity","SUPPLY_CHAIN_SUPPLIERS","RELATIONSHIP_AS_OF_DATE","20040907")</f>
        <v>#N/A N/A</v>
      </c>
      <c r="IL5" t="str">
        <f>_xll.BDS("NGEN US Equity","SUPPLY_CHAIN_CUSTOMERS","RELATIONSHIP_AS_OF_DATE","20040907")</f>
        <v>#N/A N/A</v>
      </c>
      <c r="IQ5" t="str">
        <f>_xll.BDS("MCK US Equity","SUPPLY_CHAIN_SUPPLIERS","RELATIONSHIP_AS_OF_DATE","20040120","cols=1;rows=5")</f>
        <v>ABBV US Equity</v>
      </c>
      <c r="IV5" t="str">
        <f>_xll.BDS("MCK US Equity","SUPPLY_CHAIN_CUSTOMERS","RELATIONSHIP_AS_OF_DATE","20040120","cols=1;rows=5")</f>
        <v>CVS US Equity</v>
      </c>
      <c r="JA5" t="str">
        <f>_xll.BDS("NETM US Equity","SUPPLY_CHAIN_SUPPLIERS","RELATIONSHIP_AS_OF_DATE","19980615")</f>
        <v>#N/A N/A</v>
      </c>
      <c r="JF5" t="str">
        <f>_xll.BDS("NETM US Equity","SUPPLY_CHAIN_CUSTOMERS","RELATIONSHIP_AS_OF_DATE","19980615")</f>
        <v>#N/A N/A</v>
      </c>
      <c r="JK5" t="str">
        <f>_xll.BDS("SUSQ US Equity","SUPPLY_CHAIN_SUPPLIERS","RELATIONSHIP_AS_OF_DATE","19980414")</f>
        <v>#N/A N/A</v>
      </c>
      <c r="JP5" t="str">
        <f>_xll.BDS("SUSQ US Equity","SUPPLY_CHAIN_CUSTOMERS","RELATIONSHIP_AS_OF_DATE","19980414")</f>
        <v>#N/A N/A</v>
      </c>
      <c r="JU5" t="str">
        <f>_xll.BDS("SASR US Equity","SUPPLY_CHAIN_SUPPLIERS","RELATIONSHIP_AS_OF_DATE","20061214")</f>
        <v>#N/A N/A</v>
      </c>
      <c r="JZ5" t="str">
        <f>_xll.BDS("SASR US Equity","SUPPLY_CHAIN_CUSTOMERS","RELATIONSHIP_AS_OF_DATE","20061214")</f>
        <v>#N/A N/A</v>
      </c>
      <c r="KE5" t="str">
        <f>_xll.BDS("MCLDQ US Equity","SUPPLY_CHAIN_SUPPLIERS","RELATIONSHIP_AS_OF_DATE","20010319")</f>
        <v>#N/A N/A</v>
      </c>
      <c r="KJ5" t="str">
        <f>_xll.BDS("MCLDQ US Equity","SUPPLY_CHAIN_CUSTOMERS","RELATIONSHIP_AS_OF_DATE","20010319")</f>
        <v>#N/A N/A</v>
      </c>
      <c r="KO5" t="str">
        <f>_xll.BDS("ZANYQ US Equity","SUPPLY_CHAIN_SUPPLIERS","RELATIONSHIP_AS_OF_DATE","20000424")</f>
        <v>#N/A N/A</v>
      </c>
      <c r="KT5" t="str">
        <f>_xll.BDS("ZANYQ US Equity","SUPPLY_CHAIN_CUSTOMERS","RELATIONSHIP_AS_OF_DATE","20000424")</f>
        <v>#N/A N/A</v>
      </c>
      <c r="KY5" t="str">
        <f>_xll.BDS("BKH US Equity","SUPPLY_CHAIN_SUPPLIERS","RELATIONSHIP_AS_OF_DATE","20021001")</f>
        <v>BW US Equity</v>
      </c>
      <c r="LD5" t="str">
        <f>_xll.BDS("BKH US Equity","SUPPLY_CHAIN_CUSTOMERS","RELATIONSHIP_AS_OF_DATE","20021001","cols=1;rows=5")</f>
        <v>NEM US Equity</v>
      </c>
      <c r="LI5" t="str">
        <f>_xll.BDS("CNMD US Equity","SUPPLY_CHAIN_SUPPLIERS","RELATIONSHIP_AS_OF_DATE","20030113","cols=1;rows=5")</f>
        <v>SODI US Equity</v>
      </c>
      <c r="LN5" t="str">
        <f>_xll.BDS("CNMD US Equity","SUPPLY_CHAIN_CUSTOMERS","RELATIONSHIP_AS_OF_DATE","20030113","cols=1;rows=2")</f>
        <v>3352Z US Equity</v>
      </c>
      <c r="LS5" t="str">
        <f>_xll.BDS("FHI US Equity","SUPPLY_CHAIN_SUPPLIERS","RELATIONSHIP_AS_OF_DATE","20080715","cols=1;rows=2")</f>
        <v>BUC LN Equity</v>
      </c>
      <c r="LX5" t="str">
        <f>_xll.BDS("FHI US Equity","SUPPLY_CHAIN_CUSTOMERS","RELATIONSHIP_AS_OF_DATE","20080715")</f>
        <v>#N/A N/A</v>
      </c>
      <c r="MC5" t="str">
        <f>_xll.BDS("SJNB US Equity","SUPPLY_CHAIN_SUPPLIERS","RELATIONSHIP_AS_OF_DATE","19990827")</f>
        <v>#N/A N/A</v>
      </c>
      <c r="MH5" t="str">
        <f>_xll.BDS("SJNB US Equity","SUPPLY_CHAIN_CUSTOMERS","RELATIONSHIP_AS_OF_DATE","19990827")</f>
        <v>#N/A N/A</v>
      </c>
      <c r="MM5" t="str">
        <f>_xll.BDS("CACI US Equity","SUPPLY_CHAIN_SUPPLIERS","RELATIONSHIP_AS_OF_DATE","19980519","cols=1;rows=5")</f>
        <v>CDP US Equity</v>
      </c>
      <c r="MR5" t="str">
        <f>_xll.BDS("CACI US Equity","SUPPLY_CHAIN_CUSTOMERS","RELATIONSHIP_AS_OF_DATE","19980519","cols=1;rows=5")</f>
        <v>3352Z US Equity</v>
      </c>
      <c r="MW5" t="str">
        <f>_xll.BDS("BSBN US Equity","SUPPLY_CHAIN_SUPPLIERS","RELATIONSHIP_AS_OF_DATE","19990125")</f>
        <v>#N/A N/A</v>
      </c>
      <c r="NB5" t="str">
        <f>_xll.BDS("BSBN US Equity","SUPPLY_CHAIN_CUSTOMERS","RELATIONSHIP_AS_OF_DATE","19990125")</f>
        <v>#N/A N/A</v>
      </c>
      <c r="NG5" t="str">
        <f>_xll.BDS("3562186Q US Equity","SUPPLY_CHAIN_SUPPLIERS","RELATIONSHIP_AS_OF_DATE","19980210")</f>
        <v>#N/A N/A</v>
      </c>
      <c r="NL5" t="str">
        <f>_xll.BDS("3562186Q US Equity","SUPPLY_CHAIN_CUSTOMERS","RELATIONSHIP_AS_OF_DATE","19980210")</f>
        <v>#N/A N/A</v>
      </c>
      <c r="NQ5" t="str">
        <f>_xll.BDS("BLKB US Equity","SUPPLY_CHAIN_SUPPLIERS","RELATIONSHIP_AS_OF_DATE","20080529","cols=1;rows=2")</f>
        <v>0170016D US Equity</v>
      </c>
      <c r="NV5" t="str">
        <f>_xll.BDS("BLKB US Equity","SUPPLY_CHAIN_CUSTOMERS","RELATIONSHIP_AS_OF_DATE","20080529","cols=1;rows=5")</f>
        <v>0153039D US Equity</v>
      </c>
      <c r="OA5" t="str">
        <f>_xll.BDS("PRGS US Equity","SUPPLY_CHAIN_SUPPLIERS","RELATIONSHIP_AS_OF_DATE","20051220","cols=1;rows=5")</f>
        <v>DDOG US Equity</v>
      </c>
      <c r="OF5" t="str">
        <f>_xll.BDS("PRGS US Equity","SUPPLY_CHAIN_CUSTOMERS","RELATIONSHIP_AS_OF_DATE","20051220","cols=1;rows=5")</f>
        <v>TSCO LN Equity</v>
      </c>
    </row>
    <row r="6" spans="1:396" x14ac:dyDescent="0.25">
      <c r="AE6" t="s">
        <v>10873</v>
      </c>
      <c r="AJ6" t="s">
        <v>10812</v>
      </c>
      <c r="EA6" t="s">
        <v>162</v>
      </c>
      <c r="EF6" t="s">
        <v>469</v>
      </c>
      <c r="EU6" t="s">
        <v>2111</v>
      </c>
      <c r="EZ6" t="s">
        <v>11321</v>
      </c>
      <c r="HM6" t="s">
        <v>11255</v>
      </c>
      <c r="HR6" t="s">
        <v>5983</v>
      </c>
      <c r="IQ6" t="s">
        <v>368</v>
      </c>
      <c r="IV6" t="s">
        <v>10676</v>
      </c>
      <c r="LD6" t="s">
        <v>11038</v>
      </c>
      <c r="LI6" t="s">
        <v>11048</v>
      </c>
      <c r="LN6" t="s">
        <v>11011</v>
      </c>
      <c r="LS6" t="s">
        <v>11261</v>
      </c>
      <c r="MM6" t="s">
        <v>10878</v>
      </c>
      <c r="MR6" t="s">
        <v>10801</v>
      </c>
      <c r="NQ6" t="s">
        <v>11157</v>
      </c>
      <c r="NV6" t="s">
        <v>10702</v>
      </c>
      <c r="OA6" t="s">
        <v>11064</v>
      </c>
      <c r="OF6" t="s">
        <v>4219</v>
      </c>
    </row>
    <row r="7" spans="1:396" x14ac:dyDescent="0.25">
      <c r="AE7" t="s">
        <v>10874</v>
      </c>
      <c r="EA7" t="s">
        <v>279</v>
      </c>
      <c r="EF7" t="s">
        <v>2881</v>
      </c>
      <c r="EU7" t="s">
        <v>693</v>
      </c>
      <c r="EZ7" t="s">
        <v>11322</v>
      </c>
      <c r="HM7" t="s">
        <v>11256</v>
      </c>
      <c r="HR7" t="s">
        <v>1736</v>
      </c>
      <c r="IQ7" t="s">
        <v>43</v>
      </c>
      <c r="IV7" t="s">
        <v>10882</v>
      </c>
      <c r="LD7" t="s">
        <v>11039</v>
      </c>
      <c r="LI7" t="s">
        <v>10851</v>
      </c>
      <c r="MM7" t="s">
        <v>469</v>
      </c>
      <c r="MR7" t="s">
        <v>10802</v>
      </c>
      <c r="NV7" t="s">
        <v>10703</v>
      </c>
      <c r="OA7" t="s">
        <v>10957</v>
      </c>
      <c r="OF7" t="s">
        <v>10660</v>
      </c>
    </row>
    <row r="8" spans="1:396" x14ac:dyDescent="0.25">
      <c r="AE8" t="s">
        <v>10875</v>
      </c>
      <c r="EA8" t="s">
        <v>10818</v>
      </c>
      <c r="EF8" t="s">
        <v>52</v>
      </c>
      <c r="EU8" t="s">
        <v>260</v>
      </c>
      <c r="EZ8" t="s">
        <v>10853</v>
      </c>
      <c r="HM8" t="s">
        <v>10751</v>
      </c>
      <c r="HR8" t="s">
        <v>10646</v>
      </c>
      <c r="IQ8" t="s">
        <v>870</v>
      </c>
      <c r="IV8" t="s">
        <v>10883</v>
      </c>
      <c r="LD8" t="s">
        <v>11040</v>
      </c>
      <c r="LI8" t="s">
        <v>260</v>
      </c>
      <c r="MM8" t="s">
        <v>10879</v>
      </c>
      <c r="MR8" t="s">
        <v>10803</v>
      </c>
      <c r="NV8" t="s">
        <v>10704</v>
      </c>
      <c r="OA8" t="s">
        <v>11141</v>
      </c>
      <c r="OF8" t="s">
        <v>10787</v>
      </c>
    </row>
    <row r="9" spans="1:396" x14ac:dyDescent="0.25">
      <c r="AE9" t="s">
        <v>10876</v>
      </c>
      <c r="EA9" t="s">
        <v>384</v>
      </c>
      <c r="EF9" t="s">
        <v>472</v>
      </c>
      <c r="EU9" t="s">
        <v>10715</v>
      </c>
      <c r="EZ9" t="s">
        <v>10787</v>
      </c>
      <c r="HM9" t="s">
        <v>11257</v>
      </c>
      <c r="HR9" t="s">
        <v>10690</v>
      </c>
      <c r="IQ9" t="s">
        <v>44</v>
      </c>
      <c r="IV9" t="s">
        <v>10925</v>
      </c>
      <c r="LD9" t="s">
        <v>11041</v>
      </c>
      <c r="LI9" t="s">
        <v>3150</v>
      </c>
      <c r="MM9" t="s">
        <v>10820</v>
      </c>
      <c r="MR9" t="s">
        <v>10804</v>
      </c>
      <c r="NV9" t="s">
        <v>10705</v>
      </c>
      <c r="OA9" t="s">
        <v>10811</v>
      </c>
      <c r="OF9" t="s">
        <v>11115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8954</v>
      </c>
      <c r="K1" s="1" t="s">
        <v>8955</v>
      </c>
      <c r="U1" s="1" t="s">
        <v>8956</v>
      </c>
      <c r="AE1" s="1" t="s">
        <v>8957</v>
      </c>
      <c r="AO1" s="1" t="s">
        <v>8958</v>
      </c>
      <c r="AY1" s="1" t="s">
        <v>8959</v>
      </c>
      <c r="BI1" s="1" t="s">
        <v>8960</v>
      </c>
      <c r="BS1" s="1" t="s">
        <v>8961</v>
      </c>
      <c r="CC1" s="1" t="s">
        <v>8962</v>
      </c>
      <c r="CM1" s="1" t="s">
        <v>8963</v>
      </c>
      <c r="CW1" s="1" t="s">
        <v>8964</v>
      </c>
      <c r="DG1" s="1" t="s">
        <v>8965</v>
      </c>
      <c r="DQ1" s="1" t="s">
        <v>8966</v>
      </c>
      <c r="EA1" s="1" t="s">
        <v>8967</v>
      </c>
      <c r="EK1" s="1" t="s">
        <v>8968</v>
      </c>
      <c r="EU1" s="1" t="s">
        <v>8969</v>
      </c>
      <c r="FE1" s="1" t="s">
        <v>8970</v>
      </c>
      <c r="FO1" s="1" t="s">
        <v>8971</v>
      </c>
      <c r="FY1" s="1" t="s">
        <v>8972</v>
      </c>
      <c r="GI1" s="1" t="s">
        <v>8973</v>
      </c>
      <c r="GS1" s="1" t="s">
        <v>8974</v>
      </c>
      <c r="HC1" s="1" t="s">
        <v>8975</v>
      </c>
      <c r="HM1" s="1" t="s">
        <v>8976</v>
      </c>
      <c r="HW1" s="1" t="s">
        <v>8977</v>
      </c>
      <c r="IG1" s="1" t="s">
        <v>8978</v>
      </c>
      <c r="IQ1" s="1" t="s">
        <v>8979</v>
      </c>
      <c r="JA1" s="1" t="s">
        <v>8980</v>
      </c>
      <c r="JK1" s="1" t="s">
        <v>8981</v>
      </c>
      <c r="JU1" s="1" t="s">
        <v>8982</v>
      </c>
      <c r="KE1" s="1" t="s">
        <v>8983</v>
      </c>
      <c r="KO1" s="1" t="s">
        <v>8984</v>
      </c>
      <c r="KY1" s="1" t="s">
        <v>8985</v>
      </c>
      <c r="LI1" s="1" t="s">
        <v>8986</v>
      </c>
      <c r="LS1" s="1" t="s">
        <v>8987</v>
      </c>
      <c r="MC1" s="1" t="s">
        <v>8988</v>
      </c>
      <c r="MM1" s="1" t="s">
        <v>8989</v>
      </c>
      <c r="MW1" s="1" t="s">
        <v>8990</v>
      </c>
      <c r="NG1" s="1" t="s">
        <v>8991</v>
      </c>
      <c r="NQ1" s="1" t="s">
        <v>8992</v>
      </c>
      <c r="OA1" s="1" t="s">
        <v>8993</v>
      </c>
    </row>
    <row r="2" spans="1:396" x14ac:dyDescent="0.25">
      <c r="A2" s="2" t="s">
        <v>8994</v>
      </c>
      <c r="K2" s="2" t="s">
        <v>8995</v>
      </c>
      <c r="U2" s="2" t="s">
        <v>792</v>
      </c>
      <c r="AE2" s="2" t="s">
        <v>4380</v>
      </c>
      <c r="AO2" s="2" t="s">
        <v>8996</v>
      </c>
      <c r="AY2" s="2" t="s">
        <v>8997</v>
      </c>
      <c r="BI2" s="2" t="s">
        <v>8998</v>
      </c>
      <c r="BS2" s="2" t="s">
        <v>8999</v>
      </c>
      <c r="CC2" s="2" t="s">
        <v>4811</v>
      </c>
      <c r="CM2" s="2" t="s">
        <v>8838</v>
      </c>
      <c r="CW2" s="2" t="s">
        <v>5064</v>
      </c>
      <c r="DG2" s="2" t="s">
        <v>7225</v>
      </c>
      <c r="DQ2" s="2" t="s">
        <v>5337</v>
      </c>
      <c r="EA2" s="2" t="s">
        <v>7691</v>
      </c>
      <c r="EK2" s="2" t="s">
        <v>9000</v>
      </c>
      <c r="EU2" s="2" t="s">
        <v>1642</v>
      </c>
      <c r="FE2" s="2" t="s">
        <v>7471</v>
      </c>
      <c r="FO2" s="2" t="s">
        <v>9001</v>
      </c>
      <c r="FY2" s="2" t="s">
        <v>8165</v>
      </c>
      <c r="GI2" s="2" t="s">
        <v>5915</v>
      </c>
      <c r="GS2" s="2" t="s">
        <v>4034</v>
      </c>
      <c r="HC2" s="2" t="s">
        <v>9002</v>
      </c>
      <c r="HM2" s="2" t="s">
        <v>9003</v>
      </c>
      <c r="HW2" s="2" t="s">
        <v>9004</v>
      </c>
      <c r="IG2" s="2" t="s">
        <v>9005</v>
      </c>
      <c r="IQ2" s="2" t="s">
        <v>9006</v>
      </c>
      <c r="JA2" s="2" t="s">
        <v>3617</v>
      </c>
      <c r="JK2" s="2" t="s">
        <v>8301</v>
      </c>
      <c r="JU2" s="2" t="s">
        <v>3530</v>
      </c>
      <c r="KE2" s="2" t="s">
        <v>8166</v>
      </c>
      <c r="KO2" s="2" t="s">
        <v>9007</v>
      </c>
      <c r="KY2" s="2" t="s">
        <v>9008</v>
      </c>
      <c r="LI2" s="2" t="s">
        <v>6310</v>
      </c>
      <c r="LS2" s="2" t="s">
        <v>9009</v>
      </c>
      <c r="MC2" s="2" t="s">
        <v>8847</v>
      </c>
      <c r="MM2" s="2" t="s">
        <v>9010</v>
      </c>
      <c r="MW2" s="2" t="s">
        <v>4985</v>
      </c>
      <c r="NG2" s="2" t="s">
        <v>7209</v>
      </c>
      <c r="NQ2" s="2" t="s">
        <v>9011</v>
      </c>
      <c r="OA2" s="2" t="s">
        <v>6721</v>
      </c>
    </row>
    <row r="3" spans="1:396" x14ac:dyDescent="0.25">
      <c r="A3" t="s">
        <v>9012</v>
      </c>
      <c r="K3" t="s">
        <v>9013</v>
      </c>
      <c r="U3" t="s">
        <v>9014</v>
      </c>
      <c r="AE3" t="s">
        <v>9015</v>
      </c>
      <c r="AO3" t="s">
        <v>9016</v>
      </c>
      <c r="AY3" t="s">
        <v>9017</v>
      </c>
      <c r="BI3" t="s">
        <v>1977</v>
      </c>
      <c r="BS3" t="s">
        <v>9018</v>
      </c>
      <c r="CC3" t="s">
        <v>4241</v>
      </c>
      <c r="CM3" t="s">
        <v>7931</v>
      </c>
      <c r="CW3" t="s">
        <v>3450</v>
      </c>
      <c r="DG3" t="s">
        <v>9019</v>
      </c>
      <c r="DQ3" t="s">
        <v>2432</v>
      </c>
      <c r="EA3" t="s">
        <v>4241</v>
      </c>
      <c r="EK3" t="s">
        <v>9020</v>
      </c>
      <c r="EU3" t="s">
        <v>9021</v>
      </c>
      <c r="FE3" t="s">
        <v>9022</v>
      </c>
      <c r="FO3" t="s">
        <v>9023</v>
      </c>
      <c r="FY3" t="s">
        <v>1574</v>
      </c>
      <c r="GI3" t="s">
        <v>9024</v>
      </c>
      <c r="GS3" t="s">
        <v>8471</v>
      </c>
      <c r="HC3" t="s">
        <v>9025</v>
      </c>
      <c r="HM3" t="s">
        <v>4057</v>
      </c>
      <c r="HW3" t="s">
        <v>7633</v>
      </c>
      <c r="IG3" t="s">
        <v>9026</v>
      </c>
      <c r="IQ3" t="s">
        <v>811</v>
      </c>
      <c r="JA3" t="s">
        <v>6827</v>
      </c>
      <c r="JK3" t="s">
        <v>9027</v>
      </c>
      <c r="JU3" t="s">
        <v>9028</v>
      </c>
      <c r="KE3" t="s">
        <v>9029</v>
      </c>
      <c r="KO3" t="s">
        <v>9030</v>
      </c>
      <c r="KY3" t="s">
        <v>9031</v>
      </c>
      <c r="LI3" t="s">
        <v>2055</v>
      </c>
      <c r="LS3" t="s">
        <v>9032</v>
      </c>
      <c r="MC3" t="s">
        <v>9033</v>
      </c>
      <c r="MM3" t="s">
        <v>3899</v>
      </c>
      <c r="MW3" t="s">
        <v>8179</v>
      </c>
      <c r="NG3" t="s">
        <v>322</v>
      </c>
      <c r="NQ3" t="s">
        <v>9034</v>
      </c>
      <c r="OA3" t="s">
        <v>9035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_xll.BDS("1448062D US Equity","SUPPLY_CHAIN_SUPPLIERS","RELATIONSHIP_AS_OF_DATE","20080418")</f>
        <v>#N/A N/A</v>
      </c>
      <c r="F5" t="str">
        <f>_xll.BDS("1448062D US Equity","SUPPLY_CHAIN_CUSTOMERS","RELATIONSHIP_AS_OF_DATE","20080418")</f>
        <v>#N/A N/A</v>
      </c>
      <c r="K5" t="str">
        <f>_xll.BDS("MBCRQ US Equity","SUPPLY_CHAIN_SUPPLIERS","RELATIONSHIP_AS_OF_DATE","20060531")</f>
        <v>#N/A N/A</v>
      </c>
      <c r="P5" t="str">
        <f>_xll.BDS("MBCRQ US Equity","SUPPLY_CHAIN_CUSTOMERS","RELATIONSHIP_AS_OF_DATE","20060531")</f>
        <v>#N/A N/A</v>
      </c>
      <c r="U5" t="str">
        <f>_xll.BDS("COHR US Equity","SUPPLY_CHAIN_SUPPLIERS","RELATIONSHIP_AS_OF_DATE","20000605","cols=1;rows=5")</f>
        <v>AVGO US Equity</v>
      </c>
      <c r="Z5" t="str">
        <f>_xll.BDS("COHR US Equity","SUPPLY_CHAIN_CUSTOMERS","RELATIONSHIP_AS_OF_DATE","20000605","cols=1;rows=5")</f>
        <v>HPE US Equity</v>
      </c>
      <c r="AE5" t="str">
        <f>_xll.BDS("UCB US Equity","SUPPLY_CHAIN_SUPPLIERS","RELATIONSHIP_AS_OF_DATE","20030123")</f>
        <v>3764228Z US Equity</v>
      </c>
      <c r="AJ5" t="str">
        <f>_xll.BDS("UCB US Equity","SUPPLY_CHAIN_CUSTOMERS","RELATIONSHIP_AS_OF_DATE","20030123")</f>
        <v>#N/A N/A</v>
      </c>
      <c r="AO5" t="str">
        <f>_xll.BDS("TYPE US Equity","SUPPLY_CHAIN_SUPPLIERS","RELATIONSHIP_AS_OF_DATE","20111110","cols=1;rows=2")</f>
        <v>NG/ LN Equity</v>
      </c>
      <c r="AT5" t="str">
        <f>_xll.BDS("TYPE US Equity","SUPPLY_CHAIN_CUSTOMERS","RELATIONSHIP_AS_OF_DATE","20111110")</f>
        <v>WIX US Equity</v>
      </c>
      <c r="AY5" t="str">
        <f>_xll.BDS("RBBN US Equity","SUPPLY_CHAIN_SUPPLIERS","RELATIONSHIP_AS_OF_DATE","20120619","cols=1;rows=5")</f>
        <v>PRV-U CN Equity</v>
      </c>
      <c r="BD5" t="str">
        <f>_xll.BDS("RBBN US Equity","SUPPLY_CHAIN_CUSTOMERS","RELATIONSHIP_AS_OF_DATE","20120619","cols=1;rows=5")</f>
        <v>VZ US Equity</v>
      </c>
      <c r="BI5" t="str">
        <f>_xll.BDS("WTFC US Equity","SUPPLY_CHAIN_SUPPLIERS","RELATIONSHIP_AS_OF_DATE","20150302","cols=1;rows=2")</f>
        <v>VYX US Equity</v>
      </c>
      <c r="BN5" t="str">
        <f>_xll.BDS("WTFC US Equity","SUPPLY_CHAIN_CUSTOMERS","RELATIONSHIP_AS_OF_DATE","20150302")</f>
        <v>#N/A N/A</v>
      </c>
      <c r="BS5" t="str">
        <f>_xll.BDS("1763635D US Equity","SUPPLY_CHAIN_SUPPLIERS","RELATIONSHIP_AS_OF_DATE","20061004")</f>
        <v>#N/A N/A</v>
      </c>
      <c r="BX5" t="str">
        <f>_xll.BDS("1763635D US Equity","SUPPLY_CHAIN_CUSTOMERS","RELATIONSHIP_AS_OF_DATE","20061004")</f>
        <v>#N/A N/A</v>
      </c>
      <c r="CC5" t="str">
        <f>_xll.BDS("ILA US Equity","SUPPLY_CHAIN_SUPPLIERS","RELATIONSHIP_AS_OF_DATE","19981112")</f>
        <v>#N/A N/A</v>
      </c>
      <c r="CH5" t="str">
        <f>_xll.BDS("ILA US Equity","SUPPLY_CHAIN_CUSTOMERS","RELATIONSHIP_AS_OF_DATE","19981112")</f>
        <v>#N/A N/A</v>
      </c>
      <c r="CM5" t="str">
        <f>_xll.BDS("3470770Q US Equity","SUPPLY_CHAIN_SUPPLIERS","RELATIONSHIP_AS_OF_DATE","20010801")</f>
        <v>#N/A N/A</v>
      </c>
      <c r="CR5" t="str">
        <f>_xll.BDS("3470770Q US Equity","SUPPLY_CHAIN_CUSTOMERS","RELATIONSHIP_AS_OF_DATE","20010801")</f>
        <v>#N/A N/A</v>
      </c>
      <c r="CW5" t="str">
        <f>_xll.BDS("CFR US Equity","SUPPLY_CHAIN_SUPPLIERS","RELATIONSHIP_AS_OF_DATE","19990217","cols=1;rows=4")</f>
        <v>INFO IN Equity</v>
      </c>
      <c r="DB5" t="str">
        <f>_xll.BDS("CFR US Equity","SUPPLY_CHAIN_CUSTOMERS","RELATIONSHIP_AS_OF_DATE","19990217")</f>
        <v>#N/A N/A</v>
      </c>
      <c r="DG5" t="str">
        <f>_xll.BDS("INVA US Equity","SUPPLY_CHAIN_SUPPLIERS","RELATIONSHIP_AS_OF_DATE","20220523","cols=1;rows=5")</f>
        <v>7431Z US Equity</v>
      </c>
      <c r="DL5" t="str">
        <f>_xll.BDS("INVA US Equity","SUPPLY_CHAIN_CUSTOMERS","RELATIONSHIP_AS_OF_DATE","20220523","cols=1;rows=5")</f>
        <v>GSK LN Equity</v>
      </c>
      <c r="DQ5" t="str">
        <f>_xll.BDS("CBU US Equity","SUPPLY_CHAIN_SUPPLIERS","RELATIONSHIP_AS_OF_DATE","20060421")</f>
        <v>#N/A N/A</v>
      </c>
      <c r="DV5" t="str">
        <f>_xll.BDS("CBU US Equity","SUPPLY_CHAIN_CUSTOMERS","RELATIONSHIP_AS_OF_DATE","20060421")</f>
        <v>#N/A N/A</v>
      </c>
      <c r="EA5" t="str">
        <f>_xll.BDS("VRSOQ US Equity","SUPPLY_CHAIN_SUPPLIERS","RELATIONSHIP_AS_OF_DATE","19981112")</f>
        <v>#N/A N/A</v>
      </c>
      <c r="EF5" t="str">
        <f>_xll.BDS("VRSOQ US Equity","SUPPLY_CHAIN_CUSTOMERS","RELATIONSHIP_AS_OF_DATE","19981112")</f>
        <v>#N/A N/A</v>
      </c>
      <c r="EK5" t="str">
        <f>_xll.BDS("TLSW US Equity","SUPPLY_CHAIN_SUPPLIERS","RELATIONSHIP_AS_OF_DATE","19980612")</f>
        <v>#N/A N/A</v>
      </c>
      <c r="EP5" t="str">
        <f>_xll.BDS("TLSW US Equity","SUPPLY_CHAIN_CUSTOMERS","RELATIONSHIP_AS_OF_DATE","19980612")</f>
        <v>#N/A N/A</v>
      </c>
      <c r="EU5" t="str">
        <f>_xll.BDS("SSB US Equity","SUPPLY_CHAIN_SUPPLIERS","RELATIONSHIP_AS_OF_DATE","20070830","cols=1;rows=4")</f>
        <v>BLND US Equity</v>
      </c>
      <c r="EZ5" t="str">
        <f>_xll.BDS("SSB US Equity","SUPPLY_CHAIN_CUSTOMERS","RELATIONSHIP_AS_OF_DATE","20070830")</f>
        <v>#N/A N/A</v>
      </c>
      <c r="FE5" t="str">
        <f>_xll.BDS("539355Q US Equity","SUPPLY_CHAIN_SUPPLIERS","RELATIONSHIP_AS_OF_DATE","19980312")</f>
        <v>#N/A N/A</v>
      </c>
      <c r="FJ5" t="str">
        <f>_xll.BDS("539355Q US Equity","SUPPLY_CHAIN_CUSTOMERS","RELATIONSHIP_AS_OF_DATE","19980312")</f>
        <v>#N/A N/A</v>
      </c>
      <c r="FO5" t="str">
        <f>_xll.BDS("DHMS US Equity","SUPPLY_CHAIN_SUPPLIERS","RELATIONSHIP_AS_OF_DATE","19980306")</f>
        <v>#N/A N/A</v>
      </c>
      <c r="FT5" t="str">
        <f>_xll.BDS("DHMS US Equity","SUPPLY_CHAIN_CUSTOMERS","RELATIONSHIP_AS_OF_DATE","19980306")</f>
        <v>#N/A N/A</v>
      </c>
      <c r="FY5" t="str">
        <f>_xll.BDS("NNN US Equity","SUPPLY_CHAIN_SUPPLIERS","RELATIONSHIP_AS_OF_DATE","20050118")</f>
        <v>#N/A N/A</v>
      </c>
      <c r="GD5" t="str">
        <f>_xll.BDS("NNN US Equity","SUPPLY_CHAIN_CUSTOMERS","RELATIONSHIP_AS_OF_DATE","20050118","cols=1;rows=5")</f>
        <v>3382 JP Equity</v>
      </c>
      <c r="GI5" t="str">
        <f>_xll.BDS("NBTB US Equity","SUPPLY_CHAIN_SUPPLIERS","RELATIONSHIP_AS_OF_DATE","20111116")</f>
        <v>FRSH US Equity</v>
      </c>
      <c r="GN5" t="str">
        <f>_xll.BDS("NBTB US Equity","SUPPLY_CHAIN_CUSTOMERS","RELATIONSHIP_AS_OF_DATE","20111116")</f>
        <v>#N/A N/A</v>
      </c>
      <c r="GS5" t="str">
        <f>_xll.BDS("COLB US Equity","SUPPLY_CHAIN_SUPPLIERS","RELATIONSHIP_AS_OF_DATE","20070328")</f>
        <v>INVE US Equity</v>
      </c>
      <c r="GX5" t="str">
        <f>_xll.BDS("COLB US Equity","SUPPLY_CHAIN_CUSTOMERS","RELATIONSHIP_AS_OF_DATE","20070328")</f>
        <v>#N/A N/A</v>
      </c>
      <c r="HC5" t="str">
        <f>_xll.BDS("MNAT US Equity","SUPPLY_CHAIN_SUPPLIERS","RELATIONSHIP_AS_OF_DATE","20051229")</f>
        <v>#N/A N/A</v>
      </c>
      <c r="HH5" t="str">
        <f>_xll.BDS("MNAT US Equity","SUPPLY_CHAIN_CUSTOMERS","RELATIONSHIP_AS_OF_DATE","20051229")</f>
        <v>#N/A N/A</v>
      </c>
      <c r="HM5" t="str">
        <f>_xll.BDS("CFNL US Equity","SUPPLY_CHAIN_SUPPLIERS","RELATIONSHIP_AS_OF_DATE","20130909")</f>
        <v>#N/A N/A</v>
      </c>
      <c r="HR5" t="str">
        <f>_xll.BDS("CFNL US Equity","SUPPLY_CHAIN_CUSTOMERS","RELATIONSHIP_AS_OF_DATE","20130909")</f>
        <v>#N/A N/A</v>
      </c>
      <c r="HW5" t="str">
        <f>_xll.BDS("BERK US Equity","SUPPLY_CHAIN_SUPPLIERS","RELATIONSHIP_AS_OF_DATE","20000816")</f>
        <v>#N/A N/A</v>
      </c>
      <c r="IB5" t="str">
        <f>_xll.BDS("BERK US Equity","SUPPLY_CHAIN_CUSTOMERS","RELATIONSHIP_AS_OF_DATE","20000816")</f>
        <v>#N/A N/A</v>
      </c>
      <c r="IG5" t="str">
        <f>_xll.BDS("WASH US Equity","SUPPLY_CHAIN_SUPPLIERS","RELATIONSHIP_AS_OF_DATE","20011113")</f>
        <v>#N/A N/A</v>
      </c>
      <c r="IL5" t="str">
        <f>_xll.BDS("WASH US Equity","SUPPLY_CHAIN_CUSTOMERS","RELATIONSHIP_AS_OF_DATE","20011113")</f>
        <v>#N/A N/A</v>
      </c>
      <c r="IQ5" t="str">
        <f>_xll.BDS("AGEN US Equity","SUPPLY_CHAIN_SUPPLIERS","RELATIONSHIP_AS_OF_DATE","20000821","cols=1;rows=5")</f>
        <v>4476731Z US Equity</v>
      </c>
      <c r="IV5" t="str">
        <f>_xll.BDS("AGEN US Equity","SUPPLY_CHAIN_CUSTOMERS","RELATIONSHIP_AS_OF_DATE","20000821","cols=1;rows=5")</f>
        <v>0243048Z US Equity</v>
      </c>
      <c r="JA5" t="str">
        <f>_xll.BDS("540513Q US Equity","SUPPLY_CHAIN_SUPPLIERS","RELATIONSHIP_AS_OF_DATE","20020227")</f>
        <v>#N/A N/A</v>
      </c>
      <c r="JF5" t="str">
        <f>_xll.BDS("540513Q US Equity","SUPPLY_CHAIN_CUSTOMERS","RELATIONSHIP_AS_OF_DATE","20020227")</f>
        <v>#N/A N/A</v>
      </c>
      <c r="JK5" t="str">
        <f>_xll.BDS("JKHY US Equity","SUPPLY_CHAIN_SUPPLIERS","RELATIONSHIP_AS_OF_DATE","19980819","cols=1;rows=5")</f>
        <v>7751 JP Equity</v>
      </c>
      <c r="JP5" t="str">
        <f>_xll.BDS("JKHY US Equity","SUPPLY_CHAIN_CUSTOMERS","RELATIONSHIP_AS_OF_DATE","19980819","cols=1;rows=3")</f>
        <v>CDW US Equity</v>
      </c>
      <c r="JU5" t="str">
        <f>_xll.BDS("CVBF US Equity","SUPPLY_CHAIN_SUPPLIERS","RELATIONSHIP_AS_OF_DATE","20151014")</f>
        <v>#N/A N/A</v>
      </c>
      <c r="JZ5" t="str">
        <f>_xll.BDS("CVBF US Equity","SUPPLY_CHAIN_CUSTOMERS","RELATIONSHIP_AS_OF_DATE","20151014")</f>
        <v>#N/A N/A</v>
      </c>
      <c r="KE5" t="str">
        <f>_xll.BDS("QVDX US Equity","SUPPLY_CHAIN_SUPPLIERS","RELATIONSHIP_AS_OF_DATE","20031104")</f>
        <v>#N/A N/A</v>
      </c>
      <c r="KJ5" t="str">
        <f>_xll.BDS("QVDX US Equity","SUPPLY_CHAIN_CUSTOMERS","RELATIONSHIP_AS_OF_DATE","20031104")</f>
        <v>#N/A N/A</v>
      </c>
      <c r="KO5" t="str">
        <f>_xll.BDS("SFTGQ US Equity","SUPPLY_CHAIN_SUPPLIERS","RELATIONSHIP_AS_OF_DATE","20220809","cols=1;rows=5")</f>
        <v>0092148D US Equity</v>
      </c>
      <c r="KT5" t="str">
        <f>_xll.BDS("SFTGQ US Equity","SUPPLY_CHAIN_CUSTOMERS","RELATIONSHIP_AS_OF_DATE","20220809","cols=1;rows=4")</f>
        <v>1697222D US Equity</v>
      </c>
      <c r="KY5" t="str">
        <f>_xll.BDS("SBCF US Equity","SUPPLY_CHAIN_SUPPLIERS","RELATIONSHIP_AS_OF_DATE","20051122")</f>
        <v>#N/A N/A</v>
      </c>
      <c r="LD5" t="str">
        <f>_xll.BDS("SBCF US Equity","SUPPLY_CHAIN_CUSTOMERS","RELATIONSHIP_AS_OF_DATE","20051122")</f>
        <v>#N/A N/A</v>
      </c>
      <c r="LI5" t="str">
        <f>_xll.BDS("GBBK US Equity","SUPPLY_CHAIN_SUPPLIERS","RELATIONSHIP_AS_OF_DATE","20000321")</f>
        <v>#N/A N/A</v>
      </c>
      <c r="LN5" t="str">
        <f>_xll.BDS("GBBK US Equity","SUPPLY_CHAIN_CUSTOMERS","RELATIONSHIP_AS_OF_DATE","20000321")</f>
        <v>#N/A N/A</v>
      </c>
      <c r="LS5" t="str">
        <f>_xll.BDS("ISRG US Equity","SUPPLY_CHAIN_SUPPLIERS","RELATIONSHIP_AS_OF_DATE","20030307","cols=1;rows=5")</f>
        <v>UFPT US Equity</v>
      </c>
      <c r="LX5" t="str">
        <f>_xll.BDS("ISRG US Equity","SUPPLY_CHAIN_CUSTOMERS","RELATIONSHIP_AS_OF_DATE","20030307","cols=1;rows=5")</f>
        <v>656 HK Equity</v>
      </c>
      <c r="MC5" t="str">
        <f>_xll.BDS("PCBK US Equity","SUPPLY_CHAIN_SUPPLIERS","RELATIONSHIP_AS_OF_DATE","20141119")</f>
        <v>#N/A N/A</v>
      </c>
      <c r="MH5" t="str">
        <f>_xll.BDS("PCBK US Equity","SUPPLY_CHAIN_CUSTOMERS","RELATIONSHIP_AS_OF_DATE","20141119")</f>
        <v>#N/A N/A</v>
      </c>
      <c r="MM5" t="str">
        <f>_xll.BDS("AURU US Equity","SUPPLY_CHAIN_SUPPLIERS","RELATIONSHIP_AS_OF_DATE","19980202")</f>
        <v>#N/A N/A</v>
      </c>
      <c r="MR5" t="str">
        <f>_xll.BDS("AURU US Equity","SUPPLY_CHAIN_CUSTOMERS","RELATIONSHIP_AS_OF_DATE","19980202")</f>
        <v>#N/A N/A</v>
      </c>
      <c r="MW5" t="str">
        <f>_xll.BDS("YDKN US Equity","SUPPLY_CHAIN_SUPPLIERS","RELATIONSHIP_AS_OF_DATE","20030528")</f>
        <v>#N/A N/A</v>
      </c>
      <c r="NB5" t="str">
        <f>_xll.BDS("YDKN US Equity","SUPPLY_CHAIN_CUSTOMERS","RELATIONSHIP_AS_OF_DATE","20030528")</f>
        <v>#N/A N/A</v>
      </c>
      <c r="NG5" t="str">
        <f>_xll.BDS("OLBK US Equity","SUPPLY_CHAIN_SUPPLIERS","RELATIONSHIP_AS_OF_DATE","20170201")</f>
        <v>#N/A N/A</v>
      </c>
      <c r="NL5" t="str">
        <f>_xll.BDS("OLBK US Equity","SUPPLY_CHAIN_CUSTOMERS","RELATIONSHIP_AS_OF_DATE","20170201")</f>
        <v>#N/A N/A</v>
      </c>
      <c r="NQ5" t="str">
        <f>_xll.BDS("3195391Z US Equity","SUPPLY_CHAIN_SUPPLIERS","RELATIONSHIP_AS_OF_DATE","19980212")</f>
        <v>#N/A N/A</v>
      </c>
      <c r="NV5" t="str">
        <f>_xll.BDS("3195391Z US Equity","SUPPLY_CHAIN_CUSTOMERS","RELATIONSHIP_AS_OF_DATE","19980212")</f>
        <v>#N/A N/A</v>
      </c>
      <c r="OA5" t="str">
        <f>_xll.BDS("ABCWQ US Equity","SUPPLY_CHAIN_SUPPLIERS","RELATIONSHIP_AS_OF_DATE","20010615")</f>
        <v>#N/A N/A</v>
      </c>
      <c r="OF5" t="str">
        <f>_xll.BDS("ABCWQ US Equity","SUPPLY_CHAIN_CUSTOMERS","RELATIONSHIP_AS_OF_DATE","20010615")</f>
        <v>#N/A N/A</v>
      </c>
    </row>
    <row r="6" spans="1:396" x14ac:dyDescent="0.25">
      <c r="U6" t="s">
        <v>11042</v>
      </c>
      <c r="Z6" t="s">
        <v>969</v>
      </c>
      <c r="AO6" t="s">
        <v>10811</v>
      </c>
      <c r="AY6" t="s">
        <v>10848</v>
      </c>
      <c r="BD6" t="s">
        <v>10789</v>
      </c>
      <c r="BI6" t="s">
        <v>11052</v>
      </c>
      <c r="CW6" t="s">
        <v>11644</v>
      </c>
      <c r="DG6" t="s">
        <v>10843</v>
      </c>
      <c r="DL6" t="s">
        <v>10795</v>
      </c>
      <c r="EU6" t="s">
        <v>10829</v>
      </c>
      <c r="GD6" t="s">
        <v>11388</v>
      </c>
      <c r="IQ6" t="s">
        <v>10794</v>
      </c>
      <c r="IV6" t="s">
        <v>10902</v>
      </c>
      <c r="JK6" t="s">
        <v>10732</v>
      </c>
      <c r="JP6" t="s">
        <v>10792</v>
      </c>
      <c r="KO6" t="s">
        <v>469</v>
      </c>
      <c r="KT6" t="s">
        <v>10683</v>
      </c>
      <c r="LS6" t="s">
        <v>273</v>
      </c>
      <c r="LX6" t="s">
        <v>10930</v>
      </c>
    </row>
    <row r="7" spans="1:396" x14ac:dyDescent="0.25">
      <c r="U7" t="s">
        <v>10726</v>
      </c>
      <c r="Z7" t="s">
        <v>10732</v>
      </c>
      <c r="AY7" t="s">
        <v>10849</v>
      </c>
      <c r="BD7" t="s">
        <v>41</v>
      </c>
      <c r="CW7" t="s">
        <v>11372</v>
      </c>
      <c r="DG7" t="s">
        <v>10844</v>
      </c>
      <c r="DL7" t="s">
        <v>10796</v>
      </c>
      <c r="EU7" t="s">
        <v>11242</v>
      </c>
      <c r="GD7" t="s">
        <v>11389</v>
      </c>
      <c r="IQ7" t="s">
        <v>5074</v>
      </c>
      <c r="IV7" t="s">
        <v>10903</v>
      </c>
      <c r="JK7" t="s">
        <v>10853</v>
      </c>
      <c r="JP7" t="s">
        <v>10793</v>
      </c>
      <c r="KO7" t="s">
        <v>11154</v>
      </c>
      <c r="KT7" t="s">
        <v>10684</v>
      </c>
      <c r="LS7" t="s">
        <v>3439</v>
      </c>
      <c r="LX7" t="s">
        <v>10931</v>
      </c>
    </row>
    <row r="8" spans="1:396" x14ac:dyDescent="0.25">
      <c r="U8" t="s">
        <v>4898</v>
      </c>
      <c r="Z8" t="s">
        <v>11376</v>
      </c>
      <c r="AY8" t="s">
        <v>10850</v>
      </c>
      <c r="BD8" t="s">
        <v>10790</v>
      </c>
      <c r="CW8" t="s">
        <v>11645</v>
      </c>
      <c r="DG8" t="s">
        <v>10834</v>
      </c>
      <c r="DL8" t="s">
        <v>10797</v>
      </c>
      <c r="EU8" t="s">
        <v>3162</v>
      </c>
      <c r="GD8" t="s">
        <v>11390</v>
      </c>
      <c r="IQ8" t="s">
        <v>11199</v>
      </c>
      <c r="IV8" t="s">
        <v>10904</v>
      </c>
      <c r="JK8" t="s">
        <v>165</v>
      </c>
      <c r="KO8" t="s">
        <v>259</v>
      </c>
      <c r="KT8" t="s">
        <v>10685</v>
      </c>
      <c r="LS8" t="s">
        <v>10806</v>
      </c>
      <c r="LX8" t="s">
        <v>10932</v>
      </c>
    </row>
    <row r="9" spans="1:396" x14ac:dyDescent="0.25">
      <c r="U9" t="s">
        <v>11043</v>
      </c>
      <c r="Z9" t="s">
        <v>10893</v>
      </c>
      <c r="AY9" t="s">
        <v>10851</v>
      </c>
      <c r="BD9" t="s">
        <v>10791</v>
      </c>
      <c r="DG9" t="s">
        <v>10845</v>
      </c>
      <c r="DL9" t="s">
        <v>10798</v>
      </c>
      <c r="GD9" t="s">
        <v>11278</v>
      </c>
      <c r="IQ9" t="s">
        <v>11200</v>
      </c>
      <c r="IV9" t="s">
        <v>10657</v>
      </c>
      <c r="JK9" t="s">
        <v>266</v>
      </c>
      <c r="KO9" t="s">
        <v>2705</v>
      </c>
      <c r="LS9" t="s">
        <v>10929</v>
      </c>
      <c r="LX9" t="s">
        <v>9922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9036</v>
      </c>
      <c r="K1" s="1" t="s">
        <v>9037</v>
      </c>
      <c r="U1" s="1" t="s">
        <v>9038</v>
      </c>
      <c r="AE1" s="1" t="s">
        <v>9039</v>
      </c>
      <c r="AO1" s="1" t="s">
        <v>9040</v>
      </c>
      <c r="AY1" s="1" t="s">
        <v>9041</v>
      </c>
      <c r="BI1" s="1" t="s">
        <v>9042</v>
      </c>
      <c r="BS1" s="1" t="s">
        <v>9043</v>
      </c>
      <c r="CC1" s="1" t="s">
        <v>9044</v>
      </c>
      <c r="CM1" s="1" t="s">
        <v>9045</v>
      </c>
      <c r="CW1" s="1" t="s">
        <v>9046</v>
      </c>
      <c r="DG1" s="1" t="s">
        <v>9047</v>
      </c>
      <c r="DQ1" s="1" t="s">
        <v>9048</v>
      </c>
      <c r="EA1" s="1" t="s">
        <v>9049</v>
      </c>
      <c r="EK1" s="1" t="s">
        <v>9050</v>
      </c>
      <c r="EU1" s="1" t="s">
        <v>9051</v>
      </c>
      <c r="FE1" s="1" t="s">
        <v>9052</v>
      </c>
      <c r="FO1" s="1" t="s">
        <v>9053</v>
      </c>
      <c r="FY1" s="1" t="s">
        <v>9054</v>
      </c>
      <c r="GI1" s="1" t="s">
        <v>9055</v>
      </c>
      <c r="GS1" s="1" t="s">
        <v>9056</v>
      </c>
      <c r="HC1" s="1" t="s">
        <v>9057</v>
      </c>
      <c r="HM1" s="1" t="s">
        <v>9058</v>
      </c>
      <c r="HW1" s="1" t="s">
        <v>9059</v>
      </c>
      <c r="IG1" s="1" t="s">
        <v>9060</v>
      </c>
      <c r="IQ1" s="1" t="s">
        <v>9061</v>
      </c>
      <c r="JA1" s="1" t="s">
        <v>9062</v>
      </c>
      <c r="JK1" s="1" t="s">
        <v>9063</v>
      </c>
      <c r="JU1" s="1" t="s">
        <v>9064</v>
      </c>
      <c r="KE1" s="1" t="s">
        <v>9065</v>
      </c>
      <c r="KO1" s="1" t="s">
        <v>9066</v>
      </c>
      <c r="KY1" s="1" t="s">
        <v>9067</v>
      </c>
      <c r="LI1" s="1" t="s">
        <v>9068</v>
      </c>
      <c r="LS1" s="1" t="s">
        <v>9069</v>
      </c>
      <c r="MC1" s="1" t="s">
        <v>9070</v>
      </c>
      <c r="MM1" s="1" t="s">
        <v>9071</v>
      </c>
      <c r="MW1" s="1" t="s">
        <v>9072</v>
      </c>
      <c r="NG1" s="1" t="s">
        <v>9073</v>
      </c>
      <c r="NQ1" s="1" t="s">
        <v>9074</v>
      </c>
      <c r="OA1" s="1" t="s">
        <v>9075</v>
      </c>
    </row>
    <row r="2" spans="1:396" x14ac:dyDescent="0.25">
      <c r="A2" s="2" t="s">
        <v>9076</v>
      </c>
      <c r="K2" s="2" t="s">
        <v>7536</v>
      </c>
      <c r="U2" s="2" t="s">
        <v>7615</v>
      </c>
      <c r="AE2" s="2" t="s">
        <v>9077</v>
      </c>
      <c r="AO2" s="2" t="s">
        <v>160</v>
      </c>
      <c r="AY2" s="2" t="s">
        <v>2209</v>
      </c>
      <c r="BI2" s="2" t="s">
        <v>9078</v>
      </c>
      <c r="BS2" s="2" t="s">
        <v>4737</v>
      </c>
      <c r="CC2" s="2" t="s">
        <v>6310</v>
      </c>
      <c r="CM2" s="2" t="s">
        <v>9079</v>
      </c>
      <c r="CW2" s="2" t="s">
        <v>5245</v>
      </c>
      <c r="DG2" s="2" t="s">
        <v>6713</v>
      </c>
      <c r="DQ2" s="2" t="s">
        <v>9080</v>
      </c>
      <c r="EA2" s="2" t="s">
        <v>9081</v>
      </c>
      <c r="EK2" s="2" t="s">
        <v>8380</v>
      </c>
      <c r="EU2" s="2" t="s">
        <v>9082</v>
      </c>
      <c r="FE2" s="2" t="s">
        <v>9083</v>
      </c>
      <c r="FO2" s="2" t="s">
        <v>9084</v>
      </c>
      <c r="FY2" s="2" t="s">
        <v>9085</v>
      </c>
      <c r="GI2" s="2" t="s">
        <v>9086</v>
      </c>
      <c r="GS2" s="2" t="s">
        <v>8835</v>
      </c>
      <c r="HC2" s="2" t="s">
        <v>4985</v>
      </c>
      <c r="HM2" s="2" t="s">
        <v>4303</v>
      </c>
      <c r="HW2" s="2" t="s">
        <v>9087</v>
      </c>
      <c r="IG2" s="2" t="s">
        <v>8310</v>
      </c>
      <c r="IQ2" s="2" t="s">
        <v>5669</v>
      </c>
      <c r="JA2" s="2" t="s">
        <v>8232</v>
      </c>
      <c r="JK2" s="2" t="s">
        <v>9088</v>
      </c>
      <c r="JU2" s="2" t="s">
        <v>5161</v>
      </c>
      <c r="KE2" s="2" t="s">
        <v>9089</v>
      </c>
      <c r="KO2" s="2" t="s">
        <v>2972</v>
      </c>
      <c r="KY2" s="2" t="s">
        <v>368</v>
      </c>
      <c r="LI2" s="2" t="s">
        <v>9090</v>
      </c>
      <c r="LS2" s="2" t="s">
        <v>4907</v>
      </c>
      <c r="MC2" s="2" t="s">
        <v>4129</v>
      </c>
      <c r="MM2" s="2" t="s">
        <v>7685</v>
      </c>
      <c r="MW2" s="2" t="s">
        <v>3954</v>
      </c>
      <c r="NG2" s="2" t="s">
        <v>4723</v>
      </c>
      <c r="NQ2" s="2" t="s">
        <v>7914</v>
      </c>
      <c r="OA2" s="2" t="s">
        <v>4488</v>
      </c>
    </row>
    <row r="3" spans="1:396" x14ac:dyDescent="0.25">
      <c r="A3" t="s">
        <v>7008</v>
      </c>
      <c r="K3" t="s">
        <v>2819</v>
      </c>
      <c r="U3" t="s">
        <v>2445</v>
      </c>
      <c r="AE3" t="s">
        <v>5856</v>
      </c>
      <c r="AO3" t="s">
        <v>2812</v>
      </c>
      <c r="AY3" t="s">
        <v>9091</v>
      </c>
      <c r="BI3" t="s">
        <v>9092</v>
      </c>
      <c r="BS3" t="s">
        <v>6099</v>
      </c>
      <c r="CC3" t="s">
        <v>9093</v>
      </c>
      <c r="CM3" t="s">
        <v>3287</v>
      </c>
      <c r="CW3" t="s">
        <v>9094</v>
      </c>
      <c r="DG3" t="s">
        <v>1963</v>
      </c>
      <c r="DQ3" t="s">
        <v>4831</v>
      </c>
      <c r="EA3" t="s">
        <v>294</v>
      </c>
      <c r="EK3" t="s">
        <v>3360</v>
      </c>
      <c r="EU3" t="s">
        <v>1973</v>
      </c>
      <c r="FE3" t="s">
        <v>3375</v>
      </c>
      <c r="FO3" t="s">
        <v>9095</v>
      </c>
      <c r="FY3" t="s">
        <v>3094</v>
      </c>
      <c r="GI3" t="s">
        <v>1959</v>
      </c>
      <c r="GS3" t="s">
        <v>9096</v>
      </c>
      <c r="HC3" t="s">
        <v>9097</v>
      </c>
      <c r="HM3" t="s">
        <v>9098</v>
      </c>
      <c r="HW3" t="s">
        <v>6182</v>
      </c>
      <c r="IG3" t="s">
        <v>9099</v>
      </c>
      <c r="IQ3" t="s">
        <v>9100</v>
      </c>
      <c r="JA3" t="s">
        <v>9101</v>
      </c>
      <c r="JK3" t="s">
        <v>9102</v>
      </c>
      <c r="JU3" t="s">
        <v>9103</v>
      </c>
      <c r="KE3" t="s">
        <v>609</v>
      </c>
      <c r="KO3" t="s">
        <v>4162</v>
      </c>
      <c r="KY3" t="s">
        <v>9104</v>
      </c>
      <c r="LI3" t="s">
        <v>6489</v>
      </c>
      <c r="LS3" t="s">
        <v>5448</v>
      </c>
      <c r="MC3" t="s">
        <v>9105</v>
      </c>
      <c r="MM3" t="s">
        <v>9106</v>
      </c>
      <c r="MW3" t="s">
        <v>4239</v>
      </c>
      <c r="NG3" t="s">
        <v>4501</v>
      </c>
      <c r="NQ3" t="s">
        <v>7562</v>
      </c>
      <c r="OA3" t="s">
        <v>9107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_xll.BDS("EBF US Equity","SUPPLY_CHAIN_SUPPLIERS","RELATIONSHIP_AS_OF_DATE","20000221")</f>
        <v>#N/A N/A</v>
      </c>
      <c r="F5" t="str">
        <f>_xll.BDS("EBF US Equity","SUPPLY_CHAIN_CUSTOMERS","RELATIONSHIP_AS_OF_DATE","20000221")</f>
        <v>#N/A N/A</v>
      </c>
      <c r="K5" t="str">
        <f>_xll.BDS("RTHM LN Equity","SUPPLY_CHAIN_SUPPLIERS","RELATIONSHIP_AS_OF_DATE","20161205")</f>
        <v>#N/A N/A</v>
      </c>
      <c r="P5" t="str">
        <f>_xll.BDS("RTHM LN Equity","SUPPLY_CHAIN_CUSTOMERS","RELATIONSHIP_AS_OF_DATE","20161205")</f>
        <v>#N/A N/A</v>
      </c>
      <c r="U5" t="str">
        <f>_xll.BDS("FFIC US Equity","SUPPLY_CHAIN_SUPPLIERS","RELATIONSHIP_AS_OF_DATE","20051221")</f>
        <v>#N/A N/A</v>
      </c>
      <c r="Z5" t="str">
        <f>_xll.BDS("FFIC US Equity","SUPPLY_CHAIN_CUSTOMERS","RELATIONSHIP_AS_OF_DATE","20051221")</f>
        <v>#N/A N/A</v>
      </c>
      <c r="AE5" t="str">
        <f>_xll.BDS("229195Q US Equity","SUPPLY_CHAIN_SUPPLIERS","RELATIONSHIP_AS_OF_DATE","19990825")</f>
        <v>#N/A N/A</v>
      </c>
      <c r="AJ5" t="str">
        <f>_xll.BDS("229195Q US Equity","SUPPLY_CHAIN_CUSTOMERS","RELATIONSHIP_AS_OF_DATE","19990825")</f>
        <v>#N/A N/A</v>
      </c>
      <c r="AO5" t="str">
        <f>_xll.BDS("PARA US Equity","SUPPLY_CHAIN_SUPPLIERS","RELATIONSHIP_AS_OF_DATE","20040701","cols=1;rows=5")</f>
        <v>GTN US Equity</v>
      </c>
      <c r="AT5" t="str">
        <f>_xll.BDS("PARA US Equity","SUPPLY_CHAIN_CUSTOMERS","RELATIONSHIP_AS_OF_DATE","20040701","cols=1;rows=5")</f>
        <v>002293 CH Equity</v>
      </c>
      <c r="AY5" t="str">
        <f>_xll.BDS("STL US Equity","SUPPLY_CHAIN_SUPPLIERS","RELATIONSHIP_AS_OF_DATE","20120118")</f>
        <v>#N/A N/A</v>
      </c>
      <c r="BD5" t="str">
        <f>_xll.BDS("STL US Equity","SUPPLY_CHAIN_CUSTOMERS","RELATIONSHIP_AS_OF_DATE","20120118")</f>
        <v>#N/A N/A</v>
      </c>
      <c r="BI5" t="str">
        <f>_xll.BDS("CZWI US Equity","SUPPLY_CHAIN_SUPPLIERS","RELATIONSHIP_AS_OF_DATE","20170317")</f>
        <v>#N/A N/A</v>
      </c>
      <c r="BN5" t="str">
        <f>_xll.BDS("CZWI US Equity","SUPPLY_CHAIN_CUSTOMERS","RELATIONSHIP_AS_OF_DATE","20170317")</f>
        <v>#N/A N/A</v>
      </c>
      <c r="BS5" t="str">
        <f>_xll.BDS("OK US Equity","SUPPLY_CHAIN_SUPPLIERS","RELATIONSHIP_AS_OF_DATE","20000616")</f>
        <v>#N/A N/A</v>
      </c>
      <c r="BX5" t="str">
        <f>_xll.BDS("OK US Equity","SUPPLY_CHAIN_CUSTOMERS","RELATIONSHIP_AS_OF_DATE","20000616")</f>
        <v>#N/A N/A</v>
      </c>
      <c r="CC5" t="str">
        <f>_xll.BDS("GBBK US Equity","SUPPLY_CHAIN_SUPPLIERS","RELATIONSHIP_AS_OF_DATE","19990916")</f>
        <v>#N/A N/A</v>
      </c>
      <c r="CH5" t="str">
        <f>_xll.BDS("GBBK US Equity","SUPPLY_CHAIN_CUSTOMERS","RELATIONSHIP_AS_OF_DATE","19990916")</f>
        <v>#N/A N/A</v>
      </c>
      <c r="CM5" t="str">
        <f>_xll.BDS("2452714D US Equity","SUPPLY_CHAIN_SUPPLIERS","RELATIONSHIP_AS_OF_DATE","20110118")</f>
        <v>#N/A N/A</v>
      </c>
      <c r="CR5" t="str">
        <f>_xll.BDS("2452714D US Equity","SUPPLY_CHAIN_CUSTOMERS","RELATIONSHIP_AS_OF_DATE","20110118","cols=1;rows=3")</f>
        <v>AIT US Equity</v>
      </c>
      <c r="CW5" t="str">
        <f>_xll.BDS("1740293D US Equity","SUPPLY_CHAIN_SUPPLIERS","RELATIONSHIP_AS_OF_DATE","20130502")</f>
        <v>#N/A N/A</v>
      </c>
      <c r="DB5" t="str">
        <f>_xll.BDS("1740293D US Equity","SUPPLY_CHAIN_CUSTOMERS","RELATIONSHIP_AS_OF_DATE","20130502")</f>
        <v>#N/A N/A</v>
      </c>
      <c r="DG5" t="str">
        <f>_xll.BDS("IBKC US Equity","SUPPLY_CHAIN_SUPPLIERS","RELATIONSHIP_AS_OF_DATE","20110222")</f>
        <v>#N/A N/A</v>
      </c>
      <c r="DL5" t="str">
        <f>_xll.BDS("IBKC US Equity","SUPPLY_CHAIN_CUSTOMERS","RELATIONSHIP_AS_OF_DATE","20110222")</f>
        <v>#N/A N/A</v>
      </c>
      <c r="DQ5" t="str">
        <f>_xll.BDS("URGP US Equity","SUPPLY_CHAIN_SUPPLIERS","RELATIONSHIP_AS_OF_DATE","19981026")</f>
        <v>#N/A N/A</v>
      </c>
      <c r="DV5" t="str">
        <f>_xll.BDS("URGP US Equity","SUPPLY_CHAIN_CUSTOMERS","RELATIONSHIP_AS_OF_DATE","19981026")</f>
        <v>#N/A N/A</v>
      </c>
      <c r="EA5" t="str">
        <f>_xll.BDS("DDD US Equity","SUPPLY_CHAIN_SUPPLIERS","RELATIONSHIP_AS_OF_DATE","20010403","cols=1;rows=5")</f>
        <v>JBL US Equity</v>
      </c>
      <c r="EF5" t="str">
        <f>_xll.BDS("DDD US Equity","SUPPLY_CHAIN_CUSTOMERS","RELATIONSHIP_AS_OF_DATE","20010403","cols=1;rows=5")</f>
        <v>SNX US Equity</v>
      </c>
      <c r="EK5" t="str">
        <f>_xll.BDS("2740937Q US Equity","SUPPLY_CHAIN_SUPPLIERS","RELATIONSHIP_AS_OF_DATE","19990419")</f>
        <v>#N/A N/A</v>
      </c>
      <c r="EP5" t="str">
        <f>_xll.BDS("2740937Q US Equity","SUPPLY_CHAIN_CUSTOMERS","RELATIONSHIP_AS_OF_DATE","19990419")</f>
        <v>#N/A N/A</v>
      </c>
      <c r="EU5" t="str">
        <f>_xll.BDS("SLCT US Equity","SUPPLY_CHAIN_SUPPLIERS","RELATIONSHIP_AS_OF_DATE","20170721")</f>
        <v>#N/A N/A</v>
      </c>
      <c r="EZ5" t="str">
        <f>_xll.BDS("SLCT US Equity","SUPPLY_CHAIN_CUSTOMERS","RELATIONSHIP_AS_OF_DATE","20170721")</f>
        <v>#N/A N/A</v>
      </c>
      <c r="FE5" t="str">
        <f>_xll.BDS("375689Q US Equity","SUPPLY_CHAIN_SUPPLIERS","RELATIONSHIP_AS_OF_DATE","19980427")</f>
        <v>#N/A N/A</v>
      </c>
      <c r="FJ5" t="str">
        <f>_xll.BDS("375689Q US Equity","SUPPLY_CHAIN_CUSTOMERS","RELATIONSHIP_AS_OF_DATE","19980427")</f>
        <v>#N/A N/A</v>
      </c>
      <c r="FO5" t="str">
        <f>_xll.BDS("TWRV US Equity","SUPPLY_CHAIN_SUPPLIERS","RELATIONSHIP_AS_OF_DATE","20050817")</f>
        <v>#N/A N/A</v>
      </c>
      <c r="FT5" t="str">
        <f>_xll.BDS("TWRV US Equity","SUPPLY_CHAIN_CUSTOMERS","RELATIONSHIP_AS_OF_DATE","20050817")</f>
        <v>#N/A N/A</v>
      </c>
      <c r="FY5" t="str">
        <f>_xll.BDS("SFFS US Equity","SUPPLY_CHAIN_SUPPLIERS","RELATIONSHIP_AS_OF_DATE","20000217")</f>
        <v>#N/A N/A</v>
      </c>
      <c r="GD5" t="str">
        <f>_xll.BDS("SFFS US Equity","SUPPLY_CHAIN_CUSTOMERS","RELATIONSHIP_AS_OF_DATE","20000217")</f>
        <v>#N/A N/A</v>
      </c>
      <c r="GI5" t="str">
        <f>_xll.BDS("SEVN US Equity","SUPPLY_CHAIN_SUPPLIERS","RELATIONSHIP_AS_OF_DATE","20210426")</f>
        <v>#N/A N/A</v>
      </c>
      <c r="GN5" t="str">
        <f>_xll.BDS("SEVN US Equity","SUPPLY_CHAIN_CUSTOMERS","RELATIONSHIP_AS_OF_DATE","20210426")</f>
        <v>#N/A N/A</v>
      </c>
      <c r="GS5" t="str">
        <f>_xll.BDS("BCAL US Equity","SUPPLY_CHAIN_SUPPLIERS","RELATIONSHIP_AS_OF_DATE","20180222")</f>
        <v>#N/A N/A</v>
      </c>
      <c r="GX5" t="str">
        <f>_xll.BDS("BCAL US Equity","SUPPLY_CHAIN_CUSTOMERS","RELATIONSHIP_AS_OF_DATE","20180222")</f>
        <v>#N/A N/A</v>
      </c>
      <c r="HC5" t="str">
        <f>_xll.BDS("YDKN US Equity","SUPPLY_CHAIN_SUPPLIERS","RELATIONSHIP_AS_OF_DATE","20070614")</f>
        <v>#N/A N/A</v>
      </c>
      <c r="HH5" t="str">
        <f>_xll.BDS("YDKN US Equity","SUPPLY_CHAIN_CUSTOMERS","RELATIONSHIP_AS_OF_DATE","20070614")</f>
        <v>#N/A N/A</v>
      </c>
      <c r="HM5" t="str">
        <f>_xll.BDS("SFNC US Equity","SUPPLY_CHAIN_SUPPLIERS","RELATIONSHIP_AS_OF_DATE","20181113")</f>
        <v>#N/A N/A</v>
      </c>
      <c r="HR5" t="str">
        <f>_xll.BDS("SFNC US Equity","SUPPLY_CHAIN_CUSTOMERS","RELATIONSHIP_AS_OF_DATE","20181113")</f>
        <v>#N/A N/A</v>
      </c>
      <c r="HW5" t="str">
        <f>_xll.BDS("3489Q US Equity","SUPPLY_CHAIN_SUPPLIERS","RELATIONSHIP_AS_OF_DATE","19981119")</f>
        <v>#N/A N/A</v>
      </c>
      <c r="IB5" t="str">
        <f>_xll.BDS("3489Q US Equity","SUPPLY_CHAIN_CUSTOMERS","RELATIONSHIP_AS_OF_DATE","19981119")</f>
        <v>#N/A N/A</v>
      </c>
      <c r="IG5" t="str">
        <f>_xll.BDS("JAKK US Equity","SUPPLY_CHAIN_SUPPLIERS","RELATIONSHIP_AS_OF_DATE","20000523","cols=1;rows=5")</f>
        <v>002699 CH Equity</v>
      </c>
      <c r="IL5" t="str">
        <f>_xll.BDS("JAKK US Equity","SUPPLY_CHAIN_CUSTOMERS","RELATIONSHIP_AS_OF_DATE","20000523","cols=1;rows=5")</f>
        <v>TGT US Equity</v>
      </c>
      <c r="IQ5" t="str">
        <f>_xll.BDS("FFWM US Equity","SUPPLY_CHAIN_SUPPLIERS","RELATIONSHIP_AS_OF_DATE","20170615")</f>
        <v>#N/A N/A</v>
      </c>
      <c r="IV5" t="str">
        <f>_xll.BDS("FFWM US Equity","SUPPLY_CHAIN_CUSTOMERS","RELATIONSHIP_AS_OF_DATE","20170615")</f>
        <v>#N/A N/A</v>
      </c>
      <c r="JA5" t="str">
        <f>_xll.BDS("FINB US Equity","SUPPLY_CHAIN_SUPPLIERS","RELATIONSHIP_AS_OF_DATE","20020904")</f>
        <v>#N/A N/A</v>
      </c>
      <c r="JF5" t="str">
        <f>_xll.BDS("FINB US Equity","SUPPLY_CHAIN_CUSTOMERS","RELATIONSHIP_AS_OF_DATE","20020904")</f>
        <v>#N/A N/A</v>
      </c>
      <c r="JK5" t="str">
        <f>_xll.BDS("FBMI US Equity","SUPPLY_CHAIN_SUPPLIERS","RELATIONSHIP_AS_OF_DATE","20070201")</f>
        <v>#N/A N/A</v>
      </c>
      <c r="JP5" t="str">
        <f>_xll.BDS("FBMI US Equity","SUPPLY_CHAIN_CUSTOMERS","RELATIONSHIP_AS_OF_DATE","20070201")</f>
        <v>#N/A N/A</v>
      </c>
      <c r="JU5" t="str">
        <f>_xll.BDS("41018Q US Equity","SUPPLY_CHAIN_SUPPLIERS","RELATIONSHIP_AS_OF_DATE","20000303")</f>
        <v>#N/A N/A</v>
      </c>
      <c r="JZ5" t="str">
        <f>_xll.BDS("41018Q US Equity","SUPPLY_CHAIN_CUSTOMERS","RELATIONSHIP_AS_OF_DATE","20000303")</f>
        <v>#N/A N/A</v>
      </c>
      <c r="KE5" t="str">
        <f>_xll.BDS("ARBA US Equity","SUPPLY_CHAIN_SUPPLIERS","RELATIONSHIP_AS_OF_DATE","20040123")</f>
        <v>#N/A N/A</v>
      </c>
      <c r="KJ5" t="str">
        <f>_xll.BDS("ARBA US Equity","SUPPLY_CHAIN_CUSTOMERS","RELATIONSHIP_AS_OF_DATE","20040123")</f>
        <v>#N/A N/A</v>
      </c>
      <c r="KO5" t="str">
        <f>_xll.BDS("GS US Equity","SUPPLY_CHAIN_SUPPLIERS","RELATIONSHIP_AS_OF_DATE","19990505","cols=1;rows=5")</f>
        <v>INFO IN Equity</v>
      </c>
      <c r="KT5" t="str">
        <f>_xll.BDS("GS US Equity","SUPPLY_CHAIN_CUSTOMERS","RELATIONSHIP_AS_OF_DATE","19990505","cols=1;rows=5")</f>
        <v>036460 KS Equity</v>
      </c>
      <c r="KY5" t="str">
        <f>_xll.BDS("JNJ US Equity","SUPPLY_CHAIN_SUPPLIERS","RELATIONSHIP_AS_OF_DATE","20080611","cols=1;rows=5")</f>
        <v>GMAB DC Equity</v>
      </c>
      <c r="LD5" t="str">
        <f>_xll.BDS("JNJ US Equity","SUPPLY_CHAIN_CUSTOMERS","RELATIONSHIP_AS_OF_DATE","20080611","cols=1;rows=5")</f>
        <v>MCK US Equity</v>
      </c>
      <c r="LI5" t="str">
        <f>_xll.BDS("TMD US Equity","SUPPLY_CHAIN_SUPPLIERS","RELATIONSHIP_AS_OF_DATE","20000131")</f>
        <v>#N/A N/A</v>
      </c>
      <c r="LN5" t="str">
        <f>_xll.BDS("TMD US Equity","SUPPLY_CHAIN_CUSTOMERS","RELATIONSHIP_AS_OF_DATE","20000131")</f>
        <v>#N/A N/A</v>
      </c>
      <c r="LS5" t="str">
        <f>_xll.BDS("CCBI US Equity","SUPPLY_CHAIN_SUPPLIERS","RELATIONSHIP_AS_OF_DATE","20051020")</f>
        <v>#N/A N/A</v>
      </c>
      <c r="LX5" t="str">
        <f>_xll.BDS("CCBI US Equity","SUPPLY_CHAIN_CUSTOMERS","RELATIONSHIP_AS_OF_DATE","20051020")</f>
        <v>#N/A N/A</v>
      </c>
      <c r="MC5" t="str">
        <f>_xll.BDS("NUE US Equity","SUPPLY_CHAIN_SUPPLIERS","RELATIONSHIP_AS_OF_DATE","20190819","cols=1;rows=5")</f>
        <v>ERA FP Equity</v>
      </c>
      <c r="MH5" t="str">
        <f>_xll.BDS("NUE US Equity","SUPPLY_CHAIN_CUSTOMERS","RELATIONSHIP_AS_OF_DATE","20190819","cols=1;rows=5")</f>
        <v>TEN IM Equity</v>
      </c>
      <c r="MM5" t="str">
        <f>_xll.BDS("CUNB US Equity","SUPPLY_CHAIN_SUPPLIERS","RELATIONSHIP_AS_OF_DATE","20111209")</f>
        <v>#N/A N/A</v>
      </c>
      <c r="MR5" t="str">
        <f>_xll.BDS("CUNB US Equity","SUPPLY_CHAIN_CUSTOMERS","RELATIONSHIP_AS_OF_DATE","20111209")</f>
        <v>#N/A N/A</v>
      </c>
      <c r="MW5" t="str">
        <f>_xll.BDS("2674129Q US Equity","SUPPLY_CHAIN_SUPPLIERS","RELATIONSHIP_AS_OF_DATE","20030716")</f>
        <v>#N/A N/A</v>
      </c>
      <c r="NB5" t="str">
        <f>_xll.BDS("2674129Q US Equity","SUPPLY_CHAIN_CUSTOMERS","RELATIONSHIP_AS_OF_DATE","20030716")</f>
        <v>#N/A N/A</v>
      </c>
      <c r="NG5" t="str">
        <f>_xll.BDS("KODK US Equity","SUPPLY_CHAIN_SUPPLIERS","RELATIONSHIP_AS_OF_DATE","20001109","cols=1;rows=5")</f>
        <v>AX-U CN Equity</v>
      </c>
      <c r="NL5" t="str">
        <f>_xll.BDS("KODK US Equity","SUPPLY_CHAIN_CUSTOMERS","RELATIONSHIP_AS_OF_DATE","20001109","cols=1;rows=5")</f>
        <v>0918800D US Equity</v>
      </c>
      <c r="NQ5" t="str">
        <f>_xll.BDS("HBEK US Equity","SUPPLY_CHAIN_SUPPLIERS","RELATIONSHIP_AS_OF_DATE","20000920")</f>
        <v>#N/A N/A</v>
      </c>
      <c r="NV5" t="str">
        <f>_xll.BDS("HBEK US Equity","SUPPLY_CHAIN_CUSTOMERS","RELATIONSHIP_AS_OF_DATE","20000920")</f>
        <v>#N/A N/A</v>
      </c>
      <c r="OA5" t="str">
        <f>_xll.BDS("PFC US Equity","SUPPLY_CHAIN_SUPPLIERS","RELATIONSHIP_AS_OF_DATE","20040804")</f>
        <v>#N/A N/A</v>
      </c>
      <c r="OF5" t="str">
        <f>_xll.BDS("PFC US Equity","SUPPLY_CHAIN_CUSTOMERS","RELATIONSHIP_AS_OF_DATE","20040804")</f>
        <v>#N/A N/A</v>
      </c>
    </row>
    <row r="6" spans="1:396" x14ac:dyDescent="0.25">
      <c r="AO6" t="s">
        <v>11838</v>
      </c>
      <c r="AT6" t="s">
        <v>11076</v>
      </c>
      <c r="CR6" t="s">
        <v>10934</v>
      </c>
      <c r="EA6" t="s">
        <v>11136</v>
      </c>
      <c r="EF6" t="s">
        <v>11091</v>
      </c>
      <c r="IG6" t="s">
        <v>11167</v>
      </c>
      <c r="IL6" t="s">
        <v>10676</v>
      </c>
      <c r="KO6" t="s">
        <v>10749</v>
      </c>
      <c r="KT6" t="s">
        <v>10687</v>
      </c>
      <c r="KY6" t="s">
        <v>10735</v>
      </c>
      <c r="LD6" t="s">
        <v>1468</v>
      </c>
      <c r="MC6" t="s">
        <v>11446</v>
      </c>
      <c r="MH6" t="s">
        <v>489</v>
      </c>
      <c r="NG6" t="s">
        <v>10751</v>
      </c>
      <c r="NL6" t="s">
        <v>2881</v>
      </c>
    </row>
    <row r="7" spans="1:396" x14ac:dyDescent="0.25">
      <c r="AO7" t="s">
        <v>7300</v>
      </c>
      <c r="AT7" t="s">
        <v>11077</v>
      </c>
      <c r="CR7" t="s">
        <v>1366</v>
      </c>
      <c r="EA7" t="s">
        <v>11137</v>
      </c>
      <c r="EF7" t="s">
        <v>11092</v>
      </c>
      <c r="IG7" t="s">
        <v>1274</v>
      </c>
      <c r="IL7" t="s">
        <v>469</v>
      </c>
      <c r="KO7" t="s">
        <v>10750</v>
      </c>
      <c r="KT7" t="s">
        <v>10688</v>
      </c>
      <c r="KY7" t="s">
        <v>45</v>
      </c>
      <c r="LD7" t="s">
        <v>970</v>
      </c>
      <c r="MC7" t="s">
        <v>11447</v>
      </c>
      <c r="MH7" t="s">
        <v>684</v>
      </c>
      <c r="NG7" t="s">
        <v>11100</v>
      </c>
      <c r="NL7" t="s">
        <v>10660</v>
      </c>
    </row>
    <row r="8" spans="1:396" x14ac:dyDescent="0.25">
      <c r="AO8" t="s">
        <v>11839</v>
      </c>
      <c r="AT8" t="s">
        <v>11078</v>
      </c>
      <c r="EA8" t="s">
        <v>11138</v>
      </c>
      <c r="EF8" t="s">
        <v>10797</v>
      </c>
      <c r="IG8" t="s">
        <v>2317</v>
      </c>
      <c r="IL8" t="s">
        <v>10805</v>
      </c>
      <c r="KO8" t="s">
        <v>8997</v>
      </c>
      <c r="KT8" t="s">
        <v>10689</v>
      </c>
      <c r="KY8" t="s">
        <v>3437</v>
      </c>
      <c r="LD8" t="s">
        <v>51</v>
      </c>
      <c r="MC8" t="s">
        <v>11448</v>
      </c>
      <c r="MH8" t="s">
        <v>11156</v>
      </c>
      <c r="NG8" t="s">
        <v>11101</v>
      </c>
      <c r="NL8" t="s">
        <v>10944</v>
      </c>
    </row>
    <row r="9" spans="1:396" x14ac:dyDescent="0.25">
      <c r="AO9" t="s">
        <v>11840</v>
      </c>
      <c r="AT9" t="s">
        <v>11079</v>
      </c>
      <c r="EA9" t="s">
        <v>10696</v>
      </c>
      <c r="EF9" t="s">
        <v>11093</v>
      </c>
      <c r="IG9" t="s">
        <v>1461</v>
      </c>
      <c r="IL9" t="s">
        <v>677</v>
      </c>
      <c r="KO9" t="s">
        <v>10751</v>
      </c>
      <c r="KT9" t="s">
        <v>10651</v>
      </c>
      <c r="KY9" t="s">
        <v>11012</v>
      </c>
      <c r="LD9" t="s">
        <v>10944</v>
      </c>
      <c r="MC9" t="s">
        <v>11449</v>
      </c>
      <c r="MH9" t="s">
        <v>11040</v>
      </c>
      <c r="NG9" t="s">
        <v>11102</v>
      </c>
      <c r="NL9" t="s">
        <v>10787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9108</v>
      </c>
      <c r="K1" s="1" t="s">
        <v>9109</v>
      </c>
      <c r="U1" s="1" t="s">
        <v>9110</v>
      </c>
      <c r="AE1" s="1" t="s">
        <v>9111</v>
      </c>
      <c r="AO1" s="1" t="s">
        <v>9112</v>
      </c>
      <c r="AY1" s="1" t="s">
        <v>9113</v>
      </c>
      <c r="BI1" s="1" t="s">
        <v>9114</v>
      </c>
      <c r="BS1" s="1" t="s">
        <v>9115</v>
      </c>
      <c r="CC1" s="1" t="s">
        <v>9116</v>
      </c>
      <c r="CM1" s="1" t="s">
        <v>9117</v>
      </c>
      <c r="CW1" s="1" t="s">
        <v>9118</v>
      </c>
      <c r="DG1" s="1" t="s">
        <v>9119</v>
      </c>
      <c r="DQ1" s="1" t="s">
        <v>9120</v>
      </c>
      <c r="EA1" s="1" t="s">
        <v>9121</v>
      </c>
      <c r="EK1" s="1" t="s">
        <v>9122</v>
      </c>
      <c r="EU1" s="1" t="s">
        <v>9123</v>
      </c>
      <c r="FE1" s="1" t="s">
        <v>9124</v>
      </c>
      <c r="FO1" s="1" t="s">
        <v>9125</v>
      </c>
      <c r="FY1" s="1" t="s">
        <v>9126</v>
      </c>
      <c r="GI1" s="1" t="s">
        <v>9127</v>
      </c>
      <c r="GS1" s="1" t="s">
        <v>9128</v>
      </c>
      <c r="HC1" s="1" t="s">
        <v>9129</v>
      </c>
      <c r="HM1" s="1" t="s">
        <v>9130</v>
      </c>
      <c r="HW1" s="1" t="s">
        <v>9131</v>
      </c>
      <c r="IG1" s="1" t="s">
        <v>9132</v>
      </c>
      <c r="IQ1" s="1" t="s">
        <v>9133</v>
      </c>
      <c r="JA1" s="1" t="s">
        <v>9134</v>
      </c>
      <c r="JK1" s="1" t="s">
        <v>9135</v>
      </c>
      <c r="JU1" s="1" t="s">
        <v>9136</v>
      </c>
      <c r="KE1" s="1" t="s">
        <v>9137</v>
      </c>
      <c r="KO1" s="1" t="s">
        <v>9138</v>
      </c>
      <c r="KY1" s="1" t="s">
        <v>9139</v>
      </c>
      <c r="LI1" s="1" t="s">
        <v>9140</v>
      </c>
      <c r="LS1" s="1" t="s">
        <v>9141</v>
      </c>
      <c r="MC1" s="1" t="s">
        <v>9142</v>
      </c>
      <c r="MM1" s="1" t="s">
        <v>9143</v>
      </c>
      <c r="MW1" s="1" t="s">
        <v>9144</v>
      </c>
      <c r="NG1" s="1" t="s">
        <v>9145</v>
      </c>
      <c r="NQ1" s="1" t="s">
        <v>9146</v>
      </c>
      <c r="OA1" s="1" t="s">
        <v>9147</v>
      </c>
    </row>
    <row r="2" spans="1:396" x14ac:dyDescent="0.25">
      <c r="A2" s="2" t="s">
        <v>7838</v>
      </c>
      <c r="K2" s="2" t="s">
        <v>9148</v>
      </c>
      <c r="U2" s="2" t="s">
        <v>9149</v>
      </c>
      <c r="AE2" s="2" t="s">
        <v>3253</v>
      </c>
      <c r="AO2" s="2" t="s">
        <v>9150</v>
      </c>
      <c r="AY2" s="2" t="s">
        <v>9151</v>
      </c>
      <c r="BI2" s="2" t="s">
        <v>5495</v>
      </c>
      <c r="BS2" s="2" t="s">
        <v>9152</v>
      </c>
      <c r="CC2" s="2" t="s">
        <v>7688</v>
      </c>
      <c r="CM2" s="2" t="s">
        <v>5985</v>
      </c>
      <c r="CW2" s="2" t="s">
        <v>2874</v>
      </c>
      <c r="DG2" s="2" t="s">
        <v>6636</v>
      </c>
      <c r="DQ2" s="2" t="s">
        <v>9153</v>
      </c>
      <c r="EA2" s="2" t="s">
        <v>7217</v>
      </c>
      <c r="EK2" s="2" t="s">
        <v>6981</v>
      </c>
      <c r="EU2" s="2" t="s">
        <v>3063</v>
      </c>
      <c r="FE2" s="2" t="s">
        <v>7606</v>
      </c>
      <c r="FO2" s="2" t="s">
        <v>4046</v>
      </c>
      <c r="FY2" s="2" t="s">
        <v>1753</v>
      </c>
      <c r="GI2" s="2" t="s">
        <v>9154</v>
      </c>
      <c r="GS2" s="2" t="s">
        <v>9155</v>
      </c>
      <c r="HC2" s="2" t="s">
        <v>9156</v>
      </c>
      <c r="HM2" s="2" t="s">
        <v>8089</v>
      </c>
      <c r="HW2" s="2" t="s">
        <v>6082</v>
      </c>
      <c r="IG2" s="2" t="s">
        <v>8847</v>
      </c>
      <c r="IQ2" s="2" t="s">
        <v>2124</v>
      </c>
      <c r="JA2" s="2" t="s">
        <v>9157</v>
      </c>
      <c r="JK2" s="2" t="s">
        <v>2321</v>
      </c>
      <c r="JU2" s="2" t="s">
        <v>3707</v>
      </c>
      <c r="KE2" s="2" t="s">
        <v>9158</v>
      </c>
      <c r="KO2" s="2" t="s">
        <v>6390</v>
      </c>
      <c r="KY2" s="2" t="s">
        <v>9159</v>
      </c>
      <c r="LI2" s="2" t="s">
        <v>4571</v>
      </c>
      <c r="LS2" s="2" t="s">
        <v>9160</v>
      </c>
      <c r="MC2" s="2" t="s">
        <v>9161</v>
      </c>
      <c r="MM2" s="2" t="s">
        <v>870</v>
      </c>
      <c r="MW2" s="2" t="s">
        <v>9162</v>
      </c>
      <c r="NG2" s="2" t="s">
        <v>7369</v>
      </c>
      <c r="NQ2" s="2" t="s">
        <v>3063</v>
      </c>
      <c r="OA2" s="2" t="s">
        <v>9163</v>
      </c>
    </row>
    <row r="3" spans="1:396" x14ac:dyDescent="0.25">
      <c r="A3" t="s">
        <v>9164</v>
      </c>
      <c r="K3" t="s">
        <v>9165</v>
      </c>
      <c r="U3" t="s">
        <v>9166</v>
      </c>
      <c r="AE3" t="s">
        <v>3370</v>
      </c>
      <c r="AO3" t="s">
        <v>9167</v>
      </c>
      <c r="AY3" t="s">
        <v>3262</v>
      </c>
      <c r="BI3" t="s">
        <v>9168</v>
      </c>
      <c r="BS3" t="s">
        <v>9169</v>
      </c>
      <c r="CC3" t="s">
        <v>3176</v>
      </c>
      <c r="CM3" t="s">
        <v>9170</v>
      </c>
      <c r="CW3" t="s">
        <v>3734</v>
      </c>
      <c r="DG3" t="s">
        <v>9171</v>
      </c>
      <c r="DQ3" t="s">
        <v>6904</v>
      </c>
      <c r="EA3" t="s">
        <v>5101</v>
      </c>
      <c r="EK3" t="s">
        <v>1498</v>
      </c>
      <c r="EU3" t="s">
        <v>9172</v>
      </c>
      <c r="FE3" t="s">
        <v>7493</v>
      </c>
      <c r="FO3" t="s">
        <v>6745</v>
      </c>
      <c r="FY3" t="s">
        <v>9173</v>
      </c>
      <c r="GI3" t="s">
        <v>7943</v>
      </c>
      <c r="GS3" t="s">
        <v>6022</v>
      </c>
      <c r="HC3" t="s">
        <v>4573</v>
      </c>
      <c r="HM3" t="s">
        <v>5862</v>
      </c>
      <c r="HW3" t="s">
        <v>9174</v>
      </c>
      <c r="IG3" t="s">
        <v>9095</v>
      </c>
      <c r="IQ3" t="s">
        <v>5607</v>
      </c>
      <c r="JA3" t="s">
        <v>422</v>
      </c>
      <c r="JK3" t="s">
        <v>9175</v>
      </c>
      <c r="JU3" t="s">
        <v>9176</v>
      </c>
      <c r="KE3" t="s">
        <v>1200</v>
      </c>
      <c r="KO3" t="s">
        <v>9177</v>
      </c>
      <c r="KY3" t="s">
        <v>9178</v>
      </c>
      <c r="LI3" t="s">
        <v>4315</v>
      </c>
      <c r="LS3" t="s">
        <v>9179</v>
      </c>
      <c r="MC3" t="s">
        <v>6180</v>
      </c>
      <c r="MM3" t="s">
        <v>9180</v>
      </c>
      <c r="MW3" t="s">
        <v>9181</v>
      </c>
      <c r="NG3" t="s">
        <v>9182</v>
      </c>
      <c r="NQ3" t="s">
        <v>9183</v>
      </c>
      <c r="OA3" t="s">
        <v>409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_xll.BDS("AEGN US Equity","SUPPLY_CHAIN_SUPPLIERS","RELATIONSHIP_AS_OF_DATE","20090202","cols=1;rows=5")</f>
        <v>AEE US Equity</v>
      </c>
      <c r="F5" t="str">
        <f>_xll.BDS("AEGN US Equity","SUPPLY_CHAIN_CUSTOMERS","RELATIONSHIP_AS_OF_DATE","20090202")</f>
        <v>#N/A N/A</v>
      </c>
      <c r="K5" t="str">
        <f>_xll.BDS("PBIP US Equity","SUPPLY_CHAIN_SUPPLIERS","RELATIONSHIP_AS_OF_DATE","20160602")</f>
        <v>#N/A N/A</v>
      </c>
      <c r="P5" t="str">
        <f>_xll.BDS("PBIP US Equity","SUPPLY_CHAIN_CUSTOMERS","RELATIONSHIP_AS_OF_DATE","20160602")</f>
        <v>#N/A N/A</v>
      </c>
      <c r="U5" t="str">
        <f>_xll.BDS("AYTU US Equity","SUPPLY_CHAIN_SUPPLIERS","RELATIONSHIP_AS_OF_DATE","20201210")</f>
        <v>91061Z US Equity</v>
      </c>
      <c r="Z5" t="str">
        <f>_xll.BDS("AYTU US Equity","SUPPLY_CHAIN_CUSTOMERS","RELATIONSHIP_AS_OF_DATE","20201210","cols=1;rows=2")</f>
        <v>LPC IN Equity</v>
      </c>
      <c r="AE5" t="str">
        <f>_xll.BDS("DCLK US Equity","SUPPLY_CHAIN_SUPPLIERS","RELATIONSHIP_AS_OF_DATE","20000925")</f>
        <v>#N/A N/A</v>
      </c>
      <c r="AJ5" t="str">
        <f>_xll.BDS("DCLK US Equity","SUPPLY_CHAIN_CUSTOMERS","RELATIONSHIP_AS_OF_DATE","20000925")</f>
        <v>#N/A N/A</v>
      </c>
      <c r="AO5" t="str">
        <f>_xll.BDS("PMRY US Equity","SUPPLY_CHAIN_SUPPLIERS","RELATIONSHIP_AS_OF_DATE","20040511")</f>
        <v>#N/A N/A</v>
      </c>
      <c r="AT5" t="str">
        <f>_xll.BDS("PMRY US Equity","SUPPLY_CHAIN_CUSTOMERS","RELATIONSHIP_AS_OF_DATE","20040511")</f>
        <v>#N/A N/A</v>
      </c>
      <c r="AY5" t="str">
        <f>_xll.BDS("DRTE US Equity","SUPPLY_CHAIN_SUPPLIERS","RELATIONSHIP_AS_OF_DATE","20030421")</f>
        <v>#N/A N/A</v>
      </c>
      <c r="BD5" t="str">
        <f>_xll.BDS("DRTE US Equity","SUPPLY_CHAIN_CUSTOMERS","RELATIONSHIP_AS_OF_DATE","20030421")</f>
        <v>#N/A N/A</v>
      </c>
      <c r="BI5" t="str">
        <f>_xll.BDS("PEBO US Equity","SUPPLY_CHAIN_SUPPLIERS","RELATIONSHIP_AS_OF_DATE","20140404")</f>
        <v>#N/A N/A</v>
      </c>
      <c r="BN5" t="str">
        <f>_xll.BDS("PEBO US Equity","SUPPLY_CHAIN_CUSTOMERS","RELATIONSHIP_AS_OF_DATE","20140404")</f>
        <v>#N/A N/A</v>
      </c>
      <c r="BS5" t="str">
        <f>_xll.BDS("FCNB US Equity","SUPPLY_CHAIN_SUPPLIERS","RELATIONSHIP_AS_OF_DATE","19990312")</f>
        <v>#N/A N/A</v>
      </c>
      <c r="BX5" t="str">
        <f>_xll.BDS("FCNB US Equity","SUPPLY_CHAIN_CUSTOMERS","RELATIONSHIP_AS_OF_DATE","19990312")</f>
        <v>#N/A N/A</v>
      </c>
      <c r="CC5" t="str">
        <f>_xll.BDS("KROL US Equity","SUPPLY_CHAIN_SUPPLIERS","RELATIONSHIP_AS_OF_DATE","19981022")</f>
        <v>COL SM Equity</v>
      </c>
      <c r="CH5" t="str">
        <f>_xll.BDS("KROL US Equity","SUPPLY_CHAIN_CUSTOMERS","RELATIONSHIP_AS_OF_DATE","19981022")</f>
        <v>BHILQ US Equity</v>
      </c>
      <c r="CM5" t="str">
        <f>_xll.BDS("BANC US Equity","SUPPLY_CHAIN_SUPPLIERS","RELATIONSHIP_AS_OF_DATE","20110831","cols=1;rows=2")</f>
        <v>003490 KS Equity</v>
      </c>
      <c r="CR5" t="str">
        <f>_xll.BDS("BANC US Equity","SUPPLY_CHAIN_CUSTOMERS","RELATIONSHIP_AS_OF_DATE","20110831")</f>
        <v>SNX US Equity</v>
      </c>
      <c r="CW5" t="str">
        <f>_xll.BDS("FNB US Equity","SUPPLY_CHAIN_SUPPLIERS","RELATIONSHIP_AS_OF_DATE","20001218")</f>
        <v>HY US Equity</v>
      </c>
      <c r="DB5" t="str">
        <f>_xll.BDS("FNB US Equity","SUPPLY_CHAIN_CUSTOMERS","RELATIONSHIP_AS_OF_DATE","20001218")</f>
        <v>#N/A N/A</v>
      </c>
      <c r="DG5" t="str">
        <f>_xll.BDS("BKS US Equity","SUPPLY_CHAIN_SUPPLIERS","RELATIONSHIP_AS_OF_DATE","20031107","cols=1;rows=5")</f>
        <v>KIM US Equity</v>
      </c>
      <c r="DL5" t="str">
        <f>_xll.BDS("BKS US Equity","SUPPLY_CHAIN_CUSTOMERS","RELATIONSHIP_AS_OF_DATE","20031107")</f>
        <v>SNX US Equity</v>
      </c>
      <c r="DQ5" t="str">
        <f>_xll.BDS("2714244Q US Equity","SUPPLY_CHAIN_SUPPLIERS","RELATIONSHIP_AS_OF_DATE","20040112")</f>
        <v>#N/A N/A</v>
      </c>
      <c r="DV5" t="str">
        <f>_xll.BDS("2714244Q US Equity","SUPPLY_CHAIN_CUSTOMERS","RELATIONSHIP_AS_OF_DATE","20040112")</f>
        <v>#N/A N/A</v>
      </c>
      <c r="EA5" t="str">
        <f>_xll.BDS("NCOG US Equity","SUPPLY_CHAIN_SUPPLIERS","RELATIONSHIP_AS_OF_DATE","20031022")</f>
        <v>#N/A N/A</v>
      </c>
      <c r="EF5" t="str">
        <f>_xll.BDS("NCOG US Equity","SUPPLY_CHAIN_CUSTOMERS","RELATIONSHIP_AS_OF_DATE","20031022")</f>
        <v>#N/A N/A</v>
      </c>
      <c r="EK5" t="str">
        <f>_xll.BDS("RBNC US Equity","SUPPLY_CHAIN_SUPPLIERS","RELATIONSHIP_AS_OF_DATE","20190916")</f>
        <v>#N/A N/A</v>
      </c>
      <c r="EP5" t="str">
        <f>_xll.BDS("RBNC US Equity","SUPPLY_CHAIN_CUSTOMERS","RELATIONSHIP_AS_OF_DATE","20190916")</f>
        <v>#N/A N/A</v>
      </c>
      <c r="EU5" t="str">
        <f>_xll.BDS("INDB US Equity","SUPPLY_CHAIN_SUPPLIERS","RELATIONSHIP_AS_OF_DATE","20040109")</f>
        <v>#N/A N/A</v>
      </c>
      <c r="EZ5" t="str">
        <f>_xll.BDS("INDB US Equity","SUPPLY_CHAIN_CUSTOMERS","RELATIONSHIP_AS_OF_DATE","20040109")</f>
        <v>#N/A N/A</v>
      </c>
      <c r="FE5" t="str">
        <f>_xll.BDS("AMNB US Equity","SUPPLY_CHAIN_SUPPLIERS","RELATIONSHIP_AS_OF_DATE","20101216")</f>
        <v>#N/A N/A</v>
      </c>
      <c r="FJ5" t="str">
        <f>_xll.BDS("AMNB US Equity","SUPPLY_CHAIN_CUSTOMERS","RELATIONSHIP_AS_OF_DATE","20101216")</f>
        <v>#N/A N/A</v>
      </c>
      <c r="FO5" t="str">
        <f>_xll.BDS("1683351D US Equity","SUPPLY_CHAIN_SUPPLIERS","RELATIONSHIP_AS_OF_DATE","20020107")</f>
        <v>#N/A N/A</v>
      </c>
      <c r="FT5" t="str">
        <f>_xll.BDS("1683351D US Equity","SUPPLY_CHAIN_CUSTOMERS","RELATIONSHIP_AS_OF_DATE","20020107")</f>
        <v>#N/A N/A</v>
      </c>
      <c r="FY5" t="str">
        <f>_xll.BDS("IEP US Equity","SUPPLY_CHAIN_SUPPLIERS","RELATIONSHIP_AS_OF_DATE","20170602","cols=1;rows=5")</f>
        <v>SMP US Equity</v>
      </c>
      <c r="GD5" t="str">
        <f>_xll.BDS("IEP US Equity","SUPPLY_CHAIN_CUSTOMERS","RELATIONSHIP_AS_OF_DATE","20170602","cols=1;rows=2")</f>
        <v>FMGI IN Equity</v>
      </c>
      <c r="GI5" t="str">
        <f>_xll.BDS("IRF US Equity","SUPPLY_CHAIN_SUPPLIERS","RELATIONSHIP_AS_OF_DATE","20000128")</f>
        <v>#N/A N/A</v>
      </c>
      <c r="GN5" t="str">
        <f>_xll.BDS("IRF US Equity","SUPPLY_CHAIN_CUSTOMERS","RELATIONSHIP_AS_OF_DATE","20000128")</f>
        <v>#N/A N/A</v>
      </c>
      <c r="GS5" t="str">
        <f>_xll.BDS("SRCL US Equity","SUPPLY_CHAIN_SUPPLIERS","RELATIONSHIP_AS_OF_DATE","20021021","cols=1;rows=5")</f>
        <v>AEE US Equity</v>
      </c>
      <c r="GX5" t="str">
        <f>_xll.BDS("SRCL US Equity","SUPPLY_CHAIN_CUSTOMERS","RELATIONSHIP_AS_OF_DATE","20021021")</f>
        <v>#N/A N/A</v>
      </c>
      <c r="HC5" t="str">
        <f>_xll.BDS("GSIC US Equity","SUPPLY_CHAIN_SUPPLIERS","RELATIONSHIP_AS_OF_DATE","20001024")</f>
        <v>#N/A N/A</v>
      </c>
      <c r="HH5" t="str">
        <f>_xll.BDS("GSIC US Equity","SUPPLY_CHAIN_CUSTOMERS","RELATIONSHIP_AS_OF_DATE","20001024")</f>
        <v>#N/A N/A</v>
      </c>
      <c r="HM5" t="str">
        <f>_xll.BDS("NEB US Equity","SUPPLY_CHAIN_SUPPLIERS","RELATIONSHIP_AS_OF_DATE","20000530")</f>
        <v>#N/A N/A</v>
      </c>
      <c r="HR5" t="str">
        <f>_xll.BDS("NEB US Equity","SUPPLY_CHAIN_CUSTOMERS","RELATIONSHIP_AS_OF_DATE","20000530")</f>
        <v>#N/A N/A</v>
      </c>
      <c r="HW5" t="str">
        <f>_xll.BDS("TTN US Equity","SUPPLY_CHAIN_SUPPLIERS","RELATIONSHIP_AS_OF_DATE","19980106")</f>
        <v>#N/A N/A</v>
      </c>
      <c r="IB5" t="str">
        <f>_xll.BDS("TTN US Equity","SUPPLY_CHAIN_CUSTOMERS","RELATIONSHIP_AS_OF_DATE","19980106")</f>
        <v>#N/A N/A</v>
      </c>
      <c r="IG5" t="str">
        <f>_xll.BDS("PCBK US Equity","SUPPLY_CHAIN_SUPPLIERS","RELATIONSHIP_AS_OF_DATE","20050817")</f>
        <v>#N/A N/A</v>
      </c>
      <c r="IL5" t="str">
        <f>_xll.BDS("PCBK US Equity","SUPPLY_CHAIN_CUSTOMERS","RELATIONSHIP_AS_OF_DATE","20050817")</f>
        <v>#N/A N/A</v>
      </c>
      <c r="IQ5" t="str">
        <f>_xll.BDS("PACW US Equity","SUPPLY_CHAIN_SUPPLIERS","RELATIONSHIP_AS_OF_DATE","20050609")</f>
        <v>#N/A N/A</v>
      </c>
      <c r="IV5" t="str">
        <f>_xll.BDS("PACW US Equity","SUPPLY_CHAIN_CUSTOMERS","RELATIONSHIP_AS_OF_DATE","20050609")</f>
        <v>SNX US Equity</v>
      </c>
      <c r="JA5" t="str">
        <f>_xll.BDS("MCOAQ US Equity","SUPPLY_CHAIN_SUPPLIERS","RELATIONSHIP_AS_OF_DATE","20010625")</f>
        <v>#N/A N/A</v>
      </c>
      <c r="JF5" t="str">
        <f>_xll.BDS("MCOAQ US Equity","SUPPLY_CHAIN_CUSTOMERS","RELATIONSHIP_AS_OF_DATE","20010625")</f>
        <v>#N/A N/A</v>
      </c>
      <c r="JK5" t="str">
        <f>_xll.BDS("DRS US Equity","SUPPLY_CHAIN_SUPPLIERS","RELATIONSHIP_AS_OF_DATE","19980408")</f>
        <v>#N/A N/A</v>
      </c>
      <c r="JP5" t="str">
        <f>_xll.BDS("DRS US Equity","SUPPLY_CHAIN_CUSTOMERS","RELATIONSHIP_AS_OF_DATE","19980408","cols=1;rows=5")</f>
        <v>3352Z US Equity</v>
      </c>
      <c r="JU5" t="str">
        <f>_xll.BDS("RRD US Equity","SUPPLY_CHAIN_SUPPLIERS","RELATIONSHIP_AS_OF_DATE","20120522","cols=1;rows=5")</f>
        <v>FNOVA17 MM Equity</v>
      </c>
      <c r="JZ5" t="str">
        <f>_xll.BDS("RRD US Equity","SUPPLY_CHAIN_CUSTOMERS","RELATIONSHIP_AS_OF_DATE","20120522","cols=1;rows=5")</f>
        <v>1646058D US Equity</v>
      </c>
      <c r="KE5" t="str">
        <f>_xll.BDS("CSBC US Equity","SUPPLY_CHAIN_SUPPLIERS","RELATIONSHIP_AS_OF_DATE","20010716")</f>
        <v>#N/A N/A</v>
      </c>
      <c r="KJ5" t="str">
        <f>_xll.BDS("CSBC US Equity","SUPPLY_CHAIN_CUSTOMERS","RELATIONSHIP_AS_OF_DATE","20010716")</f>
        <v>#N/A N/A</v>
      </c>
      <c r="KO5" t="str">
        <f>_xll.BDS("UCBHQ US Equity","SUPPLY_CHAIN_SUPPLIERS","RELATIONSHIP_AS_OF_DATE","20050803")</f>
        <v>#N/A N/A</v>
      </c>
      <c r="KT5" t="str">
        <f>_xll.BDS("UCBHQ US Equity","SUPPLY_CHAIN_CUSTOMERS","RELATIONSHIP_AS_OF_DATE","20050803")</f>
        <v>#N/A N/A</v>
      </c>
      <c r="KY5" t="str">
        <f>_xll.BDS("FLXS US Equity","SUPPLY_CHAIN_SUPPLIERS","RELATIONSHIP_AS_OF_DATE","20030813","cols=1;rows=5")</f>
        <v>CULP US Equity</v>
      </c>
      <c r="LD5" t="str">
        <f>_xll.BDS("FLXS US Equity","SUPPLY_CHAIN_CUSTOMERS","RELATIONSHIP_AS_OF_DATE","20030813","cols=1;rows=2")</f>
        <v>COST US Equity</v>
      </c>
      <c r="LI5" t="str">
        <f>_xll.BDS("WTTR US Equity","SUPPLY_CHAIN_SUPPLIERS","RELATIONSHIP_AS_OF_DATE","20210712")</f>
        <v>GNL US Equity</v>
      </c>
      <c r="LN5" t="str">
        <f>_xll.BDS("WTTR US Equity","SUPPLY_CHAIN_CUSTOMERS","RELATIONSHIP_AS_OF_DATE","20210712","cols=1;rows=5")</f>
        <v>0069572D US Equity</v>
      </c>
      <c r="LS5" t="str">
        <f>_xll.BDS("PVSA US Equity","SUPPLY_CHAIN_SUPPLIERS","RELATIONSHIP_AS_OF_DATE","20040901")</f>
        <v>#N/A N/A</v>
      </c>
      <c r="LX5" t="str">
        <f>_xll.BDS("PVSA US Equity","SUPPLY_CHAIN_CUSTOMERS","RELATIONSHIP_AS_OF_DATE","20040901")</f>
        <v>#N/A N/A</v>
      </c>
      <c r="MC5" t="str">
        <f>_xll.BDS("896649Q US Equity","SUPPLY_CHAIN_SUPPLIERS","RELATIONSHIP_AS_OF_DATE","20000609")</f>
        <v>#N/A N/A</v>
      </c>
      <c r="MH5" t="str">
        <f>_xll.BDS("896649Q US Equity","SUPPLY_CHAIN_CUSTOMERS","RELATIONSHIP_AS_OF_DATE","20000609")</f>
        <v>#N/A N/A</v>
      </c>
      <c r="MM5" t="str">
        <f>_xll.BDS("LLY US Equity","SUPPLY_CHAIN_SUPPLIERS","RELATIONSHIP_AS_OF_DATE","20080708","cols=1;rows=5")</f>
        <v>RIGL US Equity</v>
      </c>
      <c r="MR5" t="str">
        <f>_xll.BDS("LLY US Equity","SUPPLY_CHAIN_CUSTOMERS","RELATIONSHIP_AS_OF_DATE","20080708","cols=1;rows=5")</f>
        <v>MCK US Equity</v>
      </c>
      <c r="MW5" t="str">
        <f>_xll.BDS("EPAY US Equity","SUPPLY_CHAIN_SUPPLIERS","RELATIONSHIP_AS_OF_DATE","20080303","cols=1;rows=3")</f>
        <v>COUP US Equity</v>
      </c>
      <c r="NB5" t="str">
        <f>_xll.BDS("EPAY US Equity","SUPPLY_CHAIN_CUSTOMERS","RELATIONSHIP_AS_OF_DATE","20080303","cols=1;rows=2")</f>
        <v>EDEN FP Equity</v>
      </c>
      <c r="NG5" t="str">
        <f>_xll.BDS("MSFG US Equity","SUPPLY_CHAIN_SUPPLIERS","RELATIONSHIP_AS_OF_DATE","20051026")</f>
        <v>#N/A N/A</v>
      </c>
      <c r="NL5" t="str">
        <f>_xll.BDS("MSFG US Equity","SUPPLY_CHAIN_CUSTOMERS","RELATIONSHIP_AS_OF_DATE","20051026")</f>
        <v>#N/A N/A</v>
      </c>
      <c r="NQ5" t="str">
        <f>_xll.BDS("INDB US Equity","SUPPLY_CHAIN_SUPPLIERS","RELATIONSHIP_AS_OF_DATE","20130514")</f>
        <v>#N/A N/A</v>
      </c>
      <c r="NV5" t="str">
        <f>_xll.BDS("INDB US Equity","SUPPLY_CHAIN_CUSTOMERS","RELATIONSHIP_AS_OF_DATE","20130514")</f>
        <v>#N/A N/A</v>
      </c>
      <c r="OA5" t="str">
        <f>_xll.BDS("TCFC US Equity","SUPPLY_CHAIN_SUPPLIERS","RELATIONSHIP_AS_OF_DATE","20170731")</f>
        <v>#N/A N/A</v>
      </c>
      <c r="OF5" t="str">
        <f>_xll.BDS("TCFC US Equity","SUPPLY_CHAIN_CUSTOMERS","RELATIONSHIP_AS_OF_DATE","20170731")</f>
        <v>#N/A N/A</v>
      </c>
    </row>
    <row r="6" spans="1:396" x14ac:dyDescent="0.25">
      <c r="A6" t="s">
        <v>10696</v>
      </c>
      <c r="Z6" t="s">
        <v>10743</v>
      </c>
      <c r="CM6" t="s">
        <v>10829</v>
      </c>
      <c r="DG6" t="s">
        <v>10888</v>
      </c>
      <c r="FY6" t="s">
        <v>10873</v>
      </c>
      <c r="GD6" t="s">
        <v>10812</v>
      </c>
      <c r="GS6" t="s">
        <v>10696</v>
      </c>
      <c r="JP6" t="s">
        <v>42</v>
      </c>
      <c r="JU6" t="s">
        <v>11290</v>
      </c>
      <c r="JZ6" t="s">
        <v>11284</v>
      </c>
      <c r="KY6" t="s">
        <v>11149</v>
      </c>
      <c r="LD6" t="s">
        <v>11132</v>
      </c>
      <c r="LN6" t="s">
        <v>11494</v>
      </c>
      <c r="MM6" t="s">
        <v>10846</v>
      </c>
      <c r="MR6" t="s">
        <v>1468</v>
      </c>
      <c r="MW6" t="s">
        <v>11253</v>
      </c>
      <c r="NB6" t="s">
        <v>11506</v>
      </c>
    </row>
    <row r="7" spans="1:396" x14ac:dyDescent="0.25">
      <c r="A7" t="s">
        <v>693</v>
      </c>
      <c r="DG7" t="s">
        <v>10889</v>
      </c>
      <c r="FY7" t="s">
        <v>10874</v>
      </c>
      <c r="GS7" t="s">
        <v>1265</v>
      </c>
      <c r="JP7" t="s">
        <v>10785</v>
      </c>
      <c r="JU7" t="s">
        <v>1654</v>
      </c>
      <c r="JZ7" t="s">
        <v>11285</v>
      </c>
      <c r="KY7" t="s">
        <v>11150</v>
      </c>
      <c r="LN7" t="s">
        <v>11495</v>
      </c>
      <c r="MM7" t="s">
        <v>10847</v>
      </c>
      <c r="MR7" t="s">
        <v>970</v>
      </c>
      <c r="MW7" t="s">
        <v>10672</v>
      </c>
    </row>
    <row r="8" spans="1:396" x14ac:dyDescent="0.25">
      <c r="A8" t="s">
        <v>10715</v>
      </c>
      <c r="DG8" t="s">
        <v>10890</v>
      </c>
      <c r="FY8" t="s">
        <v>10875</v>
      </c>
      <c r="GS8" t="s">
        <v>10977</v>
      </c>
      <c r="JP8" t="s">
        <v>388</v>
      </c>
      <c r="JU8" t="s">
        <v>2111</v>
      </c>
      <c r="JZ8" t="s">
        <v>5236</v>
      </c>
      <c r="KY8" t="s">
        <v>11151</v>
      </c>
      <c r="LN8" t="s">
        <v>11496</v>
      </c>
      <c r="MM8" t="s">
        <v>2785</v>
      </c>
      <c r="MR8" t="s">
        <v>10799</v>
      </c>
    </row>
    <row r="9" spans="1:396" x14ac:dyDescent="0.25">
      <c r="A9" t="s">
        <v>10740</v>
      </c>
      <c r="DG9" t="s">
        <v>991</v>
      </c>
      <c r="FY9" t="s">
        <v>10876</v>
      </c>
      <c r="GS9" t="s">
        <v>158</v>
      </c>
      <c r="JP9" t="s">
        <v>10786</v>
      </c>
      <c r="JU9" t="s">
        <v>10696</v>
      </c>
      <c r="JZ9" t="s">
        <v>10992</v>
      </c>
      <c r="KY9" t="s">
        <v>693</v>
      </c>
      <c r="LN9" t="s">
        <v>11497</v>
      </c>
      <c r="MM9" t="s">
        <v>10821</v>
      </c>
      <c r="MR9" t="s">
        <v>10800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9184</v>
      </c>
      <c r="K1" s="1" t="s">
        <v>9185</v>
      </c>
      <c r="U1" s="1" t="s">
        <v>9186</v>
      </c>
      <c r="AE1" s="1" t="s">
        <v>9187</v>
      </c>
      <c r="AO1" s="1" t="s">
        <v>9188</v>
      </c>
      <c r="AY1" s="1" t="s">
        <v>9189</v>
      </c>
      <c r="BI1" s="1" t="s">
        <v>9190</v>
      </c>
      <c r="BS1" s="1" t="s">
        <v>9191</v>
      </c>
      <c r="CC1" s="1" t="s">
        <v>9192</v>
      </c>
      <c r="CM1" s="1" t="s">
        <v>9193</v>
      </c>
      <c r="CW1" s="1" t="s">
        <v>9194</v>
      </c>
      <c r="DG1" s="1" t="s">
        <v>9195</v>
      </c>
      <c r="DQ1" s="1" t="s">
        <v>9196</v>
      </c>
      <c r="EA1" s="1" t="s">
        <v>9197</v>
      </c>
      <c r="EK1" s="1" t="s">
        <v>9198</v>
      </c>
      <c r="EU1" s="1" t="s">
        <v>9199</v>
      </c>
      <c r="FE1" s="1" t="s">
        <v>9200</v>
      </c>
      <c r="FO1" s="1" t="s">
        <v>9201</v>
      </c>
      <c r="FY1" s="1" t="s">
        <v>9202</v>
      </c>
      <c r="GI1" s="1" t="s">
        <v>9203</v>
      </c>
      <c r="GS1" s="1" t="s">
        <v>9204</v>
      </c>
      <c r="HC1" s="1" t="s">
        <v>9205</v>
      </c>
      <c r="HM1" s="1" t="s">
        <v>9206</v>
      </c>
      <c r="HW1" s="1" t="s">
        <v>9207</v>
      </c>
      <c r="IG1" s="1" t="s">
        <v>9208</v>
      </c>
      <c r="IQ1" s="1" t="s">
        <v>9209</v>
      </c>
      <c r="JA1" s="1" t="s">
        <v>9210</v>
      </c>
      <c r="JK1" s="1" t="s">
        <v>9211</v>
      </c>
      <c r="JU1" s="1" t="s">
        <v>9212</v>
      </c>
      <c r="KE1" s="1" t="s">
        <v>9213</v>
      </c>
      <c r="KO1" s="1" t="s">
        <v>9214</v>
      </c>
      <c r="KY1" s="1" t="s">
        <v>9215</v>
      </c>
      <c r="LI1" s="1" t="s">
        <v>9216</v>
      </c>
      <c r="LS1" s="1" t="s">
        <v>9217</v>
      </c>
      <c r="MC1" s="1" t="s">
        <v>9218</v>
      </c>
      <c r="MM1" s="1" t="s">
        <v>9219</v>
      </c>
      <c r="MW1" s="1" t="s">
        <v>9220</v>
      </c>
      <c r="NG1" s="1" t="s">
        <v>9221</v>
      </c>
      <c r="NQ1" s="1" t="s">
        <v>9222</v>
      </c>
      <c r="OA1" s="1" t="s">
        <v>9223</v>
      </c>
    </row>
    <row r="2" spans="1:396" x14ac:dyDescent="0.25">
      <c r="A2" s="2" t="s">
        <v>9224</v>
      </c>
      <c r="K2" s="2" t="s">
        <v>6722</v>
      </c>
      <c r="U2" s="2" t="s">
        <v>3798</v>
      </c>
      <c r="AE2" s="2" t="s">
        <v>6722</v>
      </c>
      <c r="AO2" s="2" t="s">
        <v>9225</v>
      </c>
      <c r="AY2" s="2" t="s">
        <v>9226</v>
      </c>
      <c r="BI2" s="2" t="s">
        <v>8680</v>
      </c>
      <c r="BS2" s="2" t="s">
        <v>8088</v>
      </c>
      <c r="CC2" s="2" t="s">
        <v>577</v>
      </c>
      <c r="CM2" s="2" t="s">
        <v>262</v>
      </c>
      <c r="CW2" s="2" t="s">
        <v>7376</v>
      </c>
      <c r="DG2" s="2" t="s">
        <v>2124</v>
      </c>
      <c r="DQ2" s="2" t="s">
        <v>7765</v>
      </c>
      <c r="EA2" s="2" t="s">
        <v>5581</v>
      </c>
      <c r="EK2" s="2" t="s">
        <v>387</v>
      </c>
      <c r="EU2" s="2" t="s">
        <v>7537</v>
      </c>
      <c r="FE2" s="2" t="s">
        <v>6807</v>
      </c>
      <c r="FO2" s="2" t="s">
        <v>1376</v>
      </c>
      <c r="FY2" s="2" t="s">
        <v>7211</v>
      </c>
      <c r="GI2" s="2" t="s">
        <v>9227</v>
      </c>
      <c r="GS2" s="2" t="s">
        <v>7917</v>
      </c>
      <c r="HC2" s="2" t="s">
        <v>880</v>
      </c>
      <c r="HM2" s="2" t="s">
        <v>9228</v>
      </c>
      <c r="HW2" s="2" t="s">
        <v>2296</v>
      </c>
      <c r="IG2" s="2" t="s">
        <v>9229</v>
      </c>
      <c r="IQ2" s="2" t="s">
        <v>9230</v>
      </c>
      <c r="JA2" s="2" t="s">
        <v>9231</v>
      </c>
      <c r="JK2" s="2" t="s">
        <v>2124</v>
      </c>
      <c r="JU2" s="2" t="s">
        <v>4911</v>
      </c>
      <c r="KE2" s="2" t="s">
        <v>6557</v>
      </c>
      <c r="KO2" s="2" t="s">
        <v>9232</v>
      </c>
      <c r="KY2" s="2" t="s">
        <v>4380</v>
      </c>
      <c r="LI2" s="2" t="s">
        <v>9233</v>
      </c>
      <c r="LS2" s="2" t="s">
        <v>9234</v>
      </c>
      <c r="MC2" s="2" t="s">
        <v>8167</v>
      </c>
      <c r="MM2" s="2" t="s">
        <v>9235</v>
      </c>
      <c r="MW2" s="2" t="s">
        <v>8088</v>
      </c>
      <c r="NG2" s="2" t="s">
        <v>6982</v>
      </c>
      <c r="NQ2" s="2" t="s">
        <v>8309</v>
      </c>
      <c r="OA2" s="2" t="s">
        <v>8530</v>
      </c>
    </row>
    <row r="3" spans="1:396" x14ac:dyDescent="0.25">
      <c r="A3" t="s">
        <v>3979</v>
      </c>
      <c r="K3" t="s">
        <v>5854</v>
      </c>
      <c r="U3" t="s">
        <v>9236</v>
      </c>
      <c r="AE3" t="s">
        <v>9237</v>
      </c>
      <c r="AO3" t="s">
        <v>9238</v>
      </c>
      <c r="AY3" t="s">
        <v>4406</v>
      </c>
      <c r="BI3" t="s">
        <v>9239</v>
      </c>
      <c r="BS3" t="s">
        <v>8545</v>
      </c>
      <c r="CC3" t="s">
        <v>9240</v>
      </c>
      <c r="CM3" t="s">
        <v>4328</v>
      </c>
      <c r="CW3" t="s">
        <v>2234</v>
      </c>
      <c r="DG3" t="s">
        <v>9241</v>
      </c>
      <c r="DQ3" t="s">
        <v>9242</v>
      </c>
      <c r="EA3" t="s">
        <v>5442</v>
      </c>
      <c r="EK3" t="s">
        <v>4415</v>
      </c>
      <c r="EU3" t="s">
        <v>9243</v>
      </c>
      <c r="FE3" t="s">
        <v>2239</v>
      </c>
      <c r="FO3" t="s">
        <v>6655</v>
      </c>
      <c r="FY3" t="s">
        <v>9244</v>
      </c>
      <c r="GI3" t="s">
        <v>9245</v>
      </c>
      <c r="GS3" t="s">
        <v>9246</v>
      </c>
      <c r="HC3" t="s">
        <v>9247</v>
      </c>
      <c r="HM3" t="s">
        <v>2052</v>
      </c>
      <c r="HW3" t="s">
        <v>9248</v>
      </c>
      <c r="IG3" t="s">
        <v>9249</v>
      </c>
      <c r="IQ3" t="s">
        <v>9250</v>
      </c>
      <c r="JA3" t="s">
        <v>9251</v>
      </c>
      <c r="JK3" t="s">
        <v>9252</v>
      </c>
      <c r="JU3" t="s">
        <v>9253</v>
      </c>
      <c r="KE3" t="s">
        <v>8953</v>
      </c>
      <c r="KO3" t="s">
        <v>9254</v>
      </c>
      <c r="KY3" t="s">
        <v>8943</v>
      </c>
      <c r="LI3" t="s">
        <v>1005</v>
      </c>
      <c r="LS3" t="s">
        <v>3170</v>
      </c>
      <c r="MC3" t="s">
        <v>5779</v>
      </c>
      <c r="MM3" t="s">
        <v>8952</v>
      </c>
      <c r="MW3" t="s">
        <v>9255</v>
      </c>
      <c r="NG3" t="s">
        <v>7949</v>
      </c>
      <c r="NQ3" t="s">
        <v>9256</v>
      </c>
      <c r="OA3" t="s">
        <v>6667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_xll.BDS("2464209D US Equity","SUPPLY_CHAIN_SUPPLIERS","RELATIONSHIP_AS_OF_DATE","20030821","cols=1;rows=5")</f>
        <v>REXR US Equity</v>
      </c>
      <c r="F5" t="str">
        <f>_xll.BDS("2464209D US Equity","SUPPLY_CHAIN_CUSTOMERS","RELATIONSHIP_AS_OF_DATE","20030821","cols=1;rows=5")</f>
        <v>0216067D US Equity</v>
      </c>
      <c r="K5" t="str">
        <f>_xll.BDS("BNCN US Equity","SUPPLY_CHAIN_SUPPLIERS","RELATIONSHIP_AS_OF_DATE","20120604")</f>
        <v>#N/A N/A</v>
      </c>
      <c r="P5" t="str">
        <f>_xll.BDS("BNCN US Equity","SUPPLY_CHAIN_CUSTOMERS","RELATIONSHIP_AS_OF_DATE","20120604")</f>
        <v>#N/A N/A</v>
      </c>
      <c r="U5" t="str">
        <f>_xll.BDS("AUB US Equity","SUPPLY_CHAIN_SUPPLIERS","RELATIONSHIP_AS_OF_DATE","20051031")</f>
        <v>TEMN SW Equity</v>
      </c>
      <c r="Z5" t="str">
        <f>_xll.BDS("AUB US Equity","SUPPLY_CHAIN_CUSTOMERS","RELATIONSHIP_AS_OF_DATE","20051031")</f>
        <v>#N/A N/A</v>
      </c>
      <c r="AE5" t="str">
        <f>_xll.BDS("BNCN US Equity","SUPPLY_CHAIN_SUPPLIERS","RELATIONSHIP_AS_OF_DATE","20060206")</f>
        <v>#N/A N/A</v>
      </c>
      <c r="AJ5" t="str">
        <f>_xll.BDS("BNCN US Equity","SUPPLY_CHAIN_CUSTOMERS","RELATIONSHIP_AS_OF_DATE","20060206")</f>
        <v>#N/A N/A</v>
      </c>
      <c r="AO5" t="str">
        <f>_xll.BDS("SNA US Equity","SUPPLY_CHAIN_SUPPLIERS","RELATIONSHIP_AS_OF_DATE","19980428","cols=1;rows=5")</f>
        <v>4534 TT Equity</v>
      </c>
      <c r="AT5" t="str">
        <f>_xll.BDS("SNA US Equity","SUPPLY_CHAIN_CUSTOMERS","RELATIONSHIP_AS_OF_DATE","19980428","cols=1;rows=5")</f>
        <v>KGF LN Equity</v>
      </c>
      <c r="AY5" t="str">
        <f>_xll.BDS("45445Q US Equity","SUPPLY_CHAIN_SUPPLIERS","RELATIONSHIP_AS_OF_DATE","20000515")</f>
        <v>#N/A N/A</v>
      </c>
      <c r="BD5" t="str">
        <f>_xll.BDS("45445Q US Equity","SUPPLY_CHAIN_CUSTOMERS","RELATIONSHIP_AS_OF_DATE","20000515")</f>
        <v>#N/A N/A</v>
      </c>
      <c r="BI5" t="str">
        <f>_xll.BDS("VSB US Equity","SUPPLY_CHAIN_SUPPLIERS","RELATIONSHIP_AS_OF_DATE","20060406")</f>
        <v>#N/A N/A</v>
      </c>
      <c r="BN5" t="str">
        <f>_xll.BDS("VSB US Equity","SUPPLY_CHAIN_CUSTOMERS","RELATIONSHIP_AS_OF_DATE","20060406")</f>
        <v>#N/A N/A</v>
      </c>
      <c r="BS5" t="str">
        <f>_xll.BDS("FCBC US Equity","SUPPLY_CHAIN_SUPPLIERS","RELATIONSHIP_AS_OF_DATE","20031231")</f>
        <v>#N/A N/A</v>
      </c>
      <c r="BX5" t="str">
        <f>_xll.BDS("FCBC US Equity","SUPPLY_CHAIN_CUSTOMERS","RELATIONSHIP_AS_OF_DATE","20031231")</f>
        <v>#N/A N/A</v>
      </c>
      <c r="CC5" t="str">
        <f>_xll.BDS("355488Q US Equity","SUPPLY_CHAIN_SUPPLIERS","RELATIONSHIP_AS_OF_DATE","19980717")</f>
        <v>#N/A N/A</v>
      </c>
      <c r="CH5" t="str">
        <f>_xll.BDS("355488Q US Equity","SUPPLY_CHAIN_CUSTOMERS","RELATIONSHIP_AS_OF_DATE","19980717")</f>
        <v>#N/A N/A</v>
      </c>
      <c r="CM5" t="str">
        <f>_xll.BDS("BSX US Equity","SUPPLY_CHAIN_SUPPLIERS","RELATIONSHIP_AS_OF_DATE","20010629","cols=1;rows=5")</f>
        <v>FLEX US Equity</v>
      </c>
      <c r="CR5" t="str">
        <f>_xll.BDS("BSX US Equity","SUPPLY_CHAIN_CUSTOMERS","RELATIONSHIP_AS_OF_DATE","20010629","cols=1;rows=5")</f>
        <v>000078 CH Equity</v>
      </c>
      <c r="CW5" t="str">
        <f>_xll.BDS("CIVB US Equity","SUPPLY_CHAIN_SUPPLIERS","RELATIONSHIP_AS_OF_DATE","20040304")</f>
        <v>#N/A N/A</v>
      </c>
      <c r="DB5" t="str">
        <f>_xll.BDS("CIVB US Equity","SUPPLY_CHAIN_CUSTOMERS","RELATIONSHIP_AS_OF_DATE","20040304")</f>
        <v>#N/A N/A</v>
      </c>
      <c r="DG5" t="str">
        <f>_xll.BDS("PACW US Equity","SUPPLY_CHAIN_SUPPLIERS","RELATIONSHIP_AS_OF_DATE","20031201")</f>
        <v>#N/A N/A</v>
      </c>
      <c r="DL5" t="str">
        <f>_xll.BDS("PACW US Equity","SUPPLY_CHAIN_CUSTOMERS","RELATIONSHIP_AS_OF_DATE","20031201")</f>
        <v>SNX US Equity</v>
      </c>
      <c r="DQ5" t="str">
        <f>_xll.BDS("UCFC US Equity","SUPPLY_CHAIN_SUPPLIERS","RELATIONSHIP_AS_OF_DATE","20160908")</f>
        <v>#N/A N/A</v>
      </c>
      <c r="DV5" t="str">
        <f>_xll.BDS("UCFC US Equity","SUPPLY_CHAIN_CUSTOMERS","RELATIONSHIP_AS_OF_DATE","20160908")</f>
        <v>#N/A N/A</v>
      </c>
      <c r="EA5" t="str">
        <f>_xll.BDS("FCHDQ US Equity","SUPPLY_CHAIN_SUPPLIERS","RELATIONSHIP_AS_OF_DATE","19981203")</f>
        <v>#N/A N/A</v>
      </c>
      <c r="EF5" t="str">
        <f>_xll.BDS("FCHDQ US Equity","SUPPLY_CHAIN_CUSTOMERS","RELATIONSHIP_AS_OF_DATE","19981203")</f>
        <v>#N/A N/A</v>
      </c>
      <c r="EK5" t="str">
        <f>_xll.BDS("DHR US Equity","SUPPLY_CHAIN_SUPPLIERS","RELATIONSHIP_AS_OF_DATE","20150622","cols=1;rows=5")</f>
        <v>FLEX US Equity</v>
      </c>
      <c r="EP5" t="str">
        <f>_xll.BDS("DHR US Equity","SUPPLY_CHAIN_CUSTOMERS","RELATIONSHIP_AS_OF_DATE","20150622","cols=1;rows=5")</f>
        <v>CDW US Equity</v>
      </c>
      <c r="EU5" t="str">
        <f>_xll.BDS("FMAO US Equity","SUPPLY_CHAIN_SUPPLIERS","RELATIONSHIP_AS_OF_DATE","20220614")</f>
        <v>MLNK US Equity</v>
      </c>
      <c r="EZ5" t="str">
        <f>_xll.BDS("FMAO US Equity","SUPPLY_CHAIN_CUSTOMERS","RELATIONSHIP_AS_OF_DATE","20220614")</f>
        <v>#N/A N/A</v>
      </c>
      <c r="FE5" t="str">
        <f>_xll.BDS("FCBN US Equity","SUPPLY_CHAIN_SUPPLIERS","RELATIONSHIP_AS_OF_DATE","20041018")</f>
        <v>#N/A N/A</v>
      </c>
      <c r="FJ5" t="str">
        <f>_xll.BDS("FCBN US Equity","SUPPLY_CHAIN_CUSTOMERS","RELATIONSHIP_AS_OF_DATE","20041018")</f>
        <v>#N/A N/A</v>
      </c>
      <c r="FO5" t="str">
        <f>_xll.BDS("TDG US Equity","SUPPLY_CHAIN_SUPPLIERS","RELATIONSHIP_AS_OF_DATE","20130422","cols=1;rows=5")</f>
        <v>DCO US Equity</v>
      </c>
      <c r="FT5" t="str">
        <f>_xll.BDS("TDG US Equity","SUPPLY_CHAIN_CUSTOMERS","RELATIONSHIP_AS_OF_DATE","20130422","cols=1;rows=5")</f>
        <v>BA US Equity</v>
      </c>
      <c r="FY5" t="str">
        <f>_xll.BDS("LBAI US Equity","SUPPLY_CHAIN_SUPPLIERS","RELATIONSHIP_AS_OF_DATE","20180823")</f>
        <v>#N/A N/A</v>
      </c>
      <c r="GD5" t="str">
        <f>_xll.BDS("LBAI US Equity","SUPPLY_CHAIN_CUSTOMERS","RELATIONSHIP_AS_OF_DATE","20180823")</f>
        <v>#N/A N/A</v>
      </c>
      <c r="GI5" t="str">
        <f>_xll.BDS("KKD US Equity","SUPPLY_CHAIN_SUPPLIERS","RELATIONSHIP_AS_OF_DATE","20030124")</f>
        <v>SGREIT SP Equity</v>
      </c>
      <c r="GN5" t="str">
        <f>_xll.BDS("KKD US Equity","SUPPLY_CHAIN_CUSTOMERS","RELATIONSHIP_AS_OF_DATE","20030124")</f>
        <v>MAPI IJ Equity</v>
      </c>
      <c r="GS5" t="str">
        <f>_xll.BDS("SPPI US Equity","SUPPLY_CHAIN_SUPPLIERS","RELATIONSHIP_AS_OF_DATE","20130717","cols=1;rows=5")</f>
        <v>0031457D US Equity</v>
      </c>
      <c r="GX5" t="str">
        <f>_xll.BDS("SPPI US Equity","SUPPLY_CHAIN_CUSTOMERS","RELATIONSHIP_AS_OF_DATE","20130717","cols=1;rows=3")</f>
        <v>4272 JP Equity</v>
      </c>
      <c r="HC5" t="str">
        <f>_xll.BDS("2860436Q US Equity","SUPPLY_CHAIN_SUPPLIERS","RELATIONSHIP_AS_OF_DATE","20020624")</f>
        <v>#N/A N/A</v>
      </c>
      <c r="HH5" t="str">
        <f>_xll.BDS("2860436Q US Equity","SUPPLY_CHAIN_CUSTOMERS","RELATIONSHIP_AS_OF_DATE","20020624")</f>
        <v>#N/A N/A</v>
      </c>
      <c r="HM5" t="str">
        <f>_xll.BDS("BFOH US Equity","SUPPLY_CHAIN_SUPPLIERS","RELATIONSHIP_AS_OF_DATE","20000113")</f>
        <v>#N/A N/A</v>
      </c>
      <c r="HR5" t="str">
        <f>_xll.BDS("BFOH US Equity","SUPPLY_CHAIN_CUSTOMERS","RELATIONSHIP_AS_OF_DATE","20000113")</f>
        <v>#N/A N/A</v>
      </c>
      <c r="HW5" t="str">
        <f>_xll.BDS("FCNCA US Equity","SUPPLY_CHAIN_SUPPLIERS","RELATIONSHIP_AS_OF_DATE","20160520","cols=1;rows=5")</f>
        <v>RAIL US Equity</v>
      </c>
      <c r="IB5" t="str">
        <f>_xll.BDS("FCNCA US Equity","SUPPLY_CHAIN_CUSTOMERS","RELATIONSHIP_AS_OF_DATE","20160520")</f>
        <v>#N/A N/A</v>
      </c>
      <c r="IG5" t="str">
        <f>_xll.BDS("3111Q US Equity","SUPPLY_CHAIN_SUPPLIERS","RELATIONSHIP_AS_OF_DATE","19990414")</f>
        <v>#N/A N/A</v>
      </c>
      <c r="IL5" t="str">
        <f>_xll.BDS("3111Q US Equity","SUPPLY_CHAIN_CUSTOMERS","RELATIONSHIP_AS_OF_DATE","19990414")</f>
        <v>#N/A N/A</v>
      </c>
      <c r="IQ5" t="str">
        <f>_xll.BDS("GGG US Equity","SUPPLY_CHAIN_SUPPLIERS","RELATIONSHIP_AS_OF_DATE","20071203","cols=1;rows=5")</f>
        <v>HUN US Equity</v>
      </c>
      <c r="IV5" t="str">
        <f>_xll.BDS("GGG US Equity","SUPPLY_CHAIN_CUSTOMERS","RELATIONSHIP_AS_OF_DATE","20071203","cols=1;rows=5")</f>
        <v>SHW US Equity</v>
      </c>
      <c r="JA5" t="str">
        <f>_xll.BDS("PDFS US Equity","SUPPLY_CHAIN_SUPPLIERS","RELATIONSHIP_AS_OF_DATE","20201117","cols=1;rows=5")</f>
        <v>1462801D US Equity</v>
      </c>
      <c r="JF5" t="str">
        <f>_xll.BDS("PDFS US Equity","SUPPLY_CHAIN_CUSTOMERS","RELATIONSHIP_AS_OF_DATE","20201117","cols=1;rows=5")</f>
        <v>005930 KS Equity</v>
      </c>
      <c r="JK5" t="str">
        <f>_xll.BDS("PACW US Equity","SUPPLY_CHAIN_SUPPLIERS","RELATIONSHIP_AS_OF_DATE","20030417")</f>
        <v>#N/A N/A</v>
      </c>
      <c r="JP5" t="str">
        <f>_xll.BDS("PACW US Equity","SUPPLY_CHAIN_CUSTOMERS","RELATIONSHIP_AS_OF_DATE","20030417")</f>
        <v>SNX US Equity</v>
      </c>
      <c r="JU5" t="str">
        <f>_xll.BDS("ABCB US Equity","SUPPLY_CHAIN_SUPPLIERS","RELATIONSHIP_AS_OF_DATE","20050701")</f>
        <v>5158754Z SS Equity</v>
      </c>
      <c r="JZ5" t="str">
        <f>_xll.BDS("ABCB US Equity","SUPPLY_CHAIN_CUSTOMERS","RELATIONSHIP_AS_OF_DATE","20050701")</f>
        <v>#N/A N/A</v>
      </c>
      <c r="KE5" t="str">
        <f>_xll.BDS("1523873D US Equity","SUPPLY_CHAIN_SUPPLIERS","RELATIONSHIP_AS_OF_DATE","19980210")</f>
        <v>#N/A N/A</v>
      </c>
      <c r="KJ5" t="str">
        <f>_xll.BDS("1523873D US Equity","SUPPLY_CHAIN_CUSTOMERS","RELATIONSHIP_AS_OF_DATE","19980210")</f>
        <v>#N/A N/A</v>
      </c>
      <c r="KO5" t="str">
        <f>_xll.BDS("IHR US Equity","SUPPLY_CHAIN_SUPPLIERS","RELATIONSHIP_AS_OF_DATE","20000324")</f>
        <v>#N/A N/A</v>
      </c>
      <c r="KT5" t="str">
        <f>_xll.BDS("IHR US Equity","SUPPLY_CHAIN_CUSTOMERS","RELATIONSHIP_AS_OF_DATE","20000324")</f>
        <v>#N/A N/A</v>
      </c>
      <c r="KY5" t="str">
        <f>_xll.BDS("UCB US Equity","SUPPLY_CHAIN_SUPPLIERS","RELATIONSHIP_AS_OF_DATE","20040826")</f>
        <v>3764228Z US Equity</v>
      </c>
      <c r="LD5" t="str">
        <f>_xll.BDS("UCB US Equity","SUPPLY_CHAIN_CUSTOMERS","RELATIONSHIP_AS_OF_DATE","20040826")</f>
        <v>#N/A N/A</v>
      </c>
      <c r="LI5" t="str">
        <f>_xll.BDS("EVBN US Equity","SUPPLY_CHAIN_SUPPLIERS","RELATIONSHIP_AS_OF_DATE","20191219")</f>
        <v>#N/A N/A</v>
      </c>
      <c r="LN5" t="str">
        <f>_xll.BDS("EVBN US Equity","SUPPLY_CHAIN_CUSTOMERS","RELATIONSHIP_AS_OF_DATE","20191219")</f>
        <v>#N/A N/A</v>
      </c>
      <c r="LS5" t="str">
        <f>_xll.BDS("RVSB US Equity","SUPPLY_CHAIN_SUPPLIERS","RELATIONSHIP_AS_OF_DATE","20041109")</f>
        <v>#N/A N/A</v>
      </c>
      <c r="LX5" t="str">
        <f>_xll.BDS("RVSB US Equity","SUPPLY_CHAIN_CUSTOMERS","RELATIONSHIP_AS_OF_DATE","20041109")</f>
        <v>#N/A N/A</v>
      </c>
      <c r="MC5" t="str">
        <f>_xll.BDS("HBCP US Equity","SUPPLY_CHAIN_SUPPLIERS","RELATIONSHIP_AS_OF_DATE","20131105")</f>
        <v>#N/A N/A</v>
      </c>
      <c r="MH5" t="str">
        <f>_xll.BDS("HBCP US Equity","SUPPLY_CHAIN_CUSTOMERS","RELATIONSHIP_AS_OF_DATE","20131105")</f>
        <v>#N/A N/A</v>
      </c>
      <c r="MM5" t="str">
        <f>_xll.BDS("1608358D US Equity","SUPPLY_CHAIN_SUPPLIERS","RELATIONSHIP_AS_OF_DATE","19980519")</f>
        <v>#N/A N/A</v>
      </c>
      <c r="MR5" t="str">
        <f>_xll.BDS("1608358D US Equity","SUPPLY_CHAIN_CUSTOMERS","RELATIONSHIP_AS_OF_DATE","19980519")</f>
        <v>#N/A N/A</v>
      </c>
      <c r="MW5" t="str">
        <f>_xll.BDS("FCBC US Equity","SUPPLY_CHAIN_SUPPLIERS","RELATIONSHIP_AS_OF_DATE","20120301")</f>
        <v>#N/A N/A</v>
      </c>
      <c r="NB5" t="str">
        <f>_xll.BDS("FCBC US Equity","SUPPLY_CHAIN_CUSTOMERS","RELATIONSHIP_AS_OF_DATE","20120301")</f>
        <v>#N/A N/A</v>
      </c>
      <c r="NG5" t="str">
        <f>_xll.BDS("MBHIQ US Equity","SUPPLY_CHAIN_SUPPLIERS","RELATIONSHIP_AS_OF_DATE","20020722")</f>
        <v>#N/A N/A</v>
      </c>
      <c r="NL5" t="str">
        <f>_xll.BDS("MBHIQ US Equity","SUPPLY_CHAIN_CUSTOMERS","RELATIONSHIP_AS_OF_DATE","20020722")</f>
        <v>#N/A N/A</v>
      </c>
      <c r="NQ5" t="str">
        <f>_xll.BDS("SNBC US Equity","SUPPLY_CHAIN_SUPPLIERS","RELATIONSHIP_AS_OF_DATE","20050826")</f>
        <v>#N/A N/A</v>
      </c>
      <c r="NV5" t="str">
        <f>_xll.BDS("SNBC US Equity","SUPPLY_CHAIN_CUSTOMERS","RELATIONSHIP_AS_OF_DATE","20050826")</f>
        <v>#N/A N/A</v>
      </c>
      <c r="OA5" t="str">
        <f>_xll.BDS("IXYS US Equity","SUPPLY_CHAIN_SUPPLIERS","RELATIONSHIP_AS_OF_DATE","20020423")</f>
        <v>#N/A N/A</v>
      </c>
      <c r="OF5" t="str">
        <f>_xll.BDS("IXYS US Equity","SUPPLY_CHAIN_CUSTOMERS","RELATIONSHIP_AS_OF_DATE","20020423")</f>
        <v>#N/A N/A</v>
      </c>
    </row>
    <row r="6" spans="1:396" x14ac:dyDescent="0.25">
      <c r="A6" t="s">
        <v>11490</v>
      </c>
      <c r="F6" t="s">
        <v>10905</v>
      </c>
      <c r="AO6" t="s">
        <v>11103</v>
      </c>
      <c r="AT6" t="s">
        <v>10651</v>
      </c>
      <c r="CM6" t="s">
        <v>10735</v>
      </c>
      <c r="CR6" t="s">
        <v>10744</v>
      </c>
      <c r="EK6" t="s">
        <v>10735</v>
      </c>
      <c r="EP6" t="s">
        <v>2881</v>
      </c>
      <c r="FO6" t="s">
        <v>10878</v>
      </c>
      <c r="FT6" t="s">
        <v>10939</v>
      </c>
      <c r="GS6" t="s">
        <v>11558</v>
      </c>
      <c r="GX6" t="s">
        <v>11212</v>
      </c>
      <c r="HW6" t="s">
        <v>10972</v>
      </c>
      <c r="IQ6" t="s">
        <v>10851</v>
      </c>
      <c r="IV6" t="s">
        <v>10935</v>
      </c>
      <c r="JA6" t="s">
        <v>11133</v>
      </c>
      <c r="JF6" t="s">
        <v>11088</v>
      </c>
    </row>
    <row r="7" spans="1:396" x14ac:dyDescent="0.25">
      <c r="A7" t="s">
        <v>11491</v>
      </c>
      <c r="F7" t="s">
        <v>11443</v>
      </c>
      <c r="AO7" t="s">
        <v>10851</v>
      </c>
      <c r="AT7" t="s">
        <v>10933</v>
      </c>
      <c r="CM7" t="s">
        <v>10806</v>
      </c>
      <c r="CR7" t="s">
        <v>10745</v>
      </c>
      <c r="EK7" t="s">
        <v>273</v>
      </c>
      <c r="EP7" t="s">
        <v>10661</v>
      </c>
      <c r="FO7" t="s">
        <v>11030</v>
      </c>
      <c r="FT7" t="s">
        <v>10785</v>
      </c>
      <c r="GS7" t="s">
        <v>11559</v>
      </c>
      <c r="GX7" t="s">
        <v>6145</v>
      </c>
      <c r="HW7" t="s">
        <v>10939</v>
      </c>
      <c r="IQ7" t="s">
        <v>11147</v>
      </c>
      <c r="IV7" t="s">
        <v>10936</v>
      </c>
      <c r="JA7" t="s">
        <v>11134</v>
      </c>
      <c r="JF7" t="s">
        <v>11089</v>
      </c>
    </row>
    <row r="8" spans="1:396" x14ac:dyDescent="0.25">
      <c r="A8" t="s">
        <v>11492</v>
      </c>
      <c r="F8" t="s">
        <v>11444</v>
      </c>
      <c r="AO8" t="s">
        <v>10977</v>
      </c>
      <c r="AT8" t="s">
        <v>11426</v>
      </c>
      <c r="CM8" t="s">
        <v>4043</v>
      </c>
      <c r="CR8" t="s">
        <v>10746</v>
      </c>
      <c r="EK8" t="s">
        <v>6320</v>
      </c>
      <c r="EP8" t="s">
        <v>10662</v>
      </c>
      <c r="FO8" t="s">
        <v>11031</v>
      </c>
      <c r="FT8" t="s">
        <v>1652</v>
      </c>
      <c r="GS8" t="s">
        <v>10851</v>
      </c>
      <c r="HW8" t="s">
        <v>10973</v>
      </c>
      <c r="IQ8" t="s">
        <v>1265</v>
      </c>
      <c r="IV8" t="s">
        <v>10937</v>
      </c>
      <c r="JA8" t="s">
        <v>6230</v>
      </c>
      <c r="JF8" t="s">
        <v>11090</v>
      </c>
    </row>
    <row r="9" spans="1:396" x14ac:dyDescent="0.25">
      <c r="A9" t="s">
        <v>11493</v>
      </c>
      <c r="F9" t="s">
        <v>11445</v>
      </c>
      <c r="AO9" t="s">
        <v>158</v>
      </c>
      <c r="AT9" t="s">
        <v>11427</v>
      </c>
      <c r="CM9" t="s">
        <v>10807</v>
      </c>
      <c r="CR9" t="s">
        <v>10747</v>
      </c>
      <c r="EK9" t="s">
        <v>1654</v>
      </c>
      <c r="EP9" t="s">
        <v>10663</v>
      </c>
      <c r="FO9" t="s">
        <v>11032</v>
      </c>
      <c r="FT9" t="s">
        <v>1847</v>
      </c>
      <c r="GS9" t="s">
        <v>10715</v>
      </c>
      <c r="HW9" t="s">
        <v>10974</v>
      </c>
      <c r="IQ9" t="s">
        <v>158</v>
      </c>
      <c r="IV9" t="s">
        <v>10938</v>
      </c>
      <c r="JA9" t="s">
        <v>11135</v>
      </c>
      <c r="JF9" t="s">
        <v>10858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9257</v>
      </c>
      <c r="K1" s="1" t="s">
        <v>9258</v>
      </c>
      <c r="U1" s="1" t="s">
        <v>9259</v>
      </c>
      <c r="AE1" s="1" t="s">
        <v>9260</v>
      </c>
      <c r="AO1" s="1" t="s">
        <v>9261</v>
      </c>
      <c r="AY1" s="1" t="s">
        <v>9262</v>
      </c>
      <c r="BI1" s="1" t="s">
        <v>9263</v>
      </c>
      <c r="BS1" s="1" t="s">
        <v>9264</v>
      </c>
      <c r="CC1" s="1" t="s">
        <v>9265</v>
      </c>
      <c r="CM1" s="1" t="s">
        <v>9266</v>
      </c>
      <c r="CW1" s="1" t="s">
        <v>9267</v>
      </c>
      <c r="DG1" s="1" t="s">
        <v>9268</v>
      </c>
      <c r="DQ1" s="1" t="s">
        <v>9269</v>
      </c>
      <c r="EA1" s="1" t="s">
        <v>9270</v>
      </c>
      <c r="EK1" s="1" t="s">
        <v>9271</v>
      </c>
      <c r="EU1" s="1" t="s">
        <v>9272</v>
      </c>
      <c r="FE1" s="1" t="s">
        <v>9273</v>
      </c>
      <c r="FO1" s="1" t="s">
        <v>9274</v>
      </c>
      <c r="FY1" s="1" t="s">
        <v>9275</v>
      </c>
      <c r="GI1" s="1" t="s">
        <v>9276</v>
      </c>
      <c r="GS1" s="1" t="s">
        <v>9277</v>
      </c>
      <c r="HC1" s="1" t="s">
        <v>9278</v>
      </c>
      <c r="HM1" s="1" t="s">
        <v>9279</v>
      </c>
      <c r="HW1" s="1" t="s">
        <v>9280</v>
      </c>
      <c r="IG1" s="1" t="s">
        <v>9281</v>
      </c>
      <c r="IQ1" s="1" t="s">
        <v>9282</v>
      </c>
      <c r="JA1" s="1" t="s">
        <v>9283</v>
      </c>
      <c r="JK1" s="1" t="s">
        <v>9284</v>
      </c>
      <c r="JU1" s="1" t="s">
        <v>9285</v>
      </c>
      <c r="KE1" s="1" t="s">
        <v>9286</v>
      </c>
      <c r="KO1" s="1" t="s">
        <v>9287</v>
      </c>
      <c r="KY1" s="1" t="s">
        <v>9288</v>
      </c>
      <c r="LI1" s="1" t="s">
        <v>9289</v>
      </c>
      <c r="LS1" s="1" t="s">
        <v>9290</v>
      </c>
      <c r="MC1" s="1" t="s">
        <v>9291</v>
      </c>
      <c r="MM1" s="1" t="s">
        <v>9292</v>
      </c>
      <c r="MW1" s="1" t="s">
        <v>9293</v>
      </c>
      <c r="NG1" s="1" t="s">
        <v>9294</v>
      </c>
      <c r="NQ1" s="1" t="s">
        <v>9295</v>
      </c>
      <c r="OA1" s="1" t="s">
        <v>9296</v>
      </c>
    </row>
    <row r="2" spans="1:396" x14ac:dyDescent="0.25">
      <c r="A2" s="2" t="s">
        <v>9297</v>
      </c>
      <c r="K2" s="2" t="s">
        <v>577</v>
      </c>
      <c r="U2" s="2" t="s">
        <v>9298</v>
      </c>
      <c r="AE2" s="2" t="s">
        <v>8695</v>
      </c>
      <c r="AO2" s="2" t="s">
        <v>8529</v>
      </c>
      <c r="AY2" s="2" t="s">
        <v>9299</v>
      </c>
      <c r="BI2" s="2" t="s">
        <v>9300</v>
      </c>
      <c r="BS2" s="2" t="s">
        <v>9301</v>
      </c>
      <c r="CC2" s="2" t="s">
        <v>9302</v>
      </c>
      <c r="CM2" s="2" t="s">
        <v>6731</v>
      </c>
      <c r="CW2" s="2" t="s">
        <v>1559</v>
      </c>
      <c r="DG2" s="2" t="s">
        <v>8241</v>
      </c>
      <c r="DQ2" s="2" t="s">
        <v>583</v>
      </c>
      <c r="EA2" s="2" t="s">
        <v>9303</v>
      </c>
      <c r="EK2" s="2" t="s">
        <v>6882</v>
      </c>
      <c r="EU2" s="2" t="s">
        <v>9304</v>
      </c>
      <c r="FE2" s="2" t="s">
        <v>9305</v>
      </c>
      <c r="FO2" s="2" t="s">
        <v>9306</v>
      </c>
      <c r="FY2" s="2" t="s">
        <v>9307</v>
      </c>
      <c r="GI2" s="2" t="s">
        <v>5677</v>
      </c>
      <c r="GS2" s="2" t="s">
        <v>4723</v>
      </c>
      <c r="HC2" s="2" t="s">
        <v>8161</v>
      </c>
      <c r="HM2" s="2" t="s">
        <v>5495</v>
      </c>
      <c r="HW2" s="2" t="s">
        <v>9308</v>
      </c>
      <c r="IG2" s="2" t="s">
        <v>6308</v>
      </c>
      <c r="IQ2" s="2" t="s">
        <v>4484</v>
      </c>
      <c r="JA2" s="2" t="s">
        <v>7540</v>
      </c>
      <c r="JK2" s="2" t="s">
        <v>5412</v>
      </c>
      <c r="JU2" s="2" t="s">
        <v>7611</v>
      </c>
      <c r="KE2" s="2" t="s">
        <v>9158</v>
      </c>
      <c r="KO2" s="2" t="s">
        <v>3950</v>
      </c>
      <c r="KY2" s="2" t="s">
        <v>9309</v>
      </c>
      <c r="LI2" s="2" t="s">
        <v>9310</v>
      </c>
      <c r="LS2" s="2" t="s">
        <v>9311</v>
      </c>
      <c r="MC2" s="2" t="s">
        <v>8684</v>
      </c>
      <c r="MM2" s="2" t="s">
        <v>3610</v>
      </c>
      <c r="MW2" s="2" t="s">
        <v>472</v>
      </c>
      <c r="NG2" s="2" t="s">
        <v>6001</v>
      </c>
      <c r="NQ2" s="2" t="s">
        <v>9312</v>
      </c>
      <c r="OA2" s="2" t="s">
        <v>481</v>
      </c>
    </row>
    <row r="3" spans="1:396" x14ac:dyDescent="0.25">
      <c r="A3" t="s">
        <v>9313</v>
      </c>
      <c r="K3" t="s">
        <v>8953</v>
      </c>
      <c r="U3" t="s">
        <v>9314</v>
      </c>
      <c r="AE3" t="s">
        <v>9315</v>
      </c>
      <c r="AO3" t="s">
        <v>9031</v>
      </c>
      <c r="AY3" t="s">
        <v>9316</v>
      </c>
      <c r="BI3" t="s">
        <v>3822</v>
      </c>
      <c r="BS3" t="s">
        <v>5365</v>
      </c>
      <c r="CC3" t="s">
        <v>2439</v>
      </c>
      <c r="CM3" t="s">
        <v>9015</v>
      </c>
      <c r="CW3" t="s">
        <v>9317</v>
      </c>
      <c r="DG3" t="s">
        <v>2445</v>
      </c>
      <c r="DQ3" t="s">
        <v>6175</v>
      </c>
      <c r="EA3" t="s">
        <v>9318</v>
      </c>
      <c r="EK3" t="s">
        <v>2238</v>
      </c>
      <c r="EU3" t="s">
        <v>3080</v>
      </c>
      <c r="FE3" t="s">
        <v>1560</v>
      </c>
      <c r="FO3" t="s">
        <v>299</v>
      </c>
      <c r="FY3" t="s">
        <v>9319</v>
      </c>
      <c r="GI3" t="s">
        <v>9320</v>
      </c>
      <c r="GS3" t="s">
        <v>9321</v>
      </c>
      <c r="HC3" t="s">
        <v>296</v>
      </c>
      <c r="HM3" t="s">
        <v>9322</v>
      </c>
      <c r="HW3" t="s">
        <v>8015</v>
      </c>
      <c r="IG3" t="s">
        <v>5849</v>
      </c>
      <c r="IQ3" t="s">
        <v>3563</v>
      </c>
      <c r="JA3" t="s">
        <v>9323</v>
      </c>
      <c r="JK3" t="s">
        <v>926</v>
      </c>
      <c r="JU3" t="s">
        <v>9324</v>
      </c>
      <c r="KE3" t="s">
        <v>9325</v>
      </c>
      <c r="KO3" t="s">
        <v>9326</v>
      </c>
      <c r="KY3" t="s">
        <v>8475</v>
      </c>
      <c r="LI3" t="s">
        <v>7555</v>
      </c>
      <c r="LS3" t="s">
        <v>9327</v>
      </c>
      <c r="MC3" t="s">
        <v>9328</v>
      </c>
      <c r="MM3" t="s">
        <v>9329</v>
      </c>
      <c r="MW3" t="s">
        <v>614</v>
      </c>
      <c r="NG3" t="s">
        <v>9330</v>
      </c>
      <c r="NQ3" t="s">
        <v>621</v>
      </c>
      <c r="OA3" t="s">
        <v>8778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_xll.BDS("2347450D US Equity","SUPPLY_CHAIN_SUPPLIERS","RELATIONSHIP_AS_OF_DATE","20051006")</f>
        <v>#N/A N/A</v>
      </c>
      <c r="F5" t="str">
        <f>_xll.BDS("2347450D US Equity","SUPPLY_CHAIN_CUSTOMERS","RELATIONSHIP_AS_OF_DATE","20051006")</f>
        <v>#N/A N/A</v>
      </c>
      <c r="K5" t="str">
        <f>_xll.BDS("355488Q US Equity","SUPPLY_CHAIN_SUPPLIERS","RELATIONSHIP_AS_OF_DATE","19980210")</f>
        <v>#N/A N/A</v>
      </c>
      <c r="P5" t="str">
        <f>_xll.BDS("355488Q US Equity","SUPPLY_CHAIN_CUSTOMERS","RELATIONSHIP_AS_OF_DATE","19980210")</f>
        <v>#N/A N/A</v>
      </c>
      <c r="U5" t="str">
        <f>_xll.BDS("CYT US Equity","SUPPLY_CHAIN_SUPPLIERS","RELATIONSHIP_AS_OF_DATE","19980109")</f>
        <v>#N/A N/A</v>
      </c>
      <c r="Z5" t="str">
        <f>_xll.BDS("CYT US Equity","SUPPLY_CHAIN_CUSTOMERS","RELATIONSHIP_AS_OF_DATE","19980109")</f>
        <v>#N/A N/A</v>
      </c>
      <c r="AE5" t="str">
        <f>_xll.BDS("FNWD US Equity","SUPPLY_CHAIN_SUPPLIERS","RELATIONSHIP_AS_OF_DATE","20180731")</f>
        <v>#N/A N/A</v>
      </c>
      <c r="AJ5" t="str">
        <f>_xll.BDS("FNWD US Equity","SUPPLY_CHAIN_CUSTOMERS","RELATIONSHIP_AS_OF_DATE","20180731")</f>
        <v>#N/A N/A</v>
      </c>
      <c r="AO5" t="str">
        <f>_xll.BDS("ORRF US Equity","SUPPLY_CHAIN_SUPPLIERS","RELATIONSHIP_AS_OF_DATE","20051122")</f>
        <v>#N/A N/A</v>
      </c>
      <c r="AT5" t="str">
        <f>_xll.BDS("ORRF US Equity","SUPPLY_CHAIN_CUSTOMERS","RELATIONSHIP_AS_OF_DATE","20051122")</f>
        <v>#N/A N/A</v>
      </c>
      <c r="AY5" t="str">
        <f>_xll.BDS("AREN US Equity","SUPPLY_CHAIN_SUPPLIERS","RELATIONSHIP_AS_OF_DATE","20190612","cols=1;rows=3")</f>
        <v>1801096D US Equity</v>
      </c>
      <c r="BD5" t="str">
        <f>_xll.BDS("AREN US Equity","SUPPLY_CHAIN_CUSTOMERS","RELATIONSHIP_AS_OF_DATE","20190612")</f>
        <v>MARK US Equity</v>
      </c>
      <c r="BI5" t="str">
        <f>_xll.BDS("INVX US Equity","SUPPLY_CHAIN_SUPPLIERS","RELATIONSHIP_AS_OF_DATE","19990701","cols=1;rows=5")</f>
        <v>CNP US Equity</v>
      </c>
      <c r="BN5" t="str">
        <f>_xll.BDS("INVX US Equity","SUPPLY_CHAIN_CUSTOMERS","RELATIONSHIP_AS_OF_DATE","19990701","cols=1;rows=5")</f>
        <v>1232Z MM Equity</v>
      </c>
      <c r="BS5" t="str">
        <f>_xll.BDS("1040983D US Equity","SUPPLY_CHAIN_SUPPLIERS","RELATIONSHIP_AS_OF_DATE","20040301")</f>
        <v>6109 TT Equity</v>
      </c>
      <c r="BX5" t="str">
        <f>_xll.BDS("1040983D US Equity","SUPPLY_CHAIN_CUSTOMERS","RELATIONSHIP_AS_OF_DATE","20040301","cols=1;rows=2")</f>
        <v>6189 TT Equity</v>
      </c>
      <c r="CC5" t="str">
        <f>_xll.BDS("1368189D US Equity","SUPPLY_CHAIN_SUPPLIERS","RELATIONSHIP_AS_OF_DATE","20040416")</f>
        <v>#N/A N/A</v>
      </c>
      <c r="CH5" t="str">
        <f>_xll.BDS("1368189D US Equity","SUPPLY_CHAIN_CUSTOMERS","RELATIONSHIP_AS_OF_DATE","20040416")</f>
        <v>#N/A N/A</v>
      </c>
      <c r="CM5" t="str">
        <f>_xll.BDS("EFII US Equity","SUPPLY_CHAIN_SUPPLIERS","RELATIONSHIP_AS_OF_DATE","20030123","cols=1;rows=5")</f>
        <v>AQN CN Equity</v>
      </c>
      <c r="CR5" t="str">
        <f>_xll.BDS("EFII US Equity","SUPPLY_CHAIN_CUSTOMERS","RELATIONSHIP_AS_OF_DATE","20030123")</f>
        <v>#N/A N/A</v>
      </c>
      <c r="CW5" t="str">
        <f>_xll.BDS("0544749D US Equity","SUPPLY_CHAIN_SUPPLIERS","RELATIONSHIP_AS_OF_DATE","19990309")</f>
        <v>#N/A N/A</v>
      </c>
      <c r="DB5" t="str">
        <f>_xll.BDS("0544749D US Equity","SUPPLY_CHAIN_CUSTOMERS","RELATIONSHIP_AS_OF_DATE","19990309")</f>
        <v>#N/A N/A</v>
      </c>
      <c r="DG5" t="str">
        <f>_xll.BDS("KNXA US Equity","SUPPLY_CHAIN_SUPPLIERS","RELATIONSHIP_AS_OF_DATE","20051221")</f>
        <v>#N/A N/A</v>
      </c>
      <c r="DL5" t="str">
        <f>_xll.BDS("KNXA US Equity","SUPPLY_CHAIN_CUSTOMERS","RELATIONSHIP_AS_OF_DATE","20051221")</f>
        <v>#N/A N/A</v>
      </c>
      <c r="DQ5" t="str">
        <f>_xll.BDS("AW US Equity","SUPPLY_CHAIN_SUPPLIERS","RELATIONSHIP_AS_OF_DATE","20010529")</f>
        <v>#N/A N/A</v>
      </c>
      <c r="DV5" t="str">
        <f>_xll.BDS("AW US Equity","SUPPLY_CHAIN_CUSTOMERS","RELATIONSHIP_AS_OF_DATE","20010529")</f>
        <v>#N/A N/A</v>
      </c>
      <c r="EA5" t="str">
        <f>_xll.BDS("CNR US Equity","SUPPLY_CHAIN_SUPPLIERS","RELATIONSHIP_AS_OF_DATE","20201023","cols=1;rows=3")</f>
        <v>CSX US Equity</v>
      </c>
      <c r="EF5" t="str">
        <f>_xll.BDS("CNR US Equity","SUPPLY_CHAIN_CUSTOMERS","RELATIONSHIP_AS_OF_DATE","20201023","cols=1;rows=3")</f>
        <v>MT NA Equity</v>
      </c>
      <c r="EK5" t="str">
        <f>_xll.BDS("THFF US Equity","SUPPLY_CHAIN_SUPPLIERS","RELATIONSHIP_AS_OF_DATE","20010330")</f>
        <v>#N/A N/A</v>
      </c>
      <c r="EP5" t="str">
        <f>_xll.BDS("THFF US Equity","SUPPLY_CHAIN_CUSTOMERS","RELATIONSHIP_AS_OF_DATE","20010330")</f>
        <v>#N/A N/A</v>
      </c>
      <c r="EU5" t="str">
        <f>_xll.BDS("CBMD US Equity","SUPPLY_CHAIN_SUPPLIERS","RELATIONSHIP_AS_OF_DATE","19990928")</f>
        <v>#N/A N/A</v>
      </c>
      <c r="EZ5" t="str">
        <f>_xll.BDS("CBMD US Equity","SUPPLY_CHAIN_CUSTOMERS","RELATIONSHIP_AS_OF_DATE","19990928")</f>
        <v>#N/A N/A</v>
      </c>
      <c r="FE5" t="str">
        <f>_xll.BDS("PCBI US Equity","SUPPLY_CHAIN_SUPPLIERS","RELATIONSHIP_AS_OF_DATE","20050504")</f>
        <v>#N/A N/A</v>
      </c>
      <c r="FJ5" t="str">
        <f>_xll.BDS("PCBI US Equity","SUPPLY_CHAIN_CUSTOMERS","RELATIONSHIP_AS_OF_DATE","20050504")</f>
        <v>#N/A N/A</v>
      </c>
      <c r="FO5" t="str">
        <f>_xll.BDS("57552Q US Equity","SUPPLY_CHAIN_SUPPLIERS","RELATIONSHIP_AS_OF_DATE","20001004")</f>
        <v>#N/A N/A</v>
      </c>
      <c r="FT5" t="str">
        <f>_xll.BDS("57552Q US Equity","SUPPLY_CHAIN_CUSTOMERS","RELATIONSHIP_AS_OF_DATE","20001004")</f>
        <v>#N/A N/A</v>
      </c>
      <c r="FY5" t="str">
        <f>_xll.BDS("IFCB US Equity","SUPPLY_CHAIN_SUPPLIERS","RELATIONSHIP_AS_OF_DATE","20020805")</f>
        <v>#N/A N/A</v>
      </c>
      <c r="GD5" t="str">
        <f>_xll.BDS("IFCB US Equity","SUPPLY_CHAIN_CUSTOMERS","RELATIONSHIP_AS_OF_DATE","20020805")</f>
        <v>#N/A N/A</v>
      </c>
      <c r="GI5" t="str">
        <f>_xll.BDS("EWBC US Equity","SUPPLY_CHAIN_SUPPLIERS","RELATIONSHIP_AS_OF_DATE","19990917")</f>
        <v>BRX US Equity</v>
      </c>
      <c r="GN5" t="str">
        <f>_xll.BDS("EWBC US Equity","SUPPLY_CHAIN_CUSTOMERS","RELATIONSHIP_AS_OF_DATE","19990917")</f>
        <v>#N/A N/A</v>
      </c>
      <c r="GS5" t="str">
        <f>_xll.BDS("KODK US Equity","SUPPLY_CHAIN_SUPPLIERS","RELATIONSHIP_AS_OF_DATE","20030801","cols=1;rows=5")</f>
        <v>AX-U CN Equity</v>
      </c>
      <c r="GX5" t="str">
        <f>_xll.BDS("KODK US Equity","SUPPLY_CHAIN_CUSTOMERS","RELATIONSHIP_AS_OF_DATE","20030801","cols=1;rows=5")</f>
        <v>0918800D US Equity</v>
      </c>
      <c r="HC5" t="str">
        <f>_xll.BDS("FSNMQ US Equity","SUPPLY_CHAIN_SUPPLIERS","RELATIONSHIP_AS_OF_DATE","20050131")</f>
        <v>#N/A N/A</v>
      </c>
      <c r="HH5" t="str">
        <f>_xll.BDS("FSNMQ US Equity","SUPPLY_CHAIN_CUSTOMERS","RELATIONSHIP_AS_OF_DATE","20050131")</f>
        <v>#N/A N/A</v>
      </c>
      <c r="HM5" t="str">
        <f>_xll.BDS("PEBO US Equity","SUPPLY_CHAIN_SUPPLIERS","RELATIONSHIP_AS_OF_DATE","20171024")</f>
        <v>#N/A N/A</v>
      </c>
      <c r="HR5" t="str">
        <f>_xll.BDS("PEBO US Equity","SUPPLY_CHAIN_CUSTOMERS","RELATIONSHIP_AS_OF_DATE","20171024")</f>
        <v>#N/A N/A</v>
      </c>
      <c r="HW5" t="str">
        <f>_xll.BDS("MFNC US Equity","SUPPLY_CHAIN_SUPPLIERS","RELATIONSHIP_AS_OF_DATE","20180116")</f>
        <v>#N/A N/A</v>
      </c>
      <c r="IB5" t="str">
        <f>_xll.BDS("MFNC US Equity","SUPPLY_CHAIN_CUSTOMERS","RELATIONSHIP_AS_OF_DATE","20180116")</f>
        <v>#N/A N/A</v>
      </c>
      <c r="IG5" t="str">
        <f>_xll.BDS("WAFD US Equity","SUPPLY_CHAIN_SUPPLIERS","RELATIONSHIP_AS_OF_DATE","20120404","cols=1;rows=2")</f>
        <v>ORCL US Equity</v>
      </c>
      <c r="IL5" t="str">
        <f>_xll.BDS("WAFD US Equity","SUPPLY_CHAIN_CUSTOMERS","RELATIONSHIP_AS_OF_DATE","20120404")</f>
        <v>#N/A N/A</v>
      </c>
      <c r="IQ5" t="str">
        <f>_xll.BDS("DGIT US Equity","SUPPLY_CHAIN_SUPPLIERS","RELATIONSHIP_AS_OF_DATE","20070416")</f>
        <v>#N/A N/A</v>
      </c>
      <c r="IV5" t="str">
        <f>_xll.BDS("DGIT US Equity","SUPPLY_CHAIN_CUSTOMERS","RELATIONSHIP_AS_OF_DATE","20070416")</f>
        <v>#N/A N/A</v>
      </c>
      <c r="JA5" t="str">
        <f>_xll.BDS("VTEQ US Equity","SUPPLY_CHAIN_SUPPLIERS","RELATIONSHIP_AS_OF_DATE","20070809")</f>
        <v>#N/A N/A</v>
      </c>
      <c r="JF5" t="str">
        <f>_xll.BDS("VTEQ US Equity","SUPPLY_CHAIN_CUSTOMERS","RELATIONSHIP_AS_OF_DATE","20070809")</f>
        <v>#N/A N/A</v>
      </c>
      <c r="JK5" t="str">
        <f>_xll.BDS("FULT US Equity","SUPPLY_CHAIN_SUPPLIERS","RELATIONSHIP_AS_OF_DATE","20000223","cols=1;rows=2")</f>
        <v>DLX US Equity</v>
      </c>
      <c r="JP5" t="str">
        <f>_xll.BDS("FULT US Equity","SUPPLY_CHAIN_CUSTOMERS","RELATIONSHIP_AS_OF_DATE","20000223")</f>
        <v>#N/A N/A</v>
      </c>
      <c r="JU5" t="str">
        <f>_xll.BDS("HBNC US Equity","SUPPLY_CHAIN_SUPPLIERS","RELATIONSHIP_AS_OF_DATE","20170523")</f>
        <v>#N/A N/A</v>
      </c>
      <c r="JZ5" t="str">
        <f>_xll.BDS("HBNC US Equity","SUPPLY_CHAIN_CUSTOMERS","RELATIONSHIP_AS_OF_DATE","20170523")</f>
        <v>#N/A N/A</v>
      </c>
      <c r="KE5" t="str">
        <f>_xll.BDS("CSBC US Equity","SUPPLY_CHAIN_SUPPLIERS","RELATIONSHIP_AS_OF_DATE","20050525")</f>
        <v>#N/A N/A</v>
      </c>
      <c r="KJ5" t="str">
        <f>_xll.BDS("CSBC US Equity","SUPPLY_CHAIN_CUSTOMERS","RELATIONSHIP_AS_OF_DATE","20050525")</f>
        <v>#N/A N/A</v>
      </c>
      <c r="KO5" t="str">
        <f>_xll.BDS("1367809D US Equity","SUPPLY_CHAIN_SUPPLIERS","RELATIONSHIP_AS_OF_DATE","20111011")</f>
        <v>#N/A N/A</v>
      </c>
      <c r="KT5" t="str">
        <f>_xll.BDS("1367809D US Equity","SUPPLY_CHAIN_CUSTOMERS","RELATIONSHIP_AS_OF_DATE","20111011")</f>
        <v>#N/A N/A</v>
      </c>
      <c r="KY5" t="str">
        <f>_xll.BDS("PMORQ US Equity","SUPPLY_CHAIN_SUPPLIERS","RELATIONSHIP_AS_OF_DATE","19981217")</f>
        <v>#N/A N/A</v>
      </c>
      <c r="LD5" t="str">
        <f>_xll.BDS("PMORQ US Equity","SUPPLY_CHAIN_CUSTOMERS","RELATIONSHIP_AS_OF_DATE","19981217")</f>
        <v>#N/A N/A</v>
      </c>
      <c r="LI5" t="str">
        <f>_xll.BDS("1667208D US Equity","SUPPLY_CHAIN_SUPPLIERS","RELATIONSHIP_AS_OF_DATE","20040204")</f>
        <v>FE US Equity</v>
      </c>
      <c r="LN5" t="str">
        <f>_xll.BDS("1667208D US Equity","SUPPLY_CHAIN_CUSTOMERS","RELATIONSHIP_AS_OF_DATE","20040204")</f>
        <v>#N/A N/A</v>
      </c>
      <c r="LS5" t="str">
        <f>_xll.BDS("FVCB US Equity","SUPPLY_CHAIN_SUPPLIERS","RELATIONSHIP_AS_OF_DATE","20180503")</f>
        <v>#N/A N/A</v>
      </c>
      <c r="LX5" t="str">
        <f>_xll.BDS("FVCB US Equity","SUPPLY_CHAIN_CUSTOMERS","RELATIONSHIP_AS_OF_DATE","20180503")</f>
        <v>#N/A N/A</v>
      </c>
      <c r="MC5" t="str">
        <f>_xll.BDS("ACNB US Equity","SUPPLY_CHAIN_SUPPLIERS","RELATIONSHIP_AS_OF_DATE","20161122")</f>
        <v>#N/A N/A</v>
      </c>
      <c r="MH5" t="str">
        <f>_xll.BDS("ACNB US Equity","SUPPLY_CHAIN_CUSTOMERS","RELATIONSHIP_AS_OF_DATE","20161122")</f>
        <v>#N/A N/A</v>
      </c>
      <c r="MM5" t="str">
        <f>_xll.BDS("AIV US Equity","SUPPLY_CHAIN_SUPPLIERS","RELATIONSHIP_AS_OF_DATE","20050216")</f>
        <v>MS US Equity</v>
      </c>
      <c r="MR5" t="str">
        <f>_xll.BDS("AIV US Equity","SUPPLY_CHAIN_CUSTOMERS","RELATIONSHIP_AS_OF_DATE","20050216")</f>
        <v>29326Z US Equity</v>
      </c>
      <c r="MW5" t="str">
        <f>_xll.BDS("UNH US Equity","SUPPLY_CHAIN_SUPPLIERS","RELATIONSHIP_AS_OF_DATE","20060525","cols=1;rows=5")</f>
        <v>VRTX US Equity</v>
      </c>
      <c r="NB5" t="str">
        <f>_xll.BDS("UNH US Equity","SUPPLY_CHAIN_CUSTOMERS","RELATIONSHIP_AS_OF_DATE","20060525","cols=1;rows=5")</f>
        <v>9877893Z US Equity</v>
      </c>
      <c r="NG5" t="str">
        <f>_xll.BDS("BPFH US Equity","SUPPLY_CHAIN_SUPPLIERS","RELATIONSHIP_AS_OF_DATE","20040615")</f>
        <v>#N/A N/A</v>
      </c>
      <c r="NL5" t="str">
        <f>_xll.BDS("BPFH US Equity","SUPPLY_CHAIN_CUSTOMERS","RELATIONSHIP_AS_OF_DATE","20040615")</f>
        <v>#N/A N/A</v>
      </c>
      <c r="NQ5" t="str">
        <f>_xll.BDS("1348098D US Equity","SUPPLY_CHAIN_SUPPLIERS","RELATIONSHIP_AS_OF_DATE","19990308")</f>
        <v>#N/A N/A</v>
      </c>
      <c r="NV5" t="str">
        <f>_xll.BDS("1348098D US Equity","SUPPLY_CHAIN_CUSTOMERS","RELATIONSHIP_AS_OF_DATE","19990308")</f>
        <v>#N/A N/A</v>
      </c>
      <c r="OA5" t="str">
        <f>_xll.BDS("TTWO US Equity","SUPPLY_CHAIN_SUPPLIERS","RELATIONSHIP_AS_OF_DATE","20030903","cols=1;rows=5")</f>
        <v>6758 JP Equity</v>
      </c>
      <c r="OF5" t="str">
        <f>_xll.BDS("TTWO US Equity","SUPPLY_CHAIN_CUSTOMERS","RELATIONSHIP_AS_OF_DATE","20030903","cols=1;rows=5")</f>
        <v>6758 JP Equity</v>
      </c>
    </row>
    <row r="6" spans="1:396" x14ac:dyDescent="0.25">
      <c r="AY6" t="s">
        <v>11498</v>
      </c>
      <c r="BI6" t="s">
        <v>10740</v>
      </c>
      <c r="BN6" t="s">
        <v>10664</v>
      </c>
      <c r="BX6" t="s">
        <v>11474</v>
      </c>
      <c r="CM6" t="s">
        <v>1545</v>
      </c>
      <c r="EA6" t="s">
        <v>11458</v>
      </c>
      <c r="EF6" t="s">
        <v>11244</v>
      </c>
      <c r="GS6" t="s">
        <v>10751</v>
      </c>
      <c r="GX6" t="s">
        <v>2881</v>
      </c>
      <c r="IG6" t="s">
        <v>154</v>
      </c>
      <c r="JK6" t="s">
        <v>154</v>
      </c>
      <c r="MW6" t="s">
        <v>10846</v>
      </c>
      <c r="NB6" t="s">
        <v>10657</v>
      </c>
      <c r="OA6" t="s">
        <v>11167</v>
      </c>
      <c r="OF6" t="s">
        <v>2705</v>
      </c>
    </row>
    <row r="7" spans="1:396" x14ac:dyDescent="0.25">
      <c r="AY7" t="s">
        <v>11499</v>
      </c>
      <c r="BI7" t="s">
        <v>10741</v>
      </c>
      <c r="BN7" t="s">
        <v>10665</v>
      </c>
      <c r="CM7" t="s">
        <v>872</v>
      </c>
      <c r="EA7" t="s">
        <v>11459</v>
      </c>
      <c r="EF7" t="s">
        <v>11245</v>
      </c>
      <c r="GS7" t="s">
        <v>11100</v>
      </c>
      <c r="GX7" t="s">
        <v>10660</v>
      </c>
      <c r="MW7" t="s">
        <v>10834</v>
      </c>
      <c r="NB7" t="s">
        <v>165</v>
      </c>
      <c r="OA7" t="s">
        <v>11208</v>
      </c>
      <c r="OF7" t="s">
        <v>5236</v>
      </c>
    </row>
    <row r="8" spans="1:396" x14ac:dyDescent="0.25">
      <c r="BI8" t="s">
        <v>10742</v>
      </c>
      <c r="BN8" t="s">
        <v>10666</v>
      </c>
      <c r="CM8" t="s">
        <v>10735</v>
      </c>
      <c r="GS8" t="s">
        <v>11101</v>
      </c>
      <c r="GX8" t="s">
        <v>10944</v>
      </c>
      <c r="MW8" t="s">
        <v>11029</v>
      </c>
      <c r="NB8" t="s">
        <v>10676</v>
      </c>
      <c r="OA8" t="s">
        <v>11209</v>
      </c>
      <c r="OF8" t="s">
        <v>266</v>
      </c>
    </row>
    <row r="9" spans="1:396" x14ac:dyDescent="0.25">
      <c r="BI9" t="s">
        <v>2406</v>
      </c>
      <c r="BN9" t="s">
        <v>10667</v>
      </c>
      <c r="CM9" t="s">
        <v>10810</v>
      </c>
      <c r="GS9" t="s">
        <v>11102</v>
      </c>
      <c r="GX9" t="s">
        <v>10787</v>
      </c>
      <c r="MW9" t="s">
        <v>43</v>
      </c>
      <c r="NB9" t="s">
        <v>11267</v>
      </c>
      <c r="OA9" t="s">
        <v>11210</v>
      </c>
      <c r="OF9" t="s">
        <v>11167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9331</v>
      </c>
      <c r="K1" s="1" t="s">
        <v>9332</v>
      </c>
      <c r="U1" s="1" t="s">
        <v>9333</v>
      </c>
      <c r="AE1" s="1" t="s">
        <v>9334</v>
      </c>
      <c r="AO1" s="1" t="s">
        <v>9335</v>
      </c>
      <c r="AY1" s="1" t="s">
        <v>9336</v>
      </c>
      <c r="BI1" s="1" t="s">
        <v>9337</v>
      </c>
      <c r="BS1" s="1" t="s">
        <v>9338</v>
      </c>
      <c r="CC1" s="1" t="s">
        <v>9339</v>
      </c>
      <c r="CM1" s="1" t="s">
        <v>9340</v>
      </c>
      <c r="CW1" s="1" t="s">
        <v>9341</v>
      </c>
      <c r="DG1" s="1" t="s">
        <v>9342</v>
      </c>
      <c r="DQ1" s="1" t="s">
        <v>9343</v>
      </c>
      <c r="EA1" s="1" t="s">
        <v>9344</v>
      </c>
      <c r="EK1" s="1" t="s">
        <v>9345</v>
      </c>
      <c r="EU1" s="1" t="s">
        <v>9346</v>
      </c>
      <c r="FE1" s="1" t="s">
        <v>9347</v>
      </c>
      <c r="FO1" s="1" t="s">
        <v>9348</v>
      </c>
      <c r="FY1" s="1" t="s">
        <v>9349</v>
      </c>
      <c r="GI1" s="1" t="s">
        <v>9350</v>
      </c>
      <c r="GS1" s="1" t="s">
        <v>9351</v>
      </c>
      <c r="HC1" s="1" t="s">
        <v>9352</v>
      </c>
      <c r="HM1" s="1" t="s">
        <v>9353</v>
      </c>
      <c r="HW1" s="1" t="s">
        <v>9354</v>
      </c>
      <c r="IG1" s="1" t="s">
        <v>9355</v>
      </c>
      <c r="IQ1" s="1" t="s">
        <v>9356</v>
      </c>
      <c r="JA1" s="1" t="s">
        <v>9357</v>
      </c>
      <c r="JK1" s="1" t="s">
        <v>9358</v>
      </c>
      <c r="JU1" s="1" t="s">
        <v>9359</v>
      </c>
      <c r="KE1" s="1" t="s">
        <v>9360</v>
      </c>
      <c r="KO1" s="1" t="s">
        <v>9361</v>
      </c>
      <c r="KY1" s="1" t="s">
        <v>9362</v>
      </c>
      <c r="LI1" s="1" t="s">
        <v>9363</v>
      </c>
      <c r="LS1" s="1" t="s">
        <v>9364</v>
      </c>
      <c r="MC1" s="1" t="s">
        <v>9365</v>
      </c>
      <c r="MM1" s="1" t="s">
        <v>9366</v>
      </c>
      <c r="MW1" s="1" t="s">
        <v>9367</v>
      </c>
      <c r="NG1" s="1" t="s">
        <v>9368</v>
      </c>
      <c r="NQ1" s="1" t="s">
        <v>9369</v>
      </c>
      <c r="OA1" s="1" t="s">
        <v>9370</v>
      </c>
    </row>
    <row r="2" spans="1:396" x14ac:dyDescent="0.25">
      <c r="A2" s="2" t="s">
        <v>9371</v>
      </c>
      <c r="K2" s="2" t="s">
        <v>5499</v>
      </c>
      <c r="U2" s="2" t="s">
        <v>7292</v>
      </c>
      <c r="AE2" s="2" t="s">
        <v>2602</v>
      </c>
      <c r="AO2" s="2" t="s">
        <v>5157</v>
      </c>
      <c r="AY2" s="2" t="s">
        <v>9372</v>
      </c>
      <c r="BI2" s="2" t="s">
        <v>7547</v>
      </c>
      <c r="BS2" s="2" t="s">
        <v>3531</v>
      </c>
      <c r="CC2" s="2" t="s">
        <v>3880</v>
      </c>
      <c r="CM2" s="2" t="s">
        <v>5170</v>
      </c>
      <c r="CW2" s="2" t="s">
        <v>6898</v>
      </c>
      <c r="DG2" s="2" t="s">
        <v>2124</v>
      </c>
      <c r="DQ2" s="2" t="s">
        <v>7609</v>
      </c>
      <c r="EA2" s="2" t="s">
        <v>9373</v>
      </c>
      <c r="EK2" s="2" t="s">
        <v>5998</v>
      </c>
      <c r="EU2" s="2" t="s">
        <v>9374</v>
      </c>
      <c r="FE2" s="2" t="s">
        <v>9375</v>
      </c>
      <c r="FO2" s="2" t="s">
        <v>6082</v>
      </c>
      <c r="FY2" s="2" t="s">
        <v>9376</v>
      </c>
      <c r="GI2" s="2" t="s">
        <v>9377</v>
      </c>
      <c r="GS2" s="2" t="s">
        <v>9378</v>
      </c>
      <c r="HC2" s="2" t="s">
        <v>2311</v>
      </c>
      <c r="HM2" s="2" t="s">
        <v>9379</v>
      </c>
      <c r="HW2" s="2" t="s">
        <v>9380</v>
      </c>
      <c r="IG2" s="2" t="s">
        <v>9381</v>
      </c>
      <c r="IQ2" s="2" t="s">
        <v>7211</v>
      </c>
      <c r="JA2" s="2" t="s">
        <v>272</v>
      </c>
      <c r="JK2" s="2" t="s">
        <v>6310</v>
      </c>
      <c r="JU2" s="2" t="s">
        <v>7211</v>
      </c>
      <c r="KE2" s="2" t="s">
        <v>7841</v>
      </c>
      <c r="KO2" s="2" t="s">
        <v>9382</v>
      </c>
      <c r="KY2" s="2" t="s">
        <v>6720</v>
      </c>
      <c r="LI2" s="2" t="s">
        <v>9383</v>
      </c>
      <c r="LS2" s="2" t="s">
        <v>9384</v>
      </c>
      <c r="MC2" s="2" t="s">
        <v>8765</v>
      </c>
      <c r="MM2" s="2" t="s">
        <v>9385</v>
      </c>
      <c r="MW2" s="2" t="s">
        <v>9386</v>
      </c>
      <c r="NG2" s="2" t="s">
        <v>2508</v>
      </c>
      <c r="NQ2" s="2" t="s">
        <v>9387</v>
      </c>
      <c r="OA2" s="2" t="s">
        <v>7369</v>
      </c>
    </row>
    <row r="3" spans="1:396" x14ac:dyDescent="0.25">
      <c r="A3" t="s">
        <v>9388</v>
      </c>
      <c r="K3" t="s">
        <v>5102</v>
      </c>
      <c r="U3" t="s">
        <v>9389</v>
      </c>
      <c r="AE3" t="s">
        <v>9390</v>
      </c>
      <c r="AO3" t="s">
        <v>9391</v>
      </c>
      <c r="AY3" t="s">
        <v>9392</v>
      </c>
      <c r="BI3" t="s">
        <v>1107</v>
      </c>
      <c r="BS3" t="s">
        <v>707</v>
      </c>
      <c r="CC3" t="s">
        <v>4933</v>
      </c>
      <c r="CM3" t="s">
        <v>9393</v>
      </c>
      <c r="CW3" t="s">
        <v>9394</v>
      </c>
      <c r="DG3" t="s">
        <v>4410</v>
      </c>
      <c r="DQ3" t="s">
        <v>1870</v>
      </c>
      <c r="EA3" t="s">
        <v>9395</v>
      </c>
      <c r="EK3" t="s">
        <v>8331</v>
      </c>
      <c r="EU3" t="s">
        <v>1879</v>
      </c>
      <c r="FE3" t="s">
        <v>5088</v>
      </c>
      <c r="FO3" t="s">
        <v>6745</v>
      </c>
      <c r="FY3" t="s">
        <v>9396</v>
      </c>
      <c r="GI3" t="s">
        <v>8110</v>
      </c>
      <c r="GS3" t="s">
        <v>5770</v>
      </c>
      <c r="HC3" t="s">
        <v>7073</v>
      </c>
      <c r="HM3" t="s">
        <v>9397</v>
      </c>
      <c r="HW3" t="s">
        <v>9253</v>
      </c>
      <c r="IG3" t="s">
        <v>2041</v>
      </c>
      <c r="IQ3" t="s">
        <v>9398</v>
      </c>
      <c r="JA3" t="s">
        <v>4162</v>
      </c>
      <c r="JK3" t="s">
        <v>592</v>
      </c>
      <c r="JU3" t="s">
        <v>7626</v>
      </c>
      <c r="KE3" t="s">
        <v>9399</v>
      </c>
      <c r="KO3" t="s">
        <v>6916</v>
      </c>
      <c r="KY3" t="s">
        <v>3359</v>
      </c>
      <c r="LI3" t="s">
        <v>5354</v>
      </c>
      <c r="LS3" t="s">
        <v>8630</v>
      </c>
      <c r="MC3" t="s">
        <v>2352</v>
      </c>
      <c r="MM3" t="s">
        <v>3989</v>
      </c>
      <c r="MW3" t="s">
        <v>892</v>
      </c>
      <c r="NG3" t="s">
        <v>3461</v>
      </c>
      <c r="NQ3" t="s">
        <v>3077</v>
      </c>
      <c r="OA3" t="s">
        <v>9400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_xll.BDS("AREMQ US Equity","SUPPLY_CHAIN_SUPPLIERS","RELATIONSHIP_AS_OF_DATE","20010226")</f>
        <v>#N/A N/A</v>
      </c>
      <c r="F5" t="str">
        <f>_xll.BDS("AREMQ US Equity","SUPPLY_CHAIN_CUSTOMERS","RELATIONSHIP_AS_OF_DATE","20010226")</f>
        <v>#N/A N/A</v>
      </c>
      <c r="K5" t="str">
        <f>_xll.BDS("PBKS US Equity","SUPPLY_CHAIN_SUPPLIERS","RELATIONSHIP_AS_OF_DATE","20000504")</f>
        <v>#N/A N/A</v>
      </c>
      <c r="P5" t="str">
        <f>_xll.BDS("PBKS US Equity","SUPPLY_CHAIN_CUSTOMERS","RELATIONSHIP_AS_OF_DATE","20000504")</f>
        <v>#N/A N/A</v>
      </c>
      <c r="U5" t="str">
        <f>_xll.BDS("PSTB US Equity","SUPPLY_CHAIN_SUPPLIERS","RELATIONSHIP_AS_OF_DATE","20110331")</f>
        <v>#N/A N/A</v>
      </c>
      <c r="Z5" t="str">
        <f>_xll.BDS("PSTB US Equity","SUPPLY_CHAIN_CUSTOMERS","RELATIONSHIP_AS_OF_DATE","20110331")</f>
        <v>#N/A N/A</v>
      </c>
      <c r="AE5" t="str">
        <f>_xll.BDS("CY US Equity","SUPPLY_CHAIN_SUPPLIERS","RELATIONSHIP_AS_OF_DATE","20080411")</f>
        <v>#N/A N/A</v>
      </c>
      <c r="AJ5" t="str">
        <f>_xll.BDS("CY US Equity","SUPPLY_CHAIN_CUSTOMERS","RELATIONSHIP_AS_OF_DATE","20080411")</f>
        <v>#N/A N/A</v>
      </c>
      <c r="AO5" t="str">
        <f>_xll.BDS("BUSE US Equity","SUPPLY_CHAIN_SUPPLIERS","RELATIONSHIP_AS_OF_DATE","20050224")</f>
        <v>#N/A N/A</v>
      </c>
      <c r="AT5" t="str">
        <f>_xll.BDS("BUSE US Equity","SUPPLY_CHAIN_CUSTOMERS","RELATIONSHIP_AS_OF_DATE","20050224")</f>
        <v>#N/A N/A</v>
      </c>
      <c r="AY5" t="str">
        <f>_xll.BDS("2096692D US Equity","SUPPLY_CHAIN_SUPPLIERS","RELATIONSHIP_AS_OF_DATE","20010108")</f>
        <v>#N/A N/A</v>
      </c>
      <c r="BD5" t="str">
        <f>_xll.BDS("2096692D US Equity","SUPPLY_CHAIN_CUSTOMERS","RELATIONSHIP_AS_OF_DATE","20010108")</f>
        <v>#N/A N/A</v>
      </c>
      <c r="BI5" t="str">
        <f>_xll.BDS("OPLK US Equity","SUPPLY_CHAIN_SUPPLIERS","RELATIONSHIP_AS_OF_DATE","20070620")</f>
        <v>#N/A N/A</v>
      </c>
      <c r="BN5" t="str">
        <f>_xll.BDS("OPLK US Equity","SUPPLY_CHAIN_CUSTOMERS","RELATIONSHIP_AS_OF_DATE","20070620")</f>
        <v>#N/A N/A</v>
      </c>
      <c r="BS5" t="str">
        <f>_xll.BDS("244630Q US Equity","SUPPLY_CHAIN_SUPPLIERS","RELATIONSHIP_AS_OF_DATE","19980720")</f>
        <v>#N/A N/A</v>
      </c>
      <c r="BX5" t="str">
        <f>_xll.BDS("244630Q US Equity","SUPPLY_CHAIN_CUSTOMERS","RELATIONSHIP_AS_OF_DATE","19980720")</f>
        <v>#N/A N/A</v>
      </c>
      <c r="CC5" t="str">
        <f>_xll.BDS("SNPS US Equity","SUPPLY_CHAIN_SUPPLIERS","RELATIONSHIP_AS_OF_DATE","20020723","cols=1;rows=5")</f>
        <v>000660 KS Equity</v>
      </c>
      <c r="CH5" t="str">
        <f>_xll.BDS("SNPS US Equity","SUPPLY_CHAIN_CUSTOMERS","RELATIONSHIP_AS_OF_DATE","20020723","cols=1;rows=5")</f>
        <v>2454 TT Equity</v>
      </c>
      <c r="CM5" t="str">
        <f>_xll.BDS("NWBI US Equity","SUPPLY_CHAIN_SUPPLIERS","RELATIONSHIP_AS_OF_DATE","20070105")</f>
        <v>FISV US Equity</v>
      </c>
      <c r="CR5" t="str">
        <f>_xll.BDS("NWBI US Equity","SUPPLY_CHAIN_CUSTOMERS","RELATIONSHIP_AS_OF_DATE","20070105")</f>
        <v>#N/A N/A</v>
      </c>
      <c r="CW5" t="str">
        <f>_xll.BDS("BMRC US Equity","SUPPLY_CHAIN_SUPPLIERS","RELATIONSHIP_AS_OF_DATE","20130701")</f>
        <v>#N/A N/A</v>
      </c>
      <c r="DB5" t="str">
        <f>_xll.BDS("BMRC US Equity","SUPPLY_CHAIN_CUSTOMERS","RELATIONSHIP_AS_OF_DATE","20130701")</f>
        <v>#N/A N/A</v>
      </c>
      <c r="DG5" t="str">
        <f>_xll.BDS("PACW US Equity","SUPPLY_CHAIN_SUPPLIERS","RELATIONSHIP_AS_OF_DATE","20010822")</f>
        <v>#N/A N/A</v>
      </c>
      <c r="DL5" t="str">
        <f>_xll.BDS("PACW US Equity","SUPPLY_CHAIN_CUSTOMERS","RELATIONSHIP_AS_OF_DATE","20010822")</f>
        <v>SNX US Equity</v>
      </c>
      <c r="DQ5" t="str">
        <f>_xll.BDS("FMNB US Equity","SUPPLY_CHAIN_SUPPLIERS","RELATIONSHIP_AS_OF_DATE","20000526")</f>
        <v>#N/A N/A</v>
      </c>
      <c r="DV5" t="str">
        <f>_xll.BDS("FMNB US Equity","SUPPLY_CHAIN_CUSTOMERS","RELATIONSHIP_AS_OF_DATE","20000526")</f>
        <v>#N/A N/A</v>
      </c>
      <c r="EA5" t="str">
        <f>_xll.BDS("NFG US Equity","SUPPLY_CHAIN_SUPPLIERS","RELATIONSHIP_AS_OF_DATE","19980123","cols=1;rows=5")</f>
        <v>927079Z US Equity</v>
      </c>
      <c r="EF5" t="str">
        <f>_xll.BDS("NFG US Equity","SUPPLY_CHAIN_CUSTOMERS","RELATIONSHIP_AS_OF_DATE","19980123","cols=1;rows=3")</f>
        <v>1725219D US Equity</v>
      </c>
      <c r="EK5" t="str">
        <f>_xll.BDS("1339658D US Equity","SUPPLY_CHAIN_SUPPLIERS","RELATIONSHIP_AS_OF_DATE","20000323")</f>
        <v>#N/A N/A</v>
      </c>
      <c r="EP5" t="str">
        <f>_xll.BDS("1339658D US Equity","SUPPLY_CHAIN_CUSTOMERS","RELATIONSHIP_AS_OF_DATE","20000323")</f>
        <v>#N/A N/A</v>
      </c>
      <c r="EU5" t="str">
        <f>_xll.BDS("MCCK US Equity","SUPPLY_CHAIN_SUPPLIERS","RELATIONSHIP_AS_OF_DATE","20000314")</f>
        <v>#N/A N/A</v>
      </c>
      <c r="EZ5" t="str">
        <f>_xll.BDS("MCCK US Equity","SUPPLY_CHAIN_CUSTOMERS","RELATIONSHIP_AS_OF_DATE","20000314")</f>
        <v>MSM US Equity</v>
      </c>
      <c r="FE5" t="str">
        <f>_xll.BDS("598014Q US Equity","SUPPLY_CHAIN_SUPPLIERS","RELATIONSHIP_AS_OF_DATE","20000210")</f>
        <v>#N/A N/A</v>
      </c>
      <c r="FJ5" t="str">
        <f>_xll.BDS("598014Q US Equity","SUPPLY_CHAIN_CUSTOMERS","RELATIONSHIP_AS_OF_DATE","20000210")</f>
        <v>#N/A N/A</v>
      </c>
      <c r="FO5" t="str">
        <f>_xll.BDS("TTN US Equity","SUPPLY_CHAIN_SUPPLIERS","RELATIONSHIP_AS_OF_DATE","20020107")</f>
        <v>#N/A N/A</v>
      </c>
      <c r="FT5" t="str">
        <f>_xll.BDS("TTN US Equity","SUPPLY_CHAIN_CUSTOMERS","RELATIONSHIP_AS_OF_DATE","20020107")</f>
        <v>#N/A N/A</v>
      </c>
      <c r="FY5" t="str">
        <f>_xll.BDS("CBCRQ US Equity","SUPPLY_CHAIN_SUPPLIERS","RELATIONSHIP_AS_OF_DATE","20011116")</f>
        <v>#N/A N/A</v>
      </c>
      <c r="GD5" t="str">
        <f>_xll.BDS("CBCRQ US Equity","SUPPLY_CHAIN_CUSTOMERS","RELATIONSHIP_AS_OF_DATE","20011116")</f>
        <v>#N/A N/A</v>
      </c>
      <c r="GI5" t="str">
        <f>_xll.BDS("GBTB US Equity","SUPPLY_CHAIN_SUPPLIERS","RELATIONSHIP_AS_OF_DATE","20010202")</f>
        <v>#N/A N/A</v>
      </c>
      <c r="GN5" t="str">
        <f>_xll.BDS("GBTB US Equity","SUPPLY_CHAIN_CUSTOMERS","RELATIONSHIP_AS_OF_DATE","20010202")</f>
        <v>#N/A N/A</v>
      </c>
      <c r="GS5" t="str">
        <f>_xll.BDS("RBCAA US Equity","SUPPLY_CHAIN_SUPPLIERS","RELATIONSHIP_AS_OF_DATE","20151007")</f>
        <v>1764510D US Equity</v>
      </c>
      <c r="GX5" t="str">
        <f>_xll.BDS("RBCAA US Equity","SUPPLY_CHAIN_CUSTOMERS","RELATIONSHIP_AS_OF_DATE","20151007")</f>
        <v>#N/A N/A</v>
      </c>
      <c r="HC5" t="str">
        <f>_xll.BDS("JLL US Equity","SUPPLY_CHAIN_SUPPLIERS","RELATIONSHIP_AS_OF_DATE","20210630","cols=1;rows=5")</f>
        <v>SECIS IN Equity</v>
      </c>
      <c r="HH5" t="str">
        <f>_xll.BDS("JLL US Equity","SUPPLY_CHAIN_CUSTOMERS","RELATIONSHIP_AS_OF_DATE","20210630","cols=1;rows=5")</f>
        <v>IBM US Equity</v>
      </c>
      <c r="HM5" t="str">
        <f>_xll.BDS("DDRX US Equity","SUPPLY_CHAIN_SUPPLIERS","RELATIONSHIP_AS_OF_DATE","19990209")</f>
        <v>#N/A N/A</v>
      </c>
      <c r="HR5" t="str">
        <f>_xll.BDS("DDRX US Equity","SUPPLY_CHAIN_CUSTOMERS","RELATIONSHIP_AS_OF_DATE","19990209")</f>
        <v>#N/A N/A</v>
      </c>
      <c r="HW5" t="str">
        <f>_xll.BDS("RBI US Equity","SUPPLY_CHAIN_SUPPLIERS","RELATIONSHIP_AS_OF_DATE","20050701")</f>
        <v>UAA US Equity</v>
      </c>
      <c r="IB5" t="str">
        <f>_xll.BDS("RBI US Equity","SUPPLY_CHAIN_CUSTOMERS","RELATIONSHIP_AS_OF_DATE","20050701")</f>
        <v>#N/A N/A</v>
      </c>
      <c r="IG5" t="str">
        <f>_xll.BDS("1506328D US Equity","SUPPLY_CHAIN_SUPPLIERS","RELATIONSHIP_AS_OF_DATE","19980415")</f>
        <v>#N/A N/A</v>
      </c>
      <c r="IL5" t="str">
        <f>_xll.BDS("1506328D US Equity","SUPPLY_CHAIN_CUSTOMERS","RELATIONSHIP_AS_OF_DATE","19980415")</f>
        <v>#N/A N/A</v>
      </c>
      <c r="IQ5" t="str">
        <f>_xll.BDS("LBAI US Equity","SUPPLY_CHAIN_SUPPLIERS","RELATIONSHIP_AS_OF_DATE","20160218")</f>
        <v>#N/A N/A</v>
      </c>
      <c r="IV5" t="str">
        <f>_xll.BDS("LBAI US Equity","SUPPLY_CHAIN_CUSTOMERS","RELATIONSHIP_AS_OF_DATE","20160218")</f>
        <v>#N/A N/A</v>
      </c>
      <c r="JA5" t="str">
        <f>_xll.BDS("TMO US Equity","SUPPLY_CHAIN_SUPPLIERS","RELATIONSHIP_AS_OF_DATE","19990505","cols=1;rows=5")</f>
        <v>EMR US Equity</v>
      </c>
      <c r="JF5" t="str">
        <f>_xll.BDS("TMO US Equity","SUPPLY_CHAIN_CUSTOMERS","RELATIONSHIP_AS_OF_DATE","19990505","cols=1;rows=5")</f>
        <v>4195 TT Equity</v>
      </c>
      <c r="JK5" t="str">
        <f>_xll.BDS("GBBK US Equity","SUPPLY_CHAIN_SUPPLIERS","RELATIONSHIP_AS_OF_DATE","19990503")</f>
        <v>#N/A N/A</v>
      </c>
      <c r="JP5" t="str">
        <f>_xll.BDS("GBBK US Equity","SUPPLY_CHAIN_CUSTOMERS","RELATIONSHIP_AS_OF_DATE","19990503")</f>
        <v>#N/A N/A</v>
      </c>
      <c r="JU5" t="str">
        <f>_xll.BDS("LBAI US Equity","SUPPLY_CHAIN_SUPPLIERS","RELATIONSHIP_AS_OF_DATE","20030331")</f>
        <v>#N/A N/A</v>
      </c>
      <c r="JZ5" t="str">
        <f>_xll.BDS("LBAI US Equity","SUPPLY_CHAIN_CUSTOMERS","RELATIONSHIP_AS_OF_DATE","20030331")</f>
        <v>#N/A N/A</v>
      </c>
      <c r="KE5" t="str">
        <f>_xll.BDS("BORL US Equity","SUPPLY_CHAIN_SUPPLIERS","RELATIONSHIP_AS_OF_DATE","20021009")</f>
        <v>#N/A N/A</v>
      </c>
      <c r="KJ5" t="str">
        <f>_xll.BDS("BORL US Equity","SUPPLY_CHAIN_CUSTOMERS","RELATIONSHIP_AS_OF_DATE","20021009")</f>
        <v>#N/A N/A</v>
      </c>
      <c r="KO5" t="str">
        <f>_xll.BDS("COHM US Equity","SUPPLY_CHAIN_SUPPLIERS","RELATIONSHIP_AS_OF_DATE","20000823")</f>
        <v>#N/A N/A</v>
      </c>
      <c r="KT5" t="str">
        <f>_xll.BDS("COHM US Equity","SUPPLY_CHAIN_CUSTOMERS","RELATIONSHIP_AS_OF_DATE","20000823")</f>
        <v>#N/A N/A</v>
      </c>
      <c r="KY5" t="str">
        <f>_xll.BDS("CBC US Equity","SUPPLY_CHAIN_SUPPLIERS","RELATIONSHIP_AS_OF_DATE","19990519","cols=1;rows=2")</f>
        <v>1611864D US Equity</v>
      </c>
      <c r="LD5" t="str">
        <f>_xll.BDS("CBC US Equity","SUPPLY_CHAIN_CUSTOMERS","RELATIONSHIP_AS_OF_DATE","19990519")</f>
        <v>USIO US Equity</v>
      </c>
      <c r="LI5" t="str">
        <f>_xll.BDS("75158Q US Equity","SUPPLY_CHAIN_SUPPLIERS","RELATIONSHIP_AS_OF_DATE","19980512")</f>
        <v>#N/A N/A</v>
      </c>
      <c r="LN5" t="str">
        <f>_xll.BDS("75158Q US Equity","SUPPLY_CHAIN_CUSTOMERS","RELATIONSHIP_AS_OF_DATE","19980512","cols=1;rows=2")</f>
        <v>CDW US Equity</v>
      </c>
      <c r="LS5" t="str">
        <f>_xll.BDS("761407Q US Equity","SUPPLY_CHAIN_SUPPLIERS","RELATIONSHIP_AS_OF_DATE","19980319")</f>
        <v>#N/A N/A</v>
      </c>
      <c r="LX5" t="str">
        <f>_xll.BDS("761407Q US Equity","SUPPLY_CHAIN_CUSTOMERS","RELATIONSHIP_AS_OF_DATE","19980319")</f>
        <v>#N/A N/A</v>
      </c>
      <c r="MC5" t="str">
        <f>_xll.BDS("TOBC US Equity","SUPPLY_CHAIN_SUPPLIERS","RELATIONSHIP_AS_OF_DATE","20050922")</f>
        <v>#N/A N/A</v>
      </c>
      <c r="MH5" t="str">
        <f>_xll.BDS("TOBC US Equity","SUPPLY_CHAIN_CUSTOMERS","RELATIONSHIP_AS_OF_DATE","20050922")</f>
        <v>#N/A N/A</v>
      </c>
      <c r="MM5" t="str">
        <f>_xll.BDS("KFFB US Equity","SUPPLY_CHAIN_SUPPLIERS","RELATIONSHIP_AS_OF_DATE","20040716")</f>
        <v>#N/A N/A</v>
      </c>
      <c r="MR5" t="str">
        <f>_xll.BDS("KFFB US Equity","SUPPLY_CHAIN_CUSTOMERS","RELATIONSHIP_AS_OF_DATE","20040716")</f>
        <v>#N/A N/A</v>
      </c>
      <c r="MW5" t="str">
        <f>_xll.BDS("8277875Q US Equity","SUPPLY_CHAIN_SUPPLIERS","RELATIONSHIP_AS_OF_DATE","19980701")</f>
        <v>#N/A N/A</v>
      </c>
      <c r="NB5" t="str">
        <f>_xll.BDS("8277875Q US Equity","SUPPLY_CHAIN_CUSTOMERS","RELATIONSHIP_AS_OF_DATE","19980701")</f>
        <v>#N/A N/A</v>
      </c>
      <c r="NG5" t="str">
        <f>_xll.BDS("NCF US Equity","SUPPLY_CHAIN_SUPPLIERS","RELATIONSHIP_AS_OF_DATE","19991228")</f>
        <v>#N/A N/A</v>
      </c>
      <c r="NL5" t="str">
        <f>_xll.BDS("NCF US Equity","SUPPLY_CHAIN_CUSTOMERS","RELATIONSHIP_AS_OF_DATE","19991228")</f>
        <v>#N/A N/A</v>
      </c>
      <c r="NQ5" t="str">
        <f>_xll.BDS("UIS US Equity","SUPPLY_CHAIN_SUPPLIERS","RELATIONSHIP_AS_OF_DATE","19990615","cols=1;rows=5")</f>
        <v>2269129D CN Equity</v>
      </c>
      <c r="NV5" t="str">
        <f>_xll.BDS("UIS US Equity","SUPPLY_CHAIN_CUSTOMERS","RELATIONSHIP_AS_OF_DATE","19990615","cols=1;rows=5")</f>
        <v>PLUS US Equity</v>
      </c>
      <c r="OA5" t="str">
        <f>_xll.BDS("MSFG US Equity","SUPPLY_CHAIN_SUPPLIERS","RELATIONSHIP_AS_OF_DATE","20080227")</f>
        <v>#N/A N/A</v>
      </c>
      <c r="OF5" t="str">
        <f>_xll.BDS("MSFG US Equity","SUPPLY_CHAIN_CUSTOMERS","RELATIONSHIP_AS_OF_DATE","20080227")</f>
        <v>#N/A N/A</v>
      </c>
    </row>
    <row r="6" spans="1:396" x14ac:dyDescent="0.25">
      <c r="CC6" t="s">
        <v>11065</v>
      </c>
      <c r="CH6" t="s">
        <v>684</v>
      </c>
      <c r="EA6" t="s">
        <v>11369</v>
      </c>
      <c r="EF6" t="s">
        <v>2409</v>
      </c>
      <c r="HC6" t="s">
        <v>11287</v>
      </c>
      <c r="HH6" t="s">
        <v>11216</v>
      </c>
      <c r="JA6" t="s">
        <v>44</v>
      </c>
      <c r="JF6" t="s">
        <v>10662</v>
      </c>
      <c r="KY6" t="s">
        <v>11049</v>
      </c>
      <c r="LN6" t="s">
        <v>10787</v>
      </c>
      <c r="NQ6" t="s">
        <v>986</v>
      </c>
      <c r="NV6" t="s">
        <v>10673</v>
      </c>
    </row>
    <row r="7" spans="1:396" x14ac:dyDescent="0.25">
      <c r="CC7" t="s">
        <v>6477</v>
      </c>
      <c r="CH7" t="s">
        <v>6473</v>
      </c>
      <c r="EA7" t="s">
        <v>11370</v>
      </c>
      <c r="EF7" t="s">
        <v>10678</v>
      </c>
      <c r="HC7" t="s">
        <v>11288</v>
      </c>
      <c r="HH7" t="s">
        <v>11217</v>
      </c>
      <c r="JA7" t="s">
        <v>10734</v>
      </c>
      <c r="JF7" t="s">
        <v>10761</v>
      </c>
      <c r="NQ7" t="s">
        <v>10731</v>
      </c>
      <c r="NV7" t="s">
        <v>10674</v>
      </c>
    </row>
    <row r="8" spans="1:396" x14ac:dyDescent="0.25">
      <c r="CC8" t="s">
        <v>266</v>
      </c>
      <c r="CH8" t="s">
        <v>11248</v>
      </c>
      <c r="EA8" t="s">
        <v>68</v>
      </c>
      <c r="HC8" t="s">
        <v>11014</v>
      </c>
      <c r="HH8" t="s">
        <v>11218</v>
      </c>
      <c r="JA8" t="s">
        <v>10735</v>
      </c>
      <c r="JF8" t="s">
        <v>10762</v>
      </c>
      <c r="NQ8" t="s">
        <v>10732</v>
      </c>
      <c r="NV8" t="s">
        <v>10675</v>
      </c>
    </row>
    <row r="9" spans="1:396" x14ac:dyDescent="0.25">
      <c r="CC9" t="s">
        <v>11466</v>
      </c>
      <c r="CH9" t="s">
        <v>2967</v>
      </c>
      <c r="EA9" t="s">
        <v>1545</v>
      </c>
      <c r="HC9" t="s">
        <v>11289</v>
      </c>
      <c r="HH9" t="s">
        <v>11219</v>
      </c>
      <c r="JA9" t="s">
        <v>3073</v>
      </c>
      <c r="JF9" t="s">
        <v>10763</v>
      </c>
      <c r="NQ9" t="s">
        <v>10733</v>
      </c>
      <c r="NV9" t="s">
        <v>986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9401</v>
      </c>
      <c r="K1" s="1" t="s">
        <v>9402</v>
      </c>
      <c r="U1" s="1" t="s">
        <v>9403</v>
      </c>
      <c r="AE1" s="1" t="s">
        <v>9404</v>
      </c>
      <c r="AO1" s="1" t="s">
        <v>9405</v>
      </c>
      <c r="AY1" s="1" t="s">
        <v>9406</v>
      </c>
      <c r="BI1" s="1" t="s">
        <v>9407</v>
      </c>
      <c r="BS1" s="1" t="s">
        <v>9408</v>
      </c>
      <c r="CC1" s="1" t="s">
        <v>9409</v>
      </c>
      <c r="CM1" s="1" t="s">
        <v>9410</v>
      </c>
      <c r="CW1" s="1" t="s">
        <v>9411</v>
      </c>
      <c r="DG1" s="1" t="s">
        <v>9412</v>
      </c>
      <c r="DQ1" s="1" t="s">
        <v>9413</v>
      </c>
      <c r="EA1" s="1" t="s">
        <v>9414</v>
      </c>
      <c r="EK1" s="1" t="s">
        <v>9415</v>
      </c>
      <c r="EU1" s="1" t="s">
        <v>9416</v>
      </c>
      <c r="FE1" s="1" t="s">
        <v>9417</v>
      </c>
      <c r="FO1" s="1" t="s">
        <v>9418</v>
      </c>
      <c r="FY1" s="1" t="s">
        <v>9419</v>
      </c>
      <c r="GI1" s="1" t="s">
        <v>9420</v>
      </c>
      <c r="GS1" s="1" t="s">
        <v>9421</v>
      </c>
      <c r="HC1" s="1" t="s">
        <v>9422</v>
      </c>
      <c r="HM1" s="1" t="s">
        <v>9423</v>
      </c>
      <c r="HW1" s="1" t="s">
        <v>9424</v>
      </c>
      <c r="IG1" s="1" t="s">
        <v>9425</v>
      </c>
      <c r="IQ1" s="1" t="s">
        <v>9426</v>
      </c>
      <c r="JA1" s="1" t="s">
        <v>9427</v>
      </c>
      <c r="JK1" s="1" t="s">
        <v>9428</v>
      </c>
      <c r="JU1" s="1" t="s">
        <v>9429</v>
      </c>
      <c r="KE1" s="1" t="s">
        <v>9430</v>
      </c>
      <c r="KO1" s="1" t="s">
        <v>9431</v>
      </c>
      <c r="KY1" s="1" t="s">
        <v>9432</v>
      </c>
      <c r="LI1" s="1" t="s">
        <v>9433</v>
      </c>
      <c r="LS1" s="1" t="s">
        <v>9434</v>
      </c>
      <c r="MC1" s="1" t="s">
        <v>9435</v>
      </c>
      <c r="MM1" s="1" t="s">
        <v>9436</v>
      </c>
      <c r="MW1" s="1" t="s">
        <v>9437</v>
      </c>
      <c r="NG1" s="1" t="s">
        <v>9438</v>
      </c>
      <c r="NQ1" s="1" t="s">
        <v>9439</v>
      </c>
      <c r="OA1" s="1" t="s">
        <v>9440</v>
      </c>
    </row>
    <row r="2" spans="1:396" x14ac:dyDescent="0.25">
      <c r="A2" s="2" t="s">
        <v>9441</v>
      </c>
      <c r="K2" s="2" t="s">
        <v>9442</v>
      </c>
      <c r="U2" s="2" t="s">
        <v>7050</v>
      </c>
      <c r="AE2" s="2" t="s">
        <v>9443</v>
      </c>
      <c r="AO2" s="2" t="s">
        <v>9444</v>
      </c>
      <c r="AY2" s="2" t="s">
        <v>6247</v>
      </c>
      <c r="BI2" s="2" t="s">
        <v>8243</v>
      </c>
      <c r="BS2" s="2" t="s">
        <v>9445</v>
      </c>
      <c r="CC2" s="2" t="s">
        <v>6712</v>
      </c>
      <c r="CM2" s="2" t="s">
        <v>5762</v>
      </c>
      <c r="CW2" s="2" t="s">
        <v>9446</v>
      </c>
      <c r="DG2" s="2" t="s">
        <v>5419</v>
      </c>
      <c r="DQ2" s="2" t="s">
        <v>9447</v>
      </c>
      <c r="EA2" s="2" t="s">
        <v>9232</v>
      </c>
      <c r="EK2" s="2" t="s">
        <v>9448</v>
      </c>
      <c r="EU2" s="2" t="s">
        <v>9441</v>
      </c>
      <c r="FE2" s="2" t="s">
        <v>9449</v>
      </c>
      <c r="FO2" s="2" t="s">
        <v>9450</v>
      </c>
      <c r="FY2" s="2" t="s">
        <v>6550</v>
      </c>
      <c r="GI2" s="2" t="s">
        <v>8997</v>
      </c>
      <c r="GS2" s="2" t="s">
        <v>9451</v>
      </c>
      <c r="HC2" s="2" t="s">
        <v>9452</v>
      </c>
      <c r="HM2" s="2" t="s">
        <v>7055</v>
      </c>
      <c r="HW2" s="2" t="s">
        <v>8313</v>
      </c>
      <c r="IG2" s="2" t="s">
        <v>9453</v>
      </c>
      <c r="IQ2" s="2" t="s">
        <v>9454</v>
      </c>
      <c r="JA2" s="2" t="s">
        <v>5074</v>
      </c>
      <c r="JK2" s="2" t="s">
        <v>9455</v>
      </c>
      <c r="JU2" s="2" t="s">
        <v>9456</v>
      </c>
      <c r="KE2" s="2" t="s">
        <v>6547</v>
      </c>
      <c r="KO2" s="2" t="s">
        <v>9457</v>
      </c>
      <c r="KY2" s="2" t="s">
        <v>9458</v>
      </c>
      <c r="LI2" s="2" t="s">
        <v>9459</v>
      </c>
      <c r="LS2" s="2" t="s">
        <v>9460</v>
      </c>
      <c r="MC2" s="2" t="s">
        <v>7768</v>
      </c>
      <c r="MM2" s="2" t="s">
        <v>9461</v>
      </c>
      <c r="MW2" s="2" t="s">
        <v>9462</v>
      </c>
      <c r="NG2" s="2" t="s">
        <v>7457</v>
      </c>
      <c r="NQ2" s="2" t="s">
        <v>1356</v>
      </c>
      <c r="OA2" s="2" t="s">
        <v>1365</v>
      </c>
    </row>
    <row r="3" spans="1:396" x14ac:dyDescent="0.25">
      <c r="A3" t="s">
        <v>7401</v>
      </c>
      <c r="K3" t="s">
        <v>9463</v>
      </c>
      <c r="U3" t="s">
        <v>2433</v>
      </c>
      <c r="AE3" t="s">
        <v>9464</v>
      </c>
      <c r="AO3" t="s">
        <v>6824</v>
      </c>
      <c r="AY3" t="s">
        <v>1381</v>
      </c>
      <c r="BI3" t="s">
        <v>9465</v>
      </c>
      <c r="BS3" t="s">
        <v>3004</v>
      </c>
      <c r="CC3" t="s">
        <v>1182</v>
      </c>
      <c r="CM3" t="s">
        <v>9466</v>
      </c>
      <c r="CW3" t="s">
        <v>391</v>
      </c>
      <c r="DG3" t="s">
        <v>9467</v>
      </c>
      <c r="DQ3" t="s">
        <v>9023</v>
      </c>
      <c r="EA3" t="s">
        <v>5860</v>
      </c>
      <c r="EK3" t="s">
        <v>698</v>
      </c>
      <c r="EU3" t="s">
        <v>3644</v>
      </c>
      <c r="FE3" t="s">
        <v>9468</v>
      </c>
      <c r="FO3" t="s">
        <v>2046</v>
      </c>
      <c r="FY3" t="s">
        <v>4142</v>
      </c>
      <c r="GI3" t="s">
        <v>9469</v>
      </c>
      <c r="GS3" t="s">
        <v>9470</v>
      </c>
      <c r="HC3" t="s">
        <v>9471</v>
      </c>
      <c r="HM3" t="s">
        <v>1105</v>
      </c>
      <c r="HW3" t="s">
        <v>1001</v>
      </c>
      <c r="IG3" t="s">
        <v>1279</v>
      </c>
      <c r="IQ3" t="s">
        <v>4761</v>
      </c>
      <c r="JA3" t="s">
        <v>87</v>
      </c>
      <c r="JK3" t="s">
        <v>2816</v>
      </c>
      <c r="JU3" t="s">
        <v>9472</v>
      </c>
      <c r="KE3" t="s">
        <v>7791</v>
      </c>
      <c r="KO3" t="s">
        <v>178</v>
      </c>
      <c r="KY3" t="s">
        <v>9473</v>
      </c>
      <c r="LI3" t="s">
        <v>4663</v>
      </c>
      <c r="LS3" t="s">
        <v>9474</v>
      </c>
      <c r="MC3" t="s">
        <v>9475</v>
      </c>
      <c r="MM3" t="s">
        <v>9476</v>
      </c>
      <c r="MW3" t="s">
        <v>9477</v>
      </c>
      <c r="NG3" t="s">
        <v>9478</v>
      </c>
      <c r="NQ3" t="s">
        <v>2547</v>
      </c>
      <c r="OA3" t="s">
        <v>7080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_xll.BDS("AEIS US Equity","SUPPLY_CHAIN_SUPPLIERS","RELATIONSHIP_AS_OF_DATE","19980602","cols=1;rows=5")</f>
        <v>IFX GR Equity</v>
      </c>
      <c r="F5" t="str">
        <f>_xll.BDS("AEIS US Equity","SUPPLY_CHAIN_CUSTOMERS","RELATIONSHIP_AS_OF_DATE","19980602","cols=1;rows=5")</f>
        <v>AMAT US Equity</v>
      </c>
      <c r="K5" t="str">
        <f>_xll.BDS("FICO US Equity","SUPPLY_CHAIN_SUPPLIERS","RELATIONSHIP_AS_OF_DATE","20040921","cols=1;rows=5")</f>
        <v>NTAP US Equity</v>
      </c>
      <c r="P5" t="str">
        <f>_xll.BDS("FICO US Equity","SUPPLY_CHAIN_CUSTOMERS","RELATIONSHIP_AS_OF_DATE","20040921","cols=1;rows=5")</f>
        <v>EXPN LN Equity</v>
      </c>
      <c r="U5" t="str">
        <f>_xll.BDS("COB US Equity","SUPPLY_CHAIN_SUPPLIERS","RELATIONSHIP_AS_OF_DATE","19991018")</f>
        <v>#N/A N/A</v>
      </c>
      <c r="Z5" t="str">
        <f>_xll.BDS("COB US Equity","SUPPLY_CHAIN_CUSTOMERS","RELATIONSHIP_AS_OF_DATE","19991018")</f>
        <v>#N/A N/A</v>
      </c>
      <c r="AE5" t="str">
        <f>_xll.BDS("BVFL US Equity","SUPPLY_CHAIN_SUPPLIERS","RELATIONSHIP_AS_OF_DATE","20190905")</f>
        <v>#N/A N/A</v>
      </c>
      <c r="AJ5" t="str">
        <f>_xll.BDS("BVFL US Equity","SUPPLY_CHAIN_CUSTOMERS","RELATIONSHIP_AS_OF_DATE","20190905")</f>
        <v>#N/A N/A</v>
      </c>
      <c r="AO5" t="str">
        <f>_xll.BDS("PHSB US Equity","SUPPLY_CHAIN_SUPPLIERS","RELATIONSHIP_AS_OF_DATE","20010816")</f>
        <v>#N/A N/A</v>
      </c>
      <c r="AT5" t="str">
        <f>_xll.BDS("PHSB US Equity","SUPPLY_CHAIN_CUSTOMERS","RELATIONSHIP_AS_OF_DATE","20010816")</f>
        <v>#N/A N/A</v>
      </c>
      <c r="AY5" t="str">
        <f>_xll.BDS("1477687D US Equity","SUPPLY_CHAIN_SUPPLIERS","RELATIONSHIP_AS_OF_DATE","20110606")</f>
        <v>#N/A N/A</v>
      </c>
      <c r="BD5" t="str">
        <f>_xll.BDS("1477687D US Equity","SUPPLY_CHAIN_CUSTOMERS","RELATIONSHIP_AS_OF_DATE","20110606")</f>
        <v>#N/A N/A</v>
      </c>
      <c r="BI5" t="str">
        <f>_xll.BDS("HTLF US Equity","SUPPLY_CHAIN_SUPPLIERS","RELATIONSHIP_AS_OF_DATE","20150529")</f>
        <v>INFA US Equity</v>
      </c>
      <c r="BN5" t="str">
        <f>_xll.BDS("HTLF US Equity","SUPPLY_CHAIN_CUSTOMERS","RELATIONSHIP_AS_OF_DATE","20150529")</f>
        <v>#N/A N/A</v>
      </c>
      <c r="BS5" t="str">
        <f>_xll.BDS("BGTHQ US Equity","SUPPLY_CHAIN_SUPPLIERS","RELATIONSHIP_AS_OF_DATE","20070305")</f>
        <v>#N/A N/A</v>
      </c>
      <c r="BX5" t="str">
        <f>_xll.BDS("BGTHQ US Equity","SUPPLY_CHAIN_CUSTOMERS","RELATIONSHIP_AS_OF_DATE","20070305")</f>
        <v>#N/A N/A</v>
      </c>
      <c r="CC5" t="str">
        <f>_xll.BDS("HRBT US Equity","SUPPLY_CHAIN_SUPPLIERS","RELATIONSHIP_AS_OF_DATE","19990517")</f>
        <v>#N/A N/A</v>
      </c>
      <c r="CH5" t="str">
        <f>_xll.BDS("HRBT US Equity","SUPPLY_CHAIN_CUSTOMERS","RELATIONSHIP_AS_OF_DATE","19990517")</f>
        <v>#N/A N/A</v>
      </c>
      <c r="CM5" t="str">
        <f>_xll.BDS("PRA US Equity","SUPPLY_CHAIN_SUPPLIERS","RELATIONSHIP_AS_OF_DATE","20020709")</f>
        <v>#N/A N/A</v>
      </c>
      <c r="CR5" t="str">
        <f>_xll.BDS("PRA US Equity","SUPPLY_CHAIN_CUSTOMERS","RELATIONSHIP_AS_OF_DATE","20020709")</f>
        <v>#N/A N/A</v>
      </c>
      <c r="CW5" t="str">
        <f>_xll.BDS("SBCP US Equity","SUPPLY_CHAIN_SUPPLIERS","RELATIONSHIP_AS_OF_DATE","20150205")</f>
        <v>#N/A N/A</v>
      </c>
      <c r="DB5" t="str">
        <f>_xll.BDS("SBCP US Equity","SUPPLY_CHAIN_CUSTOMERS","RELATIONSHIP_AS_OF_DATE","20150205")</f>
        <v>#N/A N/A</v>
      </c>
      <c r="DG5" t="str">
        <f>_xll.BDS("TCBK US Equity","SUPPLY_CHAIN_SUPPLIERS","RELATIONSHIP_AS_OF_DATE","20021007")</f>
        <v>#N/A N/A</v>
      </c>
      <c r="DL5" t="str">
        <f>_xll.BDS("TCBK US Equity","SUPPLY_CHAIN_CUSTOMERS","RELATIONSHIP_AS_OF_DATE","20021007")</f>
        <v>#N/A N/A</v>
      </c>
      <c r="DQ5" t="str">
        <f>_xll.BDS("UBH US Equity","SUPPLY_CHAIN_SUPPLIERS","RELATIONSHIP_AS_OF_DATE","19980306")</f>
        <v>#N/A N/A</v>
      </c>
      <c r="DV5" t="str">
        <f>_xll.BDS("UBH US Equity","SUPPLY_CHAIN_CUSTOMERS","RELATIONSHIP_AS_OF_DATE","19980306")</f>
        <v>#N/A N/A</v>
      </c>
      <c r="EA5" t="str">
        <f>_xll.BDS("IHR US Equity","SUPPLY_CHAIN_SUPPLIERS","RELATIONSHIP_AS_OF_DATE","20020502")</f>
        <v>#N/A N/A</v>
      </c>
      <c r="EF5" t="str">
        <f>_xll.BDS("IHR US Equity","SUPPLY_CHAIN_CUSTOMERS","RELATIONSHIP_AS_OF_DATE","20020502")</f>
        <v>#N/A N/A</v>
      </c>
      <c r="EK5" t="str">
        <f>_xll.BDS("LCTX US Equity","SUPPLY_CHAIN_SUPPLIERS","RELATIONSHIP_AS_OF_DATE","20181108","cols=1;rows=2")</f>
        <v>ERNA US Equity</v>
      </c>
      <c r="EP5" t="str">
        <f>_xll.BDS("LCTX US Equity","SUPPLY_CHAIN_CUSTOMERS","RELATIONSHIP_AS_OF_DATE","20181108","cols=1;rows=5")</f>
        <v>028300 KS Equity</v>
      </c>
      <c r="EU5" t="str">
        <f>_xll.BDS("AEIS US Equity","SUPPLY_CHAIN_SUPPLIERS","RELATIONSHIP_AS_OF_DATE","20000706","cols=1;rows=5")</f>
        <v>IFX GR Equity</v>
      </c>
      <c r="EZ5" t="str">
        <f>_xll.BDS("AEIS US Equity","SUPPLY_CHAIN_CUSTOMERS","RELATIONSHIP_AS_OF_DATE","20000706","cols=1;rows=5")</f>
        <v>AMAT US Equity</v>
      </c>
      <c r="FE5" t="str">
        <f>_xll.BDS("1893883D US Equity","SUPPLY_CHAIN_SUPPLIERS","RELATIONSHIP_AS_OF_DATE","20000215")</f>
        <v>BRK/A US Equity</v>
      </c>
      <c r="FJ5" t="str">
        <f>_xll.BDS("1893883D US Equity","SUPPLY_CHAIN_CUSTOMERS","RELATIONSHIP_AS_OF_DATE","20000215")</f>
        <v>#N/A N/A</v>
      </c>
      <c r="FO5" t="str">
        <f>_xll.BDS("BSRR US Equity","SUPPLY_CHAIN_SUPPLIERS","RELATIONSHIP_AS_OF_DATE","20170424")</f>
        <v>#N/A N/A</v>
      </c>
      <c r="FT5" t="str">
        <f>_xll.BDS("BSRR US Equity","SUPPLY_CHAIN_CUSTOMERS","RELATIONSHIP_AS_OF_DATE","20170424")</f>
        <v>#N/A N/A</v>
      </c>
      <c r="FY5" t="str">
        <f>_xll.BDS("1492800D US Equity","SUPPLY_CHAIN_SUPPLIERS","RELATIONSHIP_AS_OF_DATE","20030618")</f>
        <v>#N/A N/A</v>
      </c>
      <c r="GD5" t="str">
        <f>_xll.BDS("1492800D US Equity","SUPPLY_CHAIN_CUSTOMERS","RELATIONSHIP_AS_OF_DATE","20030618")</f>
        <v>#N/A N/A</v>
      </c>
      <c r="GI5" t="str">
        <f>_xll.BDS("RBBN US Equity","SUPPLY_CHAIN_SUPPLIERS","RELATIONSHIP_AS_OF_DATE","20131213","cols=1;rows=5")</f>
        <v>PRV-U CN Equity</v>
      </c>
      <c r="GN5" t="str">
        <f>_xll.BDS("RBBN US Equity","SUPPLY_CHAIN_CUSTOMERS","RELATIONSHIP_AS_OF_DATE","20131213","cols=1;rows=5")</f>
        <v>VZ US Equity</v>
      </c>
      <c r="GS5" t="str">
        <f>_xll.BDS("AMRB US Equity","SUPPLY_CHAIN_SUPPLIERS","RELATIONSHIP_AS_OF_DATE","20040709")</f>
        <v>#N/A N/A</v>
      </c>
      <c r="GX5" t="str">
        <f>_xll.BDS("AMRB US Equity","SUPPLY_CHAIN_CUSTOMERS","RELATIONSHIP_AS_OF_DATE","20040709")</f>
        <v>#N/A N/A</v>
      </c>
      <c r="HC5" t="str">
        <f>_xll.BDS("MSA US Equity","SUPPLY_CHAIN_SUPPLIERS","RELATIONSHIP_AS_OF_DATE","20190329","cols=1;rows=5")</f>
        <v>ADBE US Equity</v>
      </c>
      <c r="HH5" t="str">
        <f>_xll.BDS("MSA US Equity","SUPPLY_CHAIN_CUSTOMERS","RELATIONSHIP_AS_OF_DATE","20190329","cols=1;rows=5")</f>
        <v>000720 KS Equity</v>
      </c>
      <c r="HM5" t="str">
        <f>_xll.BDS("1978022D US Equity","SUPPLY_CHAIN_SUPPLIERS","RELATIONSHIP_AS_OF_DATE","20070628")</f>
        <v>#N/A N/A</v>
      </c>
      <c r="HR5" t="str">
        <f>_xll.BDS("1978022D US Equity","SUPPLY_CHAIN_CUSTOMERS","RELATIONSHIP_AS_OF_DATE","20070628")</f>
        <v>#N/A N/A</v>
      </c>
      <c r="HW5" t="str">
        <f>_xll.BDS("HL US Equity","SUPPLY_CHAIN_SUPPLIERS","RELATIONSHIP_AS_OF_DATE","20160524","cols=1;rows=5")</f>
        <v>0082624D US Equity</v>
      </c>
      <c r="IB5" t="str">
        <f>_xll.BDS("HL US Equity","SUPPLY_CHAIN_CUSTOMERS","RELATIONSHIP_AS_OF_DATE","20160524")</f>
        <v>#N/A N/A</v>
      </c>
      <c r="IG5" t="str">
        <f>_xll.BDS("CXDO US Equity","SUPPLY_CHAIN_SUPPLIERS","RELATIONSHIP_AS_OF_DATE","19991213","cols=1;rows=5")</f>
        <v>CSCO US Equity</v>
      </c>
      <c r="IL5" t="str">
        <f>_xll.BDS("CXDO US Equity","SUPPLY_CHAIN_CUSTOMERS","RELATIONSHIP_AS_OF_DATE","19991213")</f>
        <v>2311612D US Equity</v>
      </c>
      <c r="IQ5" t="str">
        <f>_xll.BDS("CVA US Equity","SUPPLY_CHAIN_SUPPLIERS","RELATIONSHIP_AS_OF_DATE","20031202")</f>
        <v>FE US Equity</v>
      </c>
      <c r="IV5" t="str">
        <f>_xll.BDS("CVA US Equity","SUPPLY_CHAIN_CUSTOMERS","RELATIONSHIP_AS_OF_DATE","20031202")</f>
        <v>#N/A N/A</v>
      </c>
      <c r="JA5" t="str">
        <f>_xll.BDS("LGND US Equity","SUPPLY_CHAIN_SUPPLIERS","RELATIONSHIP_AS_OF_DATE","19980511","cols=1;rows=5")</f>
        <v>1108Z PL Equity</v>
      </c>
      <c r="JF5" t="str">
        <f>_xll.BDS("LGND US Equity","SUPPLY_CHAIN_CUSTOMERS","RELATIONSHIP_AS_OF_DATE","19980511","cols=1;rows=5")</f>
        <v>AMGN US Equity</v>
      </c>
      <c r="JK5" t="str">
        <f>_xll.BDS("2894314Q US Equity","SUPPLY_CHAIN_SUPPLIERS","RELATIONSHIP_AS_OF_DATE","20060815")</f>
        <v>#N/A N/A</v>
      </c>
      <c r="JP5" t="str">
        <f>_xll.BDS("2894314Q US Equity","SUPPLY_CHAIN_CUSTOMERS","RELATIONSHIP_AS_OF_DATE","20060815")</f>
        <v>#N/A N/A</v>
      </c>
      <c r="JU5" t="str">
        <f>_xll.BDS("9474176Q US Equity","SUPPLY_CHAIN_SUPPLIERS","RELATIONSHIP_AS_OF_DATE","19990129","cols=1;rows=4")</f>
        <v>66283080 IT Equity</v>
      </c>
      <c r="JZ5" t="str">
        <f>_xll.BDS("9474176Q US Equity","SUPPLY_CHAIN_CUSTOMERS","RELATIONSHIP_AS_OF_DATE","19990129")</f>
        <v>BRK/A US Equity</v>
      </c>
      <c r="KE5" t="str">
        <f>_xll.BDS("HNBC US Equity","SUPPLY_CHAIN_SUPPLIERS","RELATIONSHIP_AS_OF_DATE","19991229")</f>
        <v>#N/A N/A</v>
      </c>
      <c r="KJ5" t="str">
        <f>_xll.BDS("HNBC US Equity","SUPPLY_CHAIN_CUSTOMERS","RELATIONSHIP_AS_OF_DATE","19991229")</f>
        <v>#N/A N/A</v>
      </c>
      <c r="KO5" t="str">
        <f>_xll.BDS("CLPA US Equity","SUPPLY_CHAIN_SUPPLIERS","RELATIONSHIP_AS_OF_DATE","19980624")</f>
        <v>#N/A N/A</v>
      </c>
      <c r="KT5" t="str">
        <f>_xll.BDS("CLPA US Equity","SUPPLY_CHAIN_CUSTOMERS","RELATIONSHIP_AS_OF_DATE","19980624")</f>
        <v>#N/A N/A</v>
      </c>
      <c r="KY5" t="str">
        <f>_xll.BDS("AOILQ US Equity","SUPPLY_CHAIN_SUPPLIERS","RELATIONSHIP_AS_OF_DATE","20121003")</f>
        <v>#N/A N/A</v>
      </c>
      <c r="LD5" t="str">
        <f>_xll.BDS("AOILQ US Equity","SUPPLY_CHAIN_CUSTOMERS","RELATIONSHIP_AS_OF_DATE","20121003")</f>
        <v>#N/A N/A</v>
      </c>
      <c r="LI5" t="str">
        <f>_xll.BDS("FTNT US Equity","SUPPLY_CHAIN_SUPPLIERS","RELATIONSHIP_AS_OF_DATE","20150527","cols=1;rows=5")</f>
        <v>2330 TT Equity</v>
      </c>
      <c r="LN5" t="str">
        <f>_xll.BDS("FTNT US Equity","SUPPLY_CHAIN_CUSTOMERS","RELATIONSHIP_AS_OF_DATE","20150527","cols=1;rows=5")</f>
        <v>BABA US Equity</v>
      </c>
      <c r="LS5" t="str">
        <f>_xll.BDS("1413542D US Equity","SUPPLY_CHAIN_SUPPLIERS","RELATIONSHIP_AS_OF_DATE","20010605")</f>
        <v>#N/A N/A</v>
      </c>
      <c r="LX5" t="str">
        <f>_xll.BDS("1413542D US Equity","SUPPLY_CHAIN_CUSTOMERS","RELATIONSHIP_AS_OF_DATE","20010605")</f>
        <v>#N/A N/A</v>
      </c>
      <c r="MC5" t="str">
        <f>_xll.BDS("1518080D US Equity","SUPPLY_CHAIN_SUPPLIERS","RELATIONSHIP_AS_OF_DATE","20010720")</f>
        <v>#N/A N/A</v>
      </c>
      <c r="MH5" t="str">
        <f>_xll.BDS("1518080D US Equity","SUPPLY_CHAIN_CUSTOMERS","RELATIONSHIP_AS_OF_DATE","20010720")</f>
        <v>#N/A N/A</v>
      </c>
      <c r="MM5" t="str">
        <f>_xll.BDS("AWBCQ US Equity","SUPPLY_CHAIN_SUPPLIERS","RELATIONSHIP_AS_OF_DATE","20020328")</f>
        <v>#N/A N/A</v>
      </c>
      <c r="MR5" t="str">
        <f>_xll.BDS("AWBCQ US Equity","SUPPLY_CHAIN_CUSTOMERS","RELATIONSHIP_AS_OF_DATE","20020328")</f>
        <v>#N/A N/A</v>
      </c>
      <c r="MW5" t="str">
        <f>_xll.BDS("1500616D US Equity","SUPPLY_CHAIN_SUPPLIERS","RELATIONSHIP_AS_OF_DATE","20040302")</f>
        <v>#N/A N/A</v>
      </c>
      <c r="NB5" t="str">
        <f>_xll.BDS("1500616D US Equity","SUPPLY_CHAIN_CUSTOMERS","RELATIONSHIP_AS_OF_DATE","20040302")</f>
        <v>#N/A N/A</v>
      </c>
      <c r="NG5" t="str">
        <f>_xll.BDS("VATE US Equity","SUPPLY_CHAIN_SUPPLIERS","RELATIONSHIP_AS_OF_DATE","20101111","cols=1;rows=3")</f>
        <v>000963 CH Equity</v>
      </c>
      <c r="NL5" t="str">
        <f>_xll.BDS("VATE US Equity","SUPPLY_CHAIN_CUSTOMERS","RELATIONSHIP_AS_OF_DATE","20101111","cols=1;rows=2")</f>
        <v>000963 CH Equity</v>
      </c>
      <c r="NQ5" t="str">
        <f>_xll.BDS("TCF US Equity","SUPPLY_CHAIN_SUPPLIERS","RELATIONSHIP_AS_OF_DATE","20010501")</f>
        <v>#N/A N/A</v>
      </c>
      <c r="NV5" t="str">
        <f>_xll.BDS("TCF US Equity","SUPPLY_CHAIN_CUSTOMERS","RELATIONSHIP_AS_OF_DATE","20010501")</f>
        <v>#N/A N/A</v>
      </c>
      <c r="OA5" t="str">
        <f>_xll.BDS("TDY US Equity","SUPPLY_CHAIN_SUPPLIERS","RELATIONSHIP_AS_OF_DATE","20051102","cols=1;rows=5")</f>
        <v>VOYG US Equity</v>
      </c>
      <c r="OF5" t="str">
        <f>_xll.BDS("TDY US Equity","SUPPLY_CHAIN_CUSTOMERS","RELATIONSHIP_AS_OF_DATE","20051102","cols=1;rows=5")</f>
        <v>3352Z US Equity</v>
      </c>
    </row>
    <row r="6" spans="1:396" x14ac:dyDescent="0.25">
      <c r="A6" t="s">
        <v>11095</v>
      </c>
      <c r="F6" t="s">
        <v>1841</v>
      </c>
      <c r="K6" t="s">
        <v>11062</v>
      </c>
      <c r="P6" t="s">
        <v>3060</v>
      </c>
      <c r="EK6" t="s">
        <v>10736</v>
      </c>
      <c r="EP6" t="s">
        <v>10668</v>
      </c>
      <c r="EU6" t="s">
        <v>11095</v>
      </c>
      <c r="EZ6" t="s">
        <v>1841</v>
      </c>
      <c r="GI6" t="s">
        <v>10848</v>
      </c>
      <c r="GN6" t="s">
        <v>10789</v>
      </c>
      <c r="HC6" t="s">
        <v>10696</v>
      </c>
      <c r="HH6" t="s">
        <v>10905</v>
      </c>
      <c r="HW6" t="s">
        <v>11128</v>
      </c>
      <c r="IG6" t="s">
        <v>11080</v>
      </c>
      <c r="JA6" t="s">
        <v>9006</v>
      </c>
      <c r="JF6" t="s">
        <v>10922</v>
      </c>
      <c r="JU6" t="s">
        <v>772</v>
      </c>
      <c r="LI6" t="s">
        <v>11176</v>
      </c>
      <c r="LN6" t="s">
        <v>2881</v>
      </c>
      <c r="NG6" t="s">
        <v>11044</v>
      </c>
      <c r="NL6" t="s">
        <v>11487</v>
      </c>
      <c r="OA6" t="s">
        <v>7220</v>
      </c>
      <c r="OF6" t="s">
        <v>1363</v>
      </c>
    </row>
    <row r="7" spans="1:396" x14ac:dyDescent="0.25">
      <c r="A7" t="s">
        <v>11096</v>
      </c>
      <c r="F7" t="s">
        <v>469</v>
      </c>
      <c r="K7" t="s">
        <v>469</v>
      </c>
      <c r="P7" t="s">
        <v>10928</v>
      </c>
      <c r="EP7" t="s">
        <v>10669</v>
      </c>
      <c r="EU7" t="s">
        <v>11096</v>
      </c>
      <c r="EZ7" t="s">
        <v>469</v>
      </c>
      <c r="GI7" t="s">
        <v>10849</v>
      </c>
      <c r="GN7" t="s">
        <v>41</v>
      </c>
      <c r="HC7" t="s">
        <v>693</v>
      </c>
      <c r="HH7" t="s">
        <v>11143</v>
      </c>
      <c r="HW7" t="s">
        <v>11129</v>
      </c>
      <c r="IG7" t="s">
        <v>11081</v>
      </c>
      <c r="JA7" t="s">
        <v>43</v>
      </c>
      <c r="JF7" t="s">
        <v>65</v>
      </c>
      <c r="JU7" t="s">
        <v>10942</v>
      </c>
      <c r="LI7" t="s">
        <v>6477</v>
      </c>
      <c r="LN7" t="s">
        <v>10680</v>
      </c>
      <c r="NG7" t="s">
        <v>11045</v>
      </c>
      <c r="OA7" t="s">
        <v>10878</v>
      </c>
      <c r="OF7" t="s">
        <v>10939</v>
      </c>
    </row>
    <row r="8" spans="1:396" x14ac:dyDescent="0.25">
      <c r="A8" t="s">
        <v>11097</v>
      </c>
      <c r="F8" t="s">
        <v>11084</v>
      </c>
      <c r="K8" t="s">
        <v>11063</v>
      </c>
      <c r="P8" t="s">
        <v>10925</v>
      </c>
      <c r="EP8" t="s">
        <v>10670</v>
      </c>
      <c r="EU8" t="s">
        <v>11097</v>
      </c>
      <c r="EZ8" t="s">
        <v>11084</v>
      </c>
      <c r="GI8" t="s">
        <v>10850</v>
      </c>
      <c r="GN8" t="s">
        <v>10790</v>
      </c>
      <c r="HC8" t="s">
        <v>260</v>
      </c>
      <c r="HH8" t="s">
        <v>11144</v>
      </c>
      <c r="HW8" t="s">
        <v>11130</v>
      </c>
      <c r="IG8" t="s">
        <v>11082</v>
      </c>
      <c r="JA8" t="s">
        <v>260</v>
      </c>
      <c r="JF8" t="s">
        <v>10923</v>
      </c>
      <c r="JU8" t="s">
        <v>11741</v>
      </c>
      <c r="LI8" t="s">
        <v>11177</v>
      </c>
      <c r="LN8" t="s">
        <v>10672</v>
      </c>
      <c r="OA8" t="s">
        <v>11247</v>
      </c>
      <c r="OF8" t="s">
        <v>274</v>
      </c>
    </row>
    <row r="9" spans="1:396" x14ac:dyDescent="0.25">
      <c r="A9" t="s">
        <v>11098</v>
      </c>
      <c r="F9" t="s">
        <v>266</v>
      </c>
      <c r="K9" t="s">
        <v>11064</v>
      </c>
      <c r="P9" t="s">
        <v>10657</v>
      </c>
      <c r="EP9" t="s">
        <v>10671</v>
      </c>
      <c r="EU9" t="s">
        <v>11098</v>
      </c>
      <c r="EZ9" t="s">
        <v>266</v>
      </c>
      <c r="GI9" t="s">
        <v>10851</v>
      </c>
      <c r="GN9" t="s">
        <v>10791</v>
      </c>
      <c r="HC9" t="s">
        <v>10715</v>
      </c>
      <c r="HH9" t="s">
        <v>10657</v>
      </c>
      <c r="HW9" t="s">
        <v>11131</v>
      </c>
      <c r="IG9" t="s">
        <v>11083</v>
      </c>
      <c r="JA9" t="s">
        <v>682</v>
      </c>
      <c r="JF9" t="s">
        <v>2971</v>
      </c>
      <c r="LI9" t="s">
        <v>279</v>
      </c>
      <c r="LN9" t="s">
        <v>10660</v>
      </c>
      <c r="OA9" t="s">
        <v>155</v>
      </c>
      <c r="OF9" t="s">
        <v>6473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9479</v>
      </c>
      <c r="K1" s="1" t="s">
        <v>9480</v>
      </c>
      <c r="U1" s="1" t="s">
        <v>9481</v>
      </c>
      <c r="AE1" s="1" t="s">
        <v>9482</v>
      </c>
      <c r="AO1" s="1" t="s">
        <v>9483</v>
      </c>
      <c r="AY1" s="1" t="s">
        <v>9484</v>
      </c>
      <c r="BI1" s="1" t="s">
        <v>9485</v>
      </c>
      <c r="BS1" s="1" t="s">
        <v>9486</v>
      </c>
      <c r="CC1" s="1" t="s">
        <v>9487</v>
      </c>
      <c r="CM1" s="1" t="s">
        <v>9488</v>
      </c>
      <c r="CW1" s="1" t="s">
        <v>9489</v>
      </c>
      <c r="DG1" s="1" t="s">
        <v>9490</v>
      </c>
      <c r="DQ1" s="1" t="s">
        <v>9491</v>
      </c>
      <c r="EA1" s="1" t="s">
        <v>9492</v>
      </c>
      <c r="EK1" s="1" t="s">
        <v>9493</v>
      </c>
      <c r="EU1" s="1" t="s">
        <v>9494</v>
      </c>
      <c r="FE1" s="1" t="s">
        <v>9495</v>
      </c>
      <c r="FO1" s="1" t="s">
        <v>9496</v>
      </c>
      <c r="FY1" s="1" t="s">
        <v>9497</v>
      </c>
      <c r="GI1" s="1" t="s">
        <v>9498</v>
      </c>
      <c r="GS1" s="1" t="s">
        <v>9499</v>
      </c>
      <c r="HC1" s="1" t="s">
        <v>9500</v>
      </c>
      <c r="HM1" s="1" t="s">
        <v>9501</v>
      </c>
      <c r="HW1" s="1" t="s">
        <v>9502</v>
      </c>
      <c r="IG1" s="1" t="s">
        <v>9503</v>
      </c>
      <c r="IQ1" s="1" t="s">
        <v>9504</v>
      </c>
      <c r="JA1" s="1" t="s">
        <v>9505</v>
      </c>
      <c r="JK1" s="1" t="s">
        <v>9506</v>
      </c>
      <c r="JU1" s="1" t="s">
        <v>9507</v>
      </c>
      <c r="KE1" s="1" t="s">
        <v>9508</v>
      </c>
      <c r="KO1" s="1" t="s">
        <v>9509</v>
      </c>
      <c r="KY1" s="1" t="s">
        <v>9510</v>
      </c>
      <c r="LI1" s="1" t="s">
        <v>9511</v>
      </c>
      <c r="LS1" s="1" t="s">
        <v>9512</v>
      </c>
      <c r="MC1" s="1" t="s">
        <v>9513</v>
      </c>
      <c r="MM1" s="1" t="s">
        <v>9514</v>
      </c>
      <c r="MW1" s="1" t="s">
        <v>9515</v>
      </c>
      <c r="NG1" s="1" t="s">
        <v>9516</v>
      </c>
      <c r="NQ1" s="1" t="s">
        <v>9517</v>
      </c>
      <c r="OA1" s="1" t="s">
        <v>9518</v>
      </c>
    </row>
    <row r="2" spans="1:396" x14ac:dyDescent="0.25">
      <c r="A2" s="2" t="s">
        <v>9519</v>
      </c>
      <c r="K2" s="2" t="s">
        <v>6001</v>
      </c>
      <c r="U2" s="2" t="s">
        <v>8763</v>
      </c>
      <c r="AE2" s="2" t="s">
        <v>5835</v>
      </c>
      <c r="AO2" s="2" t="s">
        <v>5245</v>
      </c>
      <c r="AY2" s="2" t="s">
        <v>44</v>
      </c>
      <c r="BI2" s="2" t="s">
        <v>387</v>
      </c>
      <c r="BS2" s="2" t="s">
        <v>8083</v>
      </c>
      <c r="CC2" s="2" t="s">
        <v>9520</v>
      </c>
      <c r="CM2" s="2" t="s">
        <v>5323</v>
      </c>
      <c r="CW2" s="2" t="s">
        <v>9521</v>
      </c>
      <c r="DG2" s="2" t="s">
        <v>9522</v>
      </c>
      <c r="DQ2" s="2" t="s">
        <v>5495</v>
      </c>
      <c r="EA2" s="2" t="s">
        <v>8243</v>
      </c>
      <c r="EK2" s="2" t="s">
        <v>4043</v>
      </c>
      <c r="EU2" s="2" t="s">
        <v>9523</v>
      </c>
      <c r="FE2" s="2" t="s">
        <v>9524</v>
      </c>
      <c r="FO2" s="2" t="s">
        <v>990</v>
      </c>
      <c r="FY2" s="2" t="s">
        <v>5587</v>
      </c>
      <c r="GI2" s="2" t="s">
        <v>7228</v>
      </c>
      <c r="GS2" s="2" t="s">
        <v>9525</v>
      </c>
      <c r="HC2" s="2" t="s">
        <v>990</v>
      </c>
      <c r="HM2" s="2" t="s">
        <v>9526</v>
      </c>
      <c r="HW2" s="2" t="s">
        <v>3869</v>
      </c>
      <c r="IG2" s="2" t="s">
        <v>6242</v>
      </c>
      <c r="IQ2" s="2" t="s">
        <v>5157</v>
      </c>
      <c r="JA2" s="2" t="s">
        <v>9527</v>
      </c>
      <c r="JK2" s="2" t="s">
        <v>9077</v>
      </c>
      <c r="JU2" s="2" t="s">
        <v>9528</v>
      </c>
      <c r="KE2" s="2" t="s">
        <v>6064</v>
      </c>
      <c r="KO2" s="2" t="s">
        <v>9529</v>
      </c>
      <c r="KY2" s="2" t="s">
        <v>9530</v>
      </c>
      <c r="LI2" s="2" t="s">
        <v>5747</v>
      </c>
      <c r="LS2" s="2" t="s">
        <v>3070</v>
      </c>
      <c r="MC2" s="2" t="s">
        <v>9531</v>
      </c>
      <c r="MM2" s="2" t="s">
        <v>9532</v>
      </c>
      <c r="MW2" s="2" t="s">
        <v>9533</v>
      </c>
      <c r="NG2" s="2" t="s">
        <v>2607</v>
      </c>
      <c r="NQ2" s="2" t="s">
        <v>9534</v>
      </c>
      <c r="OA2" s="2" t="s">
        <v>2318</v>
      </c>
    </row>
    <row r="3" spans="1:396" x14ac:dyDescent="0.25">
      <c r="A3" t="s">
        <v>4668</v>
      </c>
      <c r="K3" t="s">
        <v>9535</v>
      </c>
      <c r="U3" t="s">
        <v>1872</v>
      </c>
      <c r="AE3" t="s">
        <v>9536</v>
      </c>
      <c r="AO3" t="s">
        <v>9537</v>
      </c>
      <c r="AY3" t="s">
        <v>795</v>
      </c>
      <c r="BI3" t="s">
        <v>6988</v>
      </c>
      <c r="BS3" t="s">
        <v>3799</v>
      </c>
      <c r="CC3" t="s">
        <v>8178</v>
      </c>
      <c r="CM3" t="s">
        <v>9538</v>
      </c>
      <c r="CW3" t="s">
        <v>9539</v>
      </c>
      <c r="DG3" t="s">
        <v>4841</v>
      </c>
      <c r="DQ3" t="s">
        <v>9540</v>
      </c>
      <c r="EA3" t="s">
        <v>193</v>
      </c>
      <c r="EK3" t="s">
        <v>5081</v>
      </c>
      <c r="EU3" t="s">
        <v>9541</v>
      </c>
      <c r="FE3" t="s">
        <v>7774</v>
      </c>
      <c r="FO3" t="s">
        <v>9542</v>
      </c>
      <c r="FY3" t="s">
        <v>5100</v>
      </c>
      <c r="GI3" t="s">
        <v>184</v>
      </c>
      <c r="GS3" t="s">
        <v>9543</v>
      </c>
      <c r="HC3" t="s">
        <v>9544</v>
      </c>
      <c r="HM3" t="s">
        <v>6743</v>
      </c>
      <c r="HW3" t="s">
        <v>9545</v>
      </c>
      <c r="IG3" t="s">
        <v>2140</v>
      </c>
      <c r="IQ3" t="s">
        <v>4247</v>
      </c>
      <c r="JA3" t="s">
        <v>1380</v>
      </c>
      <c r="JK3" t="s">
        <v>6746</v>
      </c>
      <c r="JU3" t="s">
        <v>9546</v>
      </c>
      <c r="KE3" t="s">
        <v>9547</v>
      </c>
      <c r="KO3" t="s">
        <v>3988</v>
      </c>
      <c r="KY3" t="s">
        <v>2551</v>
      </c>
      <c r="LI3" t="s">
        <v>9548</v>
      </c>
      <c r="LS3" t="s">
        <v>9549</v>
      </c>
      <c r="MC3" t="s">
        <v>3087</v>
      </c>
      <c r="MM3" t="s">
        <v>6481</v>
      </c>
      <c r="MW3" t="s">
        <v>9550</v>
      </c>
      <c r="NG3" t="s">
        <v>1860</v>
      </c>
      <c r="NQ3" t="s">
        <v>9551</v>
      </c>
      <c r="OA3" t="s">
        <v>2907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_xll.BDS("FRBA US Equity","SUPPLY_CHAIN_SUPPLIERS","RELATIONSHIP_AS_OF_DATE","20170329")</f>
        <v>#N/A N/A</v>
      </c>
      <c r="F5" t="str">
        <f>_xll.BDS("FRBA US Equity","SUPPLY_CHAIN_CUSTOMERS","RELATIONSHIP_AS_OF_DATE","20170329")</f>
        <v>#N/A N/A</v>
      </c>
      <c r="K5" t="str">
        <f>_xll.BDS("BPFH US Equity","SUPPLY_CHAIN_SUPPLIERS","RELATIONSHIP_AS_OF_DATE","20030710")</f>
        <v>#N/A N/A</v>
      </c>
      <c r="P5" t="str">
        <f>_xll.BDS("BPFH US Equity","SUPPLY_CHAIN_CUSTOMERS","RELATIONSHIP_AS_OF_DATE","20030710")</f>
        <v>#N/A N/A</v>
      </c>
      <c r="U5" t="str">
        <f>_xll.BDS("FBA US Equity","SUPPLY_CHAIN_SUPPLIERS","RELATIONSHIP_AS_OF_DATE","20000628")</f>
        <v>#N/A N/A</v>
      </c>
      <c r="Z5" t="str">
        <f>_xll.BDS("FBA US Equity","SUPPLY_CHAIN_CUSTOMERS","RELATIONSHIP_AS_OF_DATE","20000628")</f>
        <v>#N/A N/A</v>
      </c>
      <c r="AE5" t="str">
        <f>_xll.BDS("UVSP US Equity","SUPPLY_CHAIN_SUPPLIERS","RELATIONSHIP_AS_OF_DATE","20030110")</f>
        <v>#N/A N/A</v>
      </c>
      <c r="AJ5" t="str">
        <f>_xll.BDS("UVSP US Equity","SUPPLY_CHAIN_CUSTOMERS","RELATIONSHIP_AS_OF_DATE","20030110")</f>
        <v>#N/A N/A</v>
      </c>
      <c r="AO5" t="str">
        <f>_xll.BDS("1740293D US Equity","SUPPLY_CHAIN_SUPPLIERS","RELATIONSHIP_AS_OF_DATE","20020919")</f>
        <v>#N/A N/A</v>
      </c>
      <c r="AT5" t="str">
        <f>_xll.BDS("1740293D US Equity","SUPPLY_CHAIN_CUSTOMERS","RELATIONSHIP_AS_OF_DATE","20020919")</f>
        <v>#N/A N/A</v>
      </c>
      <c r="AY5" t="str">
        <f>_xll.BDS("PFE US Equity","SUPPLY_CHAIN_SUPPLIERS","RELATIONSHIP_AS_OF_DATE","20110720","cols=1;rows=5")</f>
        <v>BNTX US Equity</v>
      </c>
      <c r="BD5" t="str">
        <f>_xll.BDS("PFE US Equity","SUPPLY_CHAIN_CUSTOMERS","RELATIONSHIP_AS_OF_DATE","20110720","cols=1;rows=5")</f>
        <v>MCK US Equity</v>
      </c>
      <c r="BI5" t="str">
        <f>_xll.BDS("DHR US Equity","SUPPLY_CHAIN_SUPPLIERS","RELATIONSHIP_AS_OF_DATE","20010516","cols=1;rows=5")</f>
        <v>FLEX US Equity</v>
      </c>
      <c r="BN5" t="str">
        <f>_xll.BDS("DHR US Equity","SUPPLY_CHAIN_CUSTOMERS","RELATIONSHIP_AS_OF_DATE","20010516","cols=1;rows=5")</f>
        <v>CDW US Equity</v>
      </c>
      <c r="BS5" t="str">
        <f>_xll.BDS("CAC US Equity","SUPPLY_CHAIN_SUPPLIERS","RELATIONSHIP_AS_OF_DATE","19990727")</f>
        <v>#N/A N/A</v>
      </c>
      <c r="BX5" t="str">
        <f>_xll.BDS("CAC US Equity","SUPPLY_CHAIN_CUSTOMERS","RELATIONSHIP_AS_OF_DATE","19990727")</f>
        <v>#N/A N/A</v>
      </c>
      <c r="CC5" t="str">
        <f>_xll.BDS("ASYS US Equity","SUPPLY_CHAIN_SUPPLIERS","RELATIONSHIP_AS_OF_DATE","20141022","cols=1;rows=5")</f>
        <v>ES US Equity</v>
      </c>
      <c r="CH5" t="str">
        <f>_xll.BDS("ASYS US Equity","SUPPLY_CHAIN_CUSTOMERS","RELATIONSHIP_AS_OF_DATE","20141022","cols=1;rows=5")</f>
        <v>2426 TT Equity</v>
      </c>
      <c r="CM5" t="str">
        <f>_xll.BDS("BCIC US Equity","SUPPLY_CHAIN_SUPPLIERS","RELATIONSHIP_AS_OF_DATE","20190801")</f>
        <v>#N/A N/A</v>
      </c>
      <c r="CR5" t="str">
        <f>_xll.BDS("BCIC US Equity","SUPPLY_CHAIN_CUSTOMERS","RELATIONSHIP_AS_OF_DATE","20190801")</f>
        <v>#N/A N/A</v>
      </c>
      <c r="CW5" t="str">
        <f>_xll.BDS("CTRE US Equity","SUPPLY_CHAIN_SUPPLIERS","RELATIONSHIP_AS_OF_DATE","20170302")</f>
        <v>#N/A N/A</v>
      </c>
      <c r="DB5" t="str">
        <f>_xll.BDS("CTRE US Equity","SUPPLY_CHAIN_CUSTOMERS","RELATIONSHIP_AS_OF_DATE","20170302","cols=1;rows=5")</f>
        <v>ENSG US Equity</v>
      </c>
      <c r="DG5" t="str">
        <f>_xll.BDS("CZNC US Equity","SUPPLY_CHAIN_SUPPLIERS","RELATIONSHIP_AS_OF_DATE","20061221")</f>
        <v>QTWO US Equity</v>
      </c>
      <c r="DL5" t="str">
        <f>_xll.BDS("CZNC US Equity","SUPPLY_CHAIN_CUSTOMERS","RELATIONSHIP_AS_OF_DATE","20061221")</f>
        <v>#N/A N/A</v>
      </c>
      <c r="DQ5" t="str">
        <f>_xll.BDS("PEBO US Equity","SUPPLY_CHAIN_SUPPLIERS","RELATIONSHIP_AS_OF_DATE","20021202")</f>
        <v>#N/A N/A</v>
      </c>
      <c r="DV5" t="str">
        <f>_xll.BDS("PEBO US Equity","SUPPLY_CHAIN_CUSTOMERS","RELATIONSHIP_AS_OF_DATE","20021202")</f>
        <v>#N/A N/A</v>
      </c>
      <c r="EA5" t="str">
        <f>_xll.BDS("HTLF US Equity","SUPPLY_CHAIN_SUPPLIERS","RELATIONSHIP_AS_OF_DATE","20161031")</f>
        <v>INFA US Equity</v>
      </c>
      <c r="EF5" t="str">
        <f>_xll.BDS("HTLF US Equity","SUPPLY_CHAIN_CUSTOMERS","RELATIONSHIP_AS_OF_DATE","20161031")</f>
        <v>#N/A N/A</v>
      </c>
      <c r="EK5" t="str">
        <f>_xll.BDS("VSH US Equity","SUPPLY_CHAIN_SUPPLIERS","RELATIONSHIP_AS_OF_DATE","20041006","cols=1;rows=5")</f>
        <v>TSEM IT Equity</v>
      </c>
      <c r="EP5" t="str">
        <f>_xll.BDS("VSH US Equity","SUPPLY_CHAIN_CUSTOMERS","RELATIONSHIP_AS_OF_DATE","20041006","cols=1;rows=5")</f>
        <v>BRK/A US Equity</v>
      </c>
      <c r="EU5" t="str">
        <f>_xll.BDS("170874Q US Equity","SUPPLY_CHAIN_SUPPLIERS","RELATIONSHIP_AS_OF_DATE","19960318")</f>
        <v>#N/A N/A</v>
      </c>
      <c r="EZ5" t="str">
        <f>_xll.BDS("170874Q US Equity","SUPPLY_CHAIN_CUSTOMERS","RELATIONSHIP_AS_OF_DATE","19960318")</f>
        <v>#N/A N/A</v>
      </c>
      <c r="FE5" t="str">
        <f>_xll.BDS("BURCA US Equity","SUPPLY_CHAIN_SUPPLIERS","RELATIONSHIP_AS_OF_DATE","19980923")</f>
        <v>#N/A N/A</v>
      </c>
      <c r="FJ5" t="str">
        <f>_xll.BDS("BURCA US Equity","SUPPLY_CHAIN_CUSTOMERS","RELATIONSHIP_AS_OF_DATE","19980923")</f>
        <v>#N/A N/A</v>
      </c>
      <c r="FO5" t="str">
        <f>_xll.BDS("WBS US Equity","SUPPLY_CHAIN_SUPPLIERS","RELATIONSHIP_AS_OF_DATE","20030605","cols=1;rows=2")</f>
        <v>FISV US Equity</v>
      </c>
      <c r="FT5" t="str">
        <f>_xll.BDS("WBS US Equity","SUPPLY_CHAIN_CUSTOMERS","RELATIONSHIP_AS_OF_DATE","20030605")</f>
        <v>CNXN US Equity</v>
      </c>
      <c r="FY5" t="str">
        <f>_xll.BDS("KTOS US Equity","SUPPLY_CHAIN_SUPPLIERS","RELATIONSHIP_AS_OF_DATE","20081124","cols=1;rows=5")</f>
        <v>EMKR US Equity</v>
      </c>
      <c r="GD5" t="str">
        <f>_xll.BDS("KTOS US Equity","SUPPLY_CHAIN_CUSTOMERS","RELATIONSHIP_AS_OF_DATE","20081124","cols=1;rows=5")</f>
        <v>3352Z US Equity</v>
      </c>
      <c r="GI5" t="str">
        <f>_xll.BDS("BMTC US Equity","SUPPLY_CHAIN_SUPPLIERS","RELATIONSHIP_AS_OF_DATE","20091103")</f>
        <v>#N/A N/A</v>
      </c>
      <c r="GN5" t="str">
        <f>_xll.BDS("BMTC US Equity","SUPPLY_CHAIN_CUSTOMERS","RELATIONSHIP_AS_OF_DATE","20091103")</f>
        <v>#N/A N/A</v>
      </c>
      <c r="GS5" t="str">
        <f>_xll.BDS("1022726D US Equity","SUPPLY_CHAIN_SUPPLIERS","RELATIONSHIP_AS_OF_DATE","19990603")</f>
        <v>#N/A N/A</v>
      </c>
      <c r="GX5" t="str">
        <f>_xll.BDS("1022726D US Equity","SUPPLY_CHAIN_CUSTOMERS","RELATIONSHIP_AS_OF_DATE","19990603")</f>
        <v>#N/A N/A</v>
      </c>
      <c r="HC5" t="str">
        <f>_xll.BDS("WBS US Equity","SUPPLY_CHAIN_SUPPLIERS","RELATIONSHIP_AS_OF_DATE","20040719","cols=1;rows=2")</f>
        <v>FISV US Equity</v>
      </c>
      <c r="HH5" t="str">
        <f>_xll.BDS("WBS US Equity","SUPPLY_CHAIN_CUSTOMERS","RELATIONSHIP_AS_OF_DATE","20040719")</f>
        <v>CNXN US Equity</v>
      </c>
      <c r="HM5" t="str">
        <f>_xll.BDS("107436Q US Equity","SUPPLY_CHAIN_SUPPLIERS","RELATIONSHIP_AS_OF_DATE","20001006")</f>
        <v>#N/A N/A</v>
      </c>
      <c r="HR5" t="str">
        <f>_xll.BDS("107436Q US Equity","SUPPLY_CHAIN_CUSTOMERS","RELATIONSHIP_AS_OF_DATE","20001006")</f>
        <v>#N/A N/A</v>
      </c>
      <c r="HW5" t="str">
        <f>_xll.BDS("UNTD US Equity","SUPPLY_CHAIN_SUPPLIERS","RELATIONSHIP_AS_OF_DATE","20010607")</f>
        <v>#N/A N/A</v>
      </c>
      <c r="IB5" t="str">
        <f>_xll.BDS("UNTD US Equity","SUPPLY_CHAIN_CUSTOMERS","RELATIONSHIP_AS_OF_DATE","20010607")</f>
        <v>#N/A N/A</v>
      </c>
      <c r="IG5" t="str">
        <f>_xll.BDS("UFCS US Equity","SUPPLY_CHAIN_SUPPLIERS","RELATIONSHIP_AS_OF_DATE","19990304")</f>
        <v>#N/A N/A</v>
      </c>
      <c r="IL5" t="str">
        <f>_xll.BDS("UFCS US Equity","SUPPLY_CHAIN_CUSTOMERS","RELATIONSHIP_AS_OF_DATE","19990304")</f>
        <v>#N/A N/A</v>
      </c>
      <c r="IQ5" t="str">
        <f>_xll.BDS("BUSE US Equity","SUPPLY_CHAIN_SUPPLIERS","RELATIONSHIP_AS_OF_DATE","19990630")</f>
        <v>#N/A N/A</v>
      </c>
      <c r="IV5" t="str">
        <f>_xll.BDS("BUSE US Equity","SUPPLY_CHAIN_CUSTOMERS","RELATIONSHIP_AS_OF_DATE","19990630")</f>
        <v>#N/A N/A</v>
      </c>
      <c r="JA5" t="str">
        <f>_xll.BDS("PBOC US Equity","SUPPLY_CHAIN_SUPPLIERS","RELATIONSHIP_AS_OF_DATE","19990623")</f>
        <v>#N/A N/A</v>
      </c>
      <c r="JF5" t="str">
        <f>_xll.BDS("PBOC US Equity","SUPPLY_CHAIN_CUSTOMERS","RELATIONSHIP_AS_OF_DATE","19990623")</f>
        <v>#N/A N/A</v>
      </c>
      <c r="JK5" t="str">
        <f>_xll.BDS("229195Q US Equity","SUPPLY_CHAIN_SUPPLIERS","RELATIONSHIP_AS_OF_DATE","19990806")</f>
        <v>#N/A N/A</v>
      </c>
      <c r="JP5" t="str">
        <f>_xll.BDS("229195Q US Equity","SUPPLY_CHAIN_CUSTOMERS","RELATIONSHIP_AS_OF_DATE","19990806")</f>
        <v>#N/A N/A</v>
      </c>
      <c r="JU5" t="str">
        <f>_xll.BDS("PHWDQ US Equity","SUPPLY_CHAIN_SUPPLIERS","RELATIONSHIP_AS_OF_DATE","20080805")</f>
        <v>#N/A N/A</v>
      </c>
      <c r="JZ5" t="str">
        <f>_xll.BDS("PHWDQ US Equity","SUPPLY_CHAIN_CUSTOMERS","RELATIONSHIP_AS_OF_DATE","20080805")</f>
        <v>#N/A N/A</v>
      </c>
      <c r="KE5" t="str">
        <f>_xll.BDS("FCF US Equity","SUPPLY_CHAIN_SUPPLIERS","RELATIONSHIP_AS_OF_DATE","20030808")</f>
        <v>#N/A N/A</v>
      </c>
      <c r="KJ5" t="str">
        <f>_xll.BDS("FCF US Equity","SUPPLY_CHAIN_CUSTOMERS","RELATIONSHIP_AS_OF_DATE","20030808")</f>
        <v>#N/A N/A</v>
      </c>
      <c r="KO5" t="str">
        <f>_xll.BDS("SAKL US Equity","SUPPLY_CHAIN_SUPPLIERS","RELATIONSHIP_AS_OF_DATE","20020215")</f>
        <v>#N/A N/A</v>
      </c>
      <c r="KT5" t="str">
        <f>_xll.BDS("SAKL US Equity","SUPPLY_CHAIN_CUSTOMERS","RELATIONSHIP_AS_OF_DATE","20020215")</f>
        <v>FDX US Equity</v>
      </c>
      <c r="KY5" t="str">
        <f>_xll.BDS("CMBC US Equity","SUPPLY_CHAIN_SUPPLIERS","RELATIONSHIP_AS_OF_DATE","20050422")</f>
        <v>#N/A N/A</v>
      </c>
      <c r="LD5" t="str">
        <f>_xll.BDS("CMBC US Equity","SUPPLY_CHAIN_CUSTOMERS","RELATIONSHIP_AS_OF_DATE","20050422")</f>
        <v>#N/A N/A</v>
      </c>
      <c r="LI5" t="str">
        <f>_xll.BDS("FSCO US Equity","SUPPLY_CHAIN_SUPPLIERS","RELATIONSHIP_AS_OF_DATE","19981230")</f>
        <v>#N/A N/A</v>
      </c>
      <c r="LN5" t="str">
        <f>_xll.BDS("FSCO US Equity","SUPPLY_CHAIN_CUSTOMERS","RELATIONSHIP_AS_OF_DATE","19981230")</f>
        <v>#N/A N/A</v>
      </c>
      <c r="LS5" t="str">
        <f>_xll.BDS("BOKF US Equity","SUPPLY_CHAIN_SUPPLIERS","RELATIONSHIP_AS_OF_DATE","20041221","cols=1;rows=2")</f>
        <v>BLND US Equity</v>
      </c>
      <c r="LX5" t="str">
        <f>_xll.BDS("BOKF US Equity","SUPPLY_CHAIN_CUSTOMERS","RELATIONSHIP_AS_OF_DATE","20041221")</f>
        <v>#N/A N/A</v>
      </c>
      <c r="MC5" t="str">
        <f>_xll.BDS("FTFC US Equity","SUPPLY_CHAIN_SUPPLIERS","RELATIONSHIP_AS_OF_DATE","20010523")</f>
        <v>#N/A N/A</v>
      </c>
      <c r="MH5" t="str">
        <f>_xll.BDS("FTFC US Equity","SUPPLY_CHAIN_CUSTOMERS","RELATIONSHIP_AS_OF_DATE","20010523")</f>
        <v>#N/A N/A</v>
      </c>
      <c r="MM5" t="str">
        <f>_xll.BDS("PCBC US Equity","SUPPLY_CHAIN_SUPPLIERS","RELATIONSHIP_AS_OF_DATE","20151217")</f>
        <v>#N/A N/A</v>
      </c>
      <c r="MR5" t="str">
        <f>_xll.BDS("PCBC US Equity","SUPPLY_CHAIN_CUSTOMERS","RELATIONSHIP_AS_OF_DATE","20151217")</f>
        <v>#N/A N/A</v>
      </c>
      <c r="MW5" t="str">
        <f>_xll.BDS("TEUM US Equity","SUPPLY_CHAIN_SUPPLIERS","RELATIONSHIP_AS_OF_DATE","20181112","cols=1;rows=5")</f>
        <v>0569101D LN Equity</v>
      </c>
      <c r="NB5" t="str">
        <f>_xll.BDS("TEUM US Equity","SUPPLY_CHAIN_CUSTOMERS","RELATIONSHIP_AS_OF_DATE","20181112")</f>
        <v>#N/A N/A</v>
      </c>
      <c r="NG5" t="str">
        <f>_xll.BDS("IDTI US Equity","SUPPLY_CHAIN_SUPPLIERS","RELATIONSHIP_AS_OF_DATE","19981102")</f>
        <v>#N/A N/A</v>
      </c>
      <c r="NL5" t="str">
        <f>_xll.BDS("IDTI US Equity","SUPPLY_CHAIN_CUSTOMERS","RELATIONSHIP_AS_OF_DATE","19981102")</f>
        <v>#N/A N/A</v>
      </c>
      <c r="NQ5" t="str">
        <f>_xll.BDS("IDT US Equity","SUPPLY_CHAIN_SUPPLIERS","RELATIONSHIP_AS_OF_DATE","20060217","cols=1;rows=5")</f>
        <v>IDWM US Equity</v>
      </c>
      <c r="NV5" t="str">
        <f>_xll.BDS("IDT US Equity","SUPPLY_CHAIN_CUSTOMERS","RELATIONSHIP_AS_OF_DATE","20060217","cols=1;rows=5")</f>
        <v>GNE US Equity</v>
      </c>
      <c r="OA5" t="str">
        <f>_xll.BDS("GWR US Equity","SUPPLY_CHAIN_SUPPLIERS","RELATIONSHIP_AS_OF_DATE","20011203","cols=1;rows=5")</f>
        <v>AEE US Equity</v>
      </c>
      <c r="OF5" t="str">
        <f>_xll.BDS("GWR US Equity","SUPPLY_CHAIN_CUSTOMERS","RELATIONSHIP_AS_OF_DATE","20011203")</f>
        <v>SDSYA US Equity</v>
      </c>
    </row>
    <row r="6" spans="1:396" x14ac:dyDescent="0.25">
      <c r="AY6" t="s">
        <v>171</v>
      </c>
      <c r="BD6" t="s">
        <v>1468</v>
      </c>
      <c r="BI6" t="s">
        <v>10735</v>
      </c>
      <c r="BN6" t="s">
        <v>2881</v>
      </c>
      <c r="CC6" t="s">
        <v>10809</v>
      </c>
      <c r="CH6" t="s">
        <v>11024</v>
      </c>
      <c r="DB6" t="s">
        <v>11381</v>
      </c>
      <c r="EK6" t="s">
        <v>10727</v>
      </c>
      <c r="EP6" t="s">
        <v>6473</v>
      </c>
      <c r="FO6" t="s">
        <v>10739</v>
      </c>
      <c r="FY6" t="s">
        <v>11086</v>
      </c>
      <c r="GD6" t="s">
        <v>388</v>
      </c>
      <c r="HC6" t="s">
        <v>10739</v>
      </c>
      <c r="LS6" t="s">
        <v>10739</v>
      </c>
      <c r="MW6" t="s">
        <v>11692</v>
      </c>
      <c r="NQ6" t="s">
        <v>10723</v>
      </c>
      <c r="NV6" t="s">
        <v>10679</v>
      </c>
      <c r="OA6" t="s">
        <v>10696</v>
      </c>
    </row>
    <row r="7" spans="1:396" x14ac:dyDescent="0.25">
      <c r="AY7" t="s">
        <v>10816</v>
      </c>
      <c r="BD7" t="s">
        <v>970</v>
      </c>
      <c r="BI7" t="s">
        <v>273</v>
      </c>
      <c r="BN7" t="s">
        <v>10661</v>
      </c>
      <c r="CC7" t="s">
        <v>10957</v>
      </c>
      <c r="CH7" t="s">
        <v>11025</v>
      </c>
      <c r="DB7" t="s">
        <v>11382</v>
      </c>
      <c r="EK7" t="s">
        <v>10728</v>
      </c>
      <c r="EP7" t="s">
        <v>3519</v>
      </c>
      <c r="FY7" t="s">
        <v>11087</v>
      </c>
      <c r="GD7" t="s">
        <v>10785</v>
      </c>
      <c r="MW7" t="s">
        <v>11693</v>
      </c>
      <c r="NQ7" t="s">
        <v>10724</v>
      </c>
      <c r="NV7" t="s">
        <v>10680</v>
      </c>
      <c r="OA7" t="s">
        <v>1265</v>
      </c>
    </row>
    <row r="8" spans="1:396" x14ac:dyDescent="0.25">
      <c r="AY8" t="s">
        <v>43</v>
      </c>
      <c r="BD8" t="s">
        <v>43</v>
      </c>
      <c r="BI8" t="s">
        <v>6320</v>
      </c>
      <c r="BN8" t="s">
        <v>10662</v>
      </c>
      <c r="CC8" t="s">
        <v>10717</v>
      </c>
      <c r="CH8" t="s">
        <v>11026</v>
      </c>
      <c r="DB8" t="s">
        <v>11383</v>
      </c>
      <c r="EK8" t="s">
        <v>10729</v>
      </c>
      <c r="EP8" t="s">
        <v>10658</v>
      </c>
      <c r="FY8" t="s">
        <v>10696</v>
      </c>
      <c r="GD8" t="s">
        <v>42</v>
      </c>
      <c r="MW8" t="s">
        <v>11694</v>
      </c>
      <c r="NQ8" t="s">
        <v>10678</v>
      </c>
      <c r="NV8" t="s">
        <v>10681</v>
      </c>
      <c r="OA8" t="s">
        <v>10977</v>
      </c>
    </row>
    <row r="9" spans="1:396" x14ac:dyDescent="0.25">
      <c r="AY9" t="s">
        <v>10817</v>
      </c>
      <c r="BD9" t="s">
        <v>10657</v>
      </c>
      <c r="BI9" t="s">
        <v>1654</v>
      </c>
      <c r="BN9" t="s">
        <v>10663</v>
      </c>
      <c r="CC9" t="s">
        <v>10811</v>
      </c>
      <c r="CH9" t="s">
        <v>11027</v>
      </c>
      <c r="DB9" t="s">
        <v>11384</v>
      </c>
      <c r="EK9" t="s">
        <v>10730</v>
      </c>
      <c r="EP9" t="s">
        <v>10659</v>
      </c>
      <c r="FY9" t="s">
        <v>1265</v>
      </c>
      <c r="GD9" t="s">
        <v>1363</v>
      </c>
      <c r="MW9" t="s">
        <v>11695</v>
      </c>
      <c r="NQ9" t="s">
        <v>10725</v>
      </c>
      <c r="NV9" t="s">
        <v>10682</v>
      </c>
      <c r="OA9" t="s">
        <v>8925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9552</v>
      </c>
      <c r="K1" s="1" t="s">
        <v>9553</v>
      </c>
      <c r="U1" s="1" t="s">
        <v>9554</v>
      </c>
      <c r="AE1" s="1" t="s">
        <v>9555</v>
      </c>
      <c r="AO1" s="1" t="s">
        <v>9556</v>
      </c>
      <c r="AY1" s="1" t="s">
        <v>9557</v>
      </c>
      <c r="BI1" s="1" t="s">
        <v>9558</v>
      </c>
      <c r="BS1" s="1" t="s">
        <v>9559</v>
      </c>
      <c r="CC1" s="1" t="s">
        <v>9560</v>
      </c>
      <c r="CM1" s="1" t="s">
        <v>9561</v>
      </c>
      <c r="CW1" s="1" t="s">
        <v>9562</v>
      </c>
      <c r="DG1" s="1" t="s">
        <v>9563</v>
      </c>
      <c r="DQ1" s="1" t="s">
        <v>9564</v>
      </c>
      <c r="EA1" s="1" t="s">
        <v>9565</v>
      </c>
      <c r="EK1" s="1" t="s">
        <v>9566</v>
      </c>
      <c r="EU1" s="1" t="s">
        <v>9567</v>
      </c>
      <c r="FE1" s="1" t="s">
        <v>9568</v>
      </c>
      <c r="FO1" s="1" t="s">
        <v>9569</v>
      </c>
      <c r="FY1" s="1" t="s">
        <v>9570</v>
      </c>
      <c r="GI1" s="1" t="s">
        <v>9571</v>
      </c>
      <c r="GS1" s="1" t="s">
        <v>9572</v>
      </c>
      <c r="HC1" s="1" t="s">
        <v>9573</v>
      </c>
      <c r="HM1" s="1" t="s">
        <v>9574</v>
      </c>
      <c r="HW1" s="1" t="s">
        <v>9575</v>
      </c>
      <c r="IG1" s="1" t="s">
        <v>9576</v>
      </c>
      <c r="IQ1" s="1" t="s">
        <v>9577</v>
      </c>
      <c r="JA1" s="1" t="s">
        <v>9578</v>
      </c>
      <c r="JK1" s="1" t="s">
        <v>9579</v>
      </c>
      <c r="JU1" s="1" t="s">
        <v>9580</v>
      </c>
      <c r="KE1" s="1" t="s">
        <v>9581</v>
      </c>
      <c r="KO1" s="1" t="s">
        <v>9582</v>
      </c>
      <c r="KY1" s="1" t="s">
        <v>9583</v>
      </c>
      <c r="LI1" s="1" t="s">
        <v>9584</v>
      </c>
      <c r="LS1" s="1" t="s">
        <v>9585</v>
      </c>
      <c r="MC1" s="1" t="s">
        <v>9586</v>
      </c>
      <c r="MM1" s="1" t="s">
        <v>9587</v>
      </c>
      <c r="MW1" s="1" t="s">
        <v>9588</v>
      </c>
      <c r="NG1" s="1" t="s">
        <v>9589</v>
      </c>
      <c r="NQ1" s="1" t="s">
        <v>9590</v>
      </c>
      <c r="OA1" s="1" t="s">
        <v>9591</v>
      </c>
    </row>
    <row r="2" spans="1:396" x14ac:dyDescent="0.25">
      <c r="A2" s="2" t="s">
        <v>9592</v>
      </c>
      <c r="K2" s="2" t="s">
        <v>9593</v>
      </c>
      <c r="U2" s="2" t="s">
        <v>7697</v>
      </c>
      <c r="AE2" s="2" t="s">
        <v>2209</v>
      </c>
      <c r="AO2" s="2" t="s">
        <v>3340</v>
      </c>
      <c r="AY2" s="2" t="s">
        <v>9594</v>
      </c>
      <c r="BI2" s="2" t="s">
        <v>1083</v>
      </c>
      <c r="BS2" s="2" t="s">
        <v>2793</v>
      </c>
      <c r="CC2" s="2" t="s">
        <v>9595</v>
      </c>
      <c r="CM2" s="2" t="s">
        <v>5074</v>
      </c>
      <c r="CW2" s="2" t="s">
        <v>9596</v>
      </c>
      <c r="DG2" s="2" t="s">
        <v>8088</v>
      </c>
      <c r="DQ2" s="2" t="s">
        <v>57</v>
      </c>
      <c r="EA2" s="2" t="s">
        <v>9597</v>
      </c>
      <c r="EK2" s="2" t="s">
        <v>9598</v>
      </c>
      <c r="EU2" s="2" t="s">
        <v>5833</v>
      </c>
      <c r="FE2" s="2" t="s">
        <v>6244</v>
      </c>
      <c r="FO2" s="2" t="s">
        <v>9599</v>
      </c>
      <c r="FY2" s="2" t="s">
        <v>9600</v>
      </c>
      <c r="GI2" s="2" t="s">
        <v>9601</v>
      </c>
      <c r="GS2" s="2" t="s">
        <v>1264</v>
      </c>
      <c r="HC2" s="2" t="s">
        <v>4820</v>
      </c>
      <c r="HM2" s="2" t="s">
        <v>9602</v>
      </c>
      <c r="HW2" s="2" t="s">
        <v>1642</v>
      </c>
      <c r="IG2" s="2" t="s">
        <v>9603</v>
      </c>
      <c r="IQ2" s="2" t="s">
        <v>9604</v>
      </c>
      <c r="JA2" s="2" t="s">
        <v>9605</v>
      </c>
      <c r="JK2" s="2" t="s">
        <v>9606</v>
      </c>
      <c r="JU2" s="2" t="s">
        <v>471</v>
      </c>
      <c r="KE2" s="2" t="s">
        <v>9607</v>
      </c>
      <c r="KO2" s="2" t="s">
        <v>8768</v>
      </c>
      <c r="KY2" s="2" t="s">
        <v>9608</v>
      </c>
      <c r="LI2" s="2" t="s">
        <v>3530</v>
      </c>
      <c r="LS2" s="2" t="s">
        <v>9609</v>
      </c>
      <c r="MC2" s="2" t="s">
        <v>4723</v>
      </c>
      <c r="MM2" s="2" t="s">
        <v>9610</v>
      </c>
      <c r="MW2" s="2" t="s">
        <v>9611</v>
      </c>
      <c r="NG2" s="2" t="s">
        <v>669</v>
      </c>
      <c r="NQ2" s="2" t="s">
        <v>4985</v>
      </c>
      <c r="OA2" s="2" t="s">
        <v>3530</v>
      </c>
    </row>
    <row r="3" spans="1:396" x14ac:dyDescent="0.25">
      <c r="A3" t="s">
        <v>9612</v>
      </c>
      <c r="K3" t="s">
        <v>8409</v>
      </c>
      <c r="U3" t="s">
        <v>9613</v>
      </c>
      <c r="AE3" t="s">
        <v>8712</v>
      </c>
      <c r="AO3" t="s">
        <v>9614</v>
      </c>
      <c r="AY3" t="s">
        <v>7774</v>
      </c>
      <c r="BI3" t="s">
        <v>9615</v>
      </c>
      <c r="BS3" t="s">
        <v>9616</v>
      </c>
      <c r="CC3" t="s">
        <v>6826</v>
      </c>
      <c r="CM3" t="s">
        <v>7563</v>
      </c>
      <c r="CW3" t="s">
        <v>3078</v>
      </c>
      <c r="DG3" t="s">
        <v>9617</v>
      </c>
      <c r="DQ3" t="s">
        <v>9618</v>
      </c>
      <c r="EA3" t="s">
        <v>9619</v>
      </c>
      <c r="EK3" t="s">
        <v>9620</v>
      </c>
      <c r="EU3" t="s">
        <v>7483</v>
      </c>
      <c r="FE3" t="s">
        <v>9621</v>
      </c>
      <c r="FO3" t="s">
        <v>76</v>
      </c>
      <c r="FY3" t="s">
        <v>9622</v>
      </c>
      <c r="GI3" t="s">
        <v>9623</v>
      </c>
      <c r="GS3" t="s">
        <v>9624</v>
      </c>
      <c r="HC3" t="s">
        <v>9625</v>
      </c>
      <c r="HM3" t="s">
        <v>9626</v>
      </c>
      <c r="HW3" t="s">
        <v>9627</v>
      </c>
      <c r="IG3" t="s">
        <v>6831</v>
      </c>
      <c r="IQ3" t="s">
        <v>1578</v>
      </c>
      <c r="JA3" t="s">
        <v>3741</v>
      </c>
      <c r="JK3" t="s">
        <v>8864</v>
      </c>
      <c r="JU3" t="s">
        <v>427</v>
      </c>
      <c r="KE3" t="s">
        <v>9628</v>
      </c>
      <c r="KO3" t="s">
        <v>9629</v>
      </c>
      <c r="KY3" t="s">
        <v>9630</v>
      </c>
      <c r="LI3" t="s">
        <v>9631</v>
      </c>
      <c r="LS3" t="s">
        <v>8029</v>
      </c>
      <c r="MC3" t="s">
        <v>9632</v>
      </c>
      <c r="MM3" t="s">
        <v>4573</v>
      </c>
      <c r="MW3" t="s">
        <v>6749</v>
      </c>
      <c r="NG3" t="s">
        <v>6644</v>
      </c>
      <c r="NQ3" t="s">
        <v>9633</v>
      </c>
      <c r="OA3" t="s">
        <v>3726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_xll.BDS("ACPIQ US Equity","SUPPLY_CHAIN_SUPPLIERS","RELATIONSHIP_AS_OF_DATE","20000209")</f>
        <v>#N/A N/A</v>
      </c>
      <c r="F5" t="str">
        <f>_xll.BDS("ACPIQ US Equity","SUPPLY_CHAIN_CUSTOMERS","RELATIONSHIP_AS_OF_DATE","20000209")</f>
        <v>#N/A N/A</v>
      </c>
      <c r="K5" t="str">
        <f>_xll.BDS("304352Q US Equity","SUPPLY_CHAIN_SUPPLIERS","RELATIONSHIP_AS_OF_DATE","19980424")</f>
        <v>#N/A N/A</v>
      </c>
      <c r="P5" t="str">
        <f>_xll.BDS("304352Q US Equity","SUPPLY_CHAIN_CUSTOMERS","RELATIONSHIP_AS_OF_DATE","19980424")</f>
        <v>#N/A N/A</v>
      </c>
      <c r="U5" t="str">
        <f>_xll.BDS("COFS US Equity","SUPPLY_CHAIN_SUPPLIERS","RELATIONSHIP_AS_OF_DATE","20060426")</f>
        <v>#N/A N/A</v>
      </c>
      <c r="Z5" t="str">
        <f>_xll.BDS("COFS US Equity","SUPPLY_CHAIN_CUSTOMERS","RELATIONSHIP_AS_OF_DATE","20060426")</f>
        <v>#N/A N/A</v>
      </c>
      <c r="AE5" t="str">
        <f>_xll.BDS("STL US Equity","SUPPLY_CHAIN_SUPPLIERS","RELATIONSHIP_AS_OF_DATE","20011102")</f>
        <v>#N/A N/A</v>
      </c>
      <c r="AJ5" t="str">
        <f>_xll.BDS("STL US Equity","SUPPLY_CHAIN_CUSTOMERS","RELATIONSHIP_AS_OF_DATE","20011102")</f>
        <v>#N/A N/A</v>
      </c>
      <c r="AO5" t="str">
        <f>_xll.BDS("EVRI US Equity","SUPPLY_CHAIN_SUPPLIERS","RELATIONSHIP_AS_OF_DATE","20080616","cols=1;rows=5")</f>
        <v>0384054D US Equity</v>
      </c>
      <c r="AT5" t="str">
        <f>_xll.BDS("EVRI US Equity","SUPPLY_CHAIN_CUSTOMERS","RELATIONSHIP_AS_OF_DATE","20080616","cols=1;rows=5")</f>
        <v>1730532D US Equity</v>
      </c>
      <c r="AY5" t="str">
        <f>_xll.BDS("3542013Q US Equity","SUPPLY_CHAIN_SUPPLIERS","RELATIONSHIP_AS_OF_DATE","19980923")</f>
        <v>#N/A N/A</v>
      </c>
      <c r="BD5" t="str">
        <f>_xll.BDS("3542013Q US Equity","SUPPLY_CHAIN_CUSTOMERS","RELATIONSHIP_AS_OF_DATE","19980923")</f>
        <v>#N/A N/A</v>
      </c>
      <c r="BI5" t="str">
        <f>_xll.BDS("MNKTQ US Equity","SUPPLY_CHAIN_SUPPLIERS","RELATIONSHIP_AS_OF_DATE","20171102","cols=1;rows=5")</f>
        <v>CAP FP Equity</v>
      </c>
      <c r="BN5" t="str">
        <f>_xll.BDS("MNKTQ US Equity","SUPPLY_CHAIN_CUSTOMERS","RELATIONSHIP_AS_OF_DATE","20171102","cols=1;rows=5")</f>
        <v>102460 KS Equity</v>
      </c>
      <c r="BS5" t="str">
        <f>_xll.BDS("1919709D US Equity","SUPPLY_CHAIN_SUPPLIERS","RELATIONSHIP_AS_OF_DATE","20120511")</f>
        <v>#N/A N/A</v>
      </c>
      <c r="BX5" t="str">
        <f>_xll.BDS("1919709D US Equity","SUPPLY_CHAIN_CUSTOMERS","RELATIONSHIP_AS_OF_DATE","20120511")</f>
        <v>#N/A N/A</v>
      </c>
      <c r="CC5" t="str">
        <f>_xll.BDS("CMHDA US Equity","SUPPLY_CHAIN_SUPPLIERS","RELATIONSHIP_AS_OF_DATE","19980604")</f>
        <v>#N/A N/A</v>
      </c>
      <c r="CH5" t="str">
        <f>_xll.BDS("CMHDA US Equity","SUPPLY_CHAIN_CUSTOMERS","RELATIONSHIP_AS_OF_DATE","19980604")</f>
        <v>#N/A N/A</v>
      </c>
      <c r="CM5" t="str">
        <f>_xll.BDS("LGND US Equity","SUPPLY_CHAIN_SUPPLIERS","RELATIONSHIP_AS_OF_DATE","20080924","cols=1;rows=5")</f>
        <v>1108Z PL Equity</v>
      </c>
      <c r="CR5" t="str">
        <f>_xll.BDS("LGND US Equity","SUPPLY_CHAIN_CUSTOMERS","RELATIONSHIP_AS_OF_DATE","20080924","cols=1;rows=5")</f>
        <v>AMGN US Equity</v>
      </c>
      <c r="CW5" t="str">
        <f>_xll.BDS("STMH US Equity","SUPPLY_CHAIN_SUPPLIERS","RELATIONSHIP_AS_OF_DATE","20201006")</f>
        <v>#N/A N/A</v>
      </c>
      <c r="DB5" t="str">
        <f>_xll.BDS("STMH US Equity","SUPPLY_CHAIN_CUSTOMERS","RELATIONSHIP_AS_OF_DATE","20201006")</f>
        <v>#N/A N/A</v>
      </c>
      <c r="DG5" t="str">
        <f>_xll.BDS("FCBC US Equity","SUPPLY_CHAIN_SUPPLIERS","RELATIONSHIP_AS_OF_DATE","20080731")</f>
        <v>#N/A N/A</v>
      </c>
      <c r="DL5" t="str">
        <f>_xll.BDS("FCBC US Equity","SUPPLY_CHAIN_CUSTOMERS","RELATIONSHIP_AS_OF_DATE","20080731")</f>
        <v>#N/A N/A</v>
      </c>
      <c r="DQ5" t="str">
        <f>_xll.BDS("BAC US Equity","SUPPLY_CHAIN_SUPPLIERS","RELATIONSHIP_AS_OF_DATE","19960215","cols=1;rows=5")</f>
        <v>ORCL US Equity</v>
      </c>
      <c r="DV5" t="str">
        <f>_xll.BDS("BAC US Equity","SUPPLY_CHAIN_CUSTOMERS","RELATIONSHIP_AS_OF_DATE","19960215","cols=1;rows=4")</f>
        <v>3147564Z US Equity</v>
      </c>
      <c r="EA5" t="str">
        <f>_xll.BDS("FFSX US Equity","SUPPLY_CHAIN_SUPPLIERS","RELATIONSHIP_AS_OF_DATE","19980818")</f>
        <v>#N/A N/A</v>
      </c>
      <c r="EF5" t="str">
        <f>_xll.BDS("FFSX US Equity","SUPPLY_CHAIN_CUSTOMERS","RELATIONSHIP_AS_OF_DATE","19980818")</f>
        <v>#N/A N/A</v>
      </c>
      <c r="EK5" t="str">
        <f>_xll.BDS("2071296D US Equity","SUPPLY_CHAIN_SUPPLIERS","RELATIONSHIP_AS_OF_DATE","20090827")</f>
        <v>#N/A N/A</v>
      </c>
      <c r="EP5" t="str">
        <f>_xll.BDS("2071296D US Equity","SUPPLY_CHAIN_CUSTOMERS","RELATIONSHIP_AS_OF_DATE","20090827")</f>
        <v>#N/A N/A</v>
      </c>
      <c r="EU5" t="str">
        <f>_xll.BDS("LFGRQ US Equity","SUPPLY_CHAIN_SUPPLIERS","RELATIONSHIP_AS_OF_DATE","20030425")</f>
        <v>#N/A N/A</v>
      </c>
      <c r="EZ5" t="str">
        <f>_xll.BDS("LFGRQ US Equity","SUPPLY_CHAIN_CUSTOMERS","RELATIONSHIP_AS_OF_DATE","20030425")</f>
        <v>#N/A N/A</v>
      </c>
      <c r="FE5" t="str">
        <f>_xll.BDS("BBT US Equity","SUPPLY_CHAIN_SUPPLIERS","RELATIONSHIP_AS_OF_DATE","20111025")</f>
        <v>#N/A N/A</v>
      </c>
      <c r="FJ5" t="str">
        <f>_xll.BDS("BBT US Equity","SUPPLY_CHAIN_CUSTOMERS","RELATIONSHIP_AS_OF_DATE","20111025")</f>
        <v>#N/A N/A</v>
      </c>
      <c r="FO5" t="str">
        <f>_xll.BDS("2636831Q US Equity","SUPPLY_CHAIN_SUPPLIERS","RELATIONSHIP_AS_OF_DATE","19991104")</f>
        <v>#N/A N/A</v>
      </c>
      <c r="FT5" t="str">
        <f>_xll.BDS("2636831Q US Equity","SUPPLY_CHAIN_CUSTOMERS","RELATIONSHIP_AS_OF_DATE","19991104")</f>
        <v>#N/A N/A</v>
      </c>
      <c r="FY5" t="str">
        <f>_xll.BDS("724309Q US Equity","SUPPLY_CHAIN_SUPPLIERS","RELATIONSHIP_AS_OF_DATE","20011114")</f>
        <v>#N/A N/A</v>
      </c>
      <c r="GD5" t="str">
        <f>_xll.BDS("724309Q US Equity","SUPPLY_CHAIN_CUSTOMERS","RELATIONSHIP_AS_OF_DATE","20011114")</f>
        <v>#N/A N/A</v>
      </c>
      <c r="GI5" t="str">
        <f>_xll.BDS("LUCK US Equity","SUPPLY_CHAIN_SUPPLIERS","RELATIONSHIP_AS_OF_DATE","20210528","cols=1;rows=3")</f>
        <v>REG US Equity</v>
      </c>
      <c r="GN5" t="str">
        <f>_xll.BDS("LUCK US Equity","SUPPLY_CHAIN_CUSTOMERS","RELATIONSHIP_AS_OF_DATE","20210528")</f>
        <v>#N/A N/A</v>
      </c>
      <c r="GS5" t="str">
        <f>_xll.BDS("ATBA AV Equity","SUPPLY_CHAIN_SUPPLIERS","RELATIONSHIP_AS_OF_DATE","20110518","cols=1;rows=5")</f>
        <v>000676 CH Equity</v>
      </c>
      <c r="GX5" t="str">
        <f>_xll.BDS("ATBA AV Equity","SUPPLY_CHAIN_CUSTOMERS","RELATIONSHIP_AS_OF_DATE","20110518","cols=1;rows=5")</f>
        <v>066570 KS Equity</v>
      </c>
      <c r="HC5" t="str">
        <f>_xll.BDS("PRK US Equity","SUPPLY_CHAIN_SUPPLIERS","RELATIONSHIP_AS_OF_DATE","20180913")</f>
        <v>WK US Equity</v>
      </c>
      <c r="HH5" t="str">
        <f>_xll.BDS("PRK US Equity","SUPPLY_CHAIN_CUSTOMERS","RELATIONSHIP_AS_OF_DATE","20180913")</f>
        <v>#N/A N/A</v>
      </c>
      <c r="HM5" t="str">
        <f>_xll.BDS("OPAY US Equity","SUPPLY_CHAIN_SUPPLIERS","RELATIONSHIP_AS_OF_DATE","20020531")</f>
        <v>#N/A N/A</v>
      </c>
      <c r="HR5" t="str">
        <f>_xll.BDS("OPAY US Equity","SUPPLY_CHAIN_CUSTOMERS","RELATIONSHIP_AS_OF_DATE","20020531")</f>
        <v>#N/A N/A</v>
      </c>
      <c r="HW5" t="str">
        <f>_xll.BDS("SSB US Equity","SUPPLY_CHAIN_SUPPLIERS","RELATIONSHIP_AS_OF_DATE","20111220","cols=1;rows=4")</f>
        <v>BLND US Equity</v>
      </c>
      <c r="IB5" t="str">
        <f>_xll.BDS("SSB US Equity","SUPPLY_CHAIN_CUSTOMERS","RELATIONSHIP_AS_OF_DATE","20111220")</f>
        <v>#N/A N/A</v>
      </c>
      <c r="IG5" t="str">
        <f>_xll.BDS("CLKS US Equity","SUPPLY_CHAIN_SUPPLIERS","RELATIONSHIP_AS_OF_DATE","20031021")</f>
        <v>#N/A N/A</v>
      </c>
      <c r="IL5" t="str">
        <f>_xll.BDS("CLKS US Equity","SUPPLY_CHAIN_CUSTOMERS","RELATIONSHIP_AS_OF_DATE","20031021")</f>
        <v>#N/A N/A</v>
      </c>
      <c r="IQ5" t="str">
        <f>_xll.BDS("SBN US Equity","SUPPLY_CHAIN_SUPPLIERS","RELATIONSHIP_AS_OF_DATE","20060803")</f>
        <v>#N/A N/A</v>
      </c>
      <c r="IV5" t="str">
        <f>_xll.BDS("SBN US Equity","SUPPLY_CHAIN_CUSTOMERS","RELATIONSHIP_AS_OF_DATE","20060803")</f>
        <v>#N/A N/A</v>
      </c>
      <c r="JA5" t="str">
        <f>_xll.BDS("RPTP US Equity","SUPPLY_CHAIN_SUPPLIERS","RELATIONSHIP_AS_OF_DATE","20090728")</f>
        <v>#N/A N/A</v>
      </c>
      <c r="JF5" t="str">
        <f>_xll.BDS("RPTP US Equity","SUPPLY_CHAIN_CUSTOMERS","RELATIONSHIP_AS_OF_DATE","20090728")</f>
        <v>#N/A N/A</v>
      </c>
      <c r="JK5" t="str">
        <f>_xll.BDS("ANIP US Equity","SUPPLY_CHAIN_SUPPLIERS","RELATIONSHIP_AS_OF_DATE","20090630","cols=1;rows=5")</f>
        <v>EYPT US Equity</v>
      </c>
      <c r="JP5" t="str">
        <f>_xll.BDS("ANIP US Equity","SUPPLY_CHAIN_CUSTOMERS","RELATIONSHIP_AS_OF_DATE","20090630","cols=1;rows=5")</f>
        <v>0608872D US Equity</v>
      </c>
      <c r="JU5" t="str">
        <f>_xll.BDS("BHC CN Equity","SUPPLY_CHAIN_SUPPLIERS","RELATIONSHIP_AS_OF_DATE","20150713","cols=1;rows=5")</f>
        <v>ATR US Equity</v>
      </c>
      <c r="JZ5" t="str">
        <f>_xll.BDS("BHC CN Equity","SUPPLY_CHAIN_CUSTOMERS","RELATIONSHIP_AS_OF_DATE","20150713","cols=1;rows=5")</f>
        <v>COR US Equity</v>
      </c>
      <c r="KE5" t="str">
        <f>_xll.BDS("PREM US Equity","SUPPLY_CHAIN_SUPPLIERS","RELATIONSHIP_AS_OF_DATE","20060113")</f>
        <v>#N/A N/A</v>
      </c>
      <c r="KJ5" t="str">
        <f>_xll.BDS("PREM US Equity","SUPPLY_CHAIN_CUSTOMERS","RELATIONSHIP_AS_OF_DATE","20060113")</f>
        <v>#N/A N/A</v>
      </c>
      <c r="KO5" t="str">
        <f>_xll.BDS("FCCO US Equity","SUPPLY_CHAIN_SUPPLIERS","RELATIONSHIP_AS_OF_DATE","20170412")</f>
        <v>#N/A N/A</v>
      </c>
      <c r="KT5" t="str">
        <f>_xll.BDS("FCCO US Equity","SUPPLY_CHAIN_CUSTOMERS","RELATIONSHIP_AS_OF_DATE","20170412")</f>
        <v>#N/A N/A</v>
      </c>
      <c r="KY5" t="str">
        <f>_xll.BDS("BNCL US Equity","SUPPLY_CHAIN_SUPPLIERS","RELATIONSHIP_AS_OF_DATE","20111205")</f>
        <v>#N/A N/A</v>
      </c>
      <c r="LD5" t="str">
        <f>_xll.BDS("BNCL US Equity","SUPPLY_CHAIN_CUSTOMERS","RELATIONSHIP_AS_OF_DATE","20111205")</f>
        <v>#N/A N/A</v>
      </c>
      <c r="LI5" t="str">
        <f>_xll.BDS("CVBF US Equity","SUPPLY_CHAIN_SUPPLIERS","RELATIONSHIP_AS_OF_DATE","20041021")</f>
        <v>#N/A N/A</v>
      </c>
      <c r="LN5" t="str">
        <f>_xll.BDS("CVBF US Equity","SUPPLY_CHAIN_CUSTOMERS","RELATIONSHIP_AS_OF_DATE","20041021")</f>
        <v>#N/A N/A</v>
      </c>
      <c r="LS5" t="str">
        <f>_xll.BDS("215254Q US Equity","SUPPLY_CHAIN_SUPPLIERS","RELATIONSHIP_AS_OF_DATE","20010118")</f>
        <v>#N/A N/A</v>
      </c>
      <c r="LX5" t="str">
        <f>_xll.BDS("215254Q US Equity","SUPPLY_CHAIN_CUSTOMERS","RELATIONSHIP_AS_OF_DATE","20010118")</f>
        <v>#N/A N/A</v>
      </c>
      <c r="MC5" t="str">
        <f>_xll.BDS("KODK US Equity","SUPPLY_CHAIN_SUPPLIERS","RELATIONSHIP_AS_OF_DATE","20011115","cols=1;rows=5")</f>
        <v>AX-U CN Equity</v>
      </c>
      <c r="MH5" t="str">
        <f>_xll.BDS("KODK US Equity","SUPPLY_CHAIN_CUSTOMERS","RELATIONSHIP_AS_OF_DATE","20011115","cols=1;rows=5")</f>
        <v>0918800D US Equity</v>
      </c>
      <c r="MM5" t="str">
        <f>_xll.BDS("COBZ US Equity","SUPPLY_CHAIN_SUPPLIERS","RELATIONSHIP_AS_OF_DATE","20001024")</f>
        <v>#N/A N/A</v>
      </c>
      <c r="MR5" t="str">
        <f>_xll.BDS("COBZ US Equity","SUPPLY_CHAIN_CUSTOMERS","RELATIONSHIP_AS_OF_DATE","20001024")</f>
        <v>#N/A N/A</v>
      </c>
      <c r="MW5" t="str">
        <f>_xll.BDS("1619175D US Equity","SUPPLY_CHAIN_SUPPLIERS","RELATIONSHIP_AS_OF_DATE","20000829")</f>
        <v>#N/A N/A</v>
      </c>
      <c r="NB5" t="str">
        <f>_xll.BDS("1619175D US Equity","SUPPLY_CHAIN_CUSTOMERS","RELATIONSHIP_AS_OF_DATE","20000829")</f>
        <v>#N/A N/A</v>
      </c>
      <c r="NG5" t="str">
        <f>_xll.BDS("MSI US Equity","SUPPLY_CHAIN_SUPPLIERS","RELATIONSHIP_AS_OF_DATE","20030113","cols=1;rows=5")</f>
        <v>SANM US Equity</v>
      </c>
      <c r="NL5" t="str">
        <f>_xll.BDS("MSI US Equity","SUPPLY_CHAIN_CUSTOMERS","RELATIONSHIP_AS_OF_DATE","20030113","cols=1;rows=5")</f>
        <v>3352Z US Equity</v>
      </c>
      <c r="NQ5" t="str">
        <f>_xll.BDS("YDKN US Equity","SUPPLY_CHAIN_SUPPLIERS","RELATIONSHIP_AS_OF_DATE","20020123")</f>
        <v>#N/A N/A</v>
      </c>
      <c r="NV5" t="str">
        <f>_xll.BDS("YDKN US Equity","SUPPLY_CHAIN_CUSTOMERS","RELATIONSHIP_AS_OF_DATE","20020123")</f>
        <v>#N/A N/A</v>
      </c>
      <c r="OA5" t="str">
        <f>_xll.BDS("CVBF US Equity","SUPPLY_CHAIN_SUPPLIERS","RELATIONSHIP_AS_OF_DATE","20160922")</f>
        <v>#N/A N/A</v>
      </c>
      <c r="OF5" t="str">
        <f>_xll.BDS("CVBF US Equity","SUPPLY_CHAIN_CUSTOMERS","RELATIONSHIP_AS_OF_DATE","20160922")</f>
        <v>#N/A N/A</v>
      </c>
    </row>
    <row r="6" spans="1:396" x14ac:dyDescent="0.25">
      <c r="AO6" t="s">
        <v>11057</v>
      </c>
      <c r="AT6" t="s">
        <v>11028</v>
      </c>
      <c r="BI6" t="s">
        <v>10719</v>
      </c>
      <c r="BN6" t="s">
        <v>10656</v>
      </c>
      <c r="CM6" t="s">
        <v>9006</v>
      </c>
      <c r="CR6" t="s">
        <v>10922</v>
      </c>
      <c r="DQ6" t="s">
        <v>1654</v>
      </c>
      <c r="DV6" t="s">
        <v>2208</v>
      </c>
      <c r="GI6" t="s">
        <v>10842</v>
      </c>
      <c r="GS6" t="s">
        <v>11224</v>
      </c>
      <c r="GX6" t="s">
        <v>11195</v>
      </c>
      <c r="HW6" t="s">
        <v>10829</v>
      </c>
      <c r="JK6" t="s">
        <v>10833</v>
      </c>
      <c r="JP6" t="s">
        <v>10781</v>
      </c>
      <c r="JU6" t="s">
        <v>10814</v>
      </c>
      <c r="JZ6" t="s">
        <v>385</v>
      </c>
      <c r="MC6" t="s">
        <v>10751</v>
      </c>
      <c r="MH6" t="s">
        <v>2881</v>
      </c>
      <c r="NG6" t="s">
        <v>10734</v>
      </c>
      <c r="NL6" t="s">
        <v>2881</v>
      </c>
    </row>
    <row r="7" spans="1:396" x14ac:dyDescent="0.25">
      <c r="AO7" t="s">
        <v>11058</v>
      </c>
      <c r="AT7" t="s">
        <v>790</v>
      </c>
      <c r="BI7" t="s">
        <v>10720</v>
      </c>
      <c r="BN7" t="s">
        <v>10657</v>
      </c>
      <c r="CM7" t="s">
        <v>43</v>
      </c>
      <c r="CR7" t="s">
        <v>65</v>
      </c>
      <c r="DQ7" t="s">
        <v>10986</v>
      </c>
      <c r="DV7" t="s">
        <v>11174</v>
      </c>
      <c r="GI7" t="s">
        <v>372</v>
      </c>
      <c r="GS7" t="s">
        <v>11225</v>
      </c>
      <c r="GX7" t="s">
        <v>11196</v>
      </c>
      <c r="HW7" t="s">
        <v>11242</v>
      </c>
      <c r="JK7" t="s">
        <v>10834</v>
      </c>
      <c r="JP7" t="s">
        <v>10782</v>
      </c>
      <c r="JU7" t="s">
        <v>11152</v>
      </c>
      <c r="JZ7" t="s">
        <v>970</v>
      </c>
      <c r="MC7" t="s">
        <v>11100</v>
      </c>
      <c r="MH7" t="s">
        <v>10660</v>
      </c>
      <c r="NG7" t="s">
        <v>10858</v>
      </c>
      <c r="NL7" t="s">
        <v>4139</v>
      </c>
    </row>
    <row r="8" spans="1:396" x14ac:dyDescent="0.25">
      <c r="AO8" t="s">
        <v>3162</v>
      </c>
      <c r="AT8" t="s">
        <v>7145</v>
      </c>
      <c r="BI8" t="s">
        <v>10721</v>
      </c>
      <c r="BN8" t="s">
        <v>970</v>
      </c>
      <c r="CM8" t="s">
        <v>260</v>
      </c>
      <c r="CR8" t="s">
        <v>10923</v>
      </c>
      <c r="DQ8" t="s">
        <v>11188</v>
      </c>
      <c r="DV8" t="s">
        <v>11175</v>
      </c>
      <c r="GS8" t="s">
        <v>11226</v>
      </c>
      <c r="GX8" t="s">
        <v>11197</v>
      </c>
      <c r="HW8" t="s">
        <v>3162</v>
      </c>
      <c r="JK8" t="s">
        <v>10835</v>
      </c>
      <c r="JP8" t="s">
        <v>10783</v>
      </c>
      <c r="JU8" t="s">
        <v>11153</v>
      </c>
      <c r="JZ8" t="s">
        <v>10646</v>
      </c>
      <c r="MC8" t="s">
        <v>11101</v>
      </c>
      <c r="MH8" t="s">
        <v>10944</v>
      </c>
      <c r="NG8" t="s">
        <v>10859</v>
      </c>
      <c r="NL8" t="s">
        <v>10660</v>
      </c>
    </row>
    <row r="9" spans="1:396" x14ac:dyDescent="0.25">
      <c r="AO9" t="s">
        <v>166</v>
      </c>
      <c r="AT9" t="s">
        <v>1168</v>
      </c>
      <c r="BI9" t="s">
        <v>10722</v>
      </c>
      <c r="BN9" t="s">
        <v>51</v>
      </c>
      <c r="CM9" t="s">
        <v>682</v>
      </c>
      <c r="CR9" t="s">
        <v>2971</v>
      </c>
      <c r="DQ9" t="s">
        <v>10820</v>
      </c>
      <c r="GS9" t="s">
        <v>11227</v>
      </c>
      <c r="GX9" t="s">
        <v>11198</v>
      </c>
      <c r="JK9" t="s">
        <v>10836</v>
      </c>
      <c r="JP9" t="s">
        <v>10784</v>
      </c>
      <c r="JU9" t="s">
        <v>2111</v>
      </c>
      <c r="JZ9" t="s">
        <v>11145</v>
      </c>
      <c r="MC9" t="s">
        <v>11102</v>
      </c>
      <c r="MH9" t="s">
        <v>10787</v>
      </c>
      <c r="NG9" t="s">
        <v>10860</v>
      </c>
      <c r="NL9" t="s">
        <v>10808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9634</v>
      </c>
      <c r="K1" s="1" t="s">
        <v>9635</v>
      </c>
      <c r="U1" s="1" t="s">
        <v>9636</v>
      </c>
      <c r="AE1" s="1" t="s">
        <v>9637</v>
      </c>
      <c r="AO1" s="1" t="s">
        <v>9638</v>
      </c>
      <c r="AY1" s="1" t="s">
        <v>9639</v>
      </c>
      <c r="BI1" s="1" t="s">
        <v>9640</v>
      </c>
      <c r="BS1" s="1" t="s">
        <v>9641</v>
      </c>
      <c r="CC1" s="1" t="s">
        <v>9642</v>
      </c>
      <c r="CM1" s="1" t="s">
        <v>9643</v>
      </c>
      <c r="CW1" s="1" t="s">
        <v>9644</v>
      </c>
      <c r="DG1" s="1" t="s">
        <v>9645</v>
      </c>
      <c r="DQ1" s="1" t="s">
        <v>9646</v>
      </c>
      <c r="EA1" s="1" t="s">
        <v>9647</v>
      </c>
      <c r="EK1" s="1" t="s">
        <v>9648</v>
      </c>
      <c r="EU1" s="1" t="s">
        <v>9649</v>
      </c>
      <c r="FE1" s="1" t="s">
        <v>9650</v>
      </c>
      <c r="FO1" s="1" t="s">
        <v>9651</v>
      </c>
      <c r="FY1" s="1" t="s">
        <v>9652</v>
      </c>
      <c r="GI1" s="1" t="s">
        <v>9653</v>
      </c>
      <c r="GS1" s="1" t="s">
        <v>9654</v>
      </c>
      <c r="HC1" s="1" t="s">
        <v>9655</v>
      </c>
      <c r="HM1" s="1" t="s">
        <v>9656</v>
      </c>
      <c r="HW1" s="1" t="s">
        <v>9657</v>
      </c>
      <c r="IG1" s="1" t="s">
        <v>9658</v>
      </c>
      <c r="IQ1" s="1" t="s">
        <v>9659</v>
      </c>
      <c r="JA1" s="1" t="s">
        <v>9660</v>
      </c>
      <c r="JK1" s="1" t="s">
        <v>9661</v>
      </c>
      <c r="JU1" s="1" t="s">
        <v>9662</v>
      </c>
      <c r="KE1" s="1" t="s">
        <v>9663</v>
      </c>
      <c r="KO1" s="1" t="s">
        <v>9664</v>
      </c>
      <c r="KY1" s="1" t="s">
        <v>9665</v>
      </c>
      <c r="LI1" s="1" t="s">
        <v>9666</v>
      </c>
      <c r="LS1" s="1" t="s">
        <v>9667</v>
      </c>
      <c r="MC1" s="1" t="s">
        <v>9668</v>
      </c>
      <c r="MM1" s="1" t="s">
        <v>9669</v>
      </c>
      <c r="MW1" s="1" t="s">
        <v>9670</v>
      </c>
      <c r="NG1" s="1" t="s">
        <v>9671</v>
      </c>
      <c r="NQ1" s="1" t="s">
        <v>9672</v>
      </c>
      <c r="OA1" s="1" t="s">
        <v>9673</v>
      </c>
    </row>
    <row r="2" spans="1:396" x14ac:dyDescent="0.25">
      <c r="A2" s="2" t="s">
        <v>9674</v>
      </c>
      <c r="K2" s="2" t="s">
        <v>9675</v>
      </c>
      <c r="U2" s="2" t="s">
        <v>9676</v>
      </c>
      <c r="AE2" s="2" t="s">
        <v>9677</v>
      </c>
      <c r="AO2" s="2" t="s">
        <v>1739</v>
      </c>
      <c r="AY2" s="2" t="s">
        <v>5246</v>
      </c>
      <c r="BI2" s="2" t="s">
        <v>8167</v>
      </c>
      <c r="BS2" s="2" t="s">
        <v>8530</v>
      </c>
      <c r="CC2" s="2" t="s">
        <v>1164</v>
      </c>
      <c r="CM2" s="2" t="s">
        <v>6722</v>
      </c>
      <c r="CW2" s="2" t="s">
        <v>2027</v>
      </c>
      <c r="DG2" s="2" t="s">
        <v>4303</v>
      </c>
      <c r="DQ2" s="2" t="s">
        <v>274</v>
      </c>
      <c r="EA2" s="2" t="s">
        <v>9678</v>
      </c>
      <c r="EK2" s="2" t="s">
        <v>8835</v>
      </c>
      <c r="EU2" s="2" t="s">
        <v>5249</v>
      </c>
      <c r="FE2" s="2" t="s">
        <v>9679</v>
      </c>
      <c r="FO2" s="2" t="s">
        <v>6317</v>
      </c>
      <c r="FY2" s="2" t="s">
        <v>7133</v>
      </c>
      <c r="GI2" s="2" t="s">
        <v>2315</v>
      </c>
      <c r="GS2" s="2" t="s">
        <v>9680</v>
      </c>
      <c r="HC2" s="2" t="s">
        <v>55</v>
      </c>
      <c r="HM2" s="2" t="s">
        <v>9681</v>
      </c>
      <c r="HW2" s="2" t="s">
        <v>8611</v>
      </c>
      <c r="IG2" s="2" t="s">
        <v>9460</v>
      </c>
      <c r="IQ2" s="2" t="s">
        <v>5983</v>
      </c>
      <c r="JA2" s="2" t="s">
        <v>1733</v>
      </c>
      <c r="JK2" s="2" t="s">
        <v>7695</v>
      </c>
      <c r="JU2" s="2" t="s">
        <v>7847</v>
      </c>
      <c r="KE2" s="2" t="s">
        <v>9682</v>
      </c>
      <c r="KO2" s="2" t="s">
        <v>158</v>
      </c>
      <c r="KY2" s="2" t="s">
        <v>9090</v>
      </c>
      <c r="LI2" s="2" t="s">
        <v>9683</v>
      </c>
      <c r="LS2" s="2" t="s">
        <v>9684</v>
      </c>
      <c r="MC2" s="2" t="s">
        <v>7391</v>
      </c>
      <c r="MM2" s="2" t="s">
        <v>9685</v>
      </c>
      <c r="MW2" s="2" t="s">
        <v>9686</v>
      </c>
      <c r="NG2" s="2" t="s">
        <v>9687</v>
      </c>
      <c r="NQ2" s="2" t="s">
        <v>9688</v>
      </c>
      <c r="OA2" s="2" t="s">
        <v>9689</v>
      </c>
    </row>
    <row r="3" spans="1:396" x14ac:dyDescent="0.25">
      <c r="A3" t="s">
        <v>9690</v>
      </c>
      <c r="K3" t="s">
        <v>9691</v>
      </c>
      <c r="U3" t="s">
        <v>5002</v>
      </c>
      <c r="AE3" t="s">
        <v>9692</v>
      </c>
      <c r="AO3" t="s">
        <v>9693</v>
      </c>
      <c r="AY3" t="s">
        <v>4054</v>
      </c>
      <c r="BI3" t="s">
        <v>9694</v>
      </c>
      <c r="BS3" t="s">
        <v>9695</v>
      </c>
      <c r="CC3" t="s">
        <v>6834</v>
      </c>
      <c r="CM3" t="s">
        <v>9696</v>
      </c>
      <c r="CW3" t="s">
        <v>8028</v>
      </c>
      <c r="DG3" t="s">
        <v>5605</v>
      </c>
      <c r="DQ3" t="s">
        <v>294</v>
      </c>
      <c r="EA3" t="s">
        <v>9697</v>
      </c>
      <c r="EK3" t="s">
        <v>9698</v>
      </c>
      <c r="EU3" t="s">
        <v>4083</v>
      </c>
      <c r="FE3" t="s">
        <v>9699</v>
      </c>
      <c r="FO3" t="s">
        <v>9700</v>
      </c>
      <c r="FY3" t="s">
        <v>1773</v>
      </c>
      <c r="GI3" t="s">
        <v>9701</v>
      </c>
      <c r="GS3" t="s">
        <v>9702</v>
      </c>
      <c r="HC3" t="s">
        <v>3738</v>
      </c>
      <c r="HM3" t="s">
        <v>5603</v>
      </c>
      <c r="HW3" t="s">
        <v>5176</v>
      </c>
      <c r="IG3" t="s">
        <v>6746</v>
      </c>
      <c r="IQ3" t="s">
        <v>3450</v>
      </c>
      <c r="JA3" t="s">
        <v>3460</v>
      </c>
      <c r="JK3" t="s">
        <v>9703</v>
      </c>
      <c r="JU3" t="s">
        <v>6489</v>
      </c>
      <c r="KE3" t="s">
        <v>3267</v>
      </c>
      <c r="KO3" t="s">
        <v>4410</v>
      </c>
      <c r="KY3" t="s">
        <v>6489</v>
      </c>
      <c r="LI3" t="s">
        <v>3992</v>
      </c>
      <c r="LS3" t="s">
        <v>2913</v>
      </c>
      <c r="MC3" t="s">
        <v>2614</v>
      </c>
      <c r="MM3" t="s">
        <v>9704</v>
      </c>
      <c r="MW3" t="s">
        <v>9705</v>
      </c>
      <c r="NG3" t="s">
        <v>9706</v>
      </c>
      <c r="NQ3" t="s">
        <v>1217</v>
      </c>
      <c r="OA3" t="s">
        <v>1110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_xll.BDS("FCLF US Equity","SUPPLY_CHAIN_SUPPLIERS","RELATIONSHIP_AS_OF_DATE","20060203")</f>
        <v>#N/A N/A</v>
      </c>
      <c r="F5" t="str">
        <f>_xll.BDS("FCLF US Equity","SUPPLY_CHAIN_CUSTOMERS","RELATIONSHIP_AS_OF_DATE","20060203")</f>
        <v>#N/A N/A</v>
      </c>
      <c r="K5" t="str">
        <f>_xll.BDS("CMTV US Equity","SUPPLY_CHAIN_SUPPLIERS","RELATIONSHIP_AS_OF_DATE","20070801")</f>
        <v>#N/A N/A</v>
      </c>
      <c r="P5" t="str">
        <f>_xll.BDS("CMTV US Equity","SUPPLY_CHAIN_CUSTOMERS","RELATIONSHIP_AS_OF_DATE","20070801")</f>
        <v>#N/A N/A</v>
      </c>
      <c r="U5" t="str">
        <f>_xll.BDS("HBK US Equity","SUPPLY_CHAIN_SUPPLIERS","RELATIONSHIP_AS_OF_DATE","20151013")</f>
        <v>#N/A N/A</v>
      </c>
      <c r="Z5" t="str">
        <f>_xll.BDS("HBK US Equity","SUPPLY_CHAIN_CUSTOMERS","RELATIONSHIP_AS_OF_DATE","20151013")</f>
        <v>#N/A N/A</v>
      </c>
      <c r="AE5" t="str">
        <f>_xll.BDS("8144537Q US Equity","SUPPLY_CHAIN_SUPPLIERS","RELATIONSHIP_AS_OF_DATE","20021125")</f>
        <v>#N/A N/A</v>
      </c>
      <c r="AJ5" t="str">
        <f>_xll.BDS("8144537Q US Equity","SUPPLY_CHAIN_CUSTOMERS","RELATIONSHIP_AS_OF_DATE","20021125")</f>
        <v>#N/A N/A</v>
      </c>
      <c r="AO5" t="str">
        <f>_xll.BDS("1436513D US Equity","SUPPLY_CHAIN_SUPPLIERS","RELATIONSHIP_AS_OF_DATE","20110303")</f>
        <v>FE US Equity</v>
      </c>
      <c r="AT5" t="str">
        <f>_xll.BDS("1436513D US Equity","SUPPLY_CHAIN_CUSTOMERS","RELATIONSHIP_AS_OF_DATE","20110303")</f>
        <v>#N/A N/A</v>
      </c>
      <c r="AY5" t="str">
        <f>_xll.BDS("HU US Equity","SUPPLY_CHAIN_SUPPLIERS","RELATIONSHIP_AS_OF_DATE","19980303")</f>
        <v>#N/A N/A</v>
      </c>
      <c r="BD5" t="str">
        <f>_xll.BDS("HU US Equity","SUPPLY_CHAIN_CUSTOMERS","RELATIONSHIP_AS_OF_DATE","19980303")</f>
        <v>#N/A N/A</v>
      </c>
      <c r="BI5" t="str">
        <f>_xll.BDS("HBCP US Equity","SUPPLY_CHAIN_SUPPLIERS","RELATIONSHIP_AS_OF_DATE","20110330")</f>
        <v>#N/A N/A</v>
      </c>
      <c r="BN5" t="str">
        <f>_xll.BDS("HBCP US Equity","SUPPLY_CHAIN_CUSTOMERS","RELATIONSHIP_AS_OF_DATE","20110330")</f>
        <v>#N/A N/A</v>
      </c>
      <c r="BS5" t="str">
        <f>_xll.BDS("IXYS US Equity","SUPPLY_CHAIN_SUPPLIERS","RELATIONSHIP_AS_OF_DATE","20091207")</f>
        <v>#N/A N/A</v>
      </c>
      <c r="BX5" t="str">
        <f>_xll.BDS("IXYS US Equity","SUPPLY_CHAIN_CUSTOMERS","RELATIONSHIP_AS_OF_DATE","20091207")</f>
        <v>#N/A N/A</v>
      </c>
      <c r="CC5" t="str">
        <f>_xll.BDS("GE US Equity","SUPPLY_CHAIN_SUPPLIERS","RELATIONSHIP_AS_OF_DATE","20010719","cols=1;rows=5")</f>
        <v>SAF FP Equity</v>
      </c>
      <c r="CH5" t="str">
        <f>_xll.BDS("GE US Equity","SUPPLY_CHAIN_CUSTOMERS","RELATIONSHIP_AS_OF_DATE","20010719","cols=1;rows=5")</f>
        <v>3352Z US Equity</v>
      </c>
      <c r="CM5" t="str">
        <f>_xll.BDS("BNCN US Equity","SUPPLY_CHAIN_SUPPLIERS","RELATIONSHIP_AS_OF_DATE","20131218")</f>
        <v>#N/A N/A</v>
      </c>
      <c r="CR5" t="str">
        <f>_xll.BDS("BNCN US Equity","SUPPLY_CHAIN_CUSTOMERS","RELATIONSHIP_AS_OF_DATE","20131218")</f>
        <v>#N/A N/A</v>
      </c>
      <c r="CW5" t="str">
        <f>_xll.BDS("MSCC US Equity","SUPPLY_CHAIN_SUPPLIERS","RELATIONSHIP_AS_OF_DATE","20110406")</f>
        <v>FE US Equity</v>
      </c>
      <c r="DB5" t="str">
        <f>_xll.BDS("MSCC US Equity","SUPPLY_CHAIN_CUSTOMERS","RELATIONSHIP_AS_OF_DATE","20110406")</f>
        <v>#N/A N/A</v>
      </c>
      <c r="DG5" t="str">
        <f>_xll.BDS("SFNC US Equity","SUPPLY_CHAIN_SUPPLIERS","RELATIONSHIP_AS_OF_DATE","19990323")</f>
        <v>#N/A N/A</v>
      </c>
      <c r="DL5" t="str">
        <f>_xll.BDS("SFNC US Equity","SUPPLY_CHAIN_CUSTOMERS","RELATIONSHIP_AS_OF_DATE","19990323")</f>
        <v>#N/A N/A</v>
      </c>
      <c r="DQ5" t="str">
        <f>_xll.BDS("LHX US Equity","SUPPLY_CHAIN_SUPPLIERS","RELATIONSHIP_AS_OF_DATE","20010403","cols=1;rows=5")</f>
        <v>HON US Equity</v>
      </c>
      <c r="DV5" t="str">
        <f>_xll.BDS("LHX US Equity","SUPPLY_CHAIN_CUSTOMERS","RELATIONSHIP_AS_OF_DATE","20010403","cols=1;rows=5")</f>
        <v>3352Z US Equity</v>
      </c>
      <c r="EA5" t="str">
        <f>_xll.BDS("VIZY US Equity","SUPPLY_CHAIN_SUPPLIERS","RELATIONSHIP_AS_OF_DATE","19961002")</f>
        <v>#N/A N/A</v>
      </c>
      <c r="EF5" t="str">
        <f>_xll.BDS("VIZY US Equity","SUPPLY_CHAIN_CUSTOMERS","RELATIONSHIP_AS_OF_DATE","19961002")</f>
        <v>#N/A N/A</v>
      </c>
      <c r="EK5" t="str">
        <f>_xll.BDS("BCAL US Equity","SUPPLY_CHAIN_SUPPLIERS","RELATIONSHIP_AS_OF_DATE","20191021")</f>
        <v>#N/A N/A</v>
      </c>
      <c r="EP5" t="str">
        <f>_xll.BDS("BCAL US Equity","SUPPLY_CHAIN_CUSTOMERS","RELATIONSHIP_AS_OF_DATE","20191021")</f>
        <v>#N/A N/A</v>
      </c>
      <c r="EU5" t="str">
        <f>_xll.BDS("CHCO US Equity","SUPPLY_CHAIN_SUPPLIERS","RELATIONSHIP_AS_OF_DATE","20120802")</f>
        <v>#N/A N/A</v>
      </c>
      <c r="EZ5" t="str">
        <f>_xll.BDS("CHCO US Equity","SUPPLY_CHAIN_CUSTOMERS","RELATIONSHIP_AS_OF_DATE","20120802")</f>
        <v>#N/A N/A</v>
      </c>
      <c r="FE5" t="str">
        <f>_xll.BDS("NEBS US Equity","SUPPLY_CHAIN_SUPPLIERS","RELATIONSHIP_AS_OF_DATE","20061121")</f>
        <v>#N/A N/A</v>
      </c>
      <c r="FJ5" t="str">
        <f>_xll.BDS("NEBS US Equity","SUPPLY_CHAIN_CUSTOMERS","RELATIONSHIP_AS_OF_DATE","20061121")</f>
        <v>#N/A N/A</v>
      </c>
      <c r="FO5" t="str">
        <f>_xll.BDS("HTBK US Equity","SUPPLY_CHAIN_SUPPLIERS","RELATIONSHIP_AS_OF_DATE","20171220")</f>
        <v>#N/A N/A</v>
      </c>
      <c r="FT5" t="str">
        <f>_xll.BDS("HTBK US Equity","SUPPLY_CHAIN_CUSTOMERS","RELATIONSHIP_AS_OF_DATE","20171220")</f>
        <v>#N/A N/A</v>
      </c>
      <c r="FY5" t="str">
        <f>_xll.BDS("0897262D US Equity","SUPPLY_CHAIN_SUPPLIERS","RELATIONSHIP_AS_OF_DATE","20000726")</f>
        <v>#N/A N/A</v>
      </c>
      <c r="GD5" t="str">
        <f>_xll.BDS("0897262D US Equity","SUPPLY_CHAIN_CUSTOMERS","RELATIONSHIP_AS_OF_DATE","20000726")</f>
        <v>#N/A N/A</v>
      </c>
      <c r="GI5" t="str">
        <f>_xll.BDS("VFC US Equity","SUPPLY_CHAIN_SUPPLIERS","RELATIONSHIP_AS_OF_DATE","20000407","cols=1;rows=5")</f>
        <v>300979 CH Equity</v>
      </c>
      <c r="GN5" t="str">
        <f>_xll.BDS("VFC US Equity","SUPPLY_CHAIN_CUSTOMERS","RELATIONSHIP_AS_OF_DATE","20000407","cols=1;rows=5")</f>
        <v>JD/ LN Equity</v>
      </c>
      <c r="GS5" t="str">
        <f>_xll.BDS("STTX US Equity","SUPPLY_CHAIN_SUPPLIERS","RELATIONSHIP_AS_OF_DATE","20140507")</f>
        <v>#N/A N/A</v>
      </c>
      <c r="GX5" t="str">
        <f>_xll.BDS("STTX US Equity","SUPPLY_CHAIN_CUSTOMERS","RELATIONSHIP_AS_OF_DATE","20140507")</f>
        <v>#N/A N/A</v>
      </c>
      <c r="HC5" t="str">
        <f>_xll.BDS("AGN US Equity","SUPPLY_CHAIN_SUPPLIERS","RELATIONSHIP_AS_OF_DATE","20171212","cols=1;rows=5")</f>
        <v>AEE US Equity</v>
      </c>
      <c r="HH5" t="str">
        <f>_xll.BDS("AGN US Equity","SUPPLY_CHAIN_CUSTOMERS","RELATIONSHIP_AS_OF_DATE","20171212")</f>
        <v>4569 JP Equity</v>
      </c>
      <c r="HM5" t="str">
        <f>_xll.BDS("2966Q US Equity","SUPPLY_CHAIN_SUPPLIERS","RELATIONSHIP_AS_OF_DATE","19981029")</f>
        <v>#N/A N/A</v>
      </c>
      <c r="HR5" t="str">
        <f>_xll.BDS("2966Q US Equity","SUPPLY_CHAIN_CUSTOMERS","RELATIONSHIP_AS_OF_DATE","19981029")</f>
        <v>#N/A N/A</v>
      </c>
      <c r="HW5" t="str">
        <f>_xll.BDS("MFSF US Equity","SUPPLY_CHAIN_SUPPLIERS","RELATIONSHIP_AS_OF_DATE","20000608")</f>
        <v>#N/A N/A</v>
      </c>
      <c r="IB5" t="str">
        <f>_xll.BDS("MFSF US Equity","SUPPLY_CHAIN_CUSTOMERS","RELATIONSHIP_AS_OF_DATE","20000608")</f>
        <v>#N/A N/A</v>
      </c>
      <c r="IG5" t="str">
        <f>_xll.BDS("1413542D US Equity","SUPPLY_CHAIN_SUPPLIERS","RELATIONSHIP_AS_OF_DATE","19990806")</f>
        <v>#N/A N/A</v>
      </c>
      <c r="IL5" t="str">
        <f>_xll.BDS("1413542D US Equity","SUPPLY_CHAIN_CUSTOMERS","RELATIONSHIP_AS_OF_DATE","19990806")</f>
        <v>#N/A N/A</v>
      </c>
      <c r="IQ5" t="str">
        <f>_xll.BDS("SYY US Equity","SUPPLY_CHAIN_SUPPLIERS","RELATIONSHIP_AS_OF_DATE","19990217","cols=1;rows=5")</f>
        <v>TSN US Equity</v>
      </c>
      <c r="IV5" t="str">
        <f>_xll.BDS("SYY US Equity","SUPPLY_CHAIN_CUSTOMERS","RELATIONSHIP_AS_OF_DATE","19990217","cols=1;rows=5")</f>
        <v>ARMK US Equity</v>
      </c>
      <c r="JA5" t="str">
        <f>_xll.BDS("QCOM US Equity","SUPPLY_CHAIN_SUPPLIERS","RELATIONSHIP_AS_OF_DATE","20150806","cols=1;rows=5")</f>
        <v>2330 TT Equity</v>
      </c>
      <c r="JF5" t="str">
        <f>_xll.BDS("QCOM US Equity","SUPPLY_CHAIN_CUSTOMERS","RELATIONSHIP_AS_OF_DATE","20150806","cols=1;rows=5")</f>
        <v>AAPL US Equity</v>
      </c>
      <c r="JK5" t="str">
        <f>_xll.BDS("0977894D US Equity","SUPPLY_CHAIN_SUPPLIERS","RELATIONSHIP_AS_OF_DATE","20090513")</f>
        <v>#N/A N/A</v>
      </c>
      <c r="JP5" t="str">
        <f>_xll.BDS("0977894D US Equity","SUPPLY_CHAIN_CUSTOMERS","RELATIONSHIP_AS_OF_DATE","20090513")</f>
        <v>#N/A N/A</v>
      </c>
      <c r="JU5" t="str">
        <f>_xll.BDS("696119Q US Equity","SUPPLY_CHAIN_SUPPLIERS","RELATIONSHIP_AS_OF_DATE","20000131")</f>
        <v>#N/A N/A</v>
      </c>
      <c r="JZ5" t="str">
        <f>_xll.BDS("696119Q US Equity","SUPPLY_CHAIN_CUSTOMERS","RELATIONSHIP_AS_OF_DATE","20000131")</f>
        <v>#N/A N/A</v>
      </c>
      <c r="KE5" t="str">
        <f>_xll.BDS("AMZGQ US Equity","SUPPLY_CHAIN_SUPPLIERS","RELATIONSHIP_AS_OF_DATE","20110223")</f>
        <v>#N/A N/A</v>
      </c>
      <c r="KJ5" t="str">
        <f>_xll.BDS("AMZGQ US Equity","SUPPLY_CHAIN_CUSTOMERS","RELATIONSHIP_AS_OF_DATE","20110223")</f>
        <v>#N/A N/A</v>
      </c>
      <c r="KO5" t="str">
        <f>_xll.BDS("BRK/A US Equity","SUPPLY_CHAIN_SUPPLIERS","RELATIONSHIP_AS_OF_DATE","20010822","cols=1;rows=5")</f>
        <v>HSY US Equity</v>
      </c>
      <c r="KT5" t="str">
        <f>_xll.BDS("BRK/A US Equity","SUPPLY_CHAIN_CUSTOMERS","RELATIONSHIP_AS_OF_DATE","20010822","cols=1;rows=5")</f>
        <v>WMT US Equity</v>
      </c>
      <c r="KY5" t="str">
        <f>_xll.BDS("TMD US Equity","SUPPLY_CHAIN_SUPPLIERS","RELATIONSHIP_AS_OF_DATE","20000131")</f>
        <v>#N/A N/A</v>
      </c>
      <c r="LD5" t="str">
        <f>_xll.BDS("TMD US Equity","SUPPLY_CHAIN_CUSTOMERS","RELATIONSHIP_AS_OF_DATE","20000131")</f>
        <v>#N/A N/A</v>
      </c>
      <c r="LI5" t="str">
        <f>_xll.BDS("CWBC US Equity","SUPPLY_CHAIN_SUPPLIERS","RELATIONSHIP_AS_OF_DATE","20170427")</f>
        <v>#N/A N/A</v>
      </c>
      <c r="LN5" t="str">
        <f>_xll.BDS("CWBC US Equity","SUPPLY_CHAIN_CUSTOMERS","RELATIONSHIP_AS_OF_DATE","20170427")</f>
        <v>#N/A N/A</v>
      </c>
      <c r="LS5" t="str">
        <f>_xll.BDS("IVIL US Equity","SUPPLY_CHAIN_SUPPLIERS","RELATIONSHIP_AS_OF_DATE","20010205")</f>
        <v>#N/A N/A</v>
      </c>
      <c r="LX5" t="str">
        <f>_xll.BDS("IVIL US Equity","SUPPLY_CHAIN_CUSTOMERS","RELATIONSHIP_AS_OF_DATE","20010205")</f>
        <v>#N/A N/A</v>
      </c>
      <c r="MC5" t="str">
        <f>_xll.BDS("DVINQ US Equity","SUPPLY_CHAIN_SUPPLIERS","RELATIONSHIP_AS_OF_DATE","20010524")</f>
        <v>#N/A N/A</v>
      </c>
      <c r="MH5" t="str">
        <f>_xll.BDS("DVINQ US Equity","SUPPLY_CHAIN_CUSTOMERS","RELATIONSHIP_AS_OF_DATE","20010524")</f>
        <v>#N/A N/A</v>
      </c>
      <c r="MM5" t="str">
        <f>_xll.BDS("SMBC US Equity","SUPPLY_CHAIN_SUPPLIERS","RELATIONSHIP_AS_OF_DATE","20200117")</f>
        <v>NICE IT Equity</v>
      </c>
      <c r="MR5" t="str">
        <f>_xll.BDS("SMBC US Equity","SUPPLY_CHAIN_CUSTOMERS","RELATIONSHIP_AS_OF_DATE","20200117")</f>
        <v>#N/A N/A</v>
      </c>
      <c r="MW5" t="str">
        <f>_xll.BDS("IHRC US Equity","SUPPLY_CHAIN_SUPPLIERS","RELATIONSHIP_AS_OF_DATE","20000104")</f>
        <v>#N/A N/A</v>
      </c>
      <c r="NB5" t="str">
        <f>_xll.BDS("IHRC US Equity","SUPPLY_CHAIN_CUSTOMERS","RELATIONSHIP_AS_OF_DATE","20000104")</f>
        <v>#N/A N/A</v>
      </c>
      <c r="NG5" t="str">
        <f>_xll.BDS("BZBC US Equity","SUPPLY_CHAIN_SUPPLIERS","RELATIONSHIP_AS_OF_DATE","20010815")</f>
        <v>#N/A N/A</v>
      </c>
      <c r="NL5" t="str">
        <f>_xll.BDS("BZBC US Equity","SUPPLY_CHAIN_CUSTOMERS","RELATIONSHIP_AS_OF_DATE","20010815")</f>
        <v>#N/A N/A</v>
      </c>
      <c r="NQ5" t="str">
        <f>_xll.BDS("MCBF US Equity","SUPPLY_CHAIN_SUPPLIERS","RELATIONSHIP_AS_OF_DATE","20030902")</f>
        <v>#N/A N/A</v>
      </c>
      <c r="NV5" t="str">
        <f>_xll.BDS("MCBF US Equity","SUPPLY_CHAIN_CUSTOMERS","RELATIONSHIP_AS_OF_DATE","20030902")</f>
        <v>#N/A N/A</v>
      </c>
      <c r="OA5" t="str">
        <f>_xll.BDS("TGEN US Equity","SUPPLY_CHAIN_SUPPLIERS","RELATIONSHIP_AS_OF_DATE","20161102")</f>
        <v>692101Z US Equity</v>
      </c>
      <c r="OF5" t="str">
        <f>_xll.BDS("TGEN US Equity","SUPPLY_CHAIN_CUSTOMERS","RELATIONSHIP_AS_OF_DATE","20161102","cols=1;rows=2")</f>
        <v>0186548D JP Equity</v>
      </c>
    </row>
    <row r="6" spans="1:396" x14ac:dyDescent="0.25">
      <c r="CC6" t="s">
        <v>11008</v>
      </c>
      <c r="CH6" t="s">
        <v>1363</v>
      </c>
      <c r="DQ6" t="s">
        <v>3439</v>
      </c>
      <c r="DV6" t="s">
        <v>10785</v>
      </c>
      <c r="GI6" t="s">
        <v>10838</v>
      </c>
      <c r="GN6" t="s">
        <v>10676</v>
      </c>
      <c r="HC6" t="s">
        <v>10696</v>
      </c>
      <c r="IQ6" t="s">
        <v>11220</v>
      </c>
      <c r="IV6" t="s">
        <v>10925</v>
      </c>
      <c r="JA6" t="s">
        <v>10892</v>
      </c>
      <c r="JF6" t="s">
        <v>10892</v>
      </c>
      <c r="KO6" t="s">
        <v>2792</v>
      </c>
      <c r="KT6" t="s">
        <v>10677</v>
      </c>
      <c r="OF6" t="s">
        <v>11186</v>
      </c>
    </row>
    <row r="7" spans="1:396" x14ac:dyDescent="0.25">
      <c r="CC7" t="s">
        <v>11009</v>
      </c>
      <c r="CH7" t="s">
        <v>10939</v>
      </c>
      <c r="DQ7" t="s">
        <v>11206</v>
      </c>
      <c r="DV7" t="s">
        <v>42</v>
      </c>
      <c r="GI7" t="s">
        <v>10839</v>
      </c>
      <c r="GN7" t="s">
        <v>10774</v>
      </c>
      <c r="HC7" t="s">
        <v>1265</v>
      </c>
      <c r="IQ7" t="s">
        <v>2604</v>
      </c>
      <c r="IV7" t="s">
        <v>10797</v>
      </c>
      <c r="JA7" t="s">
        <v>10859</v>
      </c>
      <c r="JF7" t="s">
        <v>11207</v>
      </c>
      <c r="KO7" t="s">
        <v>10737</v>
      </c>
      <c r="KT7" t="s">
        <v>4642</v>
      </c>
    </row>
    <row r="8" spans="1:396" x14ac:dyDescent="0.25">
      <c r="CC8" t="s">
        <v>11010</v>
      </c>
      <c r="CH8" t="s">
        <v>1652</v>
      </c>
      <c r="DQ8" t="s">
        <v>8081</v>
      </c>
      <c r="DV8" t="s">
        <v>11193</v>
      </c>
      <c r="GI8" t="s">
        <v>10840</v>
      </c>
      <c r="GN8" t="s">
        <v>10775</v>
      </c>
      <c r="HC8" t="s">
        <v>158</v>
      </c>
      <c r="IQ8" t="s">
        <v>3701</v>
      </c>
      <c r="IV8" t="s">
        <v>10926</v>
      </c>
      <c r="JA8" t="s">
        <v>11203</v>
      </c>
      <c r="JF8" t="s">
        <v>11084</v>
      </c>
      <c r="KO8" t="s">
        <v>4475</v>
      </c>
      <c r="KT8" t="s">
        <v>1363</v>
      </c>
    </row>
    <row r="9" spans="1:396" x14ac:dyDescent="0.25">
      <c r="CC9" t="s">
        <v>3625</v>
      </c>
      <c r="CH9" t="s">
        <v>1740</v>
      </c>
      <c r="DQ9" t="s">
        <v>1365</v>
      </c>
      <c r="DV9" t="s">
        <v>388</v>
      </c>
      <c r="GI9" t="s">
        <v>10841</v>
      </c>
      <c r="GN9" t="s">
        <v>5070</v>
      </c>
      <c r="HC9" t="s">
        <v>260</v>
      </c>
      <c r="IQ9" t="s">
        <v>10941</v>
      </c>
      <c r="IV9" t="s">
        <v>10657</v>
      </c>
      <c r="JA9" t="s">
        <v>11204</v>
      </c>
      <c r="JF9" t="s">
        <v>10659</v>
      </c>
      <c r="KO9" t="s">
        <v>10738</v>
      </c>
      <c r="KT9" t="s">
        <v>42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9707</v>
      </c>
      <c r="K1" s="1" t="s">
        <v>9708</v>
      </c>
      <c r="U1" s="1" t="s">
        <v>9709</v>
      </c>
      <c r="AE1" s="1" t="s">
        <v>9710</v>
      </c>
      <c r="AO1" s="1" t="s">
        <v>9711</v>
      </c>
      <c r="AY1" s="1" t="s">
        <v>9712</v>
      </c>
      <c r="BI1" s="1" t="s">
        <v>9713</v>
      </c>
      <c r="BS1" s="1" t="s">
        <v>9714</v>
      </c>
      <c r="CC1" s="1" t="s">
        <v>9715</v>
      </c>
      <c r="CM1" s="1" t="s">
        <v>9716</v>
      </c>
      <c r="CW1" s="1" t="s">
        <v>9717</v>
      </c>
      <c r="DG1" s="1" t="s">
        <v>9718</v>
      </c>
      <c r="DQ1" s="1" t="s">
        <v>9719</v>
      </c>
      <c r="EA1" s="1" t="s">
        <v>9720</v>
      </c>
      <c r="EK1" s="1" t="s">
        <v>9721</v>
      </c>
      <c r="EU1" s="1" t="s">
        <v>9722</v>
      </c>
      <c r="FE1" s="1" t="s">
        <v>9723</v>
      </c>
      <c r="FO1" s="1" t="s">
        <v>9724</v>
      </c>
      <c r="FY1" s="1" t="s">
        <v>9725</v>
      </c>
      <c r="GI1" s="1" t="s">
        <v>9726</v>
      </c>
      <c r="GS1" s="1" t="s">
        <v>9727</v>
      </c>
      <c r="HC1" s="1" t="s">
        <v>9728</v>
      </c>
      <c r="HM1" s="1" t="s">
        <v>9729</v>
      </c>
      <c r="HW1" s="1" t="s">
        <v>9730</v>
      </c>
      <c r="IG1" s="1" t="s">
        <v>9731</v>
      </c>
      <c r="IQ1" s="1" t="s">
        <v>9732</v>
      </c>
      <c r="JA1" s="1" t="s">
        <v>9733</v>
      </c>
      <c r="JK1" s="1" t="s">
        <v>9734</v>
      </c>
      <c r="JU1" s="1" t="s">
        <v>9735</v>
      </c>
      <c r="KE1" s="1" t="s">
        <v>9736</v>
      </c>
      <c r="KO1" s="1" t="s">
        <v>9737</v>
      </c>
      <c r="KY1" s="1" t="s">
        <v>9738</v>
      </c>
      <c r="LI1" s="1" t="s">
        <v>9739</v>
      </c>
      <c r="LS1" s="1" t="s">
        <v>9740</v>
      </c>
      <c r="MC1" s="1" t="s">
        <v>9741</v>
      </c>
      <c r="MM1" s="1" t="s">
        <v>9742</v>
      </c>
      <c r="MW1" s="1" t="s">
        <v>9743</v>
      </c>
      <c r="NG1" s="1" t="s">
        <v>9744</v>
      </c>
      <c r="NQ1" s="1" t="s">
        <v>9745</v>
      </c>
      <c r="OA1" s="1" t="s">
        <v>9746</v>
      </c>
    </row>
    <row r="2" spans="1:396" x14ac:dyDescent="0.25">
      <c r="A2" s="2" t="s">
        <v>5761</v>
      </c>
      <c r="K2" s="2" t="s">
        <v>9747</v>
      </c>
      <c r="U2" s="2" t="s">
        <v>9748</v>
      </c>
      <c r="AE2" s="2" t="s">
        <v>9461</v>
      </c>
      <c r="AO2" s="2" t="s">
        <v>9749</v>
      </c>
      <c r="AY2" s="2" t="s">
        <v>9750</v>
      </c>
      <c r="BI2" s="2" t="s">
        <v>9751</v>
      </c>
      <c r="BS2" s="2" t="s">
        <v>9752</v>
      </c>
      <c r="CC2" s="2" t="s">
        <v>2037</v>
      </c>
      <c r="CM2" s="2" t="s">
        <v>9753</v>
      </c>
      <c r="CW2" s="2" t="s">
        <v>8088</v>
      </c>
      <c r="DG2" s="2" t="s">
        <v>4566</v>
      </c>
      <c r="DQ2" s="2" t="s">
        <v>8911</v>
      </c>
      <c r="EA2" s="2" t="s">
        <v>64</v>
      </c>
      <c r="EK2" s="2" t="s">
        <v>9754</v>
      </c>
      <c r="EU2" s="2" t="s">
        <v>9755</v>
      </c>
      <c r="FE2" s="2" t="s">
        <v>6563</v>
      </c>
      <c r="FO2" s="2" t="s">
        <v>157</v>
      </c>
      <c r="FY2" s="2" t="s">
        <v>9756</v>
      </c>
      <c r="GI2" s="2" t="s">
        <v>9757</v>
      </c>
      <c r="GS2" s="2" t="s">
        <v>7606</v>
      </c>
      <c r="HC2" s="2" t="s">
        <v>5985</v>
      </c>
      <c r="HM2" s="2" t="s">
        <v>158</v>
      </c>
      <c r="HW2" s="2" t="s">
        <v>9758</v>
      </c>
      <c r="IG2" s="2" t="s">
        <v>9759</v>
      </c>
      <c r="IQ2" s="2" t="s">
        <v>7761</v>
      </c>
      <c r="JA2" s="2" t="s">
        <v>9760</v>
      </c>
      <c r="JK2" s="2" t="s">
        <v>9761</v>
      </c>
      <c r="JU2" s="2" t="s">
        <v>9530</v>
      </c>
      <c r="KE2" s="2" t="s">
        <v>9762</v>
      </c>
      <c r="KO2" s="2" t="s">
        <v>9380</v>
      </c>
      <c r="KY2" s="2" t="s">
        <v>9763</v>
      </c>
      <c r="LI2" s="2" t="s">
        <v>1164</v>
      </c>
      <c r="LS2" s="2" t="s">
        <v>9764</v>
      </c>
      <c r="MC2" s="2" t="s">
        <v>9765</v>
      </c>
      <c r="MM2" s="2" t="s">
        <v>7606</v>
      </c>
      <c r="MW2" s="2" t="s">
        <v>9766</v>
      </c>
      <c r="NG2" s="2" t="s">
        <v>9767</v>
      </c>
      <c r="NQ2" s="2" t="s">
        <v>9768</v>
      </c>
      <c r="OA2" s="2" t="s">
        <v>6152</v>
      </c>
    </row>
    <row r="3" spans="1:396" x14ac:dyDescent="0.25">
      <c r="A3" t="s">
        <v>7412</v>
      </c>
      <c r="K3" t="s">
        <v>8706</v>
      </c>
      <c r="U3" t="s">
        <v>9769</v>
      </c>
      <c r="AE3" t="s">
        <v>8182</v>
      </c>
      <c r="AO3" t="s">
        <v>9770</v>
      </c>
      <c r="AY3" t="s">
        <v>9771</v>
      </c>
      <c r="BI3" t="s">
        <v>3560</v>
      </c>
      <c r="BS3" t="s">
        <v>9772</v>
      </c>
      <c r="CC3" t="s">
        <v>7402</v>
      </c>
      <c r="CM3" t="s">
        <v>1780</v>
      </c>
      <c r="CW3" t="s">
        <v>9773</v>
      </c>
      <c r="DG3" t="s">
        <v>9627</v>
      </c>
      <c r="DQ3" t="s">
        <v>9774</v>
      </c>
      <c r="EA3" t="s">
        <v>1198</v>
      </c>
      <c r="EK3" t="s">
        <v>8859</v>
      </c>
      <c r="EU3" t="s">
        <v>9775</v>
      </c>
      <c r="FE3" t="s">
        <v>2913</v>
      </c>
      <c r="FO3" t="s">
        <v>4149</v>
      </c>
      <c r="FY3" t="s">
        <v>9776</v>
      </c>
      <c r="GI3" t="s">
        <v>3805</v>
      </c>
      <c r="GS3" t="s">
        <v>9777</v>
      </c>
      <c r="HC3" t="s">
        <v>3098</v>
      </c>
      <c r="HM3" t="s">
        <v>9778</v>
      </c>
      <c r="HW3" t="s">
        <v>9779</v>
      </c>
      <c r="IG3" t="s">
        <v>5366</v>
      </c>
      <c r="IQ3" t="s">
        <v>9780</v>
      </c>
      <c r="JA3" t="s">
        <v>3466</v>
      </c>
      <c r="JK3" t="s">
        <v>9781</v>
      </c>
      <c r="JU3" t="s">
        <v>5360</v>
      </c>
      <c r="KE3" t="s">
        <v>4934</v>
      </c>
      <c r="KO3" t="s">
        <v>5182</v>
      </c>
      <c r="KY3" t="s">
        <v>9782</v>
      </c>
      <c r="LI3" t="s">
        <v>2232</v>
      </c>
      <c r="LS3" t="s">
        <v>9783</v>
      </c>
      <c r="MC3" t="s">
        <v>9784</v>
      </c>
      <c r="MM3" t="s">
        <v>9785</v>
      </c>
      <c r="MW3" t="s">
        <v>1216</v>
      </c>
      <c r="NG3" t="s">
        <v>6752</v>
      </c>
      <c r="NQ3" t="s">
        <v>3633</v>
      </c>
      <c r="OA3" t="s">
        <v>9786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_xll.BDS("CNOB US Equity","SUPPLY_CHAIN_SUPPLIERS","RELATIONSHIP_AS_OF_DATE","20041220")</f>
        <v>NCNO US Equity</v>
      </c>
      <c r="F5" t="str">
        <f>_xll.BDS("CNOB US Equity","SUPPLY_CHAIN_CUSTOMERS","RELATIONSHIP_AS_OF_DATE","20041220")</f>
        <v>#N/A N/A</v>
      </c>
      <c r="K5" t="str">
        <f>_xll.BDS("NWFL US Equity","SUPPLY_CHAIN_SUPPLIERS","RELATIONSHIP_AS_OF_DATE","20101215")</f>
        <v>#N/A N/A</v>
      </c>
      <c r="P5" t="str">
        <f>_xll.BDS("NWFL US Equity","SUPPLY_CHAIN_CUSTOMERS","RELATIONSHIP_AS_OF_DATE","20101215")</f>
        <v>#N/A N/A</v>
      </c>
      <c r="U5" t="str">
        <f>_xll.BDS("WCGRQ US Equity","SUPPLY_CHAIN_SUPPLIERS","RELATIONSHIP_AS_OF_DATE","20011011")</f>
        <v>#N/A N/A</v>
      </c>
      <c r="Z5" t="str">
        <f>_xll.BDS("WCGRQ US Equity","SUPPLY_CHAIN_CUSTOMERS","RELATIONSHIP_AS_OF_DATE","20011011")</f>
        <v>#N/A N/A</v>
      </c>
      <c r="AE5" t="str">
        <f>_xll.BDS("AWBCQ US Equity","SUPPLY_CHAIN_SUPPLIERS","RELATIONSHIP_AS_OF_DATE","20120719")</f>
        <v>#N/A N/A</v>
      </c>
      <c r="AJ5" t="str">
        <f>_xll.BDS("AWBCQ US Equity","SUPPLY_CHAIN_CUSTOMERS","RELATIONSHIP_AS_OF_DATE","20120719")</f>
        <v>#N/A N/A</v>
      </c>
      <c r="AO5" t="str">
        <f>_xll.BDS("RRHI US Equity","SUPPLY_CHAIN_SUPPLIERS","RELATIONSHIP_AS_OF_DATE","20111221")</f>
        <v>#N/A N/A</v>
      </c>
      <c r="AT5" t="str">
        <f>_xll.BDS("RRHI US Equity","SUPPLY_CHAIN_CUSTOMERS","RELATIONSHIP_AS_OF_DATE","20111221")</f>
        <v>#N/A N/A</v>
      </c>
      <c r="AY5" t="str">
        <f>_xll.BDS("PRWT US Equity","SUPPLY_CHAIN_SUPPLIERS","RELATIONSHIP_AS_OF_DATE","20030916")</f>
        <v>#N/A N/A</v>
      </c>
      <c r="BD5" t="str">
        <f>_xll.BDS("PRWT US Equity","SUPPLY_CHAIN_CUSTOMERS","RELATIONSHIP_AS_OF_DATE","20030916")</f>
        <v>#N/A N/A</v>
      </c>
      <c r="BI5" t="str">
        <f>_xll.BDS("1838147D US Equity","SUPPLY_CHAIN_SUPPLIERS","RELATIONSHIP_AS_OF_DATE","19980630")</f>
        <v>#N/A N/A</v>
      </c>
      <c r="BN5" t="str">
        <f>_xll.BDS("1838147D US Equity","SUPPLY_CHAIN_CUSTOMERS","RELATIONSHIP_AS_OF_DATE","19980630")</f>
        <v>#N/A N/A</v>
      </c>
      <c r="BS5" t="str">
        <f>_xll.BDS("CHEV US Equity","SUPPLY_CHAIN_SUPPLIERS","RELATIONSHIP_AS_OF_DATE","20101013")</f>
        <v>#N/A N/A</v>
      </c>
      <c r="BX5" t="str">
        <f>_xll.BDS("CHEV US Equity","SUPPLY_CHAIN_CUSTOMERS","RELATIONSHIP_AS_OF_DATE","20101013")</f>
        <v>#N/A N/A</v>
      </c>
      <c r="CC5" t="str">
        <f>_xll.BDS("SPXC US Equity","SUPPLY_CHAIN_SUPPLIERS","RELATIONSHIP_AS_OF_DATE","20010126","cols=1;rows=5")</f>
        <v>CRS US Equity</v>
      </c>
      <c r="CH5" t="str">
        <f>_xll.BDS("SPXC US Equity","SUPPLY_CHAIN_CUSTOMERS","RELATIONSHIP_AS_OF_DATE","20010126","cols=1;rows=5")</f>
        <v>002564 CH Equity</v>
      </c>
      <c r="CM5" t="str">
        <f>_xll.BDS("CATM US Equity","SUPPLY_CHAIN_SUPPLIERS","RELATIONSHIP_AS_OF_DATE","20110815")</f>
        <v>#N/A N/A</v>
      </c>
      <c r="CR5" t="str">
        <f>_xll.BDS("CATM US Equity","SUPPLY_CHAIN_CUSTOMERS","RELATIONSHIP_AS_OF_DATE","20110815")</f>
        <v>#N/A N/A</v>
      </c>
      <c r="CW5" t="str">
        <f>_xll.BDS("FCBC US Equity","SUPPLY_CHAIN_SUPPLIERS","RELATIONSHIP_AS_OF_DATE","20030127")</f>
        <v>#N/A N/A</v>
      </c>
      <c r="DB5" t="str">
        <f>_xll.BDS("FCBC US Equity","SUPPLY_CHAIN_CUSTOMERS","RELATIONSHIP_AS_OF_DATE","20030127")</f>
        <v>#N/A N/A</v>
      </c>
      <c r="DG5" t="str">
        <f>_xll.BDS("SASR US Equity","SUPPLY_CHAIN_SUPPLIERS","RELATIONSHIP_AS_OF_DATE","20111220")</f>
        <v>#N/A N/A</v>
      </c>
      <c r="DL5" t="str">
        <f>_xll.BDS("SASR US Equity","SUPPLY_CHAIN_CUSTOMERS","RELATIONSHIP_AS_OF_DATE","20111220")</f>
        <v>#N/A N/A</v>
      </c>
      <c r="DQ5" t="str">
        <f>_xll.BDS("SBBX US Equity","SUPPLY_CHAIN_SUPPLIERS","RELATIONSHIP_AS_OF_DATE","20180620")</f>
        <v>#N/A N/A</v>
      </c>
      <c r="DV5" t="str">
        <f>_xll.BDS("SBBX US Equity","SUPPLY_CHAIN_CUSTOMERS","RELATIONSHIP_AS_OF_DATE","20180620")</f>
        <v>#N/A N/A</v>
      </c>
      <c r="EA5" t="str">
        <f>_xll.BDS("nan Equity","SUPPLY_CHAIN_SUPPLIERS","RELATIONSHIP_AS_OF_DATE","20130930")</f>
        <v>#N/A N/A</v>
      </c>
      <c r="EF5" t="str">
        <f>_xll.BDS("nan Equity","SUPPLY_CHAIN_CUSTOMERS","RELATIONSHIP_AS_OF_DATE","20130930")</f>
        <v>#N/A N/A</v>
      </c>
      <c r="EK5" t="str">
        <f>_xll.BDS("LNCB US Equity","SUPPLY_CHAIN_SUPPLIERS","RELATIONSHIP_AS_OF_DATE","20040311")</f>
        <v>#N/A N/A</v>
      </c>
      <c r="EP5" t="str">
        <f>_xll.BDS("LNCB US Equity","SUPPLY_CHAIN_CUSTOMERS","RELATIONSHIP_AS_OF_DATE","20040311")</f>
        <v>#N/A N/A</v>
      </c>
      <c r="EU5" t="str">
        <f>_xll.BDS("STC US Equity","SUPPLY_CHAIN_SUPPLIERS","RELATIONSHIP_AS_OF_DATE","20050727")</f>
        <v>#N/A N/A</v>
      </c>
      <c r="EZ5" t="str">
        <f>_xll.BDS("STC US Equity","SUPPLY_CHAIN_CUSTOMERS","RELATIONSHIP_AS_OF_DATE","20050727")</f>
        <v>#N/A N/A</v>
      </c>
      <c r="FE5" t="str">
        <f>_xll.BDS("0948669D US Equity","SUPPLY_CHAIN_SUPPLIERS","RELATIONSHIP_AS_OF_DATE","20010205")</f>
        <v>300703 CH Equity</v>
      </c>
      <c r="FJ5" t="str">
        <f>_xll.BDS("0948669D US Equity","SUPPLY_CHAIN_CUSTOMERS","RELATIONSHIP_AS_OF_DATE","20010205","cols=1;rows=3")</f>
        <v>ACI US Equity</v>
      </c>
      <c r="FO5" t="str">
        <f>_xll.BDS("WCOEQ US Equity","SUPPLY_CHAIN_SUPPLIERS","RELATIONSHIP_AS_OF_DATE","20030725")</f>
        <v>#N/A N/A</v>
      </c>
      <c r="FT5" t="str">
        <f>_xll.BDS("WCOEQ US Equity","SUPPLY_CHAIN_CUSTOMERS","RELATIONSHIP_AS_OF_DATE","20030725")</f>
        <v>#N/A N/A</v>
      </c>
      <c r="FY5" t="str">
        <f>_xll.BDS("VRCC US Equity","SUPPLY_CHAIN_SUPPLIERS","RELATIONSHIP_AS_OF_DATE","20061018")</f>
        <v>#N/A N/A</v>
      </c>
      <c r="GD5" t="str">
        <f>_xll.BDS("VRCC US Equity","SUPPLY_CHAIN_CUSTOMERS","RELATIONSHIP_AS_OF_DATE","20061018")</f>
        <v>#N/A N/A</v>
      </c>
      <c r="GI5" t="str">
        <f>_xll.BDS("623366Q US Equity","SUPPLY_CHAIN_SUPPLIERS","RELATIONSHIP_AS_OF_DATE","19980410")</f>
        <v>CSCO US Equity</v>
      </c>
      <c r="GN5" t="str">
        <f>_xll.BDS("623366Q US Equity","SUPPLY_CHAIN_CUSTOMERS","RELATIONSHIP_AS_OF_DATE","19980410")</f>
        <v>#N/A N/A</v>
      </c>
      <c r="GS5" t="str">
        <f>_xll.BDS("AMNB US Equity","SUPPLY_CHAIN_SUPPLIERS","RELATIONSHIP_AS_OF_DATE","20051019")</f>
        <v>#N/A N/A</v>
      </c>
      <c r="GX5" t="str">
        <f>_xll.BDS("AMNB US Equity","SUPPLY_CHAIN_CUSTOMERS","RELATIONSHIP_AS_OF_DATE","20051019")</f>
        <v>#N/A N/A</v>
      </c>
      <c r="HC5" t="str">
        <f>_xll.BDS("BANC US Equity","SUPPLY_CHAIN_SUPPLIERS","RELATIONSHIP_AS_OF_DATE","20120822","cols=1;rows=2")</f>
        <v>003490 KS Equity</v>
      </c>
      <c r="HH5" t="str">
        <f>_xll.BDS("BANC US Equity","SUPPLY_CHAIN_CUSTOMERS","RELATIONSHIP_AS_OF_DATE","20120822")</f>
        <v>SNX US Equity</v>
      </c>
      <c r="HM5" t="str">
        <f>_xll.BDS("BRK/A US Equity","SUPPLY_CHAIN_SUPPLIERS","RELATIONSHIP_AS_OF_DATE","20090615","cols=1;rows=5")</f>
        <v>HSY US Equity</v>
      </c>
      <c r="HR5" t="str">
        <f>_xll.BDS("BRK/A US Equity","SUPPLY_CHAIN_CUSTOMERS","RELATIONSHIP_AS_OF_DATE","20090615","cols=1;rows=5")</f>
        <v>WMT US Equity</v>
      </c>
      <c r="HW5" t="str">
        <f>_xll.BDS("967617Z US Equity","SUPPLY_CHAIN_SUPPLIERS","RELATIONSHIP_AS_OF_DATE","20080909")</f>
        <v>GPE LN Equity</v>
      </c>
      <c r="IB5" t="str">
        <f>_xll.BDS("967617Z US Equity","SUPPLY_CHAIN_CUSTOMERS","RELATIONSHIP_AS_OF_DATE","20080909")</f>
        <v>#N/A N/A</v>
      </c>
      <c r="IG5" t="str">
        <f>_xll.BDS("DBAI US Equity","SUPPLY_CHAIN_SUPPLIERS","RELATIONSHIP_AS_OF_DATE","20070515")</f>
        <v>#N/A N/A</v>
      </c>
      <c r="IL5" t="str">
        <f>_xll.BDS("DBAI US Equity","SUPPLY_CHAIN_CUSTOMERS","RELATIONSHIP_AS_OF_DATE","20070515")</f>
        <v>#N/A N/A</v>
      </c>
      <c r="IQ5" t="str">
        <f>_xll.BDS("RILY US Equity","SUPPLY_CHAIN_SUPPLIERS","RELATIONSHIP_AS_OF_DATE","20210111","cols=1;rows=5")</f>
        <v>1460 TT Equity</v>
      </c>
      <c r="IV5" t="str">
        <f>_xll.BDS("RILY US Equity","SUPPLY_CHAIN_CUSTOMERS","RELATIONSHIP_AS_OF_DATE","20210111","cols=1;rows=5")</f>
        <v>NSIT US Equity</v>
      </c>
      <c r="JA5" t="str">
        <f>_xll.BDS("BKYF US Equity","SUPPLY_CHAIN_SUPPLIERS","RELATIONSHIP_AS_OF_DATE","19991221")</f>
        <v>#N/A N/A</v>
      </c>
      <c r="JF5" t="str">
        <f>_xll.BDS("BKYF US Equity","SUPPLY_CHAIN_CUSTOMERS","RELATIONSHIP_AS_OF_DATE","19991221")</f>
        <v>#N/A N/A</v>
      </c>
      <c r="JK5" t="str">
        <f>_xll.BDS("FMFG US Equity","SUPPLY_CHAIN_SUPPLIERS","RELATIONSHIP_AS_OF_DATE","20200306")</f>
        <v>#N/A N/A</v>
      </c>
      <c r="JP5" t="str">
        <f>_xll.BDS("FMFG US Equity","SUPPLY_CHAIN_CUSTOMERS","RELATIONSHIP_AS_OF_DATE","20200306")</f>
        <v>#N/A N/A</v>
      </c>
      <c r="JU5" t="str">
        <f>_xll.BDS("CMBC US Equity","SUPPLY_CHAIN_SUPPLIERS","RELATIONSHIP_AS_OF_DATE","20040629")</f>
        <v>#N/A N/A</v>
      </c>
      <c r="JZ5" t="str">
        <f>_xll.BDS("CMBC US Equity","SUPPLY_CHAIN_CUSTOMERS","RELATIONSHIP_AS_OF_DATE","20040629")</f>
        <v>#N/A N/A</v>
      </c>
      <c r="KE5" t="str">
        <f>_xll.BDS("CTED US Equity","SUPPLY_CHAIN_SUPPLIERS","RELATIONSHIP_AS_OF_DATE","19980112")</f>
        <v>#N/A N/A</v>
      </c>
      <c r="KJ5" t="str">
        <f>_xll.BDS("CTED US Equity","SUPPLY_CHAIN_CUSTOMERS","RELATIONSHIP_AS_OF_DATE","19980112")</f>
        <v>#N/A N/A</v>
      </c>
      <c r="KO5" t="str">
        <f>_xll.BDS("RBI US Equity","SUPPLY_CHAIN_SUPPLIERS","RELATIONSHIP_AS_OF_DATE","20060921")</f>
        <v>UAA US Equity</v>
      </c>
      <c r="KT5" t="str">
        <f>_xll.BDS("RBI US Equity","SUPPLY_CHAIN_CUSTOMERS","RELATIONSHIP_AS_OF_DATE","20060921")</f>
        <v>#N/A N/A</v>
      </c>
      <c r="KY5" t="str">
        <f>_xll.BDS("WFBI US Equity","SUPPLY_CHAIN_SUPPLIERS","RELATIONSHIP_AS_OF_DATE","20120503")</f>
        <v>#N/A N/A</v>
      </c>
      <c r="LD5" t="str">
        <f>_xll.BDS("WFBI US Equity","SUPPLY_CHAIN_CUSTOMERS","RELATIONSHIP_AS_OF_DATE","20120503")</f>
        <v>#N/A N/A</v>
      </c>
      <c r="LI5" t="str">
        <f>_xll.BDS("GE US Equity","SUPPLY_CHAIN_SUPPLIERS","RELATIONSHIP_AS_OF_DATE","19991220","cols=1;rows=5")</f>
        <v>SAF FP Equity</v>
      </c>
      <c r="LN5" t="str">
        <f>_xll.BDS("GE US Equity","SUPPLY_CHAIN_CUSTOMERS","RELATIONSHIP_AS_OF_DATE","19991220","cols=1;rows=5")</f>
        <v>3352Z US Equity</v>
      </c>
      <c r="LS5" t="str">
        <f>_xll.BDS("ARTG US Equity","SUPPLY_CHAIN_SUPPLIERS","RELATIONSHIP_AS_OF_DATE","20040810")</f>
        <v>#N/A N/A</v>
      </c>
      <c r="LX5" t="str">
        <f>_xll.BDS("ARTG US Equity","SUPPLY_CHAIN_CUSTOMERS","RELATIONSHIP_AS_OF_DATE","20040810")</f>
        <v>#N/A N/A</v>
      </c>
      <c r="MC5" t="str">
        <f>_xll.BDS("CALB US Equity","SUPPLY_CHAIN_SUPPLIERS","RELATIONSHIP_AS_OF_DATE","20150919")</f>
        <v>#N/A N/A</v>
      </c>
      <c r="MH5" t="str">
        <f>_xll.BDS("CALB US Equity","SUPPLY_CHAIN_CUSTOMERS","RELATIONSHIP_AS_OF_DATE","20150919")</f>
        <v>#N/A N/A</v>
      </c>
      <c r="MM5" t="str">
        <f>_xll.BDS("AMNB US Equity","SUPPLY_CHAIN_SUPPLIERS","RELATIONSHIP_AS_OF_DATE","20140825")</f>
        <v>#N/A N/A</v>
      </c>
      <c r="MR5" t="str">
        <f>_xll.BDS("AMNB US Equity","SUPPLY_CHAIN_CUSTOMERS","RELATIONSHIP_AS_OF_DATE","20140825")</f>
        <v>#N/A N/A</v>
      </c>
      <c r="MW5" t="str">
        <f>_xll.BDS("AMCX US Equity","SUPPLY_CHAIN_SUPPLIERS","RELATIONSHIP_AS_OF_DATE","20180226","cols=1;rows=5")</f>
        <v>6758 JP Equity</v>
      </c>
      <c r="NB5" t="str">
        <f>_xll.BDS("AMCX US Equity","SUPPLY_CHAIN_CUSTOMERS","RELATIONSHIP_AS_OF_DATE","20180226","cols=1;rows=5")</f>
        <v>003550 KS Equity</v>
      </c>
      <c r="NG5" t="str">
        <f>_xll.BDS("NEPF US Equity","SUPPLY_CHAIN_SUPPLIERS","RELATIONSHIP_AS_OF_DATE","20000602")</f>
        <v>#N/A N/A</v>
      </c>
      <c r="NL5" t="str">
        <f>_xll.BDS("NEPF US Equity","SUPPLY_CHAIN_CUSTOMERS","RELATIONSHIP_AS_OF_DATE","20000602")</f>
        <v>#N/A N/A</v>
      </c>
      <c r="NQ5" t="str">
        <f>_xll.BDS("PSBI US Equity","SUPPLY_CHAIN_SUPPLIERS","RELATIONSHIP_AS_OF_DATE","20001102")</f>
        <v>#N/A N/A</v>
      </c>
      <c r="NV5" t="str">
        <f>_xll.BDS("PSBI US Equity","SUPPLY_CHAIN_CUSTOMERS","RELATIONSHIP_AS_OF_DATE","20001102")</f>
        <v>#N/A N/A</v>
      </c>
      <c r="OA5" t="str">
        <f>_xll.BDS("EXAR US Equity","SUPPLY_CHAIN_SUPPLIERS","RELATIONSHIP_AS_OF_DATE","20090223")</f>
        <v>#N/A N/A</v>
      </c>
      <c r="OF5" t="str">
        <f>_xll.BDS("EXAR US Equity","SUPPLY_CHAIN_CUSTOMERS","RELATIONSHIP_AS_OF_DATE","20090223")</f>
        <v>#N/A N/A</v>
      </c>
    </row>
    <row r="6" spans="1:396" x14ac:dyDescent="0.25">
      <c r="CC6" t="s">
        <v>10986</v>
      </c>
      <c r="CH6" t="s">
        <v>10960</v>
      </c>
      <c r="FJ6" t="s">
        <v>10993</v>
      </c>
      <c r="HC6" t="s">
        <v>10829</v>
      </c>
      <c r="HM6" t="s">
        <v>2792</v>
      </c>
      <c r="HR6" t="s">
        <v>10677</v>
      </c>
      <c r="IQ6" t="s">
        <v>11374</v>
      </c>
      <c r="IV6" t="s">
        <v>10918</v>
      </c>
      <c r="LI6" t="s">
        <v>11008</v>
      </c>
      <c r="LN6" t="s">
        <v>1363</v>
      </c>
      <c r="MW6" t="s">
        <v>11122</v>
      </c>
      <c r="NB6" t="s">
        <v>10892</v>
      </c>
    </row>
    <row r="7" spans="1:396" x14ac:dyDescent="0.25">
      <c r="CC7" t="s">
        <v>10959</v>
      </c>
      <c r="CH7" t="s">
        <v>10961</v>
      </c>
      <c r="FJ7" t="s">
        <v>10994</v>
      </c>
      <c r="HM7" t="s">
        <v>10737</v>
      </c>
      <c r="HR7" t="s">
        <v>4642</v>
      </c>
      <c r="IQ7" t="s">
        <v>2705</v>
      </c>
      <c r="IV7" t="s">
        <v>10919</v>
      </c>
      <c r="LI7" t="s">
        <v>11009</v>
      </c>
      <c r="LN7" t="s">
        <v>10939</v>
      </c>
      <c r="MW7" t="s">
        <v>10892</v>
      </c>
      <c r="NB7" t="s">
        <v>11119</v>
      </c>
    </row>
    <row r="8" spans="1:396" x14ac:dyDescent="0.25">
      <c r="CC8" t="s">
        <v>10987</v>
      </c>
      <c r="CH8" t="s">
        <v>10933</v>
      </c>
      <c r="HM8" t="s">
        <v>4475</v>
      </c>
      <c r="HR8" t="s">
        <v>1363</v>
      </c>
      <c r="IQ8" t="s">
        <v>11375</v>
      </c>
      <c r="IV8" t="s">
        <v>10920</v>
      </c>
      <c r="LI8" t="s">
        <v>11010</v>
      </c>
      <c r="LN8" t="s">
        <v>1652</v>
      </c>
      <c r="MW8" t="s">
        <v>11123</v>
      </c>
      <c r="NB8" t="s">
        <v>11120</v>
      </c>
    </row>
    <row r="9" spans="1:396" x14ac:dyDescent="0.25">
      <c r="CC9" t="s">
        <v>10696</v>
      </c>
      <c r="CH9" t="s">
        <v>10962</v>
      </c>
      <c r="HM9" t="s">
        <v>10738</v>
      </c>
      <c r="HR9" t="s">
        <v>42</v>
      </c>
      <c r="IQ9" t="s">
        <v>11084</v>
      </c>
      <c r="IV9" t="s">
        <v>10921</v>
      </c>
      <c r="LI9" t="s">
        <v>3625</v>
      </c>
      <c r="LN9" t="s">
        <v>1740</v>
      </c>
      <c r="MW9" t="s">
        <v>11124</v>
      </c>
      <c r="NB9" t="s">
        <v>11121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9787</v>
      </c>
      <c r="K1" s="1" t="s">
        <v>9788</v>
      </c>
      <c r="U1" s="1" t="s">
        <v>9789</v>
      </c>
      <c r="AE1" s="1" t="s">
        <v>9790</v>
      </c>
      <c r="AO1" s="1" t="s">
        <v>9791</v>
      </c>
      <c r="AY1" s="1" t="s">
        <v>9792</v>
      </c>
      <c r="BI1" s="1" t="s">
        <v>9793</v>
      </c>
      <c r="BS1" s="1" t="s">
        <v>9794</v>
      </c>
      <c r="CC1" s="1" t="s">
        <v>9795</v>
      </c>
      <c r="CM1" s="1" t="s">
        <v>9796</v>
      </c>
      <c r="CW1" s="1" t="s">
        <v>9797</v>
      </c>
      <c r="DG1" s="1" t="s">
        <v>9798</v>
      </c>
      <c r="DQ1" s="1" t="s">
        <v>9799</v>
      </c>
      <c r="EA1" s="1" t="s">
        <v>9800</v>
      </c>
      <c r="EK1" s="1" t="s">
        <v>9801</v>
      </c>
      <c r="EU1" s="1" t="s">
        <v>9802</v>
      </c>
      <c r="FE1" s="1" t="s">
        <v>9803</v>
      </c>
      <c r="FO1" s="1" t="s">
        <v>9804</v>
      </c>
      <c r="FY1" s="1" t="s">
        <v>9805</v>
      </c>
      <c r="GI1" s="1" t="s">
        <v>9806</v>
      </c>
      <c r="GS1" s="1" t="s">
        <v>9807</v>
      </c>
      <c r="HC1" s="1" t="s">
        <v>9808</v>
      </c>
      <c r="HM1" s="1" t="s">
        <v>9809</v>
      </c>
      <c r="HW1" s="1" t="s">
        <v>9810</v>
      </c>
      <c r="IG1" s="1" t="s">
        <v>9811</v>
      </c>
      <c r="IQ1" s="1" t="s">
        <v>9812</v>
      </c>
      <c r="JA1" s="1" t="s">
        <v>9813</v>
      </c>
      <c r="JK1" s="1" t="s">
        <v>9814</v>
      </c>
      <c r="JU1" s="1" t="s">
        <v>9815</v>
      </c>
      <c r="KE1" s="1" t="s">
        <v>9816</v>
      </c>
      <c r="KO1" s="1" t="s">
        <v>9817</v>
      </c>
      <c r="KY1" s="1" t="s">
        <v>9818</v>
      </c>
      <c r="LI1" s="1" t="s">
        <v>9819</v>
      </c>
      <c r="LS1" s="1" t="s">
        <v>9820</v>
      </c>
      <c r="MC1" s="1" t="s">
        <v>9821</v>
      </c>
      <c r="MM1" s="1" t="s">
        <v>9822</v>
      </c>
      <c r="MW1" s="1" t="s">
        <v>9823</v>
      </c>
      <c r="NG1" s="1" t="s">
        <v>9824</v>
      </c>
      <c r="NQ1" s="1" t="s">
        <v>9825</v>
      </c>
      <c r="OA1" s="1" t="s">
        <v>9826</v>
      </c>
    </row>
    <row r="2" spans="1:396" x14ac:dyDescent="0.25">
      <c r="A2" s="2" t="s">
        <v>9827</v>
      </c>
      <c r="K2" s="2" t="s">
        <v>9828</v>
      </c>
      <c r="U2" s="2" t="s">
        <v>9829</v>
      </c>
      <c r="AE2" s="2" t="s">
        <v>2685</v>
      </c>
      <c r="AO2" s="2" t="s">
        <v>9830</v>
      </c>
      <c r="AY2" s="2" t="s">
        <v>3258</v>
      </c>
      <c r="BI2" s="2" t="s">
        <v>8242</v>
      </c>
      <c r="BS2" s="2" t="s">
        <v>9831</v>
      </c>
      <c r="CC2" s="2" t="s">
        <v>7050</v>
      </c>
      <c r="CM2" s="2" t="s">
        <v>9832</v>
      </c>
      <c r="CW2" s="2" t="s">
        <v>1356</v>
      </c>
      <c r="DG2" s="2" t="s">
        <v>7765</v>
      </c>
      <c r="DQ2" s="2" t="s">
        <v>3610</v>
      </c>
      <c r="EA2" s="2" t="s">
        <v>7844</v>
      </c>
      <c r="EK2" s="2" t="s">
        <v>7376</v>
      </c>
      <c r="EU2" s="2" t="s">
        <v>9833</v>
      </c>
      <c r="FE2" s="2" t="s">
        <v>9834</v>
      </c>
      <c r="FO2" s="2" t="s">
        <v>6157</v>
      </c>
      <c r="FY2" s="2" t="s">
        <v>9835</v>
      </c>
      <c r="GI2" s="2" t="s">
        <v>5845</v>
      </c>
      <c r="GS2" s="2" t="s">
        <v>6899</v>
      </c>
      <c r="HC2" s="2" t="s">
        <v>9836</v>
      </c>
      <c r="HM2" s="2" t="s">
        <v>9837</v>
      </c>
      <c r="HW2" s="2" t="s">
        <v>9838</v>
      </c>
      <c r="IG2" s="2" t="s">
        <v>8929</v>
      </c>
      <c r="IQ2" s="2" t="s">
        <v>9839</v>
      </c>
      <c r="JA2" s="2" t="s">
        <v>4911</v>
      </c>
      <c r="JK2" s="2" t="s">
        <v>9840</v>
      </c>
      <c r="JU2" s="2" t="s">
        <v>6563</v>
      </c>
      <c r="KE2" s="2" t="s">
        <v>4125</v>
      </c>
      <c r="KO2" s="2" t="s">
        <v>3621</v>
      </c>
      <c r="KY2" s="2" t="s">
        <v>2700</v>
      </c>
      <c r="LI2" s="2" t="s">
        <v>9841</v>
      </c>
      <c r="LS2" s="2" t="s">
        <v>9842</v>
      </c>
      <c r="MC2" s="2" t="s">
        <v>9843</v>
      </c>
      <c r="MM2" s="2" t="s">
        <v>9844</v>
      </c>
      <c r="MW2" s="2" t="s">
        <v>1934</v>
      </c>
      <c r="NG2" s="2" t="s">
        <v>9845</v>
      </c>
      <c r="NQ2" s="2" t="s">
        <v>9846</v>
      </c>
      <c r="OA2" s="2" t="s">
        <v>7697</v>
      </c>
    </row>
    <row r="3" spans="1:396" x14ac:dyDescent="0.25">
      <c r="A3" t="s">
        <v>401</v>
      </c>
      <c r="K3" t="s">
        <v>3541</v>
      </c>
      <c r="U3" t="s">
        <v>4666</v>
      </c>
      <c r="AE3" t="s">
        <v>9847</v>
      </c>
      <c r="AO3" t="s">
        <v>1199</v>
      </c>
      <c r="AY3" t="s">
        <v>6173</v>
      </c>
      <c r="BI3" t="s">
        <v>2423</v>
      </c>
      <c r="BS3" t="s">
        <v>3637</v>
      </c>
      <c r="CC3" t="s">
        <v>5528</v>
      </c>
      <c r="CM3" t="s">
        <v>9848</v>
      </c>
      <c r="CW3" t="s">
        <v>1108</v>
      </c>
      <c r="DG3" t="s">
        <v>6008</v>
      </c>
      <c r="DQ3" t="s">
        <v>9329</v>
      </c>
      <c r="EA3" t="s">
        <v>4156</v>
      </c>
      <c r="EK3" t="s">
        <v>9849</v>
      </c>
      <c r="EU3" t="s">
        <v>9850</v>
      </c>
      <c r="FE3" t="s">
        <v>9851</v>
      </c>
      <c r="FO3" t="s">
        <v>5859</v>
      </c>
      <c r="FY3" t="s">
        <v>1951</v>
      </c>
      <c r="GI3" t="s">
        <v>3178</v>
      </c>
      <c r="GS3" t="s">
        <v>9240</v>
      </c>
      <c r="HC3" t="s">
        <v>1667</v>
      </c>
      <c r="HM3" t="s">
        <v>9852</v>
      </c>
      <c r="HW3" t="s">
        <v>402</v>
      </c>
      <c r="IG3" t="s">
        <v>9853</v>
      </c>
      <c r="IQ3" t="s">
        <v>8400</v>
      </c>
      <c r="JA3" t="s">
        <v>7627</v>
      </c>
      <c r="JK3" t="s">
        <v>9854</v>
      </c>
      <c r="JU3" t="s">
        <v>9855</v>
      </c>
      <c r="KE3" t="s">
        <v>9856</v>
      </c>
      <c r="KO3" t="s">
        <v>9857</v>
      </c>
      <c r="KY3" t="s">
        <v>9858</v>
      </c>
      <c r="LI3" t="s">
        <v>3000</v>
      </c>
      <c r="LS3" t="s">
        <v>302</v>
      </c>
      <c r="MC3" t="s">
        <v>9859</v>
      </c>
      <c r="MM3" t="s">
        <v>9860</v>
      </c>
      <c r="MW3" t="s">
        <v>9861</v>
      </c>
      <c r="NG3" t="s">
        <v>7328</v>
      </c>
      <c r="NQ3" t="s">
        <v>6325</v>
      </c>
      <c r="OA3" t="s">
        <v>4664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_xll.BDS("FRAF US Equity","SUPPLY_CHAIN_SUPPLIERS","RELATIONSHIP_AS_OF_DATE","20060123")</f>
        <v>#N/A N/A</v>
      </c>
      <c r="F5" t="str">
        <f>_xll.BDS("FRAF US Equity","SUPPLY_CHAIN_CUSTOMERS","RELATIONSHIP_AS_OF_DATE","20060123")</f>
        <v>#N/A N/A</v>
      </c>
      <c r="K5" t="str">
        <f>_xll.BDS("SBIB US Equity","SUPPLY_CHAIN_SUPPLIERS","RELATIONSHIP_AS_OF_DATE","19990602")</f>
        <v>#N/A N/A</v>
      </c>
      <c r="P5" t="str">
        <f>_xll.BDS("SBIB US Equity","SUPPLY_CHAIN_CUSTOMERS","RELATIONSHIP_AS_OF_DATE","19990602")</f>
        <v>#N/A N/A</v>
      </c>
      <c r="U5" t="str">
        <f>_xll.BDS("SMLE US Equity","SUPPLY_CHAIN_SUPPLIERS","RELATIONSHIP_AS_OF_DATE","20001222")</f>
        <v>#N/A N/A</v>
      </c>
      <c r="Z5" t="str">
        <f>_xll.BDS("SMLE US Equity","SUPPLY_CHAIN_CUSTOMERS","RELATIONSHIP_AS_OF_DATE","20001222")</f>
        <v>#N/A N/A</v>
      </c>
      <c r="AE5" t="str">
        <f>_xll.BDS("9876552D US Equity","SUPPLY_CHAIN_SUPPLIERS","RELATIONSHIP_AS_OF_DATE","20100914")</f>
        <v>#N/A N/A</v>
      </c>
      <c r="AJ5" t="str">
        <f>_xll.BDS("9876552D US Equity","SUPPLY_CHAIN_CUSTOMERS","RELATIONSHIP_AS_OF_DATE","20100914")</f>
        <v>#N/A N/A</v>
      </c>
      <c r="AO5" t="str">
        <f>_xll.BDS("PII US Equity","SUPPLY_CHAIN_SUPPLIERS","RELATIONSHIP_AS_OF_DATE","20180906","cols=1;rows=5")</f>
        <v>LCII US Equity</v>
      </c>
      <c r="AT5" t="str">
        <f>_xll.BDS("PII US Equity","SUPPLY_CHAIN_CUSTOMERS","RELATIONSHIP_AS_OF_DATE","20180906","cols=1;rows=5")</f>
        <v>0219682Z US Equity</v>
      </c>
      <c r="AY5" t="str">
        <f>_xll.BDS("PPBI US Equity","SUPPLY_CHAIN_SUPPLIERS","RELATIONSHIP_AS_OF_DATE","20130306")</f>
        <v>MUST SP Equity</v>
      </c>
      <c r="BD5" t="str">
        <f>_xll.BDS("PPBI US Equity","SUPPLY_CHAIN_CUSTOMERS","RELATIONSHIP_AS_OF_DATE","20130306")</f>
        <v>#N/A N/A</v>
      </c>
      <c r="BI5" t="str">
        <f>_xll.BDS("MFA US Equity","SUPPLY_CHAIN_SUPPLIERS","RELATIONSHIP_AS_OF_DATE","19980302")</f>
        <v>#N/A N/A</v>
      </c>
      <c r="BN5" t="str">
        <f>_xll.BDS("MFA US Equity","SUPPLY_CHAIN_CUSTOMERS","RELATIONSHIP_AS_OF_DATE","19980302")</f>
        <v>#N/A N/A</v>
      </c>
      <c r="BS5" t="str">
        <f>_xll.BDS("BLUD US Equity","SUPPLY_CHAIN_SUPPLIERS","RELATIONSHIP_AS_OF_DATE","19980921")</f>
        <v>#N/A N/A</v>
      </c>
      <c r="BX5" t="str">
        <f>_xll.BDS("BLUD US Equity","SUPPLY_CHAIN_CUSTOMERS","RELATIONSHIP_AS_OF_DATE","19980921")</f>
        <v>EPMT IJ Equity</v>
      </c>
      <c r="CC5" t="str">
        <f>_xll.BDS("COB US Equity","SUPPLY_CHAIN_SUPPLIERS","RELATIONSHIP_AS_OF_DATE","20050510")</f>
        <v>#N/A N/A</v>
      </c>
      <c r="CH5" t="str">
        <f>_xll.BDS("COB US Equity","SUPPLY_CHAIN_CUSTOMERS","RELATIONSHIP_AS_OF_DATE","20050510")</f>
        <v>#N/A N/A</v>
      </c>
      <c r="CM5" t="str">
        <f>_xll.BDS("MRVC US Equity","SUPPLY_CHAIN_SUPPLIERS","RELATIONSHIP_AS_OF_DATE","20010913")</f>
        <v>#N/A N/A</v>
      </c>
      <c r="CR5" t="str">
        <f>_xll.BDS("MRVC US Equity","SUPPLY_CHAIN_CUSTOMERS","RELATIONSHIP_AS_OF_DATE","20010913")</f>
        <v>#N/A N/A</v>
      </c>
      <c r="CW5" t="str">
        <f>_xll.BDS("TCF US Equity","SUPPLY_CHAIN_SUPPLIERS","RELATIONSHIP_AS_OF_DATE","20141103")</f>
        <v>#N/A N/A</v>
      </c>
      <c r="DB5" t="str">
        <f>_xll.BDS("TCF US Equity","SUPPLY_CHAIN_CUSTOMERS","RELATIONSHIP_AS_OF_DATE","20141103")</f>
        <v>#N/A N/A</v>
      </c>
      <c r="DG5" t="str">
        <f>_xll.BDS("UCFC US Equity","SUPPLY_CHAIN_SUPPLIERS","RELATIONSHIP_AS_OF_DATE","20010906")</f>
        <v>#N/A N/A</v>
      </c>
      <c r="DL5" t="str">
        <f>_xll.BDS("UCFC US Equity","SUPPLY_CHAIN_CUSTOMERS","RELATIONSHIP_AS_OF_DATE","20010906")</f>
        <v>#N/A N/A</v>
      </c>
      <c r="DQ5" t="str">
        <f>_xll.BDS("AIV US Equity","SUPPLY_CHAIN_SUPPLIERS","RELATIONSHIP_AS_OF_DATE","20050216")</f>
        <v>MS US Equity</v>
      </c>
      <c r="DV5" t="str">
        <f>_xll.BDS("AIV US Equity","SUPPLY_CHAIN_CUSTOMERS","RELATIONSHIP_AS_OF_DATE","20050216")</f>
        <v>29326Z US Equity</v>
      </c>
      <c r="EA5" t="str">
        <f>_xll.BDS("GABC US Equity","SUPPLY_CHAIN_SUPPLIERS","RELATIONSHIP_AS_OF_DATE","20101004")</f>
        <v>#N/A N/A</v>
      </c>
      <c r="EF5" t="str">
        <f>_xll.BDS("GABC US Equity","SUPPLY_CHAIN_CUSTOMERS","RELATIONSHIP_AS_OF_DATE","20101004")</f>
        <v>#N/A N/A</v>
      </c>
      <c r="EK5" t="str">
        <f>_xll.BDS("CIVB US Equity","SUPPLY_CHAIN_SUPPLIERS","RELATIONSHIP_AS_OF_DATE","20011101")</f>
        <v>#N/A N/A</v>
      </c>
      <c r="EP5" t="str">
        <f>_xll.BDS("CIVB US Equity","SUPPLY_CHAIN_CUSTOMERS","RELATIONSHIP_AS_OF_DATE","20011101")</f>
        <v>#N/A N/A</v>
      </c>
      <c r="EU5" t="str">
        <f>_xll.BDS("0838460D US Equity","SUPPLY_CHAIN_SUPPLIERS","RELATIONSHIP_AS_OF_DATE","20010314")</f>
        <v>#N/A N/A</v>
      </c>
      <c r="EZ5" t="str">
        <f>_xll.BDS("0838460D US Equity","SUPPLY_CHAIN_CUSTOMERS","RELATIONSHIP_AS_OF_DATE","20010314")</f>
        <v>#N/A N/A</v>
      </c>
      <c r="FE5" t="str">
        <f>_xll.BDS("DGICA US Equity","SUPPLY_CHAIN_SUPPLIERS","RELATIONSHIP_AS_OF_DATE","20100420")</f>
        <v>OSPN US Equity</v>
      </c>
      <c r="FJ5" t="str">
        <f>_xll.BDS("DGICA US Equity","SUPPLY_CHAIN_CUSTOMERS","RELATIONSHIP_AS_OF_DATE","20100420")</f>
        <v>#N/A N/A</v>
      </c>
      <c r="FO5" t="str">
        <f>_xll.BDS("THG US Equity","SUPPLY_CHAIN_SUPPLIERS","RELATIONSHIP_AS_OF_DATE","20070625")</f>
        <v>#N/A N/A</v>
      </c>
      <c r="FT5" t="str">
        <f>_xll.BDS("THG US Equity","SUPPLY_CHAIN_CUSTOMERS","RELATIONSHIP_AS_OF_DATE","20070625")</f>
        <v>#N/A N/A</v>
      </c>
      <c r="FY5" t="str">
        <f>_xll.BDS("NKTR US Equity","SUPPLY_CHAIN_SUPPLIERS","RELATIONSHIP_AS_OF_DATE","20050815","cols=1;rows=5")</f>
        <v>KRC US Equity</v>
      </c>
      <c r="GD5" t="str">
        <f>_xll.BDS("NKTR US Equity","SUPPLY_CHAIN_CUSTOMERS","RELATIONSHIP_AS_OF_DATE","20050815","cols=1;rows=5")</f>
        <v>1288642Z US Equity</v>
      </c>
      <c r="GI5" t="str">
        <f>_xll.BDS("PRDO US Equity","SUPPLY_CHAIN_SUPPLIERS","RELATIONSHIP_AS_OF_DATE","19990802")</f>
        <v>#N/A N/A</v>
      </c>
      <c r="GN5" t="str">
        <f>_xll.BDS("PRDO US Equity","SUPPLY_CHAIN_CUSTOMERS","RELATIONSHIP_AS_OF_DATE","19990802")</f>
        <v>#N/A N/A</v>
      </c>
      <c r="GS5" t="str">
        <f>_xll.BDS("388103Q US Equity","SUPPLY_CHAIN_SUPPLIERS","RELATIONSHIP_AS_OF_DATE","19980717")</f>
        <v>#N/A N/A</v>
      </c>
      <c r="GX5" t="str">
        <f>_xll.BDS("388103Q US Equity","SUPPLY_CHAIN_CUSTOMERS","RELATIONSHIP_AS_OF_DATE","19980717")</f>
        <v>#N/A N/A</v>
      </c>
      <c r="HC5" t="str">
        <f>_xll.BDS("UBOH US Equity","SUPPLY_CHAIN_SUPPLIERS","RELATIONSHIP_AS_OF_DATE","20000828")</f>
        <v>#N/A N/A</v>
      </c>
      <c r="HH5" t="str">
        <f>_xll.BDS("UBOH US Equity","SUPPLY_CHAIN_CUSTOMERS","RELATIONSHIP_AS_OF_DATE","20000828")</f>
        <v>#N/A N/A</v>
      </c>
      <c r="HM5" t="str">
        <f>_xll.BDS("CDTI US Equity","SUPPLY_CHAIN_SUPPLIERS","RELATIONSHIP_AS_OF_DATE","20100514","cols=1;rows=4")</f>
        <v>ED US Equity</v>
      </c>
      <c r="HR5" t="str">
        <f>_xll.BDS("CDTI US Equity","SUPPLY_CHAIN_CUSTOMERS","RELATIONSHIP_AS_OF_DATE","20100514")</f>
        <v>DE US Equity</v>
      </c>
      <c r="HW5" t="str">
        <f>_xll.BDS("9990527D US Equity","SUPPLY_CHAIN_SUPPLIERS","RELATIONSHIP_AS_OF_DATE","19990607")</f>
        <v>SQNS US Equity</v>
      </c>
      <c r="IB5" t="str">
        <f>_xll.BDS("9990527D US Equity","SUPPLY_CHAIN_CUSTOMERS","RELATIONSHIP_AS_OF_DATE","19990607")</f>
        <v>#N/A N/A</v>
      </c>
      <c r="IG5" t="str">
        <f>_xll.BDS("CACI US Equity","SUPPLY_CHAIN_SUPPLIERS","RELATIONSHIP_AS_OF_DATE","20110725","cols=1;rows=5")</f>
        <v>CDP US Equity</v>
      </c>
      <c r="IL5" t="str">
        <f>_xll.BDS("CACI US Equity","SUPPLY_CHAIN_CUSTOMERS","RELATIONSHIP_AS_OF_DATE","20110725","cols=1;rows=5")</f>
        <v>3352Z US Equity</v>
      </c>
      <c r="IQ5" t="str">
        <f>_xll.BDS("MTSC US Equity","SUPPLY_CHAIN_SUPPLIERS","RELATIONSHIP_AS_OF_DATE","19990324")</f>
        <v>#N/A N/A</v>
      </c>
      <c r="IV5" t="str">
        <f>_xll.BDS("MTSC US Equity","SUPPLY_CHAIN_CUSTOMERS","RELATIONSHIP_AS_OF_DATE","19990324")</f>
        <v>#N/A N/A</v>
      </c>
      <c r="JA5" t="str">
        <f>_xll.BDS("ABCB US Equity","SUPPLY_CHAIN_SUPPLIERS","RELATIONSHIP_AS_OF_DATE","20010221")</f>
        <v>5158754Z SS Equity</v>
      </c>
      <c r="JF5" t="str">
        <f>_xll.BDS("ABCB US Equity","SUPPLY_CHAIN_CUSTOMERS","RELATIONSHIP_AS_OF_DATE","20010221")</f>
        <v>#N/A N/A</v>
      </c>
      <c r="JK5" t="str">
        <f>_xll.BDS("CLRO US Equity","SUPPLY_CHAIN_SUPPLIERS","RELATIONSHIP_AS_OF_DATE","20020122","cols=1;rows=4")</f>
        <v>FLEX US Equity</v>
      </c>
      <c r="JP5" t="str">
        <f>_xll.BDS("CLRO US Equity","SUPPLY_CHAIN_CUSTOMERS","RELATIONSHIP_AS_OF_DATE","20020122","cols=1;rows=4")</f>
        <v>SNX US Equity</v>
      </c>
      <c r="JU5" t="str">
        <f>_xll.BDS("0948669D US Equity","SUPPLY_CHAIN_SUPPLIERS","RELATIONSHIP_AS_OF_DATE","20071128")</f>
        <v>300703 CH Equity</v>
      </c>
      <c r="JZ5" t="str">
        <f>_xll.BDS("0948669D US Equity","SUPPLY_CHAIN_CUSTOMERS","RELATIONSHIP_AS_OF_DATE","20071128","cols=1;rows=3")</f>
        <v>ACI US Equity</v>
      </c>
      <c r="KE5" t="str">
        <f>_xll.BDS("78651Q US Equity","SUPPLY_CHAIN_SUPPLIERS","RELATIONSHIP_AS_OF_DATE","19980826")</f>
        <v>#N/A N/A</v>
      </c>
      <c r="KJ5" t="str">
        <f>_xll.BDS("78651Q US Equity","SUPPLY_CHAIN_CUSTOMERS","RELATIONSHIP_AS_OF_DATE","19980826")</f>
        <v>#N/A N/A</v>
      </c>
      <c r="KO5" t="str">
        <f>_xll.BDS("SUSQ US Equity","SUPPLY_CHAIN_SUPPLIERS","RELATIONSHIP_AS_OF_DATE","19980416")</f>
        <v>#N/A N/A</v>
      </c>
      <c r="KT5" t="str">
        <f>_xll.BDS("SUSQ US Equity","SUPPLY_CHAIN_CUSTOMERS","RELATIONSHIP_AS_OF_DATE","19980416")</f>
        <v>#N/A N/A</v>
      </c>
      <c r="KY5" t="str">
        <f>_xll.BDS("1986522D US Equity","SUPPLY_CHAIN_SUPPLIERS","RELATIONSHIP_AS_OF_DATE","20020909")</f>
        <v>FE US Equity</v>
      </c>
      <c r="LD5" t="str">
        <f>_xll.BDS("1986522D US Equity","SUPPLY_CHAIN_CUSTOMERS","RELATIONSHIP_AS_OF_DATE","20020909")</f>
        <v>#N/A N/A</v>
      </c>
      <c r="LI5" t="str">
        <f>_xll.BDS("KTYB US Equity","SUPPLY_CHAIN_SUPPLIERS","RELATIONSHIP_AS_OF_DATE","20030708")</f>
        <v>#N/A N/A</v>
      </c>
      <c r="LN5" t="str">
        <f>_xll.BDS("KTYB US Equity","SUPPLY_CHAIN_CUSTOMERS","RELATIONSHIP_AS_OF_DATE","20030708")</f>
        <v>#N/A N/A</v>
      </c>
      <c r="LS5" t="str">
        <f>_xll.BDS("NOVB US Equity","SUPPLY_CHAIN_SUPPLIERS","RELATIONSHIP_AS_OF_DATE","19991004")</f>
        <v>#N/A N/A</v>
      </c>
      <c r="LX5" t="str">
        <f>_xll.BDS("NOVB US Equity","SUPPLY_CHAIN_CUSTOMERS","RELATIONSHIP_AS_OF_DATE","19991004")</f>
        <v>#N/A N/A</v>
      </c>
      <c r="MC5" t="str">
        <f>_xll.BDS("HRLY US Equity","SUPPLY_CHAIN_SUPPLIERS","RELATIONSHIP_AS_OF_DATE","19980824")</f>
        <v>#N/A N/A</v>
      </c>
      <c r="MH5" t="str">
        <f>_xll.BDS("HRLY US Equity","SUPPLY_CHAIN_CUSTOMERS","RELATIONSHIP_AS_OF_DATE","19980824")</f>
        <v>#N/A N/A</v>
      </c>
      <c r="MM5" t="str">
        <f>_xll.BDS("PVLY US Equity","SUPPLY_CHAIN_SUPPLIERS","RELATIONSHIP_AS_OF_DATE","20041022")</f>
        <v>#N/A N/A</v>
      </c>
      <c r="MR5" t="str">
        <f>_xll.BDS("PVLY US Equity","SUPPLY_CHAIN_CUSTOMERS","RELATIONSHIP_AS_OF_DATE","20041022")</f>
        <v>#N/A N/A</v>
      </c>
      <c r="MW5" t="str">
        <f>_xll.BDS("1927294D US Equity","SUPPLY_CHAIN_SUPPLIERS","RELATIONSHIP_AS_OF_DATE","20020809")</f>
        <v>FE US Equity</v>
      </c>
      <c r="NB5" t="str">
        <f>_xll.BDS("1927294D US Equity","SUPPLY_CHAIN_CUSTOMERS","RELATIONSHIP_AS_OF_DATE","20020809")</f>
        <v>#N/A N/A</v>
      </c>
      <c r="NG5" t="str">
        <f>_xll.BDS("3129880Q US Equity","SUPPLY_CHAIN_SUPPLIERS","RELATIONSHIP_AS_OF_DATE","20010201")</f>
        <v>#N/A N/A</v>
      </c>
      <c r="NL5" t="str">
        <f>_xll.BDS("3129880Q US Equity","SUPPLY_CHAIN_CUSTOMERS","RELATIONSHIP_AS_OF_DATE","20010201")</f>
        <v>#N/A N/A</v>
      </c>
      <c r="NQ5" t="str">
        <f>_xll.BDS("1850925D US Equity","SUPPLY_CHAIN_SUPPLIERS","RELATIONSHIP_AS_OF_DATE","20100602","cols=1;rows=2")</f>
        <v>FCPT US Equity</v>
      </c>
      <c r="NV5" t="str">
        <f>_xll.BDS("1850925D US Equity","SUPPLY_CHAIN_CUSTOMERS","RELATIONSHIP_AS_OF_DATE","20100602")</f>
        <v>#N/A N/A</v>
      </c>
      <c r="OA5" t="str">
        <f>_xll.BDS("COFS US Equity","SUPPLY_CHAIN_SUPPLIERS","RELATIONSHIP_AS_OF_DATE","20200106")</f>
        <v>#N/A N/A</v>
      </c>
      <c r="OF5" t="str">
        <f>_xll.BDS("COFS US Equity","SUPPLY_CHAIN_CUSTOMERS","RELATIONSHIP_AS_OF_DATE","20200106")</f>
        <v>#N/A N/A</v>
      </c>
    </row>
    <row r="6" spans="1:396" x14ac:dyDescent="0.25">
      <c r="AO6" t="s">
        <v>11235</v>
      </c>
      <c r="AT6" t="s">
        <v>11201</v>
      </c>
      <c r="FY6" t="s">
        <v>11066</v>
      </c>
      <c r="GD6" t="s">
        <v>11017</v>
      </c>
      <c r="HM6" t="s">
        <v>10715</v>
      </c>
      <c r="IG6" t="s">
        <v>10878</v>
      </c>
      <c r="IL6" t="s">
        <v>10801</v>
      </c>
      <c r="JK6" t="s">
        <v>10854</v>
      </c>
      <c r="JP6" t="s">
        <v>10660</v>
      </c>
      <c r="JZ6" t="s">
        <v>10993</v>
      </c>
      <c r="NQ6" t="s">
        <v>10714</v>
      </c>
    </row>
    <row r="7" spans="1:396" x14ac:dyDescent="0.25">
      <c r="AO7" t="s">
        <v>11236</v>
      </c>
      <c r="AT7" t="s">
        <v>10657</v>
      </c>
      <c r="FY7" t="s">
        <v>11067</v>
      </c>
      <c r="GD7" t="s">
        <v>10834</v>
      </c>
      <c r="HM7" t="s">
        <v>10716</v>
      </c>
      <c r="IG7" t="s">
        <v>469</v>
      </c>
      <c r="IL7" t="s">
        <v>10802</v>
      </c>
      <c r="JK7" t="s">
        <v>158</v>
      </c>
      <c r="JP7" t="s">
        <v>10787</v>
      </c>
      <c r="JZ7" t="s">
        <v>10994</v>
      </c>
    </row>
    <row r="8" spans="1:396" x14ac:dyDescent="0.25">
      <c r="AO8" t="s">
        <v>11237</v>
      </c>
      <c r="AT8" t="s">
        <v>11202</v>
      </c>
      <c r="FY8" t="s">
        <v>11068</v>
      </c>
      <c r="GD8" t="s">
        <v>44</v>
      </c>
      <c r="HM8" t="s">
        <v>10717</v>
      </c>
      <c r="IG8" t="s">
        <v>10879</v>
      </c>
      <c r="IL8" t="s">
        <v>10803</v>
      </c>
      <c r="JK8" t="s">
        <v>260</v>
      </c>
      <c r="JP8" t="s">
        <v>10788</v>
      </c>
    </row>
    <row r="9" spans="1:396" x14ac:dyDescent="0.25">
      <c r="AO9" t="s">
        <v>11238</v>
      </c>
      <c r="AT9" t="s">
        <v>469</v>
      </c>
      <c r="FY9" t="s">
        <v>870</v>
      </c>
      <c r="GD9" t="s">
        <v>11018</v>
      </c>
      <c r="IG9" t="s">
        <v>10820</v>
      </c>
      <c r="IL9" t="s">
        <v>10804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9862</v>
      </c>
      <c r="K1" s="1" t="s">
        <v>9863</v>
      </c>
      <c r="U1" s="1" t="s">
        <v>9864</v>
      </c>
      <c r="AE1" s="1" t="s">
        <v>9865</v>
      </c>
      <c r="AO1" s="1" t="s">
        <v>9866</v>
      </c>
      <c r="AY1" s="1" t="s">
        <v>9867</v>
      </c>
      <c r="BI1" s="1" t="s">
        <v>9868</v>
      </c>
      <c r="BS1" s="1" t="s">
        <v>9869</v>
      </c>
      <c r="CC1" s="1" t="s">
        <v>9870</v>
      </c>
      <c r="CM1" s="1" t="s">
        <v>9871</v>
      </c>
      <c r="CW1" s="1" t="s">
        <v>9872</v>
      </c>
      <c r="DG1" s="1" t="s">
        <v>9873</v>
      </c>
      <c r="DQ1" s="1" t="s">
        <v>9874</v>
      </c>
      <c r="EA1" s="1" t="s">
        <v>9875</v>
      </c>
      <c r="EK1" s="1" t="s">
        <v>9876</v>
      </c>
      <c r="EU1" s="1" t="s">
        <v>9877</v>
      </c>
      <c r="FE1" s="1" t="s">
        <v>9878</v>
      </c>
      <c r="FO1" s="1" t="s">
        <v>9879</v>
      </c>
      <c r="FY1" s="1" t="s">
        <v>9880</v>
      </c>
      <c r="GI1" s="1" t="s">
        <v>9881</v>
      </c>
      <c r="GS1" s="1" t="s">
        <v>9882</v>
      </c>
      <c r="HC1" s="1" t="s">
        <v>9883</v>
      </c>
      <c r="HM1" s="1" t="s">
        <v>9884</v>
      </c>
      <c r="HW1" s="1" t="s">
        <v>9885</v>
      </c>
      <c r="IG1" s="1" t="s">
        <v>9886</v>
      </c>
      <c r="IQ1" s="1" t="s">
        <v>9887</v>
      </c>
      <c r="JA1" s="1" t="s">
        <v>9888</v>
      </c>
      <c r="JK1" s="1" t="s">
        <v>9889</v>
      </c>
      <c r="JU1" s="1" t="s">
        <v>9890</v>
      </c>
      <c r="KE1" s="1" t="s">
        <v>9891</v>
      </c>
      <c r="KO1" s="1" t="s">
        <v>9892</v>
      </c>
      <c r="KY1" s="1" t="s">
        <v>9893</v>
      </c>
      <c r="LI1" s="1" t="s">
        <v>9894</v>
      </c>
      <c r="LS1" s="1" t="s">
        <v>9895</v>
      </c>
      <c r="MC1" s="1" t="s">
        <v>9896</v>
      </c>
      <c r="MM1" s="1" t="s">
        <v>9897</v>
      </c>
      <c r="MW1" s="1" t="s">
        <v>9898</v>
      </c>
      <c r="NG1" s="1" t="s">
        <v>9899</v>
      </c>
      <c r="NQ1" s="1" t="s">
        <v>9900</v>
      </c>
      <c r="OA1" s="1" t="s">
        <v>9901</v>
      </c>
    </row>
    <row r="2" spans="1:396" x14ac:dyDescent="0.25">
      <c r="A2" s="2" t="s">
        <v>6469</v>
      </c>
      <c r="K2" s="2" t="s">
        <v>5339</v>
      </c>
      <c r="U2" s="2" t="s">
        <v>9683</v>
      </c>
      <c r="AE2" s="2" t="s">
        <v>9902</v>
      </c>
      <c r="AO2" s="2" t="s">
        <v>9903</v>
      </c>
      <c r="AY2" s="2" t="s">
        <v>7217</v>
      </c>
      <c r="BI2" s="2" t="s">
        <v>9904</v>
      </c>
      <c r="BS2" s="2" t="s">
        <v>9905</v>
      </c>
      <c r="CC2" s="2" t="s">
        <v>9906</v>
      </c>
      <c r="CM2" s="2" t="s">
        <v>9907</v>
      </c>
      <c r="CW2" s="2" t="s">
        <v>9908</v>
      </c>
      <c r="DG2" s="2" t="s">
        <v>7369</v>
      </c>
      <c r="DQ2" s="2" t="s">
        <v>5339</v>
      </c>
      <c r="EA2" s="2" t="s">
        <v>9909</v>
      </c>
      <c r="EK2" s="2" t="s">
        <v>6818</v>
      </c>
      <c r="EU2" s="2" t="s">
        <v>9910</v>
      </c>
      <c r="FE2" s="2" t="s">
        <v>7538</v>
      </c>
      <c r="FO2" s="2" t="s">
        <v>9911</v>
      </c>
      <c r="FY2" s="2" t="s">
        <v>9912</v>
      </c>
      <c r="GI2" s="2" t="s">
        <v>9913</v>
      </c>
      <c r="GS2" s="2" t="s">
        <v>9914</v>
      </c>
      <c r="HC2" s="2" t="s">
        <v>6081</v>
      </c>
      <c r="HM2" s="2" t="s">
        <v>9915</v>
      </c>
      <c r="HW2" s="2" t="s">
        <v>9916</v>
      </c>
      <c r="IG2" s="2" t="s">
        <v>9917</v>
      </c>
      <c r="IQ2" s="2" t="s">
        <v>9918</v>
      </c>
      <c r="JA2" s="2" t="s">
        <v>5333</v>
      </c>
      <c r="JK2" s="2" t="s">
        <v>9919</v>
      </c>
      <c r="JU2" s="2" t="s">
        <v>9920</v>
      </c>
      <c r="KE2" s="2" t="s">
        <v>9921</v>
      </c>
      <c r="KO2" s="2" t="s">
        <v>990</v>
      </c>
      <c r="KY2" s="2" t="s">
        <v>8836</v>
      </c>
      <c r="LI2" s="2" t="s">
        <v>9922</v>
      </c>
      <c r="LS2" s="2" t="s">
        <v>9923</v>
      </c>
      <c r="MC2" s="2" t="s">
        <v>9924</v>
      </c>
      <c r="MM2" s="2" t="s">
        <v>272</v>
      </c>
      <c r="MW2" s="2" t="s">
        <v>1642</v>
      </c>
      <c r="NG2" s="2" t="s">
        <v>9925</v>
      </c>
      <c r="NQ2" s="2" t="s">
        <v>9926</v>
      </c>
      <c r="OA2" s="2" t="s">
        <v>5835</v>
      </c>
    </row>
    <row r="3" spans="1:396" x14ac:dyDescent="0.25">
      <c r="A3" t="s">
        <v>5938</v>
      </c>
      <c r="K3" t="s">
        <v>9927</v>
      </c>
      <c r="U3" t="s">
        <v>608</v>
      </c>
      <c r="AE3" t="s">
        <v>725</v>
      </c>
      <c r="AO3" t="s">
        <v>9928</v>
      </c>
      <c r="AY3" t="s">
        <v>9929</v>
      </c>
      <c r="BI3" t="s">
        <v>9930</v>
      </c>
      <c r="BS3" t="s">
        <v>9931</v>
      </c>
      <c r="CC3" t="s">
        <v>9932</v>
      </c>
      <c r="CM3" t="s">
        <v>5925</v>
      </c>
      <c r="CW3" t="s">
        <v>5940</v>
      </c>
      <c r="DG3" t="s">
        <v>9933</v>
      </c>
      <c r="DQ3" t="s">
        <v>2526</v>
      </c>
      <c r="EA3" t="s">
        <v>1017</v>
      </c>
      <c r="EK3" t="s">
        <v>8402</v>
      </c>
      <c r="EU3" t="s">
        <v>5522</v>
      </c>
      <c r="FE3" t="s">
        <v>2548</v>
      </c>
      <c r="FO3" t="s">
        <v>2140</v>
      </c>
      <c r="FY3" t="s">
        <v>9934</v>
      </c>
      <c r="GI3" t="s">
        <v>9935</v>
      </c>
      <c r="GS3" t="s">
        <v>3895</v>
      </c>
      <c r="HC3" t="s">
        <v>9936</v>
      </c>
      <c r="HM3" t="s">
        <v>9937</v>
      </c>
      <c r="HW3" t="s">
        <v>3003</v>
      </c>
      <c r="IG3" t="s">
        <v>3801</v>
      </c>
      <c r="IQ3" t="s">
        <v>9938</v>
      </c>
      <c r="JA3" t="s">
        <v>6669</v>
      </c>
      <c r="JK3" t="s">
        <v>96</v>
      </c>
      <c r="JU3" t="s">
        <v>8708</v>
      </c>
      <c r="KE3" t="s">
        <v>896</v>
      </c>
      <c r="KO3" t="s">
        <v>9939</v>
      </c>
      <c r="KY3" t="s">
        <v>4760</v>
      </c>
      <c r="LI3" t="s">
        <v>1966</v>
      </c>
      <c r="LS3" t="s">
        <v>409</v>
      </c>
      <c r="MC3" t="s">
        <v>4658</v>
      </c>
      <c r="MM3" t="s">
        <v>8944</v>
      </c>
      <c r="MW3" t="s">
        <v>9940</v>
      </c>
      <c r="NG3" t="s">
        <v>304</v>
      </c>
      <c r="NQ3" t="s">
        <v>2628</v>
      </c>
      <c r="OA3" t="s">
        <v>6753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_xll.BDS("RSFC US Equity","SUPPLY_CHAIN_SUPPLIERS","RELATIONSHIP_AS_OF_DATE","19980914")</f>
        <v>#N/A N/A</v>
      </c>
      <c r="F5" t="str">
        <f>_xll.BDS("RSFC US Equity","SUPPLY_CHAIN_CUSTOMERS","RELATIONSHIP_AS_OF_DATE","19980914")</f>
        <v>#N/A N/A</v>
      </c>
      <c r="K5" t="str">
        <f>_xll.BDS("FBNC US Equity","SUPPLY_CHAIN_SUPPLIERS","RELATIONSHIP_AS_OF_DATE","20001020")</f>
        <v>#N/A N/A</v>
      </c>
      <c r="P5" t="str">
        <f>_xll.BDS("FBNC US Equity","SUPPLY_CHAIN_CUSTOMERS","RELATIONSHIP_AS_OF_DATE","20001020")</f>
        <v>#N/A N/A</v>
      </c>
      <c r="U5" t="str">
        <f>_xll.BDS("CWBC US Equity","SUPPLY_CHAIN_SUPPLIERS","RELATIONSHIP_AS_OF_DATE","20121220")</f>
        <v>#N/A N/A</v>
      </c>
      <c r="Z5" t="str">
        <f>_xll.BDS("CWBC US Equity","SUPPLY_CHAIN_CUSTOMERS","RELATIONSHIP_AS_OF_DATE","20121220")</f>
        <v>#N/A N/A</v>
      </c>
      <c r="AE5" t="str">
        <f>_xll.BDS("CZFS US Equity","SUPPLY_CHAIN_SUPPLIERS","RELATIONSHIP_AS_OF_DATE","20150630")</f>
        <v>#N/A N/A</v>
      </c>
      <c r="AJ5" t="str">
        <f>_xll.BDS("CZFS US Equity","SUPPLY_CHAIN_CUSTOMERS","RELATIONSHIP_AS_OF_DATE","20150630")</f>
        <v>#N/A N/A</v>
      </c>
      <c r="AO5" t="str">
        <f>_xll.BDS("HBOS US Equity","SUPPLY_CHAIN_SUPPLIERS","RELATIONSHIP_AS_OF_DATE","20140422")</f>
        <v>#N/A N/A</v>
      </c>
      <c r="AT5" t="str">
        <f>_xll.BDS("HBOS US Equity","SUPPLY_CHAIN_CUSTOMERS","RELATIONSHIP_AS_OF_DATE","20140422")</f>
        <v>#N/A N/A</v>
      </c>
      <c r="AY5" t="str">
        <f>_xll.BDS("NCOG US Equity","SUPPLY_CHAIN_SUPPLIERS","RELATIONSHIP_AS_OF_DATE","20001005")</f>
        <v>#N/A N/A</v>
      </c>
      <c r="BD5" t="str">
        <f>_xll.BDS("NCOG US Equity","SUPPLY_CHAIN_CUSTOMERS","RELATIONSHIP_AS_OF_DATE","20001005")</f>
        <v>#N/A N/A</v>
      </c>
      <c r="BI5" t="str">
        <f>_xll.BDS("NUI US Equity","SUPPLY_CHAIN_SUPPLIERS","RELATIONSHIP_AS_OF_DATE","20000614")</f>
        <v>#N/A N/A</v>
      </c>
      <c r="BN5" t="str">
        <f>_xll.BDS("NUI US Equity","SUPPLY_CHAIN_CUSTOMERS","RELATIONSHIP_AS_OF_DATE","20000614")</f>
        <v>#N/A N/A</v>
      </c>
      <c r="BS5" t="str">
        <f>_xll.BDS("WCBO US Equity","SUPPLY_CHAIN_SUPPLIERS","RELATIONSHIP_AS_OF_DATE","20060201")</f>
        <v>#N/A N/A</v>
      </c>
      <c r="BX5" t="str">
        <f>_xll.BDS("WCBO US Equity","SUPPLY_CHAIN_CUSTOMERS","RELATIONSHIP_AS_OF_DATE","20060201")</f>
        <v>#N/A N/A</v>
      </c>
      <c r="CC5" t="str">
        <f>_xll.BDS("ABVV US Equity","SUPPLY_CHAIN_SUPPLIERS","RELATIONSHIP_AS_OF_DATE","19991022")</f>
        <v>#N/A N/A</v>
      </c>
      <c r="CH5" t="str">
        <f>_xll.BDS("ABVV US Equity","SUPPLY_CHAIN_CUSTOMERS","RELATIONSHIP_AS_OF_DATE","19991022")</f>
        <v>#N/A N/A</v>
      </c>
      <c r="CM5" t="str">
        <f>_xll.BDS("2078185D US Equity","SUPPLY_CHAIN_SUPPLIERS","RELATIONSHIP_AS_OF_DATE","20020812")</f>
        <v>FE US Equity</v>
      </c>
      <c r="CR5" t="str">
        <f>_xll.BDS("2078185D US Equity","SUPPLY_CHAIN_CUSTOMERS","RELATIONSHIP_AS_OF_DATE","20020812")</f>
        <v>#N/A N/A</v>
      </c>
      <c r="CW5" t="str">
        <f>_xll.BDS("GNSC US Equity","SUPPLY_CHAIN_SUPPLIERS","RELATIONSHIP_AS_OF_DATE","20031219")</f>
        <v>#N/A N/A</v>
      </c>
      <c r="DB5" t="str">
        <f>_xll.BDS("GNSC US Equity","SUPPLY_CHAIN_CUSTOMERS","RELATIONSHIP_AS_OF_DATE","20031219")</f>
        <v>#N/A N/A</v>
      </c>
      <c r="DG5" t="str">
        <f>_xll.BDS("MSFG US Equity","SUPPLY_CHAIN_SUPPLIERS","RELATIONSHIP_AS_OF_DATE","20021120")</f>
        <v>#N/A N/A</v>
      </c>
      <c r="DL5" t="str">
        <f>_xll.BDS("MSFG US Equity","SUPPLY_CHAIN_CUSTOMERS","RELATIONSHIP_AS_OF_DATE","20021120")</f>
        <v>#N/A N/A</v>
      </c>
      <c r="DQ5" t="str">
        <f>_xll.BDS("FBNC US Equity","SUPPLY_CHAIN_SUPPLIERS","RELATIONSHIP_AS_OF_DATE","20070712")</f>
        <v>#N/A N/A</v>
      </c>
      <c r="DV5" t="str">
        <f>_xll.BDS("FBNC US Equity","SUPPLY_CHAIN_CUSTOMERS","RELATIONSHIP_AS_OF_DATE","20070712")</f>
        <v>#N/A N/A</v>
      </c>
      <c r="EA5" t="str">
        <f>_xll.BDS("UBFO US Equity","SUPPLY_CHAIN_SUPPLIERS","RELATIONSHIP_AS_OF_DATE","20061009")</f>
        <v>#N/A N/A</v>
      </c>
      <c r="EF5" t="str">
        <f>_xll.BDS("UBFO US Equity","SUPPLY_CHAIN_CUSTOMERS","RELATIONSHIP_AS_OF_DATE","20061009")</f>
        <v>#N/A N/A</v>
      </c>
      <c r="EK5" t="str">
        <f>_xll.BDS("JH US Equity","SUPPLY_CHAIN_SUPPLIERS","RELATIONSHIP_AS_OF_DATE","20020806")</f>
        <v>#N/A N/A</v>
      </c>
      <c r="EP5" t="str">
        <f>_xll.BDS("JH US Equity","SUPPLY_CHAIN_CUSTOMERS","RELATIONSHIP_AS_OF_DATE","20020806")</f>
        <v>#N/A N/A</v>
      </c>
      <c r="EU5" t="str">
        <f>_xll.BDS("1495307D US Equity","SUPPLY_CHAIN_SUPPLIERS","RELATIONSHIP_AS_OF_DATE","20060316")</f>
        <v>#N/A N/A</v>
      </c>
      <c r="EZ5" t="str">
        <f>_xll.BDS("1495307D US Equity","SUPPLY_CHAIN_CUSTOMERS","RELATIONSHIP_AS_OF_DATE","20060316")</f>
        <v>#N/A N/A</v>
      </c>
      <c r="FE5" t="str">
        <f>_xll.BDS("CPSS US Equity","SUPPLY_CHAIN_SUPPLIERS","RELATIONSHIP_AS_OF_DATE","20030401")</f>
        <v>MUST SP Equity</v>
      </c>
      <c r="FJ5" t="str">
        <f>_xll.BDS("CPSS US Equity","SUPPLY_CHAIN_CUSTOMERS","RELATIONSHIP_AS_OF_DATE","20030401")</f>
        <v>#N/A N/A</v>
      </c>
      <c r="FO5" t="str">
        <f>_xll.BDS("ATVI US Equity","SUPPLY_CHAIN_SUPPLIERS","RELATIONSHIP_AS_OF_DATE","19990304","cols=1;rows=5")</f>
        <v>066910 KS Equity</v>
      </c>
      <c r="FT5" t="str">
        <f>_xll.BDS("ATVI US Equity","SUPPLY_CHAIN_CUSTOMERS","RELATIONSHIP_AS_OF_DATE","19990304","cols=1;rows=5")</f>
        <v>0734523D US Equity</v>
      </c>
      <c r="FY5" t="str">
        <f>_xll.BDS("0203524D US Equity","SUPPLY_CHAIN_SUPPLIERS","RELATIONSHIP_AS_OF_DATE","19991216")</f>
        <v>#N/A N/A</v>
      </c>
      <c r="GD5" t="str">
        <f>_xll.BDS("0203524D US Equity","SUPPLY_CHAIN_CUSTOMERS","RELATIONSHIP_AS_OF_DATE","19991216")</f>
        <v>#N/A N/A</v>
      </c>
      <c r="GI5" t="str">
        <f>_xll.BDS("SFFB US Equity","SUPPLY_CHAIN_SUPPLIERS","RELATIONSHIP_AS_OF_DATE","19990318")</f>
        <v>#N/A N/A</v>
      </c>
      <c r="GN5" t="str">
        <f>_xll.BDS("SFFB US Equity","SUPPLY_CHAIN_CUSTOMERS","RELATIONSHIP_AS_OF_DATE","19990318")</f>
        <v>#N/A N/A</v>
      </c>
      <c r="GS5" t="str">
        <f>_xll.BDS("PFSW US Equity","SUPPLY_CHAIN_SUPPLIERS","RELATIONSHIP_AS_OF_DATE","20051110","cols=1;rows=4")</f>
        <v>BRK/A US Equity</v>
      </c>
      <c r="GX5" t="str">
        <f>_xll.BDS("PFSW US Equity","SUPPLY_CHAIN_CUSTOMERS","RELATIONSHIP_AS_OF_DATE","20051110","cols=1;rows=5")</f>
        <v>0242072Z US Equity</v>
      </c>
      <c r="HC5" t="str">
        <f>_xll.BDS("STBA US Equity","SUPPLY_CHAIN_SUPPLIERS","RELATIONSHIP_AS_OF_DATE","20110914")</f>
        <v>#N/A N/A</v>
      </c>
      <c r="HH5" t="str">
        <f>_xll.BDS("STBA US Equity","SUPPLY_CHAIN_CUSTOMERS","RELATIONSHIP_AS_OF_DATE","20110914")</f>
        <v>#N/A N/A</v>
      </c>
      <c r="HM5" t="str">
        <f>_xll.BDS("MNTG US Equity","SUPPLY_CHAIN_SUPPLIERS","RELATIONSHIP_AS_OF_DATE","20021224")</f>
        <v>#N/A N/A</v>
      </c>
      <c r="HR5" t="str">
        <f>_xll.BDS("MNTG US Equity","SUPPLY_CHAIN_CUSTOMERS","RELATIONSHIP_AS_OF_DATE","20021224")</f>
        <v>#N/A N/A</v>
      </c>
      <c r="HW5" t="str">
        <f>_xll.BDS("NASB US Equity","SUPPLY_CHAIN_SUPPLIERS","RELATIONSHIP_AS_OF_DATE","20160223")</f>
        <v>#N/A N/A</v>
      </c>
      <c r="IB5" t="str">
        <f>_xll.BDS("NASB US Equity","SUPPLY_CHAIN_CUSTOMERS","RELATIONSHIP_AS_OF_DATE","20160223")</f>
        <v>#N/A N/A</v>
      </c>
      <c r="IG5" t="str">
        <f>_xll.BDS("FVCCQ US Equity","SUPPLY_CHAIN_SUPPLIERS","RELATIONSHIP_AS_OF_DATE","20010322")</f>
        <v>#N/A N/A</v>
      </c>
      <c r="IL5" t="str">
        <f>_xll.BDS("FVCCQ US Equity","SUPPLY_CHAIN_CUSTOMERS","RELATIONSHIP_AS_OF_DATE","20010322")</f>
        <v>#N/A N/A</v>
      </c>
      <c r="IQ5" t="str">
        <f>_xll.BDS("LSBG US Equity","SUPPLY_CHAIN_SUPPLIERS","RELATIONSHIP_AS_OF_DATE","20061215")</f>
        <v>#N/A N/A</v>
      </c>
      <c r="IV5" t="str">
        <f>_xll.BDS("LSBG US Equity","SUPPLY_CHAIN_CUSTOMERS","RELATIONSHIP_AS_OF_DATE","20061215")</f>
        <v>#N/A N/A</v>
      </c>
      <c r="JA5" t="str">
        <f>_xll.BDS("CMTY US Equity","SUPPLY_CHAIN_SUPPLIERS","RELATIONSHIP_AS_OF_DATE","20060906")</f>
        <v>#N/A N/A</v>
      </c>
      <c r="JF5" t="str">
        <f>_xll.BDS("CMTY US Equity","SUPPLY_CHAIN_CUSTOMERS","RELATIONSHIP_AS_OF_DATE","20060906")</f>
        <v>#N/A N/A</v>
      </c>
      <c r="JK5" t="str">
        <f>_xll.BDS("AAME US Equity","SUPPLY_CHAIN_SUPPLIERS","RELATIONSHIP_AS_OF_DATE","19990422")</f>
        <v>#N/A N/A</v>
      </c>
      <c r="JP5" t="str">
        <f>_xll.BDS("AAME US Equity","SUPPLY_CHAIN_CUSTOMERS","RELATIONSHIP_AS_OF_DATE","19990422")</f>
        <v>#N/A N/A</v>
      </c>
      <c r="JU5" t="str">
        <f>_xll.BDS("MCSIQ US Equity","SUPPLY_CHAIN_SUPPLIERS","RELATIONSHIP_AS_OF_DATE","20011005")</f>
        <v>#N/A N/A</v>
      </c>
      <c r="JZ5" t="str">
        <f>_xll.BDS("MCSIQ US Equity","SUPPLY_CHAIN_CUSTOMERS","RELATIONSHIP_AS_OF_DATE","20011005")</f>
        <v>#N/A N/A</v>
      </c>
      <c r="KE5" t="str">
        <f>_xll.BDS("CHMG US Equity","SUPPLY_CHAIN_SUPPLIERS","RELATIONSHIP_AS_OF_DATE","20101018")</f>
        <v>#N/A N/A</v>
      </c>
      <c r="KJ5" t="str">
        <f>_xll.BDS("CHMG US Equity","SUPPLY_CHAIN_CUSTOMERS","RELATIONSHIP_AS_OF_DATE","20101018")</f>
        <v>#N/A N/A</v>
      </c>
      <c r="KO5" t="str">
        <f>_xll.BDS("WBS US Equity","SUPPLY_CHAIN_SUPPLIERS","RELATIONSHIP_AS_OF_DATE","19981104","cols=1;rows=2")</f>
        <v>FISV US Equity</v>
      </c>
      <c r="KT5" t="str">
        <f>_xll.BDS("WBS US Equity","SUPPLY_CHAIN_CUSTOMERS","RELATIONSHIP_AS_OF_DATE","19981104")</f>
        <v>CNXN US Equity</v>
      </c>
      <c r="KY5" t="str">
        <f>_xll.BDS("FCCY US Equity","SUPPLY_CHAIN_SUPPLIERS","RELATIONSHIP_AS_OF_DATE","20130815")</f>
        <v>#N/A N/A</v>
      </c>
      <c r="LD5" t="str">
        <f>_xll.BDS("FCCY US Equity","SUPPLY_CHAIN_CUSTOMERS","RELATIONSHIP_AS_OF_DATE","20130815")</f>
        <v>#N/A N/A</v>
      </c>
      <c r="LI5" t="str">
        <f>_xll.BDS("LUNA US Equity","SUPPLY_CHAIN_SUPPLIERS","RELATIONSHIP_AS_OF_DATE","20150202","cols=1;rows=5")</f>
        <v>2150994D US Equity</v>
      </c>
      <c r="LN5" t="str">
        <f>_xll.BDS("LUNA US Equity","SUPPLY_CHAIN_CUSTOMERS","RELATIONSHIP_AS_OF_DATE","20150202","cols=1;rows=5")</f>
        <v>ARW US Equity</v>
      </c>
      <c r="LS5" t="str">
        <f>_xll.BDS("NVTAQ US Equity","SUPPLY_CHAIN_SUPPLIERS","RELATIONSHIP_AS_OF_DATE","20170731","cols=1;rows=5")</f>
        <v>ECL US Equity</v>
      </c>
      <c r="LX5" t="str">
        <f>_xll.BDS("NVTAQ US Equity","SUPPLY_CHAIN_CUSTOMERS","RELATIONSHIP_AS_OF_DATE","20170731")</f>
        <v>9877893Z US Equity</v>
      </c>
      <c r="MC5" t="str">
        <f>_xll.BDS("250642Q US Equity","SUPPLY_CHAIN_SUPPLIERS","RELATIONSHIP_AS_OF_DATE","19990427")</f>
        <v>#N/A N/A</v>
      </c>
      <c r="MH5" t="str">
        <f>_xll.BDS("250642Q US Equity","SUPPLY_CHAIN_CUSTOMERS","RELATIONSHIP_AS_OF_DATE","19990427")</f>
        <v>#N/A N/A</v>
      </c>
      <c r="MM5" t="str">
        <f>_xll.BDS("TMO US Equity","SUPPLY_CHAIN_SUPPLIERS","RELATIONSHIP_AS_OF_DATE","19991020","cols=1;rows=5")</f>
        <v>EMR US Equity</v>
      </c>
      <c r="MR5" t="str">
        <f>_xll.BDS("TMO US Equity","SUPPLY_CHAIN_CUSTOMERS","RELATIONSHIP_AS_OF_DATE","19991020","cols=1;rows=5")</f>
        <v>4195 TT Equity</v>
      </c>
      <c r="MW5" t="str">
        <f>_xll.BDS("SSB US Equity","SUPPLY_CHAIN_SUPPLIERS","RELATIONSHIP_AS_OF_DATE","20050722","cols=1;rows=4")</f>
        <v>BLND US Equity</v>
      </c>
      <c r="NB5" t="str">
        <f>_xll.BDS("SSB US Equity","SUPPLY_CHAIN_CUSTOMERS","RELATIONSHIP_AS_OF_DATE","20050722")</f>
        <v>#N/A N/A</v>
      </c>
      <c r="NG5" t="str">
        <f>_xll.BDS("RIBT US Equity","SUPPLY_CHAIN_SUPPLIERS","RELATIONSHIP_AS_OF_DATE","20050404")</f>
        <v>#N/A N/A</v>
      </c>
      <c r="NL5" t="str">
        <f>_xll.BDS("RIBT US Equity","SUPPLY_CHAIN_CUSTOMERS","RELATIONSHIP_AS_OF_DATE","20050404")</f>
        <v>0530969D US Equity</v>
      </c>
      <c r="NQ5" t="str">
        <f>_xll.BDS("HWBK US Equity","SUPPLY_CHAIN_SUPPLIERS","RELATIONSHIP_AS_OF_DATE","19991027")</f>
        <v>#N/A N/A</v>
      </c>
      <c r="NV5" t="str">
        <f>_xll.BDS("HWBK US Equity","SUPPLY_CHAIN_CUSTOMERS","RELATIONSHIP_AS_OF_DATE","19991027")</f>
        <v>#N/A N/A</v>
      </c>
      <c r="OA5" t="str">
        <f>_xll.BDS("UVSP US Equity","SUPPLY_CHAIN_SUPPLIERS","RELATIONSHIP_AS_OF_DATE","20030516")</f>
        <v>#N/A N/A</v>
      </c>
      <c r="OF5" t="str">
        <f>_xll.BDS("UVSP US Equity","SUPPLY_CHAIN_CUSTOMERS","RELATIONSHIP_AS_OF_DATE","20030516")</f>
        <v>#N/A N/A</v>
      </c>
    </row>
    <row r="6" spans="1:396" x14ac:dyDescent="0.25">
      <c r="FO6" t="s">
        <v>11512</v>
      </c>
      <c r="FT6" t="s">
        <v>10912</v>
      </c>
      <c r="GS6" t="s">
        <v>10740</v>
      </c>
      <c r="GX6" t="s">
        <v>11190</v>
      </c>
      <c r="KO6" t="s">
        <v>10739</v>
      </c>
      <c r="LI6" t="s">
        <v>10696</v>
      </c>
      <c r="LN6" t="s">
        <v>10995</v>
      </c>
      <c r="LS6" t="s">
        <v>11069</v>
      </c>
      <c r="MM6" t="s">
        <v>44</v>
      </c>
      <c r="MR6" t="s">
        <v>10662</v>
      </c>
      <c r="MW6" t="s">
        <v>10829</v>
      </c>
    </row>
    <row r="7" spans="1:396" x14ac:dyDescent="0.25">
      <c r="FO7" t="s">
        <v>11513</v>
      </c>
      <c r="FT7" t="s">
        <v>5236</v>
      </c>
      <c r="GS7" t="s">
        <v>2406</v>
      </c>
      <c r="GX7" t="s">
        <v>11191</v>
      </c>
      <c r="LI7" t="s">
        <v>382</v>
      </c>
      <c r="LN7" t="s">
        <v>10657</v>
      </c>
      <c r="LS7" t="s">
        <v>11070</v>
      </c>
      <c r="MM7" t="s">
        <v>10734</v>
      </c>
      <c r="MR7" t="s">
        <v>10761</v>
      </c>
      <c r="MW7" t="s">
        <v>11242</v>
      </c>
    </row>
    <row r="8" spans="1:396" x14ac:dyDescent="0.25">
      <c r="FO8" t="s">
        <v>11514</v>
      </c>
      <c r="FT8" t="s">
        <v>10913</v>
      </c>
      <c r="GS8" t="s">
        <v>11205</v>
      </c>
      <c r="GX8" t="s">
        <v>11192</v>
      </c>
      <c r="LI8" t="s">
        <v>1545</v>
      </c>
      <c r="LN8" t="s">
        <v>10996</v>
      </c>
      <c r="LS8" t="s">
        <v>11071</v>
      </c>
      <c r="MM8" t="s">
        <v>10735</v>
      </c>
      <c r="MR8" t="s">
        <v>10762</v>
      </c>
      <c r="MW8" t="s">
        <v>3162</v>
      </c>
    </row>
    <row r="9" spans="1:396" x14ac:dyDescent="0.25">
      <c r="FO9" t="s">
        <v>11515</v>
      </c>
      <c r="FT9" t="s">
        <v>2705</v>
      </c>
      <c r="GX9" t="s">
        <v>10657</v>
      </c>
      <c r="LI9" t="s">
        <v>10715</v>
      </c>
      <c r="LN9" t="s">
        <v>10997</v>
      </c>
      <c r="LS9" t="s">
        <v>11072</v>
      </c>
      <c r="MM9" t="s">
        <v>3073</v>
      </c>
      <c r="MR9" t="s">
        <v>10763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9941</v>
      </c>
      <c r="K1" s="1" t="s">
        <v>9942</v>
      </c>
      <c r="U1" s="1" t="s">
        <v>9943</v>
      </c>
      <c r="AE1" s="1" t="s">
        <v>9944</v>
      </c>
      <c r="AO1" s="1" t="s">
        <v>9945</v>
      </c>
      <c r="AY1" s="1" t="s">
        <v>9946</v>
      </c>
      <c r="BI1" s="1" t="s">
        <v>9947</v>
      </c>
      <c r="BS1" s="1" t="s">
        <v>9948</v>
      </c>
      <c r="CC1" s="1" t="s">
        <v>9949</v>
      </c>
      <c r="CM1" s="1" t="s">
        <v>9950</v>
      </c>
      <c r="CW1" s="1" t="s">
        <v>9951</v>
      </c>
      <c r="DG1" s="1" t="s">
        <v>9952</v>
      </c>
      <c r="DQ1" s="1" t="s">
        <v>9953</v>
      </c>
      <c r="EA1" s="1" t="s">
        <v>9954</v>
      </c>
      <c r="EK1" s="1" t="s">
        <v>9955</v>
      </c>
      <c r="EU1" s="1" t="s">
        <v>9956</v>
      </c>
      <c r="FE1" s="1" t="s">
        <v>9957</v>
      </c>
      <c r="FO1" s="1" t="s">
        <v>9958</v>
      </c>
      <c r="FY1" s="1" t="s">
        <v>9959</v>
      </c>
      <c r="GI1" s="1" t="s">
        <v>9960</v>
      </c>
      <c r="GS1" s="1" t="s">
        <v>9961</v>
      </c>
      <c r="HC1" s="1" t="s">
        <v>9962</v>
      </c>
      <c r="HM1" s="1" t="s">
        <v>9963</v>
      </c>
      <c r="HW1" s="1" t="s">
        <v>9964</v>
      </c>
      <c r="IG1" s="1" t="s">
        <v>9965</v>
      </c>
      <c r="IQ1" s="1" t="s">
        <v>9966</v>
      </c>
      <c r="JA1" s="1" t="s">
        <v>9967</v>
      </c>
      <c r="JK1" s="1" t="s">
        <v>9968</v>
      </c>
      <c r="JU1" s="1" t="s">
        <v>9969</v>
      </c>
      <c r="KE1" s="1" t="s">
        <v>9970</v>
      </c>
      <c r="KO1" s="1" t="s">
        <v>9971</v>
      </c>
      <c r="KY1" s="1" t="s">
        <v>9972</v>
      </c>
      <c r="LI1" s="1" t="s">
        <v>9973</v>
      </c>
      <c r="LS1" s="1" t="s">
        <v>9974</v>
      </c>
      <c r="MC1" s="1" t="s">
        <v>9975</v>
      </c>
      <c r="MM1" s="1" t="s">
        <v>9976</v>
      </c>
      <c r="MW1" s="1" t="s">
        <v>9977</v>
      </c>
      <c r="NG1" s="1" t="s">
        <v>9978</v>
      </c>
      <c r="NQ1" s="1" t="s">
        <v>9979</v>
      </c>
      <c r="OA1" s="1" t="s">
        <v>9980</v>
      </c>
    </row>
    <row r="2" spans="1:396" x14ac:dyDescent="0.25">
      <c r="A2" s="2" t="s">
        <v>9981</v>
      </c>
      <c r="K2" s="2" t="s">
        <v>6885</v>
      </c>
      <c r="U2" s="2" t="s">
        <v>9982</v>
      </c>
      <c r="AE2" s="2" t="s">
        <v>8763</v>
      </c>
      <c r="AO2" s="2" t="s">
        <v>9983</v>
      </c>
      <c r="AY2" s="2" t="s">
        <v>9090</v>
      </c>
      <c r="BI2" s="2" t="s">
        <v>9984</v>
      </c>
      <c r="BS2" s="2" t="s">
        <v>9985</v>
      </c>
      <c r="CC2" s="2" t="s">
        <v>9986</v>
      </c>
      <c r="CM2" s="2" t="s">
        <v>9987</v>
      </c>
      <c r="CW2" s="2" t="s">
        <v>9988</v>
      </c>
      <c r="DG2" s="2" t="s">
        <v>9989</v>
      </c>
      <c r="DQ2" s="2" t="s">
        <v>154</v>
      </c>
      <c r="EA2" s="2" t="s">
        <v>9990</v>
      </c>
      <c r="EK2" s="2" t="s">
        <v>2299</v>
      </c>
      <c r="EU2" s="2" t="s">
        <v>4562</v>
      </c>
      <c r="FE2" s="2" t="s">
        <v>171</v>
      </c>
      <c r="FO2" s="2" t="s">
        <v>9991</v>
      </c>
      <c r="FY2" s="2" t="s">
        <v>9992</v>
      </c>
      <c r="GI2" s="2" t="s">
        <v>889</v>
      </c>
      <c r="GS2" s="2" t="s">
        <v>980</v>
      </c>
      <c r="HC2" s="2" t="s">
        <v>6246</v>
      </c>
      <c r="HM2" s="2" t="s">
        <v>9993</v>
      </c>
      <c r="HW2" s="2" t="s">
        <v>7209</v>
      </c>
      <c r="IG2" s="2" t="s">
        <v>9994</v>
      </c>
      <c r="IQ2" s="2" t="s">
        <v>8918</v>
      </c>
      <c r="JA2" s="2" t="s">
        <v>9995</v>
      </c>
      <c r="JK2" s="2" t="s">
        <v>9996</v>
      </c>
      <c r="JU2" s="2" t="s">
        <v>9683</v>
      </c>
      <c r="KE2" s="2" t="s">
        <v>9997</v>
      </c>
      <c r="KO2" s="2" t="s">
        <v>9998</v>
      </c>
      <c r="KY2" s="2" t="s">
        <v>9999</v>
      </c>
      <c r="LI2" s="2" t="s">
        <v>7847</v>
      </c>
      <c r="LS2" s="2" t="s">
        <v>7847</v>
      </c>
      <c r="MC2" s="2" t="s">
        <v>1756</v>
      </c>
      <c r="MM2" s="2" t="s">
        <v>10000</v>
      </c>
      <c r="MW2" s="2" t="s">
        <v>10001</v>
      </c>
      <c r="NG2" s="2" t="s">
        <v>10002</v>
      </c>
      <c r="NQ2" s="2" t="s">
        <v>880</v>
      </c>
      <c r="OA2" s="2" t="s">
        <v>10003</v>
      </c>
    </row>
    <row r="3" spans="1:396" x14ac:dyDescent="0.25">
      <c r="A3" t="s">
        <v>2734</v>
      </c>
      <c r="K3" t="s">
        <v>7328</v>
      </c>
      <c r="U3" t="s">
        <v>5939</v>
      </c>
      <c r="AE3" t="s">
        <v>10004</v>
      </c>
      <c r="AO3" t="s">
        <v>10005</v>
      </c>
      <c r="AY3" t="s">
        <v>6016</v>
      </c>
      <c r="BI3" t="s">
        <v>4324</v>
      </c>
      <c r="BS3" t="s">
        <v>7711</v>
      </c>
      <c r="CC3" t="s">
        <v>9548</v>
      </c>
      <c r="CM3" t="s">
        <v>3654</v>
      </c>
      <c r="CW3" t="s">
        <v>10006</v>
      </c>
      <c r="DG3" t="s">
        <v>3635</v>
      </c>
      <c r="DQ3" t="s">
        <v>8175</v>
      </c>
      <c r="EA3" t="s">
        <v>5344</v>
      </c>
      <c r="EK3" t="s">
        <v>9106</v>
      </c>
      <c r="EU3" t="s">
        <v>7711</v>
      </c>
      <c r="FE3" t="s">
        <v>10007</v>
      </c>
      <c r="FO3" t="s">
        <v>10008</v>
      </c>
      <c r="FY3" t="s">
        <v>4163</v>
      </c>
      <c r="GI3" t="s">
        <v>2984</v>
      </c>
      <c r="GS3" t="s">
        <v>10009</v>
      </c>
      <c r="HC3" t="s">
        <v>6019</v>
      </c>
      <c r="HM3" t="s">
        <v>10010</v>
      </c>
      <c r="HW3" t="s">
        <v>10011</v>
      </c>
      <c r="IG3" t="s">
        <v>2056</v>
      </c>
      <c r="IQ3" t="s">
        <v>996</v>
      </c>
      <c r="JA3" t="s">
        <v>8472</v>
      </c>
      <c r="JK3" t="s">
        <v>6008</v>
      </c>
      <c r="JU3" t="s">
        <v>10012</v>
      </c>
      <c r="KE3" t="s">
        <v>10013</v>
      </c>
      <c r="KO3" t="s">
        <v>7083</v>
      </c>
      <c r="KY3" t="s">
        <v>2987</v>
      </c>
      <c r="LI3" t="s">
        <v>6489</v>
      </c>
      <c r="LS3" t="s">
        <v>3187</v>
      </c>
      <c r="MC3" t="s">
        <v>5528</v>
      </c>
      <c r="MM3" t="s">
        <v>9786</v>
      </c>
      <c r="MW3" t="s">
        <v>2992</v>
      </c>
      <c r="NG3" t="s">
        <v>10014</v>
      </c>
      <c r="NQ3" t="s">
        <v>816</v>
      </c>
      <c r="OA3" t="s">
        <v>3195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_xll.BDS("IOTS US Equity","SUPPLY_CHAIN_SUPPLIERS","RELATIONSHIP_AS_OF_DATE","20180629")</f>
        <v>#N/A N/A</v>
      </c>
      <c r="F5" t="str">
        <f>_xll.BDS("IOTS US Equity","SUPPLY_CHAIN_CUSTOMERS","RELATIONSHIP_AS_OF_DATE","20180629")</f>
        <v>#N/A N/A</v>
      </c>
      <c r="K5" t="str">
        <f>_xll.BDS("SBLUQ US Equity","SUPPLY_CHAIN_SUPPLIERS","RELATIONSHIP_AS_OF_DATE","20010201")</f>
        <v>#N/A N/A</v>
      </c>
      <c r="P5" t="str">
        <f>_xll.BDS("SBLUQ US Equity","SUPPLY_CHAIN_CUSTOMERS","RELATIONSHIP_AS_OF_DATE","20010201")</f>
        <v>#N/A N/A</v>
      </c>
      <c r="U5" t="str">
        <f>_xll.BDS("IHWY US Equity","SUPPLY_CHAIN_SUPPLIERS","RELATIONSHIP_AS_OF_DATE","19990224")</f>
        <v>#N/A N/A</v>
      </c>
      <c r="Z5" t="str">
        <f>_xll.BDS("IHWY US Equity","SUPPLY_CHAIN_CUSTOMERS","RELATIONSHIP_AS_OF_DATE","19990224")</f>
        <v>ADVANC TB Equity</v>
      </c>
      <c r="AE5" t="str">
        <f>_xll.BDS("FBA US Equity","SUPPLY_CHAIN_SUPPLIERS","RELATIONSHIP_AS_OF_DATE","20000825")</f>
        <v>#N/A N/A</v>
      </c>
      <c r="AJ5" t="str">
        <f>_xll.BDS("FBA US Equity","SUPPLY_CHAIN_CUSTOMERS","RELATIONSHIP_AS_OF_DATE","20000825")</f>
        <v>#N/A N/A</v>
      </c>
      <c r="AO5" t="str">
        <f>_xll.BDS("PBCO US Equity","SUPPLY_CHAIN_SUPPLIERS","RELATIONSHIP_AS_OF_DATE","20201105")</f>
        <v>#N/A N/A</v>
      </c>
      <c r="AT5" t="str">
        <f>_xll.BDS("PBCO US Equity","SUPPLY_CHAIN_CUSTOMERS","RELATIONSHIP_AS_OF_DATE","20201105")</f>
        <v>#N/A N/A</v>
      </c>
      <c r="AY5" t="str">
        <f>_xll.BDS("TMD US Equity","SUPPLY_CHAIN_SUPPLIERS","RELATIONSHIP_AS_OF_DATE","19980331")</f>
        <v>#N/A N/A</v>
      </c>
      <c r="BD5" t="str">
        <f>_xll.BDS("TMD US Equity","SUPPLY_CHAIN_CUSTOMERS","RELATIONSHIP_AS_OF_DATE","19980331")</f>
        <v>#N/A N/A</v>
      </c>
      <c r="BI5" t="str">
        <f>_xll.BDS("WSBA US Equity","SUPPLY_CHAIN_SUPPLIERS","RELATIONSHIP_AS_OF_DATE","20030313")</f>
        <v>#N/A N/A</v>
      </c>
      <c r="BN5" t="str">
        <f>_xll.BDS("WSBA US Equity","SUPPLY_CHAIN_CUSTOMERS","RELATIONSHIP_AS_OF_DATE","20030313")</f>
        <v>#N/A N/A</v>
      </c>
      <c r="BS5" t="str">
        <f>_xll.BDS("FPIC US Equity","SUPPLY_CHAIN_SUPPLIERS","RELATIONSHIP_AS_OF_DATE","19981007")</f>
        <v>#N/A N/A</v>
      </c>
      <c r="BX5" t="str">
        <f>_xll.BDS("FPIC US Equity","SUPPLY_CHAIN_CUSTOMERS","RELATIONSHIP_AS_OF_DATE","19981007")</f>
        <v>#N/A N/A</v>
      </c>
      <c r="CC5" t="str">
        <f>_xll.BDS("MSBK US Equity","SUPPLY_CHAIN_SUPPLIERS","RELATIONSHIP_AS_OF_DATE","19981230")</f>
        <v>#N/A N/A</v>
      </c>
      <c r="CH5" t="str">
        <f>_xll.BDS("MSBK US Equity","SUPPLY_CHAIN_CUSTOMERS","RELATIONSHIP_AS_OF_DATE","19981230")</f>
        <v>#N/A N/A</v>
      </c>
      <c r="CM5" t="str">
        <f>_xll.BDS("CEFC US Equity","SUPPLY_CHAIN_SUPPLIERS","RELATIONSHIP_AS_OF_DATE","20160616")</f>
        <v>#N/A N/A</v>
      </c>
      <c r="CR5" t="str">
        <f>_xll.BDS("CEFC US Equity","SUPPLY_CHAIN_CUSTOMERS","RELATIONSHIP_AS_OF_DATE","20160616")</f>
        <v>#N/A N/A</v>
      </c>
      <c r="CW5" t="str">
        <f>_xll.BDS("IESC US Equity","SUPPLY_CHAIN_SUPPLIERS","RELATIONSHIP_AS_OF_DATE","20130313")</f>
        <v>NTGR US Equity</v>
      </c>
      <c r="DB5" t="str">
        <f>_xll.BDS("IESC US Equity","SUPPLY_CHAIN_CUSTOMERS","RELATIONSHIP_AS_OF_DATE","20130313")</f>
        <v>VIEWQ US Equity</v>
      </c>
      <c r="DG5" t="str">
        <f>_xll.BDS("MMBI US Equity","SUPPLY_CHAIN_SUPPLIERS","RELATIONSHIP_AS_OF_DATE","20020603")</f>
        <v>#N/A N/A</v>
      </c>
      <c r="DL5" t="str">
        <f>_xll.BDS("MMBI US Equity","SUPPLY_CHAIN_CUSTOMERS","RELATIONSHIP_AS_OF_DATE","20020603")</f>
        <v>#N/A N/A</v>
      </c>
      <c r="DQ5" t="str">
        <f>_xll.BDS("FISV US Equity","SUPPLY_CHAIN_SUPPLIERS","RELATIONSHIP_AS_OF_DATE","20030409","cols=1;rows=5")</f>
        <v>ADBE US Equity</v>
      </c>
      <c r="DV5" t="str">
        <f>_xll.BDS("FISV US Equity","SUPPLY_CHAIN_CUSTOMERS","RELATIONSHIP_AS_OF_DATE","20030409","cols=1;rows=5")</f>
        <v>ALE PW Equity</v>
      </c>
      <c r="EA5" t="str">
        <f>_xll.BDS("797725Q US Equity","SUPPLY_CHAIN_SUPPLIERS","RELATIONSHIP_AS_OF_DATE","19980219")</f>
        <v>#N/A N/A</v>
      </c>
      <c r="EF5" t="str">
        <f>_xll.BDS("797725Q US Equity","SUPPLY_CHAIN_CUSTOMERS","RELATIONSHIP_AS_OF_DATE","19980219")</f>
        <v>#N/A N/A</v>
      </c>
      <c r="EK5" t="str">
        <f>_xll.BDS("PB US Equity","SUPPLY_CHAIN_SUPPLIERS","RELATIONSHIP_AS_OF_DATE","20111209")</f>
        <v>#N/A N/A</v>
      </c>
      <c r="EP5" t="str">
        <f>_xll.BDS("PB US Equity","SUPPLY_CHAIN_CUSTOMERS","RELATIONSHIP_AS_OF_DATE","20111209")</f>
        <v>#N/A N/A</v>
      </c>
      <c r="EU5" t="str">
        <f>_xll.BDS("TNB US Equity","SUPPLY_CHAIN_SUPPLIERS","RELATIONSHIP_AS_OF_DATE","19981007")</f>
        <v>#N/A N/A</v>
      </c>
      <c r="EZ5" t="str">
        <f>_xll.BDS("TNB US Equity","SUPPLY_CHAIN_CUSTOMERS","RELATIONSHIP_AS_OF_DATE","19981007")</f>
        <v>#N/A N/A</v>
      </c>
      <c r="FE5" t="str">
        <f>_xll.BDS("ORCL US Equity","SUPPLY_CHAIN_SUPPLIERS","RELATIONSHIP_AS_OF_DATE","19980821","cols=1;rows=5")</f>
        <v>NVDA US Equity</v>
      </c>
      <c r="FJ5" t="str">
        <f>_xll.BDS("ORCL US Equity","SUPPLY_CHAIN_CUSTOMERS","RELATIONSHIP_AS_OF_DATE","19980821","cols=1;rows=5")</f>
        <v>ACN US Equity</v>
      </c>
      <c r="FO5" t="str">
        <f>_xll.BDS("SMG US Equity","SUPPLY_CHAIN_SUPPLIERS","RELATIONSHIP_AS_OF_DATE","20201111","cols=1;rows=5")</f>
        <v>BAYN GR Equity</v>
      </c>
      <c r="FT5" t="str">
        <f>_xll.BDS("SMG US Equity","SUPPLY_CHAIN_CUSTOMERS","RELATIONSHIP_AS_OF_DATE","20201111","cols=1;rows=5")</f>
        <v>HD US Equity</v>
      </c>
      <c r="FY5" t="str">
        <f>_xll.BDS("GELX US Equity","SUPPLY_CHAIN_SUPPLIERS","RELATIONSHIP_AS_OF_DATE","19990816")</f>
        <v>#N/A N/A</v>
      </c>
      <c r="GD5" t="str">
        <f>_xll.BDS("GELX US Equity","SUPPLY_CHAIN_CUSTOMERS","RELATIONSHIP_AS_OF_DATE","19990816")</f>
        <v>#N/A N/A</v>
      </c>
      <c r="GI5" t="str">
        <f>_xll.BDS("1255459D US Equity","SUPPLY_CHAIN_SUPPLIERS","RELATIONSHIP_AS_OF_DATE","20050516","cols=1;rows=2")</f>
        <v>CREI LN Equity</v>
      </c>
      <c r="GN5" t="str">
        <f>_xll.BDS("1255459D US Equity","SUPPLY_CHAIN_CUSTOMERS","RELATIONSHIP_AS_OF_DATE","20050516","cols=1;rows=5")</f>
        <v>028260 KS Equity</v>
      </c>
      <c r="GS5" t="str">
        <f>_xll.BDS("ALB US Equity","SUPPLY_CHAIN_SUPPLIERS","RELATIONSHIP_AS_OF_DATE","20080606","cols=1;rows=5")</f>
        <v>002466 CH Equity</v>
      </c>
      <c r="GX5" t="str">
        <f>_xll.BDS("ALB US Equity","SUPPLY_CHAIN_CUSTOMERS","RELATIONSHIP_AS_OF_DATE","20080606","cols=1;rows=5")</f>
        <v>UMI BB Equity</v>
      </c>
      <c r="HC5" t="str">
        <f>_xll.BDS("BAGL US Equity","SUPPLY_CHAIN_SUPPLIERS","RELATIONSHIP_AS_OF_DATE","19980729")</f>
        <v>ENGI FP Equity</v>
      </c>
      <c r="HH5" t="str">
        <f>_xll.BDS("BAGL US Equity","SUPPLY_CHAIN_CUSTOMERS","RELATIONSHIP_AS_OF_DATE","19980729")</f>
        <v>BGS US Equity</v>
      </c>
      <c r="HM5" t="str">
        <f>_xll.BDS("RVLT US Equity","SUPPLY_CHAIN_SUPPLIERS","RELATIONSHIP_AS_OF_DATE","20121203")</f>
        <v>#N/A N/A</v>
      </c>
      <c r="HR5" t="str">
        <f>_xll.BDS("RVLT US Equity","SUPPLY_CHAIN_CUSTOMERS","RELATIONSHIP_AS_OF_DATE","20121203")</f>
        <v>#N/A N/A</v>
      </c>
      <c r="HW5" t="str">
        <f>_xll.BDS("OLBK US Equity","SUPPLY_CHAIN_SUPPLIERS","RELATIONSHIP_AS_OF_DATE","20100902")</f>
        <v>#N/A N/A</v>
      </c>
      <c r="IB5" t="str">
        <f>_xll.BDS("OLBK US Equity","SUPPLY_CHAIN_CUSTOMERS","RELATIONSHIP_AS_OF_DATE","20100902")</f>
        <v>#N/A N/A</v>
      </c>
      <c r="IG5" t="str">
        <f>_xll.BDS("BRC US Equity","SUPPLY_CHAIN_SUPPLIERS","RELATIONSHIP_AS_OF_DATE","20000211","cols=1;rows=5")</f>
        <v>1882228D US Equity</v>
      </c>
      <c r="IL5" t="str">
        <f>_xll.BDS("BRC US Equity","SUPPLY_CHAIN_CUSTOMERS","RELATIONSHIP_AS_OF_DATE","20000211","cols=1;rows=5")</f>
        <v>SNX US Equity</v>
      </c>
      <c r="IQ5" t="str">
        <f>_xll.BDS("CICN US Equity","SUPPLY_CHAIN_SUPPLIERS","RELATIONSHIP_AS_OF_DATE","19981124")</f>
        <v>#N/A N/A</v>
      </c>
      <c r="IV5" t="str">
        <f>_xll.BDS("CICN US Equity","SUPPLY_CHAIN_CUSTOMERS","RELATIONSHIP_AS_OF_DATE","19981124")</f>
        <v>#N/A N/A</v>
      </c>
      <c r="JA5" t="str">
        <f>_xll.BDS("VBFC US Equity","SUPPLY_CHAIN_SUPPLIERS","RELATIONSHIP_AS_OF_DATE","20080310")</f>
        <v>#N/A N/A</v>
      </c>
      <c r="JF5" t="str">
        <f>_xll.BDS("VBFC US Equity","SUPPLY_CHAIN_CUSTOMERS","RELATIONSHIP_AS_OF_DATE","20080310")</f>
        <v>#N/A N/A</v>
      </c>
      <c r="JK5" t="str">
        <f>_xll.BDS("CERN US Equity","SUPPLY_CHAIN_SUPPLIERS","RELATIONSHIP_AS_OF_DATE","20010906","cols=1;rows=5")</f>
        <v>3611 TT Equity</v>
      </c>
      <c r="JP5" t="str">
        <f>_xll.BDS("CERN US Equity","SUPPLY_CHAIN_CUSTOMERS","RELATIONSHIP_AS_OF_DATE","20010906","cols=1;rows=5")</f>
        <v>0522255D US Equity</v>
      </c>
      <c r="JU5" t="str">
        <f>_xll.BDS("CWBC US Equity","SUPPLY_CHAIN_SUPPLIERS","RELATIONSHIP_AS_OF_DATE","20080528")</f>
        <v>#N/A N/A</v>
      </c>
      <c r="JZ5" t="str">
        <f>_xll.BDS("CWBC US Equity","SUPPLY_CHAIN_CUSTOMERS","RELATIONSHIP_AS_OF_DATE","20080528")</f>
        <v>#N/A N/A</v>
      </c>
      <c r="KE5" t="str">
        <f>_xll.BDS("HIND US Equity","SUPPLY_CHAIN_SUPPLIERS","RELATIONSHIP_AS_OF_DATE","20210120")</f>
        <v>2327198D IT Equity</v>
      </c>
      <c r="KJ5" t="str">
        <f>_xll.BDS("HIND US Equity","SUPPLY_CHAIN_CUSTOMERS","RELATIONSHIP_AS_OF_DATE","20210120")</f>
        <v>#N/A N/A</v>
      </c>
      <c r="KO5" t="str">
        <f>_xll.BDS("PABK US Equity","SUPPLY_CHAIN_SUPPLIERS","RELATIONSHIP_AS_OF_DATE","19990604")</f>
        <v>#N/A N/A</v>
      </c>
      <c r="KT5" t="str">
        <f>_xll.BDS("PABK US Equity","SUPPLY_CHAIN_CUSTOMERS","RELATIONSHIP_AS_OF_DATE","19990604")</f>
        <v>#N/A N/A</v>
      </c>
      <c r="KY5" t="str">
        <f>_xll.BDS("BCML US Equity","SUPPLY_CHAIN_SUPPLIERS","RELATIONSHIP_AS_OF_DATE","20181210")</f>
        <v>#N/A N/A</v>
      </c>
      <c r="LD5" t="str">
        <f>_xll.BDS("BCML US Equity","SUPPLY_CHAIN_CUSTOMERS","RELATIONSHIP_AS_OF_DATE","20181210")</f>
        <v>#N/A N/A</v>
      </c>
      <c r="LI5" t="str">
        <f>_xll.BDS("696119Q US Equity","SUPPLY_CHAIN_SUPPLIERS","RELATIONSHIP_AS_OF_DATE","20000131")</f>
        <v>#N/A N/A</v>
      </c>
      <c r="LN5" t="str">
        <f>_xll.BDS("696119Q US Equity","SUPPLY_CHAIN_CUSTOMERS","RELATIONSHIP_AS_OF_DATE","20000131")</f>
        <v>#N/A N/A</v>
      </c>
      <c r="LS5" t="str">
        <f>_xll.BDS("696119Q US Equity","SUPPLY_CHAIN_SUPPLIERS","RELATIONSHIP_AS_OF_DATE","19990521")</f>
        <v>#N/A N/A</v>
      </c>
      <c r="LX5" t="str">
        <f>_xll.BDS("696119Q US Equity","SUPPLY_CHAIN_CUSTOMERS","RELATIONSHIP_AS_OF_DATE","19990521")</f>
        <v>#N/A N/A</v>
      </c>
      <c r="MC5" t="str">
        <f>_xll.BDS("1920486D US Equity","SUPPLY_CHAIN_SUPPLIERS","RELATIONSHIP_AS_OF_DATE","20050510")</f>
        <v>#N/A N/A</v>
      </c>
      <c r="MH5" t="str">
        <f>_xll.BDS("1920486D US Equity","SUPPLY_CHAIN_CUSTOMERS","RELATIONSHIP_AS_OF_DATE","20050510")</f>
        <v>#N/A N/A</v>
      </c>
      <c r="MM5" t="str">
        <f>_xll.BDS("AMCS US Equity","SUPPLY_CHAIN_SUPPLIERS","RELATIONSHIP_AS_OF_DATE","20090223")</f>
        <v>#N/A N/A</v>
      </c>
      <c r="MR5" t="str">
        <f>_xll.BDS("AMCS US Equity","SUPPLY_CHAIN_CUSTOMERS","RELATIONSHIP_AS_OF_DATE","20090223")</f>
        <v>#N/A N/A</v>
      </c>
      <c r="MW5" t="str">
        <f>_xll.BDS("PGEN US Equity","SUPPLY_CHAIN_SUPPLIERS","RELATIONSHIP_AS_OF_DATE","20131220")</f>
        <v>COR US Equity</v>
      </c>
      <c r="NB5" t="str">
        <f>_xll.BDS("PGEN US Equity","SUPPLY_CHAIN_CUSTOMERS","RELATIONSHIP_AS_OF_DATE","20131220","cols=1;rows=2")</f>
        <v>OGEN US Equity</v>
      </c>
      <c r="NG5" t="str">
        <f>_xll.BDS("LCNB US Equity","SUPPLY_CHAIN_SUPPLIERS","RELATIONSHIP_AS_OF_DATE","20121009")</f>
        <v>#N/A N/A</v>
      </c>
      <c r="NL5" t="str">
        <f>_xll.BDS("LCNB US Equity","SUPPLY_CHAIN_CUSTOMERS","RELATIONSHIP_AS_OF_DATE","20121009")</f>
        <v>#N/A N/A</v>
      </c>
      <c r="NQ5" t="str">
        <f>_xll.BDS("2860436Q US Equity","SUPPLY_CHAIN_SUPPLIERS","RELATIONSHIP_AS_OF_DATE","20030402")</f>
        <v>#N/A N/A</v>
      </c>
      <c r="NV5" t="str">
        <f>_xll.BDS("2860436Q US Equity","SUPPLY_CHAIN_CUSTOMERS","RELATIONSHIP_AS_OF_DATE","20030402")</f>
        <v>#N/A N/A</v>
      </c>
      <c r="OA5" t="str">
        <f>_xll.BDS("235982Q US Equity","SUPPLY_CHAIN_SUPPLIERS","RELATIONSHIP_AS_OF_DATE","19980817")</f>
        <v>#N/A N/A</v>
      </c>
      <c r="OF5" t="str">
        <f>_xll.BDS("235982Q US Equity","SUPPLY_CHAIN_CUSTOMERS","RELATIONSHIP_AS_OF_DATE","19980817")</f>
        <v>#N/A N/A</v>
      </c>
    </row>
    <row r="6" spans="1:396" x14ac:dyDescent="0.25">
      <c r="DQ6" t="s">
        <v>11073</v>
      </c>
      <c r="DV6" t="s">
        <v>11033</v>
      </c>
      <c r="FE6" t="s">
        <v>162</v>
      </c>
      <c r="FJ6" t="s">
        <v>469</v>
      </c>
      <c r="FO6" t="s">
        <v>10978</v>
      </c>
      <c r="FT6" t="s">
        <v>3239</v>
      </c>
      <c r="GI6" t="s">
        <v>2887</v>
      </c>
      <c r="GN6" t="s">
        <v>10637</v>
      </c>
      <c r="GS6" t="s">
        <v>11187</v>
      </c>
      <c r="GX6" t="s">
        <v>11184</v>
      </c>
      <c r="IG6" t="s">
        <v>10851</v>
      </c>
      <c r="IL6" t="s">
        <v>10660</v>
      </c>
      <c r="JK6" t="s">
        <v>10826</v>
      </c>
      <c r="JP6" t="s">
        <v>10764</v>
      </c>
      <c r="NB6" t="s">
        <v>11241</v>
      </c>
    </row>
    <row r="7" spans="1:396" x14ac:dyDescent="0.25">
      <c r="DQ7" t="s">
        <v>11074</v>
      </c>
      <c r="DV7" t="s">
        <v>11034</v>
      </c>
      <c r="FE7" t="s">
        <v>279</v>
      </c>
      <c r="FJ7" t="s">
        <v>2881</v>
      </c>
      <c r="FO7" t="s">
        <v>11239</v>
      </c>
      <c r="FT7" t="s">
        <v>10676</v>
      </c>
      <c r="GN7" t="s">
        <v>10638</v>
      </c>
      <c r="GS7" t="s">
        <v>11188</v>
      </c>
      <c r="GX7" t="s">
        <v>3875</v>
      </c>
      <c r="IG7" t="s">
        <v>371</v>
      </c>
      <c r="IL7" t="s">
        <v>6473</v>
      </c>
      <c r="JK7" t="s">
        <v>10827</v>
      </c>
      <c r="JP7" t="s">
        <v>10765</v>
      </c>
    </row>
    <row r="8" spans="1:396" x14ac:dyDescent="0.25">
      <c r="DQ8" t="s">
        <v>10987</v>
      </c>
      <c r="DV8" t="s">
        <v>11035</v>
      </c>
      <c r="FE8" t="s">
        <v>10818</v>
      </c>
      <c r="FJ8" t="s">
        <v>52</v>
      </c>
      <c r="FO8" t="s">
        <v>2111</v>
      </c>
      <c r="FT8" t="s">
        <v>10911</v>
      </c>
      <c r="GN8" t="s">
        <v>10639</v>
      </c>
      <c r="GS8" t="s">
        <v>11189</v>
      </c>
      <c r="GX8" t="s">
        <v>10953</v>
      </c>
      <c r="IG8" t="s">
        <v>10983</v>
      </c>
      <c r="IL8" t="s">
        <v>10787</v>
      </c>
      <c r="JK8" t="s">
        <v>10828</v>
      </c>
      <c r="JP8" t="s">
        <v>10766</v>
      </c>
    </row>
    <row r="9" spans="1:396" x14ac:dyDescent="0.25">
      <c r="DQ9" t="s">
        <v>11075</v>
      </c>
      <c r="DV9" t="s">
        <v>11036</v>
      </c>
      <c r="FE9" t="s">
        <v>384</v>
      </c>
      <c r="FJ9" t="s">
        <v>472</v>
      </c>
      <c r="FO9" t="s">
        <v>10696</v>
      </c>
      <c r="FT9" t="s">
        <v>10774</v>
      </c>
      <c r="GN9" t="s">
        <v>10640</v>
      </c>
      <c r="GS9" t="s">
        <v>482</v>
      </c>
      <c r="GX9" t="s">
        <v>11185</v>
      </c>
      <c r="IG9" t="s">
        <v>10984</v>
      </c>
      <c r="IL9" t="s">
        <v>4219</v>
      </c>
      <c r="JK9" t="s">
        <v>682</v>
      </c>
      <c r="JP9" t="s">
        <v>10767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10015</v>
      </c>
      <c r="K1" s="1" t="s">
        <v>10016</v>
      </c>
      <c r="U1" s="1" t="s">
        <v>10017</v>
      </c>
      <c r="AE1" s="1" t="s">
        <v>10018</v>
      </c>
      <c r="AO1" s="1" t="s">
        <v>10019</v>
      </c>
      <c r="AY1" s="1" t="s">
        <v>10020</v>
      </c>
      <c r="BI1" s="1" t="s">
        <v>10021</v>
      </c>
      <c r="BS1" s="1" t="s">
        <v>10022</v>
      </c>
      <c r="CC1" s="1" t="s">
        <v>10023</v>
      </c>
      <c r="CM1" s="1" t="s">
        <v>10024</v>
      </c>
      <c r="CW1" s="1" t="s">
        <v>10025</v>
      </c>
      <c r="DG1" s="1" t="s">
        <v>10026</v>
      </c>
      <c r="DQ1" s="1" t="s">
        <v>10027</v>
      </c>
      <c r="EA1" s="1" t="s">
        <v>10028</v>
      </c>
      <c r="EK1" s="1" t="s">
        <v>10029</v>
      </c>
      <c r="EU1" s="1" t="s">
        <v>10030</v>
      </c>
      <c r="FE1" s="1" t="s">
        <v>10031</v>
      </c>
      <c r="FO1" s="1" t="s">
        <v>10032</v>
      </c>
      <c r="FY1" s="1" t="s">
        <v>10033</v>
      </c>
      <c r="GI1" s="1" t="s">
        <v>10034</v>
      </c>
      <c r="GS1" s="1" t="s">
        <v>10035</v>
      </c>
      <c r="HC1" s="1" t="s">
        <v>10036</v>
      </c>
      <c r="HM1" s="1" t="s">
        <v>10037</v>
      </c>
      <c r="HW1" s="1" t="s">
        <v>10038</v>
      </c>
      <c r="IG1" s="1" t="s">
        <v>10039</v>
      </c>
      <c r="IQ1" s="1" t="s">
        <v>10040</v>
      </c>
      <c r="JA1" s="1" t="s">
        <v>10041</v>
      </c>
      <c r="JK1" s="1" t="s">
        <v>10042</v>
      </c>
      <c r="JU1" s="1" t="s">
        <v>10043</v>
      </c>
      <c r="KE1" s="1" t="s">
        <v>10044</v>
      </c>
      <c r="KO1" s="1" t="s">
        <v>10045</v>
      </c>
      <c r="KY1" s="1" t="s">
        <v>10046</v>
      </c>
      <c r="LI1" s="1" t="s">
        <v>10047</v>
      </c>
      <c r="LS1" s="1" t="s">
        <v>10048</v>
      </c>
      <c r="MC1" s="1" t="s">
        <v>10049</v>
      </c>
      <c r="MM1" s="1" t="s">
        <v>10050</v>
      </c>
      <c r="MW1" s="1" t="s">
        <v>10051</v>
      </c>
      <c r="NG1" s="1" t="s">
        <v>10052</v>
      </c>
      <c r="NQ1" s="1" t="s">
        <v>10053</v>
      </c>
      <c r="OA1" s="1" t="s">
        <v>10054</v>
      </c>
    </row>
    <row r="2" spans="1:396" x14ac:dyDescent="0.25">
      <c r="A2" s="2" t="s">
        <v>390</v>
      </c>
      <c r="K2" s="2" t="s">
        <v>10055</v>
      </c>
      <c r="U2" s="2" t="s">
        <v>10056</v>
      </c>
      <c r="AE2" s="2" t="s">
        <v>1925</v>
      </c>
      <c r="AO2" s="2" t="s">
        <v>10057</v>
      </c>
      <c r="AY2" s="2" t="s">
        <v>7383</v>
      </c>
      <c r="BI2" s="2" t="s">
        <v>4559</v>
      </c>
      <c r="BS2" s="2" t="s">
        <v>10058</v>
      </c>
      <c r="CC2" s="2" t="s">
        <v>7286</v>
      </c>
      <c r="CM2" s="2" t="s">
        <v>10059</v>
      </c>
      <c r="CW2" s="2" t="s">
        <v>8075</v>
      </c>
      <c r="DG2" s="2" t="s">
        <v>10060</v>
      </c>
      <c r="DQ2" s="2" t="s">
        <v>10061</v>
      </c>
      <c r="EA2" s="2" t="s">
        <v>10062</v>
      </c>
      <c r="EK2" s="2" t="s">
        <v>10063</v>
      </c>
      <c r="EU2" s="2" t="s">
        <v>8926</v>
      </c>
      <c r="FE2" s="2" t="s">
        <v>10064</v>
      </c>
      <c r="FO2" s="2" t="s">
        <v>8087</v>
      </c>
      <c r="FY2" s="2" t="s">
        <v>5914</v>
      </c>
      <c r="GI2" s="2" t="s">
        <v>10065</v>
      </c>
      <c r="GS2" s="2" t="s">
        <v>10066</v>
      </c>
      <c r="HC2" s="2" t="s">
        <v>10067</v>
      </c>
      <c r="HM2" s="2" t="s">
        <v>10068</v>
      </c>
      <c r="HW2" s="2" t="s">
        <v>7213</v>
      </c>
      <c r="IG2" s="2" t="s">
        <v>10069</v>
      </c>
      <c r="IQ2" s="2" t="s">
        <v>2124</v>
      </c>
      <c r="JA2" s="2" t="s">
        <v>10070</v>
      </c>
      <c r="JK2" s="2" t="s">
        <v>2302</v>
      </c>
      <c r="JU2" s="2" t="s">
        <v>10071</v>
      </c>
      <c r="KE2" s="2" t="s">
        <v>6813</v>
      </c>
      <c r="KO2" s="2" t="s">
        <v>10072</v>
      </c>
      <c r="KY2" s="2" t="s">
        <v>10073</v>
      </c>
      <c r="LI2" s="2" t="s">
        <v>8763</v>
      </c>
      <c r="LS2" s="2" t="s">
        <v>2504</v>
      </c>
      <c r="MC2" s="2" t="s">
        <v>10074</v>
      </c>
      <c r="MM2" s="2" t="s">
        <v>8686</v>
      </c>
      <c r="MW2" s="2" t="s">
        <v>66</v>
      </c>
      <c r="NG2" s="2" t="s">
        <v>10075</v>
      </c>
      <c r="NQ2" s="2" t="s">
        <v>9754</v>
      </c>
      <c r="OA2" s="2" t="s">
        <v>10076</v>
      </c>
    </row>
    <row r="3" spans="1:396" x14ac:dyDescent="0.25">
      <c r="A3" t="s">
        <v>3196</v>
      </c>
      <c r="K3" t="s">
        <v>5928</v>
      </c>
      <c r="U3" t="s">
        <v>10077</v>
      </c>
      <c r="AE3" t="s">
        <v>1661</v>
      </c>
      <c r="AO3" t="s">
        <v>10078</v>
      </c>
      <c r="AY3" t="s">
        <v>10079</v>
      </c>
      <c r="BI3" t="s">
        <v>1761</v>
      </c>
      <c r="BS3" t="s">
        <v>10080</v>
      </c>
      <c r="CC3" t="s">
        <v>10081</v>
      </c>
      <c r="CM3" t="s">
        <v>10082</v>
      </c>
      <c r="CW3" t="s">
        <v>5104</v>
      </c>
      <c r="DG3" t="s">
        <v>2640</v>
      </c>
      <c r="DQ3" t="s">
        <v>10083</v>
      </c>
      <c r="EA3" t="s">
        <v>6827</v>
      </c>
      <c r="EK3" t="s">
        <v>10084</v>
      </c>
      <c r="EU3" t="s">
        <v>10085</v>
      </c>
      <c r="FE3" t="s">
        <v>8472</v>
      </c>
      <c r="FO3" t="s">
        <v>2730</v>
      </c>
      <c r="FY3" t="s">
        <v>10086</v>
      </c>
      <c r="GI3" t="s">
        <v>10087</v>
      </c>
      <c r="GS3" t="s">
        <v>10088</v>
      </c>
      <c r="HC3" t="s">
        <v>10089</v>
      </c>
      <c r="HM3" t="s">
        <v>6415</v>
      </c>
      <c r="HW3" t="s">
        <v>1875</v>
      </c>
      <c r="IG3" t="s">
        <v>10090</v>
      </c>
      <c r="IQ3" t="s">
        <v>8329</v>
      </c>
      <c r="JA3" t="s">
        <v>5932</v>
      </c>
      <c r="JK3" t="s">
        <v>6332</v>
      </c>
      <c r="JU3" t="s">
        <v>8182</v>
      </c>
      <c r="KE3" t="s">
        <v>10091</v>
      </c>
      <c r="KO3" t="s">
        <v>10092</v>
      </c>
      <c r="KY3" t="s">
        <v>10093</v>
      </c>
      <c r="LI3" t="s">
        <v>3087</v>
      </c>
      <c r="LS3" t="s">
        <v>10094</v>
      </c>
      <c r="MC3" t="s">
        <v>521</v>
      </c>
      <c r="MM3" t="s">
        <v>10095</v>
      </c>
      <c r="MW3" t="s">
        <v>10096</v>
      </c>
      <c r="NG3" t="s">
        <v>10097</v>
      </c>
      <c r="NQ3" t="s">
        <v>2055</v>
      </c>
      <c r="OA3" t="s">
        <v>4828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_xll.BDS("GEN US Equity","SUPPLY_CHAIN_SUPPLIERS","RELATIONSHIP_AS_OF_DATE","20030514","cols=1;rows=5")</f>
        <v>354 HK Equity</v>
      </c>
      <c r="F5" t="str">
        <f>_xll.BDS("GEN US Equity","SUPPLY_CHAIN_CUSTOMERS","RELATIONSHIP_AS_OF_DATE","20030514","cols=1;rows=5")</f>
        <v>BABA US Equity</v>
      </c>
      <c r="K5" t="str">
        <f>_xll.BDS("SORCQ US Equity","SUPPLY_CHAIN_SUPPLIERS","RELATIONSHIP_AS_OF_DATE","19981215")</f>
        <v>#N/A N/A</v>
      </c>
      <c r="P5" t="str">
        <f>_xll.BDS("SORCQ US Equity","SUPPLY_CHAIN_CUSTOMERS","RELATIONSHIP_AS_OF_DATE","19981215")</f>
        <v>#N/A N/A</v>
      </c>
      <c r="U5" t="str">
        <f>_xll.BDS("0959089D US Equity","SUPPLY_CHAIN_SUPPLIERS","RELATIONSHIP_AS_OF_DATE","20050331")</f>
        <v>#N/A N/A</v>
      </c>
      <c r="Z5" t="str">
        <f>_xll.BDS("0959089D US Equity","SUPPLY_CHAIN_CUSTOMERS","RELATIONSHIP_AS_OF_DATE","20050331")</f>
        <v>#N/A N/A</v>
      </c>
      <c r="AE5" t="str">
        <f>_xll.BDS("SNV US Equity","SUPPLY_CHAIN_SUPPLIERS","RELATIONSHIP_AS_OF_DATE","19990820")</f>
        <v>VYX US Equity</v>
      </c>
      <c r="AJ5" t="str">
        <f>_xll.BDS("SNV US Equity","SUPPLY_CHAIN_CUSTOMERS","RELATIONSHIP_AS_OF_DATE","19990820")</f>
        <v>#N/A N/A</v>
      </c>
      <c r="AO5" t="str">
        <f>_xll.BDS("SLI US Equity","SUPPLY_CHAIN_SUPPLIERS","RELATIONSHIP_AS_OF_DATE","20051219","cols=1;rows=3")</f>
        <v>LXS GR Equity</v>
      </c>
      <c r="AT5" t="str">
        <f>_xll.BDS("SLI US Equity","SUPPLY_CHAIN_CUSTOMERS","RELATIONSHIP_AS_OF_DATE","20051219")</f>
        <v>#N/A N/A</v>
      </c>
      <c r="AY5" t="str">
        <f>_xll.BDS("CBKN US Equity","SUPPLY_CHAIN_SUPPLIERS","RELATIONSHIP_AS_OF_DATE","20020501")</f>
        <v>#N/A N/A</v>
      </c>
      <c r="BD5" t="str">
        <f>_xll.BDS("CBKN US Equity","SUPPLY_CHAIN_CUSTOMERS","RELATIONSHIP_AS_OF_DATE","20020501")</f>
        <v>#N/A N/A</v>
      </c>
      <c r="BI5" t="str">
        <f>_xll.BDS("NPBC US Equity","SUPPLY_CHAIN_SUPPLIERS","RELATIONSHIP_AS_OF_DATE","20000214")</f>
        <v>#N/A N/A</v>
      </c>
      <c r="BN5" t="str">
        <f>_xll.BDS("NPBC US Equity","SUPPLY_CHAIN_CUSTOMERS","RELATIONSHIP_AS_OF_DATE","20000214")</f>
        <v>#N/A N/A</v>
      </c>
      <c r="BS5" t="str">
        <f>_xll.BDS("INHX US Equity","SUPPLY_CHAIN_SUPPLIERS","RELATIONSHIP_AS_OF_DATE","20070410")</f>
        <v>#N/A N/A</v>
      </c>
      <c r="BX5" t="str">
        <f>_xll.BDS("INHX US Equity","SUPPLY_CHAIN_CUSTOMERS","RELATIONSHIP_AS_OF_DATE","20070410")</f>
        <v>#N/A N/A</v>
      </c>
      <c r="CC5" t="str">
        <f>_xll.BDS("KTO US Equity","SUPPLY_CHAIN_SUPPLIERS","RELATIONSHIP_AS_OF_DATE","19990723")</f>
        <v>#N/A N/A</v>
      </c>
      <c r="CH5" t="str">
        <f>_xll.BDS("KTO US Equity","SUPPLY_CHAIN_CUSTOMERS","RELATIONSHIP_AS_OF_DATE","19990723")</f>
        <v>#N/A N/A</v>
      </c>
      <c r="CM5" t="str">
        <f>_xll.BDS("UPLD US Equity","SUPPLY_CHAIN_SUPPLIERS","RELATIONSHIP_AS_OF_DATE","20161220")</f>
        <v>#N/A N/A</v>
      </c>
      <c r="CR5" t="str">
        <f>_xll.BDS("UPLD US Equity","SUPPLY_CHAIN_CUSTOMERS","RELATIONSHIP_AS_OF_DATE","20161220","cols=1;rows=5")</f>
        <v>CDW US Equity</v>
      </c>
      <c r="CW5" t="str">
        <f>_xll.BDS("CBRI US Equity","SUPPLY_CHAIN_SUPPLIERS","RELATIONSHIP_AS_OF_DATE","20010614")</f>
        <v>#N/A N/A</v>
      </c>
      <c r="DB5" t="str">
        <f>_xll.BDS("CBRI US Equity","SUPPLY_CHAIN_CUSTOMERS","RELATIONSHIP_AS_OF_DATE","20010614")</f>
        <v>#N/A N/A</v>
      </c>
      <c r="DG5" t="str">
        <f>_xll.BDS("MCTIQ US Equity","SUPPLY_CHAIN_SUPPLIERS","RELATIONSHIP_AS_OF_DATE","19990920")</f>
        <v>#N/A N/A</v>
      </c>
      <c r="DL5" t="str">
        <f>_xll.BDS("MCTIQ US Equity","SUPPLY_CHAIN_CUSTOMERS","RELATIONSHIP_AS_OF_DATE","19990920")</f>
        <v>#N/A N/A</v>
      </c>
      <c r="DQ5" t="str">
        <f>_xll.BDS("GRAN US Equity","SUPPLY_CHAIN_SUPPLIERS","RELATIONSHIP_AS_OF_DATE","20021218")</f>
        <v>#N/A N/A</v>
      </c>
      <c r="DV5" t="str">
        <f>_xll.BDS("GRAN US Equity","SUPPLY_CHAIN_CUSTOMERS","RELATIONSHIP_AS_OF_DATE","20021218")</f>
        <v>#N/A N/A</v>
      </c>
      <c r="EA5" t="str">
        <f>_xll.BDS("BCSB US Equity","SUPPLY_CHAIN_SUPPLIERS","RELATIONSHIP_AS_OF_DATE","20020227")</f>
        <v>#N/A N/A</v>
      </c>
      <c r="EF5" t="str">
        <f>_xll.BDS("BCSB US Equity","SUPPLY_CHAIN_CUSTOMERS","RELATIONSHIP_AS_OF_DATE","20020227")</f>
        <v>#N/A N/A</v>
      </c>
      <c r="EK5" t="str">
        <f>_xll.BDS("DAEG US Equity","SUPPLY_CHAIN_SUPPLIERS","RELATIONSHIP_AS_OF_DATE","20090416")</f>
        <v>#N/A N/A</v>
      </c>
      <c r="EP5" t="str">
        <f>_xll.BDS("DAEG US Equity","SUPPLY_CHAIN_CUSTOMERS","RELATIONSHIP_AS_OF_DATE","20090416")</f>
        <v>#N/A N/A</v>
      </c>
      <c r="EU5" t="str">
        <f>_xll.BDS("CNMD US Equity","SUPPLY_CHAIN_SUPPLIERS","RELATIONSHIP_AS_OF_DATE","20120814","cols=1;rows=5")</f>
        <v>SODI US Equity</v>
      </c>
      <c r="EZ5" t="str">
        <f>_xll.BDS("CNMD US Equity","SUPPLY_CHAIN_CUSTOMERS","RELATIONSHIP_AS_OF_DATE","20120814","cols=1;rows=2")</f>
        <v>3352Z US Equity</v>
      </c>
      <c r="FE5" t="str">
        <f>_xll.BDS("TLAG US Equity","SUPPLY_CHAIN_SUPPLIERS","RELATIONSHIP_AS_OF_DATE","20080310")</f>
        <v>#N/A N/A</v>
      </c>
      <c r="FJ5" t="str">
        <f>_xll.BDS("TLAG US Equity","SUPPLY_CHAIN_CUSTOMERS","RELATIONSHIP_AS_OF_DATE","20080310")</f>
        <v>#N/A N/A</v>
      </c>
      <c r="FO5" t="str">
        <f>_xll.BDS("EXEL US Equity","SUPPLY_CHAIN_SUPPLIERS","RELATIONSHIP_AS_OF_DATE","20011119","cols=1;rows=5")</f>
        <v>RPRX US Equity</v>
      </c>
      <c r="FT5" t="str">
        <f>_xll.BDS("EXEL US Equity","SUPPLY_CHAIN_CUSTOMERS","RELATIONSHIP_AS_OF_DATE","20011119","cols=1;rows=5")</f>
        <v>COR US Equity</v>
      </c>
      <c r="FY5" t="str">
        <f>_xll.BDS("BRKL US Equity","SUPPLY_CHAIN_SUPPLIERS","RELATIONSHIP_AS_OF_DATE","20101027")</f>
        <v>#N/A N/A</v>
      </c>
      <c r="GD5" t="str">
        <f>_xll.BDS("BRKL US Equity","SUPPLY_CHAIN_CUSTOMERS","RELATIONSHIP_AS_OF_DATE","20101027")</f>
        <v>#N/A N/A</v>
      </c>
      <c r="GI5" t="str">
        <f>_xll.BDS("OSKY US Equity","SUPPLY_CHAIN_SUPPLIERS","RELATIONSHIP_AS_OF_DATE","19990202")</f>
        <v>#N/A N/A</v>
      </c>
      <c r="GN5" t="str">
        <f>_xll.BDS("OSKY US Equity","SUPPLY_CHAIN_CUSTOMERS","RELATIONSHIP_AS_OF_DATE","19990202")</f>
        <v>#N/A N/A</v>
      </c>
      <c r="GS5" t="str">
        <f>_xll.BDS("QCOR US Equity","SUPPLY_CHAIN_SUPPLIERS","RELATIONSHIP_AS_OF_DATE","19990805")</f>
        <v>#N/A N/A</v>
      </c>
      <c r="GX5" t="str">
        <f>_xll.BDS("QCOR US Equity","SUPPLY_CHAIN_CUSTOMERS","RELATIONSHIP_AS_OF_DATE","19990805")</f>
        <v>ENDPQ US Equity</v>
      </c>
      <c r="HC5" t="str">
        <f>_xll.BDS("CFOK US Equity","SUPPLY_CHAIN_SUPPLIERS","RELATIONSHIP_AS_OF_DATE","20201009")</f>
        <v>#N/A N/A</v>
      </c>
      <c r="HH5" t="str">
        <f>_xll.BDS("CFOK US Equity","SUPPLY_CHAIN_CUSTOMERS","RELATIONSHIP_AS_OF_DATE","20201009")</f>
        <v>#N/A N/A</v>
      </c>
      <c r="HM5" t="str">
        <f>_xll.BDS("ELED US Equity","SUPPLY_CHAIN_SUPPLIERS","RELATIONSHIP_AS_OF_DATE","20040429")</f>
        <v>#N/A N/A</v>
      </c>
      <c r="HR5" t="str">
        <f>_xll.BDS("ELED US Equity","SUPPLY_CHAIN_CUSTOMERS","RELATIONSHIP_AS_OF_DATE","20040429")</f>
        <v>#N/A N/A</v>
      </c>
      <c r="HW5" t="str">
        <f>_xll.BDS("RSYS US Equity","SUPPLY_CHAIN_SUPPLIERS","RELATIONSHIP_AS_OF_DATE","20010702")</f>
        <v>#N/A N/A</v>
      </c>
      <c r="IB5" t="str">
        <f>_xll.BDS("RSYS US Equity","SUPPLY_CHAIN_CUSTOMERS","RELATIONSHIP_AS_OF_DATE","20010702")</f>
        <v>#N/A N/A</v>
      </c>
      <c r="IG5" t="str">
        <f>_xll.BDS("PGICQ US Equity","SUPPLY_CHAIN_SUPPLIERS","RELATIONSHIP_AS_OF_DATE","20050222")</f>
        <v>#N/A N/A</v>
      </c>
      <c r="IL5" t="str">
        <f>_xll.BDS("PGICQ US Equity","SUPPLY_CHAIN_CUSTOMERS","RELATIONSHIP_AS_OF_DATE","20050222")</f>
        <v>#N/A N/A</v>
      </c>
      <c r="IQ5" t="str">
        <f>_xll.BDS("PACW US Equity","SUPPLY_CHAIN_SUPPLIERS","RELATIONSHIP_AS_OF_DATE","20020514")</f>
        <v>#N/A N/A</v>
      </c>
      <c r="IV5" t="str">
        <f>_xll.BDS("PACW US Equity","SUPPLY_CHAIN_CUSTOMERS","RELATIONSHIP_AS_OF_DATE","20020514")</f>
        <v>SNX US Equity</v>
      </c>
      <c r="JA5" t="str">
        <f>_xll.BDS("DRMO US Equity","SUPPLY_CHAIN_SUPPLIERS","RELATIONSHIP_AS_OF_DATE","20080131")</f>
        <v>#N/A N/A</v>
      </c>
      <c r="JF5" t="str">
        <f>_xll.BDS("DRMO US Equity","SUPPLY_CHAIN_CUSTOMERS","RELATIONSHIP_AS_OF_DATE","20080131")</f>
        <v>#N/A N/A</v>
      </c>
      <c r="JK5" t="str">
        <f>_xll.BDS("FIBK US Equity","SUPPLY_CHAIN_SUPPLIERS","RELATIONSHIP_AS_OF_DATE","20181011")</f>
        <v>FISV US Equity</v>
      </c>
      <c r="JP5" t="str">
        <f>_xll.BDS("FIBK US Equity","SUPPLY_CHAIN_CUSTOMERS","RELATIONSHIP_AS_OF_DATE","20181011")</f>
        <v>#N/A N/A</v>
      </c>
      <c r="JU5" t="str">
        <f>_xll.BDS("CTWS US Equity","SUPPLY_CHAIN_SUPPLIERS","RELATIONSHIP_AS_OF_DATE","20120719")</f>
        <v>#N/A N/A</v>
      </c>
      <c r="JZ5" t="str">
        <f>_xll.BDS("CTWS US Equity","SUPPLY_CHAIN_CUSTOMERS","RELATIONSHIP_AS_OF_DATE","20120719")</f>
        <v>#N/A N/A</v>
      </c>
      <c r="KE5" t="str">
        <f>_xll.BDS("HSP US Equity","SUPPLY_CHAIN_SUPPLIERS","RELATIONSHIP_AS_OF_DATE","20050601")</f>
        <v>#N/A N/A</v>
      </c>
      <c r="KJ5" t="str">
        <f>_xll.BDS("HSP US Equity","SUPPLY_CHAIN_CUSTOMERS","RELATIONSHIP_AS_OF_DATE","20050601")</f>
        <v>#N/A N/A</v>
      </c>
      <c r="KO5" t="str">
        <f>_xll.BDS("UCBC US Equity","SUPPLY_CHAIN_SUPPLIERS","RELATIONSHIP_AS_OF_DATE","20010724")</f>
        <v>#N/A N/A</v>
      </c>
      <c r="KT5" t="str">
        <f>_xll.BDS("UCBC US Equity","SUPPLY_CHAIN_CUSTOMERS","RELATIONSHIP_AS_OF_DATE","20010724")</f>
        <v>#N/A N/A</v>
      </c>
      <c r="KY5" t="str">
        <f>_xll.BDS("0852980D US Equity","SUPPLY_CHAIN_SUPPLIERS","RELATIONSHIP_AS_OF_DATE","20000511")</f>
        <v>#N/A N/A</v>
      </c>
      <c r="LD5" t="str">
        <f>_xll.BDS("0852980D US Equity","SUPPLY_CHAIN_CUSTOMERS","RELATIONSHIP_AS_OF_DATE","20000511")</f>
        <v>#N/A N/A</v>
      </c>
      <c r="LI5" t="str">
        <f>_xll.BDS("FBA US Equity","SUPPLY_CHAIN_SUPPLIERS","RELATIONSHIP_AS_OF_DATE","20010523")</f>
        <v>#N/A N/A</v>
      </c>
      <c r="LN5" t="str">
        <f>_xll.BDS("FBA US Equity","SUPPLY_CHAIN_CUSTOMERS","RELATIONSHIP_AS_OF_DATE","20010523")</f>
        <v>#N/A N/A</v>
      </c>
      <c r="LS5" t="str">
        <f>_xll.BDS("PDCE US Equity","SUPPLY_CHAIN_SUPPLIERS","RELATIONSHIP_AS_OF_DATE","20061020")</f>
        <v>KNTK US Equity</v>
      </c>
      <c r="LX5" t="str">
        <f>_xll.BDS("PDCE US Equity","SUPPLY_CHAIN_CUSTOMERS","RELATIONSHIP_AS_OF_DATE","20061020")</f>
        <v>#N/A N/A</v>
      </c>
      <c r="MC5" t="str">
        <f>_xll.BDS("GSON US Equity","SUPPLY_CHAIN_SUPPLIERS","RELATIONSHIP_AS_OF_DATE","20151108")</f>
        <v>#N/A N/A</v>
      </c>
      <c r="MH5" t="str">
        <f>_xll.BDS("GSON US Equity","SUPPLY_CHAIN_CUSTOMERS","RELATIONSHIP_AS_OF_DATE","20151108")</f>
        <v>#N/A N/A</v>
      </c>
      <c r="MM5" t="str">
        <f>_xll.BDS("TIBX US Equity","SUPPLY_CHAIN_SUPPLIERS","RELATIONSHIP_AS_OF_DATE","20100622","cols=1;rows=5")</f>
        <v>ARE US Equity</v>
      </c>
      <c r="MR5" t="str">
        <f>_xll.BDS("TIBX US Equity","SUPPLY_CHAIN_CUSTOMERS","RELATIONSHIP_AS_OF_DATE","20100622","cols=1;rows=5")</f>
        <v>3565 JP Equity</v>
      </c>
      <c r="MW5" t="str">
        <f>_xll.BDS("MDT US Equity","SUPPLY_CHAIN_SUPPLIERS","RELATIONSHIP_AS_OF_DATE","20080422","cols=1;rows=5")</f>
        <v>FLEX US Equity</v>
      </c>
      <c r="NB5" t="str">
        <f>_xll.BDS("MDT US Equity","SUPPLY_CHAIN_CUSTOMERS","RELATIONSHIP_AS_OF_DATE","20080422","cols=1;rows=5")</f>
        <v>4104 TT Equity</v>
      </c>
      <c r="NG5" t="str">
        <f>_xll.BDS("FCEC US Equity","SUPPLY_CHAIN_SUPPLIERS","RELATIONSHIP_AS_OF_DATE","20080919")</f>
        <v>#N/A N/A</v>
      </c>
      <c r="NL5" t="str">
        <f>_xll.BDS("FCEC US Equity","SUPPLY_CHAIN_CUSTOMERS","RELATIONSHIP_AS_OF_DATE","20080919")</f>
        <v>#N/A N/A</v>
      </c>
      <c r="NQ5" t="str">
        <f>_xll.BDS("LNCB US Equity","SUPPLY_CHAIN_SUPPLIERS","RELATIONSHIP_AS_OF_DATE","20000321")</f>
        <v>#N/A N/A</v>
      </c>
      <c r="NV5" t="str">
        <f>_xll.BDS("LNCB US Equity","SUPPLY_CHAIN_CUSTOMERS","RELATIONSHIP_AS_OF_DATE","20000321")</f>
        <v>#N/A N/A</v>
      </c>
      <c r="OA5" t="str">
        <f>_xll.BDS("MROI US Equity","SUPPLY_CHAIN_SUPPLIERS","RELATIONSHIP_AS_OF_DATE","20020528")</f>
        <v>#N/A N/A</v>
      </c>
      <c r="OF5" t="str">
        <f>_xll.BDS("MROI US Equity","SUPPLY_CHAIN_CUSTOMERS","RELATIONSHIP_AS_OF_DATE","20020528")</f>
        <v>#N/A N/A</v>
      </c>
    </row>
    <row r="6" spans="1:396" x14ac:dyDescent="0.25">
      <c r="A6" t="s">
        <v>5409</v>
      </c>
      <c r="F6" t="s">
        <v>2881</v>
      </c>
      <c r="AO6" t="s">
        <v>11181</v>
      </c>
      <c r="CR6" t="s">
        <v>10680</v>
      </c>
      <c r="EU6" t="s">
        <v>11048</v>
      </c>
      <c r="EZ6" t="s">
        <v>11011</v>
      </c>
      <c r="FO6" t="s">
        <v>44</v>
      </c>
      <c r="FT6" t="s">
        <v>385</v>
      </c>
      <c r="MM6" t="s">
        <v>6473</v>
      </c>
      <c r="MR6" t="s">
        <v>6473</v>
      </c>
      <c r="MW6" t="s">
        <v>11060</v>
      </c>
      <c r="NB6" t="s">
        <v>11016</v>
      </c>
    </row>
    <row r="7" spans="1:396" x14ac:dyDescent="0.25">
      <c r="A7" t="s">
        <v>10981</v>
      </c>
      <c r="F7" t="s">
        <v>4139</v>
      </c>
      <c r="AO7" t="s">
        <v>11182</v>
      </c>
      <c r="CR7" t="s">
        <v>10905</v>
      </c>
      <c r="EU7" t="s">
        <v>10851</v>
      </c>
      <c r="FO7" t="s">
        <v>11339</v>
      </c>
      <c r="FT7" t="s">
        <v>52</v>
      </c>
      <c r="MM7" t="s">
        <v>10822</v>
      </c>
      <c r="MR7" t="s">
        <v>10771</v>
      </c>
      <c r="MW7" t="s">
        <v>10735</v>
      </c>
      <c r="NB7" t="s">
        <v>8926</v>
      </c>
    </row>
    <row r="8" spans="1:396" x14ac:dyDescent="0.25">
      <c r="A8" t="s">
        <v>10982</v>
      </c>
      <c r="F8" t="s">
        <v>10954</v>
      </c>
      <c r="CR8" t="s">
        <v>10906</v>
      </c>
      <c r="EU8" t="s">
        <v>260</v>
      </c>
      <c r="FO8" t="s">
        <v>5074</v>
      </c>
      <c r="FT8" t="s">
        <v>51</v>
      </c>
      <c r="MM8" t="s">
        <v>10823</v>
      </c>
      <c r="MR8" t="s">
        <v>10660</v>
      </c>
      <c r="MW8" t="s">
        <v>3439</v>
      </c>
      <c r="NB8" t="s">
        <v>10140</v>
      </c>
    </row>
    <row r="9" spans="1:396" x14ac:dyDescent="0.25">
      <c r="A9" t="s">
        <v>279</v>
      </c>
      <c r="F9" t="s">
        <v>10948</v>
      </c>
      <c r="CR9" t="s">
        <v>10907</v>
      </c>
      <c r="EU9" t="s">
        <v>3150</v>
      </c>
      <c r="FO9" t="s">
        <v>11340</v>
      </c>
      <c r="FT9" t="s">
        <v>472</v>
      </c>
      <c r="MM9" t="s">
        <v>10824</v>
      </c>
      <c r="MR9" t="s">
        <v>10772</v>
      </c>
      <c r="MW9" t="s">
        <v>10806</v>
      </c>
      <c r="NB9" t="s">
        <v>10746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10098</v>
      </c>
      <c r="K1" s="1" t="s">
        <v>10099</v>
      </c>
      <c r="U1" s="1" t="s">
        <v>10100</v>
      </c>
      <c r="AE1" s="1" t="s">
        <v>10101</v>
      </c>
      <c r="AO1" s="1" t="s">
        <v>10102</v>
      </c>
      <c r="AY1" s="1" t="s">
        <v>10103</v>
      </c>
      <c r="BI1" s="1" t="s">
        <v>10104</v>
      </c>
      <c r="BS1" s="1" t="s">
        <v>10105</v>
      </c>
      <c r="CC1" s="1" t="s">
        <v>10106</v>
      </c>
      <c r="CM1" s="1" t="s">
        <v>10107</v>
      </c>
      <c r="CW1" s="1" t="s">
        <v>10108</v>
      </c>
      <c r="DG1" s="1" t="s">
        <v>10109</v>
      </c>
      <c r="DQ1" s="1" t="s">
        <v>10110</v>
      </c>
      <c r="EA1" s="1" t="s">
        <v>10111</v>
      </c>
      <c r="EK1" s="1" t="s">
        <v>10112</v>
      </c>
      <c r="EU1" s="1" t="s">
        <v>10113</v>
      </c>
      <c r="FE1" s="1" t="s">
        <v>10114</v>
      </c>
      <c r="FO1" s="1" t="s">
        <v>10115</v>
      </c>
      <c r="FY1" s="1" t="s">
        <v>10116</v>
      </c>
      <c r="GI1" s="1" t="s">
        <v>10117</v>
      </c>
      <c r="GS1" s="1" t="s">
        <v>10118</v>
      </c>
      <c r="HC1" s="1" t="s">
        <v>10119</v>
      </c>
      <c r="HM1" s="1" t="s">
        <v>10120</v>
      </c>
      <c r="HW1" s="1" t="s">
        <v>10121</v>
      </c>
      <c r="IG1" s="1" t="s">
        <v>10122</v>
      </c>
      <c r="IQ1" s="1" t="s">
        <v>10123</v>
      </c>
      <c r="JA1" s="1" t="s">
        <v>10124</v>
      </c>
      <c r="JK1" s="1" t="s">
        <v>10125</v>
      </c>
      <c r="JU1" s="1" t="s">
        <v>10126</v>
      </c>
      <c r="KE1" s="1" t="s">
        <v>10127</v>
      </c>
      <c r="KO1" s="1" t="s">
        <v>10128</v>
      </c>
      <c r="KY1" s="1" t="s">
        <v>10129</v>
      </c>
      <c r="LI1" s="1" t="s">
        <v>10130</v>
      </c>
      <c r="LS1" s="1" t="s">
        <v>10131</v>
      </c>
      <c r="MC1" s="1" t="s">
        <v>10132</v>
      </c>
      <c r="MM1" s="1" t="s">
        <v>10133</v>
      </c>
      <c r="MW1" s="1" t="s">
        <v>10134</v>
      </c>
      <c r="NG1" s="1" t="s">
        <v>10135</v>
      </c>
      <c r="NQ1" s="1" t="s">
        <v>10136</v>
      </c>
      <c r="OA1" s="1" t="s">
        <v>10137</v>
      </c>
    </row>
    <row r="2" spans="1:396" x14ac:dyDescent="0.25">
      <c r="A2" s="2" t="s">
        <v>10138</v>
      </c>
      <c r="K2" s="2" t="s">
        <v>5071</v>
      </c>
      <c r="U2" s="2" t="s">
        <v>9006</v>
      </c>
      <c r="AE2" s="2" t="s">
        <v>4725</v>
      </c>
      <c r="AO2" s="2" t="s">
        <v>577</v>
      </c>
      <c r="AY2" s="2" t="s">
        <v>8394</v>
      </c>
      <c r="BI2" s="2" t="s">
        <v>2124</v>
      </c>
      <c r="BS2" s="2" t="s">
        <v>10139</v>
      </c>
      <c r="CC2" s="2" t="s">
        <v>10140</v>
      </c>
      <c r="CM2" s="2" t="s">
        <v>787</v>
      </c>
      <c r="CW2" s="2" t="s">
        <v>6560</v>
      </c>
      <c r="DG2" s="2" t="s">
        <v>10141</v>
      </c>
      <c r="DQ2" s="2" t="s">
        <v>3946</v>
      </c>
      <c r="EA2" s="2" t="s">
        <v>10142</v>
      </c>
      <c r="EK2" s="2" t="s">
        <v>7686</v>
      </c>
      <c r="EU2" s="2" t="s">
        <v>10143</v>
      </c>
      <c r="FE2" s="2" t="s">
        <v>2407</v>
      </c>
      <c r="FO2" s="2" t="s">
        <v>10144</v>
      </c>
      <c r="FY2" s="2" t="s">
        <v>3519</v>
      </c>
      <c r="GI2" s="2" t="s">
        <v>10145</v>
      </c>
      <c r="GS2" s="2" t="s">
        <v>4820</v>
      </c>
      <c r="HC2" s="2" t="s">
        <v>5337</v>
      </c>
      <c r="HM2" s="2" t="s">
        <v>10146</v>
      </c>
      <c r="HW2" s="2" t="s">
        <v>7065</v>
      </c>
      <c r="IG2" s="2" t="s">
        <v>10147</v>
      </c>
      <c r="IQ2" s="2" t="s">
        <v>10148</v>
      </c>
      <c r="JA2" s="2" t="s">
        <v>10149</v>
      </c>
      <c r="JK2" s="2" t="s">
        <v>10150</v>
      </c>
      <c r="JU2" s="2" t="s">
        <v>387</v>
      </c>
      <c r="KE2" s="2" t="s">
        <v>10147</v>
      </c>
      <c r="KO2" s="2" t="s">
        <v>9757</v>
      </c>
      <c r="KY2" s="2" t="s">
        <v>10151</v>
      </c>
      <c r="LI2" s="2" t="s">
        <v>10152</v>
      </c>
      <c r="LS2" s="2" t="s">
        <v>5076</v>
      </c>
      <c r="MC2" s="2" t="s">
        <v>10153</v>
      </c>
      <c r="MM2" s="2" t="s">
        <v>10154</v>
      </c>
      <c r="MW2" s="2" t="s">
        <v>10155</v>
      </c>
      <c r="NG2" s="2" t="s">
        <v>8932</v>
      </c>
      <c r="NQ2" s="2" t="s">
        <v>1168</v>
      </c>
      <c r="OA2" s="2" t="s">
        <v>9305</v>
      </c>
    </row>
    <row r="3" spans="1:396" x14ac:dyDescent="0.25">
      <c r="A3" t="s">
        <v>6669</v>
      </c>
      <c r="K3" t="s">
        <v>10156</v>
      </c>
      <c r="U3" t="s">
        <v>10157</v>
      </c>
      <c r="AE3" t="s">
        <v>2633</v>
      </c>
      <c r="AO3" t="s">
        <v>4082</v>
      </c>
      <c r="AY3" t="s">
        <v>3816</v>
      </c>
      <c r="BI3" t="s">
        <v>10158</v>
      </c>
      <c r="BS3" t="s">
        <v>10159</v>
      </c>
      <c r="CC3" t="s">
        <v>10160</v>
      </c>
      <c r="CM3" t="s">
        <v>10161</v>
      </c>
      <c r="CW3" t="s">
        <v>10162</v>
      </c>
      <c r="DG3" t="s">
        <v>1202</v>
      </c>
      <c r="DQ3" t="s">
        <v>2135</v>
      </c>
      <c r="EA3" t="s">
        <v>10163</v>
      </c>
      <c r="EK3" t="s">
        <v>7237</v>
      </c>
      <c r="EU3" t="s">
        <v>8477</v>
      </c>
      <c r="FE3" t="s">
        <v>6018</v>
      </c>
      <c r="FO3" t="s">
        <v>9468</v>
      </c>
      <c r="FY3" t="s">
        <v>9016</v>
      </c>
      <c r="GI3" t="s">
        <v>10164</v>
      </c>
      <c r="GS3" t="s">
        <v>5187</v>
      </c>
      <c r="HC3" t="s">
        <v>4076</v>
      </c>
      <c r="HM3" t="s">
        <v>8186</v>
      </c>
      <c r="HW3" t="s">
        <v>1483</v>
      </c>
      <c r="IG3" t="s">
        <v>6488</v>
      </c>
      <c r="IQ3" t="s">
        <v>6738</v>
      </c>
      <c r="JA3" t="s">
        <v>10165</v>
      </c>
      <c r="JK3" t="s">
        <v>10166</v>
      </c>
      <c r="JU3" t="s">
        <v>8181</v>
      </c>
      <c r="KE3" t="s">
        <v>10167</v>
      </c>
      <c r="KO3" t="s">
        <v>8630</v>
      </c>
      <c r="KY3" t="s">
        <v>5525</v>
      </c>
      <c r="LI3" t="s">
        <v>4399</v>
      </c>
      <c r="LS3" t="s">
        <v>10168</v>
      </c>
      <c r="MC3" t="s">
        <v>10169</v>
      </c>
      <c r="MM3" t="s">
        <v>10170</v>
      </c>
      <c r="MW3" t="s">
        <v>6839</v>
      </c>
      <c r="NG3" t="s">
        <v>6022</v>
      </c>
      <c r="NQ3" t="s">
        <v>10171</v>
      </c>
      <c r="OA3" t="s">
        <v>4926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_xll.BDS("HRL US Equity","SUPPLY_CHAIN_SUPPLIERS","RELATIONSHIP_AS_OF_DATE","20060906","cols=1;rows=5")</f>
        <v>SLGN US Equity</v>
      </c>
      <c r="F5" t="str">
        <f>_xll.BDS("HRL US Equity","SUPPLY_CHAIN_CUSTOMERS","RELATIONSHIP_AS_OF_DATE","20060906","cols=1;rows=5")</f>
        <v>WMT US Equity</v>
      </c>
      <c r="K5" t="str">
        <f>_xll.BDS("NUAN US Equity","SUPPLY_CHAIN_SUPPLIERS","RELATIONSHIP_AS_OF_DATE","20120918")</f>
        <v>#N/A N/A</v>
      </c>
      <c r="P5" t="str">
        <f>_xll.BDS("NUAN US Equity","SUPPLY_CHAIN_CUSTOMERS","RELATIONSHIP_AS_OF_DATE","20120918")</f>
        <v>#N/A N/A</v>
      </c>
      <c r="U5" t="str">
        <f>_xll.BDS("AGEN US Equity","SUPPLY_CHAIN_SUPPLIERS","RELATIONSHIP_AS_OF_DATE","20010424","cols=1;rows=5")</f>
        <v>4476731Z US Equity</v>
      </c>
      <c r="Z5" t="str">
        <f>_xll.BDS("AGEN US Equity","SUPPLY_CHAIN_CUSTOMERS","RELATIONSHIP_AS_OF_DATE","20010424","cols=1;rows=5")</f>
        <v>0243048Z US Equity</v>
      </c>
      <c r="AE5" t="str">
        <f>_xll.BDS("ZD US Equity","SUPPLY_CHAIN_SUPPLIERS","RELATIONSHIP_AS_OF_DATE","20000406","cols=1;rows=5")</f>
        <v>ANET US Equity</v>
      </c>
      <c r="AJ5" t="str">
        <f>_xll.BDS("ZD US Equity","SUPPLY_CHAIN_CUSTOMERS","RELATIONSHIP_AS_OF_DATE","20000406","cols=1;rows=5")</f>
        <v>SNX US Equity</v>
      </c>
      <c r="AO5" t="str">
        <f>_xll.BDS("355488Q US Equity","SUPPLY_CHAIN_SUPPLIERS","RELATIONSHIP_AS_OF_DATE","19980515")</f>
        <v>#N/A N/A</v>
      </c>
      <c r="AT5" t="str">
        <f>_xll.BDS("355488Q US Equity","SUPPLY_CHAIN_CUSTOMERS","RELATIONSHIP_AS_OF_DATE","19980515")</f>
        <v>#N/A N/A</v>
      </c>
      <c r="AY5" t="str">
        <f>_xll.BDS("NFBK US Equity","SUPPLY_CHAIN_SUPPLIERS","RELATIONSHIP_AS_OF_DATE","20120313")</f>
        <v>#N/A N/A</v>
      </c>
      <c r="BD5" t="str">
        <f>_xll.BDS("NFBK US Equity","SUPPLY_CHAIN_CUSTOMERS","RELATIONSHIP_AS_OF_DATE","20120313")</f>
        <v>#N/A N/A</v>
      </c>
      <c r="BI5" t="str">
        <f>_xll.BDS("PACW US Equity","SUPPLY_CHAIN_SUPPLIERS","RELATIONSHIP_AS_OF_DATE","20020419")</f>
        <v>#N/A N/A</v>
      </c>
      <c r="BN5" t="str">
        <f>_xll.BDS("PACW US Equity","SUPPLY_CHAIN_CUSTOMERS","RELATIONSHIP_AS_OF_DATE","20020419")</f>
        <v>SNX US Equity</v>
      </c>
      <c r="BS5" t="str">
        <f>_xll.BDS("LRNS US Equity","SUPPLY_CHAIN_SUPPLIERS","RELATIONSHIP_AS_OF_DATE","20001115")</f>
        <v>#N/A N/A</v>
      </c>
      <c r="BX5" t="str">
        <f>_xll.BDS("LRNS US Equity","SUPPLY_CHAIN_CUSTOMERS","RELATIONSHIP_AS_OF_DATE","20001115")</f>
        <v>#N/A N/A</v>
      </c>
      <c r="CC5" t="str">
        <f>_xll.BDS("VIVO US Equity","SUPPLY_CHAIN_SUPPLIERS","RELATIONSHIP_AS_OF_DATE","19980916","cols=1;rows=5")</f>
        <v>0360489Z US Equity</v>
      </c>
      <c r="CH5" t="str">
        <f>_xll.BDS("VIVO US Equity","SUPPLY_CHAIN_CUSTOMERS","RELATIONSHIP_AS_OF_DATE","19980916")</f>
        <v>#N/A N/A</v>
      </c>
      <c r="CM5" t="str">
        <f>_xll.BDS("FDC US Equity","SUPPLY_CHAIN_SUPPLIERS","RELATIONSHIP_AS_OF_DATE","20010317")</f>
        <v>#N/A N/A</v>
      </c>
      <c r="CR5" t="str">
        <f>_xll.BDS("FDC US Equity","SUPPLY_CHAIN_CUSTOMERS","RELATIONSHIP_AS_OF_DATE","20010317")</f>
        <v>#N/A N/A</v>
      </c>
      <c r="CW5" t="str">
        <f>_xll.BDS("BTFG US Equity","SUPPLY_CHAIN_SUPPLIERS","RELATIONSHIP_AS_OF_DATE","19980609")</f>
        <v>#N/A N/A</v>
      </c>
      <c r="DB5" t="str">
        <f>_xll.BDS("BTFG US Equity","SUPPLY_CHAIN_CUSTOMERS","RELATIONSHIP_AS_OF_DATE","19980609")</f>
        <v>#N/A N/A</v>
      </c>
      <c r="DG5" t="str">
        <f>_xll.BDS("ADRX US Equity","SUPPLY_CHAIN_SUPPLIERS","RELATIONSHIP_AS_OF_DATE","20010212")</f>
        <v>#N/A N/A</v>
      </c>
      <c r="DL5" t="str">
        <f>_xll.BDS("ADRX US Equity","SUPPLY_CHAIN_CUSTOMERS","RELATIONSHIP_AS_OF_DATE","20010212")</f>
        <v>#N/A N/A</v>
      </c>
      <c r="DQ5" t="str">
        <f>_xll.BDS("OSIP US Equity","SUPPLY_CHAIN_SUPPLIERS","RELATIONSHIP_AS_OF_DATE","20030210")</f>
        <v>#N/A N/A</v>
      </c>
      <c r="DV5" t="str">
        <f>_xll.BDS("OSIP US Equity","SUPPLY_CHAIN_CUSTOMERS","RELATIONSHIP_AS_OF_DATE","20030210")</f>
        <v>#N/A N/A</v>
      </c>
      <c r="EA5" t="str">
        <f>_xll.BDS("CRMT US Equity","SUPPLY_CHAIN_SUPPLIERS","RELATIONSHIP_AS_OF_DATE","19981118")</f>
        <v>SNS AU Equity</v>
      </c>
      <c r="EF5" t="str">
        <f>_xll.BDS("CRMT US Equity","SUPPLY_CHAIN_CUSTOMERS","RELATIONSHIP_AS_OF_DATE","19981118")</f>
        <v>#N/A N/A</v>
      </c>
      <c r="EK5" t="str">
        <f>_xll.BDS("TSICQ US Equity","SUPPLY_CHAIN_SUPPLIERS","RELATIONSHIP_AS_OF_DATE","20010627")</f>
        <v>#N/A N/A</v>
      </c>
      <c r="EP5" t="str">
        <f>_xll.BDS("TSICQ US Equity","SUPPLY_CHAIN_CUSTOMERS","RELATIONSHIP_AS_OF_DATE","20010627")</f>
        <v>#N/A N/A</v>
      </c>
      <c r="EU5" t="str">
        <f>_xll.BDS("VSNT US Equity","SUPPLY_CHAIN_SUPPLIERS","RELATIONSHIP_AS_OF_DATE","20030929","cols=1;rows=3")</f>
        <v>LION US Equity</v>
      </c>
      <c r="EZ5" t="str">
        <f>_xll.BDS("VSNT US Equity","SUPPLY_CHAIN_CUSTOMERS","RELATIONSHIP_AS_OF_DATE","20030929")</f>
        <v>FUBO US Equity</v>
      </c>
      <c r="FE5" t="str">
        <f>_xll.BDS("UMPQ US Equity","SUPPLY_CHAIN_SUPPLIERS","RELATIONSHIP_AS_OF_DATE","20010821")</f>
        <v>#N/A N/A</v>
      </c>
      <c r="FJ5" t="str">
        <f>_xll.BDS("UMPQ US Equity","SUPPLY_CHAIN_CUSTOMERS","RELATIONSHIP_AS_OF_DATE","20010821")</f>
        <v>#N/A N/A</v>
      </c>
      <c r="FO5" t="str">
        <f>_xll.BDS("PXFG US Equity","SUPPLY_CHAIN_SUPPLIERS","RELATIONSHIP_AS_OF_DATE","20000215")</f>
        <v>#N/A N/A</v>
      </c>
      <c r="FT5" t="str">
        <f>_xll.BDS("PXFG US Equity","SUPPLY_CHAIN_CUSTOMERS","RELATIONSHIP_AS_OF_DATE","20000215")</f>
        <v>#N/A N/A</v>
      </c>
      <c r="FY5" t="str">
        <f>_xll.BDS("AVT US Equity","SUPPLY_CHAIN_SUPPLIERS","RELATIONSHIP_AS_OF_DATE","20111110","cols=1;rows=5")</f>
        <v>NXPI US Equity</v>
      </c>
      <c r="GD5" t="str">
        <f>_xll.BDS("AVT US Equity","SUPPLY_CHAIN_CUSTOMERS","RELATIONSHIP_AS_OF_DATE","20111110","cols=1;rows=5")</f>
        <v>005930 KS Equity</v>
      </c>
      <c r="GI5" t="str">
        <f>_xll.BDS("HCMC US Equity","SUPPLY_CHAIN_SUPPLIERS","RELATIONSHIP_AS_OF_DATE","20141106","cols=1;rows=2")</f>
        <v>ADFL IN Equity</v>
      </c>
      <c r="GN5" t="str">
        <f>_xll.BDS("HCMC US Equity","SUPPLY_CHAIN_CUSTOMERS","RELATIONSHIP_AS_OF_DATE","20141106")</f>
        <v>AMZN US Equity</v>
      </c>
      <c r="GS5" t="str">
        <f>_xll.BDS("PRK US Equity","SUPPLY_CHAIN_SUPPLIERS","RELATIONSHIP_AS_OF_DATE","20060814")</f>
        <v>WK US Equity</v>
      </c>
      <c r="GX5" t="str">
        <f>_xll.BDS("PRK US Equity","SUPPLY_CHAIN_CUSTOMERS","RELATIONSHIP_AS_OF_DATE","20060814")</f>
        <v>#N/A N/A</v>
      </c>
      <c r="HC5" t="str">
        <f>_xll.BDS("CBU US Equity","SUPPLY_CHAIN_SUPPLIERS","RELATIONSHIP_AS_OF_DATE","20070109")</f>
        <v>#N/A N/A</v>
      </c>
      <c r="HH5" t="str">
        <f>_xll.BDS("CBU US Equity","SUPPLY_CHAIN_CUSTOMERS","RELATIONSHIP_AS_OF_DATE","20070109")</f>
        <v>#N/A N/A</v>
      </c>
      <c r="HM5" t="str">
        <f>_xll.BDS("AUTO US Equity","SUPPLY_CHAIN_SUPPLIERS","RELATIONSHIP_AS_OF_DATE","20010411")</f>
        <v>GOOGL US Equity</v>
      </c>
      <c r="HR5" t="str">
        <f>_xll.BDS("AUTO US Equity","SUPPLY_CHAIN_CUSTOMERS","RELATIONSHIP_AS_OF_DATE","20010411","cols=1;rows=4")</f>
        <v>0125318D US Equity</v>
      </c>
      <c r="HW5" t="str">
        <f>_xll.BDS("9990253D US Equity","SUPPLY_CHAIN_SUPPLIERS","RELATIONSHIP_AS_OF_DATE","19980812")</f>
        <v>FE US Equity</v>
      </c>
      <c r="IB5" t="str">
        <f>_xll.BDS("9990253D US Equity","SUPPLY_CHAIN_CUSTOMERS","RELATIONSHIP_AS_OF_DATE","19980812","cols=1;rows=5")</f>
        <v>0065069D US Equity</v>
      </c>
      <c r="IG5" t="str">
        <f>_xll.BDS("LARK US Equity","SUPPLY_CHAIN_SUPPLIERS","RELATIONSHIP_AS_OF_DATE","20010420")</f>
        <v>#N/A N/A</v>
      </c>
      <c r="IL5" t="str">
        <f>_xll.BDS("LARK US Equity","SUPPLY_CHAIN_CUSTOMERS","RELATIONSHIP_AS_OF_DATE","20010420")</f>
        <v>#N/A N/A</v>
      </c>
      <c r="IQ5" t="str">
        <f>_xll.BDS("PFCI US Equity","SUPPLY_CHAIN_SUPPLIERS","RELATIONSHIP_AS_OF_DATE","20141030")</f>
        <v>#N/A N/A</v>
      </c>
      <c r="IV5" t="str">
        <f>_xll.BDS("PFCI US Equity","SUPPLY_CHAIN_CUSTOMERS","RELATIONSHIP_AS_OF_DATE","20141030")</f>
        <v>#N/A N/A</v>
      </c>
      <c r="JA5" t="str">
        <f>_xll.BDS("ABNK US Equity","SUPPLY_CHAIN_SUPPLIERS","RELATIONSHIP_AS_OF_DATE","20110915")</f>
        <v>#N/A N/A</v>
      </c>
      <c r="JF5" t="str">
        <f>_xll.BDS("ABNK US Equity","SUPPLY_CHAIN_CUSTOMERS","RELATIONSHIP_AS_OF_DATE","20110915")</f>
        <v>#N/A N/A</v>
      </c>
      <c r="JK5" t="str">
        <f>_xll.BDS("EBSB US Equity","SUPPLY_CHAIN_SUPPLIERS","RELATIONSHIP_AS_OF_DATE","20170626")</f>
        <v>#N/A N/A</v>
      </c>
      <c r="JP5" t="str">
        <f>_xll.BDS("EBSB US Equity","SUPPLY_CHAIN_CUSTOMERS","RELATIONSHIP_AS_OF_DATE","20170626")</f>
        <v>#N/A N/A</v>
      </c>
      <c r="JU5" t="str">
        <f>_xll.BDS("DHR US Equity","SUPPLY_CHAIN_SUPPLIERS","RELATIONSHIP_AS_OF_DATE","20000606","cols=1;rows=5")</f>
        <v>FLEX US Equity</v>
      </c>
      <c r="JZ5" t="str">
        <f>_xll.BDS("DHR US Equity","SUPPLY_CHAIN_CUSTOMERS","RELATIONSHIP_AS_OF_DATE","20000606","cols=1;rows=5")</f>
        <v>CDW US Equity</v>
      </c>
      <c r="KE5" t="str">
        <f>_xll.BDS("LARK US Equity","SUPPLY_CHAIN_SUPPLIERS","RELATIONSHIP_AS_OF_DATE","20031113")</f>
        <v>#N/A N/A</v>
      </c>
      <c r="KJ5" t="str">
        <f>_xll.BDS("LARK US Equity","SUPPLY_CHAIN_CUSTOMERS","RELATIONSHIP_AS_OF_DATE","20031113")</f>
        <v>#N/A N/A</v>
      </c>
      <c r="KO5" t="str">
        <f>_xll.BDS("623366Q US Equity","SUPPLY_CHAIN_SUPPLIERS","RELATIONSHIP_AS_OF_DATE","19980319")</f>
        <v>CSCO US Equity</v>
      </c>
      <c r="KT5" t="str">
        <f>_xll.BDS("623366Q US Equity","SUPPLY_CHAIN_CUSTOMERS","RELATIONSHIP_AS_OF_DATE","19980319")</f>
        <v>#N/A N/A</v>
      </c>
      <c r="KY5" t="str">
        <f>_xll.BDS("OAKF US Equity","SUPPLY_CHAIN_SUPPLIERS","RELATIONSHIP_AS_OF_DATE","19990311")</f>
        <v>#N/A N/A</v>
      </c>
      <c r="LD5" t="str">
        <f>_xll.BDS("OAKF US Equity","SUPPLY_CHAIN_CUSTOMERS","RELATIONSHIP_AS_OF_DATE","19990311")</f>
        <v>#N/A N/A</v>
      </c>
      <c r="LI5" t="str">
        <f>_xll.BDS("CIA US Equity","SUPPLY_CHAIN_SUPPLIERS","RELATIONSHIP_AS_OF_DATE","20021111")</f>
        <v>#N/A N/A</v>
      </c>
      <c r="LN5" t="str">
        <f>_xll.BDS("CIA US Equity","SUPPLY_CHAIN_CUSTOMERS","RELATIONSHIP_AS_OF_DATE","20021111")</f>
        <v>#N/A N/A</v>
      </c>
      <c r="LS5" t="str">
        <f>_xll.BDS("SFNT US Equity","SUPPLY_CHAIN_SUPPLIERS","RELATIONSHIP_AS_OF_DATE","20021030")</f>
        <v>#N/A N/A</v>
      </c>
      <c r="LX5" t="str">
        <f>_xll.BDS("SFNT US Equity","SUPPLY_CHAIN_CUSTOMERS","RELATIONSHIP_AS_OF_DATE","20021030")</f>
        <v>#N/A N/A</v>
      </c>
      <c r="MC5" t="str">
        <f>_xll.BDS("2228652D US Equity","SUPPLY_CHAIN_SUPPLIERS","RELATIONSHIP_AS_OF_DATE","20080410")</f>
        <v>069510 KS Equity</v>
      </c>
      <c r="MH5" t="str">
        <f>_xll.BDS("2228652D US Equity","SUPPLY_CHAIN_CUSTOMERS","RELATIONSHIP_AS_OF_DATE","20080410","cols=1;rows=2")</f>
        <v>2324 TT Equity</v>
      </c>
      <c r="MM5" t="str">
        <f>_xll.BDS("EMCF US Equity","SUPPLY_CHAIN_SUPPLIERS","RELATIONSHIP_AS_OF_DATE","20180525")</f>
        <v>#N/A N/A</v>
      </c>
      <c r="MR5" t="str">
        <f>_xll.BDS("EMCF US Equity","SUPPLY_CHAIN_CUSTOMERS","RELATIONSHIP_AS_OF_DATE","20180525")</f>
        <v>#N/A N/A</v>
      </c>
      <c r="MW5" t="str">
        <f>_xll.BDS("FWBN US Equity","SUPPLY_CHAIN_SUPPLIERS","RELATIONSHIP_AS_OF_DATE","19980813")</f>
        <v>#N/A N/A</v>
      </c>
      <c r="NB5" t="str">
        <f>_xll.BDS("FWBN US Equity","SUPPLY_CHAIN_CUSTOMERS","RELATIONSHIP_AS_OF_DATE","19980813")</f>
        <v>#N/A N/A</v>
      </c>
      <c r="NG5" t="str">
        <f>_xll.BDS("PRGS US Equity","SUPPLY_CHAIN_SUPPLIERS","RELATIONSHIP_AS_OF_DATE","20021021","cols=1;rows=5")</f>
        <v>DDOG US Equity</v>
      </c>
      <c r="NL5" t="str">
        <f>_xll.BDS("PRGS US Equity","SUPPLY_CHAIN_CUSTOMERS","RELATIONSHIP_AS_OF_DATE","20021021","cols=1;rows=5")</f>
        <v>TSCO LN Equity</v>
      </c>
      <c r="NQ5" t="str">
        <f>_xll.BDS("LNWO US Equity","SUPPLY_CHAIN_SUPPLIERS","RELATIONSHIP_AS_OF_DATE","20021119","cols=1;rows=5")</f>
        <v>HAS US Equity</v>
      </c>
      <c r="NV5" t="str">
        <f>_xll.BDS("LNWO US Equity","SUPPLY_CHAIN_CUSTOMERS","RELATIONSHIP_AS_OF_DATE","20021119","cols=1;rows=5")</f>
        <v>ENT LN Equity</v>
      </c>
      <c r="OA5" t="str">
        <f>_xll.BDS("PCBI US Equity","SUPPLY_CHAIN_SUPPLIERS","RELATIONSHIP_AS_OF_DATE","20000919")</f>
        <v>#N/A N/A</v>
      </c>
      <c r="OF5" t="str">
        <f>_xll.BDS("PCBI US Equity","SUPPLY_CHAIN_CUSTOMERS","RELATIONSHIP_AS_OF_DATE","20000919")</f>
        <v>#N/A N/A</v>
      </c>
    </row>
    <row r="6" spans="1:396" x14ac:dyDescent="0.25">
      <c r="A6" t="s">
        <v>772</v>
      </c>
      <c r="F6" t="s">
        <v>10805</v>
      </c>
      <c r="U6" t="s">
        <v>10794</v>
      </c>
      <c r="Z6" t="s">
        <v>10902</v>
      </c>
      <c r="AE6" t="s">
        <v>10819</v>
      </c>
      <c r="AJ6" t="s">
        <v>4219</v>
      </c>
      <c r="CC6" t="s">
        <v>10985</v>
      </c>
      <c r="EU6" t="s">
        <v>11046</v>
      </c>
      <c r="FY6" t="s">
        <v>10853</v>
      </c>
      <c r="GD6" t="s">
        <v>10893</v>
      </c>
      <c r="GI6" t="s">
        <v>10815</v>
      </c>
      <c r="HR6" t="s">
        <v>10653</v>
      </c>
      <c r="IB6" t="s">
        <v>10945</v>
      </c>
      <c r="JU6" t="s">
        <v>10735</v>
      </c>
      <c r="JZ6" t="s">
        <v>2881</v>
      </c>
      <c r="MH6" t="s">
        <v>10891</v>
      </c>
      <c r="NG6" t="s">
        <v>11064</v>
      </c>
      <c r="NL6" t="s">
        <v>4219</v>
      </c>
      <c r="NQ6" t="s">
        <v>10711</v>
      </c>
      <c r="NV6" t="s">
        <v>10698</v>
      </c>
    </row>
    <row r="7" spans="1:396" x14ac:dyDescent="0.25">
      <c r="A7" t="s">
        <v>5409</v>
      </c>
      <c r="F7" t="s">
        <v>477</v>
      </c>
      <c r="U7" t="s">
        <v>5074</v>
      </c>
      <c r="Z7" t="s">
        <v>10903</v>
      </c>
      <c r="AE7" t="s">
        <v>10820</v>
      </c>
      <c r="AJ7" t="s">
        <v>10768</v>
      </c>
      <c r="CC7" t="s">
        <v>260</v>
      </c>
      <c r="EU7" t="s">
        <v>11047</v>
      </c>
      <c r="FY7" t="s">
        <v>162</v>
      </c>
      <c r="GD7" t="s">
        <v>10894</v>
      </c>
      <c r="HR7" t="s">
        <v>10654</v>
      </c>
      <c r="IB7" t="s">
        <v>10946</v>
      </c>
      <c r="JU7" t="s">
        <v>273</v>
      </c>
      <c r="JZ7" t="s">
        <v>10661</v>
      </c>
      <c r="NG7" t="s">
        <v>10957</v>
      </c>
      <c r="NL7" t="s">
        <v>10660</v>
      </c>
      <c r="NQ7" t="s">
        <v>10712</v>
      </c>
      <c r="NV7" t="s">
        <v>10699</v>
      </c>
    </row>
    <row r="8" spans="1:396" x14ac:dyDescent="0.25">
      <c r="A8" t="s">
        <v>10979</v>
      </c>
      <c r="F8" t="s">
        <v>1849</v>
      </c>
      <c r="U8" t="s">
        <v>11199</v>
      </c>
      <c r="Z8" t="s">
        <v>10904</v>
      </c>
      <c r="AE8" t="s">
        <v>10772</v>
      </c>
      <c r="AJ8" t="s">
        <v>10769</v>
      </c>
      <c r="CC8" t="s">
        <v>66</v>
      </c>
      <c r="FY8" t="s">
        <v>6477</v>
      </c>
      <c r="GD8" t="s">
        <v>10895</v>
      </c>
      <c r="HR8" t="s">
        <v>10655</v>
      </c>
      <c r="IB8" t="s">
        <v>10657</v>
      </c>
      <c r="JU8" t="s">
        <v>6320</v>
      </c>
      <c r="JZ8" t="s">
        <v>10662</v>
      </c>
      <c r="NG8" t="s">
        <v>11141</v>
      </c>
      <c r="NL8" t="s">
        <v>10787</v>
      </c>
      <c r="NQ8" t="s">
        <v>41</v>
      </c>
      <c r="NV8" t="s">
        <v>10700</v>
      </c>
    </row>
    <row r="9" spans="1:396" x14ac:dyDescent="0.25">
      <c r="A9" t="s">
        <v>10980</v>
      </c>
      <c r="F9" t="s">
        <v>5983</v>
      </c>
      <c r="U9" t="s">
        <v>11200</v>
      </c>
      <c r="Z9" t="s">
        <v>10657</v>
      </c>
      <c r="AE9" t="s">
        <v>10791</v>
      </c>
      <c r="AJ9" t="s">
        <v>10770</v>
      </c>
      <c r="CC9" t="s">
        <v>8464</v>
      </c>
      <c r="FY9" t="s">
        <v>476</v>
      </c>
      <c r="GD9" t="s">
        <v>10896</v>
      </c>
      <c r="IB9" t="s">
        <v>10947</v>
      </c>
      <c r="JU9" t="s">
        <v>1654</v>
      </c>
      <c r="JZ9" t="s">
        <v>10663</v>
      </c>
      <c r="NG9" t="s">
        <v>10811</v>
      </c>
      <c r="NL9" t="s">
        <v>11115</v>
      </c>
      <c r="NQ9" t="s">
        <v>5236</v>
      </c>
      <c r="NV9" t="s">
        <v>10701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10172</v>
      </c>
      <c r="K1" s="1" t="s">
        <v>10173</v>
      </c>
      <c r="U1" s="1" t="s">
        <v>10174</v>
      </c>
      <c r="AE1" s="1" t="s">
        <v>10175</v>
      </c>
      <c r="AO1" s="1" t="s">
        <v>10176</v>
      </c>
      <c r="AY1" s="1" t="s">
        <v>10177</v>
      </c>
      <c r="BI1" s="1" t="s">
        <v>10178</v>
      </c>
      <c r="BS1" s="1" t="s">
        <v>10179</v>
      </c>
      <c r="CC1" s="1" t="s">
        <v>10180</v>
      </c>
      <c r="CM1" s="1" t="s">
        <v>10181</v>
      </c>
      <c r="CW1" s="1" t="s">
        <v>10182</v>
      </c>
      <c r="DG1" s="1" t="s">
        <v>10183</v>
      </c>
      <c r="DQ1" s="1" t="s">
        <v>10184</v>
      </c>
      <c r="EA1" s="1" t="s">
        <v>10185</v>
      </c>
      <c r="EK1" s="1" t="s">
        <v>10186</v>
      </c>
      <c r="EU1" s="1" t="s">
        <v>10187</v>
      </c>
      <c r="FE1" s="1" t="s">
        <v>10188</v>
      </c>
      <c r="FO1" s="1" t="s">
        <v>10189</v>
      </c>
      <c r="FY1" s="1" t="s">
        <v>10190</v>
      </c>
      <c r="GI1" s="1" t="s">
        <v>10191</v>
      </c>
      <c r="GS1" s="1" t="s">
        <v>10192</v>
      </c>
      <c r="HC1" s="1" t="s">
        <v>10193</v>
      </c>
      <c r="HM1" s="1" t="s">
        <v>10194</v>
      </c>
      <c r="HW1" s="1" t="s">
        <v>10195</v>
      </c>
      <c r="IG1" s="1" t="s">
        <v>10196</v>
      </c>
      <c r="IQ1" s="1" t="s">
        <v>10197</v>
      </c>
      <c r="JA1" s="1" t="s">
        <v>10198</v>
      </c>
      <c r="JK1" s="1" t="s">
        <v>10199</v>
      </c>
      <c r="JU1" s="1" t="s">
        <v>10200</v>
      </c>
      <c r="KE1" s="1" t="s">
        <v>10201</v>
      </c>
      <c r="KO1" s="1" t="s">
        <v>10202</v>
      </c>
      <c r="KY1" s="1" t="s">
        <v>10203</v>
      </c>
      <c r="LI1" s="1" t="s">
        <v>10204</v>
      </c>
      <c r="LS1" s="1" t="s">
        <v>10205</v>
      </c>
      <c r="MC1" s="1" t="s">
        <v>10206</v>
      </c>
      <c r="MM1" s="1" t="s">
        <v>10207</v>
      </c>
      <c r="MW1" s="1" t="s">
        <v>10208</v>
      </c>
      <c r="NG1" s="1" t="s">
        <v>10209</v>
      </c>
      <c r="NQ1" s="1" t="s">
        <v>10210</v>
      </c>
      <c r="OA1" s="1" t="s">
        <v>10211</v>
      </c>
    </row>
    <row r="2" spans="1:396" x14ac:dyDescent="0.25">
      <c r="A2" s="2" t="s">
        <v>10212</v>
      </c>
      <c r="K2" s="2" t="s">
        <v>7685</v>
      </c>
      <c r="U2" s="2" t="s">
        <v>2313</v>
      </c>
      <c r="AE2" s="2" t="s">
        <v>10213</v>
      </c>
      <c r="AO2" s="2" t="s">
        <v>9305</v>
      </c>
      <c r="AY2" s="2" t="s">
        <v>161</v>
      </c>
      <c r="BI2" s="2" t="s">
        <v>8000</v>
      </c>
      <c r="BS2" s="2" t="s">
        <v>6886</v>
      </c>
      <c r="CC2" s="2" t="s">
        <v>10214</v>
      </c>
      <c r="CM2" s="2" t="s">
        <v>10215</v>
      </c>
      <c r="CW2" s="2" t="s">
        <v>10216</v>
      </c>
      <c r="DG2" s="2" t="s">
        <v>880</v>
      </c>
      <c r="DQ2" s="2" t="s">
        <v>10217</v>
      </c>
      <c r="EA2" s="2" t="s">
        <v>7772</v>
      </c>
      <c r="EK2" s="2" t="s">
        <v>7383</v>
      </c>
      <c r="EU2" s="2" t="s">
        <v>6391</v>
      </c>
      <c r="FE2" s="2" t="s">
        <v>10218</v>
      </c>
      <c r="FO2" s="2" t="s">
        <v>2124</v>
      </c>
      <c r="FY2" s="2" t="s">
        <v>10219</v>
      </c>
      <c r="GI2" s="2" t="s">
        <v>10220</v>
      </c>
      <c r="GS2" s="2" t="s">
        <v>6980</v>
      </c>
      <c r="HC2" s="2" t="s">
        <v>9996</v>
      </c>
      <c r="HM2" s="2" t="s">
        <v>1755</v>
      </c>
      <c r="HW2" s="2" t="s">
        <v>10221</v>
      </c>
      <c r="IG2" s="2" t="s">
        <v>10222</v>
      </c>
      <c r="IQ2" s="2" t="s">
        <v>7844</v>
      </c>
      <c r="JA2" s="2" t="s">
        <v>10223</v>
      </c>
      <c r="JK2" s="2" t="s">
        <v>10224</v>
      </c>
      <c r="JU2" s="2" t="s">
        <v>1929</v>
      </c>
      <c r="KE2" s="2" t="s">
        <v>6886</v>
      </c>
      <c r="KO2" s="2" t="s">
        <v>10225</v>
      </c>
      <c r="KY2" s="2" t="s">
        <v>9302</v>
      </c>
      <c r="LI2" s="2" t="s">
        <v>8602</v>
      </c>
      <c r="LS2" s="2" t="s">
        <v>2874</v>
      </c>
      <c r="MC2" s="2" t="s">
        <v>970</v>
      </c>
      <c r="MM2" s="2" t="s">
        <v>3530</v>
      </c>
      <c r="MW2" s="2" t="s">
        <v>9747</v>
      </c>
      <c r="NG2" s="2" t="s">
        <v>10151</v>
      </c>
      <c r="NQ2" s="2" t="s">
        <v>889</v>
      </c>
      <c r="OA2" s="2" t="s">
        <v>10226</v>
      </c>
    </row>
    <row r="3" spans="1:396" x14ac:dyDescent="0.25">
      <c r="A3" t="s">
        <v>10227</v>
      </c>
      <c r="K3" t="s">
        <v>10228</v>
      </c>
      <c r="U3" t="s">
        <v>1009</v>
      </c>
      <c r="AE3" t="s">
        <v>9928</v>
      </c>
      <c r="AO3" t="s">
        <v>5432</v>
      </c>
      <c r="AY3" t="s">
        <v>1114</v>
      </c>
      <c r="BI3" t="s">
        <v>7482</v>
      </c>
      <c r="BS3" t="s">
        <v>8119</v>
      </c>
      <c r="CC3" t="s">
        <v>7854</v>
      </c>
      <c r="CM3" t="s">
        <v>1295</v>
      </c>
      <c r="CW3" t="s">
        <v>6170</v>
      </c>
      <c r="DG3" t="s">
        <v>10229</v>
      </c>
      <c r="DQ3" t="s">
        <v>9847</v>
      </c>
      <c r="EA3" t="s">
        <v>8940</v>
      </c>
      <c r="EK3" t="s">
        <v>10230</v>
      </c>
      <c r="EU3" t="s">
        <v>5009</v>
      </c>
      <c r="FE3" t="s">
        <v>9393</v>
      </c>
      <c r="FO3" t="s">
        <v>10231</v>
      </c>
      <c r="FY3" t="s">
        <v>3379</v>
      </c>
      <c r="GI3" t="s">
        <v>10232</v>
      </c>
      <c r="GS3" t="s">
        <v>2635</v>
      </c>
      <c r="HC3" t="s">
        <v>4406</v>
      </c>
      <c r="HM3" t="s">
        <v>10233</v>
      </c>
      <c r="HW3" t="s">
        <v>10234</v>
      </c>
      <c r="IG3" t="s">
        <v>10235</v>
      </c>
      <c r="IQ3" t="s">
        <v>9254</v>
      </c>
      <c r="JA3" t="s">
        <v>8322</v>
      </c>
      <c r="JK3" t="s">
        <v>10236</v>
      </c>
      <c r="JU3" t="s">
        <v>10237</v>
      </c>
      <c r="KE3" t="s">
        <v>10238</v>
      </c>
      <c r="KO3" t="s">
        <v>82</v>
      </c>
      <c r="KY3" t="s">
        <v>4752</v>
      </c>
      <c r="LI3" t="s">
        <v>10239</v>
      </c>
      <c r="LS3" t="s">
        <v>804</v>
      </c>
      <c r="MC3" t="s">
        <v>10240</v>
      </c>
      <c r="MM3" t="s">
        <v>10241</v>
      </c>
      <c r="MW3" t="s">
        <v>7625</v>
      </c>
      <c r="NG3" t="s">
        <v>10242</v>
      </c>
      <c r="NQ3" t="s">
        <v>10243</v>
      </c>
      <c r="OA3" t="s">
        <v>10244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_xll.BDS("QCRH US Equity","SUPPLY_CHAIN_SUPPLIERS","RELATIONSHIP_AS_OF_DATE","20211109")</f>
        <v>#N/A N/A</v>
      </c>
      <c r="F5" t="str">
        <f>_xll.BDS("QCRH US Equity","SUPPLY_CHAIN_CUSTOMERS","RELATIONSHIP_AS_OF_DATE","20211109")</f>
        <v>#N/A N/A</v>
      </c>
      <c r="K5" t="str">
        <f>_xll.BDS("CUNB US Equity","SUPPLY_CHAIN_SUPPLIERS","RELATIONSHIP_AS_OF_DATE","20100825")</f>
        <v>#N/A N/A</v>
      </c>
      <c r="P5" t="str">
        <f>_xll.BDS("CUNB US Equity","SUPPLY_CHAIN_CUSTOMERS","RELATIONSHIP_AS_OF_DATE","20100825")</f>
        <v>#N/A N/A</v>
      </c>
      <c r="U5" t="str">
        <f>_xll.BDS("1822785D US Equity","SUPPLY_CHAIN_SUPPLIERS","RELATIONSHIP_AS_OF_DATE","19981021")</f>
        <v>#N/A N/A</v>
      </c>
      <c r="Z5" t="str">
        <f>_xll.BDS("1822785D US Equity","SUPPLY_CHAIN_CUSTOMERS","RELATIONSHIP_AS_OF_DATE","19981021")</f>
        <v>#N/A N/A</v>
      </c>
      <c r="AE5" t="str">
        <f>_xll.BDS("YCB US Equity","SUPPLY_CHAIN_SUPPLIERS","RELATIONSHIP_AS_OF_DATE","20140422")</f>
        <v>#N/A N/A</v>
      </c>
      <c r="AJ5" t="str">
        <f>_xll.BDS("YCB US Equity","SUPPLY_CHAIN_CUSTOMERS","RELATIONSHIP_AS_OF_DATE","20140422")</f>
        <v>#N/A N/A</v>
      </c>
      <c r="AO5" t="str">
        <f>_xll.BDS("PCBI US Equity","SUPPLY_CHAIN_SUPPLIERS","RELATIONSHIP_AS_OF_DATE","19991001")</f>
        <v>#N/A N/A</v>
      </c>
      <c r="AT5" t="str">
        <f>_xll.BDS("PCBI US Equity","SUPPLY_CHAIN_CUSTOMERS","RELATIONSHIP_AS_OF_DATE","19991001")</f>
        <v>#N/A N/A</v>
      </c>
      <c r="AY5" t="str">
        <f>_xll.BDS("BX US Equity","SUPPLY_CHAIN_SUPPLIERS","RELATIONSHIP_AS_OF_DATE","20070518","cols=1;rows=5")</f>
        <v>ORCL US Equity</v>
      </c>
      <c r="BD5" t="str">
        <f>_xll.BDS("BX US Equity","SUPPLY_CHAIN_CUSTOMERS","RELATIONSHIP_AS_OF_DATE","20070518","cols=1;rows=5")</f>
        <v>002284 CH Equity</v>
      </c>
      <c r="BI5" t="str">
        <f>_xll.BDS("GADS US Equity","SUPPLY_CHAIN_SUPPLIERS","RELATIONSHIP_AS_OF_DATE","20041201")</f>
        <v>#N/A N/A</v>
      </c>
      <c r="BN5" t="str">
        <f>_xll.BDS("GADS US Equity","SUPPLY_CHAIN_CUSTOMERS","RELATIONSHIP_AS_OF_DATE","20041201")</f>
        <v>#N/A N/A</v>
      </c>
      <c r="BS5" t="str">
        <f>_xll.BDS("WABC US Equity","SUPPLY_CHAIN_SUPPLIERS","RELATIONSHIP_AS_OF_DATE","20000315")</f>
        <v>QUIS CN Equity</v>
      </c>
      <c r="BX5" t="str">
        <f>_xll.BDS("WABC US Equity","SUPPLY_CHAIN_CUSTOMERS","RELATIONSHIP_AS_OF_DATE","20000315")</f>
        <v>#N/A N/A</v>
      </c>
      <c r="CC5" t="str">
        <f>_xll.BDS("ULB US Equity","SUPPLY_CHAIN_SUPPLIERS","RELATIONSHIP_AS_OF_DATE","19980917")</f>
        <v>#N/A N/A</v>
      </c>
      <c r="CH5" t="str">
        <f>_xll.BDS("ULB US Equity","SUPPLY_CHAIN_CUSTOMERS","RELATIONSHIP_AS_OF_DATE","19980917")</f>
        <v>#N/A N/A</v>
      </c>
      <c r="CM5" t="str">
        <f>_xll.BDS("PCTI US Equity","SUPPLY_CHAIN_SUPPLIERS","RELATIONSHIP_AS_OF_DATE","20120709","cols=1;rows=3")</f>
        <v>DUK US Equity</v>
      </c>
      <c r="CR5" t="str">
        <f>_xll.BDS("PCTI US Equity","SUPPLY_CHAIN_CUSTOMERS","RELATIONSHIP_AS_OF_DATE","20120709","cols=1;rows=5")</f>
        <v>0109590D US Equity</v>
      </c>
      <c r="CW5" t="str">
        <f>_xll.BDS("IHC US Equity","SUPPLY_CHAIN_SUPPLIERS","RELATIONSHIP_AS_OF_DATE","20160105")</f>
        <v>#N/A N/A</v>
      </c>
      <c r="DB5" t="str">
        <f>_xll.BDS("IHC US Equity","SUPPLY_CHAIN_CUSTOMERS","RELATIONSHIP_AS_OF_DATE","20160105")</f>
        <v>#N/A N/A</v>
      </c>
      <c r="DG5" t="str">
        <f>_xll.BDS("2860436Q US Equity","SUPPLY_CHAIN_SUPPLIERS","RELATIONSHIP_AS_OF_DATE","20030909")</f>
        <v>#N/A N/A</v>
      </c>
      <c r="DL5" t="str">
        <f>_xll.BDS("2860436Q US Equity","SUPPLY_CHAIN_CUSTOMERS","RELATIONSHIP_AS_OF_DATE","20030909")</f>
        <v>#N/A N/A</v>
      </c>
      <c r="DQ5" t="str">
        <f>_xll.BDS("GRA US Equity","SUPPLY_CHAIN_SUPPLIERS","RELATIONSHIP_AS_OF_DATE","20100914","cols=1;rows=5")</f>
        <v>9501 JP Equity</v>
      </c>
      <c r="DV5" t="str">
        <f>_xll.BDS("GRA US Equity","SUPPLY_CHAIN_CUSTOMERS","RELATIONSHIP_AS_OF_DATE","20100914","cols=1;rows=5")</f>
        <v>002221 CH Equity</v>
      </c>
      <c r="EA5" t="str">
        <f>_xll.BDS("IFCJ US Equity","SUPPLY_CHAIN_SUPPLIERS","RELATIONSHIP_AS_OF_DATE","19980128")</f>
        <v>#N/A N/A</v>
      </c>
      <c r="EF5" t="str">
        <f>_xll.BDS("IFCJ US Equity","SUPPLY_CHAIN_CUSTOMERS","RELATIONSHIP_AS_OF_DATE","19980128")</f>
        <v>#N/A N/A</v>
      </c>
      <c r="EK5" t="str">
        <f>_xll.BDS("CBKN US Equity","SUPPLY_CHAIN_SUPPLIERS","RELATIONSHIP_AS_OF_DATE","19980930")</f>
        <v>#N/A N/A</v>
      </c>
      <c r="EP5" t="str">
        <f>_xll.BDS("CBKN US Equity","SUPPLY_CHAIN_CUSTOMERS","RELATIONSHIP_AS_OF_DATE","19980930")</f>
        <v>#N/A N/A</v>
      </c>
      <c r="EU5" t="str">
        <f>_xll.BDS("CARO US Equity","SUPPLY_CHAIN_SUPPLIERS","RELATIONSHIP_AS_OF_DATE","20160106")</f>
        <v>#N/A N/A</v>
      </c>
      <c r="EZ5" t="str">
        <f>_xll.BDS("CARO US Equity","SUPPLY_CHAIN_CUSTOMERS","RELATIONSHIP_AS_OF_DATE","20160106")</f>
        <v>#N/A N/A</v>
      </c>
      <c r="FE5" t="str">
        <f>_xll.BDS("FGBI US Equity","SUPPLY_CHAIN_SUPPLIERS","RELATIONSHIP_AS_OF_DATE","20070105")</f>
        <v>#N/A N/A</v>
      </c>
      <c r="FJ5" t="str">
        <f>_xll.BDS("FGBI US Equity","SUPPLY_CHAIN_CUSTOMERS","RELATIONSHIP_AS_OF_DATE","20070105")</f>
        <v>#N/A N/A</v>
      </c>
      <c r="FO5" t="str">
        <f>_xll.BDS("PACW US Equity","SUPPLY_CHAIN_SUPPLIERS","RELATIONSHIP_AS_OF_DATE","20000807")</f>
        <v>#N/A N/A</v>
      </c>
      <c r="FT5" t="str">
        <f>_xll.BDS("PACW US Equity","SUPPLY_CHAIN_CUSTOMERS","RELATIONSHIP_AS_OF_DATE","20000807")</f>
        <v>SNX US Equity</v>
      </c>
      <c r="FY5" t="str">
        <f>_xll.BDS("AVLY US Equity","SUPPLY_CHAIN_SUPPLIERS","RELATIONSHIP_AS_OF_DATE","20060417")</f>
        <v>#N/A N/A</v>
      </c>
      <c r="GD5" t="str">
        <f>_xll.BDS("AVLY US Equity","SUPPLY_CHAIN_CUSTOMERS","RELATIONSHIP_AS_OF_DATE","20060417")</f>
        <v>#N/A N/A</v>
      </c>
      <c r="GI5" t="str">
        <f>_xll.BDS("FXNC US Equity","SUPPLY_CHAIN_SUPPLIERS","RELATIONSHIP_AS_OF_DATE","20210218")</f>
        <v>#N/A N/A</v>
      </c>
      <c r="GN5" t="str">
        <f>_xll.BDS("FXNC US Equity","SUPPLY_CHAIN_CUSTOMERS","RELATIONSHIP_AS_OF_DATE","20210218")</f>
        <v>#N/A N/A</v>
      </c>
      <c r="GS5" t="str">
        <f>_xll.BDS("ALAB US Equity","SUPPLY_CHAIN_SUPPLIERS","RELATIONSHIP_AS_OF_DATE","20001010","cols=1;rows=5")</f>
        <v>AMKR US Equity</v>
      </c>
      <c r="GX5" t="str">
        <f>_xll.BDS("ALAB US Equity","SUPPLY_CHAIN_CUSTOMERS","RELATIONSHIP_AS_OF_DATE","20001010","cols=1;rows=5")</f>
        <v>AMZN US Equity</v>
      </c>
      <c r="HC5" t="str">
        <f>_xll.BDS("CERN US Equity","SUPPLY_CHAIN_SUPPLIERS","RELATIONSHIP_AS_OF_DATE","20000515","cols=1;rows=5")</f>
        <v>3611 TT Equity</v>
      </c>
      <c r="HH5" t="str">
        <f>_xll.BDS("CERN US Equity","SUPPLY_CHAIN_CUSTOMERS","RELATIONSHIP_AS_OF_DATE","20000515","cols=1;rows=5")</f>
        <v>0522255D US Equity</v>
      </c>
      <c r="HM5" t="str">
        <f>_xll.BDS("1284849D US Equity","SUPPLY_CHAIN_SUPPLIERS","RELATIONSHIP_AS_OF_DATE","20130412","cols=1;rows=5")</f>
        <v>AEE US Equity</v>
      </c>
      <c r="HR5" t="str">
        <f>_xll.BDS("1284849D US Equity","SUPPLY_CHAIN_CUSTOMERS","RELATIONSHIP_AS_OF_DATE","20130412")</f>
        <v>4569 JP Equity</v>
      </c>
      <c r="HW5" t="str">
        <f>_xll.BDS("SPGZ US Equity","SUPPLY_CHAIN_SUPPLIERS","RELATIONSHIP_AS_OF_DATE","20050715")</f>
        <v>GOLD US Equity</v>
      </c>
      <c r="IB5" t="str">
        <f>_xll.BDS("SPGZ US Equity","SUPPLY_CHAIN_CUSTOMERS","RELATIONSHIP_AS_OF_DATE","20050715")</f>
        <v>GOLD US Equity</v>
      </c>
      <c r="IG5" t="str">
        <f>_xll.BDS("ABBK US Equity","SUPPLY_CHAIN_SUPPLIERS","RELATIONSHIP_AS_OF_DATE","20020410")</f>
        <v>#N/A N/A</v>
      </c>
      <c r="IL5" t="str">
        <f>_xll.BDS("ABBK US Equity","SUPPLY_CHAIN_CUSTOMERS","RELATIONSHIP_AS_OF_DATE","20020410")</f>
        <v>#N/A N/A</v>
      </c>
      <c r="IQ5" t="str">
        <f>_xll.BDS("GABC US Equity","SUPPLY_CHAIN_SUPPLIERS","RELATIONSHIP_AS_OF_DATE","20000324")</f>
        <v>#N/A N/A</v>
      </c>
      <c r="IV5" t="str">
        <f>_xll.BDS("GABC US Equity","SUPPLY_CHAIN_CUSTOMERS","RELATIONSHIP_AS_OF_DATE","20000324")</f>
        <v>#N/A N/A</v>
      </c>
      <c r="JA5" t="str">
        <f>_xll.BDS("LVCI US Equity","SUPPLY_CHAIN_SUPPLIERS","RELATIONSHIP_AS_OF_DATE","20020516")</f>
        <v>#N/A N/A</v>
      </c>
      <c r="JF5" t="str">
        <f>_xll.BDS("LVCI US Equity","SUPPLY_CHAIN_CUSTOMERS","RELATIONSHIP_AS_OF_DATE","20020516")</f>
        <v>#N/A N/A</v>
      </c>
      <c r="JK5" t="str">
        <f>_xll.BDS("HBIO US Equity","SUPPLY_CHAIN_SUPPLIERS","RELATIONSHIP_AS_OF_DATE","20020718","cols=1;rows=5")</f>
        <v>DUK US Equity</v>
      </c>
      <c r="JP5" t="str">
        <f>_xll.BDS("HBIO US Equity","SUPPLY_CHAIN_CUSTOMERS","RELATIONSHIP_AS_OF_DATE","20020718","cols=1;rows=5")</f>
        <v>0031457D US Equity</v>
      </c>
      <c r="JU5" t="str">
        <f>_xll.BDS("JEF US Equity","SUPPLY_CHAIN_SUPPLIERS","RELATIONSHIP_AS_OF_DATE","19990901","cols=1;rows=5")</f>
        <v>000063 CH Equity</v>
      </c>
      <c r="JZ5" t="str">
        <f>_xll.BDS("JEF US Equity","SUPPLY_CHAIN_CUSTOMERS","RELATIONSHIP_AS_OF_DATE","19990901")</f>
        <v>#N/A N/A</v>
      </c>
      <c r="KE5" t="str">
        <f>_xll.BDS("WABC US Equity","SUPPLY_CHAIN_SUPPLIERS","RELATIONSHIP_AS_OF_DATE","20020226")</f>
        <v>QUIS CN Equity</v>
      </c>
      <c r="KJ5" t="str">
        <f>_xll.BDS("WABC US Equity","SUPPLY_CHAIN_CUSTOMERS","RELATIONSHIP_AS_OF_DATE","20020226")</f>
        <v>#N/A N/A</v>
      </c>
      <c r="KO5" t="str">
        <f>_xll.BDS("8184823Q US Equity","SUPPLY_CHAIN_SUPPLIERS","RELATIONSHIP_AS_OF_DATE","19980728")</f>
        <v>#N/A N/A</v>
      </c>
      <c r="KT5" t="str">
        <f>_xll.BDS("8184823Q US Equity","SUPPLY_CHAIN_CUSTOMERS","RELATIONSHIP_AS_OF_DATE","19980728")</f>
        <v>#N/A N/A</v>
      </c>
      <c r="KY5" t="str">
        <f>_xll.BDS("1368189D US Equity","SUPPLY_CHAIN_SUPPLIERS","RELATIONSHIP_AS_OF_DATE","19990513")</f>
        <v>#N/A N/A</v>
      </c>
      <c r="LD5" t="str">
        <f>_xll.BDS("1368189D US Equity","SUPPLY_CHAIN_CUSTOMERS","RELATIONSHIP_AS_OF_DATE","19990513")</f>
        <v>#N/A N/A</v>
      </c>
      <c r="LI5" t="str">
        <f>_xll.BDS("CTS US Equity","SUPPLY_CHAIN_SUPPLIERS","RELATIONSHIP_AS_OF_DATE","20111117","cols=1;rows=5")</f>
        <v>MELE BB Equity</v>
      </c>
      <c r="LN5" t="str">
        <f>_xll.BDS("CTS US Equity","SUPPLY_CHAIN_CUSTOMERS","RELATIONSHIP_AS_OF_DATE","20111117","cols=1;rows=5")</f>
        <v>7203 JP Equity</v>
      </c>
      <c r="LS5" t="str">
        <f>_xll.BDS("FNB US Equity","SUPPLY_CHAIN_SUPPLIERS","RELATIONSHIP_AS_OF_DATE","20050425")</f>
        <v>HY US Equity</v>
      </c>
      <c r="LX5" t="str">
        <f>_xll.BDS("FNB US Equity","SUPPLY_CHAIN_CUSTOMERS","RELATIONSHIP_AS_OF_DATE","20050425")</f>
        <v>#N/A N/A</v>
      </c>
      <c r="MC5" t="str">
        <f>_xll.BDS("CAH US Equity","SUPPLY_CHAIN_SUPPLIERS","RELATIONSHIP_AS_OF_DATE","20031002","cols=1;rows=5")</f>
        <v>LLY US Equity</v>
      </c>
      <c r="MH5" t="str">
        <f>_xll.BDS("CAH US Equity","SUPPLY_CHAIN_CUSTOMERS","RELATIONSHIP_AS_OF_DATE","20031002","cols=1;rows=5")</f>
        <v>CVS US Equity</v>
      </c>
      <c r="MM5" t="str">
        <f>_xll.BDS("CVBF US Equity","SUPPLY_CHAIN_SUPPLIERS","RELATIONSHIP_AS_OF_DATE","20030512")</f>
        <v>#N/A N/A</v>
      </c>
      <c r="MR5" t="str">
        <f>_xll.BDS("CVBF US Equity","SUPPLY_CHAIN_CUSTOMERS","RELATIONSHIP_AS_OF_DATE","20030512")</f>
        <v>#N/A N/A</v>
      </c>
      <c r="MW5" t="str">
        <f>_xll.BDS("NWFL US Equity","SUPPLY_CHAIN_SUPPLIERS","RELATIONSHIP_AS_OF_DATE","20160310")</f>
        <v>#N/A N/A</v>
      </c>
      <c r="NB5" t="str">
        <f>_xll.BDS("NWFL US Equity","SUPPLY_CHAIN_CUSTOMERS","RELATIONSHIP_AS_OF_DATE","20160310")</f>
        <v>#N/A N/A</v>
      </c>
      <c r="NG5" t="str">
        <f>_xll.BDS("OAKF US Equity","SUPPLY_CHAIN_SUPPLIERS","RELATIONSHIP_AS_OF_DATE","20041012")</f>
        <v>#N/A N/A</v>
      </c>
      <c r="NL5" t="str">
        <f>_xll.BDS("OAKF US Equity","SUPPLY_CHAIN_CUSTOMERS","RELATIONSHIP_AS_OF_DATE","20041012")</f>
        <v>#N/A N/A</v>
      </c>
      <c r="NQ5" t="str">
        <f>_xll.BDS("1255459D US Equity","SUPPLY_CHAIN_SUPPLIERS","RELATIONSHIP_AS_OF_DATE","20060901","cols=1;rows=2")</f>
        <v>CREI LN Equity</v>
      </c>
      <c r="NV5" t="str">
        <f>_xll.BDS("1255459D US Equity","SUPPLY_CHAIN_CUSTOMERS","RELATIONSHIP_AS_OF_DATE","20060901","cols=1;rows=5")</f>
        <v>028260 KS Equity</v>
      </c>
      <c r="OA5" t="str">
        <f>_xll.BDS("ORXE US Equity","SUPPLY_CHAIN_SUPPLIERS","RELATIONSHIP_AS_OF_DATE","19980707")</f>
        <v>#N/A N/A</v>
      </c>
      <c r="OF5" t="str">
        <f>_xll.BDS("ORXE US Equity","SUPPLY_CHAIN_CUSTOMERS","RELATIONSHIP_AS_OF_DATE","19980707")</f>
        <v>#N/A N/A</v>
      </c>
    </row>
    <row r="6" spans="1:396" x14ac:dyDescent="0.25">
      <c r="AY6" t="s">
        <v>7544</v>
      </c>
      <c r="BD6" t="s">
        <v>11020</v>
      </c>
      <c r="CM6" t="s">
        <v>480</v>
      </c>
      <c r="CR6" t="s">
        <v>10897</v>
      </c>
      <c r="DQ6" t="s">
        <v>11417</v>
      </c>
      <c r="DV6" t="s">
        <v>11249</v>
      </c>
      <c r="GS6" t="s">
        <v>11090</v>
      </c>
      <c r="GX6" t="s">
        <v>6477</v>
      </c>
      <c r="HC6" t="s">
        <v>10826</v>
      </c>
      <c r="HH6" t="s">
        <v>10764</v>
      </c>
      <c r="HM6" t="s">
        <v>10696</v>
      </c>
      <c r="JK6" t="s">
        <v>872</v>
      </c>
      <c r="JP6" t="s">
        <v>10777</v>
      </c>
      <c r="JU6" t="s">
        <v>10975</v>
      </c>
      <c r="LI6" t="s">
        <v>10968</v>
      </c>
      <c r="LN6" t="s">
        <v>1549</v>
      </c>
      <c r="MC6" t="s">
        <v>45</v>
      </c>
      <c r="MH6" t="s">
        <v>10882</v>
      </c>
      <c r="NQ6" t="s">
        <v>2887</v>
      </c>
      <c r="NV6" t="s">
        <v>10637</v>
      </c>
    </row>
    <row r="7" spans="1:396" x14ac:dyDescent="0.25">
      <c r="AY7" t="s">
        <v>11054</v>
      </c>
      <c r="BD7" t="s">
        <v>11021</v>
      </c>
      <c r="CM7" t="s">
        <v>572</v>
      </c>
      <c r="CR7" t="s">
        <v>10898</v>
      </c>
      <c r="DQ7" t="s">
        <v>10696</v>
      </c>
      <c r="DV7" t="s">
        <v>11250</v>
      </c>
      <c r="GS7" t="s">
        <v>11204</v>
      </c>
      <c r="GX7" t="s">
        <v>11038</v>
      </c>
      <c r="HC7" t="s">
        <v>10827</v>
      </c>
      <c r="HH7" t="s">
        <v>10765</v>
      </c>
      <c r="HM7" t="s">
        <v>1265</v>
      </c>
      <c r="JK7" t="s">
        <v>10809</v>
      </c>
      <c r="JP7" t="s">
        <v>10778</v>
      </c>
      <c r="JU7" t="s">
        <v>10828</v>
      </c>
      <c r="LI7" t="s">
        <v>10969</v>
      </c>
      <c r="LN7" t="s">
        <v>10899</v>
      </c>
      <c r="MC7" t="s">
        <v>368</v>
      </c>
      <c r="MH7" t="s">
        <v>10883</v>
      </c>
      <c r="NV7" t="s">
        <v>10638</v>
      </c>
    </row>
    <row r="8" spans="1:396" x14ac:dyDescent="0.25">
      <c r="AY8" t="s">
        <v>11055</v>
      </c>
      <c r="BD8" t="s">
        <v>11022</v>
      </c>
      <c r="CR8" t="s">
        <v>10899</v>
      </c>
      <c r="DQ8" t="s">
        <v>158</v>
      </c>
      <c r="DV8" t="s">
        <v>11251</v>
      </c>
      <c r="GS8" t="s">
        <v>162</v>
      </c>
      <c r="GX8" t="s">
        <v>11183</v>
      </c>
      <c r="HC8" t="s">
        <v>10828</v>
      </c>
      <c r="HH8" t="s">
        <v>10766</v>
      </c>
      <c r="HM8" t="s">
        <v>158</v>
      </c>
      <c r="JK8" t="s">
        <v>10810</v>
      </c>
      <c r="JP8" t="s">
        <v>10779</v>
      </c>
      <c r="JU8" t="s">
        <v>10976</v>
      </c>
      <c r="LI8" t="s">
        <v>10851</v>
      </c>
      <c r="LN8" t="s">
        <v>10953</v>
      </c>
      <c r="MC8" t="s">
        <v>43</v>
      </c>
      <c r="MH8" t="s">
        <v>477</v>
      </c>
      <c r="NV8" t="s">
        <v>10639</v>
      </c>
    </row>
    <row r="9" spans="1:396" x14ac:dyDescent="0.25">
      <c r="AY9" t="s">
        <v>11056</v>
      </c>
      <c r="BD9" t="s">
        <v>11023</v>
      </c>
      <c r="CR9" t="s">
        <v>10900</v>
      </c>
      <c r="DQ9" t="s">
        <v>693</v>
      </c>
      <c r="DV9" t="s">
        <v>11252</v>
      </c>
      <c r="GS9" t="s">
        <v>10913</v>
      </c>
      <c r="GX9" t="s">
        <v>11176</v>
      </c>
      <c r="HC9" t="s">
        <v>682</v>
      </c>
      <c r="HH9" t="s">
        <v>10767</v>
      </c>
      <c r="HM9" t="s">
        <v>260</v>
      </c>
      <c r="JK9" t="s">
        <v>10811</v>
      </c>
      <c r="JP9" t="s">
        <v>10780</v>
      </c>
      <c r="JU9" t="s">
        <v>10829</v>
      </c>
      <c r="LI9" t="s">
        <v>10970</v>
      </c>
      <c r="LN9" t="s">
        <v>371</v>
      </c>
      <c r="MC9" t="s">
        <v>275</v>
      </c>
      <c r="MH9" t="s">
        <v>10634</v>
      </c>
      <c r="NV9" t="s">
        <v>10640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10245</v>
      </c>
      <c r="K1" s="1" t="s">
        <v>10246</v>
      </c>
      <c r="U1" s="1" t="s">
        <v>10247</v>
      </c>
      <c r="AE1" s="1" t="s">
        <v>10248</v>
      </c>
      <c r="AO1" s="1" t="s">
        <v>10249</v>
      </c>
      <c r="AY1" s="1" t="s">
        <v>10250</v>
      </c>
      <c r="BI1" s="1" t="s">
        <v>10251</v>
      </c>
      <c r="BS1" s="1" t="s">
        <v>10252</v>
      </c>
      <c r="CC1" s="1" t="s">
        <v>10253</v>
      </c>
      <c r="CM1" s="1" t="s">
        <v>10254</v>
      </c>
      <c r="CW1" s="1" t="s">
        <v>10255</v>
      </c>
      <c r="DG1" s="1" t="s">
        <v>10256</v>
      </c>
      <c r="DQ1" s="1" t="s">
        <v>10257</v>
      </c>
      <c r="EA1" s="1" t="s">
        <v>10258</v>
      </c>
      <c r="EK1" s="1" t="s">
        <v>10259</v>
      </c>
      <c r="EU1" s="1" t="s">
        <v>10260</v>
      </c>
      <c r="FE1" s="1" t="s">
        <v>10261</v>
      </c>
      <c r="FO1" s="1" t="s">
        <v>10262</v>
      </c>
      <c r="FY1" s="1" t="s">
        <v>10263</v>
      </c>
      <c r="GI1" s="1" t="s">
        <v>10264</v>
      </c>
      <c r="GS1" s="1" t="s">
        <v>10265</v>
      </c>
      <c r="HC1" s="1" t="s">
        <v>10266</v>
      </c>
      <c r="HM1" s="1" t="s">
        <v>10267</v>
      </c>
      <c r="HW1" s="1" t="s">
        <v>10268</v>
      </c>
      <c r="IG1" s="1" t="s">
        <v>10269</v>
      </c>
      <c r="IQ1" s="1" t="s">
        <v>10270</v>
      </c>
      <c r="JA1" s="1" t="s">
        <v>10271</v>
      </c>
      <c r="JK1" s="1" t="s">
        <v>10272</v>
      </c>
      <c r="JU1" s="1" t="s">
        <v>10273</v>
      </c>
      <c r="KE1" s="1" t="s">
        <v>10274</v>
      </c>
      <c r="KO1" s="1" t="s">
        <v>10275</v>
      </c>
      <c r="KY1" s="1" t="s">
        <v>10276</v>
      </c>
      <c r="LI1" s="1" t="s">
        <v>10277</v>
      </c>
      <c r="LS1" s="1" t="s">
        <v>10278</v>
      </c>
      <c r="MC1" s="1" t="s">
        <v>10279</v>
      </c>
      <c r="MM1" s="1" t="s">
        <v>10280</v>
      </c>
      <c r="MW1" s="1" t="s">
        <v>10281</v>
      </c>
      <c r="NG1" s="1" t="s">
        <v>10282</v>
      </c>
      <c r="NQ1" s="1" t="s">
        <v>10283</v>
      </c>
      <c r="OA1" s="1" t="s">
        <v>10284</v>
      </c>
    </row>
    <row r="2" spans="1:396" x14ac:dyDescent="0.25">
      <c r="A2" s="2" t="s">
        <v>9916</v>
      </c>
      <c r="K2" s="2" t="s">
        <v>10285</v>
      </c>
      <c r="U2" s="2" t="s">
        <v>7466</v>
      </c>
      <c r="AE2" s="2" t="s">
        <v>267</v>
      </c>
      <c r="AO2" s="2" t="s">
        <v>5661</v>
      </c>
      <c r="AY2" s="2" t="s">
        <v>10286</v>
      </c>
      <c r="BI2" s="2" t="s">
        <v>7609</v>
      </c>
      <c r="BS2" s="2" t="s">
        <v>9913</v>
      </c>
      <c r="CC2" s="2" t="s">
        <v>10287</v>
      </c>
      <c r="CM2" s="2" t="s">
        <v>10288</v>
      </c>
      <c r="CW2" s="2" t="s">
        <v>10289</v>
      </c>
      <c r="DG2" s="2" t="s">
        <v>7298</v>
      </c>
      <c r="DQ2" s="2" t="s">
        <v>8313</v>
      </c>
      <c r="EA2" s="2" t="s">
        <v>1934</v>
      </c>
      <c r="EK2" s="2" t="s">
        <v>9986</v>
      </c>
      <c r="EU2" s="2" t="s">
        <v>10290</v>
      </c>
      <c r="FE2" s="2" t="s">
        <v>10291</v>
      </c>
      <c r="FO2" s="2" t="s">
        <v>10292</v>
      </c>
      <c r="FY2" s="2" t="s">
        <v>10293</v>
      </c>
      <c r="GI2" s="2" t="s">
        <v>10294</v>
      </c>
      <c r="GS2" s="2" t="s">
        <v>5170</v>
      </c>
      <c r="HC2" s="2" t="s">
        <v>1164</v>
      </c>
      <c r="HM2" s="2" t="s">
        <v>10295</v>
      </c>
      <c r="HW2" s="2" t="s">
        <v>10296</v>
      </c>
      <c r="IG2" s="2" t="s">
        <v>5579</v>
      </c>
      <c r="IQ2" s="2" t="s">
        <v>6320</v>
      </c>
      <c r="JA2" s="2" t="s">
        <v>5170</v>
      </c>
      <c r="JK2" s="2" t="s">
        <v>10297</v>
      </c>
      <c r="JU2" s="2" t="s">
        <v>9676</v>
      </c>
      <c r="KE2" s="2" t="s">
        <v>8686</v>
      </c>
      <c r="KO2" s="2" t="s">
        <v>9607</v>
      </c>
      <c r="KY2" s="2" t="s">
        <v>10298</v>
      </c>
      <c r="LI2" s="2" t="s">
        <v>7474</v>
      </c>
      <c r="LS2" s="2" t="s">
        <v>10299</v>
      </c>
      <c r="MC2" s="2" t="s">
        <v>7052</v>
      </c>
      <c r="MM2" s="2" t="s">
        <v>272</v>
      </c>
      <c r="MW2" s="2" t="s">
        <v>3153</v>
      </c>
      <c r="NG2" s="2" t="s">
        <v>7050</v>
      </c>
      <c r="NQ2" s="2" t="s">
        <v>10300</v>
      </c>
      <c r="OA2" s="2" t="s">
        <v>10301</v>
      </c>
    </row>
    <row r="3" spans="1:396" x14ac:dyDescent="0.25">
      <c r="A3" t="s">
        <v>10302</v>
      </c>
      <c r="K3" t="s">
        <v>1790</v>
      </c>
      <c r="U3" t="s">
        <v>7719</v>
      </c>
      <c r="AE3" t="s">
        <v>10303</v>
      </c>
      <c r="AO3" t="s">
        <v>10304</v>
      </c>
      <c r="AY3" t="s">
        <v>5930</v>
      </c>
      <c r="BI3" t="s">
        <v>10305</v>
      </c>
      <c r="BS3" t="s">
        <v>10306</v>
      </c>
      <c r="CC3" t="s">
        <v>10307</v>
      </c>
      <c r="CM3" t="s">
        <v>6483</v>
      </c>
      <c r="CW3" t="s">
        <v>8619</v>
      </c>
      <c r="DG3" t="s">
        <v>10308</v>
      </c>
      <c r="DQ3" t="s">
        <v>1389</v>
      </c>
      <c r="EA3" t="s">
        <v>1776</v>
      </c>
      <c r="EK3" t="s">
        <v>8187</v>
      </c>
      <c r="EU3" t="s">
        <v>2533</v>
      </c>
      <c r="FE3" t="s">
        <v>10309</v>
      </c>
      <c r="FO3" t="s">
        <v>10310</v>
      </c>
      <c r="FY3" t="s">
        <v>10311</v>
      </c>
      <c r="GI3" t="s">
        <v>10312</v>
      </c>
      <c r="GS3" t="s">
        <v>6574</v>
      </c>
      <c r="HC3" t="s">
        <v>10313</v>
      </c>
      <c r="HM3" t="s">
        <v>10314</v>
      </c>
      <c r="HW3" t="s">
        <v>2732</v>
      </c>
      <c r="IG3" t="s">
        <v>6100</v>
      </c>
      <c r="IQ3" t="s">
        <v>10315</v>
      </c>
      <c r="JA3" t="s">
        <v>10316</v>
      </c>
      <c r="JK3" t="s">
        <v>3104</v>
      </c>
      <c r="JU3" t="s">
        <v>10317</v>
      </c>
      <c r="KE3" t="s">
        <v>2639</v>
      </c>
      <c r="KO3" t="s">
        <v>10318</v>
      </c>
      <c r="KY3" t="s">
        <v>10319</v>
      </c>
      <c r="LI3" t="s">
        <v>10320</v>
      </c>
      <c r="LS3" t="s">
        <v>624</v>
      </c>
      <c r="MC3" t="s">
        <v>10321</v>
      </c>
      <c r="MM3" t="s">
        <v>6489</v>
      </c>
      <c r="MW3" t="s">
        <v>7781</v>
      </c>
      <c r="NG3" t="s">
        <v>1782</v>
      </c>
      <c r="NQ3" t="s">
        <v>10322</v>
      </c>
      <c r="OA3" t="s">
        <v>10323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_xll.BDS("NASB US Equity","SUPPLY_CHAIN_SUPPLIERS","RELATIONSHIP_AS_OF_DATE","20020906")</f>
        <v>#N/A N/A</v>
      </c>
      <c r="F5" t="str">
        <f>_xll.BDS("NASB US Equity","SUPPLY_CHAIN_CUSTOMERS","RELATIONSHIP_AS_OF_DATE","20020906")</f>
        <v>#N/A N/A</v>
      </c>
      <c r="K5" t="str">
        <f>_xll.BDS("MDCO US Equity","SUPPLY_CHAIN_SUPPLIERS","RELATIONSHIP_AS_OF_DATE","20090112")</f>
        <v>#N/A N/A</v>
      </c>
      <c r="P5" t="str">
        <f>_xll.BDS("MDCO US Equity","SUPPLY_CHAIN_CUSTOMERS","RELATIONSHIP_AS_OF_DATE","20090112")</f>
        <v>#N/A N/A</v>
      </c>
      <c r="U5" t="str">
        <f>_xll.BDS("2447428D US Equity","SUPPLY_CHAIN_SUPPLIERS","RELATIONSHIP_AS_OF_DATE","19980130","cols=1;rows=2")</f>
        <v>551 HK Equity</v>
      </c>
      <c r="Z5" t="str">
        <f>_xll.BDS("2447428D US Equity","SUPPLY_CHAIN_CUSTOMERS","RELATIONSHIP_AS_OF_DATE","19980130","cols=1;rows=5")</f>
        <v>ARVINDFA IN Equity</v>
      </c>
      <c r="AE5" t="str">
        <f>_xll.BDS("BDX US Equity","SUPPLY_CHAIN_SUPPLIERS","RELATIONSHIP_AS_OF_DATE","19981014","cols=1;rows=5")</f>
        <v>FLEX US Equity</v>
      </c>
      <c r="AJ5" t="str">
        <f>_xll.BDS("BDX US Equity","SUPPLY_CHAIN_CUSTOMERS","RELATIONSHIP_AS_OF_DATE","19981014","cols=1;rows=5")</f>
        <v>300326 CH Equity</v>
      </c>
      <c r="AO5" t="str">
        <f>_xll.BDS("HTRN US Equity","SUPPLY_CHAIN_SUPPLIERS","RELATIONSHIP_AS_OF_DATE","20090421")</f>
        <v>#N/A N/A</v>
      </c>
      <c r="AT5" t="str">
        <f>_xll.BDS("HTRN US Equity","SUPPLY_CHAIN_CUSTOMERS","RELATIONSHIP_AS_OF_DATE","20090421")</f>
        <v>#N/A N/A</v>
      </c>
      <c r="AY5" t="str">
        <f>_xll.BDS("IFHI US Equity","SUPPLY_CHAIN_SUPPLIERS","RELATIONSHIP_AS_OF_DATE","20170217")</f>
        <v>#N/A N/A</v>
      </c>
      <c r="BD5" t="str">
        <f>_xll.BDS("IFHI US Equity","SUPPLY_CHAIN_CUSTOMERS","RELATIONSHIP_AS_OF_DATE","20170217")</f>
        <v>#N/A N/A</v>
      </c>
      <c r="BI5" t="str">
        <f>_xll.BDS("FMNB US Equity","SUPPLY_CHAIN_SUPPLIERS","RELATIONSHIP_AS_OF_DATE","20150624")</f>
        <v>#N/A N/A</v>
      </c>
      <c r="BN5" t="str">
        <f>_xll.BDS("FMNB US Equity","SUPPLY_CHAIN_CUSTOMERS","RELATIONSHIP_AS_OF_DATE","20150624")</f>
        <v>#N/A N/A</v>
      </c>
      <c r="BS5" t="str">
        <f>_xll.BDS("SFFB US Equity","SUPPLY_CHAIN_SUPPLIERS","RELATIONSHIP_AS_OF_DATE","20020425")</f>
        <v>#N/A N/A</v>
      </c>
      <c r="BX5" t="str">
        <f>_xll.BDS("SFFB US Equity","SUPPLY_CHAIN_CUSTOMERS","RELATIONSHIP_AS_OF_DATE","20020425")</f>
        <v>#N/A N/A</v>
      </c>
      <c r="CC5" t="str">
        <f>_xll.BDS("NBOH US Equity","SUPPLY_CHAIN_SUPPLIERS","RELATIONSHIP_AS_OF_DATE","20011002")</f>
        <v>#N/A N/A</v>
      </c>
      <c r="CH5" t="str">
        <f>_xll.BDS("NBOH US Equity","SUPPLY_CHAIN_CUSTOMERS","RELATIONSHIP_AS_OF_DATE","20011002")</f>
        <v>#N/A N/A</v>
      </c>
      <c r="CM5" t="str">
        <f>_xll.BDS("0569919D LN Equity","SUPPLY_CHAIN_SUPPLIERS","RELATIONSHIP_AS_OF_DATE","19980417")</f>
        <v>#N/A N/A</v>
      </c>
      <c r="CR5" t="str">
        <f>_xll.BDS("0569919D LN Equity","SUPPLY_CHAIN_CUSTOMERS","RELATIONSHIP_AS_OF_DATE","19980417")</f>
        <v>#N/A N/A</v>
      </c>
      <c r="CW5" t="str">
        <f>_xll.BDS("3523914Q US Equity","SUPPLY_CHAIN_SUPPLIERS","RELATIONSHIP_AS_OF_DATE","19990125")</f>
        <v>#N/A N/A</v>
      </c>
      <c r="DB5" t="str">
        <f>_xll.BDS("3523914Q US Equity","SUPPLY_CHAIN_CUSTOMERS","RELATIONSHIP_AS_OF_DATE","19990125")</f>
        <v>#N/A N/A</v>
      </c>
      <c r="DG5" t="str">
        <f>_xll.BDS("SYMM US Equity","SUPPLY_CHAIN_SUPPLIERS","RELATIONSHIP_AS_OF_DATE","20020327")</f>
        <v>#N/A N/A</v>
      </c>
      <c r="DL5" t="str">
        <f>_xll.BDS("SYMM US Equity","SUPPLY_CHAIN_CUSTOMERS","RELATIONSHIP_AS_OF_DATE","20020327")</f>
        <v>#N/A N/A</v>
      </c>
      <c r="DQ5" t="str">
        <f>_xll.BDS("HL US Equity","SUPPLY_CHAIN_SUPPLIERS","RELATIONSHIP_AS_OF_DATE","20150327","cols=1;rows=5")</f>
        <v>0082624D US Equity</v>
      </c>
      <c r="DV5" t="str">
        <f>_xll.BDS("HL US Equity","SUPPLY_CHAIN_CUSTOMERS","RELATIONSHIP_AS_OF_DATE","20150327")</f>
        <v>#N/A N/A</v>
      </c>
      <c r="EA5" t="str">
        <f>_xll.BDS("1927294D US Equity","SUPPLY_CHAIN_SUPPLIERS","RELATIONSHIP_AS_OF_DATE","20000713")</f>
        <v>FE US Equity</v>
      </c>
      <c r="EF5" t="str">
        <f>_xll.BDS("1927294D US Equity","SUPPLY_CHAIN_CUSTOMERS","RELATIONSHIP_AS_OF_DATE","20000713")</f>
        <v>#N/A N/A</v>
      </c>
      <c r="EK5" t="str">
        <f>_xll.BDS("MSBK US Equity","SUPPLY_CHAIN_SUPPLIERS","RELATIONSHIP_AS_OF_DATE","20000926")</f>
        <v>#N/A N/A</v>
      </c>
      <c r="EP5" t="str">
        <f>_xll.BDS("MSBK US Equity","SUPPLY_CHAIN_CUSTOMERS","RELATIONSHIP_AS_OF_DATE","20000926")</f>
        <v>#N/A N/A</v>
      </c>
      <c r="EU5" t="str">
        <f>_xll.BDS("3077Q US Equity","SUPPLY_CHAIN_SUPPLIERS","RELATIONSHIP_AS_OF_DATE","19990913")</f>
        <v>#N/A N/A</v>
      </c>
      <c r="EZ5" t="str">
        <f>_xll.BDS("3077Q US Equity","SUPPLY_CHAIN_CUSTOMERS","RELATIONSHIP_AS_OF_DATE","19990913")</f>
        <v>#N/A N/A</v>
      </c>
      <c r="FE5" t="str">
        <f>_xll.BDS("9856660D US Equity","SUPPLY_CHAIN_SUPPLIERS","RELATIONSHIP_AS_OF_DATE","20190131")</f>
        <v>#N/A N/A</v>
      </c>
      <c r="FJ5" t="str">
        <f>_xll.BDS("9856660D US Equity","SUPPLY_CHAIN_CUSTOMERS","RELATIONSHIP_AS_OF_DATE","20190131")</f>
        <v>#N/A N/A</v>
      </c>
      <c r="FO5" t="str">
        <f>_xll.BDS("FSII US Equity","SUPPLY_CHAIN_SUPPLIERS","RELATIONSHIP_AS_OF_DATE","19990122")</f>
        <v>#N/A N/A</v>
      </c>
      <c r="FT5" t="str">
        <f>_xll.BDS("FSII US Equity","SUPPLY_CHAIN_CUSTOMERS","RELATIONSHIP_AS_OF_DATE","19990122")</f>
        <v>#N/A N/A</v>
      </c>
      <c r="FY5" t="str">
        <f>_xll.BDS("ASTV US Equity","SUPPLY_CHAIN_SUPPLIERS","RELATIONSHIP_AS_OF_DATE","20120810")</f>
        <v>#N/A N/A</v>
      </c>
      <c r="GD5" t="str">
        <f>_xll.BDS("ASTV US Equity","SUPPLY_CHAIN_CUSTOMERS","RELATIONSHIP_AS_OF_DATE","20120810")</f>
        <v>#N/A N/A</v>
      </c>
      <c r="GI5" t="str">
        <f>_xll.BDS("JFBI US Equity","SUPPLY_CHAIN_SUPPLIERS","RELATIONSHIP_AS_OF_DATE","20080904")</f>
        <v>#N/A N/A</v>
      </c>
      <c r="GN5" t="str">
        <f>_xll.BDS("JFBI US Equity","SUPPLY_CHAIN_CUSTOMERS","RELATIONSHIP_AS_OF_DATE","20080904")</f>
        <v>#N/A N/A</v>
      </c>
      <c r="GS5" t="str">
        <f>_xll.BDS("NWBI US Equity","SUPPLY_CHAIN_SUPPLIERS","RELATIONSHIP_AS_OF_DATE","20051114")</f>
        <v>FISV US Equity</v>
      </c>
      <c r="GX5" t="str">
        <f>_xll.BDS("NWBI US Equity","SUPPLY_CHAIN_CUSTOMERS","RELATIONSHIP_AS_OF_DATE","20051114")</f>
        <v>#N/A N/A</v>
      </c>
      <c r="HC5" t="str">
        <f>_xll.BDS("GE US Equity","SUPPLY_CHAIN_SUPPLIERS","RELATIONSHIP_AS_OF_DATE","19980520","cols=1;rows=5")</f>
        <v>SAF FP Equity</v>
      </c>
      <c r="HH5" t="str">
        <f>_xll.BDS("GE US Equity","SUPPLY_CHAIN_CUSTOMERS","RELATIONSHIP_AS_OF_DATE","19980520","cols=1;rows=5")</f>
        <v>3352Z US Equity</v>
      </c>
      <c r="HM5" t="str">
        <f>_xll.BDS("ROMA US Equity","SUPPLY_CHAIN_SUPPLIERS","RELATIONSHIP_AS_OF_DATE","20100318")</f>
        <v>#N/A N/A</v>
      </c>
      <c r="HR5" t="str">
        <f>_xll.BDS("ROMA US Equity","SUPPLY_CHAIN_CUSTOMERS","RELATIONSHIP_AS_OF_DATE","20100318")</f>
        <v>#N/A N/A</v>
      </c>
      <c r="HW5" t="str">
        <f>_xll.BDS("PCLE US Equity","SUPPLY_CHAIN_SUPPLIERS","RELATIONSHIP_AS_OF_DATE","19981216")</f>
        <v>#N/A N/A</v>
      </c>
      <c r="IB5" t="str">
        <f>_xll.BDS("PCLE US Equity","SUPPLY_CHAIN_CUSTOMERS","RELATIONSHIP_AS_OF_DATE","19981216")</f>
        <v>#N/A N/A</v>
      </c>
      <c r="IG5" t="str">
        <f>_xll.BDS("SCUR US Equity","SUPPLY_CHAIN_SUPPLIERS","RELATIONSHIP_AS_OF_DATE","20030729")</f>
        <v>#N/A N/A</v>
      </c>
      <c r="IL5" t="str">
        <f>_xll.BDS("SCUR US Equity","SUPPLY_CHAIN_CUSTOMERS","RELATIONSHIP_AS_OF_DATE","20030729")</f>
        <v>#N/A N/A</v>
      </c>
      <c r="IQ5" t="str">
        <f>_xll.BDS("OSIS US Equity","SUPPLY_CHAIN_SUPPLIERS","RELATIONSHIP_AS_OF_DATE","20071205","cols=1;rows=5")</f>
        <v>VREX US Equity</v>
      </c>
      <c r="IV5" t="str">
        <f>_xll.BDS("OSIS US Equity","SUPPLY_CHAIN_CUSTOMERS","RELATIONSHIP_AS_OF_DATE","20071205","cols=1;rows=5")</f>
        <v>3352Z US Equity</v>
      </c>
      <c r="JA5" t="str">
        <f>_xll.BDS("NWBI US Equity","SUPPLY_CHAIN_SUPPLIERS","RELATIONSHIP_AS_OF_DATE","20020207")</f>
        <v>FISV US Equity</v>
      </c>
      <c r="JF5" t="str">
        <f>_xll.BDS("NWBI US Equity","SUPPLY_CHAIN_CUSTOMERS","RELATIONSHIP_AS_OF_DATE","20020207")</f>
        <v>#N/A N/A</v>
      </c>
      <c r="JK5" t="str">
        <f>_xll.BDS("FBPI US Equity","SUPPLY_CHAIN_SUPPLIERS","RELATIONSHIP_AS_OF_DATE","20060425")</f>
        <v>#N/A N/A</v>
      </c>
      <c r="JP5" t="str">
        <f>_xll.BDS("FBPI US Equity","SUPPLY_CHAIN_CUSTOMERS","RELATIONSHIP_AS_OF_DATE","20060425")</f>
        <v>#N/A N/A</v>
      </c>
      <c r="JU5" t="str">
        <f>_xll.BDS("HBK US Equity","SUPPLY_CHAIN_SUPPLIERS","RELATIONSHIP_AS_OF_DATE","20150416")</f>
        <v>#N/A N/A</v>
      </c>
      <c r="JZ5" t="str">
        <f>_xll.BDS("HBK US Equity","SUPPLY_CHAIN_CUSTOMERS","RELATIONSHIP_AS_OF_DATE","20150416")</f>
        <v>#N/A N/A</v>
      </c>
      <c r="KE5" t="str">
        <f>_xll.BDS("TIBX US Equity","SUPPLY_CHAIN_SUPPLIERS","RELATIONSHIP_AS_OF_DATE","20080619","cols=1;rows=5")</f>
        <v>ARE US Equity</v>
      </c>
      <c r="KJ5" t="str">
        <f>_xll.BDS("TIBX US Equity","SUPPLY_CHAIN_CUSTOMERS","RELATIONSHIP_AS_OF_DATE","20080619","cols=1;rows=5")</f>
        <v>3565 JP Equity</v>
      </c>
      <c r="KO5" t="str">
        <f>_xll.BDS("PREM US Equity","SUPPLY_CHAIN_SUPPLIERS","RELATIONSHIP_AS_OF_DATE","20000420")</f>
        <v>#N/A N/A</v>
      </c>
      <c r="KT5" t="str">
        <f>_xll.BDS("PREM US Equity","SUPPLY_CHAIN_CUSTOMERS","RELATIONSHIP_AS_OF_DATE","20000420")</f>
        <v>#N/A N/A</v>
      </c>
      <c r="KY5" t="str">
        <f>_xll.BDS("THRD US Equity","SUPPLY_CHAIN_SUPPLIERS","RELATIONSHIP_AS_OF_DATE","20121228")</f>
        <v>#N/A N/A</v>
      </c>
      <c r="LD5" t="str">
        <f>_xll.BDS("THRD US Equity","SUPPLY_CHAIN_CUSTOMERS","RELATIONSHIP_AS_OF_DATE","20121228")</f>
        <v>#N/A N/A</v>
      </c>
      <c r="LI5" t="str">
        <f>_xll.BDS("ENMC US Equity","SUPPLY_CHAIN_SUPPLIERS","RELATIONSHIP_AS_OF_DATE","20050203")</f>
        <v>#N/A N/A</v>
      </c>
      <c r="LN5" t="str">
        <f>_xll.BDS("ENMC US Equity","SUPPLY_CHAIN_CUSTOMERS","RELATIONSHIP_AS_OF_DATE","20050203")</f>
        <v>#N/A N/A</v>
      </c>
      <c r="LS5" t="str">
        <f>_xll.BDS("SLBK US Equity","SUPPLY_CHAIN_SUPPLIERS","RELATIONSHIP_AS_OF_DATE","20180301")</f>
        <v>#N/A N/A</v>
      </c>
      <c r="LX5" t="str">
        <f>_xll.BDS("SLBK US Equity","SUPPLY_CHAIN_CUSTOMERS","RELATIONSHIP_AS_OF_DATE","20180301")</f>
        <v>#N/A N/A</v>
      </c>
      <c r="MC5" t="str">
        <f>_xll.BDS("MPB US Equity","SUPPLY_CHAIN_SUPPLIERS","RELATIONSHIP_AS_OF_DATE","20140827")</f>
        <v>#N/A N/A</v>
      </c>
      <c r="MH5" t="str">
        <f>_xll.BDS("MPB US Equity","SUPPLY_CHAIN_CUSTOMERS","RELATIONSHIP_AS_OF_DATE","20140827")</f>
        <v>#N/A N/A</v>
      </c>
      <c r="MM5" t="str">
        <f>_xll.BDS("TMO US Equity","SUPPLY_CHAIN_SUPPLIERS","RELATIONSHIP_AS_OF_DATE","20000131","cols=1;rows=5")</f>
        <v>EMR US Equity</v>
      </c>
      <c r="MR5" t="str">
        <f>_xll.BDS("TMO US Equity","SUPPLY_CHAIN_CUSTOMERS","RELATIONSHIP_AS_OF_DATE","20000131","cols=1;rows=5")</f>
        <v>4195 TT Equity</v>
      </c>
      <c r="MW5" t="str">
        <f>_xll.BDS("9876544D US Equity","SUPPLY_CHAIN_SUPPLIERS","RELATIONSHIP_AS_OF_DATE","20060615")</f>
        <v>#N/A N/A</v>
      </c>
      <c r="NB5" t="str">
        <f>_xll.BDS("9876544D US Equity","SUPPLY_CHAIN_CUSTOMERS","RELATIONSHIP_AS_OF_DATE","20060615")</f>
        <v>#N/A N/A</v>
      </c>
      <c r="NG5" t="str">
        <f>_xll.BDS("COB US Equity","SUPPLY_CHAIN_SUPPLIERS","RELATIONSHIP_AS_OF_DATE","20110427")</f>
        <v>#N/A N/A</v>
      </c>
      <c r="NL5" t="str">
        <f>_xll.BDS("COB US Equity","SUPPLY_CHAIN_CUSTOMERS","RELATIONSHIP_AS_OF_DATE","20110427")</f>
        <v>#N/A N/A</v>
      </c>
      <c r="NQ5" t="str">
        <f>_xll.BDS("LEBC US Equity","SUPPLY_CHAIN_SUPPLIERS","RELATIONSHIP_AS_OF_DATE","19990120")</f>
        <v>#N/A N/A</v>
      </c>
      <c r="NV5" t="str">
        <f>_xll.BDS("LEBC US Equity","SUPPLY_CHAIN_CUSTOMERS","RELATIONSHIP_AS_OF_DATE","19990120")</f>
        <v>#N/A N/A</v>
      </c>
      <c r="OA5" t="str">
        <f>_xll.BDS("IEX US Equity","SUPPLY_CHAIN_SUPPLIERS","RELATIONSHIP_AS_OF_DATE","20110111","cols=1;rows=5")</f>
        <v>1972 HK Equity</v>
      </c>
      <c r="OF5" t="str">
        <f>_xll.BDS("IEX US Equity","SUPPLY_CHAIN_CUSTOMERS","RELATIONSHIP_AS_OF_DATE","20110111","cols=1;rows=5")</f>
        <v>PCAR US Equity</v>
      </c>
    </row>
    <row r="6" spans="1:396" x14ac:dyDescent="0.25">
      <c r="U6" t="s">
        <v>10881</v>
      </c>
      <c r="Z6" t="s">
        <v>6553</v>
      </c>
      <c r="AE6" t="s">
        <v>10813</v>
      </c>
      <c r="AJ6" t="s">
        <v>10757</v>
      </c>
      <c r="DQ6" t="s">
        <v>11128</v>
      </c>
      <c r="HC6" t="s">
        <v>11008</v>
      </c>
      <c r="HH6" t="s">
        <v>1363</v>
      </c>
      <c r="IQ6" t="s">
        <v>10956</v>
      </c>
      <c r="IV6" t="s">
        <v>10908</v>
      </c>
      <c r="KE6" t="s">
        <v>6473</v>
      </c>
      <c r="KJ6" t="s">
        <v>6473</v>
      </c>
      <c r="MM6" t="s">
        <v>44</v>
      </c>
      <c r="MR6" t="s">
        <v>10662</v>
      </c>
      <c r="OA6" t="s">
        <v>11015</v>
      </c>
      <c r="OF6" t="s">
        <v>10999</v>
      </c>
    </row>
    <row r="7" spans="1:396" x14ac:dyDescent="0.25">
      <c r="Z7" t="s">
        <v>10880</v>
      </c>
      <c r="AE7" t="s">
        <v>10735</v>
      </c>
      <c r="AJ7" t="s">
        <v>10758</v>
      </c>
      <c r="DQ7" t="s">
        <v>11129</v>
      </c>
      <c r="HC7" t="s">
        <v>11009</v>
      </c>
      <c r="HH7" t="s">
        <v>10939</v>
      </c>
      <c r="IQ7" t="s">
        <v>10957</v>
      </c>
      <c r="IV7" t="s">
        <v>42</v>
      </c>
      <c r="KE7" t="s">
        <v>10822</v>
      </c>
      <c r="KJ7" t="s">
        <v>10771</v>
      </c>
      <c r="MM7" t="s">
        <v>10734</v>
      </c>
      <c r="MR7" t="s">
        <v>10761</v>
      </c>
      <c r="OA7" t="s">
        <v>10851</v>
      </c>
      <c r="OF7" t="s">
        <v>11000</v>
      </c>
    </row>
    <row r="8" spans="1:396" x14ac:dyDescent="0.25">
      <c r="Z8" t="s">
        <v>10881</v>
      </c>
      <c r="AE8" t="s">
        <v>171</v>
      </c>
      <c r="AJ8" t="s">
        <v>10759</v>
      </c>
      <c r="DQ8" t="s">
        <v>11130</v>
      </c>
      <c r="HC8" t="s">
        <v>11010</v>
      </c>
      <c r="HH8" t="s">
        <v>1652</v>
      </c>
      <c r="IQ8" t="s">
        <v>1263</v>
      </c>
      <c r="IV8" t="s">
        <v>10909</v>
      </c>
      <c r="KE8" t="s">
        <v>10823</v>
      </c>
      <c r="KJ8" t="s">
        <v>10660</v>
      </c>
      <c r="MM8" t="s">
        <v>10735</v>
      </c>
      <c r="MR8" t="s">
        <v>10762</v>
      </c>
      <c r="OA8" t="s">
        <v>2111</v>
      </c>
      <c r="OF8" t="s">
        <v>11001</v>
      </c>
    </row>
    <row r="9" spans="1:396" x14ac:dyDescent="0.25">
      <c r="Z9" t="s">
        <v>10773</v>
      </c>
      <c r="AE9" t="s">
        <v>10814</v>
      </c>
      <c r="AJ9" t="s">
        <v>10760</v>
      </c>
      <c r="DQ9" t="s">
        <v>11131</v>
      </c>
      <c r="HC9" t="s">
        <v>3625</v>
      </c>
      <c r="HH9" t="s">
        <v>1740</v>
      </c>
      <c r="IQ9" t="s">
        <v>10958</v>
      </c>
      <c r="IV9" t="s">
        <v>10910</v>
      </c>
      <c r="KE9" t="s">
        <v>10824</v>
      </c>
      <c r="KJ9" t="s">
        <v>10772</v>
      </c>
      <c r="MM9" t="s">
        <v>3073</v>
      </c>
      <c r="MR9" t="s">
        <v>10763</v>
      </c>
      <c r="OA9" t="s">
        <v>10696</v>
      </c>
      <c r="OF9" t="s">
        <v>11002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10324</v>
      </c>
      <c r="K1" s="1" t="s">
        <v>10325</v>
      </c>
      <c r="U1" s="1" t="s">
        <v>10326</v>
      </c>
      <c r="AE1" s="1" t="s">
        <v>10327</v>
      </c>
      <c r="AO1" s="1" t="s">
        <v>10328</v>
      </c>
      <c r="AY1" s="1" t="s">
        <v>10329</v>
      </c>
      <c r="BI1" s="1" t="s">
        <v>10330</v>
      </c>
      <c r="BS1" s="1" t="s">
        <v>10331</v>
      </c>
      <c r="CC1" s="1" t="s">
        <v>10332</v>
      </c>
      <c r="CM1" s="1" t="s">
        <v>10333</v>
      </c>
      <c r="CW1" s="1" t="s">
        <v>10334</v>
      </c>
      <c r="DG1" s="1" t="s">
        <v>10335</v>
      </c>
      <c r="DQ1" s="1" t="s">
        <v>10336</v>
      </c>
      <c r="EA1" s="1" t="s">
        <v>10337</v>
      </c>
      <c r="EK1" s="1" t="s">
        <v>10338</v>
      </c>
      <c r="EU1" s="1" t="s">
        <v>10339</v>
      </c>
      <c r="FE1" s="1" t="s">
        <v>10340</v>
      </c>
      <c r="FO1" s="1" t="s">
        <v>10341</v>
      </c>
      <c r="FY1" s="1" t="s">
        <v>10342</v>
      </c>
      <c r="GI1" s="1" t="s">
        <v>10343</v>
      </c>
      <c r="GS1" s="1" t="s">
        <v>10344</v>
      </c>
      <c r="HC1" s="1" t="s">
        <v>10345</v>
      </c>
      <c r="HM1" s="1" t="s">
        <v>10346</v>
      </c>
      <c r="HW1" s="1" t="s">
        <v>10347</v>
      </c>
      <c r="IG1" s="1" t="s">
        <v>10348</v>
      </c>
      <c r="IQ1" s="1" t="s">
        <v>10349</v>
      </c>
      <c r="JA1" s="1" t="s">
        <v>10350</v>
      </c>
      <c r="JK1" s="1" t="s">
        <v>10351</v>
      </c>
      <c r="JU1" s="1" t="s">
        <v>10352</v>
      </c>
      <c r="KE1" s="1" t="s">
        <v>10353</v>
      </c>
      <c r="KO1" s="1" t="s">
        <v>10354</v>
      </c>
      <c r="KY1" s="1" t="s">
        <v>10355</v>
      </c>
      <c r="LI1" s="1" t="s">
        <v>10356</v>
      </c>
      <c r="LS1" s="1" t="s">
        <v>10357</v>
      </c>
      <c r="MC1" s="1" t="s">
        <v>10358</v>
      </c>
      <c r="MM1" s="1" t="s">
        <v>10359</v>
      </c>
      <c r="MW1" s="1" t="s">
        <v>10360</v>
      </c>
      <c r="NG1" s="1" t="s">
        <v>10361</v>
      </c>
      <c r="NQ1" s="1" t="s">
        <v>10362</v>
      </c>
      <c r="OA1" s="1" t="s">
        <v>10363</v>
      </c>
    </row>
    <row r="2" spans="1:396" x14ac:dyDescent="0.25">
      <c r="A2" s="2" t="s">
        <v>10364</v>
      </c>
      <c r="K2" s="2" t="s">
        <v>10365</v>
      </c>
      <c r="U2" s="2" t="s">
        <v>10366</v>
      </c>
      <c r="AE2" s="2" t="s">
        <v>10367</v>
      </c>
      <c r="AO2" s="2" t="s">
        <v>10368</v>
      </c>
      <c r="AY2" s="2" t="s">
        <v>9307</v>
      </c>
      <c r="BI2" s="2" t="s">
        <v>4559</v>
      </c>
      <c r="BS2" s="2" t="s">
        <v>9377</v>
      </c>
      <c r="CC2" s="2" t="s">
        <v>10369</v>
      </c>
      <c r="CM2" s="2" t="s">
        <v>7148</v>
      </c>
      <c r="CW2" s="2" t="s">
        <v>7844</v>
      </c>
      <c r="DG2" s="2" t="s">
        <v>10370</v>
      </c>
      <c r="DQ2" s="2" t="s">
        <v>10371</v>
      </c>
      <c r="EA2" s="2" t="s">
        <v>9999</v>
      </c>
      <c r="EK2" s="2" t="s">
        <v>10372</v>
      </c>
      <c r="EU2" s="2" t="s">
        <v>10373</v>
      </c>
      <c r="FE2" s="2" t="s">
        <v>9003</v>
      </c>
      <c r="FO2" s="2" t="s">
        <v>64</v>
      </c>
      <c r="FY2" s="2" t="s">
        <v>7611</v>
      </c>
      <c r="GI2" s="2" t="s">
        <v>7286</v>
      </c>
      <c r="GS2" s="2" t="s">
        <v>10374</v>
      </c>
      <c r="HC2" s="2" t="s">
        <v>9450</v>
      </c>
      <c r="HM2" s="2" t="s">
        <v>10375</v>
      </c>
      <c r="HW2" s="2" t="s">
        <v>10376</v>
      </c>
      <c r="IG2" s="2" t="s">
        <v>9750</v>
      </c>
      <c r="IQ2" s="2" t="s">
        <v>10377</v>
      </c>
      <c r="JA2" s="2" t="s">
        <v>9519</v>
      </c>
      <c r="JK2" s="2" t="s">
        <v>10378</v>
      </c>
      <c r="JU2" s="2" t="s">
        <v>10379</v>
      </c>
      <c r="KE2" s="2" t="s">
        <v>5677</v>
      </c>
      <c r="KO2" s="2" t="s">
        <v>8844</v>
      </c>
      <c r="KY2" s="2" t="s">
        <v>10380</v>
      </c>
      <c r="LI2" s="2" t="s">
        <v>5333</v>
      </c>
      <c r="LS2" s="2" t="s">
        <v>8847</v>
      </c>
      <c r="MC2" s="2" t="s">
        <v>10381</v>
      </c>
      <c r="MM2" s="2" t="s">
        <v>10382</v>
      </c>
      <c r="MW2" s="2" t="s">
        <v>2124</v>
      </c>
      <c r="NG2" s="2" t="s">
        <v>10383</v>
      </c>
      <c r="NQ2" s="2" t="s">
        <v>10384</v>
      </c>
      <c r="OA2" s="2" t="s">
        <v>10385</v>
      </c>
    </row>
    <row r="3" spans="1:396" x14ac:dyDescent="0.25">
      <c r="A3" t="s">
        <v>10386</v>
      </c>
      <c r="K3" t="s">
        <v>10387</v>
      </c>
      <c r="U3" t="s">
        <v>10388</v>
      </c>
      <c r="AE3" t="s">
        <v>2433</v>
      </c>
      <c r="AO3" t="s">
        <v>10389</v>
      </c>
      <c r="AY3" t="s">
        <v>8336</v>
      </c>
      <c r="BI3" t="s">
        <v>10390</v>
      </c>
      <c r="BS3" t="s">
        <v>10391</v>
      </c>
      <c r="CC3" t="s">
        <v>9856</v>
      </c>
      <c r="CM3" t="s">
        <v>4416</v>
      </c>
      <c r="CW3" t="s">
        <v>2146</v>
      </c>
      <c r="DG3" t="s">
        <v>8118</v>
      </c>
      <c r="DQ3" t="s">
        <v>10392</v>
      </c>
      <c r="EA3" t="s">
        <v>1207</v>
      </c>
      <c r="EK3" t="s">
        <v>4415</v>
      </c>
      <c r="EU3" t="s">
        <v>10306</v>
      </c>
      <c r="FE3" t="s">
        <v>4575</v>
      </c>
      <c r="FO3" t="s">
        <v>10393</v>
      </c>
      <c r="FY3" t="s">
        <v>10394</v>
      </c>
      <c r="GI3" t="s">
        <v>6096</v>
      </c>
      <c r="GS3" t="s">
        <v>10306</v>
      </c>
      <c r="HC3" t="s">
        <v>10395</v>
      </c>
      <c r="HM3" t="s">
        <v>5341</v>
      </c>
      <c r="HW3" t="s">
        <v>2925</v>
      </c>
      <c r="IG3" t="s">
        <v>10396</v>
      </c>
      <c r="IQ3" t="s">
        <v>4500</v>
      </c>
      <c r="JA3" t="s">
        <v>1676</v>
      </c>
      <c r="JK3" t="s">
        <v>2252</v>
      </c>
      <c r="JU3" t="s">
        <v>1669</v>
      </c>
      <c r="KE3" t="s">
        <v>9472</v>
      </c>
      <c r="KO3" t="s">
        <v>5784</v>
      </c>
      <c r="KY3" t="s">
        <v>8017</v>
      </c>
      <c r="LI3" t="s">
        <v>3453</v>
      </c>
      <c r="LS3" t="s">
        <v>10397</v>
      </c>
      <c r="MC3" t="s">
        <v>8866</v>
      </c>
      <c r="MM3" t="s">
        <v>10398</v>
      </c>
      <c r="MW3" t="s">
        <v>10399</v>
      </c>
      <c r="NG3" t="s">
        <v>10400</v>
      </c>
      <c r="NQ3" t="s">
        <v>8786</v>
      </c>
      <c r="OA3" t="s">
        <v>10401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_xll.BDS("FNBG US Equity","SUPPLY_CHAIN_SUPPLIERS","RELATIONSHIP_AS_OF_DATE","20150514")</f>
        <v>#N/A N/A</v>
      </c>
      <c r="F5" t="str">
        <f>_xll.BDS("FNBG US Equity","SUPPLY_CHAIN_CUSTOMERS","RELATIONSHIP_AS_OF_DATE","20150514")</f>
        <v>#N/A N/A</v>
      </c>
      <c r="K5" t="str">
        <f>_xll.BDS("ACBA US Equity","SUPPLY_CHAIN_SUPPLIERS","RELATIONSHIP_AS_OF_DATE","20031105")</f>
        <v>#N/A N/A</v>
      </c>
      <c r="P5" t="str">
        <f>_xll.BDS("ACBA US Equity","SUPPLY_CHAIN_CUSTOMERS","RELATIONSHIP_AS_OF_DATE","20031105")</f>
        <v>#N/A N/A</v>
      </c>
      <c r="U5" t="str">
        <f>_xll.BDS("CBBI US Equity","SUPPLY_CHAIN_SUPPLIERS","RELATIONSHIP_AS_OF_DATE","20210128")</f>
        <v>#N/A N/A</v>
      </c>
      <c r="Z5" t="str">
        <f>_xll.BDS("CBBI US Equity","SUPPLY_CHAIN_CUSTOMERS","RELATIONSHIP_AS_OF_DATE","20210128")</f>
        <v>#N/A N/A</v>
      </c>
      <c r="AE5" t="str">
        <f>_xll.BDS("544763Q US Equity","SUPPLY_CHAIN_SUPPLIERS","RELATIONSHIP_AS_OF_DATE","19991018")</f>
        <v>#N/A N/A</v>
      </c>
      <c r="AJ5" t="str">
        <f>_xll.BDS("544763Q US Equity","SUPPLY_CHAIN_CUSTOMERS","RELATIONSHIP_AS_OF_DATE","19991018")</f>
        <v>#N/A N/A</v>
      </c>
      <c r="AO5" t="str">
        <f>_xll.BDS("GECC US Equity","SUPPLY_CHAIN_SUPPLIERS","RELATIONSHIP_AS_OF_DATE","20160624")</f>
        <v>#N/A N/A</v>
      </c>
      <c r="AT5" t="str">
        <f>_xll.BDS("GECC US Equity","SUPPLY_CHAIN_CUSTOMERS","RELATIONSHIP_AS_OF_DATE","20160624")</f>
        <v>#N/A N/A</v>
      </c>
      <c r="AY5" t="str">
        <f>_xll.BDS("IFCB US Equity","SUPPLY_CHAIN_SUPPLIERS","RELATIONSHIP_AS_OF_DATE","20010531")</f>
        <v>#N/A N/A</v>
      </c>
      <c r="BD5" t="str">
        <f>_xll.BDS("IFCB US Equity","SUPPLY_CHAIN_CUSTOMERS","RELATIONSHIP_AS_OF_DATE","20010531")</f>
        <v>#N/A N/A</v>
      </c>
      <c r="BI5" t="str">
        <f>_xll.BDS("NPBC US Equity","SUPPLY_CHAIN_SUPPLIERS","RELATIONSHIP_AS_OF_DATE","20000724")</f>
        <v>#N/A N/A</v>
      </c>
      <c r="BN5" t="str">
        <f>_xll.BDS("NPBC US Equity","SUPPLY_CHAIN_CUSTOMERS","RELATIONSHIP_AS_OF_DATE","20000724")</f>
        <v>#N/A N/A</v>
      </c>
      <c r="BS5" t="str">
        <f>_xll.BDS("GBTB US Equity","SUPPLY_CHAIN_SUPPLIERS","RELATIONSHIP_AS_OF_DATE","20020131")</f>
        <v>#N/A N/A</v>
      </c>
      <c r="BX5" t="str">
        <f>_xll.BDS("GBTB US Equity","SUPPLY_CHAIN_CUSTOMERS","RELATIONSHIP_AS_OF_DATE","20020131")</f>
        <v>#N/A N/A</v>
      </c>
      <c r="CC5" t="str">
        <f>_xll.BDS("KBH US Equity","SUPPLY_CHAIN_SUPPLIERS","RELATIONSHIP_AS_OF_DATE","19980826","cols=1;rows=5")</f>
        <v>OC US Equity</v>
      </c>
      <c r="CH5" t="str">
        <f>_xll.BDS("KBH US Equity","SUPPLY_CHAIN_CUSTOMERS","RELATIONSHIP_AS_OF_DATE","19980826")</f>
        <v>#N/A N/A</v>
      </c>
      <c r="CM5" t="str">
        <f>_xll.BDS("PARR US Equity","SUPPLY_CHAIN_SUPPLIERS","RELATIONSHIP_AS_OF_DATE","20130102","cols=1;rows=3")</f>
        <v>CNR CN Equity</v>
      </c>
      <c r="CR5" t="str">
        <f>_xll.BDS("PARR US Equity","SUPPLY_CHAIN_CUSTOMERS","RELATIONSHIP_AS_OF_DATE","20130102")</f>
        <v>HE US Equity</v>
      </c>
      <c r="CW5" t="str">
        <f>_xll.BDS("GABC US Equity","SUPPLY_CHAIN_SUPPLIERS","RELATIONSHIP_AS_OF_DATE","20130723")</f>
        <v>#N/A N/A</v>
      </c>
      <c r="DB5" t="str">
        <f>_xll.BDS("GABC US Equity","SUPPLY_CHAIN_CUSTOMERS","RELATIONSHIP_AS_OF_DATE","20130723")</f>
        <v>#N/A N/A</v>
      </c>
      <c r="DG5" t="str">
        <f>_xll.BDS("GRKA US Equity","SUPPLY_CHAIN_SUPPLIERS","RELATIONSHIP_AS_OF_DATE","19981207")</f>
        <v>#N/A N/A</v>
      </c>
      <c r="DL5" t="str">
        <f>_xll.BDS("GRKA US Equity","SUPPLY_CHAIN_CUSTOMERS","RELATIONSHIP_AS_OF_DATE","19981207")</f>
        <v>#N/A N/A</v>
      </c>
      <c r="DQ5" t="str">
        <f>_xll.BDS("CVLY US Equity","SUPPLY_CHAIN_SUPPLIERS","RELATIONSHIP_AS_OF_DATE","20140722")</f>
        <v>#N/A N/A</v>
      </c>
      <c r="DV5" t="str">
        <f>_xll.BDS("CVLY US Equity","SUPPLY_CHAIN_CUSTOMERS","RELATIONSHIP_AS_OF_DATE","20140722")</f>
        <v>#N/A N/A</v>
      </c>
      <c r="EA5" t="str">
        <f>_xll.BDS("BCML US Equity","SUPPLY_CHAIN_SUPPLIERS","RELATIONSHIP_AS_OF_DATE","20191104")</f>
        <v>#N/A N/A</v>
      </c>
      <c r="EF5" t="str">
        <f>_xll.BDS("BCML US Equity","SUPPLY_CHAIN_CUSTOMERS","RELATIONSHIP_AS_OF_DATE","20191104")</f>
        <v>#N/A N/A</v>
      </c>
      <c r="EK5" t="str">
        <f>_xll.BDS("PBCA US Equity","SUPPLY_CHAIN_SUPPLIERS","RELATIONSHIP_AS_OF_DATE","20150622")</f>
        <v>#N/A N/A</v>
      </c>
      <c r="EP5" t="str">
        <f>_xll.BDS("PBCA US Equity","SUPPLY_CHAIN_CUSTOMERS","RELATIONSHIP_AS_OF_DATE","20150622")</f>
        <v>#N/A N/A</v>
      </c>
      <c r="EU5" t="str">
        <f>_xll.BDS("FELE US Equity","SUPPLY_CHAIN_SUPPLIERS","RELATIONSHIP_AS_OF_DATE","20020425","cols=1;rows=5")</f>
        <v>EGLA IM Equity</v>
      </c>
      <c r="EZ5" t="str">
        <f>_xll.BDS("FELE US Equity","SUPPLY_CHAIN_CUSTOMERS","RELATIONSHIP_AS_OF_DATE","20020425")</f>
        <v>MSM US Equity</v>
      </c>
      <c r="FE5" t="str">
        <f>_xll.BDS("CFNL US Equity","SUPPLY_CHAIN_SUPPLIERS","RELATIONSHIP_AS_OF_DATE","20000418")</f>
        <v>#N/A N/A</v>
      </c>
      <c r="FJ5" t="str">
        <f>_xll.BDS("CFNL US Equity","SUPPLY_CHAIN_CUSTOMERS","RELATIONSHIP_AS_OF_DATE","20000418")</f>
        <v>#N/A N/A</v>
      </c>
      <c r="FO5" t="str">
        <f>_xll.BDS("nan Equity","SUPPLY_CHAIN_SUPPLIERS","RELATIONSHIP_AS_OF_DATE","20220812")</f>
        <v>#N/A N/A</v>
      </c>
      <c r="FT5" t="str">
        <f>_xll.BDS("nan Equity","SUPPLY_CHAIN_CUSTOMERS","RELATIONSHIP_AS_OF_DATE","20220812")</f>
        <v>#N/A N/A</v>
      </c>
      <c r="FY5" t="str">
        <f>_xll.BDS("HBNC US Equity","SUPPLY_CHAIN_SUPPLIERS","RELATIONSHIP_AS_OF_DATE","20120210")</f>
        <v>#N/A N/A</v>
      </c>
      <c r="GD5" t="str">
        <f>_xll.BDS("HBNC US Equity","SUPPLY_CHAIN_CUSTOMERS","RELATIONSHIP_AS_OF_DATE","20120210")</f>
        <v>#N/A N/A</v>
      </c>
      <c r="GI5" t="str">
        <f>_xll.BDS("KTO US Equity","SUPPLY_CHAIN_SUPPLIERS","RELATIONSHIP_AS_OF_DATE","20031126")</f>
        <v>#N/A N/A</v>
      </c>
      <c r="GN5" t="str">
        <f>_xll.BDS("KTO US Equity","SUPPLY_CHAIN_CUSTOMERS","RELATIONSHIP_AS_OF_DATE","20031126")</f>
        <v>#N/A N/A</v>
      </c>
      <c r="GS5" t="str">
        <f>_xll.BDS("USBU US Equity","SUPPLY_CHAIN_SUPPLIERS","RELATIONSHIP_AS_OF_DATE","20020425")</f>
        <v>#N/A N/A</v>
      </c>
      <c r="GX5" t="str">
        <f>_xll.BDS("USBU US Equity","SUPPLY_CHAIN_CUSTOMERS","RELATIONSHIP_AS_OF_DATE","20020425")</f>
        <v>#N/A N/A</v>
      </c>
      <c r="HC5" t="str">
        <f>_xll.BDS("BSRR US Equity","SUPPLY_CHAIN_SUPPLIERS","RELATIONSHIP_AS_OF_DATE","20160104")</f>
        <v>#N/A N/A</v>
      </c>
      <c r="HH5" t="str">
        <f>_xll.BDS("BSRR US Equity","SUPPLY_CHAIN_CUSTOMERS","RELATIONSHIP_AS_OF_DATE","20160104")</f>
        <v>#N/A N/A</v>
      </c>
      <c r="HM5" t="str">
        <f>_xll.BDS("CKFB US Equity","SUPPLY_CHAIN_SUPPLIERS","RELATIONSHIP_AS_OF_DATE","20001215")</f>
        <v>#N/A N/A</v>
      </c>
      <c r="HR5" t="str">
        <f>_xll.BDS("CKFB US Equity","SUPPLY_CHAIN_CUSTOMERS","RELATIONSHIP_AS_OF_DATE","20001215")</f>
        <v>#N/A N/A</v>
      </c>
      <c r="HW5" t="str">
        <f>_xll.BDS("NRIM US Equity","SUPPLY_CHAIN_SUPPLIERS","RELATIONSHIP_AS_OF_DATE","20131022")</f>
        <v>#N/A N/A</v>
      </c>
      <c r="IB5" t="str">
        <f>_xll.BDS("NRIM US Equity","SUPPLY_CHAIN_CUSTOMERS","RELATIONSHIP_AS_OF_DATE","20131022")</f>
        <v>#N/A N/A</v>
      </c>
      <c r="IG5" t="str">
        <f>_xll.BDS("PRWT US Equity","SUPPLY_CHAIN_SUPPLIERS","RELATIONSHIP_AS_OF_DATE","20001017")</f>
        <v>#N/A N/A</v>
      </c>
      <c r="IL5" t="str">
        <f>_xll.BDS("PRWT US Equity","SUPPLY_CHAIN_CUSTOMERS","RELATIONSHIP_AS_OF_DATE","20001017")</f>
        <v>#N/A N/A</v>
      </c>
      <c r="IQ5" t="str">
        <f>_xll.BDS("PBNI US Equity","SUPPLY_CHAIN_SUPPLIERS","RELATIONSHIP_AS_OF_DATE","19990922")</f>
        <v>#N/A N/A</v>
      </c>
      <c r="IV5" t="str">
        <f>_xll.BDS("PBNI US Equity","SUPPLY_CHAIN_CUSTOMERS","RELATIONSHIP_AS_OF_DATE","19990922")</f>
        <v>#N/A N/A</v>
      </c>
      <c r="JA5" t="str">
        <f>_xll.BDS("FRBA US Equity","SUPPLY_CHAIN_SUPPLIERS","RELATIONSHIP_AS_OF_DATE","20171019")</f>
        <v>#N/A N/A</v>
      </c>
      <c r="JF5" t="str">
        <f>_xll.BDS("FRBA US Equity","SUPPLY_CHAIN_CUSTOMERS","RELATIONSHIP_AS_OF_DATE","20171019")</f>
        <v>#N/A N/A</v>
      </c>
      <c r="JK5" t="str">
        <f>_xll.BDS("8374857Q US Equity","SUPPLY_CHAIN_SUPPLIERS","RELATIONSHIP_AS_OF_DATE","20001019")</f>
        <v>#N/A N/A</v>
      </c>
      <c r="JP5" t="str">
        <f>_xll.BDS("8374857Q US Equity","SUPPLY_CHAIN_CUSTOMERS","RELATIONSHIP_AS_OF_DATE","20001019")</f>
        <v>#N/A N/A</v>
      </c>
      <c r="JU5" t="str">
        <f>_xll.BDS("USEG US Equity","SUPPLY_CHAIN_SUPPLIERS","RELATIONSHIP_AS_OF_DATE","20061220")</f>
        <v>#N/A N/A</v>
      </c>
      <c r="JZ5" t="str">
        <f>_xll.BDS("USEG US Equity","SUPPLY_CHAIN_CUSTOMERS","RELATIONSHIP_AS_OF_DATE","20061220","cols=1;rows=2")</f>
        <v>0406568D US Equity</v>
      </c>
      <c r="KE5" t="str">
        <f>_xll.BDS("EWBC US Equity","SUPPLY_CHAIN_SUPPLIERS","RELATIONSHIP_AS_OF_DATE","19990129")</f>
        <v>BRX US Equity</v>
      </c>
      <c r="KJ5" t="str">
        <f>_xll.BDS("EWBC US Equity","SUPPLY_CHAIN_CUSTOMERS","RELATIONSHIP_AS_OF_DATE","19990129")</f>
        <v>#N/A N/A</v>
      </c>
      <c r="KO5" t="str">
        <f>_xll.BDS("PWOD US Equity","SUPPLY_CHAIN_SUPPLIERS","RELATIONSHIP_AS_OF_DATE","19980723")</f>
        <v>#N/A N/A</v>
      </c>
      <c r="KT5" t="str">
        <f>_xll.BDS("PWOD US Equity","SUPPLY_CHAIN_CUSTOMERS","RELATIONSHIP_AS_OF_DATE","19980723")</f>
        <v>#N/A N/A</v>
      </c>
      <c r="KY5" t="str">
        <f>_xll.BDS("BWFG US Equity","SUPPLY_CHAIN_SUPPLIERS","RELATIONSHIP_AS_OF_DATE","20130614")</f>
        <v>#N/A N/A</v>
      </c>
      <c r="LD5" t="str">
        <f>_xll.BDS("BWFG US Equity","SUPPLY_CHAIN_CUSTOMERS","RELATIONSHIP_AS_OF_DATE","20130614")</f>
        <v>#N/A N/A</v>
      </c>
      <c r="LI5" t="str">
        <f>_xll.BDS("CMTY US Equity","SUPPLY_CHAIN_SUPPLIERS","RELATIONSHIP_AS_OF_DATE","20001108")</f>
        <v>#N/A N/A</v>
      </c>
      <c r="LN5" t="str">
        <f>_xll.BDS("CMTY US Equity","SUPPLY_CHAIN_CUSTOMERS","RELATIONSHIP_AS_OF_DATE","20001108")</f>
        <v>#N/A N/A</v>
      </c>
      <c r="LS5" t="str">
        <f>_xll.BDS("PCBK US Equity","SUPPLY_CHAIN_SUPPLIERS","RELATIONSHIP_AS_OF_DATE","20121023")</f>
        <v>#N/A N/A</v>
      </c>
      <c r="LX5" t="str">
        <f>_xll.BDS("PCBK US Equity","SUPPLY_CHAIN_CUSTOMERS","RELATIONSHIP_AS_OF_DATE","20121023")</f>
        <v>#N/A N/A</v>
      </c>
      <c r="MC5" t="str">
        <f>_xll.BDS("2412675D US Equity","SUPPLY_CHAIN_SUPPLIERS","RELATIONSHIP_AS_OF_DATE","19980423")</f>
        <v>#N/A N/A</v>
      </c>
      <c r="MH5" t="str">
        <f>_xll.BDS("2412675D US Equity","SUPPLY_CHAIN_CUSTOMERS","RELATIONSHIP_AS_OF_DATE","19980423")</f>
        <v>#N/A N/A</v>
      </c>
      <c r="MM5" t="str">
        <f>_xll.BDS("RDMPQ US Equity","SUPPLY_CHAIN_SUPPLIERS","RELATIONSHIP_AS_OF_DATE","20130128")</f>
        <v>#N/A N/A</v>
      </c>
      <c r="MR5" t="str">
        <f>_xll.BDS("RDMPQ US Equity","SUPPLY_CHAIN_CUSTOMERS","RELATIONSHIP_AS_OF_DATE","20130128")</f>
        <v>#N/A N/A</v>
      </c>
      <c r="MW5" t="str">
        <f>_xll.BDS("PACW US Equity","SUPPLY_CHAIN_SUPPLIERS","RELATIONSHIP_AS_OF_DATE","20010522")</f>
        <v>#N/A N/A</v>
      </c>
      <c r="NB5" t="str">
        <f>_xll.BDS("PACW US Equity","SUPPLY_CHAIN_CUSTOMERS","RELATIONSHIP_AS_OF_DATE","20010522")</f>
        <v>SNX US Equity</v>
      </c>
      <c r="NG5" t="str">
        <f>_xll.BDS("JUVF US Equity","SUPPLY_CHAIN_SUPPLIERS","RELATIONSHIP_AS_OF_DATE","20150626")</f>
        <v>#N/A N/A</v>
      </c>
      <c r="NL5" t="str">
        <f>_xll.BDS("JUVF US Equity","SUPPLY_CHAIN_CUSTOMERS","RELATIONSHIP_AS_OF_DATE","20150626")</f>
        <v>#N/A N/A</v>
      </c>
      <c r="NQ5" t="str">
        <f>_xll.BDS("CNQR US Equity","SUPPLY_CHAIN_SUPPLIERS","RELATIONSHIP_AS_OF_DATE","20020731")</f>
        <v>#N/A N/A</v>
      </c>
      <c r="NV5" t="str">
        <f>_xll.BDS("CNQR US Equity","SUPPLY_CHAIN_CUSTOMERS","RELATIONSHIP_AS_OF_DATE","20020731")</f>
        <v>#N/A N/A</v>
      </c>
      <c r="OA5" t="str">
        <f>_xll.BDS("ELA US Equity","SUPPLY_CHAIN_SUPPLIERS","RELATIONSHIP_AS_OF_DATE","20060717")</f>
        <v>#N/A N/A</v>
      </c>
      <c r="OF5" t="str">
        <f>_xll.BDS("ELA US Equity","SUPPLY_CHAIN_CUSTOMERS","RELATIONSHIP_AS_OF_DATE","20060717")</f>
        <v>#N/A N/A</v>
      </c>
    </row>
    <row r="6" spans="1:396" x14ac:dyDescent="0.25">
      <c r="CC6" t="s">
        <v>1552</v>
      </c>
      <c r="CM6" t="s">
        <v>1750</v>
      </c>
      <c r="EU6" t="s">
        <v>11013</v>
      </c>
      <c r="JZ6" t="s">
        <v>11240</v>
      </c>
    </row>
    <row r="7" spans="1:396" x14ac:dyDescent="0.25">
      <c r="CC7" t="s">
        <v>2699</v>
      </c>
      <c r="CM7" t="s">
        <v>47</v>
      </c>
      <c r="EU7" t="s">
        <v>10851</v>
      </c>
    </row>
    <row r="8" spans="1:396" x14ac:dyDescent="0.25">
      <c r="CC8" t="s">
        <v>2024</v>
      </c>
      <c r="EU8" t="s">
        <v>2111</v>
      </c>
    </row>
    <row r="9" spans="1:396" x14ac:dyDescent="0.25">
      <c r="CC9" t="s">
        <v>487</v>
      </c>
      <c r="EU9" t="s">
        <v>10696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10402</v>
      </c>
      <c r="K1" s="1" t="s">
        <v>10403</v>
      </c>
      <c r="U1" s="1" t="s">
        <v>10404</v>
      </c>
      <c r="AE1" s="1" t="s">
        <v>10405</v>
      </c>
      <c r="AO1" s="1" t="s">
        <v>10406</v>
      </c>
      <c r="AY1" s="1" t="s">
        <v>10407</v>
      </c>
      <c r="BI1" s="1" t="s">
        <v>10408</v>
      </c>
      <c r="BS1" s="1" t="s">
        <v>10409</v>
      </c>
      <c r="CC1" s="1" t="s">
        <v>10410</v>
      </c>
      <c r="CM1" s="1" t="s">
        <v>10411</v>
      </c>
      <c r="CW1" s="1" t="s">
        <v>10412</v>
      </c>
      <c r="DG1" s="1" t="s">
        <v>10413</v>
      </c>
      <c r="DQ1" s="1" t="s">
        <v>10414</v>
      </c>
      <c r="EA1" s="1" t="s">
        <v>10415</v>
      </c>
      <c r="EK1" s="1" t="s">
        <v>10416</v>
      </c>
      <c r="EU1" s="1" t="s">
        <v>10417</v>
      </c>
      <c r="FE1" s="1" t="s">
        <v>10418</v>
      </c>
      <c r="FO1" s="1" t="s">
        <v>10419</v>
      </c>
      <c r="FY1" s="1" t="s">
        <v>10420</v>
      </c>
      <c r="GI1" s="1" t="s">
        <v>10421</v>
      </c>
      <c r="GS1" s="1" t="s">
        <v>10422</v>
      </c>
      <c r="HC1" s="1" t="s">
        <v>10423</v>
      </c>
      <c r="HM1" s="1" t="s">
        <v>10424</v>
      </c>
      <c r="HW1" s="1" t="s">
        <v>10425</v>
      </c>
      <c r="IG1" s="1" t="s">
        <v>10426</v>
      </c>
      <c r="IQ1" s="1" t="s">
        <v>10427</v>
      </c>
      <c r="JA1" s="1" t="s">
        <v>10428</v>
      </c>
      <c r="JK1" s="1" t="s">
        <v>10429</v>
      </c>
      <c r="JU1" s="1" t="s">
        <v>10430</v>
      </c>
      <c r="KE1" s="1" t="s">
        <v>10431</v>
      </c>
      <c r="KO1" s="1" t="s">
        <v>10432</v>
      </c>
      <c r="KY1" s="1" t="s">
        <v>10433</v>
      </c>
      <c r="LI1" s="1" t="s">
        <v>10434</v>
      </c>
      <c r="LS1" s="1" t="s">
        <v>10435</v>
      </c>
      <c r="MC1" s="1" t="s">
        <v>10436</v>
      </c>
      <c r="MM1" s="1" t="s">
        <v>10437</v>
      </c>
      <c r="MW1" s="1" t="s">
        <v>10438</v>
      </c>
      <c r="NG1" s="1" t="s">
        <v>10439</v>
      </c>
      <c r="NQ1" s="1" t="s">
        <v>10440</v>
      </c>
      <c r="OA1" s="1" t="s">
        <v>10441</v>
      </c>
    </row>
    <row r="2" spans="1:396" x14ac:dyDescent="0.25">
      <c r="A2" s="2" t="s">
        <v>10442</v>
      </c>
      <c r="K2" s="2" t="s">
        <v>10443</v>
      </c>
      <c r="U2" s="2" t="s">
        <v>2695</v>
      </c>
      <c r="AE2" s="2" t="s">
        <v>3522</v>
      </c>
      <c r="AO2" s="2" t="s">
        <v>10444</v>
      </c>
      <c r="AY2" s="2" t="s">
        <v>2788</v>
      </c>
      <c r="BI2" s="2" t="s">
        <v>10445</v>
      </c>
      <c r="BS2" s="2" t="s">
        <v>10446</v>
      </c>
      <c r="CC2" s="2" t="s">
        <v>368</v>
      </c>
      <c r="CM2" s="2" t="s">
        <v>10447</v>
      </c>
      <c r="CW2" s="2" t="s">
        <v>10448</v>
      </c>
      <c r="DG2" s="2" t="s">
        <v>10449</v>
      </c>
      <c r="DQ2" s="2" t="s">
        <v>10450</v>
      </c>
      <c r="EA2" s="2" t="s">
        <v>9460</v>
      </c>
      <c r="EK2" s="2" t="s">
        <v>10451</v>
      </c>
      <c r="EU2" s="2" t="s">
        <v>10452</v>
      </c>
      <c r="FE2" s="2" t="s">
        <v>5495</v>
      </c>
      <c r="FO2" s="2" t="s">
        <v>10453</v>
      </c>
      <c r="FY2" s="2" t="s">
        <v>10454</v>
      </c>
      <c r="GI2" s="2" t="s">
        <v>10455</v>
      </c>
      <c r="GS2" s="2" t="s">
        <v>7211</v>
      </c>
      <c r="HC2" s="2" t="s">
        <v>1264</v>
      </c>
      <c r="HM2" s="2" t="s">
        <v>7847</v>
      </c>
      <c r="HW2" s="2" t="s">
        <v>4380</v>
      </c>
      <c r="IG2" s="2" t="s">
        <v>9683</v>
      </c>
      <c r="IQ2" s="2" t="s">
        <v>10456</v>
      </c>
      <c r="JA2" s="2" t="s">
        <v>5670</v>
      </c>
      <c r="JK2" s="2" t="s">
        <v>10457</v>
      </c>
      <c r="JU2" s="2" t="s">
        <v>10458</v>
      </c>
      <c r="KE2" s="2" t="s">
        <v>8166</v>
      </c>
      <c r="KO2" s="2" t="s">
        <v>10459</v>
      </c>
      <c r="KY2" s="2" t="s">
        <v>1753</v>
      </c>
      <c r="LI2" s="2" t="s">
        <v>10460</v>
      </c>
      <c r="LS2" s="2" t="s">
        <v>9687</v>
      </c>
      <c r="MC2" s="2" t="s">
        <v>7135</v>
      </c>
      <c r="MM2" s="2" t="s">
        <v>9083</v>
      </c>
      <c r="MW2" s="2" t="s">
        <v>10461</v>
      </c>
      <c r="NG2" s="2" t="s">
        <v>10462</v>
      </c>
      <c r="NQ2" s="2" t="s">
        <v>5495</v>
      </c>
      <c r="OA2" s="2" t="s">
        <v>10463</v>
      </c>
    </row>
    <row r="3" spans="1:396" x14ac:dyDescent="0.25">
      <c r="A3" t="s">
        <v>9031</v>
      </c>
      <c r="K3" t="s">
        <v>398</v>
      </c>
      <c r="U3" t="s">
        <v>5181</v>
      </c>
      <c r="AE3" t="s">
        <v>10464</v>
      </c>
      <c r="AO3" t="s">
        <v>8940</v>
      </c>
      <c r="AY3" t="s">
        <v>10465</v>
      </c>
      <c r="BI3" t="s">
        <v>10466</v>
      </c>
      <c r="BS3" t="s">
        <v>7069</v>
      </c>
      <c r="CC3" t="s">
        <v>2619</v>
      </c>
      <c r="CM3" t="s">
        <v>8774</v>
      </c>
      <c r="CW3" t="s">
        <v>5366</v>
      </c>
      <c r="DG3" t="s">
        <v>10467</v>
      </c>
      <c r="DQ3" t="s">
        <v>6646</v>
      </c>
      <c r="EA3" t="s">
        <v>7484</v>
      </c>
      <c r="EK3" t="s">
        <v>3887</v>
      </c>
      <c r="EU3" t="s">
        <v>821</v>
      </c>
      <c r="FE3" t="s">
        <v>5790</v>
      </c>
      <c r="FO3" t="s">
        <v>187</v>
      </c>
      <c r="FY3" t="s">
        <v>9103</v>
      </c>
      <c r="GI3" t="s">
        <v>7151</v>
      </c>
      <c r="GS3" t="s">
        <v>2719</v>
      </c>
      <c r="HC3" t="s">
        <v>6479</v>
      </c>
      <c r="HM3" t="s">
        <v>7232</v>
      </c>
      <c r="HW3" t="s">
        <v>9107</v>
      </c>
      <c r="IG3" t="s">
        <v>9544</v>
      </c>
      <c r="IQ3" t="s">
        <v>5340</v>
      </c>
      <c r="JA3" t="s">
        <v>10468</v>
      </c>
      <c r="JK3" t="s">
        <v>512</v>
      </c>
      <c r="JU3" t="s">
        <v>10469</v>
      </c>
      <c r="KE3" t="s">
        <v>10470</v>
      </c>
      <c r="KO3" t="s">
        <v>10471</v>
      </c>
      <c r="KY3" t="s">
        <v>6836</v>
      </c>
      <c r="LI3" t="s">
        <v>6739</v>
      </c>
      <c r="LS3" t="s">
        <v>2247</v>
      </c>
      <c r="MC3" t="s">
        <v>9169</v>
      </c>
      <c r="MM3" t="s">
        <v>3645</v>
      </c>
      <c r="MW3" t="s">
        <v>4500</v>
      </c>
      <c r="NG3" t="s">
        <v>10472</v>
      </c>
      <c r="NQ3" t="s">
        <v>10473</v>
      </c>
      <c r="OA3" t="s">
        <v>6252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_xll.BDS("SHPI US Equity","SUPPLY_CHAIN_SUPPLIERS","RELATIONSHIP_AS_OF_DATE","20051122")</f>
        <v>#N/A N/A</v>
      </c>
      <c r="F5" t="str">
        <f>_xll.BDS("SHPI US Equity","SUPPLY_CHAIN_CUSTOMERS","RELATIONSHIP_AS_OF_DATE","20051122")</f>
        <v>#N/A N/A</v>
      </c>
      <c r="K5" t="str">
        <f>_xll.BDS("ASFN US Equity","SUPPLY_CHAIN_SUPPLIERS","RELATIONSHIP_AS_OF_DATE","20060915")</f>
        <v>#N/A N/A</v>
      </c>
      <c r="P5" t="str">
        <f>_xll.BDS("ASFN US Equity","SUPPLY_CHAIN_CUSTOMERS","RELATIONSHIP_AS_OF_DATE","20060915")</f>
        <v>#N/A N/A</v>
      </c>
      <c r="U5" t="str">
        <f>_xll.BDS("FNFG US Equity","SUPPLY_CHAIN_SUPPLIERS","RELATIONSHIP_AS_OF_DATE","19990830")</f>
        <v>#N/A N/A</v>
      </c>
      <c r="Z5" t="str">
        <f>_xll.BDS("FNFG US Equity","SUPPLY_CHAIN_CUSTOMERS","RELATIONSHIP_AS_OF_DATE","19990830")</f>
        <v>#N/A N/A</v>
      </c>
      <c r="AE5" t="str">
        <f>_xll.BDS("DGX US Equity","SUPPLY_CHAIN_SUPPLIERS","RELATIONSHIP_AS_OF_DATE","20010426","cols=1;rows=5")</f>
        <v>PLUS US Equity</v>
      </c>
      <c r="AJ5" t="str">
        <f>_xll.BDS("DGX US Equity","SUPPLY_CHAIN_CUSTOMERS","RELATIONSHIP_AS_OF_DATE","20010426","cols=1;rows=5")</f>
        <v>950220 KS Equity</v>
      </c>
      <c r="AO5" t="str">
        <f>_xll.BDS("ENHT US Equity","SUPPLY_CHAIN_SUPPLIERS","RELATIONSHIP_AS_OF_DATE","19980128")</f>
        <v>#N/A N/A</v>
      </c>
      <c r="AT5" t="str">
        <f>_xll.BDS("ENHT US Equity","SUPPLY_CHAIN_CUSTOMERS","RELATIONSHIP_AS_OF_DATE","19980128")</f>
        <v>#N/A N/A</v>
      </c>
      <c r="AY5" t="str">
        <f>_xll.BDS("CNSL US Equity","SUPPLY_CHAIN_SUPPLIERS","RELATIONSHIP_AS_OF_DATE","20160418","cols=1;rows=5")</f>
        <v>DY US Equity</v>
      </c>
      <c r="BD5" t="str">
        <f>_xll.BDS("CNSL US Equity","SUPPLY_CHAIN_CUSTOMERS","RELATIONSHIP_AS_OF_DATE","20160418","cols=1;rows=2")</f>
        <v>SCSC US Equity</v>
      </c>
      <c r="BI5" t="str">
        <f>_xll.BDS("1878409D US Equity","SUPPLY_CHAIN_SUPPLIERS","RELATIONSHIP_AS_OF_DATE","20071107")</f>
        <v>#N/A N/A</v>
      </c>
      <c r="BN5" t="str">
        <f>_xll.BDS("1878409D US Equity","SUPPLY_CHAIN_CUSTOMERS","RELATIONSHIP_AS_OF_DATE","20071107")</f>
        <v>#N/A N/A</v>
      </c>
      <c r="BS5" t="str">
        <f>_xll.BDS("FOFN US Equity","SUPPLY_CHAIN_SUPPLIERS","RELATIONSHIP_AS_OF_DATE","20071211")</f>
        <v>#N/A N/A</v>
      </c>
      <c r="BX5" t="str">
        <f>_xll.BDS("FOFN US Equity","SUPPLY_CHAIN_CUSTOMERS","RELATIONSHIP_AS_OF_DATE","20071211")</f>
        <v>#N/A N/A</v>
      </c>
      <c r="CC5" t="str">
        <f>_xll.BDS("JNJ US Equity","SUPPLY_CHAIN_SUPPLIERS","RELATIONSHIP_AS_OF_DATE","19981005","cols=1;rows=5")</f>
        <v>GMAB DC Equity</v>
      </c>
      <c r="CH5" t="str">
        <f>_xll.BDS("JNJ US Equity","SUPPLY_CHAIN_CUSTOMERS","RELATIONSHIP_AS_OF_DATE","19981005","cols=1;rows=5")</f>
        <v>MCK US Equity</v>
      </c>
      <c r="CM5" t="str">
        <f>_xll.BDS("SBFG US Equity","SUPPLY_CHAIN_SUPPLIERS","RELATIONSHIP_AS_OF_DATE","20050413")</f>
        <v>#N/A N/A</v>
      </c>
      <c r="CR5" t="str">
        <f>_xll.BDS("SBFG US Equity","SUPPLY_CHAIN_CUSTOMERS","RELATIONSHIP_AS_OF_DATE","20050413")</f>
        <v>#N/A N/A</v>
      </c>
      <c r="CW5" t="str">
        <f>_xll.BDS("GORXQ US Equity","SUPPLY_CHAIN_SUPPLIERS","RELATIONSHIP_AS_OF_DATE","20070515")</f>
        <v>#N/A N/A</v>
      </c>
      <c r="DB5" t="str">
        <f>_xll.BDS("GORXQ US Equity","SUPPLY_CHAIN_CUSTOMERS","RELATIONSHIP_AS_OF_DATE","20070515")</f>
        <v>#N/A N/A</v>
      </c>
      <c r="DG5" t="str">
        <f>_xll.BDS("2592980D US Equity","SUPPLY_CHAIN_SUPPLIERS","RELATIONSHIP_AS_OF_DATE","20190703")</f>
        <v>#N/A N/A</v>
      </c>
      <c r="DL5" t="str">
        <f>_xll.BDS("2592980D US Equity","SUPPLY_CHAIN_CUSTOMERS","RELATIONSHIP_AS_OF_DATE","20190703")</f>
        <v>#N/A N/A</v>
      </c>
      <c r="DQ5" t="str">
        <f>_xll.BDS("TODDA US Equity","SUPPLY_CHAIN_SUPPLIERS","RELATIONSHIP_AS_OF_DATE","19990610")</f>
        <v>#N/A N/A</v>
      </c>
      <c r="DV5" t="str">
        <f>_xll.BDS("TODDA US Equity","SUPPLY_CHAIN_CUSTOMERS","RELATIONSHIP_AS_OF_DATE","19990610")</f>
        <v>#N/A N/A</v>
      </c>
      <c r="EA5" t="str">
        <f>_xll.BDS("1413542D US Equity","SUPPLY_CHAIN_SUPPLIERS","RELATIONSHIP_AS_OF_DATE","20040326")</f>
        <v>#N/A N/A</v>
      </c>
      <c r="EF5" t="str">
        <f>_xll.BDS("1413542D US Equity","SUPPLY_CHAIN_CUSTOMERS","RELATIONSHIP_AS_OF_DATE","20040326")</f>
        <v>#N/A N/A</v>
      </c>
      <c r="EK5" t="str">
        <f>_xll.BDS("SEELQ US Equity","SUPPLY_CHAIN_SUPPLIERS","RELATIONSHIP_AS_OF_DATE","20091123","cols=1;rows=5")</f>
        <v>0360489Z US Equity</v>
      </c>
      <c r="EP5" t="str">
        <f>_xll.BDS("SEELQ US Equity","SUPPLY_CHAIN_CUSTOMERS","RELATIONSHIP_AS_OF_DATE","20091123")</f>
        <v>#N/A N/A</v>
      </c>
      <c r="EU5" t="str">
        <f>_xll.BDS("CCLD US Equity","SUPPLY_CHAIN_SUPPLIERS","RELATIONSHIP_AS_OF_DATE","20180507","cols=1;rows=2")</f>
        <v>88216Z US Equity</v>
      </c>
      <c r="EZ5" t="str">
        <f>_xll.BDS("CCLD US Equity","SUPPLY_CHAIN_CUSTOMERS","RELATIONSHIP_AS_OF_DATE","20180507","cols=1;rows=5")</f>
        <v>0891501D US Equity</v>
      </c>
      <c r="FE5" t="str">
        <f>_xll.BDS("PEBO US Equity","SUPPLY_CHAIN_SUPPLIERS","RELATIONSHIP_AS_OF_DATE","20140121")</f>
        <v>#N/A N/A</v>
      </c>
      <c r="FJ5" t="str">
        <f>_xll.BDS("PEBO US Equity","SUPPLY_CHAIN_CUSTOMERS","RELATIONSHIP_AS_OF_DATE","20140121")</f>
        <v>#N/A N/A</v>
      </c>
      <c r="FO5" t="str">
        <f>_xll.BDS("862395Q GR Equity","SUPPLY_CHAIN_SUPPLIERS","RELATIONSHIP_AS_OF_DATE","20000118")</f>
        <v>#N/A N/A</v>
      </c>
      <c r="FT5" t="str">
        <f>_xll.BDS("862395Q GR Equity","SUPPLY_CHAIN_CUSTOMERS","RELATIONSHIP_AS_OF_DATE","20000118")</f>
        <v>#N/A N/A</v>
      </c>
      <c r="FY5" t="str">
        <f>_xll.BDS("WTT US Equity","SUPPLY_CHAIN_SUPPLIERS","RELATIONSHIP_AS_OF_DATE","20000303","cols=1;rows=2")</f>
        <v>FE US Equity</v>
      </c>
      <c r="GD5" t="str">
        <f>_xll.BDS("WTT US Equity","SUPPLY_CHAIN_CUSTOMERS","RELATIONSHIP_AS_OF_DATE","20000303","cols=1;rows=2")</f>
        <v>0219682Z US Equity</v>
      </c>
      <c r="GI5" t="str">
        <f>_xll.BDS("DYNE US Equity","SUPPLY_CHAIN_SUPPLIERS","RELATIONSHIP_AS_OF_DATE","20000120")</f>
        <v>#N/A N/A</v>
      </c>
      <c r="GN5" t="str">
        <f>_xll.BDS("DYNE US Equity","SUPPLY_CHAIN_CUSTOMERS","RELATIONSHIP_AS_OF_DATE","20000120")</f>
        <v>#N/A N/A</v>
      </c>
      <c r="GS5" t="str">
        <f>_xll.BDS("LBAI US Equity","SUPPLY_CHAIN_SUPPLIERS","RELATIONSHIP_AS_OF_DATE","20150804")</f>
        <v>#N/A N/A</v>
      </c>
      <c r="GX5" t="str">
        <f>_xll.BDS("LBAI US Equity","SUPPLY_CHAIN_CUSTOMERS","RELATIONSHIP_AS_OF_DATE","20150804")</f>
        <v>#N/A N/A</v>
      </c>
      <c r="HC5" t="str">
        <f>_xll.BDS("ATBA AV Equity","SUPPLY_CHAIN_SUPPLIERS","RELATIONSHIP_AS_OF_DATE","20010628","cols=1;rows=5")</f>
        <v>000676 CH Equity</v>
      </c>
      <c r="HH5" t="str">
        <f>_xll.BDS("ATBA AV Equity","SUPPLY_CHAIN_CUSTOMERS","RELATIONSHIP_AS_OF_DATE","20010628","cols=1;rows=5")</f>
        <v>066570 KS Equity</v>
      </c>
      <c r="HM5" t="str">
        <f>_xll.BDS("696119Q US Equity","SUPPLY_CHAIN_SUPPLIERS","RELATIONSHIP_AS_OF_DATE","19990524")</f>
        <v>#N/A N/A</v>
      </c>
      <c r="HR5" t="str">
        <f>_xll.BDS("696119Q US Equity","SUPPLY_CHAIN_CUSTOMERS","RELATIONSHIP_AS_OF_DATE","19990524")</f>
        <v>#N/A N/A</v>
      </c>
      <c r="HW5" t="str">
        <f>_xll.BDS("UCB US Equity","SUPPLY_CHAIN_SUPPLIERS","RELATIONSHIP_AS_OF_DATE","20040804")</f>
        <v>3764228Z US Equity</v>
      </c>
      <c r="IB5" t="str">
        <f>_xll.BDS("UCB US Equity","SUPPLY_CHAIN_CUSTOMERS","RELATIONSHIP_AS_OF_DATE","20040804")</f>
        <v>#N/A N/A</v>
      </c>
      <c r="IG5" t="str">
        <f>_xll.BDS("CWBC US Equity","SUPPLY_CHAIN_SUPPLIERS","RELATIONSHIP_AS_OF_DATE","20040719")</f>
        <v>#N/A N/A</v>
      </c>
      <c r="IL5" t="str">
        <f>_xll.BDS("CWBC US Equity","SUPPLY_CHAIN_CUSTOMERS","RELATIONSHIP_AS_OF_DATE","20040719")</f>
        <v>#N/A N/A</v>
      </c>
      <c r="IQ5" t="str">
        <f>_xll.BDS("LJPC US Equity","SUPPLY_CHAIN_SUPPLIERS","RELATIONSHIP_AS_OF_DATE","20200624")</f>
        <v>#N/A N/A</v>
      </c>
      <c r="IV5" t="str">
        <f>_xll.BDS("LJPC US Equity","SUPPLY_CHAIN_CUSTOMERS","RELATIONSHIP_AS_OF_DATE","20200624")</f>
        <v>PA8 GR Equity</v>
      </c>
      <c r="JA5" t="str">
        <f>_xll.BDS("GHC US Equity","SUPPLY_CHAIN_SUPPLIERS","RELATIONSHIP_AS_OF_DATE","20151022","cols=1;rows=5")</f>
        <v>000270 KS Equity</v>
      </c>
      <c r="JF5" t="str">
        <f>_xll.BDS("GHC US Equity","SUPPLY_CHAIN_CUSTOMERS","RELATIONSHIP_AS_OF_DATE","20151022","cols=1;rows=4")</f>
        <v>9877893Z US Equity</v>
      </c>
      <c r="JK5" t="str">
        <f>_xll.BDS("MGAM US Equity","SUPPLY_CHAIN_SUPPLIERS","RELATIONSHIP_AS_OF_DATE","20140430")</f>
        <v>#N/A N/A</v>
      </c>
      <c r="JP5" t="str">
        <f>_xll.BDS("MGAM US Equity","SUPPLY_CHAIN_CUSTOMERS","RELATIONSHIP_AS_OF_DATE","20140430")</f>
        <v>#N/A N/A</v>
      </c>
      <c r="JU5" t="str">
        <f>_xll.BDS("1638692D US Equity","SUPPLY_CHAIN_SUPPLIERS","RELATIONSHIP_AS_OF_DATE","20090609")</f>
        <v>#N/A N/A</v>
      </c>
      <c r="JZ5" t="str">
        <f>_xll.BDS("1638692D US Equity","SUPPLY_CHAIN_CUSTOMERS","RELATIONSHIP_AS_OF_DATE","20090609")</f>
        <v>#N/A N/A</v>
      </c>
      <c r="KE5" t="str">
        <f>_xll.BDS("QVDX US Equity","SUPPLY_CHAIN_SUPPLIERS","RELATIONSHIP_AS_OF_DATE","20030814")</f>
        <v>#N/A N/A</v>
      </c>
      <c r="KJ5" t="str">
        <f>_xll.BDS("QVDX US Equity","SUPPLY_CHAIN_CUSTOMERS","RELATIONSHIP_AS_OF_DATE","20030814")</f>
        <v>#N/A N/A</v>
      </c>
      <c r="KO5" t="str">
        <f>_xll.BDS("ALNT US Equity","SUPPLY_CHAIN_SUPPLIERS","RELATIONSHIP_AS_OF_DATE","20040210","cols=1;rows=5")</f>
        <v>AEP US Equity</v>
      </c>
      <c r="KT5" t="str">
        <f>_xll.BDS("ALNT US Equity","SUPPLY_CHAIN_CUSTOMERS","RELATIONSHIP_AS_OF_DATE","20040210")</f>
        <v>WCC US Equity</v>
      </c>
      <c r="KY5" t="str">
        <f>_xll.BDS("IEP US Equity","SUPPLY_CHAIN_SUPPLIERS","RELATIONSHIP_AS_OF_DATE","20071116","cols=1;rows=5")</f>
        <v>SMP US Equity</v>
      </c>
      <c r="LD5" t="str">
        <f>_xll.BDS("IEP US Equity","SUPPLY_CHAIN_CUSTOMERS","RELATIONSHIP_AS_OF_DATE","20071116","cols=1;rows=2")</f>
        <v>FMGI IN Equity</v>
      </c>
      <c r="LI5" t="str">
        <f>_xll.BDS("PFSL US Equity","SUPPLY_CHAIN_SUPPLIERS","RELATIONSHIP_AS_OF_DATE","20011120")</f>
        <v>#N/A N/A</v>
      </c>
      <c r="LN5" t="str">
        <f>_xll.BDS("PFSL US Equity","SUPPLY_CHAIN_CUSTOMERS","RELATIONSHIP_AS_OF_DATE","20011120")</f>
        <v>#N/A N/A</v>
      </c>
      <c r="LS5" t="str">
        <f>_xll.BDS("BZBC US Equity","SUPPLY_CHAIN_SUPPLIERS","RELATIONSHIP_AS_OF_DATE","20000405")</f>
        <v>#N/A N/A</v>
      </c>
      <c r="LX5" t="str">
        <f>_xll.BDS("BZBC US Equity","SUPPLY_CHAIN_CUSTOMERS","RELATIONSHIP_AS_OF_DATE","20000405")</f>
        <v>#N/A N/A</v>
      </c>
      <c r="MC5" t="str">
        <f>_xll.BDS("0700734D US Equity","SUPPLY_CHAIN_SUPPLIERS","RELATIONSHIP_AS_OF_DATE","19990312")</f>
        <v>#N/A N/A</v>
      </c>
      <c r="MH5" t="str">
        <f>_xll.BDS("0700734D US Equity","SUPPLY_CHAIN_CUSTOMERS","RELATIONSHIP_AS_OF_DATE","19990312")</f>
        <v>#N/A N/A</v>
      </c>
      <c r="MM5" t="str">
        <f>_xll.BDS("375689Q US Equity","SUPPLY_CHAIN_SUPPLIERS","RELATIONSHIP_AS_OF_DATE","19990518")</f>
        <v>#N/A N/A</v>
      </c>
      <c r="MR5" t="str">
        <f>_xll.BDS("375689Q US Equity","SUPPLY_CHAIN_CUSTOMERS","RELATIONSHIP_AS_OF_DATE","19990518")</f>
        <v>#N/A N/A</v>
      </c>
      <c r="MW5" t="str">
        <f>_xll.BDS("ANGQC US Equity","SUPPLY_CHAIN_SUPPLIERS","RELATIONSHIP_AS_OF_DATE","19990922")</f>
        <v>#N/A N/A</v>
      </c>
      <c r="NB5" t="str">
        <f>_xll.BDS("ANGQC US Equity","SUPPLY_CHAIN_CUSTOMERS","RELATIONSHIP_AS_OF_DATE","19990922")</f>
        <v>#N/A N/A</v>
      </c>
      <c r="NG5" t="str">
        <f>_xll.BDS("EPEXQ US Equity","SUPPLY_CHAIN_SUPPLIERS","RELATIONSHIP_AS_OF_DATE","20030529")</f>
        <v>#N/A N/A</v>
      </c>
      <c r="NL5" t="str">
        <f>_xll.BDS("EPEXQ US Equity","SUPPLY_CHAIN_CUSTOMERS","RELATIONSHIP_AS_OF_DATE","20030529")</f>
        <v>#N/A N/A</v>
      </c>
      <c r="NQ5" t="str">
        <f>_xll.BDS("PEBO US Equity","SUPPLY_CHAIN_SUPPLIERS","RELATIONSHIP_AS_OF_DATE","20120605")</f>
        <v>#N/A N/A</v>
      </c>
      <c r="NV5" t="str">
        <f>_xll.BDS("PEBO US Equity","SUPPLY_CHAIN_CUSTOMERS","RELATIONSHIP_AS_OF_DATE","20120605")</f>
        <v>#N/A N/A</v>
      </c>
      <c r="OA5" t="str">
        <f>_xll.BDS("ALLP US Equity","SUPPLY_CHAIN_SUPPLIERS","RELATIONSHIP_AS_OF_DATE","20001012")</f>
        <v>#N/A N/A</v>
      </c>
      <c r="OF5" t="str">
        <f>_xll.BDS("ALLP US Equity","SUPPLY_CHAIN_CUSTOMERS","RELATIONSHIP_AS_OF_DATE","20001012")</f>
        <v>#N/A N/A</v>
      </c>
    </row>
    <row r="6" spans="1:396" x14ac:dyDescent="0.25">
      <c r="AE6" t="s">
        <v>10829</v>
      </c>
      <c r="AJ6" t="s">
        <v>10753</v>
      </c>
      <c r="AY6" t="s">
        <v>3955</v>
      </c>
      <c r="BD6" t="s">
        <v>11113</v>
      </c>
      <c r="CC6" t="s">
        <v>10735</v>
      </c>
      <c r="CH6" t="s">
        <v>1468</v>
      </c>
      <c r="EK6" t="s">
        <v>10692</v>
      </c>
      <c r="EU6" t="s">
        <v>2705</v>
      </c>
      <c r="EZ6" t="s">
        <v>11003</v>
      </c>
      <c r="FY6" t="s">
        <v>1263</v>
      </c>
      <c r="GD6" t="s">
        <v>10657</v>
      </c>
      <c r="HC6" t="s">
        <v>11224</v>
      </c>
      <c r="HH6" t="s">
        <v>11195</v>
      </c>
      <c r="JA6" t="s">
        <v>10915</v>
      </c>
      <c r="JF6" t="s">
        <v>10869</v>
      </c>
      <c r="KO6" t="s">
        <v>1265</v>
      </c>
      <c r="KY6" t="s">
        <v>10873</v>
      </c>
      <c r="LD6" t="s">
        <v>10812</v>
      </c>
    </row>
    <row r="7" spans="1:396" x14ac:dyDescent="0.25">
      <c r="AE7" t="s">
        <v>10830</v>
      </c>
      <c r="AJ7" t="s">
        <v>10754</v>
      </c>
      <c r="AY7" t="s">
        <v>3712</v>
      </c>
      <c r="CC7" t="s">
        <v>45</v>
      </c>
      <c r="CH7" t="s">
        <v>970</v>
      </c>
      <c r="EK7" t="s">
        <v>45</v>
      </c>
      <c r="EZ7" t="s">
        <v>11004</v>
      </c>
      <c r="HC7" t="s">
        <v>11225</v>
      </c>
      <c r="HH7" t="s">
        <v>11196</v>
      </c>
      <c r="JA7" t="s">
        <v>10916</v>
      </c>
      <c r="JF7" t="s">
        <v>10870</v>
      </c>
      <c r="KO7" t="s">
        <v>10697</v>
      </c>
      <c r="KY7" t="s">
        <v>10874</v>
      </c>
    </row>
    <row r="8" spans="1:396" x14ac:dyDescent="0.25">
      <c r="AE8" t="s">
        <v>10831</v>
      </c>
      <c r="AJ8" t="s">
        <v>10755</v>
      </c>
      <c r="AY8" t="s">
        <v>11139</v>
      </c>
      <c r="CC8" t="s">
        <v>3437</v>
      </c>
      <c r="CH8" t="s">
        <v>51</v>
      </c>
      <c r="EK8" t="s">
        <v>10693</v>
      </c>
      <c r="EZ8" t="s">
        <v>11005</v>
      </c>
      <c r="HC8" t="s">
        <v>11226</v>
      </c>
      <c r="HH8" t="s">
        <v>11197</v>
      </c>
      <c r="JA8" t="s">
        <v>10917</v>
      </c>
      <c r="JF8" t="s">
        <v>10871</v>
      </c>
      <c r="KO8" t="s">
        <v>6710</v>
      </c>
      <c r="KY8" t="s">
        <v>10875</v>
      </c>
    </row>
    <row r="9" spans="1:396" x14ac:dyDescent="0.25">
      <c r="AE9" t="s">
        <v>10832</v>
      </c>
      <c r="AJ9" t="s">
        <v>10756</v>
      </c>
      <c r="AY9" t="s">
        <v>11140</v>
      </c>
      <c r="CC9" t="s">
        <v>11012</v>
      </c>
      <c r="CH9" t="s">
        <v>10944</v>
      </c>
      <c r="EK9" t="s">
        <v>5074</v>
      </c>
      <c r="EZ9" t="s">
        <v>11006</v>
      </c>
      <c r="HC9" t="s">
        <v>11227</v>
      </c>
      <c r="HH9" t="s">
        <v>11198</v>
      </c>
      <c r="JA9" t="s">
        <v>10696</v>
      </c>
      <c r="KO9" t="s">
        <v>572</v>
      </c>
      <c r="KY9" t="s">
        <v>10876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OF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  <col min="391" max="399" width="16" customWidth="1"/>
    <col min="400" max="400" width="3" customWidth="1"/>
  </cols>
  <sheetData>
    <row r="1" spans="1:396" x14ac:dyDescent="0.25">
      <c r="A1" s="1" t="s">
        <v>10474</v>
      </c>
      <c r="K1" s="1" t="s">
        <v>10475</v>
      </c>
      <c r="U1" s="1" t="s">
        <v>10476</v>
      </c>
      <c r="AE1" s="1" t="s">
        <v>10477</v>
      </c>
      <c r="AO1" s="1" t="s">
        <v>10478</v>
      </c>
      <c r="AY1" s="1" t="s">
        <v>10479</v>
      </c>
      <c r="BI1" s="1" t="s">
        <v>10480</v>
      </c>
      <c r="BS1" s="1" t="s">
        <v>10481</v>
      </c>
      <c r="CC1" s="1" t="s">
        <v>10482</v>
      </c>
      <c r="CM1" s="1" t="s">
        <v>10483</v>
      </c>
      <c r="CW1" s="1" t="s">
        <v>10484</v>
      </c>
      <c r="DG1" s="1" t="s">
        <v>10485</v>
      </c>
      <c r="DQ1" s="1" t="s">
        <v>10486</v>
      </c>
      <c r="EA1" s="1" t="s">
        <v>10487</v>
      </c>
      <c r="EK1" s="1" t="s">
        <v>10488</v>
      </c>
      <c r="EU1" s="1" t="s">
        <v>10489</v>
      </c>
      <c r="FE1" s="1" t="s">
        <v>10490</v>
      </c>
      <c r="FO1" s="1" t="s">
        <v>10491</v>
      </c>
      <c r="FY1" s="1" t="s">
        <v>10492</v>
      </c>
      <c r="GI1" s="1" t="s">
        <v>10493</v>
      </c>
      <c r="GS1" s="1" t="s">
        <v>10494</v>
      </c>
      <c r="HC1" s="1" t="s">
        <v>10495</v>
      </c>
      <c r="HM1" s="1" t="s">
        <v>10496</v>
      </c>
      <c r="HW1" s="1" t="s">
        <v>10497</v>
      </c>
      <c r="IG1" s="1" t="s">
        <v>10498</v>
      </c>
      <c r="IQ1" s="1" t="s">
        <v>10499</v>
      </c>
      <c r="JA1" s="1" t="s">
        <v>10500</v>
      </c>
      <c r="JK1" s="1" t="s">
        <v>10501</v>
      </c>
      <c r="JU1" s="1" t="s">
        <v>10502</v>
      </c>
      <c r="KE1" s="1" t="s">
        <v>10503</v>
      </c>
      <c r="KO1" s="1" t="s">
        <v>10504</v>
      </c>
      <c r="KY1" s="1" t="s">
        <v>10505</v>
      </c>
      <c r="LI1" s="1" t="s">
        <v>10506</v>
      </c>
      <c r="LS1" s="1" t="s">
        <v>10507</v>
      </c>
      <c r="MC1" s="1" t="s">
        <v>10508</v>
      </c>
      <c r="MM1" s="1" t="s">
        <v>10509</v>
      </c>
      <c r="MW1" s="1" t="s">
        <v>10510</v>
      </c>
      <c r="NG1" s="1" t="s">
        <v>10511</v>
      </c>
      <c r="NQ1" s="1" t="s">
        <v>10512</v>
      </c>
      <c r="OA1" s="1" t="s">
        <v>10513</v>
      </c>
    </row>
    <row r="2" spans="1:396" x14ac:dyDescent="0.25">
      <c r="A2" s="2" t="s">
        <v>6731</v>
      </c>
      <c r="K2" s="2" t="s">
        <v>10514</v>
      </c>
      <c r="U2" s="2" t="s">
        <v>10515</v>
      </c>
      <c r="AE2" s="2" t="s">
        <v>44</v>
      </c>
      <c r="AO2" s="2" t="s">
        <v>10516</v>
      </c>
      <c r="AY2" s="2" t="s">
        <v>10517</v>
      </c>
      <c r="BI2" s="2" t="s">
        <v>5241</v>
      </c>
      <c r="BS2" s="2" t="s">
        <v>10518</v>
      </c>
      <c r="CC2" s="2" t="s">
        <v>6732</v>
      </c>
      <c r="CM2" s="2" t="s">
        <v>10519</v>
      </c>
      <c r="CW2" s="2" t="s">
        <v>9385</v>
      </c>
      <c r="DG2" s="2" t="s">
        <v>8829</v>
      </c>
      <c r="DQ2" s="2" t="s">
        <v>10520</v>
      </c>
      <c r="EA2" s="2" t="s">
        <v>2027</v>
      </c>
      <c r="EK2" s="2" t="s">
        <v>10521</v>
      </c>
      <c r="EU2" s="2" t="s">
        <v>2124</v>
      </c>
      <c r="FE2" s="2" t="s">
        <v>10522</v>
      </c>
      <c r="FO2" s="2" t="s">
        <v>9455</v>
      </c>
      <c r="FY2" s="2" t="s">
        <v>8614</v>
      </c>
      <c r="GI2" s="2" t="s">
        <v>10523</v>
      </c>
      <c r="GS2" s="2" t="s">
        <v>10524</v>
      </c>
      <c r="HC2" s="2" t="s">
        <v>10154</v>
      </c>
      <c r="HM2" s="2" t="s">
        <v>7835</v>
      </c>
      <c r="HW2" s="2" t="s">
        <v>10525</v>
      </c>
      <c r="IG2" s="2" t="s">
        <v>8916</v>
      </c>
      <c r="IQ2" s="2" t="s">
        <v>1929</v>
      </c>
      <c r="JA2" s="2" t="s">
        <v>6399</v>
      </c>
      <c r="JK2" s="2" t="s">
        <v>10516</v>
      </c>
      <c r="JU2" s="2" t="s">
        <v>10526</v>
      </c>
      <c r="KE2" s="2" t="s">
        <v>7460</v>
      </c>
      <c r="KO2" s="2" t="s">
        <v>10527</v>
      </c>
      <c r="KY2" s="2" t="s">
        <v>10528</v>
      </c>
      <c r="LI2" s="2" t="s">
        <v>10529</v>
      </c>
      <c r="LS2" s="2" t="s">
        <v>10364</v>
      </c>
      <c r="MC2" s="2" t="s">
        <v>3160</v>
      </c>
      <c r="MM2" s="2" t="s">
        <v>10530</v>
      </c>
      <c r="MW2" s="2" t="s">
        <v>10531</v>
      </c>
      <c r="NG2" s="2" t="s">
        <v>10532</v>
      </c>
      <c r="NQ2" s="2" t="s">
        <v>1078</v>
      </c>
      <c r="OA2" s="2" t="s">
        <v>9375</v>
      </c>
    </row>
    <row r="3" spans="1:396" x14ac:dyDescent="0.25">
      <c r="A3" t="s">
        <v>8778</v>
      </c>
      <c r="K3" t="s">
        <v>10533</v>
      </c>
      <c r="U3" t="s">
        <v>10534</v>
      </c>
      <c r="AE3" t="s">
        <v>10535</v>
      </c>
      <c r="AO3" t="s">
        <v>5258</v>
      </c>
      <c r="AY3" t="s">
        <v>8542</v>
      </c>
      <c r="BI3" t="s">
        <v>9314</v>
      </c>
      <c r="BS3" t="s">
        <v>8856</v>
      </c>
      <c r="CC3" t="s">
        <v>8707</v>
      </c>
      <c r="CM3" t="s">
        <v>1852</v>
      </c>
      <c r="CW3" t="s">
        <v>6925</v>
      </c>
      <c r="DG3" t="s">
        <v>10536</v>
      </c>
      <c r="DQ3" t="s">
        <v>1590</v>
      </c>
      <c r="EA3" t="s">
        <v>7859</v>
      </c>
      <c r="EK3" t="s">
        <v>9012</v>
      </c>
      <c r="EU3" t="s">
        <v>10537</v>
      </c>
      <c r="FE3" t="s">
        <v>1680</v>
      </c>
      <c r="FO3" t="s">
        <v>9540</v>
      </c>
      <c r="FY3" t="s">
        <v>3099</v>
      </c>
      <c r="GI3" t="s">
        <v>10538</v>
      </c>
      <c r="GS3" t="s">
        <v>10539</v>
      </c>
      <c r="HC3" t="s">
        <v>10540</v>
      </c>
      <c r="HM3" t="s">
        <v>10541</v>
      </c>
      <c r="HW3" t="s">
        <v>10542</v>
      </c>
      <c r="IG3" t="s">
        <v>10543</v>
      </c>
      <c r="IQ3" t="s">
        <v>10544</v>
      </c>
      <c r="JA3" t="s">
        <v>8861</v>
      </c>
      <c r="JK3" t="s">
        <v>3891</v>
      </c>
      <c r="JU3" t="s">
        <v>187</v>
      </c>
      <c r="KE3" t="s">
        <v>5855</v>
      </c>
      <c r="KO3" t="s">
        <v>10545</v>
      </c>
      <c r="KY3" t="s">
        <v>10546</v>
      </c>
      <c r="LI3" t="s">
        <v>10547</v>
      </c>
      <c r="LS3" t="s">
        <v>10548</v>
      </c>
      <c r="MC3" t="s">
        <v>8322</v>
      </c>
      <c r="MM3" t="s">
        <v>9239</v>
      </c>
      <c r="MW3" t="s">
        <v>10549</v>
      </c>
      <c r="NG3" t="s">
        <v>3279</v>
      </c>
      <c r="NQ3" t="s">
        <v>9633</v>
      </c>
      <c r="OA3" t="s">
        <v>4235</v>
      </c>
    </row>
    <row r="4" spans="1:39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  <c r="OA4" s="3" t="s">
        <v>112</v>
      </c>
      <c r="OF4" s="3" t="s">
        <v>113</v>
      </c>
    </row>
    <row r="5" spans="1:396" x14ac:dyDescent="0.25">
      <c r="A5" t="str">
        <f>_xll.BDS("EFII US Equity","SUPPLY_CHAIN_SUPPLIERS","RELATIONSHIP_AS_OF_DATE","20030903","cols=1;rows=5")</f>
        <v>AQN CN Equity</v>
      </c>
      <c r="F5" t="str">
        <f>_xll.BDS("EFII US Equity","SUPPLY_CHAIN_CUSTOMERS","RELATIONSHIP_AS_OF_DATE","20030903")</f>
        <v>#N/A N/A</v>
      </c>
      <c r="K5" t="str">
        <f>_xll.BDS("AIII US Equity","SUPPLY_CHAIN_SUPPLIERS","RELATIONSHIP_AS_OF_DATE","20150130")</f>
        <v>#N/A N/A</v>
      </c>
      <c r="P5" t="str">
        <f>_xll.BDS("AIII US Equity","SUPPLY_CHAIN_CUSTOMERS","RELATIONSHIP_AS_OF_DATE","20150130")</f>
        <v>#N/A N/A</v>
      </c>
      <c r="U5" t="str">
        <f>_xll.BDS("MJCO US Equity","SUPPLY_CHAIN_SUPPLIERS","RELATIONSHIP_AS_OF_DATE","20200130")</f>
        <v>1286084D US Equity</v>
      </c>
      <c r="Z5" t="str">
        <f>_xll.BDS("MJCO US Equity","SUPPLY_CHAIN_CUSTOMERS","RELATIONSHIP_AS_OF_DATE","20200130","cols=1;rows=4")</f>
        <v>10755Z US Equity</v>
      </c>
      <c r="AE5" t="str">
        <f>_xll.BDS("PFE US Equity","SUPPLY_CHAIN_SUPPLIERS","RELATIONSHIP_AS_OF_DATE","20160701","cols=1;rows=5")</f>
        <v>BNTX US Equity</v>
      </c>
      <c r="AJ5" t="str">
        <f>_xll.BDS("PFE US Equity","SUPPLY_CHAIN_CUSTOMERS","RELATIONSHIP_AS_OF_DATE","20160701","cols=1;rows=5")</f>
        <v>MCK US Equity</v>
      </c>
      <c r="AO5" t="str">
        <f>_xll.BDS("ONFC US Equity","SUPPLY_CHAIN_SUPPLIERS","RELATIONSHIP_AS_OF_DATE","20011121")</f>
        <v>#N/A N/A</v>
      </c>
      <c r="AT5" t="str">
        <f>_xll.BDS("ONFC US Equity","SUPPLY_CHAIN_CUSTOMERS","RELATIONSHIP_AS_OF_DATE","20011121")</f>
        <v>#N/A N/A</v>
      </c>
      <c r="AY5" t="str">
        <f>_xll.BDS("VERD US Equity","SUPPLY_CHAIN_SUPPLIERS","RELATIONSHIP_AS_OF_DATE","19980714")</f>
        <v>#N/A N/A</v>
      </c>
      <c r="BD5" t="str">
        <f>_xll.BDS("VERD US Equity","SUPPLY_CHAIN_CUSTOMERS","RELATIONSHIP_AS_OF_DATE","19980714")</f>
        <v>#N/A N/A</v>
      </c>
      <c r="BI5" t="str">
        <f>_xll.BDS("TSA US Equity","SUPPLY_CHAIN_SUPPLIERS","RELATIONSHIP_AS_OF_DATE","19980109")</f>
        <v>#N/A N/A</v>
      </c>
      <c r="BN5" t="str">
        <f>_xll.BDS("TSA US Equity","SUPPLY_CHAIN_CUSTOMERS","RELATIONSHIP_AS_OF_DATE","19980109")</f>
        <v>#N/A N/A</v>
      </c>
      <c r="BS5" t="str">
        <f>_xll.BDS("TUTR US Equity","SUPPLY_CHAIN_SUPPLIERS","RELATIONSHIP_AS_OF_DATE","20010131")</f>
        <v>#N/A N/A</v>
      </c>
      <c r="BX5" t="str">
        <f>_xll.BDS("TUTR US Equity","SUPPLY_CHAIN_CUSTOMERS","RELATIONSHIP_AS_OF_DATE","20010131")</f>
        <v>#N/A N/A</v>
      </c>
      <c r="CC5" t="str">
        <f>_xll.BDS("CACB US Equity","SUPPLY_CHAIN_SUPPLIERS","RELATIONSHIP_AS_OF_DATE","20030731")</f>
        <v>#N/A N/A</v>
      </c>
      <c r="CH5" t="str">
        <f>_xll.BDS("CACB US Equity","SUPPLY_CHAIN_CUSTOMERS","RELATIONSHIP_AS_OF_DATE","20030731")</f>
        <v>#N/A N/A</v>
      </c>
      <c r="CM5" t="str">
        <f>_xll.BDS("PRPX US Equity","SUPPLY_CHAIN_SUPPLIERS","RELATIONSHIP_AS_OF_DATE","20040721")</f>
        <v>#N/A N/A</v>
      </c>
      <c r="CR5" t="str">
        <f>_xll.BDS("PRPX US Equity","SUPPLY_CHAIN_CUSTOMERS","RELATIONSHIP_AS_OF_DATE","20040721")</f>
        <v>#N/A N/A</v>
      </c>
      <c r="CW5" t="str">
        <f>_xll.BDS("KFFB US Equity","SUPPLY_CHAIN_SUPPLIERS","RELATIONSHIP_AS_OF_DATE","20111103")</f>
        <v>#N/A N/A</v>
      </c>
      <c r="DB5" t="str">
        <f>_xll.BDS("KFFB US Equity","SUPPLY_CHAIN_CUSTOMERS","RELATIONSHIP_AS_OF_DATE","20111103")</f>
        <v>#N/A N/A</v>
      </c>
      <c r="DG5" t="str">
        <f>_xll.BDS("PFBI US Equity","SUPPLY_CHAIN_SUPPLIERS","RELATIONSHIP_AS_OF_DATE","20081231")</f>
        <v>#N/A N/A</v>
      </c>
      <c r="DL5" t="str">
        <f>_xll.BDS("PFBI US Equity","SUPPLY_CHAIN_CUSTOMERS","RELATIONSHIP_AS_OF_DATE","20081231")</f>
        <v>#N/A N/A</v>
      </c>
      <c r="DQ5" t="str">
        <f>_xll.BDS("ONVI US Equity","SUPPLY_CHAIN_SUPPLIERS","RELATIONSHIP_AS_OF_DATE","20001120")</f>
        <v>#N/A N/A</v>
      </c>
      <c r="DV5" t="str">
        <f>_xll.BDS("ONVI US Equity","SUPPLY_CHAIN_CUSTOMERS","RELATIONSHIP_AS_OF_DATE","20001120")</f>
        <v>#N/A N/A</v>
      </c>
      <c r="EA5" t="str">
        <f>_xll.BDS("MSCC US Equity","SUPPLY_CHAIN_SUPPLIERS","RELATIONSHIP_AS_OF_DATE","19980121")</f>
        <v>FE US Equity</v>
      </c>
      <c r="EF5" t="str">
        <f>_xll.BDS("MSCC US Equity","SUPPLY_CHAIN_CUSTOMERS","RELATIONSHIP_AS_OF_DATE","19980121")</f>
        <v>#N/A N/A</v>
      </c>
      <c r="EK5" t="str">
        <f>_xll.BDS("KEGS US Equity","SUPPLY_CHAIN_SUPPLIERS","RELATIONSHIP_AS_OF_DATE","20080418")</f>
        <v>#N/A N/A</v>
      </c>
      <c r="EP5" t="str">
        <f>_xll.BDS("KEGS US Equity","SUPPLY_CHAIN_CUSTOMERS","RELATIONSHIP_AS_OF_DATE","20080418")</f>
        <v>#N/A N/A</v>
      </c>
      <c r="EU5" t="str">
        <f>_xll.BDS("PACW US Equity","SUPPLY_CHAIN_SUPPLIERS","RELATIONSHIP_AS_OF_DATE","20020920")</f>
        <v>#N/A N/A</v>
      </c>
      <c r="EZ5" t="str">
        <f>_xll.BDS("PACW US Equity","SUPPLY_CHAIN_CUSTOMERS","RELATIONSHIP_AS_OF_DATE","20020920")</f>
        <v>SNX US Equity</v>
      </c>
      <c r="FE5" t="str">
        <f>_xll.BDS("NATH US Equity","SUPPLY_CHAIN_SUPPLIERS","RELATIONSHIP_AS_OF_DATE","19981130","cols=1;rows=5")</f>
        <v>LW US Equity</v>
      </c>
      <c r="FJ5" t="str">
        <f>_xll.BDS("NATH US Equity","SUPPLY_CHAIN_CUSTOMERS","RELATIONSHIP_AS_OF_DATE","19981130","cols=1;rows=5")</f>
        <v>288 HK Equity</v>
      </c>
      <c r="FO5" t="str">
        <f>_xll.BDS("2894314Q US Equity","SUPPLY_CHAIN_SUPPLIERS","RELATIONSHIP_AS_OF_DATE","20021202")</f>
        <v>#N/A N/A</v>
      </c>
      <c r="FT5" t="str">
        <f>_xll.BDS("2894314Q US Equity","SUPPLY_CHAIN_CUSTOMERS","RELATIONSHIP_AS_OF_DATE","20021202")</f>
        <v>#N/A N/A</v>
      </c>
      <c r="FY5" t="str">
        <f>_xll.BDS("ARL US Equity","SUPPLY_CHAIN_SUPPLIERS","RELATIONSHIP_AS_OF_DATE","20011023")</f>
        <v>#N/A N/A</v>
      </c>
      <c r="GD5" t="str">
        <f>_xll.BDS("ARL US Equity","SUPPLY_CHAIN_CUSTOMERS","RELATIONSHIP_AS_OF_DATE","20011023")</f>
        <v>#N/A N/A</v>
      </c>
      <c r="GI5" t="str">
        <f>_xll.BDS("USXP US Equity","SUPPLY_CHAIN_SUPPLIERS","RELATIONSHIP_AS_OF_DATE","20041011")</f>
        <v>#N/A N/A</v>
      </c>
      <c r="GN5" t="str">
        <f>_xll.BDS("USXP US Equity","SUPPLY_CHAIN_CUSTOMERS","RELATIONSHIP_AS_OF_DATE","20041011")</f>
        <v>#N/A N/A</v>
      </c>
      <c r="GS5" t="str">
        <f>_xll.BDS("MSLPQ US Equity","SUPPLY_CHAIN_SUPPLIERS","RELATIONSHIP_AS_OF_DATE","20131113")</f>
        <v>#N/A N/A</v>
      </c>
      <c r="GX5" t="str">
        <f>_xll.BDS("MSLPQ US Equity","SUPPLY_CHAIN_CUSTOMERS","RELATIONSHIP_AS_OF_DATE","20131113")</f>
        <v>#N/A N/A</v>
      </c>
      <c r="HC5" t="str">
        <f>_xll.BDS("EMCF US Equity","SUPPLY_CHAIN_SUPPLIERS","RELATIONSHIP_AS_OF_DATE","19980320")</f>
        <v>#N/A N/A</v>
      </c>
      <c r="HH5" t="str">
        <f>_xll.BDS("EMCF US Equity","SUPPLY_CHAIN_CUSTOMERS","RELATIONSHIP_AS_OF_DATE","19980320")</f>
        <v>#N/A N/A</v>
      </c>
      <c r="HM5" t="str">
        <f>_xll.BDS("UNTC US Equity","SUPPLY_CHAIN_SUPPLIERS","RELATIONSHIP_AS_OF_DATE","19991210")</f>
        <v>#N/A N/A</v>
      </c>
      <c r="HR5" t="str">
        <f>_xll.BDS("UNTC US Equity","SUPPLY_CHAIN_CUSTOMERS","RELATIONSHIP_AS_OF_DATE","19991210","cols=1;rows=5")</f>
        <v>0006815D US Equity</v>
      </c>
      <c r="HW5" t="str">
        <f>_xll.BDS("WWWX US Equity","SUPPLY_CHAIN_SUPPLIERS","RELATIONSHIP_AS_OF_DATE","19990330")</f>
        <v>#N/A N/A</v>
      </c>
      <c r="IB5" t="str">
        <f>_xll.BDS("WWWX US Equity","SUPPLY_CHAIN_CUSTOMERS","RELATIONSHIP_AS_OF_DATE","19990330")</f>
        <v>#N/A N/A</v>
      </c>
      <c r="IG5" t="str">
        <f>_xll.BDS("CLDA US Equity","SUPPLY_CHAIN_SUPPLIERS","RELATIONSHIP_AS_OF_DATE","20050920")</f>
        <v>#N/A N/A</v>
      </c>
      <c r="IL5" t="str">
        <f>_xll.BDS("CLDA US Equity","SUPPLY_CHAIN_CUSTOMERS","RELATIONSHIP_AS_OF_DATE","20050920")</f>
        <v>#N/A N/A</v>
      </c>
      <c r="IQ5" t="str">
        <f>_xll.BDS("JEF US Equity","SUPPLY_CHAIN_SUPPLIERS","RELATIONSHIP_AS_OF_DATE","20050503","cols=1;rows=5")</f>
        <v>000063 CH Equity</v>
      </c>
      <c r="IV5" t="str">
        <f>_xll.BDS("JEF US Equity","SUPPLY_CHAIN_CUSTOMERS","RELATIONSHIP_AS_OF_DATE","20050503")</f>
        <v>#N/A N/A</v>
      </c>
      <c r="JA5" t="str">
        <f>_xll.BDS("597946Q US Equity","SUPPLY_CHAIN_SUPPLIERS","RELATIONSHIP_AS_OF_DATE","19980828")</f>
        <v>#N/A N/A</v>
      </c>
      <c r="JF5" t="str">
        <f>_xll.BDS("597946Q US Equity","SUPPLY_CHAIN_CUSTOMERS","RELATIONSHIP_AS_OF_DATE","19980828")</f>
        <v>#N/A N/A</v>
      </c>
      <c r="JK5" t="str">
        <f>_xll.BDS("ONFC US Equity","SUPPLY_CHAIN_SUPPLIERS","RELATIONSHIP_AS_OF_DATE","20060112")</f>
        <v>#N/A N/A</v>
      </c>
      <c r="JP5" t="str">
        <f>_xll.BDS("ONFC US Equity","SUPPLY_CHAIN_CUSTOMERS","RELATIONSHIP_AS_OF_DATE","20060112")</f>
        <v>#N/A N/A</v>
      </c>
      <c r="JU5" t="str">
        <f>_xll.BDS("MGLD US Equity","SUPPLY_CHAIN_SUPPLIERS","RELATIONSHIP_AS_OF_DATE","20000118","cols=1;rows=3")</f>
        <v>002353 CH Equity</v>
      </c>
      <c r="JZ5" t="str">
        <f>_xll.BDS("MGLD US Equity","SUPPLY_CHAIN_CUSTOMERS","RELATIONSHIP_AS_OF_DATE","20000118")</f>
        <v>#N/A N/A</v>
      </c>
      <c r="KE5" t="str">
        <f>_xll.BDS("TRMK US Equity","SUPPLY_CHAIN_SUPPLIERS","RELATIONSHIP_AS_OF_DATE","20120529")</f>
        <v>1514239D US Equity</v>
      </c>
      <c r="KJ5" t="str">
        <f>_xll.BDS("TRMK US Equity","SUPPLY_CHAIN_CUSTOMERS","RELATIONSHIP_AS_OF_DATE","20120529")</f>
        <v>#N/A N/A</v>
      </c>
      <c r="KO5" t="str">
        <f>_xll.BDS("DNDNQ US Equity","SUPPLY_CHAIN_SUPPLIERS","RELATIONSHIP_AS_OF_DATE","20030225")</f>
        <v>#N/A N/A</v>
      </c>
      <c r="KT5" t="str">
        <f>_xll.BDS("DNDNQ US Equity","SUPPLY_CHAIN_CUSTOMERS","RELATIONSHIP_AS_OF_DATE","20030225")</f>
        <v>#N/A N/A</v>
      </c>
      <c r="KY5" t="str">
        <f>_xll.BDS("PCBB US Equity","SUPPLY_CHAIN_SUPPLIERS","RELATIONSHIP_AS_OF_DATE","20020625")</f>
        <v>#N/A N/A</v>
      </c>
      <c r="LD5" t="str">
        <f>_xll.BDS("PCBB US Equity","SUPPLY_CHAIN_CUSTOMERS","RELATIONSHIP_AS_OF_DATE","20020625")</f>
        <v>#N/A N/A</v>
      </c>
      <c r="LI5" t="str">
        <f>_xll.BDS("NDN US Equity","SUPPLY_CHAIN_SUPPLIERS","RELATIONSHIP_AS_OF_DATE","19980421","cols=1;rows=5")</f>
        <v>0070994D US Equity</v>
      </c>
      <c r="LN5" t="str">
        <f>_xll.BDS("NDN US Equity","SUPPLY_CHAIN_CUSTOMERS","RELATIONSHIP_AS_OF_DATE","19980421")</f>
        <v>#N/A N/A</v>
      </c>
      <c r="LS5" t="str">
        <f>_xll.BDS("FNBG US Equity","SUPPLY_CHAIN_SUPPLIERS","RELATIONSHIP_AS_OF_DATE","20041105")</f>
        <v>#N/A N/A</v>
      </c>
      <c r="LX5" t="str">
        <f>_xll.BDS("FNBG US Equity","SUPPLY_CHAIN_CUSTOMERS","RELATIONSHIP_AS_OF_DATE","20041105")</f>
        <v>#N/A N/A</v>
      </c>
      <c r="MC5" t="str">
        <f>_xll.BDS("FTRCQ US Equity","SUPPLY_CHAIN_SUPPLIERS","RELATIONSHIP_AS_OF_DATE","20020516","cols=1;rows=4")</f>
        <v>2296295D US Equity</v>
      </c>
      <c r="MH5" t="str">
        <f>_xll.BDS("FTRCQ US Equity","SUPPLY_CHAIN_CUSTOMERS","RELATIONSHIP_AS_OF_DATE","20020516")</f>
        <v>#N/A N/A</v>
      </c>
      <c r="MM5" t="str">
        <f>_xll.BDS("CARV US Equity","SUPPLY_CHAIN_SUPPLIERS","RELATIONSHIP_AS_OF_DATE","20060406")</f>
        <v>#N/A N/A</v>
      </c>
      <c r="MR5" t="str">
        <f>_xll.BDS("CARV US Equity","SUPPLY_CHAIN_CUSTOMERS","RELATIONSHIP_AS_OF_DATE","20060406")</f>
        <v>#N/A N/A</v>
      </c>
      <c r="MW5" t="str">
        <f>_xll.BDS("CWBK US Equity","SUPPLY_CHAIN_SUPPLIERS","RELATIONSHIP_AS_OF_DATE","20090306")</f>
        <v>#N/A N/A</v>
      </c>
      <c r="NB5" t="str">
        <f>_xll.BDS("CWBK US Equity","SUPPLY_CHAIN_CUSTOMERS","RELATIONSHIP_AS_OF_DATE","20090306")</f>
        <v>#N/A N/A</v>
      </c>
      <c r="NG5" t="str">
        <f>_xll.BDS("HEAL US Equity","SUPPLY_CHAIN_SUPPLIERS","RELATIONSHIP_AS_OF_DATE","20000308")</f>
        <v>#N/A N/A</v>
      </c>
      <c r="NL5" t="str">
        <f>_xll.BDS("HEAL US Equity","SUPPLY_CHAIN_CUSTOMERS","RELATIONSHIP_AS_OF_DATE","20000308")</f>
        <v>#N/A N/A</v>
      </c>
      <c r="NQ5" t="str">
        <f>_xll.BDS("SSNC US Equity","SUPPLY_CHAIN_SUPPLIERS","RELATIONSHIP_AS_OF_DATE","20020123","cols=1;rows=5")</f>
        <v>D-U CN Equity</v>
      </c>
      <c r="NV5" t="str">
        <f>_xll.BDS("SSNC US Equity","SUPPLY_CHAIN_CUSTOMERS","RELATIONSHIP_AS_OF_DATE","20020123","cols=1;rows=5")</f>
        <v>AYX US Equity</v>
      </c>
      <c r="OA5" t="str">
        <f>_xll.BDS("598014Q US Equity","SUPPLY_CHAIN_SUPPLIERS","RELATIONSHIP_AS_OF_DATE","19980527")</f>
        <v>#N/A N/A</v>
      </c>
      <c r="OF5" t="str">
        <f>_xll.BDS("598014Q US Equity","SUPPLY_CHAIN_CUSTOMERS","RELATIONSHIP_AS_OF_DATE","19980527")</f>
        <v>#N/A N/A</v>
      </c>
    </row>
    <row r="6" spans="1:396" x14ac:dyDescent="0.25">
      <c r="A6" t="s">
        <v>1545</v>
      </c>
      <c r="Z6" t="s">
        <v>10865</v>
      </c>
      <c r="AE6" t="s">
        <v>171</v>
      </c>
      <c r="AJ6" t="s">
        <v>1468</v>
      </c>
      <c r="FE6" t="s">
        <v>10988</v>
      </c>
      <c r="FJ6" t="s">
        <v>5983</v>
      </c>
      <c r="HR6" t="s">
        <v>10641</v>
      </c>
      <c r="IQ6" t="s">
        <v>10975</v>
      </c>
      <c r="JU6" t="s">
        <v>11178</v>
      </c>
      <c r="LI6" t="s">
        <v>10963</v>
      </c>
      <c r="MC6" t="s">
        <v>10886</v>
      </c>
      <c r="NQ6" t="s">
        <v>10707</v>
      </c>
      <c r="NV6" t="s">
        <v>10649</v>
      </c>
    </row>
    <row r="7" spans="1:396" x14ac:dyDescent="0.25">
      <c r="A7" t="s">
        <v>872</v>
      </c>
      <c r="Z7" t="s">
        <v>10866</v>
      </c>
      <c r="AE7" t="s">
        <v>10816</v>
      </c>
      <c r="AJ7" t="s">
        <v>970</v>
      </c>
      <c r="FE7" t="s">
        <v>10989</v>
      </c>
      <c r="FJ7" t="s">
        <v>10646</v>
      </c>
      <c r="HR7" t="s">
        <v>10642</v>
      </c>
      <c r="IQ7" t="s">
        <v>10828</v>
      </c>
      <c r="JU7" t="s">
        <v>11179</v>
      </c>
      <c r="LI7" t="s">
        <v>10964</v>
      </c>
      <c r="MC7" t="s">
        <v>6724</v>
      </c>
      <c r="NQ7" t="s">
        <v>10708</v>
      </c>
      <c r="NV7" t="s">
        <v>10650</v>
      </c>
    </row>
    <row r="8" spans="1:396" x14ac:dyDescent="0.25">
      <c r="A8" t="s">
        <v>10735</v>
      </c>
      <c r="Z8" t="s">
        <v>10867</v>
      </c>
      <c r="AE8" t="s">
        <v>43</v>
      </c>
      <c r="AJ8" t="s">
        <v>43</v>
      </c>
      <c r="FE8" t="s">
        <v>10990</v>
      </c>
      <c r="FJ8" t="s">
        <v>10942</v>
      </c>
      <c r="HR8" t="s">
        <v>10643</v>
      </c>
      <c r="IQ8" t="s">
        <v>10976</v>
      </c>
      <c r="LI8" t="s">
        <v>10965</v>
      </c>
      <c r="MC8" t="s">
        <v>10887</v>
      </c>
      <c r="NQ8" t="s">
        <v>682</v>
      </c>
      <c r="NV8" t="s">
        <v>10651</v>
      </c>
    </row>
    <row r="9" spans="1:396" x14ac:dyDescent="0.25">
      <c r="A9" t="s">
        <v>10810</v>
      </c>
      <c r="AE9" t="s">
        <v>10817</v>
      </c>
      <c r="AJ9" t="s">
        <v>10657</v>
      </c>
      <c r="FE9" t="s">
        <v>10991</v>
      </c>
      <c r="FJ9" t="s">
        <v>10943</v>
      </c>
      <c r="HR9" t="s">
        <v>10644</v>
      </c>
      <c r="IQ9" t="s">
        <v>10829</v>
      </c>
      <c r="LI9" t="s">
        <v>10966</v>
      </c>
      <c r="NQ9" t="s">
        <v>10709</v>
      </c>
      <c r="NV9" t="s">
        <v>10652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NV9"/>
  <sheetViews>
    <sheetView workbookViewId="0"/>
  </sheetViews>
  <sheetFormatPr defaultRowHeight="15" x14ac:dyDescent="0.25"/>
  <cols>
    <col min="1" max="9" width="16" customWidth="1"/>
    <col min="10" max="10" width="3" customWidth="1"/>
    <col min="11" max="19" width="16" customWidth="1"/>
    <col min="20" max="20" width="3" customWidth="1"/>
    <col min="21" max="29" width="16" customWidth="1"/>
    <col min="30" max="30" width="3" customWidth="1"/>
    <col min="31" max="39" width="16" customWidth="1"/>
    <col min="40" max="40" width="3" customWidth="1"/>
    <col min="41" max="49" width="16" customWidth="1"/>
    <col min="50" max="50" width="3" customWidth="1"/>
    <col min="51" max="59" width="16" customWidth="1"/>
    <col min="60" max="60" width="3" customWidth="1"/>
    <col min="61" max="69" width="16" customWidth="1"/>
    <col min="70" max="70" width="3" customWidth="1"/>
    <col min="71" max="79" width="16" customWidth="1"/>
    <col min="80" max="80" width="3" customWidth="1"/>
    <col min="81" max="89" width="16" customWidth="1"/>
    <col min="90" max="90" width="3" customWidth="1"/>
    <col min="91" max="99" width="16" customWidth="1"/>
    <col min="100" max="100" width="3" customWidth="1"/>
    <col min="101" max="109" width="16" customWidth="1"/>
    <col min="110" max="110" width="3" customWidth="1"/>
    <col min="111" max="119" width="16" customWidth="1"/>
    <col min="120" max="120" width="3" customWidth="1"/>
    <col min="121" max="129" width="16" customWidth="1"/>
    <col min="130" max="130" width="3" customWidth="1"/>
    <col min="131" max="139" width="16" customWidth="1"/>
    <col min="140" max="140" width="3" customWidth="1"/>
    <col min="141" max="149" width="16" customWidth="1"/>
    <col min="150" max="150" width="3" customWidth="1"/>
    <col min="151" max="159" width="16" customWidth="1"/>
    <col min="160" max="160" width="3" customWidth="1"/>
    <col min="161" max="169" width="16" customWidth="1"/>
    <col min="170" max="170" width="3" customWidth="1"/>
    <col min="171" max="179" width="16" customWidth="1"/>
    <col min="180" max="180" width="3" customWidth="1"/>
    <col min="181" max="189" width="16" customWidth="1"/>
    <col min="190" max="190" width="3" customWidth="1"/>
    <col min="191" max="199" width="16" customWidth="1"/>
    <col min="200" max="200" width="3" customWidth="1"/>
    <col min="201" max="209" width="16" customWidth="1"/>
    <col min="210" max="210" width="3" customWidth="1"/>
    <col min="211" max="219" width="16" customWidth="1"/>
    <col min="220" max="220" width="3" customWidth="1"/>
    <col min="221" max="229" width="16" customWidth="1"/>
    <col min="230" max="230" width="3" customWidth="1"/>
    <col min="231" max="239" width="16" customWidth="1"/>
    <col min="240" max="240" width="3" customWidth="1"/>
    <col min="241" max="249" width="16" customWidth="1"/>
    <col min="250" max="250" width="3" customWidth="1"/>
    <col min="251" max="259" width="16" customWidth="1"/>
    <col min="260" max="260" width="3" customWidth="1"/>
    <col min="261" max="269" width="16" customWidth="1"/>
    <col min="270" max="270" width="3" customWidth="1"/>
    <col min="271" max="279" width="16" customWidth="1"/>
    <col min="280" max="280" width="3" customWidth="1"/>
    <col min="281" max="289" width="16" customWidth="1"/>
    <col min="290" max="290" width="3" customWidth="1"/>
    <col min="291" max="299" width="16" customWidth="1"/>
    <col min="300" max="300" width="3" customWidth="1"/>
    <col min="301" max="309" width="16" customWidth="1"/>
    <col min="310" max="310" width="3" customWidth="1"/>
    <col min="311" max="319" width="16" customWidth="1"/>
    <col min="320" max="320" width="3" customWidth="1"/>
    <col min="321" max="329" width="16" customWidth="1"/>
    <col min="330" max="330" width="3" customWidth="1"/>
    <col min="331" max="339" width="16" customWidth="1"/>
    <col min="340" max="340" width="3" customWidth="1"/>
    <col min="341" max="349" width="16" customWidth="1"/>
    <col min="350" max="350" width="3" customWidth="1"/>
    <col min="351" max="359" width="16" customWidth="1"/>
    <col min="360" max="360" width="3" customWidth="1"/>
    <col min="361" max="369" width="16" customWidth="1"/>
    <col min="370" max="370" width="3" customWidth="1"/>
    <col min="371" max="379" width="16" customWidth="1"/>
    <col min="380" max="380" width="3" customWidth="1"/>
    <col min="381" max="389" width="16" customWidth="1"/>
    <col min="390" max="390" width="3" customWidth="1"/>
  </cols>
  <sheetData>
    <row r="1" spans="1:386" x14ac:dyDescent="0.25">
      <c r="A1" s="1" t="s">
        <v>10550</v>
      </c>
      <c r="K1" s="1" t="s">
        <v>10551</v>
      </c>
      <c r="U1" s="1" t="s">
        <v>10552</v>
      </c>
      <c r="AE1" s="1" t="s">
        <v>10553</v>
      </c>
      <c r="AO1" s="1" t="s">
        <v>10554</v>
      </c>
      <c r="AY1" s="1" t="s">
        <v>10555</v>
      </c>
      <c r="BI1" s="1" t="s">
        <v>10556</v>
      </c>
      <c r="BS1" s="1" t="s">
        <v>10557</v>
      </c>
      <c r="CC1" s="1" t="s">
        <v>10558</v>
      </c>
      <c r="CM1" s="1" t="s">
        <v>10559</v>
      </c>
      <c r="CW1" s="1" t="s">
        <v>10560</v>
      </c>
      <c r="DG1" s="1" t="s">
        <v>10561</v>
      </c>
      <c r="DQ1" s="1" t="s">
        <v>10562</v>
      </c>
      <c r="EA1" s="1" t="s">
        <v>10563</v>
      </c>
      <c r="EK1" s="1" t="s">
        <v>10564</v>
      </c>
      <c r="EU1" s="1" t="s">
        <v>10565</v>
      </c>
      <c r="FE1" s="1" t="s">
        <v>10566</v>
      </c>
      <c r="FO1" s="1" t="s">
        <v>10567</v>
      </c>
      <c r="FY1" s="1" t="s">
        <v>10568</v>
      </c>
      <c r="GI1" s="1" t="s">
        <v>10569</v>
      </c>
      <c r="GS1" s="1" t="s">
        <v>10570</v>
      </c>
      <c r="HC1" s="1" t="s">
        <v>10571</v>
      </c>
      <c r="HM1" s="1" t="s">
        <v>10572</v>
      </c>
      <c r="HW1" s="1" t="s">
        <v>10573</v>
      </c>
      <c r="IG1" s="1" t="s">
        <v>10574</v>
      </c>
      <c r="IQ1" s="1" t="s">
        <v>10575</v>
      </c>
      <c r="JA1" s="1" t="s">
        <v>10576</v>
      </c>
      <c r="JK1" s="1" t="s">
        <v>10577</v>
      </c>
      <c r="JU1" s="1" t="s">
        <v>10578</v>
      </c>
      <c r="KE1" s="1" t="s">
        <v>10579</v>
      </c>
      <c r="KO1" s="1" t="s">
        <v>10580</v>
      </c>
      <c r="KY1" s="1" t="s">
        <v>10581</v>
      </c>
      <c r="LI1" s="1" t="s">
        <v>10582</v>
      </c>
      <c r="LS1" s="1" t="s">
        <v>10583</v>
      </c>
      <c r="MC1" s="1" t="s">
        <v>10584</v>
      </c>
      <c r="MM1" s="1" t="s">
        <v>10585</v>
      </c>
      <c r="MW1" s="1" t="s">
        <v>10586</v>
      </c>
      <c r="NG1" s="1" t="s">
        <v>10587</v>
      </c>
      <c r="NQ1" s="1" t="s">
        <v>10588</v>
      </c>
    </row>
    <row r="2" spans="1:386" x14ac:dyDescent="0.25">
      <c r="A2" s="2" t="s">
        <v>3442</v>
      </c>
      <c r="K2" s="2" t="s">
        <v>10589</v>
      </c>
      <c r="U2" s="2" t="s">
        <v>10590</v>
      </c>
      <c r="AE2" s="2" t="s">
        <v>10591</v>
      </c>
      <c r="AO2" s="2" t="s">
        <v>10592</v>
      </c>
      <c r="AY2" s="2" t="s">
        <v>10593</v>
      </c>
      <c r="BI2" s="2" t="s">
        <v>10594</v>
      </c>
      <c r="BS2" s="2" t="s">
        <v>10595</v>
      </c>
      <c r="CC2" s="2" t="s">
        <v>10596</v>
      </c>
      <c r="CM2" s="2" t="s">
        <v>10597</v>
      </c>
      <c r="CW2" s="2" t="s">
        <v>10445</v>
      </c>
      <c r="DG2" s="2" t="s">
        <v>262</v>
      </c>
      <c r="DQ2" s="2" t="s">
        <v>9999</v>
      </c>
      <c r="EA2" s="2" t="s">
        <v>8932</v>
      </c>
      <c r="EK2" s="2" t="s">
        <v>10598</v>
      </c>
      <c r="EU2" s="2" t="s">
        <v>6722</v>
      </c>
      <c r="FE2" s="2" t="s">
        <v>4647</v>
      </c>
      <c r="FO2" s="2" t="s">
        <v>5245</v>
      </c>
      <c r="FY2" s="2" t="s">
        <v>10599</v>
      </c>
      <c r="GI2" s="2" t="s">
        <v>9149</v>
      </c>
      <c r="GS2" s="2" t="s">
        <v>10600</v>
      </c>
      <c r="HC2" s="2" t="s">
        <v>10601</v>
      </c>
      <c r="HM2" s="2" t="s">
        <v>10602</v>
      </c>
      <c r="HW2" s="2" t="s">
        <v>10603</v>
      </c>
      <c r="IG2" s="2" t="s">
        <v>10604</v>
      </c>
      <c r="IQ2" s="2" t="s">
        <v>9768</v>
      </c>
      <c r="JA2" s="2" t="s">
        <v>10595</v>
      </c>
      <c r="JK2" s="2" t="s">
        <v>10605</v>
      </c>
      <c r="JU2" s="2" t="s">
        <v>10606</v>
      </c>
      <c r="KE2" s="2" t="s">
        <v>10607</v>
      </c>
      <c r="KO2" s="2" t="s">
        <v>784</v>
      </c>
      <c r="KY2" s="2" t="s">
        <v>10608</v>
      </c>
      <c r="LI2" s="2" t="s">
        <v>2296</v>
      </c>
      <c r="LS2" s="2" t="s">
        <v>8608</v>
      </c>
      <c r="MC2" s="2" t="s">
        <v>10609</v>
      </c>
      <c r="MM2" s="2" t="s">
        <v>10610</v>
      </c>
      <c r="MW2" s="2" t="s">
        <v>10611</v>
      </c>
      <c r="NG2" s="2" t="s">
        <v>8539</v>
      </c>
      <c r="NQ2" s="2" t="s">
        <v>6557</v>
      </c>
    </row>
    <row r="3" spans="1:386" x14ac:dyDescent="0.25">
      <c r="A3" t="s">
        <v>10612</v>
      </c>
      <c r="K3" t="s">
        <v>10613</v>
      </c>
      <c r="U3" t="s">
        <v>10614</v>
      </c>
      <c r="AE3" t="s">
        <v>10615</v>
      </c>
      <c r="AO3" t="s">
        <v>10163</v>
      </c>
      <c r="AY3" t="s">
        <v>10616</v>
      </c>
      <c r="BI3" t="s">
        <v>10617</v>
      </c>
      <c r="BS3" t="s">
        <v>10618</v>
      </c>
      <c r="CC3" t="s">
        <v>2918</v>
      </c>
      <c r="CM3" t="s">
        <v>3903</v>
      </c>
      <c r="CW3" t="s">
        <v>10619</v>
      </c>
      <c r="DG3" t="s">
        <v>10620</v>
      </c>
      <c r="DQ3" t="s">
        <v>7088</v>
      </c>
      <c r="EA3" t="s">
        <v>10621</v>
      </c>
      <c r="EK3" t="s">
        <v>10168</v>
      </c>
      <c r="EU3" t="s">
        <v>10622</v>
      </c>
      <c r="FE3" t="s">
        <v>10623</v>
      </c>
      <c r="FO3" t="s">
        <v>7237</v>
      </c>
      <c r="FY3" t="s">
        <v>4237</v>
      </c>
      <c r="GI3" t="s">
        <v>10624</v>
      </c>
      <c r="GS3" t="s">
        <v>10625</v>
      </c>
      <c r="HC3" t="s">
        <v>2234</v>
      </c>
      <c r="HM3" t="s">
        <v>10626</v>
      </c>
      <c r="HW3" t="s">
        <v>9475</v>
      </c>
      <c r="IG3" t="s">
        <v>7716</v>
      </c>
      <c r="IQ3" t="s">
        <v>4832</v>
      </c>
      <c r="JA3" t="s">
        <v>10627</v>
      </c>
      <c r="JK3" t="s">
        <v>10628</v>
      </c>
      <c r="JU3" t="s">
        <v>2824</v>
      </c>
      <c r="KE3" t="s">
        <v>4241</v>
      </c>
      <c r="KO3" t="s">
        <v>3445</v>
      </c>
      <c r="KY3" t="s">
        <v>10629</v>
      </c>
      <c r="LI3" t="s">
        <v>10630</v>
      </c>
      <c r="LS3" t="s">
        <v>10631</v>
      </c>
      <c r="MC3" t="s">
        <v>3903</v>
      </c>
      <c r="MM3" t="s">
        <v>10625</v>
      </c>
      <c r="MW3" t="s">
        <v>3176</v>
      </c>
      <c r="NG3" t="s">
        <v>10632</v>
      </c>
      <c r="NQ3" t="s">
        <v>2423</v>
      </c>
    </row>
    <row r="4" spans="1:386" x14ac:dyDescent="0.25">
      <c r="A4" s="3" t="s">
        <v>112</v>
      </c>
      <c r="F4" s="3" t="s">
        <v>113</v>
      </c>
      <c r="K4" s="3" t="s">
        <v>112</v>
      </c>
      <c r="P4" s="3" t="s">
        <v>113</v>
      </c>
      <c r="U4" s="3" t="s">
        <v>112</v>
      </c>
      <c r="Z4" s="3" t="s">
        <v>113</v>
      </c>
      <c r="AE4" s="3" t="s">
        <v>112</v>
      </c>
      <c r="AJ4" s="3" t="s">
        <v>113</v>
      </c>
      <c r="AO4" s="3" t="s">
        <v>112</v>
      </c>
      <c r="AT4" s="3" t="s">
        <v>113</v>
      </c>
      <c r="AY4" s="3" t="s">
        <v>112</v>
      </c>
      <c r="BD4" s="3" t="s">
        <v>113</v>
      </c>
      <c r="BI4" s="3" t="s">
        <v>112</v>
      </c>
      <c r="BN4" s="3" t="s">
        <v>113</v>
      </c>
      <c r="BS4" s="3" t="s">
        <v>112</v>
      </c>
      <c r="BX4" s="3" t="s">
        <v>113</v>
      </c>
      <c r="CC4" s="3" t="s">
        <v>112</v>
      </c>
      <c r="CH4" s="3" t="s">
        <v>113</v>
      </c>
      <c r="CM4" s="3" t="s">
        <v>112</v>
      </c>
      <c r="CR4" s="3" t="s">
        <v>113</v>
      </c>
      <c r="CW4" s="3" t="s">
        <v>112</v>
      </c>
      <c r="DB4" s="3" t="s">
        <v>113</v>
      </c>
      <c r="DG4" s="3" t="s">
        <v>112</v>
      </c>
      <c r="DL4" s="3" t="s">
        <v>113</v>
      </c>
      <c r="DQ4" s="3" t="s">
        <v>112</v>
      </c>
      <c r="DV4" s="3" t="s">
        <v>113</v>
      </c>
      <c r="EA4" s="3" t="s">
        <v>112</v>
      </c>
      <c r="EF4" s="3" t="s">
        <v>113</v>
      </c>
      <c r="EK4" s="3" t="s">
        <v>112</v>
      </c>
      <c r="EP4" s="3" t="s">
        <v>113</v>
      </c>
      <c r="EU4" s="3" t="s">
        <v>112</v>
      </c>
      <c r="EZ4" s="3" t="s">
        <v>113</v>
      </c>
      <c r="FE4" s="3" t="s">
        <v>112</v>
      </c>
      <c r="FJ4" s="3" t="s">
        <v>113</v>
      </c>
      <c r="FO4" s="3" t="s">
        <v>112</v>
      </c>
      <c r="FT4" s="3" t="s">
        <v>113</v>
      </c>
      <c r="FY4" s="3" t="s">
        <v>112</v>
      </c>
      <c r="GD4" s="3" t="s">
        <v>113</v>
      </c>
      <c r="GI4" s="3" t="s">
        <v>112</v>
      </c>
      <c r="GN4" s="3" t="s">
        <v>113</v>
      </c>
      <c r="GS4" s="3" t="s">
        <v>112</v>
      </c>
      <c r="GX4" s="3" t="s">
        <v>113</v>
      </c>
      <c r="HC4" s="3" t="s">
        <v>112</v>
      </c>
      <c r="HH4" s="3" t="s">
        <v>113</v>
      </c>
      <c r="HM4" s="3" t="s">
        <v>112</v>
      </c>
      <c r="HR4" s="3" t="s">
        <v>113</v>
      </c>
      <c r="HW4" s="3" t="s">
        <v>112</v>
      </c>
      <c r="IB4" s="3" t="s">
        <v>113</v>
      </c>
      <c r="IG4" s="3" t="s">
        <v>112</v>
      </c>
      <c r="IL4" s="3" t="s">
        <v>113</v>
      </c>
      <c r="IQ4" s="3" t="s">
        <v>112</v>
      </c>
      <c r="IV4" s="3" t="s">
        <v>113</v>
      </c>
      <c r="JA4" s="3" t="s">
        <v>112</v>
      </c>
      <c r="JF4" s="3" t="s">
        <v>113</v>
      </c>
      <c r="JK4" s="3" t="s">
        <v>112</v>
      </c>
      <c r="JP4" s="3" t="s">
        <v>113</v>
      </c>
      <c r="JU4" s="3" t="s">
        <v>112</v>
      </c>
      <c r="JZ4" s="3" t="s">
        <v>113</v>
      </c>
      <c r="KE4" s="3" t="s">
        <v>112</v>
      </c>
      <c r="KJ4" s="3" t="s">
        <v>113</v>
      </c>
      <c r="KO4" s="3" t="s">
        <v>112</v>
      </c>
      <c r="KT4" s="3" t="s">
        <v>113</v>
      </c>
      <c r="KY4" s="3" t="s">
        <v>112</v>
      </c>
      <c r="LD4" s="3" t="s">
        <v>113</v>
      </c>
      <c r="LI4" s="3" t="s">
        <v>112</v>
      </c>
      <c r="LN4" s="3" t="s">
        <v>113</v>
      </c>
      <c r="LS4" s="3" t="s">
        <v>112</v>
      </c>
      <c r="LX4" s="3" t="s">
        <v>113</v>
      </c>
      <c r="MC4" s="3" t="s">
        <v>112</v>
      </c>
      <c r="MH4" s="3" t="s">
        <v>113</v>
      </c>
      <c r="MM4" s="3" t="s">
        <v>112</v>
      </c>
      <c r="MR4" s="3" t="s">
        <v>113</v>
      </c>
      <c r="MW4" s="3" t="s">
        <v>112</v>
      </c>
      <c r="NB4" s="3" t="s">
        <v>113</v>
      </c>
      <c r="NG4" s="3" t="s">
        <v>112</v>
      </c>
      <c r="NL4" s="3" t="s">
        <v>113</v>
      </c>
      <c r="NQ4" s="3" t="s">
        <v>112</v>
      </c>
      <c r="NV4" s="3" t="s">
        <v>113</v>
      </c>
    </row>
    <row r="5" spans="1:386" x14ac:dyDescent="0.25">
      <c r="A5" t="str">
        <f>_xll.BDS("GBCI US Equity","SUPPLY_CHAIN_SUPPLIERS","RELATIONSHIP_AS_OF_DATE","20160420")</f>
        <v>VYX US Equity</v>
      </c>
      <c r="F5" t="str">
        <f>_xll.BDS("GBCI US Equity","SUPPLY_CHAIN_CUSTOMERS","RELATIONSHIP_AS_OF_DATE","20160420")</f>
        <v>#N/A N/A</v>
      </c>
      <c r="K5" t="str">
        <f>_xll.BDS("NMIL US Equity","SUPPLY_CHAIN_SUPPLIERS","RELATIONSHIP_AS_OF_DATE","20000531")</f>
        <v>#N/A N/A</v>
      </c>
      <c r="P5" t="str">
        <f>_xll.BDS("NMIL US Equity","SUPPLY_CHAIN_CUSTOMERS","RELATIONSHIP_AS_OF_DATE","20000531")</f>
        <v>#N/A N/A</v>
      </c>
      <c r="U5" t="str">
        <f>_xll.BDS("INVT US Equity","SUPPLY_CHAIN_SUPPLIERS","RELATIONSHIP_AS_OF_DATE","20071022")</f>
        <v>#N/A N/A</v>
      </c>
      <c r="Z5" t="str">
        <f>_xll.BDS("INVT US Equity","SUPPLY_CHAIN_CUSTOMERS","RELATIONSHIP_AS_OF_DATE","20071022")</f>
        <v>#N/A N/A</v>
      </c>
      <c r="AE5" t="str">
        <f>_xll.BDS("CVST US Equity","SUPPLY_CHAIN_SUPPLIERS","RELATIONSHIP_AS_OF_DATE","20010718")</f>
        <v>#N/A N/A</v>
      </c>
      <c r="AJ5" t="str">
        <f>_xll.BDS("CVST US Equity","SUPPLY_CHAIN_CUSTOMERS","RELATIONSHIP_AS_OF_DATE","20010718")</f>
        <v>#N/A N/A</v>
      </c>
      <c r="AO5" t="str">
        <f>_xll.BDS("FLMK US Equity","SUPPLY_CHAIN_SUPPLIERS","RELATIONSHIP_AS_OF_DATE","19981118")</f>
        <v>#N/A N/A</v>
      </c>
      <c r="AT5" t="str">
        <f>_xll.BDS("FLMK US Equity","SUPPLY_CHAIN_CUSTOMERS","RELATIONSHIP_AS_OF_DATE","19981118")</f>
        <v>#N/A N/A</v>
      </c>
      <c r="AY5" t="str">
        <f>_xll.BDS("LGTY US Equity","SUPPLY_CHAIN_SUPPLIERS","RELATIONSHIP_AS_OF_DATE","20090318")</f>
        <v>MSFT US Equity</v>
      </c>
      <c r="BD5" t="str">
        <f>_xll.BDS("LGTY US Equity","SUPPLY_CHAIN_CUSTOMERS","RELATIONSHIP_AS_OF_DATE","20090318","cols=1;rows=5")</f>
        <v>UPS US Equity</v>
      </c>
      <c r="BI5" t="str">
        <f>_xll.BDS("8277795Q US Equity","SUPPLY_CHAIN_SUPPLIERS","RELATIONSHIP_AS_OF_DATE","20070426")</f>
        <v>#N/A N/A</v>
      </c>
      <c r="BN5" t="str">
        <f>_xll.BDS("8277795Q US Equity","SUPPLY_CHAIN_CUSTOMERS","RELATIONSHIP_AS_OF_DATE","20070426")</f>
        <v>#N/A N/A</v>
      </c>
      <c r="BS5" t="str">
        <f>_xll.BDS("1917130D US Equity","SUPPLY_CHAIN_SUPPLIERS","RELATIONSHIP_AS_OF_DATE","20160325")</f>
        <v>#N/A N/A</v>
      </c>
      <c r="BX5" t="str">
        <f>_xll.BDS("1917130D US Equity","SUPPLY_CHAIN_CUSTOMERS","RELATIONSHIP_AS_OF_DATE","20160325")</f>
        <v>#N/A N/A</v>
      </c>
      <c r="CC5" t="str">
        <f>_xll.BDS("SOFN US Equity","SUPPLY_CHAIN_SUPPLIERS","RELATIONSHIP_AS_OF_DATE","20011018")</f>
        <v>#N/A N/A</v>
      </c>
      <c r="CH5" t="str">
        <f>_xll.BDS("SOFN US Equity","SUPPLY_CHAIN_CUSTOMERS","RELATIONSHIP_AS_OF_DATE","20011018")</f>
        <v>#N/A N/A</v>
      </c>
      <c r="CM5" t="str">
        <f>_xll.BDS("KERA US Equity","SUPPLY_CHAIN_SUPPLIERS","RELATIONSHIP_AS_OF_DATE","19981223")</f>
        <v>#N/A N/A</v>
      </c>
      <c r="CR5" t="str">
        <f>_xll.BDS("KERA US Equity","SUPPLY_CHAIN_CUSTOMERS","RELATIONSHIP_AS_OF_DATE","19981223")</f>
        <v>#N/A N/A</v>
      </c>
      <c r="CW5" t="str">
        <f>_xll.BDS("1878409D US Equity","SUPPLY_CHAIN_SUPPLIERS","RELATIONSHIP_AS_OF_DATE","20130621")</f>
        <v>#N/A N/A</v>
      </c>
      <c r="DB5" t="str">
        <f>_xll.BDS("1878409D US Equity","SUPPLY_CHAIN_CUSTOMERS","RELATIONSHIP_AS_OF_DATE","20130621")</f>
        <v>#N/A N/A</v>
      </c>
      <c r="DG5" t="str">
        <f>_xll.BDS("BSX US Equity","SUPPLY_CHAIN_SUPPLIERS","RELATIONSHIP_AS_OF_DATE","20080416","cols=1;rows=5")</f>
        <v>FLEX US Equity</v>
      </c>
      <c r="DL5" t="str">
        <f>_xll.BDS("BSX US Equity","SUPPLY_CHAIN_CUSTOMERS","RELATIONSHIP_AS_OF_DATE","20080416","cols=1;rows=5")</f>
        <v>000078 CH Equity</v>
      </c>
      <c r="DQ5" t="str">
        <f>_xll.BDS("BCML US Equity","SUPPLY_CHAIN_SUPPLIERS","RELATIONSHIP_AS_OF_DATE","20170627")</f>
        <v>#N/A N/A</v>
      </c>
      <c r="DV5" t="str">
        <f>_xll.BDS("BCML US Equity","SUPPLY_CHAIN_CUSTOMERS","RELATIONSHIP_AS_OF_DATE","20170627")</f>
        <v>#N/A N/A</v>
      </c>
      <c r="EA5" t="str">
        <f>_xll.BDS("PRGS US Equity","SUPPLY_CHAIN_SUPPLIERS","RELATIONSHIP_AS_OF_DATE","20040927","cols=1;rows=5")</f>
        <v>DDOG US Equity</v>
      </c>
      <c r="EF5" t="str">
        <f>_xll.BDS("PRGS US Equity","SUPPLY_CHAIN_CUSTOMERS","RELATIONSHIP_AS_OF_DATE","20040927","cols=1;rows=5")</f>
        <v>TSCO LN Equity</v>
      </c>
      <c r="EK5" t="str">
        <f>_xll.BDS("ICUI US Equity","SUPPLY_CHAIN_SUPPLIERS","RELATIONSHIP_AS_OF_DATE","20021030","cols=1;rows=5")</f>
        <v>PFE US Equity</v>
      </c>
      <c r="EP5" t="str">
        <f>_xll.BDS("ICUI US Equity","SUPPLY_CHAIN_CUSTOMERS","RELATIONSHIP_AS_OF_DATE","20021030","cols=1;rows=5")</f>
        <v>DCC LN Equity</v>
      </c>
      <c r="EU5" t="str">
        <f>_xll.BDS("BNCN US Equity","SUPPLY_CHAIN_SUPPLIERS","RELATIONSHIP_AS_OF_DATE","20130531")</f>
        <v>#N/A N/A</v>
      </c>
      <c r="EZ5" t="str">
        <f>_xll.BDS("BNCN US Equity","SUPPLY_CHAIN_CUSTOMERS","RELATIONSHIP_AS_OF_DATE","20130531")</f>
        <v>#N/A N/A</v>
      </c>
      <c r="FE5" t="str">
        <f>_xll.BDS("ISBC US Equity","SUPPLY_CHAIN_SUPPLIERS","RELATIONSHIP_AS_OF_DATE","20110817")</f>
        <v>#N/A N/A</v>
      </c>
      <c r="FJ5" t="str">
        <f>_xll.BDS("ISBC US Equity","SUPPLY_CHAIN_CUSTOMERS","RELATIONSHIP_AS_OF_DATE","20110817")</f>
        <v>#N/A N/A</v>
      </c>
      <c r="FO5" t="str">
        <f>_xll.BDS("1740293D US Equity","SUPPLY_CHAIN_SUPPLIERS","RELATIONSHIP_AS_OF_DATE","20010627")</f>
        <v>#N/A N/A</v>
      </c>
      <c r="FT5" t="str">
        <f>_xll.BDS("1740293D US Equity","SUPPLY_CHAIN_CUSTOMERS","RELATIONSHIP_AS_OF_DATE","20010627")</f>
        <v>#N/A N/A</v>
      </c>
      <c r="FY5" t="str">
        <f>_xll.BDS("EVH US Equity","SUPPLY_CHAIN_SUPPLIERS","RELATIONSHIP_AS_OF_DATE","20180102","cols=1;rows=2")</f>
        <v>DHC US Equity</v>
      </c>
      <c r="GD5" t="str">
        <f>_xll.BDS("EVH US Equity","SUPPLY_CHAIN_CUSTOMERS","RELATIONSHIP_AS_OF_DATE","20180102","cols=1;rows=5")</f>
        <v>HUM US Equity</v>
      </c>
      <c r="GI5" t="str">
        <f>_xll.BDS("AYTU US Equity","SUPPLY_CHAIN_SUPPLIERS","RELATIONSHIP_AS_OF_DATE","20190912")</f>
        <v>91061Z US Equity</v>
      </c>
      <c r="GN5" t="str">
        <f>_xll.BDS("AYTU US Equity","SUPPLY_CHAIN_CUSTOMERS","RELATIONSHIP_AS_OF_DATE","20190912","cols=1;rows=2")</f>
        <v>LPC IN Equity</v>
      </c>
      <c r="GS5" t="str">
        <f>_xll.BDS("UWHR US Equity","SUPPLY_CHAIN_SUPPLIERS","RELATIONSHIP_AS_OF_DATE","19990803")</f>
        <v>#N/A N/A</v>
      </c>
      <c r="GX5" t="str">
        <f>_xll.BDS("UWHR US Equity","SUPPLY_CHAIN_CUSTOMERS","RELATIONSHIP_AS_OF_DATE","19990803")</f>
        <v>#N/A N/A</v>
      </c>
      <c r="HC5" t="str">
        <f>_xll.BDS("TSH US Equity","SUPPLY_CHAIN_SUPPLIERS","RELATIONSHIP_AS_OF_DATE","20040304")</f>
        <v>#N/A N/A</v>
      </c>
      <c r="HH5" t="str">
        <f>_xll.BDS("TSH US Equity","SUPPLY_CHAIN_CUSTOMERS","RELATIONSHIP_AS_OF_DATE","20040304")</f>
        <v>#N/A N/A</v>
      </c>
      <c r="HM5" t="str">
        <f>_xll.BDS("MDRR US Equity","SUPPLY_CHAIN_SUPPLIERS","RELATIONSHIP_AS_OF_DATE","20210517")</f>
        <v>#N/A N/A</v>
      </c>
      <c r="HR5" t="str">
        <f>_xll.BDS("MDRR US Equity","SUPPLY_CHAIN_CUSTOMERS","RELATIONSHIP_AS_OF_DATE","20210517","cols=1;rows=5")</f>
        <v>1552055D US Equity</v>
      </c>
      <c r="HW5" t="str">
        <f>_xll.BDS("BCAR US Equity","SUPPLY_CHAIN_SUPPLIERS","RELATIONSHIP_AS_OF_DATE","20010720")</f>
        <v>#N/A N/A</v>
      </c>
      <c r="IB5" t="str">
        <f>_xll.BDS("BCAR US Equity","SUPPLY_CHAIN_CUSTOMERS","RELATIONSHIP_AS_OF_DATE","20010720")</f>
        <v>#N/A N/A</v>
      </c>
      <c r="IG5" t="str">
        <f>_xll.BDS("HBMD US Equity","SUPPLY_CHAIN_SUPPLIERS","RELATIONSHIP_AS_OF_DATE","20150303")</f>
        <v>#N/A N/A</v>
      </c>
      <c r="IL5" t="str">
        <f>_xll.BDS("HBMD US Equity","SUPPLY_CHAIN_CUSTOMERS","RELATIONSHIP_AS_OF_DATE","20150303")</f>
        <v>#N/A N/A</v>
      </c>
      <c r="IQ5" t="str">
        <f>_xll.BDS("PSBI US Equity","SUPPLY_CHAIN_SUPPLIERS","RELATIONSHIP_AS_OF_DATE","19990322")</f>
        <v>#N/A N/A</v>
      </c>
      <c r="IV5" t="str">
        <f>_xll.BDS("PSBI US Equity","SUPPLY_CHAIN_CUSTOMERS","RELATIONSHIP_AS_OF_DATE","19990322")</f>
        <v>#N/A N/A</v>
      </c>
      <c r="JA5" t="str">
        <f>_xll.BDS("1917130D US Equity","SUPPLY_CHAIN_SUPPLIERS","RELATIONSHIP_AS_OF_DATE","20101108")</f>
        <v>#N/A N/A</v>
      </c>
      <c r="JF5" t="str">
        <f>_xll.BDS("1917130D US Equity","SUPPLY_CHAIN_CUSTOMERS","RELATIONSHIP_AS_OF_DATE","20101108")</f>
        <v>#N/A N/A</v>
      </c>
      <c r="JK5" t="str">
        <f>_xll.BDS("MFIN US Equity","SUPPLY_CHAIN_SUPPLIERS","RELATIONSHIP_AS_OF_DATE","19990817")</f>
        <v>#N/A N/A</v>
      </c>
      <c r="JP5" t="str">
        <f>_xll.BDS("MFIN US Equity","SUPPLY_CHAIN_CUSTOMERS","RELATIONSHIP_AS_OF_DATE","19990817")</f>
        <v>#N/A N/A</v>
      </c>
      <c r="JU5" t="str">
        <f>_xll.BDS("CRN US Equity","SUPPLY_CHAIN_SUPPLIERS","RELATIONSHIP_AS_OF_DATE","20050124")</f>
        <v>#N/A N/A</v>
      </c>
      <c r="JZ5" t="str">
        <f>_xll.BDS("CRN US Equity","SUPPLY_CHAIN_CUSTOMERS","RELATIONSHIP_AS_OF_DATE","20050124")</f>
        <v>#N/A N/A</v>
      </c>
      <c r="KE5" t="str">
        <f>_xll.BDS("THCH US Equity","SUPPLY_CHAIN_SUPPLIERS","RELATIONSHIP_AS_OF_DATE","19981112")</f>
        <v>#N/A N/A</v>
      </c>
      <c r="KJ5" t="str">
        <f>_xll.BDS("THCH US Equity","SUPPLY_CHAIN_CUSTOMERS","RELATIONSHIP_AS_OF_DATE","19981112")</f>
        <v>#N/A N/A</v>
      </c>
      <c r="KO5" t="str">
        <f>_xll.BDS("TRB US Equity","SUPPLY_CHAIN_SUPPLIERS","RELATIONSHIP_AS_OF_DATE","19990827")</f>
        <v>#N/A N/A</v>
      </c>
      <c r="KT5" t="str">
        <f>_xll.BDS("TRB US Equity","SUPPLY_CHAIN_CUSTOMERS","RELATIONSHIP_AS_OF_DATE","19990827")</f>
        <v>#N/A N/A</v>
      </c>
      <c r="KY5" t="str">
        <f>_xll.BDS("2652Q US Equity","SUPPLY_CHAIN_SUPPLIERS","RELATIONSHIP_AS_OF_DATE","19990702","cols=1;rows=2")</f>
        <v>535959Z US Equity</v>
      </c>
      <c r="LD5" t="str">
        <f>_xll.BDS("2652Q US Equity","SUPPLY_CHAIN_CUSTOMERS","RELATIONSHIP_AS_OF_DATE","19990702")</f>
        <v>#N/A N/A</v>
      </c>
      <c r="LI5" t="str">
        <f>_xll.BDS("FCNCA US Equity","SUPPLY_CHAIN_SUPPLIERS","RELATIONSHIP_AS_OF_DATE","20130828","cols=1;rows=5")</f>
        <v>RAIL US Equity</v>
      </c>
      <c r="LN5" t="str">
        <f>_xll.BDS("FCNCA US Equity","SUPPLY_CHAIN_CUSTOMERS","RELATIONSHIP_AS_OF_DATE","20130828")</f>
        <v>#N/A N/A</v>
      </c>
      <c r="LS5" t="str">
        <f>_xll.BDS("HTB US Equity","SUPPLY_CHAIN_SUPPLIERS","RELATIONSHIP_AS_OF_DATE","20140304")</f>
        <v>#N/A N/A</v>
      </c>
      <c r="LX5" t="str">
        <f>_xll.BDS("HTB US Equity","SUPPLY_CHAIN_CUSTOMERS","RELATIONSHIP_AS_OF_DATE","20140304")</f>
        <v>#N/A N/A</v>
      </c>
      <c r="MC5" t="str">
        <f>_xll.BDS("PRES US Equity","SUPPLY_CHAIN_SUPPLIERS","RELATIONSHIP_AS_OF_DATE","19981223")</f>
        <v>#N/A N/A</v>
      </c>
      <c r="MH5" t="str">
        <f>_xll.BDS("PRES US Equity","SUPPLY_CHAIN_CUSTOMERS","RELATIONSHIP_AS_OF_DATE","19981223")</f>
        <v>#N/A N/A</v>
      </c>
      <c r="MM5" t="str">
        <f>_xll.BDS("VDCY US Equity","SUPPLY_CHAIN_SUPPLIERS","RELATIONSHIP_AS_OF_DATE","19990803")</f>
        <v>#N/A N/A</v>
      </c>
      <c r="MR5" t="str">
        <f>_xll.BDS("VDCY US Equity","SUPPLY_CHAIN_CUSTOMERS","RELATIONSHIP_AS_OF_DATE","19990803")</f>
        <v>#N/A N/A</v>
      </c>
      <c r="MW5" t="str">
        <f>_xll.BDS("MCRL US Equity","SUPPLY_CHAIN_SUPPLIERS","RELATIONSHIP_AS_OF_DATE","19981022")</f>
        <v>#N/A N/A</v>
      </c>
      <c r="NB5" t="str">
        <f>_xll.BDS("MCRL US Equity","SUPPLY_CHAIN_CUSTOMERS","RELATIONSHIP_AS_OF_DATE","19981022")</f>
        <v>#N/A N/A</v>
      </c>
      <c r="NG5" t="str">
        <f>_xll.BDS("HEOP US Equity","SUPPLY_CHAIN_SUPPLIERS","RELATIONSHIP_AS_OF_DATE","20030611")</f>
        <v>#N/A N/A</v>
      </c>
      <c r="NL5" t="str">
        <f>_xll.BDS("HEOP US Equity","SUPPLY_CHAIN_CUSTOMERS","RELATIONSHIP_AS_OF_DATE","20030611")</f>
        <v>#N/A N/A</v>
      </c>
      <c r="NQ5" t="str">
        <f>_xll.BDS("1523873D US Equity","SUPPLY_CHAIN_SUPPLIERS","RELATIONSHIP_AS_OF_DATE","19980302")</f>
        <v>#N/A N/A</v>
      </c>
      <c r="NV5" t="str">
        <f>_xll.BDS("1523873D US Equity","SUPPLY_CHAIN_CUSTOMERS","RELATIONSHIP_AS_OF_DATE","19980302")</f>
        <v>#N/A N/A</v>
      </c>
    </row>
    <row r="6" spans="1:386" x14ac:dyDescent="0.25">
      <c r="BD6" t="s">
        <v>10661</v>
      </c>
      <c r="DG6" t="s">
        <v>10735</v>
      </c>
      <c r="DL6" t="s">
        <v>10744</v>
      </c>
      <c r="EA6" t="s">
        <v>11064</v>
      </c>
      <c r="EF6" t="s">
        <v>4219</v>
      </c>
      <c r="EK6" t="s">
        <v>10694</v>
      </c>
      <c r="EP6" t="s">
        <v>10633</v>
      </c>
      <c r="FY6" t="s">
        <v>10885</v>
      </c>
      <c r="GD6" t="s">
        <v>10861</v>
      </c>
      <c r="GN6" t="s">
        <v>10743</v>
      </c>
      <c r="HR6" t="s">
        <v>10645</v>
      </c>
      <c r="KY6" t="s">
        <v>8932</v>
      </c>
      <c r="LI6" t="s">
        <v>10972</v>
      </c>
    </row>
    <row r="7" spans="1:386" x14ac:dyDescent="0.25">
      <c r="BD7" t="s">
        <v>11213</v>
      </c>
      <c r="DG7" t="s">
        <v>10806</v>
      </c>
      <c r="DL7" t="s">
        <v>10745</v>
      </c>
      <c r="EA7" t="s">
        <v>10957</v>
      </c>
      <c r="EF7" t="s">
        <v>10660</v>
      </c>
      <c r="EK7" t="s">
        <v>6320</v>
      </c>
      <c r="EP7" t="s">
        <v>10634</v>
      </c>
      <c r="GD7" t="s">
        <v>10862</v>
      </c>
      <c r="HR7" t="s">
        <v>10646</v>
      </c>
      <c r="LI7" t="s">
        <v>10939</v>
      </c>
    </row>
    <row r="8" spans="1:386" x14ac:dyDescent="0.25">
      <c r="BD8" t="s">
        <v>11214</v>
      </c>
      <c r="DG8" t="s">
        <v>4043</v>
      </c>
      <c r="DL8" t="s">
        <v>10746</v>
      </c>
      <c r="EA8" t="s">
        <v>11141</v>
      </c>
      <c r="EF8" t="s">
        <v>10787</v>
      </c>
      <c r="EK8" t="s">
        <v>10695</v>
      </c>
      <c r="EP8" t="s">
        <v>44</v>
      </c>
      <c r="GD8" t="s">
        <v>10863</v>
      </c>
      <c r="HR8" t="s">
        <v>10647</v>
      </c>
      <c r="LI8" t="s">
        <v>10973</v>
      </c>
    </row>
    <row r="9" spans="1:386" x14ac:dyDescent="0.25">
      <c r="BD9" t="s">
        <v>11215</v>
      </c>
      <c r="DG9" t="s">
        <v>10807</v>
      </c>
      <c r="DL9" t="s">
        <v>10747</v>
      </c>
      <c r="EA9" t="s">
        <v>10811</v>
      </c>
      <c r="EF9" t="s">
        <v>11115</v>
      </c>
      <c r="EK9" t="s">
        <v>158</v>
      </c>
      <c r="EP9" t="s">
        <v>10635</v>
      </c>
      <c r="GD9" t="s">
        <v>10864</v>
      </c>
      <c r="HR9" t="s">
        <v>10648</v>
      </c>
      <c r="LI9" t="s">
        <v>10974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125</vt:i4>
      </vt:variant>
    </vt:vector>
  </HeadingPairs>
  <TitlesOfParts>
    <vt:vector size="125" baseType="lpstr">
      <vt:lpstr>SPLC_1</vt:lpstr>
      <vt:lpstr>SPLC_2</vt:lpstr>
      <vt:lpstr>SPLC_3</vt:lpstr>
      <vt:lpstr>SPLC_4</vt:lpstr>
      <vt:lpstr>SPLC_5</vt:lpstr>
      <vt:lpstr>SPLC_6</vt:lpstr>
      <vt:lpstr>SPLC_7</vt:lpstr>
      <vt:lpstr>SPLC_8</vt:lpstr>
      <vt:lpstr>SPLC_9</vt:lpstr>
      <vt:lpstr>SPLC_10</vt:lpstr>
      <vt:lpstr>SPLC_11</vt:lpstr>
      <vt:lpstr>SPLC_12</vt:lpstr>
      <vt:lpstr>SPLC_13</vt:lpstr>
      <vt:lpstr>SPLC_14</vt:lpstr>
      <vt:lpstr>SPLC_15</vt:lpstr>
      <vt:lpstr>SPLC_16</vt:lpstr>
      <vt:lpstr>SPLC_17</vt:lpstr>
      <vt:lpstr>SPLC_18</vt:lpstr>
      <vt:lpstr>SPLC_19</vt:lpstr>
      <vt:lpstr>SPLC_20</vt:lpstr>
      <vt:lpstr>SPLC_21</vt:lpstr>
      <vt:lpstr>SPLC_22</vt:lpstr>
      <vt:lpstr>SPLC_23</vt:lpstr>
      <vt:lpstr>SPLC_24</vt:lpstr>
      <vt:lpstr>SPLC_25</vt:lpstr>
      <vt:lpstr>SPLC_26</vt:lpstr>
      <vt:lpstr>SPLC_27</vt:lpstr>
      <vt:lpstr>SPLC_28</vt:lpstr>
      <vt:lpstr>SPLC_29</vt:lpstr>
      <vt:lpstr>SPLC_30</vt:lpstr>
      <vt:lpstr>SPLC_31</vt:lpstr>
      <vt:lpstr>SPLC_32</vt:lpstr>
      <vt:lpstr>SPLC_33</vt:lpstr>
      <vt:lpstr>SPLC_34</vt:lpstr>
      <vt:lpstr>SPLC_35</vt:lpstr>
      <vt:lpstr>SPLC_36</vt:lpstr>
      <vt:lpstr>SPLC_37</vt:lpstr>
      <vt:lpstr>SPLC_38</vt:lpstr>
      <vt:lpstr>SPLC_39</vt:lpstr>
      <vt:lpstr>SPLC_40</vt:lpstr>
      <vt:lpstr>SPLC_41</vt:lpstr>
      <vt:lpstr>SPLC_42</vt:lpstr>
      <vt:lpstr>SPLC_43</vt:lpstr>
      <vt:lpstr>SPLC_44</vt:lpstr>
      <vt:lpstr>SPLC_45</vt:lpstr>
      <vt:lpstr>SPLC_46</vt:lpstr>
      <vt:lpstr>SPLC_47</vt:lpstr>
      <vt:lpstr>SPLC_48</vt:lpstr>
      <vt:lpstr>SPLC_49</vt:lpstr>
      <vt:lpstr>SPLC_50</vt:lpstr>
      <vt:lpstr>SPLC_51</vt:lpstr>
      <vt:lpstr>SPLC_52</vt:lpstr>
      <vt:lpstr>SPLC_53</vt:lpstr>
      <vt:lpstr>SPLC_54</vt:lpstr>
      <vt:lpstr>SPLC_55</vt:lpstr>
      <vt:lpstr>SPLC_56</vt:lpstr>
      <vt:lpstr>SPLC_57</vt:lpstr>
      <vt:lpstr>SPLC_58</vt:lpstr>
      <vt:lpstr>SPLC_59</vt:lpstr>
      <vt:lpstr>SPLC_60</vt:lpstr>
      <vt:lpstr>SPLC_61</vt:lpstr>
      <vt:lpstr>SPLC_62</vt:lpstr>
      <vt:lpstr>SPLC_63</vt:lpstr>
      <vt:lpstr>SPLC_64</vt:lpstr>
      <vt:lpstr>SPLC_65</vt:lpstr>
      <vt:lpstr>SPLC_66</vt:lpstr>
      <vt:lpstr>SPLC_67</vt:lpstr>
      <vt:lpstr>SPLC_68</vt:lpstr>
      <vt:lpstr>SPLC_69</vt:lpstr>
      <vt:lpstr>SPLC_70</vt:lpstr>
      <vt:lpstr>SPLC_71</vt:lpstr>
      <vt:lpstr>SPLC_72</vt:lpstr>
      <vt:lpstr>SPLC_73</vt:lpstr>
      <vt:lpstr>SPLC_74</vt:lpstr>
      <vt:lpstr>SPLC_75</vt:lpstr>
      <vt:lpstr>SPLC_76</vt:lpstr>
      <vt:lpstr>SPLC_77</vt:lpstr>
      <vt:lpstr>SPLC_78</vt:lpstr>
      <vt:lpstr>SPLC_79</vt:lpstr>
      <vt:lpstr>SPLC_80</vt:lpstr>
      <vt:lpstr>SPLC_81</vt:lpstr>
      <vt:lpstr>SPLC_82</vt:lpstr>
      <vt:lpstr>SPLC_83</vt:lpstr>
      <vt:lpstr>SPLC_84</vt:lpstr>
      <vt:lpstr>SPLC_85</vt:lpstr>
      <vt:lpstr>SPLC_86</vt:lpstr>
      <vt:lpstr>SPLC_87</vt:lpstr>
      <vt:lpstr>SPLC_88</vt:lpstr>
      <vt:lpstr>SPLC_89</vt:lpstr>
      <vt:lpstr>SPLC_90</vt:lpstr>
      <vt:lpstr>SPLC_91</vt:lpstr>
      <vt:lpstr>SPLC_92</vt:lpstr>
      <vt:lpstr>SPLC_93</vt:lpstr>
      <vt:lpstr>SPLC_94</vt:lpstr>
      <vt:lpstr>SPLC_95</vt:lpstr>
      <vt:lpstr>SPLC_96</vt:lpstr>
      <vt:lpstr>SPLC_97</vt:lpstr>
      <vt:lpstr>SPLC_98</vt:lpstr>
      <vt:lpstr>SPLC_99</vt:lpstr>
      <vt:lpstr>SPLC_100</vt:lpstr>
      <vt:lpstr>SPLC_101</vt:lpstr>
      <vt:lpstr>SPLC_102</vt:lpstr>
      <vt:lpstr>SPLC_103</vt:lpstr>
      <vt:lpstr>SPLC_104</vt:lpstr>
      <vt:lpstr>SPLC_105</vt:lpstr>
      <vt:lpstr>SPLC_106</vt:lpstr>
      <vt:lpstr>SPLC_107</vt:lpstr>
      <vt:lpstr>SPLC_108</vt:lpstr>
      <vt:lpstr>SPLC_109</vt:lpstr>
      <vt:lpstr>SPLC_110</vt:lpstr>
      <vt:lpstr>SPLC_111</vt:lpstr>
      <vt:lpstr>SPLC_112</vt:lpstr>
      <vt:lpstr>SPLC_113</vt:lpstr>
      <vt:lpstr>SPLC_114</vt:lpstr>
      <vt:lpstr>SPLC_115</vt:lpstr>
      <vt:lpstr>SPLC_116</vt:lpstr>
      <vt:lpstr>SPLC_117</vt:lpstr>
      <vt:lpstr>SPLC_118</vt:lpstr>
      <vt:lpstr>SPLC_119</vt:lpstr>
      <vt:lpstr>SPLC_120</vt:lpstr>
      <vt:lpstr>SPLC_121</vt:lpstr>
      <vt:lpstr>SPLC_122</vt:lpstr>
      <vt:lpstr>SPLC_123</vt:lpstr>
      <vt:lpstr>SPLC_124</vt:lpstr>
      <vt:lpstr>SPLC_125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 Brijeshkumar JOSHI</cp:lastModifiedBy>
  <dcterms:created xsi:type="dcterms:W3CDTF">2026-03-10T15:15:52Z</dcterms:created>
  <dcterms:modified xsi:type="dcterms:W3CDTF">2026-03-10T15:35:54Z</dcterms:modified>
</cp:coreProperties>
</file>