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2512658\hardjoshi-ma\data\raw\"/>
    </mc:Choice>
  </mc:AlternateContent>
  <xr:revisionPtr revIDLastSave="0" documentId="13_ncr:1_{A9E8AC3E-8F40-4216-8280-993E25CC0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LC_151" sheetId="1" r:id="rId1"/>
    <sheet name="SPLC_152" sheetId="2" r:id="rId2"/>
    <sheet name="SPLC_153" sheetId="3" r:id="rId3"/>
    <sheet name="SPLC_154" sheetId="4" r:id="rId4"/>
    <sheet name="SPLC_155" sheetId="5" r:id="rId5"/>
    <sheet name="SPLC_156" sheetId="6" r:id="rId6"/>
    <sheet name="SPLC_157" sheetId="7" r:id="rId7"/>
    <sheet name="SPLC_158" sheetId="8" r:id="rId8"/>
    <sheet name="SPLC_159" sheetId="9" r:id="rId9"/>
    <sheet name="SPLC_160" sheetId="10" r:id="rId10"/>
    <sheet name="SPLC_161" sheetId="11" r:id="rId11"/>
    <sheet name="SPLC_162" sheetId="12" r:id="rId12"/>
    <sheet name="SPLC_163" sheetId="13" r:id="rId13"/>
    <sheet name="SPLC_164" sheetId="14" r:id="rId14"/>
    <sheet name="SPLC_165" sheetId="15" r:id="rId15"/>
    <sheet name="SPLC_166" sheetId="16" r:id="rId16"/>
    <sheet name="SPLC_167" sheetId="17" r:id="rId17"/>
    <sheet name="SPLC_168" sheetId="18" r:id="rId18"/>
    <sheet name="SPLC_169" sheetId="19" r:id="rId19"/>
    <sheet name="SPLC_170" sheetId="20" r:id="rId20"/>
    <sheet name="SPLC_171" sheetId="21" r:id="rId21"/>
    <sheet name="SPLC_172" sheetId="22" r:id="rId22"/>
    <sheet name="SPLC_173" sheetId="23" r:id="rId23"/>
    <sheet name="SPLC_174" sheetId="24" r:id="rId24"/>
    <sheet name="SPLC_175" sheetId="25" r:id="rId25"/>
    <sheet name="SPLC_176" sheetId="26" r:id="rId26"/>
    <sheet name="SPLC_177" sheetId="27" r:id="rId27"/>
    <sheet name="SPLC_178" sheetId="28" r:id="rId28"/>
    <sheet name="SPLC_179" sheetId="29" r:id="rId29"/>
    <sheet name="SPLC_180" sheetId="30" r:id="rId30"/>
    <sheet name="SPLC_181" sheetId="31" r:id="rId31"/>
    <sheet name="SPLC_182" sheetId="32" r:id="rId32"/>
    <sheet name="SPLC_183" sheetId="33" r:id="rId33"/>
    <sheet name="SPLC_184" sheetId="34" r:id="rId34"/>
    <sheet name="SPLC_185" sheetId="35" r:id="rId35"/>
    <sheet name="SPLC_186" sheetId="36" r:id="rId36"/>
    <sheet name="SPLC_187" sheetId="37" r:id="rId37"/>
    <sheet name="SPLC_188" sheetId="38" r:id="rId38"/>
    <sheet name="SPLC_189" sheetId="39" r:id="rId39"/>
    <sheet name="SPLC_190" sheetId="40" r:id="rId40"/>
    <sheet name="SPLC_191" sheetId="41" r:id="rId41"/>
    <sheet name="SPLC_192" sheetId="42" r:id="rId42"/>
    <sheet name="SPLC_193" sheetId="43" r:id="rId43"/>
    <sheet name="SPLC_194" sheetId="44" r:id="rId44"/>
    <sheet name="SPLC_195" sheetId="45" r:id="rId45"/>
    <sheet name="SPLC_196" sheetId="46" r:id="rId46"/>
    <sheet name="SPLC_197" sheetId="47" r:id="rId47"/>
    <sheet name="SPLC_198" sheetId="48" r:id="rId48"/>
    <sheet name="SPLC_199" sheetId="49" r:id="rId49"/>
    <sheet name="SPLC_200" sheetId="50" r:id="rId5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M5" i="9" l="1"/>
  <c r="CM5" i="17"/>
  <c r="PE5" i="15"/>
  <c r="HC5" i="8"/>
  <c r="QI5" i="14"/>
  <c r="AS5" i="4"/>
  <c r="TE5" i="8"/>
  <c r="PS5" i="13"/>
  <c r="OO5" i="17"/>
  <c r="EE5" i="15"/>
  <c r="DQ5" i="28"/>
  <c r="FY5" i="18"/>
  <c r="DQ5" i="14"/>
  <c r="TU5" i="18"/>
  <c r="DA5" i="16"/>
  <c r="PE5" i="14"/>
  <c r="IG5" i="31"/>
  <c r="IG5" i="27"/>
  <c r="EU5" i="15"/>
  <c r="BI5" i="34"/>
  <c r="DQ5" i="20"/>
  <c r="EE5" i="14"/>
  <c r="JK5" i="24"/>
  <c r="SA5" i="7"/>
  <c r="BI5" i="29"/>
  <c r="PE5" i="35"/>
  <c r="BI5" i="21"/>
  <c r="BI5" i="30"/>
  <c r="MW5" i="26"/>
  <c r="NK5" i="3"/>
  <c r="O5" i="1"/>
  <c r="IU5" i="24"/>
  <c r="OA5" i="42"/>
  <c r="AE5" i="4"/>
  <c r="MW5" i="40"/>
  <c r="SA5" i="2"/>
  <c r="GM5" i="18"/>
  <c r="GM5" i="8"/>
  <c r="PS5" i="15"/>
  <c r="JK5" i="31"/>
  <c r="FY5" i="37"/>
  <c r="PE5" i="44"/>
  <c r="NK5" i="21"/>
  <c r="TE5" i="2"/>
  <c r="HC5" i="7"/>
  <c r="DQ5" i="16"/>
  <c r="EU5" i="12"/>
  <c r="QW5" i="11"/>
  <c r="TE5" i="6"/>
  <c r="QI5" i="13"/>
  <c r="FY5" i="10"/>
  <c r="JK5" i="27"/>
  <c r="FI5" i="13"/>
  <c r="SQ5" i="8"/>
  <c r="SQ5" i="5"/>
  <c r="DQ5" i="34"/>
  <c r="GM5" i="9"/>
  <c r="BW5" i="29"/>
  <c r="EU5" i="20"/>
  <c r="FY5" i="25"/>
  <c r="PE5" i="23"/>
  <c r="UI5" i="4"/>
  <c r="NK5" i="1"/>
  <c r="PS5" i="14"/>
  <c r="HQ5" i="5"/>
  <c r="PE5" i="32"/>
  <c r="AE5" i="5"/>
  <c r="QI5" i="15"/>
  <c r="TU5" i="47"/>
  <c r="QW5" i="13"/>
  <c r="GM5" i="7"/>
  <c r="RM5" i="21"/>
  <c r="O5" i="4"/>
  <c r="PE5" i="40"/>
  <c r="CM5" i="1"/>
  <c r="IU5" i="5"/>
  <c r="UI5" i="10"/>
  <c r="TU5" i="25"/>
  <c r="RM5" i="35"/>
  <c r="DA5" i="1"/>
  <c r="MG5" i="3"/>
  <c r="TU5" i="2"/>
  <c r="IG5" i="5"/>
  <c r="SA5" i="13"/>
  <c r="FY5" i="9"/>
  <c r="FY5" i="8"/>
  <c r="UY5" i="4"/>
  <c r="FI5" i="29"/>
  <c r="DQ5" i="48"/>
  <c r="SA5" i="9"/>
  <c r="HC5" i="6"/>
  <c r="PS5" i="12"/>
  <c r="HC5" i="2"/>
  <c r="SQ5" i="10"/>
  <c r="UI5" i="1"/>
  <c r="FY5" i="13"/>
  <c r="EU5" i="34"/>
  <c r="OA5" i="27"/>
  <c r="OA5" i="3"/>
  <c r="GM5" i="12"/>
  <c r="RM5" i="11"/>
  <c r="EU5" i="29"/>
  <c r="FY5" i="12"/>
  <c r="OA5" i="21"/>
  <c r="TU5" i="6"/>
  <c r="TU5" i="5"/>
  <c r="GM5" i="10"/>
  <c r="FY5" i="20"/>
  <c r="HQ5" i="7"/>
  <c r="QW5" i="2"/>
  <c r="RM5" i="13"/>
  <c r="VM5" i="4"/>
  <c r="JK5" i="5"/>
  <c r="IU5" i="22"/>
  <c r="OA5" i="19"/>
  <c r="FI5" i="15"/>
  <c r="EU5" i="17"/>
  <c r="HC5" i="18"/>
  <c r="BI5" i="4"/>
  <c r="SA5" i="12"/>
  <c r="KO5" i="24"/>
  <c r="JY5" i="24"/>
  <c r="EE5" i="12"/>
  <c r="SA5" i="11"/>
  <c r="HC5" i="22"/>
  <c r="A5" i="19"/>
  <c r="PE5" i="26"/>
  <c r="TU5" i="20"/>
  <c r="EE5" i="16"/>
  <c r="EU5" i="14"/>
  <c r="KO5" i="27"/>
  <c r="BI5" i="23"/>
  <c r="EU5" i="30"/>
  <c r="RM5" i="23"/>
  <c r="FY5" i="28"/>
  <c r="GM5" i="14"/>
  <c r="TE5" i="32"/>
  <c r="AE5" i="39"/>
  <c r="EU5" i="28"/>
  <c r="A5" i="5"/>
  <c r="QW5" i="9"/>
  <c r="AE5" i="45"/>
  <c r="UI5" i="25"/>
  <c r="A5" i="33"/>
  <c r="OO5" i="3"/>
  <c r="HQ5" i="2"/>
  <c r="QI5" i="10"/>
  <c r="EU5" i="13"/>
  <c r="UY5" i="1"/>
  <c r="TU5" i="1"/>
  <c r="TE5" i="10"/>
  <c r="SQ5" i="9"/>
  <c r="HC5" i="11"/>
  <c r="QI5" i="11"/>
  <c r="IG5" i="7"/>
  <c r="BI5" i="45"/>
  <c r="UI5" i="5"/>
  <c r="TE5" i="20"/>
  <c r="IU5" i="8"/>
  <c r="QW5" i="17"/>
  <c r="QI5" i="2"/>
  <c r="DA5" i="3"/>
  <c r="GM5" i="13"/>
  <c r="UI5" i="14"/>
  <c r="LC5" i="27"/>
  <c r="OA5" i="4"/>
  <c r="JY5" i="18"/>
  <c r="JK5" i="6"/>
  <c r="UI5" i="6"/>
  <c r="FI5" i="17"/>
  <c r="TU5" i="9"/>
  <c r="GM5" i="28"/>
  <c r="GM5" i="20"/>
  <c r="OO5" i="31"/>
  <c r="FY5" i="14"/>
  <c r="QW5" i="15"/>
  <c r="OO5" i="21"/>
  <c r="SA5" i="14"/>
  <c r="EU5" i="25"/>
  <c r="SQ5" i="23"/>
  <c r="HC5" i="12"/>
  <c r="JY5" i="2"/>
  <c r="PE5" i="3"/>
  <c r="JK5" i="18"/>
  <c r="FY5" i="15"/>
  <c r="OO5" i="19"/>
  <c r="UY5" i="5"/>
  <c r="UY5" i="25"/>
  <c r="AS5" i="32"/>
  <c r="BI5" i="38"/>
  <c r="AE5" i="19"/>
  <c r="OA5" i="28"/>
  <c r="AE5" i="24"/>
  <c r="JK5" i="29"/>
  <c r="IU5" i="18"/>
  <c r="A5" i="41"/>
  <c r="SQ5" i="2"/>
  <c r="A5" i="21"/>
  <c r="FY5" i="30"/>
  <c r="TU5" i="35"/>
  <c r="TE5" i="1"/>
  <c r="MG5" i="2"/>
  <c r="KO5" i="30"/>
  <c r="OA5" i="40"/>
  <c r="BW5" i="23"/>
  <c r="PS5" i="26"/>
  <c r="FY5" i="48"/>
  <c r="JY5" i="8"/>
  <c r="RM5" i="37"/>
  <c r="KO5" i="37"/>
  <c r="RM5" i="7"/>
  <c r="AE5" i="26"/>
  <c r="SQ5" i="6"/>
  <c r="CM5" i="3"/>
  <c r="PE5" i="17"/>
  <c r="EU5" i="16"/>
  <c r="LS5" i="1"/>
  <c r="VM5" i="1"/>
  <c r="BW5" i="4"/>
  <c r="IU5" i="2"/>
  <c r="O5" i="5"/>
  <c r="JY5" i="30"/>
  <c r="UY5" i="6"/>
  <c r="JY5" i="6"/>
  <c r="HQ5" i="11"/>
  <c r="KO5" i="34"/>
  <c r="JK5" i="8"/>
  <c r="HC5" i="13"/>
  <c r="RM5" i="19"/>
  <c r="TE5" i="26"/>
  <c r="TU5" i="10"/>
  <c r="UI5" i="21"/>
  <c r="KO5" i="5"/>
  <c r="SA5" i="16"/>
  <c r="RM5" i="17"/>
  <c r="PE5" i="21"/>
  <c r="GM5" i="15"/>
  <c r="IU5" i="7"/>
  <c r="TU5" i="7"/>
  <c r="PE5" i="37"/>
  <c r="JK5" i="37"/>
  <c r="UY5" i="23"/>
  <c r="FY5" i="29"/>
  <c r="BI5" i="33"/>
  <c r="FY5" i="16"/>
  <c r="HC5" i="20"/>
  <c r="TU5" i="23"/>
  <c r="BI5" i="36"/>
  <c r="O5" i="26"/>
  <c r="JK5" i="20"/>
  <c r="SQ5" i="14"/>
  <c r="PE5" i="24"/>
  <c r="BI5" i="43"/>
  <c r="PE5" i="48"/>
  <c r="OA5" i="32"/>
  <c r="LS5" i="4"/>
  <c r="KO5" i="28"/>
  <c r="BI5" i="41"/>
  <c r="CM5" i="23"/>
  <c r="AE5" i="41"/>
  <c r="BW5" i="21"/>
  <c r="IG5" i="43"/>
  <c r="BI5" i="5"/>
  <c r="MW5" i="4"/>
  <c r="PS5" i="3"/>
  <c r="QI5" i="26"/>
  <c r="SQ5" i="37"/>
  <c r="EU5" i="10"/>
  <c r="IG5" i="41"/>
  <c r="MW5" i="30"/>
  <c r="JK5" i="43"/>
  <c r="AS5" i="26"/>
  <c r="UY5" i="8"/>
  <c r="FY5" i="39"/>
  <c r="UI5" i="11"/>
  <c r="EU5" i="23"/>
  <c r="EU5" i="36"/>
  <c r="UY5" i="7"/>
  <c r="RM5" i="45"/>
  <c r="A5" i="49"/>
  <c r="JK5" i="2"/>
  <c r="IU5" i="12"/>
  <c r="KO5" i="6"/>
  <c r="EE5" i="1"/>
  <c r="IU5" i="13"/>
  <c r="OA5" i="34"/>
  <c r="O5" i="10"/>
  <c r="VM5" i="10"/>
  <c r="LS5" i="6"/>
  <c r="BW5" i="5"/>
  <c r="TU5" i="14"/>
  <c r="KO5" i="10"/>
  <c r="UI5" i="12"/>
  <c r="LC5" i="8"/>
  <c r="PS5" i="24"/>
  <c r="AS5" i="6"/>
  <c r="HC5" i="3"/>
  <c r="KO5" i="18"/>
  <c r="FI5" i="23"/>
  <c r="JY5" i="20"/>
  <c r="TU5" i="15"/>
  <c r="IU5" i="16"/>
  <c r="UI5" i="2"/>
  <c r="TU5" i="16"/>
  <c r="HQ5" i="17"/>
  <c r="O5" i="24"/>
  <c r="PE5" i="34"/>
  <c r="TU5" i="21"/>
  <c r="MW5" i="22"/>
  <c r="O5" i="2"/>
  <c r="UY5" i="21"/>
  <c r="CM5" i="21"/>
  <c r="UY5" i="12"/>
  <c r="HQ5" i="13"/>
  <c r="OA5" i="30"/>
  <c r="MW5" i="18"/>
  <c r="GM5" i="16"/>
  <c r="EU5" i="19"/>
  <c r="JK5" i="41"/>
  <c r="KO5" i="9"/>
  <c r="KO5" i="16"/>
  <c r="TU5" i="37"/>
  <c r="BI5" i="49"/>
  <c r="DQ5" i="38"/>
  <c r="JK5" i="7"/>
  <c r="DA5" i="4"/>
  <c r="AE5" i="6"/>
  <c r="KO5" i="41"/>
  <c r="KO5" i="39"/>
  <c r="KO5" i="25"/>
  <c r="KO5" i="8"/>
  <c r="DQ5" i="46"/>
  <c r="OO5" i="1"/>
  <c r="UY5" i="10"/>
  <c r="QI5" i="1"/>
  <c r="DQ5" i="36"/>
  <c r="BW5" i="6"/>
  <c r="VM5" i="8"/>
  <c r="DQ5" i="26"/>
  <c r="QI5" i="3"/>
  <c r="RM5" i="43"/>
  <c r="SQ5" i="21"/>
  <c r="TU5" i="19"/>
  <c r="FY5" i="46"/>
  <c r="LS5" i="10"/>
  <c r="UY5" i="17"/>
  <c r="RM5" i="41"/>
  <c r="JK5" i="28"/>
  <c r="CM5" i="6"/>
  <c r="AE5" i="11"/>
  <c r="BI5" i="10"/>
  <c r="AE5" i="8"/>
  <c r="LC5" i="2"/>
  <c r="RM5" i="39"/>
  <c r="SQ5" i="17"/>
  <c r="KO5" i="49"/>
  <c r="O5" i="14"/>
  <c r="TU5" i="13"/>
  <c r="JK5" i="10"/>
  <c r="IG5" i="49"/>
  <c r="IG5" i="23"/>
  <c r="TU5" i="17"/>
  <c r="PE5" i="1"/>
  <c r="RM5" i="31"/>
  <c r="IG5" i="3"/>
  <c r="JK5" i="39"/>
  <c r="UI5" i="16"/>
  <c r="EU5" i="4"/>
  <c r="FI5" i="19"/>
  <c r="SA5" i="3"/>
  <c r="PE5" i="4"/>
  <c r="KO5" i="20"/>
  <c r="SQ5" i="15"/>
  <c r="BI5" i="6"/>
  <c r="KO5" i="14"/>
  <c r="AS5" i="24"/>
  <c r="SQ5" i="3"/>
  <c r="AE5" i="10"/>
  <c r="MG5" i="10"/>
  <c r="UI5" i="15"/>
  <c r="PE5" i="18"/>
  <c r="MW5" i="36"/>
  <c r="BW5" i="8"/>
  <c r="LC5" i="25"/>
  <c r="IG5" i="33"/>
  <c r="UI5" i="19"/>
  <c r="JY5" i="16"/>
  <c r="LS5" i="25"/>
  <c r="LS5" i="11"/>
  <c r="BW5" i="2"/>
  <c r="OO5" i="5"/>
  <c r="PE5" i="42"/>
  <c r="EU5" i="21"/>
  <c r="PE5" i="29"/>
  <c r="PS5" i="4"/>
  <c r="HC5" i="17"/>
  <c r="DA5" i="2"/>
  <c r="LC5" i="12"/>
  <c r="AE5" i="27"/>
  <c r="SQ5" i="27"/>
  <c r="IU5" i="17"/>
  <c r="SA5" i="24"/>
  <c r="FY5" i="1"/>
  <c r="CM5" i="2"/>
  <c r="EU5" i="26"/>
  <c r="SQ5" i="24"/>
  <c r="MW5" i="20"/>
  <c r="A5" i="3"/>
  <c r="EE5" i="5"/>
  <c r="LS5" i="21"/>
  <c r="BI5" i="12"/>
  <c r="FY5" i="19"/>
  <c r="PS5" i="1"/>
  <c r="MW5" i="2"/>
  <c r="UI5" i="17"/>
  <c r="O5" i="20"/>
  <c r="LC5" i="16"/>
  <c r="PE5" i="5"/>
  <c r="KO5" i="15"/>
  <c r="NK5" i="6"/>
  <c r="RM5" i="29"/>
  <c r="A5" i="35"/>
  <c r="LC5" i="13"/>
  <c r="BI5" i="39"/>
  <c r="QI5" i="5"/>
  <c r="JK5" i="3"/>
  <c r="LS5" i="12"/>
  <c r="LC5" i="14"/>
  <c r="BI5" i="11"/>
  <c r="GM5" i="1"/>
  <c r="MW5" i="46"/>
  <c r="TU5" i="41"/>
  <c r="UY5" i="19"/>
  <c r="O5" i="3"/>
  <c r="JK5" i="33"/>
  <c r="OA5" i="36"/>
  <c r="TU5" i="30"/>
  <c r="BI5" i="9"/>
  <c r="TU5" i="34"/>
  <c r="QI5" i="4"/>
  <c r="AE5" i="35"/>
  <c r="MW5" i="10"/>
  <c r="A5" i="45"/>
  <c r="OA5" i="7"/>
  <c r="AE5" i="13"/>
  <c r="EU5" i="5"/>
  <c r="JY5" i="28"/>
  <c r="DA5" i="6"/>
  <c r="TE5" i="3"/>
  <c r="JK5" i="23"/>
  <c r="QI5" i="22"/>
  <c r="LC5" i="15"/>
  <c r="NK5" i="11"/>
  <c r="FY5" i="38"/>
  <c r="OA5" i="22"/>
  <c r="HC5" i="16"/>
  <c r="SQ5" i="7"/>
  <c r="CM5" i="8"/>
  <c r="PS5" i="18"/>
  <c r="BW5" i="9"/>
  <c r="BI5" i="35"/>
  <c r="EU5" i="32"/>
  <c r="DQ5" i="44"/>
  <c r="IG5" i="19"/>
  <c r="LS5" i="17"/>
  <c r="IG5" i="39"/>
  <c r="FY5" i="36"/>
  <c r="DQ5" i="32"/>
  <c r="LS5" i="27"/>
  <c r="KO5" i="23"/>
  <c r="A5" i="47"/>
  <c r="LS5" i="2"/>
  <c r="OA5" i="11"/>
  <c r="NK5" i="13"/>
  <c r="DA5" i="5"/>
  <c r="MG5" i="12"/>
  <c r="NK5" i="25"/>
  <c r="QW5" i="1"/>
  <c r="TU5" i="49"/>
  <c r="KO5" i="2"/>
  <c r="FY5" i="5"/>
  <c r="MW5" i="38"/>
  <c r="BW5" i="11"/>
  <c r="MW5" i="6"/>
  <c r="PE5" i="36"/>
  <c r="BI5" i="26"/>
  <c r="HC5" i="26"/>
  <c r="KO5" i="17"/>
  <c r="BI5" i="47"/>
  <c r="PE5" i="46"/>
  <c r="AE5" i="22"/>
  <c r="O5" i="12"/>
  <c r="TE5" i="24"/>
  <c r="OA5" i="5"/>
  <c r="EU5" i="27"/>
  <c r="RM5" i="33"/>
  <c r="UY5" i="13"/>
  <c r="IG5" i="17"/>
  <c r="PS5" i="5"/>
  <c r="TU5" i="39"/>
  <c r="NK5" i="7"/>
  <c r="EE5" i="7"/>
  <c r="VM5" i="14"/>
  <c r="EE5" i="3"/>
  <c r="LS5" i="13"/>
  <c r="CM5" i="10"/>
  <c r="CM5" i="9"/>
  <c r="AS5" i="10"/>
  <c r="FI5" i="5"/>
  <c r="PE5" i="33"/>
  <c r="SA5" i="4"/>
  <c r="KO5" i="13"/>
  <c r="SQ5" i="19"/>
  <c r="BI5" i="19"/>
  <c r="UY5" i="11"/>
  <c r="HC5" i="9"/>
  <c r="FY5" i="4"/>
  <c r="NK5" i="14"/>
  <c r="PE5" i="19"/>
  <c r="TU5" i="3"/>
  <c r="KO5" i="38"/>
  <c r="TU5" i="36"/>
  <c r="PE5" i="30"/>
  <c r="AS5" i="22"/>
  <c r="EU5" i="40"/>
  <c r="FY5" i="35"/>
  <c r="AE5" i="9"/>
  <c r="FI5" i="27"/>
  <c r="TU5" i="26"/>
  <c r="PE5" i="6"/>
  <c r="UY5" i="15"/>
  <c r="EU5" i="44"/>
  <c r="JY5" i="32"/>
  <c r="KO5" i="29"/>
  <c r="OA5" i="13"/>
  <c r="MG5" i="6"/>
  <c r="KO5" i="3"/>
  <c r="EE5" i="9"/>
  <c r="A5" i="25"/>
  <c r="IG5" i="9"/>
  <c r="RM5" i="1"/>
  <c r="DA5" i="8"/>
  <c r="JK5" i="25"/>
  <c r="SQ5" i="4"/>
  <c r="DQ5" i="42"/>
  <c r="AS5" i="3"/>
  <c r="UY5" i="27"/>
  <c r="OA5" i="2"/>
  <c r="NK5" i="10"/>
  <c r="DQ5" i="8"/>
  <c r="QI5" i="24"/>
  <c r="EU5" i="7"/>
  <c r="PE5" i="8"/>
  <c r="MW5" i="14"/>
  <c r="BI5" i="16"/>
  <c r="CM5" i="12"/>
  <c r="JK5" i="19"/>
  <c r="BW5" i="13"/>
  <c r="OO5" i="11"/>
  <c r="NK5" i="15"/>
  <c r="FY5" i="44"/>
  <c r="AE5" i="17"/>
  <c r="BI5" i="15"/>
  <c r="MG5" i="16"/>
  <c r="GM5" i="5"/>
  <c r="IU5" i="20"/>
  <c r="DA5" i="18"/>
  <c r="NK5" i="4"/>
  <c r="A5" i="37"/>
  <c r="PE5" i="9"/>
  <c r="OO5" i="25"/>
  <c r="AS5" i="20"/>
  <c r="SA5" i="18"/>
  <c r="DQ5" i="40"/>
  <c r="SQ5" i="22"/>
  <c r="UI5" i="9"/>
  <c r="MG5" i="8"/>
  <c r="JY5" i="14"/>
  <c r="NK5" i="9"/>
  <c r="FY5" i="24"/>
  <c r="JK5" i="21"/>
  <c r="TU5" i="29"/>
  <c r="TU5" i="28"/>
  <c r="A5" i="31"/>
  <c r="PE5" i="11"/>
  <c r="CM5" i="27"/>
  <c r="TU5" i="11"/>
  <c r="IG5" i="35"/>
  <c r="EU5" i="42"/>
  <c r="LS5" i="23"/>
  <c r="UI5" i="23"/>
  <c r="SQ5" i="26"/>
  <c r="MW5" i="34"/>
  <c r="LC5" i="10"/>
  <c r="HC5" i="15"/>
  <c r="AE5" i="3"/>
  <c r="CM5" i="19"/>
  <c r="UY5" i="9"/>
  <c r="QW5" i="19"/>
  <c r="LS5" i="9"/>
  <c r="TE5" i="16"/>
  <c r="LC5" i="6"/>
  <c r="IU5" i="14"/>
  <c r="SA5" i="22"/>
  <c r="BI5" i="8"/>
  <c r="IU5" i="6"/>
  <c r="NK5" i="2"/>
  <c r="FI5" i="31"/>
  <c r="TU5" i="12"/>
  <c r="EU5" i="18"/>
  <c r="IG5" i="13"/>
  <c r="BI5" i="31"/>
  <c r="OA5" i="24"/>
  <c r="RM5" i="3"/>
  <c r="NK5" i="36"/>
  <c r="AE5" i="20"/>
  <c r="JY5" i="3"/>
  <c r="OA5" i="25"/>
  <c r="PS5" i="8"/>
  <c r="QI5" i="18"/>
  <c r="LC5" i="17"/>
  <c r="A5" i="27"/>
  <c r="DQ5" i="24"/>
  <c r="OA5" i="8"/>
  <c r="TU5" i="24"/>
  <c r="SQ5" i="29"/>
  <c r="PE5" i="39"/>
  <c r="EE5" i="23"/>
  <c r="AS5" i="2"/>
  <c r="FY5" i="32"/>
  <c r="AE5" i="31"/>
  <c r="IG5" i="1"/>
  <c r="CM5" i="13"/>
  <c r="SA5" i="1"/>
  <c r="OO5" i="2"/>
  <c r="PS5" i="9"/>
  <c r="BI5" i="3"/>
  <c r="QI5" i="7"/>
  <c r="LC5" i="3"/>
  <c r="LC5" i="29"/>
  <c r="OO5" i="13"/>
  <c r="EE5" i="8"/>
  <c r="PE5" i="10"/>
  <c r="SQ5" i="41"/>
  <c r="TU5" i="38"/>
  <c r="TU5" i="27"/>
  <c r="HC5" i="14"/>
  <c r="DQ5" i="10"/>
  <c r="OA5" i="12"/>
  <c r="PE5" i="28"/>
  <c r="OA5" i="15"/>
  <c r="OA5" i="10"/>
  <c r="DA5" i="12"/>
  <c r="IU5" i="4"/>
  <c r="UY5" i="3"/>
  <c r="BW5" i="16"/>
  <c r="MW5" i="16"/>
  <c r="CM5" i="14"/>
  <c r="PE5" i="25"/>
  <c r="A5" i="29"/>
  <c r="TE5" i="22"/>
  <c r="BI5" i="17"/>
  <c r="KO5" i="19"/>
  <c r="NK5" i="17"/>
  <c r="O5" i="6"/>
  <c r="SQ5" i="18"/>
  <c r="NK5" i="23"/>
  <c r="SQ5" i="33"/>
  <c r="GM5" i="24"/>
  <c r="AE5" i="25"/>
  <c r="QI5" i="20"/>
  <c r="IG5" i="47"/>
  <c r="UI5" i="29"/>
  <c r="A5" i="17"/>
  <c r="KO5" i="7"/>
  <c r="OA5" i="38"/>
  <c r="BW5" i="15"/>
  <c r="AS5" i="28"/>
  <c r="FI5" i="11"/>
  <c r="HQ5" i="1"/>
  <c r="SQ5" i="16"/>
  <c r="KO5" i="32"/>
  <c r="MW5" i="50"/>
  <c r="VM5" i="6"/>
  <c r="AE5" i="37"/>
  <c r="CM5" i="4"/>
  <c r="FY5" i="42"/>
  <c r="UI5" i="13"/>
  <c r="JY5" i="10"/>
  <c r="KO5" i="47"/>
  <c r="BI5" i="2"/>
  <c r="TE5" i="14"/>
  <c r="QW5" i="7"/>
  <c r="IU5" i="43"/>
  <c r="DA5" i="20"/>
  <c r="PS5" i="16"/>
  <c r="HQ5" i="15"/>
  <c r="JK5" i="16"/>
  <c r="QW5" i="3"/>
  <c r="OA5" i="1"/>
  <c r="HQ5" i="3"/>
  <c r="OA5" i="17"/>
  <c r="LC5" i="5"/>
  <c r="DA5" i="14"/>
  <c r="JK5" i="9"/>
  <c r="QI5" i="9"/>
  <c r="HC5" i="5"/>
  <c r="PS5" i="10"/>
  <c r="NK5" i="5"/>
  <c r="IU5" i="1"/>
  <c r="A5" i="1"/>
  <c r="BW5" i="3"/>
  <c r="O5" i="33"/>
  <c r="NK5" i="20"/>
  <c r="KO5" i="43"/>
  <c r="RM5" i="5"/>
  <c r="MW5" i="32"/>
  <c r="BI5" i="13"/>
  <c r="PE5" i="12"/>
  <c r="NK5" i="18"/>
  <c r="LS5" i="16"/>
  <c r="KO5" i="12"/>
  <c r="IU5" i="35"/>
  <c r="SQ5" i="1"/>
  <c r="VM5" i="12"/>
  <c r="LS5" i="3"/>
  <c r="BI5" i="18"/>
  <c r="KO5" i="1"/>
  <c r="VM5" i="3"/>
  <c r="FY5" i="7"/>
  <c r="AE5" i="7"/>
  <c r="NK5" i="16"/>
  <c r="AE5" i="28"/>
  <c r="HC5" i="1"/>
  <c r="EU5" i="11"/>
  <c r="CM5" i="16"/>
  <c r="FI5" i="12"/>
  <c r="EE5" i="13"/>
  <c r="SA5" i="6"/>
  <c r="BW5" i="17"/>
  <c r="QI5" i="8"/>
  <c r="JK5" i="45"/>
  <c r="CM5" i="15"/>
  <c r="PE5" i="13"/>
  <c r="LC5" i="21"/>
  <c r="IU5" i="10"/>
  <c r="DQ5" i="12"/>
  <c r="EU5" i="8"/>
  <c r="BI5" i="27"/>
  <c r="OA5" i="14"/>
  <c r="JK5" i="1"/>
  <c r="TE5" i="18"/>
  <c r="LC5" i="19"/>
  <c r="TU5" i="33"/>
  <c r="TU5" i="22"/>
  <c r="SA5" i="20"/>
  <c r="FY5" i="27"/>
  <c r="AE5" i="29"/>
  <c r="EU5" i="22"/>
  <c r="BI5" i="37"/>
  <c r="SQ5" i="12"/>
  <c r="FY5" i="2"/>
  <c r="BI5" i="28"/>
  <c r="PE5" i="7"/>
  <c r="PE5" i="38"/>
  <c r="BI5" i="14"/>
  <c r="CM5" i="11"/>
  <c r="EU5" i="1"/>
  <c r="NK5" i="22"/>
  <c r="OA5" i="23"/>
  <c r="DQ5" i="18"/>
  <c r="QI5" i="12"/>
  <c r="KO5" i="35"/>
  <c r="MW5" i="24"/>
  <c r="MW5" i="42"/>
  <c r="PE5" i="50"/>
  <c r="SQ5" i="31"/>
  <c r="NK5" i="50"/>
  <c r="OA5" i="44"/>
  <c r="SA5" i="17"/>
  <c r="UY5" i="47"/>
  <c r="TU5" i="43"/>
  <c r="IU5" i="19"/>
  <c r="O5" i="19"/>
  <c r="EE5" i="20"/>
  <c r="EE5" i="46"/>
  <c r="QI5" i="28"/>
  <c r="HC5" i="28"/>
  <c r="IU5" i="31"/>
  <c r="SA5" i="19"/>
  <c r="EE5" i="26"/>
  <c r="O5" i="45"/>
  <c r="OO5" i="7"/>
  <c r="QI5" i="38"/>
  <c r="FY5" i="40"/>
  <c r="SA5" i="21"/>
  <c r="O5" i="49"/>
  <c r="SQ5" i="49"/>
  <c r="AE5" i="16"/>
  <c r="IU5" i="23"/>
  <c r="SA5" i="33"/>
  <c r="O5" i="29"/>
  <c r="O5" i="25"/>
  <c r="IU5" i="9"/>
  <c r="SA5" i="41"/>
  <c r="NK5" i="26"/>
  <c r="IU5" i="41"/>
  <c r="EE5" i="28"/>
  <c r="NK5" i="30"/>
  <c r="NK5" i="34"/>
  <c r="IU5" i="37"/>
  <c r="OO5" i="29"/>
  <c r="TE5" i="28"/>
  <c r="NK5" i="32"/>
  <c r="FI5" i="4"/>
  <c r="IU5" i="33"/>
  <c r="O5" i="21"/>
  <c r="O5" i="35"/>
  <c r="SA5" i="23"/>
  <c r="EE5" i="34"/>
  <c r="AS5" i="21"/>
  <c r="O5" i="8"/>
  <c r="IU5" i="27"/>
  <c r="O5" i="37"/>
  <c r="EE5" i="38"/>
  <c r="JY5" i="7"/>
  <c r="O5" i="31"/>
  <c r="PS5" i="11"/>
  <c r="SA5" i="35"/>
  <c r="SA5" i="29"/>
  <c r="EE5" i="36"/>
  <c r="EE5" i="40"/>
  <c r="EE5" i="42"/>
  <c r="SA5" i="37"/>
  <c r="O5" i="41"/>
  <c r="OA5" i="46"/>
  <c r="SA5" i="39"/>
  <c r="DA5" i="21"/>
  <c r="NK5" i="40"/>
  <c r="NK5" i="38"/>
  <c r="FI5" i="32"/>
  <c r="IU5" i="47"/>
  <c r="O5" i="17"/>
  <c r="LC5" i="7"/>
  <c r="EE5" i="44"/>
  <c r="NK5" i="42"/>
  <c r="SA5" i="45"/>
  <c r="TE5" i="5"/>
  <c r="OO5" i="15"/>
  <c r="PS5" i="28"/>
  <c r="OO5" i="10"/>
  <c r="NK5" i="46"/>
  <c r="IU5" i="49"/>
  <c r="O5" i="47"/>
  <c r="EE5" i="48"/>
  <c r="EU5" i="46"/>
  <c r="JK5" i="47"/>
  <c r="AE5" i="49"/>
  <c r="EU5" i="48"/>
  <c r="AE5" i="47"/>
  <c r="OO5" i="4"/>
  <c r="AS5" i="11"/>
  <c r="BW5" i="10"/>
  <c r="AS5" i="8"/>
  <c r="OA5" i="48"/>
  <c r="BI5" i="40"/>
  <c r="JK5" i="15"/>
  <c r="AS5" i="5"/>
  <c r="FI5" i="8"/>
  <c r="FI5" i="26"/>
  <c r="JY5" i="5"/>
  <c r="JY5" i="33"/>
  <c r="JY5" i="43"/>
  <c r="AS5" i="7"/>
  <c r="O5" i="27"/>
  <c r="EE5" i="24"/>
  <c r="OO5" i="8"/>
  <c r="AS5" i="9"/>
  <c r="JY5" i="9"/>
  <c r="TE5" i="9"/>
  <c r="AS5" i="13"/>
  <c r="OA5" i="50"/>
  <c r="OO5" i="12"/>
  <c r="AS5" i="17"/>
  <c r="EE5" i="30"/>
  <c r="IU5" i="29"/>
  <c r="TE5" i="25"/>
  <c r="VM5" i="18"/>
  <c r="PS5" i="2"/>
  <c r="BW5" i="27"/>
  <c r="OO5" i="14"/>
  <c r="JY5" i="1"/>
  <c r="FI5" i="20"/>
  <c r="FI5" i="14"/>
  <c r="TE5" i="17"/>
  <c r="AS5" i="19"/>
  <c r="FI5" i="18"/>
  <c r="JY5" i="21"/>
  <c r="JY5" i="19"/>
  <c r="TE5" i="23"/>
  <c r="TE5" i="33"/>
  <c r="FI5" i="25"/>
  <c r="JY5" i="27"/>
  <c r="FI5" i="22"/>
  <c r="PS5" i="17"/>
  <c r="FI5" i="16"/>
  <c r="MG5" i="1"/>
  <c r="TE5" i="4"/>
  <c r="JY5" i="25"/>
  <c r="AS5" i="37"/>
  <c r="AS5" i="29"/>
  <c r="AS5" i="31"/>
  <c r="AS5" i="33"/>
  <c r="MG5" i="18"/>
  <c r="TE5" i="27"/>
  <c r="OO5" i="26"/>
  <c r="EE5" i="21"/>
  <c r="OO5" i="28"/>
  <c r="FI5" i="30"/>
  <c r="AS5" i="25"/>
  <c r="SA5" i="43"/>
  <c r="TE5" i="21"/>
  <c r="OO5" i="30"/>
  <c r="FI5" i="42"/>
  <c r="JY5" i="29"/>
  <c r="JY5" i="31"/>
  <c r="FI5" i="34"/>
  <c r="OO5" i="27"/>
  <c r="LS5" i="43"/>
  <c r="DQ5" i="50"/>
  <c r="LS5" i="33"/>
  <c r="HQ5" i="16"/>
  <c r="TE5" i="7"/>
  <c r="CM5" i="37"/>
  <c r="FY5" i="11"/>
  <c r="OO5" i="34"/>
  <c r="FI5" i="36"/>
  <c r="AS5" i="27"/>
  <c r="AS5" i="35"/>
  <c r="AS5" i="41"/>
  <c r="TE5" i="29"/>
  <c r="MG5" i="23"/>
  <c r="AS5" i="39"/>
  <c r="FI5" i="28"/>
  <c r="OO5" i="36"/>
  <c r="OO5" i="38"/>
  <c r="AS5" i="49"/>
  <c r="JY5" i="39"/>
  <c r="SA5" i="31"/>
  <c r="IU5" i="3"/>
  <c r="FI5" i="46"/>
  <c r="BW5" i="35"/>
  <c r="TE5" i="37"/>
  <c r="FI5" i="10"/>
  <c r="TE5" i="49"/>
  <c r="AS5" i="16"/>
  <c r="OO5" i="44"/>
  <c r="FI5" i="44"/>
  <c r="OO5" i="42"/>
  <c r="JY5" i="41"/>
  <c r="LC5" i="9"/>
  <c r="UI5" i="33"/>
  <c r="AS5" i="45"/>
  <c r="PS5" i="34"/>
  <c r="BW5" i="33"/>
  <c r="OO5" i="46"/>
  <c r="FI5" i="48"/>
  <c r="UI5" i="39"/>
  <c r="JY5" i="47"/>
  <c r="LC5" i="37"/>
  <c r="BW5" i="31"/>
  <c r="OO5" i="24"/>
  <c r="AS5" i="47"/>
  <c r="BW5" i="39"/>
  <c r="QW5" i="5"/>
  <c r="GM5" i="30"/>
  <c r="UI5" i="35"/>
  <c r="GM5" i="38"/>
  <c r="OO5" i="22"/>
  <c r="GM5" i="32"/>
  <c r="LC5" i="35"/>
  <c r="NK5" i="24"/>
  <c r="OO5" i="50"/>
  <c r="PS5" i="46"/>
  <c r="JY5" i="45"/>
  <c r="BW5" i="37"/>
  <c r="TE5" i="12"/>
  <c r="GM5" i="2"/>
  <c r="UI5" i="37"/>
  <c r="PS5" i="32"/>
  <c r="PS5" i="40"/>
  <c r="LC5" i="39"/>
  <c r="VM5" i="13"/>
  <c r="GM5" i="40"/>
  <c r="UY5" i="39"/>
  <c r="GM5" i="46"/>
  <c r="UY5" i="29"/>
  <c r="BW5" i="41"/>
  <c r="CM5" i="43"/>
  <c r="CM5" i="39"/>
  <c r="HQ5" i="44"/>
  <c r="LC5" i="45"/>
  <c r="OO5" i="20"/>
  <c r="NK5" i="19"/>
  <c r="HC5" i="36"/>
  <c r="LS5" i="41"/>
  <c r="GM5" i="44"/>
  <c r="LS5" i="47"/>
  <c r="SQ5" i="11"/>
  <c r="GM5" i="42"/>
  <c r="LC5" i="41"/>
  <c r="PS5" i="42"/>
  <c r="FI5" i="21"/>
  <c r="GM5" i="48"/>
  <c r="BW5" i="45"/>
  <c r="BW5" i="43"/>
  <c r="LC5" i="43"/>
  <c r="SA5" i="5"/>
  <c r="PS5" i="44"/>
  <c r="QI5" i="36"/>
  <c r="LS5" i="31"/>
  <c r="JK5" i="11"/>
  <c r="PS5" i="48"/>
  <c r="OO5" i="32"/>
  <c r="MG5" i="4"/>
  <c r="UI5" i="41"/>
  <c r="UI5" i="47"/>
  <c r="QW5" i="14"/>
  <c r="LC5" i="47"/>
  <c r="LC5" i="49"/>
  <c r="LS5" i="29"/>
  <c r="UI5" i="49"/>
  <c r="BW5" i="49"/>
  <c r="PS5" i="50"/>
  <c r="TE5" i="31"/>
  <c r="HC5" i="30"/>
  <c r="CM5" i="31"/>
  <c r="CM5" i="29"/>
  <c r="LS5" i="35"/>
  <c r="LS5" i="14"/>
  <c r="UY5" i="31"/>
  <c r="BW5" i="47"/>
  <c r="CM5" i="33"/>
  <c r="HC5" i="34"/>
  <c r="MW5" i="48"/>
  <c r="A5" i="23"/>
  <c r="HC5" i="32"/>
  <c r="QI5" i="32"/>
  <c r="UY5" i="33"/>
  <c r="QW5" i="38"/>
  <c r="UY5" i="35"/>
  <c r="QW5" i="28"/>
  <c r="HQ5" i="28"/>
  <c r="LS5" i="37"/>
  <c r="UY5" i="37"/>
  <c r="LS5" i="39"/>
  <c r="HC5" i="38"/>
  <c r="CM5" i="41"/>
  <c r="AE5" i="18"/>
  <c r="DQ5" i="4"/>
  <c r="A5" i="11"/>
  <c r="LS5" i="49"/>
  <c r="QI5" i="40"/>
  <c r="HC5" i="42"/>
  <c r="MG5" i="13"/>
  <c r="DA5" i="10"/>
  <c r="HC5" i="40"/>
  <c r="UY5" i="41"/>
  <c r="HC5" i="4"/>
  <c r="PS5" i="38"/>
  <c r="BW5" i="14"/>
  <c r="DA5" i="11"/>
  <c r="FI5" i="1"/>
  <c r="QW5" i="20"/>
  <c r="QI5" i="42"/>
  <c r="IG5" i="2"/>
  <c r="QI5" i="46"/>
  <c r="SQ5" i="39"/>
  <c r="DA5" i="15"/>
  <c r="CM5" i="45"/>
  <c r="HC5" i="44"/>
  <c r="UY5" i="45"/>
  <c r="SQ5" i="45"/>
  <c r="A5" i="15"/>
  <c r="HC5" i="48"/>
  <c r="LS5" i="45"/>
  <c r="HC5" i="46"/>
  <c r="CM5" i="47"/>
  <c r="TU5" i="31"/>
  <c r="AE5" i="23"/>
  <c r="QI5" i="48"/>
  <c r="HC5" i="50"/>
  <c r="CM5" i="49"/>
  <c r="HQ5" i="8"/>
  <c r="QI5" i="50"/>
  <c r="HQ5" i="6"/>
  <c r="VM5" i="7"/>
  <c r="VM5" i="25"/>
  <c r="VM5" i="15"/>
  <c r="JY5" i="37"/>
  <c r="VM5" i="23"/>
  <c r="VM5" i="9"/>
  <c r="JY5" i="23"/>
  <c r="QW5" i="22"/>
  <c r="MG5" i="11"/>
  <c r="QW5" i="8"/>
  <c r="DA5" i="13"/>
  <c r="DA5" i="9"/>
  <c r="QW5" i="36"/>
  <c r="MG5" i="47"/>
  <c r="TE5" i="11"/>
  <c r="HQ5" i="50"/>
  <c r="HQ5" i="18"/>
  <c r="HQ5" i="12"/>
  <c r="FI5" i="33"/>
  <c r="IG5" i="12"/>
  <c r="FI5" i="38"/>
  <c r="MG5" i="15"/>
  <c r="QW5" i="26"/>
  <c r="DA5" i="47"/>
  <c r="UI5" i="31"/>
  <c r="AS5" i="23"/>
  <c r="IG5" i="36"/>
  <c r="MG5" i="9"/>
  <c r="QW5" i="10"/>
  <c r="DA5" i="17"/>
  <c r="VM5" i="19"/>
  <c r="VM5" i="17"/>
  <c r="QW5" i="18"/>
  <c r="OO5" i="23"/>
  <c r="EE5" i="18"/>
  <c r="QW5" i="12"/>
  <c r="VM5" i="21"/>
  <c r="HQ5" i="22"/>
  <c r="MG5" i="21"/>
  <c r="BW5" i="12"/>
  <c r="HQ5" i="20"/>
  <c r="MG5" i="17"/>
  <c r="QW5" i="24"/>
  <c r="FI5" i="7"/>
  <c r="GM5" i="36"/>
  <c r="EE5" i="32"/>
  <c r="MG5" i="27"/>
  <c r="LC5" i="23"/>
  <c r="IU5" i="39"/>
  <c r="DA5" i="23"/>
  <c r="DA5" i="19"/>
  <c r="MG5" i="29"/>
  <c r="MG5" i="25"/>
  <c r="HQ5" i="30"/>
  <c r="HQ5" i="42"/>
  <c r="NK5" i="48"/>
  <c r="HQ5" i="34"/>
  <c r="O5" i="23"/>
  <c r="DA5" i="31"/>
  <c r="DA5" i="27"/>
  <c r="VM5" i="27"/>
  <c r="HQ5" i="36"/>
  <c r="QW5" i="30"/>
  <c r="HQ5" i="19"/>
  <c r="VM5" i="31"/>
  <c r="DA5" i="33"/>
  <c r="QW5" i="32"/>
  <c r="MG5" i="31"/>
  <c r="JY5" i="11"/>
  <c r="HQ5" i="26"/>
  <c r="VM5" i="33"/>
  <c r="MG5" i="37"/>
  <c r="DA5" i="29"/>
  <c r="VM5" i="29"/>
  <c r="VM5" i="35"/>
  <c r="MG5" i="43"/>
  <c r="VM5" i="5"/>
  <c r="MG5" i="49"/>
  <c r="DQ5" i="5"/>
  <c r="SA5" i="34"/>
  <c r="DA5" i="37"/>
  <c r="GM5" i="11"/>
  <c r="VM5" i="37"/>
  <c r="KO5" i="26"/>
  <c r="A5" i="16"/>
  <c r="HQ5" i="32"/>
  <c r="HQ5" i="38"/>
  <c r="QW5" i="42"/>
  <c r="VM5" i="41"/>
  <c r="HQ5" i="4"/>
  <c r="MG5" i="35"/>
  <c r="MG5" i="14"/>
  <c r="EE5" i="50"/>
  <c r="MG5" i="33"/>
  <c r="MW5" i="37"/>
  <c r="A5" i="8"/>
  <c r="VM5" i="39"/>
  <c r="AE5" i="21"/>
  <c r="QW5" i="40"/>
  <c r="MG5" i="41"/>
  <c r="MG5" i="39"/>
  <c r="DA5" i="41"/>
  <c r="AS5" i="18"/>
  <c r="O5" i="11"/>
  <c r="EE5" i="4"/>
  <c r="DA5" i="49"/>
  <c r="MG5" i="45"/>
  <c r="HQ5" i="40"/>
  <c r="DA5" i="43"/>
  <c r="HQ5" i="46"/>
  <c r="DA5" i="39"/>
  <c r="HQ5" i="48"/>
  <c r="QW5" i="48"/>
  <c r="VM5" i="47"/>
  <c r="UI5" i="43"/>
  <c r="DQ5" i="1"/>
  <c r="A5" i="2"/>
  <c r="DQ5" i="7"/>
  <c r="QW5" i="50"/>
  <c r="A5" i="4"/>
  <c r="DA5" i="45"/>
  <c r="VM5" i="45"/>
  <c r="TE5" i="45"/>
  <c r="O5" i="15"/>
  <c r="IG5" i="4"/>
  <c r="KO5" i="21"/>
  <c r="IG5" i="10"/>
  <c r="QW5" i="46"/>
  <c r="TE5" i="39"/>
  <c r="UY5" i="14"/>
  <c r="DQ5" i="3"/>
  <c r="RM5" i="4"/>
  <c r="RM5" i="2"/>
  <c r="MW5" i="3"/>
  <c r="A5" i="34"/>
  <c r="MW5" i="13"/>
  <c r="CM5" i="5"/>
  <c r="SQ5" i="20"/>
  <c r="IG5" i="8"/>
  <c r="A5" i="24"/>
  <c r="MW5" i="5"/>
  <c r="A5" i="44"/>
  <c r="KO5" i="36"/>
  <c r="MW5" i="27"/>
  <c r="DQ5" i="19"/>
  <c r="RM5" i="6"/>
  <c r="JK5" i="14"/>
  <c r="MW5" i="9"/>
  <c r="LS5" i="8"/>
  <c r="A5" i="10"/>
  <c r="DQ5" i="9"/>
  <c r="MW5" i="7"/>
  <c r="JK5" i="49"/>
  <c r="IG5" i="28"/>
  <c r="A5" i="14"/>
  <c r="TU5" i="4"/>
  <c r="MW5" i="1"/>
  <c r="IG5" i="34"/>
  <c r="MW5" i="11"/>
  <c r="MW5" i="15"/>
  <c r="RM5" i="12"/>
  <c r="DQ5" i="43"/>
  <c r="FY5" i="34"/>
  <c r="JK5" i="22"/>
  <c r="A5" i="12"/>
  <c r="IG5" i="24"/>
  <c r="A5" i="20"/>
  <c r="IG5" i="14"/>
  <c r="RM5" i="16"/>
  <c r="MW5" i="43"/>
  <c r="DQ5" i="15"/>
  <c r="IG5" i="22"/>
  <c r="IG5" i="16"/>
  <c r="RM5" i="14"/>
  <c r="IG5" i="40"/>
  <c r="DQ5" i="13"/>
  <c r="SQ5" i="42"/>
  <c r="UY5" i="16"/>
  <c r="MW5" i="21"/>
  <c r="KO5" i="45"/>
  <c r="OA5" i="20"/>
  <c r="MW5" i="19"/>
  <c r="MW5" i="17"/>
  <c r="A5" i="6"/>
  <c r="IG5" i="18"/>
  <c r="RM5" i="18"/>
  <c r="RM5" i="20"/>
  <c r="OA5" i="26"/>
  <c r="DQ5" i="21"/>
  <c r="DQ5" i="49"/>
  <c r="RM5" i="22"/>
  <c r="IG5" i="6"/>
  <c r="DQ5" i="23"/>
  <c r="AE5" i="2"/>
  <c r="MW5" i="29"/>
  <c r="O5" i="40"/>
  <c r="DQ5" i="27"/>
  <c r="MW5" i="23"/>
  <c r="A5" i="26"/>
  <c r="MW5" i="25"/>
  <c r="A5" i="32"/>
  <c r="RM5" i="24"/>
  <c r="A5" i="28"/>
  <c r="RM5" i="28"/>
  <c r="DQ5" i="31"/>
  <c r="A5" i="36"/>
  <c r="A5" i="30"/>
  <c r="RM5" i="32"/>
  <c r="BI5" i="32"/>
  <c r="IG5" i="30"/>
  <c r="AE5" i="14"/>
  <c r="SQ5" i="13"/>
  <c r="A5" i="9"/>
  <c r="EU5" i="2"/>
  <c r="DQ5" i="33"/>
  <c r="DQ5" i="39"/>
  <c r="SQ5" i="35"/>
  <c r="FY5" i="33"/>
  <c r="IG5" i="32"/>
  <c r="MW5" i="39"/>
  <c r="MW5" i="35"/>
  <c r="JK5" i="12"/>
  <c r="UY5" i="43"/>
  <c r="HC5" i="24"/>
  <c r="A5" i="38"/>
  <c r="DQ5" i="35"/>
  <c r="DQ5" i="29"/>
  <c r="RM5" i="34"/>
  <c r="MW5" i="47"/>
  <c r="A5" i="40"/>
  <c r="RM5" i="36"/>
  <c r="DQ5" i="37"/>
  <c r="EU5" i="24"/>
  <c r="RM5" i="38"/>
  <c r="BI5" i="24"/>
  <c r="EU5" i="9"/>
  <c r="EU5" i="3"/>
  <c r="EU5" i="38"/>
  <c r="EU5" i="33"/>
  <c r="LS5" i="15"/>
  <c r="JY5" i="49"/>
  <c r="IU5" i="28"/>
  <c r="DQ5" i="47"/>
  <c r="AE5" i="32"/>
  <c r="CM5" i="35"/>
  <c r="FY5" i="23"/>
  <c r="AE5" i="43"/>
  <c r="DQ5" i="41"/>
  <c r="RM5" i="40"/>
  <c r="MW5" i="41"/>
  <c r="RM5" i="50"/>
  <c r="EU5" i="50"/>
  <c r="A5" i="43"/>
  <c r="QI5" i="16"/>
  <c r="NK5" i="41"/>
  <c r="PE5" i="47"/>
  <c r="IG5" i="42"/>
  <c r="IG5" i="11"/>
  <c r="JK5" i="32"/>
  <c r="RM5" i="44"/>
  <c r="MW5" i="45"/>
  <c r="MW5" i="49"/>
  <c r="A5" i="42"/>
  <c r="PE5" i="22"/>
  <c r="JK5" i="4"/>
  <c r="UY5" i="49"/>
  <c r="DQ5" i="45"/>
  <c r="IG5" i="50"/>
  <c r="A5" i="48"/>
  <c r="EE5" i="33"/>
  <c r="IG5" i="46"/>
  <c r="RM5" i="46"/>
  <c r="IG5" i="48"/>
  <c r="SQ5" i="47"/>
  <c r="RM5" i="42"/>
  <c r="NK5" i="29"/>
  <c r="O5" i="32"/>
  <c r="EE5" i="27"/>
  <c r="SA5" i="32"/>
  <c r="SA5" i="28"/>
  <c r="EE5" i="29"/>
  <c r="O5" i="28"/>
  <c r="IU5" i="34"/>
  <c r="NK5" i="37"/>
  <c r="A5" i="50"/>
  <c r="UI5" i="45"/>
  <c r="NK5" i="31"/>
  <c r="GM5" i="22"/>
  <c r="MG5" i="20"/>
  <c r="O5" i="30"/>
  <c r="IU5" i="42"/>
  <c r="IU5" i="11"/>
  <c r="EE5" i="31"/>
  <c r="EE5" i="37"/>
  <c r="HQ5" i="24"/>
  <c r="VM5" i="43"/>
  <c r="O5" i="38"/>
  <c r="EE5" i="35"/>
  <c r="IU5" i="40"/>
  <c r="O5" i="36"/>
  <c r="AS5" i="43"/>
  <c r="SA5" i="40"/>
  <c r="IU5" i="36"/>
  <c r="EE5" i="39"/>
  <c r="SA5" i="36"/>
  <c r="O5" i="34"/>
  <c r="NK5" i="39"/>
  <c r="NK5" i="35"/>
  <c r="JY5" i="12"/>
  <c r="NK5" i="47"/>
  <c r="O5" i="42"/>
  <c r="PS5" i="22"/>
  <c r="JY5" i="4"/>
  <c r="NK5" i="43"/>
  <c r="AE5" i="38"/>
  <c r="EE5" i="43"/>
  <c r="GM5" i="34"/>
  <c r="JY5" i="22"/>
  <c r="EE5" i="47"/>
  <c r="TE5" i="47"/>
  <c r="SA5" i="42"/>
  <c r="SA5" i="44"/>
  <c r="O5" i="44"/>
  <c r="VM5" i="49"/>
  <c r="EE5" i="45"/>
  <c r="IU5" i="46"/>
  <c r="JY5" i="36"/>
  <c r="DA5" i="25"/>
  <c r="NK5" i="12"/>
  <c r="AE5" i="50"/>
  <c r="FI5" i="41"/>
  <c r="O5" i="48"/>
  <c r="IU5" i="48"/>
  <c r="NK5" i="45"/>
  <c r="EU5" i="31"/>
  <c r="KO5" i="48"/>
  <c r="IG5" i="37"/>
  <c r="OA5" i="29"/>
  <c r="SQ5" i="28"/>
  <c r="EE5" i="49"/>
  <c r="SA5" i="50"/>
  <c r="FI5" i="50"/>
  <c r="O5" i="43"/>
  <c r="QW5" i="16"/>
  <c r="JK5" i="30"/>
  <c r="IU5" i="50"/>
  <c r="OA5" i="31"/>
  <c r="NK5" i="49"/>
  <c r="SA5" i="46"/>
  <c r="SQ5" i="34"/>
  <c r="AE5" i="34"/>
  <c r="AE5" i="44"/>
  <c r="SQ5" i="32"/>
  <c r="O5" i="50"/>
  <c r="OA5" i="33"/>
  <c r="JK5" i="36"/>
  <c r="MW5" i="12"/>
  <c r="EU5" i="35"/>
  <c r="TE5" i="42"/>
  <c r="VM5" i="16"/>
  <c r="JY5" i="48"/>
  <c r="EU5" i="45"/>
  <c r="AE5" i="36"/>
  <c r="JK5" i="34"/>
  <c r="SQ5" i="44"/>
  <c r="PE5" i="20"/>
  <c r="OA5" i="35"/>
  <c r="FY5" i="21"/>
  <c r="JK5" i="38"/>
  <c r="A5" i="22"/>
  <c r="JK5" i="40"/>
  <c r="QI5" i="34"/>
  <c r="BI5" i="20"/>
  <c r="KO5" i="11"/>
  <c r="OO5" i="33"/>
  <c r="OO5" i="49"/>
  <c r="JY5" i="46"/>
  <c r="OA5" i="37"/>
  <c r="BI5" i="7"/>
  <c r="OA5" i="6"/>
  <c r="DQ5" i="2"/>
  <c r="EU5" i="37"/>
  <c r="SQ5" i="38"/>
  <c r="EU5" i="41"/>
  <c r="CM5" i="25"/>
  <c r="EU5" i="39"/>
  <c r="IG5" i="45"/>
  <c r="OA5" i="43"/>
  <c r="TU5" i="32"/>
  <c r="IG5" i="26"/>
  <c r="FY5" i="26"/>
  <c r="JK5" i="17"/>
  <c r="FY5" i="17"/>
  <c r="RM5" i="10"/>
  <c r="BI5" i="1"/>
  <c r="JK5" i="44"/>
  <c r="KO5" i="31"/>
  <c r="LS5" i="7"/>
  <c r="SQ5" i="40"/>
  <c r="EU5" i="43"/>
  <c r="JK5" i="42"/>
  <c r="AE5" i="42"/>
  <c r="BI5" i="22"/>
  <c r="TU5" i="8"/>
  <c r="OA5" i="39"/>
  <c r="AE5" i="46"/>
  <c r="OA5" i="45"/>
  <c r="IG5" i="25"/>
  <c r="AE5" i="15"/>
  <c r="LS5" i="5"/>
  <c r="AE5" i="1"/>
  <c r="AE5" i="40"/>
  <c r="SQ5" i="46"/>
  <c r="SA5" i="48"/>
  <c r="FI5" i="47"/>
  <c r="JK5" i="46"/>
  <c r="RM5" i="48"/>
  <c r="EU5" i="47"/>
  <c r="KO5" i="46"/>
  <c r="JK5" i="48"/>
  <c r="AS5" i="48"/>
  <c r="O5" i="18"/>
  <c r="OO5" i="9"/>
  <c r="GM5" i="6"/>
  <c r="OA5" i="47"/>
  <c r="IG5" i="44"/>
  <c r="AE5" i="48"/>
  <c r="A5" i="18"/>
  <c r="OA5" i="9"/>
  <c r="FY5" i="6"/>
  <c r="OA5" i="49"/>
  <c r="SQ5" i="48"/>
  <c r="PS5" i="20"/>
  <c r="JY5" i="34"/>
  <c r="EU5" i="49"/>
  <c r="FI5" i="37"/>
  <c r="SQ5" i="50"/>
  <c r="JK5" i="50"/>
  <c r="AS5" i="34"/>
  <c r="AS5" i="50"/>
  <c r="UI5" i="18"/>
  <c r="KO5" i="42"/>
  <c r="AS5" i="36"/>
  <c r="BW5" i="46"/>
  <c r="JY5" i="38"/>
  <c r="O5" i="22"/>
  <c r="AS5" i="46"/>
  <c r="JY5" i="44"/>
  <c r="LC5" i="31"/>
  <c r="MG5" i="7"/>
  <c r="LC5" i="20"/>
  <c r="TE5" i="15"/>
  <c r="TE5" i="34"/>
  <c r="TU5" i="46"/>
  <c r="FI5" i="35"/>
  <c r="FI5" i="45"/>
  <c r="BI5" i="42"/>
  <c r="TE5" i="38"/>
  <c r="OO5" i="37"/>
  <c r="BW5" i="7"/>
  <c r="OO5" i="6"/>
  <c r="EE5" i="2"/>
  <c r="AS5" i="38"/>
  <c r="OO5" i="39"/>
  <c r="TE5" i="40"/>
  <c r="FI5" i="39"/>
  <c r="AS5" i="40"/>
  <c r="TE5" i="44"/>
  <c r="JY5" i="50"/>
  <c r="JY5" i="42"/>
  <c r="AS5" i="44"/>
  <c r="FI5" i="43"/>
  <c r="OO5" i="47"/>
  <c r="IU5" i="44"/>
  <c r="FY5" i="41"/>
  <c r="OO5" i="45"/>
  <c r="IU5" i="25"/>
  <c r="AS5" i="15"/>
  <c r="MG5" i="5"/>
  <c r="AS5" i="1"/>
  <c r="TE5" i="48"/>
  <c r="OO5" i="40"/>
  <c r="LC5" i="30"/>
  <c r="GM5" i="39"/>
  <c r="TE5" i="46"/>
  <c r="FI5" i="49"/>
  <c r="PE5" i="41"/>
  <c r="PS5" i="19"/>
  <c r="UI5" i="3"/>
  <c r="BW5" i="19"/>
  <c r="GM5" i="4"/>
  <c r="VM5" i="11"/>
  <c r="HQ5" i="9"/>
  <c r="TE5" i="19"/>
  <c r="TE5" i="50"/>
  <c r="TU5" i="42"/>
  <c r="FY5" i="50"/>
  <c r="KO5" i="22"/>
  <c r="A5" i="39"/>
  <c r="LS5" i="28"/>
  <c r="IG5" i="38"/>
  <c r="MW5" i="8"/>
  <c r="PE5" i="31"/>
  <c r="AE5" i="30"/>
  <c r="DQ5" i="17"/>
  <c r="JK5" i="13"/>
  <c r="KO5" i="4"/>
  <c r="KO5" i="40"/>
  <c r="FY5" i="43"/>
  <c r="UI5" i="22"/>
  <c r="BW5" i="18"/>
  <c r="LC5" i="1"/>
  <c r="BI5" i="50"/>
  <c r="PE5" i="45"/>
  <c r="PE5" i="49"/>
  <c r="TU5" i="44"/>
  <c r="OA5" i="16"/>
  <c r="TU5" i="40"/>
  <c r="GM5" i="37"/>
  <c r="BI5" i="46"/>
  <c r="FY5" i="45"/>
  <c r="TU5" i="48"/>
  <c r="PE5" i="43"/>
  <c r="UI5" i="48"/>
  <c r="QI5" i="41"/>
  <c r="FY5" i="49"/>
  <c r="QI5" i="33"/>
  <c r="MW5" i="33"/>
  <c r="IG5" i="21"/>
  <c r="KO5" i="50"/>
  <c r="PS5" i="43"/>
  <c r="BI5" i="44"/>
  <c r="TU5" i="50"/>
  <c r="LC5" i="18"/>
  <c r="JY5" i="40"/>
  <c r="QW5" i="34"/>
  <c r="BW5" i="20"/>
  <c r="LC5" i="11"/>
  <c r="PS5" i="21"/>
  <c r="PS5" i="41"/>
  <c r="EE5" i="41"/>
  <c r="DA5" i="35"/>
  <c r="GM5" i="23"/>
  <c r="FY5" i="47"/>
  <c r="MW5" i="28"/>
  <c r="HC5" i="10"/>
  <c r="BI5" i="48"/>
  <c r="PS5" i="49"/>
  <c r="GM5" i="19"/>
  <c r="UI5" i="44"/>
  <c r="OO5" i="16"/>
  <c r="OO5" i="35"/>
  <c r="GM5" i="21"/>
  <c r="UI5" i="20"/>
  <c r="AS5" i="42"/>
  <c r="BW5" i="22"/>
  <c r="UI5" i="8"/>
  <c r="PS5" i="23"/>
  <c r="SA5" i="38"/>
  <c r="FI5" i="24"/>
  <c r="BW5" i="24"/>
  <c r="FI5" i="9"/>
  <c r="FI5" i="3"/>
  <c r="LC5" i="28"/>
  <c r="LC5" i="38"/>
  <c r="PS5" i="30"/>
  <c r="PS5" i="25"/>
  <c r="LC5" i="24"/>
  <c r="LC5" i="26"/>
  <c r="O5" i="16"/>
  <c r="GM5" i="25"/>
  <c r="HC5" i="49"/>
  <c r="PS5" i="36"/>
  <c r="BW5" i="26"/>
  <c r="UI5" i="28"/>
  <c r="BW5" i="28"/>
  <c r="PS5" i="7"/>
  <c r="CM5" i="40"/>
  <c r="UI5" i="26"/>
  <c r="PS5" i="6"/>
  <c r="GM5" i="27"/>
  <c r="UI5" i="30"/>
  <c r="HC5" i="47"/>
  <c r="GM5" i="29"/>
  <c r="BW5" i="30"/>
  <c r="IU5" i="45"/>
  <c r="OO5" i="43"/>
  <c r="UI5" i="32"/>
  <c r="IU5" i="26"/>
  <c r="GM5" i="26"/>
  <c r="JY5" i="17"/>
  <c r="GM5" i="17"/>
  <c r="SA5" i="10"/>
  <c r="BW5" i="1"/>
  <c r="BW5" i="36"/>
  <c r="BW5" i="32"/>
  <c r="IU5" i="30"/>
  <c r="AS5" i="14"/>
  <c r="TE5" i="13"/>
  <c r="O5" i="9"/>
  <c r="FI5" i="2"/>
  <c r="BW5" i="38"/>
  <c r="UI5" i="42"/>
  <c r="TE5" i="41"/>
  <c r="UI5" i="38"/>
  <c r="UI5" i="27"/>
  <c r="HQ5" i="14"/>
  <c r="EE5" i="10"/>
  <c r="FI5" i="40"/>
  <c r="GM5" i="35"/>
  <c r="GM5" i="45"/>
  <c r="PS5" i="33"/>
  <c r="LC5" i="34"/>
  <c r="UI5" i="34"/>
  <c r="QW5" i="4"/>
  <c r="PS5" i="45"/>
  <c r="PS5" i="35"/>
  <c r="QI5" i="30"/>
  <c r="HC5" i="19"/>
  <c r="UI5" i="36"/>
  <c r="PS5" i="37"/>
  <c r="UI5" i="7"/>
  <c r="PS5" i="29"/>
  <c r="LC5" i="36"/>
  <c r="NK5" i="27"/>
  <c r="EE5" i="19"/>
  <c r="BW5" i="34"/>
  <c r="DQ5" i="11"/>
  <c r="UY5" i="50"/>
  <c r="BW5" i="44"/>
  <c r="LC5" i="32"/>
  <c r="PS5" i="47"/>
  <c r="UI5" i="40"/>
  <c r="TE5" i="35"/>
  <c r="GM5" i="33"/>
  <c r="IU5" i="32"/>
  <c r="OO5" i="48"/>
  <c r="BW5" i="40"/>
  <c r="JY5" i="15"/>
  <c r="LC5" i="40"/>
  <c r="GM5" i="47"/>
  <c r="NK5" i="28"/>
  <c r="HQ5" i="10"/>
  <c r="LC5" i="42"/>
  <c r="BW5" i="42"/>
  <c r="GM5" i="49"/>
  <c r="LS5" i="18"/>
  <c r="AE5" i="33"/>
  <c r="PS5" i="39"/>
  <c r="UI5" i="24"/>
  <c r="UI5" i="50"/>
  <c r="UI5" i="46"/>
  <c r="GM5" i="43"/>
  <c r="LC5" i="46"/>
  <c r="BW5" i="48"/>
  <c r="LC5" i="48"/>
  <c r="GM5" i="41"/>
  <c r="QI5" i="25"/>
  <c r="QI5" i="44"/>
  <c r="DQ5" i="25"/>
  <c r="FY5" i="3"/>
  <c r="JK5" i="26"/>
  <c r="CM5" i="24"/>
  <c r="UY5" i="20"/>
  <c r="LC5" i="50"/>
  <c r="HC5" i="21"/>
  <c r="QI5" i="17"/>
  <c r="JK5" i="35"/>
  <c r="LS5" i="22"/>
  <c r="UY5" i="24"/>
  <c r="TU5" i="45"/>
  <c r="MW5" i="31"/>
  <c r="FY5" i="22"/>
  <c r="LS5" i="20"/>
  <c r="QI5" i="23"/>
  <c r="CM5" i="20"/>
  <c r="PE5" i="16"/>
  <c r="QI5" i="19"/>
  <c r="RM5" i="25"/>
  <c r="QI5" i="21"/>
  <c r="CM5" i="7"/>
  <c r="UY5" i="22"/>
  <c r="IG5" i="20"/>
  <c r="CM5" i="18"/>
  <c r="UY5" i="30"/>
  <c r="LS5" i="42"/>
  <c r="BW5" i="50"/>
  <c r="CM5" i="28"/>
  <c r="RM5" i="26"/>
  <c r="HC5" i="29"/>
  <c r="OA5" i="41"/>
  <c r="QI5" i="31"/>
  <c r="BI5" i="25"/>
  <c r="AE5" i="12"/>
  <c r="HC5" i="23"/>
  <c r="HQ5" i="29"/>
  <c r="DQ5" i="30"/>
  <c r="IG5" i="29"/>
  <c r="SQ5" i="25"/>
  <c r="UY5" i="18"/>
  <c r="PE5" i="2"/>
  <c r="KO5" i="33"/>
  <c r="LS5" i="24"/>
  <c r="CM5" i="42"/>
  <c r="LS5" i="26"/>
  <c r="QI5" i="29"/>
  <c r="CM5" i="22"/>
  <c r="A5" i="7"/>
  <c r="QI5" i="27"/>
  <c r="SQ5" i="43"/>
  <c r="SQ5" i="30"/>
  <c r="UY5" i="26"/>
  <c r="CM5" i="26"/>
  <c r="MW5" i="44"/>
  <c r="HC5" i="27"/>
  <c r="CM5" i="30"/>
  <c r="LS5" i="34"/>
  <c r="IG5" i="15"/>
  <c r="RM5" i="27"/>
  <c r="LS5" i="36"/>
  <c r="PE5" i="27"/>
  <c r="HC5" i="25"/>
  <c r="LS5" i="19"/>
  <c r="A5" i="46"/>
  <c r="CM5" i="38"/>
  <c r="KO5" i="44"/>
  <c r="SQ5" i="36"/>
  <c r="LS5" i="32"/>
  <c r="HC5" i="33"/>
  <c r="UY5" i="38"/>
  <c r="SA5" i="49"/>
  <c r="VM5" i="42"/>
  <c r="EE5" i="6"/>
  <c r="HC5" i="31"/>
  <c r="A5" i="13"/>
  <c r="LS5" i="38"/>
  <c r="CM5" i="34"/>
  <c r="QI5" i="39"/>
  <c r="VM5" i="38"/>
  <c r="QW5" i="45"/>
  <c r="JY5" i="35"/>
  <c r="MG5" i="22"/>
  <c r="LS5" i="30"/>
  <c r="UY5" i="48"/>
  <c r="RM5" i="47"/>
  <c r="CM5" i="36"/>
  <c r="UY5" i="34"/>
  <c r="HC5" i="35"/>
  <c r="UY5" i="44"/>
  <c r="MG5" i="26"/>
  <c r="UY5" i="36"/>
  <c r="UY5" i="2"/>
  <c r="CM5" i="32"/>
  <c r="DA5" i="46"/>
  <c r="QI5" i="35"/>
  <c r="FY5" i="31"/>
  <c r="RM5" i="30"/>
  <c r="UY5" i="28"/>
  <c r="RM5" i="15"/>
  <c r="HC5" i="39"/>
  <c r="HC5" i="37"/>
  <c r="UY5" i="32"/>
  <c r="QI5" i="37"/>
  <c r="DA5" i="22"/>
  <c r="O5" i="7"/>
  <c r="QW5" i="41"/>
  <c r="CM5" i="44"/>
  <c r="UY5" i="40"/>
  <c r="QI5" i="6"/>
  <c r="EU5" i="6"/>
  <c r="HC5" i="43"/>
  <c r="VM5" i="46"/>
  <c r="LS5" i="44"/>
  <c r="UY5" i="46"/>
  <c r="HC5" i="41"/>
  <c r="LS5" i="40"/>
  <c r="DQ5" i="22"/>
  <c r="OA5" i="18"/>
  <c r="HC5" i="45"/>
  <c r="QW5" i="23"/>
  <c r="CM5" i="46"/>
  <c r="HQ5" i="21"/>
  <c r="LS5" i="50"/>
  <c r="QI5" i="43"/>
  <c r="LS5" i="48"/>
  <c r="QW5" i="44"/>
  <c r="QW5" i="25"/>
  <c r="EE5" i="25"/>
  <c r="QI5" i="47"/>
  <c r="TE5" i="43"/>
  <c r="TE5" i="30"/>
  <c r="VM5" i="26"/>
  <c r="QI5" i="49"/>
  <c r="LC5" i="33"/>
  <c r="MG5" i="24"/>
  <c r="CM5" i="50"/>
  <c r="RM5" i="49"/>
  <c r="UY5" i="42"/>
  <c r="DQ5" i="6"/>
  <c r="VM5" i="22"/>
  <c r="CM5" i="48"/>
  <c r="RM5" i="8"/>
  <c r="HQ5" i="23"/>
  <c r="QW5" i="27"/>
  <c r="JY5" i="26"/>
  <c r="DA5" i="24"/>
  <c r="VM5" i="20"/>
  <c r="GM5" i="3"/>
  <c r="QI5" i="45"/>
  <c r="LS5" i="46"/>
  <c r="VM5" i="24"/>
  <c r="DA5" i="26"/>
  <c r="MG5" i="34"/>
  <c r="HQ5" i="25"/>
  <c r="SA5" i="27"/>
  <c r="PS5" i="27"/>
  <c r="NK5" i="44"/>
  <c r="HQ5" i="27"/>
  <c r="QW5" i="29"/>
  <c r="DA5" i="28"/>
  <c r="SA5" i="26"/>
  <c r="MG5" i="36"/>
  <c r="MG5" i="19"/>
  <c r="IU5" i="15"/>
  <c r="SA5" i="25"/>
  <c r="QW5" i="21"/>
  <c r="DA5" i="7"/>
  <c r="HQ5" i="35"/>
  <c r="MG5" i="30"/>
  <c r="GM5" i="50"/>
  <c r="O5" i="39"/>
  <c r="IU5" i="38"/>
  <c r="PS5" i="31"/>
  <c r="AS5" i="30"/>
  <c r="MG5" i="28"/>
  <c r="LC5" i="22"/>
  <c r="EE5" i="17"/>
  <c r="JY5" i="13"/>
  <c r="NK5" i="8"/>
  <c r="LC5" i="4"/>
  <c r="VM5" i="30"/>
  <c r="DA5" i="32"/>
  <c r="O5" i="46"/>
  <c r="DA5" i="38"/>
  <c r="VM5" i="32"/>
  <c r="DA5" i="34"/>
  <c r="QW5" i="33"/>
  <c r="NK5" i="33"/>
  <c r="IU5" i="21"/>
  <c r="HQ5" i="33"/>
  <c r="HQ5" i="37"/>
  <c r="HQ5" i="31"/>
  <c r="O5" i="13"/>
  <c r="DA5" i="36"/>
  <c r="VM5" i="34"/>
  <c r="VM5" i="36"/>
  <c r="VM5" i="2"/>
  <c r="LC5" i="44"/>
  <c r="TE5" i="36"/>
  <c r="MG5" i="32"/>
  <c r="DA5" i="30"/>
  <c r="OO5" i="41"/>
  <c r="QW5" i="31"/>
  <c r="BW5" i="25"/>
  <c r="AS5" i="12"/>
  <c r="QW5" i="37"/>
  <c r="VM5" i="44"/>
  <c r="EE5" i="11"/>
  <c r="VM5" i="48"/>
  <c r="SA5" i="47"/>
  <c r="MG5" i="42"/>
  <c r="HQ5" i="41"/>
  <c r="MG5" i="48"/>
  <c r="VM5" i="50"/>
  <c r="DA5" i="44"/>
  <c r="QW5" i="39"/>
  <c r="MG5" i="44"/>
  <c r="MG5" i="46"/>
  <c r="DA5" i="40"/>
  <c r="HQ5" i="39"/>
  <c r="QW5" i="35"/>
  <c r="GM5" i="31"/>
  <c r="SA5" i="30"/>
  <c r="VM5" i="28"/>
  <c r="SA5" i="15"/>
  <c r="QW5" i="47"/>
  <c r="DA5" i="48"/>
  <c r="SA5" i="8"/>
  <c r="HQ5" i="47"/>
  <c r="QW5" i="49"/>
  <c r="MG5" i="40"/>
  <c r="EE5" i="22"/>
  <c r="OO5" i="18"/>
  <c r="HQ5" i="49"/>
  <c r="HQ5" i="43"/>
  <c r="QW5" i="6"/>
  <c r="FI5" i="6"/>
  <c r="VM5" i="40"/>
  <c r="MG5" i="38"/>
  <c r="HQ5" i="45"/>
  <c r="QW5" i="43"/>
  <c r="DA5" i="50"/>
  <c r="DA5" i="42"/>
  <c r="MG5" i="50"/>
</calcChain>
</file>

<file path=xl/sharedStrings.xml><?xml version="1.0" encoding="utf-8"?>
<sst xmlns="http://schemas.openxmlformats.org/spreadsheetml/2006/main" count="37806" uniqueCount="4878">
  <si>
    <t>Deal 3001</t>
  </si>
  <si>
    <t>Deal 3002</t>
  </si>
  <si>
    <t>Deal 3003</t>
  </si>
  <si>
    <t>Deal 3004</t>
  </si>
  <si>
    <t>Deal 3005</t>
  </si>
  <si>
    <t>Deal 3006</t>
  </si>
  <si>
    <t>Deal 3007</t>
  </si>
  <si>
    <t>Deal 3008</t>
  </si>
  <si>
    <t>Deal 3009</t>
  </si>
  <si>
    <t>Deal 3010</t>
  </si>
  <si>
    <t>Deal 3011</t>
  </si>
  <si>
    <t>Deal 3012</t>
  </si>
  <si>
    <t>Deal 3013</t>
  </si>
  <si>
    <t>Deal 3014</t>
  </si>
  <si>
    <t>Deal 3015</t>
  </si>
  <si>
    <t>Deal 3016</t>
  </si>
  <si>
    <t>Deal 3017</t>
  </si>
  <si>
    <t>Deal 3018</t>
  </si>
  <si>
    <t>Deal 3019</t>
  </si>
  <si>
    <t>Deal 3020</t>
  </si>
  <si>
    <t>CEIN US Equity</t>
  </si>
  <si>
    <t>NPBC US Equity</t>
  </si>
  <si>
    <t>nan Equity</t>
  </si>
  <si>
    <t>STL US Equity</t>
  </si>
  <si>
    <t>PLAB US Equity</t>
  </si>
  <si>
    <t>2676187Q US Equity</t>
  </si>
  <si>
    <t>KMAGQ US Equity</t>
  </si>
  <si>
    <t>NWBI US Equity</t>
  </si>
  <si>
    <t>XCRA US Equity</t>
  </si>
  <si>
    <t>1916526D US Equity</t>
  </si>
  <si>
    <t>OCFC US Equity</t>
  </si>
  <si>
    <t>NUAN US Equity</t>
  </si>
  <si>
    <t>653707Q US Equity</t>
  </si>
  <si>
    <t>FCPR US Equity</t>
  </si>
  <si>
    <t>1894768D US Equity</t>
  </si>
  <si>
    <t>3354388Q US Equity</t>
  </si>
  <si>
    <t>FOR US Equity</t>
  </si>
  <si>
    <t>WAXS US Equity</t>
  </si>
  <si>
    <t>BAX US Equity</t>
  </si>
  <si>
    <t>FCGI US Equity</t>
  </si>
  <si>
    <t>Suppliers</t>
  </si>
  <si>
    <t>Customers</t>
  </si>
  <si>
    <t>Entity Ticker</t>
  </si>
  <si>
    <t>Cost Type</t>
  </si>
  <si>
    <t>Revenue %</t>
  </si>
  <si>
    <t>Cost %</t>
  </si>
  <si>
    <t>Rel. Period</t>
  </si>
  <si>
    <t>Rel. Year</t>
  </si>
  <si>
    <t>Source</t>
  </si>
  <si>
    <t>Rel. Date</t>
  </si>
  <si>
    <t>Rel. Count</t>
  </si>
  <si>
    <t>Rel. Amount</t>
  </si>
  <si>
    <t>Company ID</t>
  </si>
  <si>
    <t>Company Name</t>
  </si>
  <si>
    <t>Deal 3021</t>
  </si>
  <si>
    <t>Deal 3022</t>
  </si>
  <si>
    <t>Deal 3023</t>
  </si>
  <si>
    <t>Deal 3024</t>
  </si>
  <si>
    <t>Deal 3025</t>
  </si>
  <si>
    <t>Deal 3026</t>
  </si>
  <si>
    <t>Deal 3027</t>
  </si>
  <si>
    <t>Deal 3028</t>
  </si>
  <si>
    <t>Deal 3029</t>
  </si>
  <si>
    <t>Deal 3030</t>
  </si>
  <si>
    <t>Deal 3031</t>
  </si>
  <si>
    <t>Deal 3032</t>
  </si>
  <si>
    <t>Deal 3033</t>
  </si>
  <si>
    <t>Deal 3034</t>
  </si>
  <si>
    <t>Deal 3035</t>
  </si>
  <si>
    <t>Deal 3036</t>
  </si>
  <si>
    <t>Deal 3037</t>
  </si>
  <si>
    <t>Deal 3038</t>
  </si>
  <si>
    <t>Deal 3039</t>
  </si>
  <si>
    <t>Deal 3040</t>
  </si>
  <si>
    <t>IT US Equity</t>
  </si>
  <si>
    <t>FCBN US Equity</t>
  </si>
  <si>
    <t>EWBC US Equity</t>
  </si>
  <si>
    <t>1073675D US Equity</t>
  </si>
  <si>
    <t>SCFS US Equity</t>
  </si>
  <si>
    <t>BBT US Equity</t>
  </si>
  <si>
    <t>RNST US Equity</t>
  </si>
  <si>
    <t>FLO US Equity</t>
  </si>
  <si>
    <t>IWOV US Equity</t>
  </si>
  <si>
    <t>AMFH US Equity</t>
  </si>
  <si>
    <t>WINMQ US Equity</t>
  </si>
  <si>
    <t>HSP US Equity</t>
  </si>
  <si>
    <t>PFE US Equity</t>
  </si>
  <si>
    <t>BHB US Equity</t>
  </si>
  <si>
    <t>CBU US Equity</t>
  </si>
  <si>
    <t>CVC US Equity</t>
  </si>
  <si>
    <t>1321686D US Equity</t>
  </si>
  <si>
    <t>PATK US Equity</t>
  </si>
  <si>
    <t>JH US Equity</t>
  </si>
  <si>
    <t>HNBC US Equity</t>
  </si>
  <si>
    <t>Deal 3041</t>
  </si>
  <si>
    <t>Deal 3042</t>
  </si>
  <si>
    <t>Deal 3043</t>
  </si>
  <si>
    <t>Deal 3044</t>
  </si>
  <si>
    <t>Deal 3045</t>
  </si>
  <si>
    <t>Deal 3046</t>
  </si>
  <si>
    <t>Deal 3047</t>
  </si>
  <si>
    <t>Deal 3048</t>
  </si>
  <si>
    <t>Deal 3049</t>
  </si>
  <si>
    <t>Deal 3050</t>
  </si>
  <si>
    <t>Deal 3051</t>
  </si>
  <si>
    <t>Deal 3052</t>
  </si>
  <si>
    <t>Deal 3053</t>
  </si>
  <si>
    <t>Deal 3054</t>
  </si>
  <si>
    <t>Deal 3055</t>
  </si>
  <si>
    <t>Deal 3056</t>
  </si>
  <si>
    <t>Deal 3057</t>
  </si>
  <si>
    <t>Deal 3058</t>
  </si>
  <si>
    <t>Deal 3059</t>
  </si>
  <si>
    <t>Deal 3060</t>
  </si>
  <si>
    <t>THFF US Equity</t>
  </si>
  <si>
    <t>CDE US Equity</t>
  </si>
  <si>
    <t>MBFI US Equity</t>
  </si>
  <si>
    <t>3592185Q US Equity</t>
  </si>
  <si>
    <t>SBLUQ US Equity</t>
  </si>
  <si>
    <t>FULT US Equity</t>
  </si>
  <si>
    <t>NBTB US Equity</t>
  </si>
  <si>
    <t>WABC US Equity</t>
  </si>
  <si>
    <t>NIC US Equity</t>
  </si>
  <si>
    <t>PRU US Equity</t>
  </si>
  <si>
    <t>PTIX US Equity</t>
  </si>
  <si>
    <t>SHBI US Equity</t>
  </si>
  <si>
    <t>RCRC US Equity</t>
  </si>
  <si>
    <t>GWB US Equity</t>
  </si>
  <si>
    <t>TCR US Equity</t>
  </si>
  <si>
    <t>SAGI US Equity</t>
  </si>
  <si>
    <t>CLBK US Equity</t>
  </si>
  <si>
    <t>EAGB US Equity</t>
  </si>
  <si>
    <t>TFC US Equity</t>
  </si>
  <si>
    <t>DCOM US Equity</t>
  </si>
  <si>
    <t>Deal 3061</t>
  </si>
  <si>
    <t>Deal 3062</t>
  </si>
  <si>
    <t>Deal 3063</t>
  </si>
  <si>
    <t>Deal 3064</t>
  </si>
  <si>
    <t>Deal 3065</t>
  </si>
  <si>
    <t>Deal 3066</t>
  </si>
  <si>
    <t>Deal 3067</t>
  </si>
  <si>
    <t>Deal 3068</t>
  </si>
  <si>
    <t>Deal 3069</t>
  </si>
  <si>
    <t>Deal 3070</t>
  </si>
  <si>
    <t>Deal 3071</t>
  </si>
  <si>
    <t>Deal 3072</t>
  </si>
  <si>
    <t>Deal 3073</t>
  </si>
  <si>
    <t>Deal 3074</t>
  </si>
  <si>
    <t>Deal 3075</t>
  </si>
  <si>
    <t>Deal 3076</t>
  </si>
  <si>
    <t>Deal 3077</t>
  </si>
  <si>
    <t>Deal 3078</t>
  </si>
  <si>
    <t>Deal 3079</t>
  </si>
  <si>
    <t>Deal 3080</t>
  </si>
  <si>
    <t>AAL US Equity</t>
  </si>
  <si>
    <t>CBONQ US Equity</t>
  </si>
  <si>
    <t>DEIX US Equity</t>
  </si>
  <si>
    <t>1740293D US Equity</t>
  </si>
  <si>
    <t>VLY US Equity</t>
  </si>
  <si>
    <t>VRTX US Equity</t>
  </si>
  <si>
    <t>ISBC US Equity</t>
  </si>
  <si>
    <t>AGR US Equity</t>
  </si>
  <si>
    <t>1822785D US Equity</t>
  </si>
  <si>
    <t>FNB US Equity</t>
  </si>
  <si>
    <t>9980328D US Equity</t>
  </si>
  <si>
    <t>ARW US Equity</t>
  </si>
  <si>
    <t>HUM US Equity</t>
  </si>
  <si>
    <t>BMRC US Equity</t>
  </si>
  <si>
    <t>388103Q US Equity</t>
  </si>
  <si>
    <t>ALTO US Equity</t>
  </si>
  <si>
    <t>SVC US Equity</t>
  </si>
  <si>
    <t>103917Q US Equity</t>
  </si>
  <si>
    <t>Deal 3081</t>
  </si>
  <si>
    <t>Deal 3082</t>
  </si>
  <si>
    <t>Deal 3083</t>
  </si>
  <si>
    <t>Deal 3084</t>
  </si>
  <si>
    <t>Deal 3085</t>
  </si>
  <si>
    <t>Deal 3086</t>
  </si>
  <si>
    <t>Deal 3087</t>
  </si>
  <si>
    <t>Deal 3088</t>
  </si>
  <si>
    <t>Deal 3089</t>
  </si>
  <si>
    <t>Deal 3090</t>
  </si>
  <si>
    <t>Deal 3091</t>
  </si>
  <si>
    <t>Deal 3092</t>
  </si>
  <si>
    <t>Deal 3093</t>
  </si>
  <si>
    <t>Deal 3094</t>
  </si>
  <si>
    <t>Deal 3095</t>
  </si>
  <si>
    <t>Deal 3096</t>
  </si>
  <si>
    <t>Deal 3097</t>
  </si>
  <si>
    <t>Deal 3098</t>
  </si>
  <si>
    <t>Deal 3099</t>
  </si>
  <si>
    <t>Deal 3100</t>
  </si>
  <si>
    <t>0618828D US Equity</t>
  </si>
  <si>
    <t>CFG US Equity</t>
  </si>
  <si>
    <t>0966147D US Equity</t>
  </si>
  <si>
    <t>2185054D US Equity</t>
  </si>
  <si>
    <t>CMOS US Equity</t>
  </si>
  <si>
    <t>NFS US Equity</t>
  </si>
  <si>
    <t>GOOGL US Equity</t>
  </si>
  <si>
    <t>BWA US Equity</t>
  </si>
  <si>
    <t>CPK US Equity</t>
  </si>
  <si>
    <t>RTEC US Equity</t>
  </si>
  <si>
    <t>CWST US Equity</t>
  </si>
  <si>
    <t>RGNA US Equity</t>
  </si>
  <si>
    <t>TLRDQ US Equity</t>
  </si>
  <si>
    <t>CRK US Equity</t>
  </si>
  <si>
    <t>1552309D US Equity</t>
  </si>
  <si>
    <t>MCHB US Equity</t>
  </si>
  <si>
    <t>RTX US Equity</t>
  </si>
  <si>
    <t>9990225D US Equity</t>
  </si>
  <si>
    <t>NOC US Equity</t>
  </si>
  <si>
    <t>Deal 3101</t>
  </si>
  <si>
    <t>Deal 3102</t>
  </si>
  <si>
    <t>Deal 3103</t>
  </si>
  <si>
    <t>Deal 3104</t>
  </si>
  <si>
    <t>Deal 3105</t>
  </si>
  <si>
    <t>Deal 3106</t>
  </si>
  <si>
    <t>Deal 3107</t>
  </si>
  <si>
    <t>Deal 3108</t>
  </si>
  <si>
    <t>Deal 3109</t>
  </si>
  <si>
    <t>Deal 3110</t>
  </si>
  <si>
    <t>Deal 3111</t>
  </si>
  <si>
    <t>Deal 3112</t>
  </si>
  <si>
    <t>Deal 3113</t>
  </si>
  <si>
    <t>Deal 3114</t>
  </si>
  <si>
    <t>Deal 3115</t>
  </si>
  <si>
    <t>Deal 3116</t>
  </si>
  <si>
    <t>Deal 3117</t>
  </si>
  <si>
    <t>Deal 3118</t>
  </si>
  <si>
    <t>Deal 3119</t>
  </si>
  <si>
    <t>Deal 3120</t>
  </si>
  <si>
    <t>ICBC US Equity</t>
  </si>
  <si>
    <t>HLFG US Equity</t>
  </si>
  <si>
    <t>GEO US Equity</t>
  </si>
  <si>
    <t>DIAN US Equity</t>
  </si>
  <si>
    <t>1339658D US Equity</t>
  </si>
  <si>
    <t>BVH US Equity</t>
  </si>
  <si>
    <t>INDB US Equity</t>
  </si>
  <si>
    <t>SRR US Equity</t>
  </si>
  <si>
    <t>ALAB US Equity</t>
  </si>
  <si>
    <t>RBNC US Equity</t>
  </si>
  <si>
    <t>MBHIQ US Equity</t>
  </si>
  <si>
    <t>WCOEQ US Equity</t>
  </si>
  <si>
    <t>IMGC US Equity</t>
  </si>
  <si>
    <t>EFSC US Equity</t>
  </si>
  <si>
    <t>EVVV US Equity</t>
  </si>
  <si>
    <t>NXTL US Equity</t>
  </si>
  <si>
    <t>BKMU US Equity</t>
  </si>
  <si>
    <t>WHLR US Equity</t>
  </si>
  <si>
    <t>Deal 3121</t>
  </si>
  <si>
    <t>Deal 3122</t>
  </si>
  <si>
    <t>Deal 3123</t>
  </si>
  <si>
    <t>Deal 3124</t>
  </si>
  <si>
    <t>Deal 3125</t>
  </si>
  <si>
    <t>Deal 3126</t>
  </si>
  <si>
    <t>Deal 3127</t>
  </si>
  <si>
    <t>Deal 3128</t>
  </si>
  <si>
    <t>Deal 3129</t>
  </si>
  <si>
    <t>Deal 3130</t>
  </si>
  <si>
    <t>Deal 3131</t>
  </si>
  <si>
    <t>Deal 3132</t>
  </si>
  <si>
    <t>Deal 3133</t>
  </si>
  <si>
    <t>Deal 3134</t>
  </si>
  <si>
    <t>Deal 3135</t>
  </si>
  <si>
    <t>Deal 3136</t>
  </si>
  <si>
    <t>Deal 3137</t>
  </si>
  <si>
    <t>Deal 3138</t>
  </si>
  <si>
    <t>Deal 3139</t>
  </si>
  <si>
    <t>Deal 3140</t>
  </si>
  <si>
    <t>HBAN US Equity</t>
  </si>
  <si>
    <t>680884Q US Equity</t>
  </si>
  <si>
    <t>MAFB US Equity</t>
  </si>
  <si>
    <t>MAR US Equity</t>
  </si>
  <si>
    <t>GBBK US Equity</t>
  </si>
  <si>
    <t>VIAV US Equity</t>
  </si>
  <si>
    <t>DCAI US Equity</t>
  </si>
  <si>
    <t>COB US Equity</t>
  </si>
  <si>
    <t>RITA US Equity</t>
  </si>
  <si>
    <t>MDT US Equity</t>
  </si>
  <si>
    <t>MPB US Equity</t>
  </si>
  <si>
    <t>BEAS US Equity</t>
  </si>
  <si>
    <t>NBBC US Equity</t>
  </si>
  <si>
    <t>1978022D US Equity</t>
  </si>
  <si>
    <t>SGYPQ US Equity</t>
  </si>
  <si>
    <t>AIMC US Equity</t>
  </si>
  <si>
    <t>MMM US Equity</t>
  </si>
  <si>
    <t>ADP US Equity</t>
  </si>
  <si>
    <t>DAR US Equity</t>
  </si>
  <si>
    <t>Deal 3141</t>
  </si>
  <si>
    <t>Deal 3142</t>
  </si>
  <si>
    <t>Deal 3143</t>
  </si>
  <si>
    <t>Deal 3144</t>
  </si>
  <si>
    <t>Deal 3145</t>
  </si>
  <si>
    <t>Deal 3146</t>
  </si>
  <si>
    <t>Deal 3147</t>
  </si>
  <si>
    <t>Deal 3148</t>
  </si>
  <si>
    <t>Deal 3149</t>
  </si>
  <si>
    <t>Deal 3150</t>
  </si>
  <si>
    <t>Deal 3151</t>
  </si>
  <si>
    <t>Deal 3152</t>
  </si>
  <si>
    <t>Deal 3153</t>
  </si>
  <si>
    <t>Deal 3154</t>
  </si>
  <si>
    <t>Deal 3155</t>
  </si>
  <si>
    <t>Deal 3156</t>
  </si>
  <si>
    <t>Deal 3157</t>
  </si>
  <si>
    <t>Deal 3158</t>
  </si>
  <si>
    <t>Deal 3159</t>
  </si>
  <si>
    <t>Deal 3160</t>
  </si>
  <si>
    <t>MSCC US Equity</t>
  </si>
  <si>
    <t>CY US Equity</t>
  </si>
  <si>
    <t>DLX US Equity</t>
  </si>
  <si>
    <t>QKKAQ US Equity</t>
  </si>
  <si>
    <t>HYSL US Equity</t>
  </si>
  <si>
    <t>CDNS US Equity</t>
  </si>
  <si>
    <t>GDT US Equity</t>
  </si>
  <si>
    <t>AVY US Equity</t>
  </si>
  <si>
    <t>ACCL US Equity</t>
  </si>
  <si>
    <t>DWSN US Equity</t>
  </si>
  <si>
    <t>GEOKQ US Equity</t>
  </si>
  <si>
    <t>CAR US Equity</t>
  </si>
  <si>
    <t>764144Q US Equity</t>
  </si>
  <si>
    <t>CPNLQ US Equity</t>
  </si>
  <si>
    <t>534689Q US Equity</t>
  </si>
  <si>
    <t>UCB US Equity</t>
  </si>
  <si>
    <t>9895616Q US Equity</t>
  </si>
  <si>
    <t>UB US Equity</t>
  </si>
  <si>
    <t>9990253D US Equity</t>
  </si>
  <si>
    <t>Deal 3161</t>
  </si>
  <si>
    <t>Deal 3162</t>
  </si>
  <si>
    <t>Deal 3163</t>
  </si>
  <si>
    <t>Deal 3164</t>
  </si>
  <si>
    <t>Deal 3165</t>
  </si>
  <si>
    <t>Deal 3166</t>
  </si>
  <si>
    <t>Deal 3167</t>
  </si>
  <si>
    <t>Deal 3168</t>
  </si>
  <si>
    <t>Deal 3169</t>
  </si>
  <si>
    <t>Deal 3170</t>
  </si>
  <si>
    <t>Deal 3171</t>
  </si>
  <si>
    <t>Deal 3172</t>
  </si>
  <si>
    <t>Deal 3173</t>
  </si>
  <si>
    <t>Deal 3174</t>
  </si>
  <si>
    <t>Deal 3175</t>
  </si>
  <si>
    <t>Deal 3176</t>
  </si>
  <si>
    <t>Deal 3177</t>
  </si>
  <si>
    <t>Deal 3178</t>
  </si>
  <si>
    <t>Deal 3179</t>
  </si>
  <si>
    <t>Deal 3180</t>
  </si>
  <si>
    <t>AMESQ US Equity</t>
  </si>
  <si>
    <t>MTB US Equity</t>
  </si>
  <si>
    <t>2847452Q US Equity</t>
  </si>
  <si>
    <t>TRAD US Equity</t>
  </si>
  <si>
    <t>0897262D US Equity</t>
  </si>
  <si>
    <t>540513Q US Equity</t>
  </si>
  <si>
    <t>PFS US Equity</t>
  </si>
  <si>
    <t>CNOB US Equity</t>
  </si>
  <si>
    <t>PMB US Equity</t>
  </si>
  <si>
    <t>DFODQ US Equity</t>
  </si>
  <si>
    <t>0700734D US Equity</t>
  </si>
  <si>
    <t>FRST US Equity</t>
  </si>
  <si>
    <t>CATC US Equity</t>
  </si>
  <si>
    <t>ONEW US Equity</t>
  </si>
  <si>
    <t>ARAY US Equity</t>
  </si>
  <si>
    <t>Deal 3181</t>
  </si>
  <si>
    <t>Deal 3182</t>
  </si>
  <si>
    <t>Deal 3183</t>
  </si>
  <si>
    <t>Deal 3184</t>
  </si>
  <si>
    <t>Deal 3185</t>
  </si>
  <si>
    <t>Deal 3186</t>
  </si>
  <si>
    <t>Deal 3187</t>
  </si>
  <si>
    <t>Deal 3188</t>
  </si>
  <si>
    <t>Deal 3189</t>
  </si>
  <si>
    <t>Deal 3190</t>
  </si>
  <si>
    <t>Deal 3191</t>
  </si>
  <si>
    <t>Deal 3192</t>
  </si>
  <si>
    <t>Deal 3193</t>
  </si>
  <si>
    <t>Deal 3194</t>
  </si>
  <si>
    <t>Deal 3195</t>
  </si>
  <si>
    <t>Deal 3196</t>
  </si>
  <si>
    <t>Deal 3197</t>
  </si>
  <si>
    <t>Deal 3198</t>
  </si>
  <si>
    <t>Deal 3199</t>
  </si>
  <si>
    <t>Deal 3200</t>
  </si>
  <si>
    <t>EPIC US Equity</t>
  </si>
  <si>
    <t>PSTRQ US Equity</t>
  </si>
  <si>
    <t>WM US Equity</t>
  </si>
  <si>
    <t>FRME US Equity</t>
  </si>
  <si>
    <t>DZSIQ US Equity</t>
  </si>
  <si>
    <t>AXE US Equity</t>
  </si>
  <si>
    <t>TCF US Equity</t>
  </si>
  <si>
    <t>MSI US Equity</t>
  </si>
  <si>
    <t>CHZ US Equity</t>
  </si>
  <si>
    <t>ECPN US Equity</t>
  </si>
  <si>
    <t>NCF US Equity</t>
  </si>
  <si>
    <t>CHDN US Equity</t>
  </si>
  <si>
    <t>WFC US Equity</t>
  </si>
  <si>
    <t>WLDN US Equity</t>
  </si>
  <si>
    <t>SAFE US Equity</t>
  </si>
  <si>
    <t>DE US Equity</t>
  </si>
  <si>
    <t>TMAV US Equity</t>
  </si>
  <si>
    <t>PARR US Equity</t>
  </si>
  <si>
    <t>Deal 3201</t>
  </si>
  <si>
    <t>Deal 3202</t>
  </si>
  <si>
    <t>Deal 3203</t>
  </si>
  <si>
    <t>Deal 3204</t>
  </si>
  <si>
    <t>Deal 3205</t>
  </si>
  <si>
    <t>Deal 3206</t>
  </si>
  <si>
    <t>Deal 3207</t>
  </si>
  <si>
    <t>Deal 3208</t>
  </si>
  <si>
    <t>Deal 3209</t>
  </si>
  <si>
    <t>Deal 3210</t>
  </si>
  <si>
    <t>Deal 3211</t>
  </si>
  <si>
    <t>Deal 3212</t>
  </si>
  <si>
    <t>Deal 3213</t>
  </si>
  <si>
    <t>Deal 3214</t>
  </si>
  <si>
    <t>Deal 3215</t>
  </si>
  <si>
    <t>Deal 3216</t>
  </si>
  <si>
    <t>Deal 3217</t>
  </si>
  <si>
    <t>Deal 3218</t>
  </si>
  <si>
    <t>Deal 3219</t>
  </si>
  <si>
    <t>Deal 3220</t>
  </si>
  <si>
    <t>OLBK US Equity</t>
  </si>
  <si>
    <t>MTCH US Equity</t>
  </si>
  <si>
    <t>3075558Q US Equity</t>
  </si>
  <si>
    <t>BFC US Equity</t>
  </si>
  <si>
    <t>WTNY US Equity</t>
  </si>
  <si>
    <t>ZRAN US Equity</t>
  </si>
  <si>
    <t>LBAI US Equity</t>
  </si>
  <si>
    <t>TIN US Equity</t>
  </si>
  <si>
    <t>390297Q US Equity</t>
  </si>
  <si>
    <t>TDFXQ US Equity</t>
  </si>
  <si>
    <t>GWR US Equity</t>
  </si>
  <si>
    <t>RSYS US Equity</t>
  </si>
  <si>
    <t>OCAI US Equity</t>
  </si>
  <si>
    <t>355488Q US Equity</t>
  </si>
  <si>
    <t>WSO US Equity</t>
  </si>
  <si>
    <t>Deal 3221</t>
  </si>
  <si>
    <t>Deal 3222</t>
  </si>
  <si>
    <t>Deal 3223</t>
  </si>
  <si>
    <t>Deal 3224</t>
  </si>
  <si>
    <t>Deal 3225</t>
  </si>
  <si>
    <t>Deal 3226</t>
  </si>
  <si>
    <t>Deal 3227</t>
  </si>
  <si>
    <t>Deal 3228</t>
  </si>
  <si>
    <t>Deal 3229</t>
  </si>
  <si>
    <t>Deal 3230</t>
  </si>
  <si>
    <t>Deal 3231</t>
  </si>
  <si>
    <t>Deal 3232</t>
  </si>
  <si>
    <t>Deal 3233</t>
  </si>
  <si>
    <t>Deal 3234</t>
  </si>
  <si>
    <t>Deal 3235</t>
  </si>
  <si>
    <t>Deal 3236</t>
  </si>
  <si>
    <t>Deal 3237</t>
  </si>
  <si>
    <t>Deal 3238</t>
  </si>
  <si>
    <t>Deal 3239</t>
  </si>
  <si>
    <t>Deal 3240</t>
  </si>
  <si>
    <t>DME US Equity</t>
  </si>
  <si>
    <t>SNV US Equity</t>
  </si>
  <si>
    <t>NCOG US Equity</t>
  </si>
  <si>
    <t>RESC US Equity</t>
  </si>
  <si>
    <t>IWLC US Equity</t>
  </si>
  <si>
    <t>3346Q US Equity</t>
  </si>
  <si>
    <t>BPFH US Equity</t>
  </si>
  <si>
    <t>AMCC US Equity</t>
  </si>
  <si>
    <t>CW US Equity</t>
  </si>
  <si>
    <t>NAL US Equity</t>
  </si>
  <si>
    <t>ODSY US Equity</t>
  </si>
  <si>
    <t>OSBC US Equity</t>
  </si>
  <si>
    <t>AON US Equity</t>
  </si>
  <si>
    <t>WAI US Equity</t>
  </si>
  <si>
    <t>INVA US Equity</t>
  </si>
  <si>
    <t>TSFG US Equity</t>
  </si>
  <si>
    <t>LTWC US Equity</t>
  </si>
  <si>
    <t>SKYW US Equity</t>
  </si>
  <si>
    <t>BMTC US Equity</t>
  </si>
  <si>
    <t>Deal 3241</t>
  </si>
  <si>
    <t>Deal 3242</t>
  </si>
  <si>
    <t>Deal 3243</t>
  </si>
  <si>
    <t>Deal 3244</t>
  </si>
  <si>
    <t>Deal 3245</t>
  </si>
  <si>
    <t>Deal 3246</t>
  </si>
  <si>
    <t>Deal 3247</t>
  </si>
  <si>
    <t>Deal 3248</t>
  </si>
  <si>
    <t>Deal 3249</t>
  </si>
  <si>
    <t>Deal 3250</t>
  </si>
  <si>
    <t>Deal 3251</t>
  </si>
  <si>
    <t>Deal 3252</t>
  </si>
  <si>
    <t>Deal 3253</t>
  </si>
  <si>
    <t>Deal 3254</t>
  </si>
  <si>
    <t>Deal 3255</t>
  </si>
  <si>
    <t>Deal 3256</t>
  </si>
  <si>
    <t>Deal 3257</t>
  </si>
  <si>
    <t>Deal 3258</t>
  </si>
  <si>
    <t>Deal 3259</t>
  </si>
  <si>
    <t>Deal 3260</t>
  </si>
  <si>
    <t>KTO US Equity</t>
  </si>
  <si>
    <t>CTLT US Equity</t>
  </si>
  <si>
    <t>TSA US Equity</t>
  </si>
  <si>
    <t>ASRT US Equity</t>
  </si>
  <si>
    <t>INTU US Equity</t>
  </si>
  <si>
    <t>CNVR US Equity</t>
  </si>
  <si>
    <t>FSTR US Equity</t>
  </si>
  <si>
    <t>CAMPQ US Equity</t>
  </si>
  <si>
    <t>3406956Q US Equity</t>
  </si>
  <si>
    <t>604898Q US Equity</t>
  </si>
  <si>
    <t>PSTB US Equity</t>
  </si>
  <si>
    <t>VIAS US Equity</t>
  </si>
  <si>
    <t>WNEB US Equity</t>
  </si>
  <si>
    <t>CALX US Equity</t>
  </si>
  <si>
    <t>CSTR US Equity</t>
  </si>
  <si>
    <t>Deal 3261</t>
  </si>
  <si>
    <t>Deal 3262</t>
  </si>
  <si>
    <t>Deal 3263</t>
  </si>
  <si>
    <t>Deal 3264</t>
  </si>
  <si>
    <t>Deal 3265</t>
  </si>
  <si>
    <t>Deal 3266</t>
  </si>
  <si>
    <t>Deal 3267</t>
  </si>
  <si>
    <t>Deal 3268</t>
  </si>
  <si>
    <t>Deal 3269</t>
  </si>
  <si>
    <t>Deal 3270</t>
  </si>
  <si>
    <t>Deal 3271</t>
  </si>
  <si>
    <t>Deal 3272</t>
  </si>
  <si>
    <t>Deal 3273</t>
  </si>
  <si>
    <t>Deal 3274</t>
  </si>
  <si>
    <t>Deal 3275</t>
  </si>
  <si>
    <t>Deal 3276</t>
  </si>
  <si>
    <t>Deal 3277</t>
  </si>
  <si>
    <t>Deal 3278</t>
  </si>
  <si>
    <t>Deal 3279</t>
  </si>
  <si>
    <t>Deal 3280</t>
  </si>
  <si>
    <t>3867693Z US Equity</t>
  </si>
  <si>
    <t>TWGP US Equity</t>
  </si>
  <si>
    <t>LVLT US Equity</t>
  </si>
  <si>
    <t>DTSI US Equity</t>
  </si>
  <si>
    <t>SYMM US Equity</t>
  </si>
  <si>
    <t>DVD US Equity</t>
  </si>
  <si>
    <t>9876549D US Equity</t>
  </si>
  <si>
    <t>PPBI US Equity</t>
  </si>
  <si>
    <t>RAMP US Equity</t>
  </si>
  <si>
    <t>LEN US Equity</t>
  </si>
  <si>
    <t>DLB US Equity</t>
  </si>
  <si>
    <t>78651Q US Equity</t>
  </si>
  <si>
    <t>1495787D US Equity</t>
  </si>
  <si>
    <t>RARE US Equity</t>
  </si>
  <si>
    <t>Deal 3281</t>
  </si>
  <si>
    <t>Deal 3282</t>
  </si>
  <si>
    <t>Deal 3283</t>
  </si>
  <si>
    <t>Deal 3284</t>
  </si>
  <si>
    <t>Deal 3285</t>
  </si>
  <si>
    <t>Deal 3286</t>
  </si>
  <si>
    <t>Deal 3287</t>
  </si>
  <si>
    <t>Deal 3288</t>
  </si>
  <si>
    <t>Deal 3289</t>
  </si>
  <si>
    <t>Deal 3290</t>
  </si>
  <si>
    <t>Deal 3291</t>
  </si>
  <si>
    <t>Deal 3292</t>
  </si>
  <si>
    <t>Deal 3293</t>
  </si>
  <si>
    <t>Deal 3294</t>
  </si>
  <si>
    <t>Deal 3295</t>
  </si>
  <si>
    <t>Deal 3296</t>
  </si>
  <si>
    <t>Deal 3297</t>
  </si>
  <si>
    <t>Deal 3298</t>
  </si>
  <si>
    <t>Deal 3299</t>
  </si>
  <si>
    <t>Deal 3300</t>
  </si>
  <si>
    <t>MSFG US Equity</t>
  </si>
  <si>
    <t>SBMC US Equity</t>
  </si>
  <si>
    <t>TTI US Equity</t>
  </si>
  <si>
    <t>PALM US Equity</t>
  </si>
  <si>
    <t>RJETQ US Equity</t>
  </si>
  <si>
    <t>FVB US Equity</t>
  </si>
  <si>
    <t>SFSW US Equity</t>
  </si>
  <si>
    <t>ITW US Equity</t>
  </si>
  <si>
    <t>CIVB US Equity</t>
  </si>
  <si>
    <t>EZPW US Equity</t>
  </si>
  <si>
    <t>JNJ US Equity</t>
  </si>
  <si>
    <t>AXP US Equity</t>
  </si>
  <si>
    <t>PRGY US Equity</t>
  </si>
  <si>
    <t>AZZ US Equity</t>
  </si>
  <si>
    <t>ONB US Equity</t>
  </si>
  <si>
    <t>1837572D US Equity</t>
  </si>
  <si>
    <t>EMUS US Equity</t>
  </si>
  <si>
    <t>AXS US Equity</t>
  </si>
  <si>
    <t>Deal 3301</t>
  </si>
  <si>
    <t>Deal 3302</t>
  </si>
  <si>
    <t>Deal 3303</t>
  </si>
  <si>
    <t>Deal 3304</t>
  </si>
  <si>
    <t>Deal 3305</t>
  </si>
  <si>
    <t>Deal 3306</t>
  </si>
  <si>
    <t>Deal 3307</t>
  </si>
  <si>
    <t>Deal 3308</t>
  </si>
  <si>
    <t>Deal 3309</t>
  </si>
  <si>
    <t>Deal 3310</t>
  </si>
  <si>
    <t>Deal 3311</t>
  </si>
  <si>
    <t>Deal 3312</t>
  </si>
  <si>
    <t>Deal 3313</t>
  </si>
  <si>
    <t>Deal 3314</t>
  </si>
  <si>
    <t>Deal 3315</t>
  </si>
  <si>
    <t>Deal 3316</t>
  </si>
  <si>
    <t>Deal 3317</t>
  </si>
  <si>
    <t>Deal 3318</t>
  </si>
  <si>
    <t>Deal 3319</t>
  </si>
  <si>
    <t>Deal 3320</t>
  </si>
  <si>
    <t>CFR US Equity</t>
  </si>
  <si>
    <t>CBKN US Equity</t>
  </si>
  <si>
    <t>PRIM US Equity</t>
  </si>
  <si>
    <t>2348717Q US Equity</t>
  </si>
  <si>
    <t>UALAQ US Equity</t>
  </si>
  <si>
    <t>OMC US Equity</t>
  </si>
  <si>
    <t>BBOX US Equity</t>
  </si>
  <si>
    <t>9876544D US Equity</t>
  </si>
  <si>
    <t>CUNO US Equity</t>
  </si>
  <si>
    <t>PEBO US Equity</t>
  </si>
  <si>
    <t>WEB US Equity</t>
  </si>
  <si>
    <t>FCF US Equity</t>
  </si>
  <si>
    <t>GZBX US Equity</t>
  </si>
  <si>
    <t>DVINQ US Equity</t>
  </si>
  <si>
    <t>KLXE US Equity</t>
  </si>
  <si>
    <t>VGR US Equity</t>
  </si>
  <si>
    <t>MSCS US Equity</t>
  </si>
  <si>
    <t>CBCGQ US Equity</t>
  </si>
  <si>
    <t>Deal 3321</t>
  </si>
  <si>
    <t>Deal 3322</t>
  </si>
  <si>
    <t>Deal 3323</t>
  </si>
  <si>
    <t>Deal 3324</t>
  </si>
  <si>
    <t>Deal 3325</t>
  </si>
  <si>
    <t>Deal 3326</t>
  </si>
  <si>
    <t>Deal 3327</t>
  </si>
  <si>
    <t>Deal 3328</t>
  </si>
  <si>
    <t>Deal 3329</t>
  </si>
  <si>
    <t>Deal 3330</t>
  </si>
  <si>
    <t>Deal 3331</t>
  </si>
  <si>
    <t>Deal 3332</t>
  </si>
  <si>
    <t>Deal 3333</t>
  </si>
  <si>
    <t>Deal 3334</t>
  </si>
  <si>
    <t>Deal 3335</t>
  </si>
  <si>
    <t>Deal 3336</t>
  </si>
  <si>
    <t>Deal 3337</t>
  </si>
  <si>
    <t>Deal 3338</t>
  </si>
  <si>
    <t>Deal 3339</t>
  </si>
  <si>
    <t>Deal 3340</t>
  </si>
  <si>
    <t>VATE US Equity</t>
  </si>
  <si>
    <t>1850874D US Equity</t>
  </si>
  <si>
    <t>NCOM US Equity</t>
  </si>
  <si>
    <t>TRMK US Equity</t>
  </si>
  <si>
    <t>753397Q US Equity</t>
  </si>
  <si>
    <t>724273Q US Equity</t>
  </si>
  <si>
    <t>CVG US Equity</t>
  </si>
  <si>
    <t>SNPS US Equity</t>
  </si>
  <si>
    <t>CB US Equity</t>
  </si>
  <si>
    <t>3588Q US Equity</t>
  </si>
  <si>
    <t>AVTA US Equity</t>
  </si>
  <si>
    <t>MYR US Equity</t>
  </si>
  <si>
    <t>MCF US Equity</t>
  </si>
  <si>
    <t>Deal 3341</t>
  </si>
  <si>
    <t>Deal 3342</t>
  </si>
  <si>
    <t>Deal 3343</t>
  </si>
  <si>
    <t>Deal 3344</t>
  </si>
  <si>
    <t>Deal 3345</t>
  </si>
  <si>
    <t>Deal 3346</t>
  </si>
  <si>
    <t>Deal 3347</t>
  </si>
  <si>
    <t>Deal 3348</t>
  </si>
  <si>
    <t>Deal 3349</t>
  </si>
  <si>
    <t>Deal 3350</t>
  </si>
  <si>
    <t>Deal 3351</t>
  </si>
  <si>
    <t>Deal 3352</t>
  </si>
  <si>
    <t>Deal 3353</t>
  </si>
  <si>
    <t>Deal 3354</t>
  </si>
  <si>
    <t>Deal 3355</t>
  </si>
  <si>
    <t>Deal 3356</t>
  </si>
  <si>
    <t>Deal 3357</t>
  </si>
  <si>
    <t>Deal 3358</t>
  </si>
  <si>
    <t>Deal 3359</t>
  </si>
  <si>
    <t>Deal 3360</t>
  </si>
  <si>
    <t>ACIW US Equity</t>
  </si>
  <si>
    <t>LCRY US Equity</t>
  </si>
  <si>
    <t>2447428D US Equity</t>
  </si>
  <si>
    <t>OPCH US Equity</t>
  </si>
  <si>
    <t>ANT US Equity</t>
  </si>
  <si>
    <t>SLFI US Equity</t>
  </si>
  <si>
    <t>IGL US Equity</t>
  </si>
  <si>
    <t>IBM US Equity</t>
  </si>
  <si>
    <t>539355Q US Equity</t>
  </si>
  <si>
    <t>UBSI US Equity</t>
  </si>
  <si>
    <t>HOV US Equity</t>
  </si>
  <si>
    <t>CADE US Equity</t>
  </si>
  <si>
    <t>JAMS US Equity</t>
  </si>
  <si>
    <t>ENMC US Equity</t>
  </si>
  <si>
    <t>PEGA US Equity</t>
  </si>
  <si>
    <t>Deal 3361</t>
  </si>
  <si>
    <t>Deal 3362</t>
  </si>
  <si>
    <t>Deal 3363</t>
  </si>
  <si>
    <t>Deal 3364</t>
  </si>
  <si>
    <t>Deal 3365</t>
  </si>
  <si>
    <t>Deal 3366</t>
  </si>
  <si>
    <t>Deal 3367</t>
  </si>
  <si>
    <t>Deal 3368</t>
  </si>
  <si>
    <t>Deal 3369</t>
  </si>
  <si>
    <t>Deal 3370</t>
  </si>
  <si>
    <t>Deal 3371</t>
  </si>
  <si>
    <t>Deal 3372</t>
  </si>
  <si>
    <t>Deal 3373</t>
  </si>
  <si>
    <t>Deal 3374</t>
  </si>
  <si>
    <t>Deal 3375</t>
  </si>
  <si>
    <t>Deal 3376</t>
  </si>
  <si>
    <t>Deal 3377</t>
  </si>
  <si>
    <t>Deal 3378</t>
  </si>
  <si>
    <t>Deal 3379</t>
  </si>
  <si>
    <t>Deal 3380</t>
  </si>
  <si>
    <t>RTHM LN Equity</t>
  </si>
  <si>
    <t>FMAO US Equity</t>
  </si>
  <si>
    <t>CPSS US Equity</t>
  </si>
  <si>
    <t>FMBI US Equity</t>
  </si>
  <si>
    <t>TCBK US Equity</t>
  </si>
  <si>
    <t>YDKN US Equity</t>
  </si>
  <si>
    <t>FBNC US Equity</t>
  </si>
  <si>
    <t>WIBC US Equity</t>
  </si>
  <si>
    <t>VTEQ US Equity</t>
  </si>
  <si>
    <t>OKWHQ US Equity</t>
  </si>
  <si>
    <t>XBKS US Equity</t>
  </si>
  <si>
    <t>UPBD US Equity</t>
  </si>
  <si>
    <t>PRGNQ US Equity</t>
  </si>
  <si>
    <t>AZA US Equity</t>
  </si>
  <si>
    <t>TWX US Equity</t>
  </si>
  <si>
    <t>RMK US Equity</t>
  </si>
  <si>
    <t>Deal 3381</t>
  </si>
  <si>
    <t>Deal 3382</t>
  </si>
  <si>
    <t>Deal 3383</t>
  </si>
  <si>
    <t>Deal 3384</t>
  </si>
  <si>
    <t>Deal 3385</t>
  </si>
  <si>
    <t>Deal 3386</t>
  </si>
  <si>
    <t>Deal 3387</t>
  </si>
  <si>
    <t>Deal 3388</t>
  </si>
  <si>
    <t>Deal 3389</t>
  </si>
  <si>
    <t>Deal 3390</t>
  </si>
  <si>
    <t>Deal 3391</t>
  </si>
  <si>
    <t>Deal 3392</t>
  </si>
  <si>
    <t>Deal 3393</t>
  </si>
  <si>
    <t>Deal 3394</t>
  </si>
  <si>
    <t>Deal 3395</t>
  </si>
  <si>
    <t>Deal 3396</t>
  </si>
  <si>
    <t>Deal 3397</t>
  </si>
  <si>
    <t>Deal 3398</t>
  </si>
  <si>
    <t>Deal 3399</t>
  </si>
  <si>
    <t>Deal 3400</t>
  </si>
  <si>
    <t>EGP US Equity</t>
  </si>
  <si>
    <t>EMN US Equity</t>
  </si>
  <si>
    <t>GLDB US Equity</t>
  </si>
  <si>
    <t>FLS US Equity</t>
  </si>
  <si>
    <t>EXE US Equity</t>
  </si>
  <si>
    <t>DRS US Equity</t>
  </si>
  <si>
    <t>OPLK US Equity</t>
  </si>
  <si>
    <t>GBCI US Equity</t>
  </si>
  <si>
    <t>HRBT US Equity</t>
  </si>
  <si>
    <t>USB US Equity</t>
  </si>
  <si>
    <t>CARO US Equity</t>
  </si>
  <si>
    <t>TPTH US Equity</t>
  </si>
  <si>
    <t>1642488D US Equity</t>
  </si>
  <si>
    <t>Deal 3401</t>
  </si>
  <si>
    <t>Deal 3402</t>
  </si>
  <si>
    <t>Deal 3403</t>
  </si>
  <si>
    <t>Deal 3404</t>
  </si>
  <si>
    <t>Deal 3405</t>
  </si>
  <si>
    <t>Deal 3406</t>
  </si>
  <si>
    <t>Deal 3407</t>
  </si>
  <si>
    <t>Deal 3408</t>
  </si>
  <si>
    <t>Deal 3409</t>
  </si>
  <si>
    <t>Deal 3410</t>
  </si>
  <si>
    <t>Deal 3411</t>
  </si>
  <si>
    <t>Deal 3412</t>
  </si>
  <si>
    <t>Deal 3413</t>
  </si>
  <si>
    <t>Deal 3414</t>
  </si>
  <si>
    <t>Deal 3415</t>
  </si>
  <si>
    <t>Deal 3416</t>
  </si>
  <si>
    <t>Deal 3417</t>
  </si>
  <si>
    <t>Deal 3418</t>
  </si>
  <si>
    <t>Deal 3419</t>
  </si>
  <si>
    <t>Deal 3420</t>
  </si>
  <si>
    <t>AMNB US Equity</t>
  </si>
  <si>
    <t>GME US Equity</t>
  </si>
  <si>
    <t>0544801D US Equity</t>
  </si>
  <si>
    <t>2119228Q US Equity</t>
  </si>
  <si>
    <t>1436225D US Equity</t>
  </si>
  <si>
    <t>FMNB US Equity</t>
  </si>
  <si>
    <t>HLYW US Equity</t>
  </si>
  <si>
    <t>HBNC US Equity</t>
  </si>
  <si>
    <t>538087Q US Equity</t>
  </si>
  <si>
    <t>HPQ US Equity</t>
  </si>
  <si>
    <t>JAS US Equity</t>
  </si>
  <si>
    <t>TRN US Equity</t>
  </si>
  <si>
    <t>HC US Equity</t>
  </si>
  <si>
    <t>PBCT US Equity</t>
  </si>
  <si>
    <t>FFIC US Equity</t>
  </si>
  <si>
    <t>WAFD US Equity</t>
  </si>
  <si>
    <t>Deal 3421</t>
  </si>
  <si>
    <t>Deal 3422</t>
  </si>
  <si>
    <t>Deal 3423</t>
  </si>
  <si>
    <t>Deal 3424</t>
  </si>
  <si>
    <t>Deal 3425</t>
  </si>
  <si>
    <t>Deal 3426</t>
  </si>
  <si>
    <t>Deal 3427</t>
  </si>
  <si>
    <t>Deal 3428</t>
  </si>
  <si>
    <t>Deal 3429</t>
  </si>
  <si>
    <t>Deal 3430</t>
  </si>
  <si>
    <t>Deal 3431</t>
  </si>
  <si>
    <t>Deal 3432</t>
  </si>
  <si>
    <t>Deal 3433</t>
  </si>
  <si>
    <t>Deal 3434</t>
  </si>
  <si>
    <t>Deal 3435</t>
  </si>
  <si>
    <t>Deal 3436</t>
  </si>
  <si>
    <t>Deal 3437</t>
  </si>
  <si>
    <t>Deal 3438</t>
  </si>
  <si>
    <t>Deal 3439</t>
  </si>
  <si>
    <t>Deal 3440</t>
  </si>
  <si>
    <t>SUPR US Equity</t>
  </si>
  <si>
    <t>662053Q US Equity</t>
  </si>
  <si>
    <t>1023761D US Equity</t>
  </si>
  <si>
    <t>IBOC US Equity</t>
  </si>
  <si>
    <t>BRK/A US Equity</t>
  </si>
  <si>
    <t>838969Q US Equity</t>
  </si>
  <si>
    <t>2860436Q US Equity</t>
  </si>
  <si>
    <t>8277831Q US Equity</t>
  </si>
  <si>
    <t>SPLP US Equity</t>
  </si>
  <si>
    <t>BNCN US Equity</t>
  </si>
  <si>
    <t>MLI US Equity</t>
  </si>
  <si>
    <t>KWD US Equity</t>
  </si>
  <si>
    <t>ITGR US Equity</t>
  </si>
  <si>
    <t>Deal 3441</t>
  </si>
  <si>
    <t>Deal 3442</t>
  </si>
  <si>
    <t>Deal 3443</t>
  </si>
  <si>
    <t>Deal 3444</t>
  </si>
  <si>
    <t>Deal 3445</t>
  </si>
  <si>
    <t>Deal 3446</t>
  </si>
  <si>
    <t>Deal 3447</t>
  </si>
  <si>
    <t>Deal 3448</t>
  </si>
  <si>
    <t>Deal 3449</t>
  </si>
  <si>
    <t>Deal 3450</t>
  </si>
  <si>
    <t>Deal 3451</t>
  </si>
  <si>
    <t>Deal 3452</t>
  </si>
  <si>
    <t>Deal 3453</t>
  </si>
  <si>
    <t>Deal 3454</t>
  </si>
  <si>
    <t>Deal 3455</t>
  </si>
  <si>
    <t>Deal 3456</t>
  </si>
  <si>
    <t>Deal 3457</t>
  </si>
  <si>
    <t>Deal 3458</t>
  </si>
  <si>
    <t>Deal 3459</t>
  </si>
  <si>
    <t>Deal 3460</t>
  </si>
  <si>
    <t>ZION US Equity</t>
  </si>
  <si>
    <t>1255173D US Equity</t>
  </si>
  <si>
    <t>MOFG US Equity</t>
  </si>
  <si>
    <t>TSCPQ US Equity</t>
  </si>
  <si>
    <t>ZAYO US Equity</t>
  </si>
  <si>
    <t>KRNY US Equity</t>
  </si>
  <si>
    <t>CUNB US Equity</t>
  </si>
  <si>
    <t>TSICQ US Equity</t>
  </si>
  <si>
    <t>WSBC US Equity</t>
  </si>
  <si>
    <t>CRLL US Equity</t>
  </si>
  <si>
    <t>ITG US Equity</t>
  </si>
  <si>
    <t>NETM US Equity</t>
  </si>
  <si>
    <t>TDY US Equity</t>
  </si>
  <si>
    <t>1715651D US Equity</t>
  </si>
  <si>
    <t>KROL US Equity</t>
  </si>
  <si>
    <t>KNBT US Equity</t>
  </si>
  <si>
    <t>601238Q US Equity</t>
  </si>
  <si>
    <t>Deal 3461</t>
  </si>
  <si>
    <t>Deal 3462</t>
  </si>
  <si>
    <t>Deal 3463</t>
  </si>
  <si>
    <t>Deal 3464</t>
  </si>
  <si>
    <t>Deal 3465</t>
  </si>
  <si>
    <t>Deal 3466</t>
  </si>
  <si>
    <t>Deal 3467</t>
  </si>
  <si>
    <t>Deal 3468</t>
  </si>
  <si>
    <t>Deal 3469</t>
  </si>
  <si>
    <t>Deal 3470</t>
  </si>
  <si>
    <t>Deal 3471</t>
  </si>
  <si>
    <t>Deal 3472</t>
  </si>
  <si>
    <t>Deal 3473</t>
  </si>
  <si>
    <t>Deal 3474</t>
  </si>
  <si>
    <t>Deal 3475</t>
  </si>
  <si>
    <t>Deal 3476</t>
  </si>
  <si>
    <t>Deal 3477</t>
  </si>
  <si>
    <t>Deal 3478</t>
  </si>
  <si>
    <t>Deal 3479</t>
  </si>
  <si>
    <t>Deal 3480</t>
  </si>
  <si>
    <t>UNBJ US Equity</t>
  </si>
  <si>
    <t>1431816D US Equity</t>
  </si>
  <si>
    <t>WSFS US Equity</t>
  </si>
  <si>
    <t>TMO US Equity</t>
  </si>
  <si>
    <t>VRSOQ US Equity</t>
  </si>
  <si>
    <t>INTC US Equity</t>
  </si>
  <si>
    <t>TARRQ US Equity</t>
  </si>
  <si>
    <t>CHCO US Equity</t>
  </si>
  <si>
    <t>8215820Q US Equity</t>
  </si>
  <si>
    <t>FMBH US Equity</t>
  </si>
  <si>
    <t>0977894D US Equity</t>
  </si>
  <si>
    <t>MTTB US Equity</t>
  </si>
  <si>
    <t>NOVL US Equity</t>
  </si>
  <si>
    <t>BOKF US Equity</t>
  </si>
  <si>
    <t>COFS US Equity</t>
  </si>
  <si>
    <t>Deal 3481</t>
  </si>
  <si>
    <t>Deal 3482</t>
  </si>
  <si>
    <t>Deal 3483</t>
  </si>
  <si>
    <t>Deal 3484</t>
  </si>
  <si>
    <t>Deal 3485</t>
  </si>
  <si>
    <t>Deal 3486</t>
  </si>
  <si>
    <t>Deal 3487</t>
  </si>
  <si>
    <t>Deal 3488</t>
  </si>
  <si>
    <t>Deal 3489</t>
  </si>
  <si>
    <t>Deal 3490</t>
  </si>
  <si>
    <t>Deal 3491</t>
  </si>
  <si>
    <t>Deal 3492</t>
  </si>
  <si>
    <t>Deal 3493</t>
  </si>
  <si>
    <t>Deal 3494</t>
  </si>
  <si>
    <t>Deal 3495</t>
  </si>
  <si>
    <t>Deal 3496</t>
  </si>
  <si>
    <t>Deal 3497</t>
  </si>
  <si>
    <t>Deal 3498</t>
  </si>
  <si>
    <t>Deal 3499</t>
  </si>
  <si>
    <t>Deal 3500</t>
  </si>
  <si>
    <t>3520842Q US Equity</t>
  </si>
  <si>
    <t>RILY US Equity</t>
  </si>
  <si>
    <t>CSCO US Equity</t>
  </si>
  <si>
    <t>ERDR US Equity</t>
  </si>
  <si>
    <t>GE US Equity</t>
  </si>
  <si>
    <t>ONIT US Equity</t>
  </si>
  <si>
    <t>82473Q US Equity</t>
  </si>
  <si>
    <t>LMNX US Equity</t>
  </si>
  <si>
    <t>CNP US Equity</t>
  </si>
  <si>
    <t>CSGP US Equity</t>
  </si>
  <si>
    <t>UCFC US Equity</t>
  </si>
  <si>
    <t>FSLA US Equity</t>
  </si>
  <si>
    <t>Deal 3501</t>
  </si>
  <si>
    <t>Deal 3502</t>
  </si>
  <si>
    <t>Deal 3503</t>
  </si>
  <si>
    <t>Deal 3504</t>
  </si>
  <si>
    <t>Deal 3505</t>
  </si>
  <si>
    <t>Deal 3506</t>
  </si>
  <si>
    <t>Deal 3507</t>
  </si>
  <si>
    <t>Deal 3508</t>
  </si>
  <si>
    <t>Deal 3509</t>
  </si>
  <si>
    <t>Deal 3510</t>
  </si>
  <si>
    <t>Deal 3511</t>
  </si>
  <si>
    <t>Deal 3512</t>
  </si>
  <si>
    <t>Deal 3513</t>
  </si>
  <si>
    <t>Deal 3514</t>
  </si>
  <si>
    <t>Deal 3515</t>
  </si>
  <si>
    <t>Deal 3516</t>
  </si>
  <si>
    <t>Deal 3517</t>
  </si>
  <si>
    <t>Deal 3518</t>
  </si>
  <si>
    <t>Deal 3519</t>
  </si>
  <si>
    <t>Deal 3520</t>
  </si>
  <si>
    <t>3482Q US Equity</t>
  </si>
  <si>
    <t>1518080D US Equity</t>
  </si>
  <si>
    <t>HNH US Equity</t>
  </si>
  <si>
    <t>8206908Q US Equity</t>
  </si>
  <si>
    <t>IIIV US Equity</t>
  </si>
  <si>
    <t>ARXX US Equity</t>
  </si>
  <si>
    <t>STBA US Equity</t>
  </si>
  <si>
    <t>STEL US Equity</t>
  </si>
  <si>
    <t>IFCJ US Equity</t>
  </si>
  <si>
    <t>EMR US Equity</t>
  </si>
  <si>
    <t>56485Q US Equity</t>
  </si>
  <si>
    <t>HFWA US Equity</t>
  </si>
  <si>
    <t>QMCO US Equity</t>
  </si>
  <si>
    <t>FNFG US Equity</t>
  </si>
  <si>
    <t>Deal 3521</t>
  </si>
  <si>
    <t>Deal 3522</t>
  </si>
  <si>
    <t>Deal 3523</t>
  </si>
  <si>
    <t>Deal 3524</t>
  </si>
  <si>
    <t>Deal 3525</t>
  </si>
  <si>
    <t>Deal 3526</t>
  </si>
  <si>
    <t>Deal 3527</t>
  </si>
  <si>
    <t>Deal 3528</t>
  </si>
  <si>
    <t>Deal 3529</t>
  </si>
  <si>
    <t>Deal 3530</t>
  </si>
  <si>
    <t>Deal 3531</t>
  </si>
  <si>
    <t>Deal 3532</t>
  </si>
  <si>
    <t>Deal 3533</t>
  </si>
  <si>
    <t>Deal 3534</t>
  </si>
  <si>
    <t>Deal 3535</t>
  </si>
  <si>
    <t>Deal 3536</t>
  </si>
  <si>
    <t>Deal 3537</t>
  </si>
  <si>
    <t>Deal 3538</t>
  </si>
  <si>
    <t>Deal 3539</t>
  </si>
  <si>
    <t>Deal 3540</t>
  </si>
  <si>
    <t>3264Q US Equity</t>
  </si>
  <si>
    <t>696500Q US Equity</t>
  </si>
  <si>
    <t>SPSS US Equity</t>
  </si>
  <si>
    <t>UNTC US Equity</t>
  </si>
  <si>
    <t>GTK US Equity</t>
  </si>
  <si>
    <t>1520415D US Equity</t>
  </si>
  <si>
    <t>AEGN US Equity</t>
  </si>
  <si>
    <t>MRK US Equity</t>
  </si>
  <si>
    <t>SYK US Equity</t>
  </si>
  <si>
    <t>FIBK US Equity</t>
  </si>
  <si>
    <t>BRMR US Equity</t>
  </si>
  <si>
    <t>SIB US Equity</t>
  </si>
  <si>
    <t>BORL US Equity</t>
  </si>
  <si>
    <t>Deal 3541</t>
  </si>
  <si>
    <t>Deal 3542</t>
  </si>
  <si>
    <t>Deal 3543</t>
  </si>
  <si>
    <t>Deal 3544</t>
  </si>
  <si>
    <t>Deal 3545</t>
  </si>
  <si>
    <t>Deal 3546</t>
  </si>
  <si>
    <t>Deal 3547</t>
  </si>
  <si>
    <t>Deal 3548</t>
  </si>
  <si>
    <t>Deal 3549</t>
  </si>
  <si>
    <t>Deal 3550</t>
  </si>
  <si>
    <t>Deal 3551</t>
  </si>
  <si>
    <t>Deal 3552</t>
  </si>
  <si>
    <t>Deal 3553</t>
  </si>
  <si>
    <t>Deal 3554</t>
  </si>
  <si>
    <t>Deal 3555</t>
  </si>
  <si>
    <t>Deal 3556</t>
  </si>
  <si>
    <t>Deal 3557</t>
  </si>
  <si>
    <t>Deal 3558</t>
  </si>
  <si>
    <t>Deal 3559</t>
  </si>
  <si>
    <t>Deal 3560</t>
  </si>
  <si>
    <t>1670211D US Equity</t>
  </si>
  <si>
    <t>RCNCQ US Equity</t>
  </si>
  <si>
    <t>GABC US Equity</t>
  </si>
  <si>
    <t>ENVA US Equity</t>
  </si>
  <si>
    <t>TMP US Equity</t>
  </si>
  <si>
    <t>696119Q US Equity</t>
  </si>
  <si>
    <t>CG US Equity</t>
  </si>
  <si>
    <t>1996074D US Equity</t>
  </si>
  <si>
    <t>ESBF US Equity</t>
  </si>
  <si>
    <t>CLGX US Equity</t>
  </si>
  <si>
    <t>PTEN US Equity</t>
  </si>
  <si>
    <t>Deal 3561</t>
  </si>
  <si>
    <t>Deal 3562</t>
  </si>
  <si>
    <t>Deal 3563</t>
  </si>
  <si>
    <t>Deal 3564</t>
  </si>
  <si>
    <t>Deal 3565</t>
  </si>
  <si>
    <t>Deal 3566</t>
  </si>
  <si>
    <t>Deal 3567</t>
  </si>
  <si>
    <t>Deal 3568</t>
  </si>
  <si>
    <t>Deal 3569</t>
  </si>
  <si>
    <t>Deal 3570</t>
  </si>
  <si>
    <t>Deal 3571</t>
  </si>
  <si>
    <t>Deal 3572</t>
  </si>
  <si>
    <t>Deal 3573</t>
  </si>
  <si>
    <t>Deal 3574</t>
  </si>
  <si>
    <t>Deal 3575</t>
  </si>
  <si>
    <t>Deal 3576</t>
  </si>
  <si>
    <t>Deal 3577</t>
  </si>
  <si>
    <t>Deal 3578</t>
  </si>
  <si>
    <t>Deal 3579</t>
  </si>
  <si>
    <t>Deal 3580</t>
  </si>
  <si>
    <t>HD US Equity</t>
  </si>
  <si>
    <t>2567699D US Equity</t>
  </si>
  <si>
    <t>1860560D US Equity</t>
  </si>
  <si>
    <t>STJ US Equity</t>
  </si>
  <si>
    <t>CHTRQ US Equity</t>
  </si>
  <si>
    <t>CGCP US Equity</t>
  </si>
  <si>
    <t>CBSH US Equity</t>
  </si>
  <si>
    <t>MMSI US Equity</t>
  </si>
  <si>
    <t>2258717D US Equity</t>
  </si>
  <si>
    <t>ZBRA US Equity</t>
  </si>
  <si>
    <t>HBEK US Equity</t>
  </si>
  <si>
    <t>0852602D US Equity</t>
  </si>
  <si>
    <t>HAIN US Equity</t>
  </si>
  <si>
    <t>2649Q US Equity</t>
  </si>
  <si>
    <t>MYGN US Equity</t>
  </si>
  <si>
    <t>SPPI US Equity</t>
  </si>
  <si>
    <t>IXX US Equity</t>
  </si>
  <si>
    <t>Deal 3581</t>
  </si>
  <si>
    <t>Deal 3582</t>
  </si>
  <si>
    <t>Deal 3583</t>
  </si>
  <si>
    <t>Deal 3584</t>
  </si>
  <si>
    <t>Deal 3585</t>
  </si>
  <si>
    <t>Deal 3586</t>
  </si>
  <si>
    <t>Deal 3587</t>
  </si>
  <si>
    <t>Deal 3588</t>
  </si>
  <si>
    <t>Deal 3589</t>
  </si>
  <si>
    <t>Deal 3590</t>
  </si>
  <si>
    <t>Deal 3591</t>
  </si>
  <si>
    <t>Deal 3592</t>
  </si>
  <si>
    <t>Deal 3593</t>
  </si>
  <si>
    <t>Deal 3594</t>
  </si>
  <si>
    <t>Deal 3595</t>
  </si>
  <si>
    <t>Deal 3596</t>
  </si>
  <si>
    <t>Deal 3597</t>
  </si>
  <si>
    <t>Deal 3598</t>
  </si>
  <si>
    <t>Deal 3599</t>
  </si>
  <si>
    <t>Deal 3600</t>
  </si>
  <si>
    <t>SOHO US Equity</t>
  </si>
  <si>
    <t>373937Q US Equity</t>
  </si>
  <si>
    <t>ENOC US Equity</t>
  </si>
  <si>
    <t>FINN US Equity</t>
  </si>
  <si>
    <t>FDBC US Equity</t>
  </si>
  <si>
    <t>CHD US Equity</t>
  </si>
  <si>
    <t>MENT US Equity</t>
  </si>
  <si>
    <t>ON US Equity</t>
  </si>
  <si>
    <t>FITB US Equity</t>
  </si>
  <si>
    <t>PNWB US Equity</t>
  </si>
  <si>
    <t>STBZ US Equity</t>
  </si>
  <si>
    <t>LAMR US Equity</t>
  </si>
  <si>
    <t>OAKT US Equity</t>
  </si>
  <si>
    <t>PRMW CN Equity</t>
  </si>
  <si>
    <t>Deal 3601</t>
  </si>
  <si>
    <t>Deal 3602</t>
  </si>
  <si>
    <t>Deal 3603</t>
  </si>
  <si>
    <t>Deal 3604</t>
  </si>
  <si>
    <t>Deal 3605</t>
  </si>
  <si>
    <t>Deal 3606</t>
  </si>
  <si>
    <t>Deal 3607</t>
  </si>
  <si>
    <t>Deal 3608</t>
  </si>
  <si>
    <t>Deal 3609</t>
  </si>
  <si>
    <t>Deal 3610</t>
  </si>
  <si>
    <t>Deal 3611</t>
  </si>
  <si>
    <t>Deal 3612</t>
  </si>
  <si>
    <t>Deal 3613</t>
  </si>
  <si>
    <t>Deal 3614</t>
  </si>
  <si>
    <t>Deal 3615</t>
  </si>
  <si>
    <t>Deal 3616</t>
  </si>
  <si>
    <t>Deal 3617</t>
  </si>
  <si>
    <t>Deal 3618</t>
  </si>
  <si>
    <t>Deal 3619</t>
  </si>
  <si>
    <t>Deal 3620</t>
  </si>
  <si>
    <t>1779128D US Equity</t>
  </si>
  <si>
    <t>MOG/A US Equity</t>
  </si>
  <si>
    <t>UPS US Equity</t>
  </si>
  <si>
    <t>VYX US Equity</t>
  </si>
  <si>
    <t>CMKC US Equity</t>
  </si>
  <si>
    <t>1806854D US Equity</t>
  </si>
  <si>
    <t>USX US Equity</t>
  </si>
  <si>
    <t>IBKC US Equity</t>
  </si>
  <si>
    <t>UNP US Equity</t>
  </si>
  <si>
    <t>Deal 3621</t>
  </si>
  <si>
    <t>Deal 3622</t>
  </si>
  <si>
    <t>Deal 3623</t>
  </si>
  <si>
    <t>Deal 3624</t>
  </si>
  <si>
    <t>Deal 3625</t>
  </si>
  <si>
    <t>Deal 3626</t>
  </si>
  <si>
    <t>Deal 3627</t>
  </si>
  <si>
    <t>Deal 3628</t>
  </si>
  <si>
    <t>Deal 3629</t>
  </si>
  <si>
    <t>Deal 3630</t>
  </si>
  <si>
    <t>Deal 3631</t>
  </si>
  <si>
    <t>Deal 3632</t>
  </si>
  <si>
    <t>Deal 3633</t>
  </si>
  <si>
    <t>Deal 3634</t>
  </si>
  <si>
    <t>Deal 3635</t>
  </si>
  <si>
    <t>Deal 3636</t>
  </si>
  <si>
    <t>Deal 3637</t>
  </si>
  <si>
    <t>Deal 3638</t>
  </si>
  <si>
    <t>Deal 3639</t>
  </si>
  <si>
    <t>Deal 3640</t>
  </si>
  <si>
    <t>MATW US Equity</t>
  </si>
  <si>
    <t>SCMF US Equity</t>
  </si>
  <si>
    <t>GADS US Equity</t>
  </si>
  <si>
    <t>PLXS US Equity</t>
  </si>
  <si>
    <t>EW US Equity</t>
  </si>
  <si>
    <t>FSBW US Equity</t>
  </si>
  <si>
    <t>FPFCQ US Equity</t>
  </si>
  <si>
    <t>ESC US Equity</t>
  </si>
  <si>
    <t>SBAN US Equity</t>
  </si>
  <si>
    <t>2674129Q US Equity</t>
  </si>
  <si>
    <t>FMFC US Equity</t>
  </si>
  <si>
    <t>AMG US Equity</t>
  </si>
  <si>
    <t>OEI US Equity</t>
  </si>
  <si>
    <t>PERY US Equity</t>
  </si>
  <si>
    <t>WDR US Equity</t>
  </si>
  <si>
    <t>153550Q US Equity</t>
  </si>
  <si>
    <t>Deal 3641</t>
  </si>
  <si>
    <t>Deal 3642</t>
  </si>
  <si>
    <t>Deal 3643</t>
  </si>
  <si>
    <t>Deal 3644</t>
  </si>
  <si>
    <t>Deal 3645</t>
  </si>
  <si>
    <t>Deal 3646</t>
  </si>
  <si>
    <t>Deal 3647</t>
  </si>
  <si>
    <t>Deal 3648</t>
  </si>
  <si>
    <t>Deal 3649</t>
  </si>
  <si>
    <t>Deal 3650</t>
  </si>
  <si>
    <t>Deal 3651</t>
  </si>
  <si>
    <t>Deal 3652</t>
  </si>
  <si>
    <t>Deal 3653</t>
  </si>
  <si>
    <t>Deal 3654</t>
  </si>
  <si>
    <t>Deal 3655</t>
  </si>
  <si>
    <t>Deal 3656</t>
  </si>
  <si>
    <t>Deal 3657</t>
  </si>
  <si>
    <t>Deal 3658</t>
  </si>
  <si>
    <t>Deal 3659</t>
  </si>
  <si>
    <t>Deal 3660</t>
  </si>
  <si>
    <t>679882Q US Equity</t>
  </si>
  <si>
    <t>SPH US Equity</t>
  </si>
  <si>
    <t>IVZ US Equity</t>
  </si>
  <si>
    <t>SYRS US Equity</t>
  </si>
  <si>
    <t>CBRI US Equity</t>
  </si>
  <si>
    <t>OAK US Equity</t>
  </si>
  <si>
    <t>BOFLQ US Equity</t>
  </si>
  <si>
    <t>FBMS US Equity</t>
  </si>
  <si>
    <t>953386Q US Equity</t>
  </si>
  <si>
    <t>MNR US Equity</t>
  </si>
  <si>
    <t>PLA US Equity</t>
  </si>
  <si>
    <t>TDG US Equity</t>
  </si>
  <si>
    <t>MRCY US Equity</t>
  </si>
  <si>
    <t>1911768D US Equity</t>
  </si>
  <si>
    <t>Deal 3661</t>
  </si>
  <si>
    <t>Deal 3662</t>
  </si>
  <si>
    <t>Deal 3663</t>
  </si>
  <si>
    <t>Deal 3664</t>
  </si>
  <si>
    <t>Deal 3665</t>
  </si>
  <si>
    <t>Deal 3666</t>
  </si>
  <si>
    <t>Deal 3667</t>
  </si>
  <si>
    <t>Deal 3668</t>
  </si>
  <si>
    <t>Deal 3669</t>
  </si>
  <si>
    <t>Deal 3670</t>
  </si>
  <si>
    <t>Deal 3671</t>
  </si>
  <si>
    <t>Deal 3672</t>
  </si>
  <si>
    <t>Deal 3673</t>
  </si>
  <si>
    <t>Deal 3674</t>
  </si>
  <si>
    <t>Deal 3675</t>
  </si>
  <si>
    <t>Deal 3676</t>
  </si>
  <si>
    <t>Deal 3677</t>
  </si>
  <si>
    <t>Deal 3678</t>
  </si>
  <si>
    <t>Deal 3679</t>
  </si>
  <si>
    <t>Deal 3680</t>
  </si>
  <si>
    <t>CAC US Equity</t>
  </si>
  <si>
    <t>AFSC US Equity</t>
  </si>
  <si>
    <t>KN US Equity</t>
  </si>
  <si>
    <t>1920486D US Equity</t>
  </si>
  <si>
    <t>INSM US Equity</t>
  </si>
  <si>
    <t>EXEL US Equity</t>
  </si>
  <si>
    <t>FCBC US Equity</t>
  </si>
  <si>
    <t>JPM US Equity</t>
  </si>
  <si>
    <t>NEB US Equity</t>
  </si>
  <si>
    <t>PSEC US Equity</t>
  </si>
  <si>
    <t>1068347D US Equity</t>
  </si>
  <si>
    <t>FBNW US Equity</t>
  </si>
  <si>
    <t>3417644Q US Equity</t>
  </si>
  <si>
    <t>Deal 3681</t>
  </si>
  <si>
    <t>Deal 3682</t>
  </si>
  <si>
    <t>Deal 3683</t>
  </si>
  <si>
    <t>Deal 3684</t>
  </si>
  <si>
    <t>Deal 3685</t>
  </si>
  <si>
    <t>Deal 3686</t>
  </si>
  <si>
    <t>Deal 3687</t>
  </si>
  <si>
    <t>Deal 3688</t>
  </si>
  <si>
    <t>Deal 3689</t>
  </si>
  <si>
    <t>Deal 3690</t>
  </si>
  <si>
    <t>Deal 3691</t>
  </si>
  <si>
    <t>Deal 3692</t>
  </si>
  <si>
    <t>Deal 3693</t>
  </si>
  <si>
    <t>Deal 3694</t>
  </si>
  <si>
    <t>Deal 3695</t>
  </si>
  <si>
    <t>Deal 3696</t>
  </si>
  <si>
    <t>Deal 3697</t>
  </si>
  <si>
    <t>Deal 3698</t>
  </si>
  <si>
    <t>Deal 3699</t>
  </si>
  <si>
    <t>Deal 3700</t>
  </si>
  <si>
    <t>1611364D US Equity</t>
  </si>
  <si>
    <t>FSNMQ US Equity</t>
  </si>
  <si>
    <t>3075370Q US Equity</t>
  </si>
  <si>
    <t>8397627Q US Equity</t>
  </si>
  <si>
    <t>OSGIQ US Equity</t>
  </si>
  <si>
    <t>BSX US Equity</t>
  </si>
  <si>
    <t>OCR US Equity</t>
  </si>
  <si>
    <t>SUG US Equity</t>
  </si>
  <si>
    <t>BTFG US Equity</t>
  </si>
  <si>
    <t>RSHCQ US Equity</t>
  </si>
  <si>
    <t>CVBF US Equity</t>
  </si>
  <si>
    <t>1284849D US Equity</t>
  </si>
  <si>
    <t>Deal 3701</t>
  </si>
  <si>
    <t>Deal 3702</t>
  </si>
  <si>
    <t>Deal 3703</t>
  </si>
  <si>
    <t>Deal 3704</t>
  </si>
  <si>
    <t>Deal 3705</t>
  </si>
  <si>
    <t>Deal 3706</t>
  </si>
  <si>
    <t>Deal 3707</t>
  </si>
  <si>
    <t>Deal 3708</t>
  </si>
  <si>
    <t>Deal 3709</t>
  </si>
  <si>
    <t>Deal 3710</t>
  </si>
  <si>
    <t>Deal 3711</t>
  </si>
  <si>
    <t>Deal 3712</t>
  </si>
  <si>
    <t>Deal 3713</t>
  </si>
  <si>
    <t>Deal 3714</t>
  </si>
  <si>
    <t>Deal 3715</t>
  </si>
  <si>
    <t>Deal 3716</t>
  </si>
  <si>
    <t>Deal 3717</t>
  </si>
  <si>
    <t>Deal 3718</t>
  </si>
  <si>
    <t>Deal 3719</t>
  </si>
  <si>
    <t>Deal 3720</t>
  </si>
  <si>
    <t>STOKQ US Equity</t>
  </si>
  <si>
    <t>NNN US Equity</t>
  </si>
  <si>
    <t>1927294D US Equity</t>
  </si>
  <si>
    <t>605018Q US Equity</t>
  </si>
  <si>
    <t>QVDX US Equity</t>
  </si>
  <si>
    <t>LGTO US Equity</t>
  </si>
  <si>
    <t>HBCP US Equity</t>
  </si>
  <si>
    <t>WLL US Equity</t>
  </si>
  <si>
    <t>TA US Equity</t>
  </si>
  <si>
    <t>HAS US Equity</t>
  </si>
  <si>
    <t>LNY US Equity</t>
  </si>
  <si>
    <t>SOA US Equity</t>
  </si>
  <si>
    <t>LNN US Equity</t>
  </si>
  <si>
    <t>Deal 3721</t>
  </si>
  <si>
    <t>Deal 3722</t>
  </si>
  <si>
    <t>Deal 3723</t>
  </si>
  <si>
    <t>Deal 3724</t>
  </si>
  <si>
    <t>Deal 3725</t>
  </si>
  <si>
    <t>Deal 3726</t>
  </si>
  <si>
    <t>Deal 3727</t>
  </si>
  <si>
    <t>Deal 3728</t>
  </si>
  <si>
    <t>Deal 3729</t>
  </si>
  <si>
    <t>Deal 3730</t>
  </si>
  <si>
    <t>Deal 3731</t>
  </si>
  <si>
    <t>Deal 3732</t>
  </si>
  <si>
    <t>Deal 3733</t>
  </si>
  <si>
    <t>Deal 3734</t>
  </si>
  <si>
    <t>Deal 3735</t>
  </si>
  <si>
    <t>Deal 3736</t>
  </si>
  <si>
    <t>Deal 3737</t>
  </si>
  <si>
    <t>Deal 3738</t>
  </si>
  <si>
    <t>Deal 3739</t>
  </si>
  <si>
    <t>Deal 3740</t>
  </si>
  <si>
    <t>VHI US Equity</t>
  </si>
  <si>
    <t>XXIA US Equity</t>
  </si>
  <si>
    <t>FINB US Equity</t>
  </si>
  <si>
    <t>0848680D US Equity</t>
  </si>
  <si>
    <t>9990201D US Equity</t>
  </si>
  <si>
    <t>CBAN US Equity</t>
  </si>
  <si>
    <t>REXR US Equity</t>
  </si>
  <si>
    <t>LFT US Equity</t>
  </si>
  <si>
    <t>FLG US Equity</t>
  </si>
  <si>
    <t>FTBK US Equity</t>
  </si>
  <si>
    <t>PCP US Equity</t>
  </si>
  <si>
    <t>0272214Q US Equity</t>
  </si>
  <si>
    <t>MDEA US Equity</t>
  </si>
  <si>
    <t>Deal 3741</t>
  </si>
  <si>
    <t>Deal 3742</t>
  </si>
  <si>
    <t>Deal 3743</t>
  </si>
  <si>
    <t>Deal 3744</t>
  </si>
  <si>
    <t>Deal 3745</t>
  </si>
  <si>
    <t>Deal 3746</t>
  </si>
  <si>
    <t>Deal 3747</t>
  </si>
  <si>
    <t>Deal 3748</t>
  </si>
  <si>
    <t>Deal 3749</t>
  </si>
  <si>
    <t>Deal 3750</t>
  </si>
  <si>
    <t>Deal 3751</t>
  </si>
  <si>
    <t>Deal 3752</t>
  </si>
  <si>
    <t>Deal 3753</t>
  </si>
  <si>
    <t>Deal 3754</t>
  </si>
  <si>
    <t>Deal 3755</t>
  </si>
  <si>
    <t>Deal 3756</t>
  </si>
  <si>
    <t>Deal 3757</t>
  </si>
  <si>
    <t>Deal 3758</t>
  </si>
  <si>
    <t>Deal 3759</t>
  </si>
  <si>
    <t>Deal 3760</t>
  </si>
  <si>
    <t>OV US Equity</t>
  </si>
  <si>
    <t>KNXA US Equity</t>
  </si>
  <si>
    <t>OZK US Equity</t>
  </si>
  <si>
    <t>COHR US Equity</t>
  </si>
  <si>
    <t>MFA US Equity</t>
  </si>
  <si>
    <t>HTLF US Equity</t>
  </si>
  <si>
    <t>CSCQ US Equity</t>
  </si>
  <si>
    <t>2619871D US Equity</t>
  </si>
  <si>
    <t>FFWM US Equity</t>
  </si>
  <si>
    <t>PRA US Equity</t>
  </si>
  <si>
    <t>TMWD US Equity</t>
  </si>
  <si>
    <t>Deal 3761</t>
  </si>
  <si>
    <t>Deal 3762</t>
  </si>
  <si>
    <t>Deal 3763</t>
  </si>
  <si>
    <t>Deal 3764</t>
  </si>
  <si>
    <t>Deal 3765</t>
  </si>
  <si>
    <t>Deal 3766</t>
  </si>
  <si>
    <t>Deal 3767</t>
  </si>
  <si>
    <t>Deal 3768</t>
  </si>
  <si>
    <t>Deal 3769</t>
  </si>
  <si>
    <t>Deal 3770</t>
  </si>
  <si>
    <t>Deal 3771</t>
  </si>
  <si>
    <t>Deal 3772</t>
  </si>
  <si>
    <t>Deal 3773</t>
  </si>
  <si>
    <t>Deal 3774</t>
  </si>
  <si>
    <t>Deal 3775</t>
  </si>
  <si>
    <t>Deal 3776</t>
  </si>
  <si>
    <t>Deal 3777</t>
  </si>
  <si>
    <t>Deal 3778</t>
  </si>
  <si>
    <t>Deal 3779</t>
  </si>
  <si>
    <t>Deal 3780</t>
  </si>
  <si>
    <t>DEVC US Equity</t>
  </si>
  <si>
    <t>JKHY US Equity</t>
  </si>
  <si>
    <t>MGRM US Equity</t>
  </si>
  <si>
    <t>IDPIQ US Equity</t>
  </si>
  <si>
    <t>SSB US Equity</t>
  </si>
  <si>
    <t>CWT US Equity</t>
  </si>
  <si>
    <t>4612775Q US Equity</t>
  </si>
  <si>
    <t>FSCO US Equity</t>
  </si>
  <si>
    <t>BRKL US Equity</t>
  </si>
  <si>
    <t>PILLQ US Equity</t>
  </si>
  <si>
    <t>BANR US Equity</t>
  </si>
  <si>
    <t>SASR US Equity</t>
  </si>
  <si>
    <t>BRKR US Equity</t>
  </si>
  <si>
    <t>Deal 3781</t>
  </si>
  <si>
    <t>Deal 3782</t>
  </si>
  <si>
    <t>Deal 3783</t>
  </si>
  <si>
    <t>Deal 3784</t>
  </si>
  <si>
    <t>Deal 3785</t>
  </si>
  <si>
    <t>Deal 3786</t>
  </si>
  <si>
    <t>Deal 3787</t>
  </si>
  <si>
    <t>Deal 3788</t>
  </si>
  <si>
    <t>Deal 3789</t>
  </si>
  <si>
    <t>Deal 3790</t>
  </si>
  <si>
    <t>Deal 3791</t>
  </si>
  <si>
    <t>Deal 3792</t>
  </si>
  <si>
    <t>Deal 3793</t>
  </si>
  <si>
    <t>Deal 3794</t>
  </si>
  <si>
    <t>Deal 3795</t>
  </si>
  <si>
    <t>Deal 3796</t>
  </si>
  <si>
    <t>Deal 3797</t>
  </si>
  <si>
    <t>Deal 3798</t>
  </si>
  <si>
    <t>Deal 3799</t>
  </si>
  <si>
    <t>Deal 3800</t>
  </si>
  <si>
    <t>AB US Equity</t>
  </si>
  <si>
    <t>1709056D US Equity</t>
  </si>
  <si>
    <t>SNBC US Equity</t>
  </si>
  <si>
    <t>JAKK US Equity</t>
  </si>
  <si>
    <t>3097837Q US Equity</t>
  </si>
  <si>
    <t>991592Q US Equity</t>
  </si>
  <si>
    <t>2309719Q US Equity</t>
  </si>
  <si>
    <t>CDNW US Equity</t>
  </si>
  <si>
    <t>HL US Equity</t>
  </si>
  <si>
    <t>OPLN US Equity</t>
  </si>
  <si>
    <t>SIFI US Equity</t>
  </si>
  <si>
    <t>DHR US Equity</t>
  </si>
  <si>
    <t>TWAV US Equity</t>
  </si>
  <si>
    <t>EQY US Equity</t>
  </si>
  <si>
    <t>LTWO US Equity</t>
  </si>
  <si>
    <t>Deal 3801</t>
  </si>
  <si>
    <t>Deal 3802</t>
  </si>
  <si>
    <t>Deal 3803</t>
  </si>
  <si>
    <t>Deal 3804</t>
  </si>
  <si>
    <t>Deal 3805</t>
  </si>
  <si>
    <t>Deal 3806</t>
  </si>
  <si>
    <t>Deal 3807</t>
  </si>
  <si>
    <t>Deal 3808</t>
  </si>
  <si>
    <t>Deal 3809</t>
  </si>
  <si>
    <t>Deal 3810</t>
  </si>
  <si>
    <t>Deal 3811</t>
  </si>
  <si>
    <t>Deal 3812</t>
  </si>
  <si>
    <t>Deal 3813</t>
  </si>
  <si>
    <t>Deal 3814</t>
  </si>
  <si>
    <t>Deal 3815</t>
  </si>
  <si>
    <t>Deal 3816</t>
  </si>
  <si>
    <t>Deal 3817</t>
  </si>
  <si>
    <t>Deal 3818</t>
  </si>
  <si>
    <t>Deal 3819</t>
  </si>
  <si>
    <t>Deal 3820</t>
  </si>
  <si>
    <t>TXN US Equity</t>
  </si>
  <si>
    <t>EFX US Equity</t>
  </si>
  <si>
    <t>TCI US Equity</t>
  </si>
  <si>
    <t>ESIC US Equity</t>
  </si>
  <si>
    <t>UNH US Equity</t>
  </si>
  <si>
    <t>ROP US Equity</t>
  </si>
  <si>
    <t>2740937Q US Equity</t>
  </si>
  <si>
    <t>DNBK US Equity</t>
  </si>
  <si>
    <t>FISI US Equity</t>
  </si>
  <si>
    <t>IBCP US Equity</t>
  </si>
  <si>
    <t>NWBD US Equity</t>
  </si>
  <si>
    <t>KEY US Equity</t>
  </si>
  <si>
    <t>2641504Q US Equity</t>
  </si>
  <si>
    <t>Deal 3821</t>
  </si>
  <si>
    <t>Deal 3822</t>
  </si>
  <si>
    <t>Deal 3823</t>
  </si>
  <si>
    <t>Deal 3824</t>
  </si>
  <si>
    <t>Deal 3825</t>
  </si>
  <si>
    <t>Deal 3826</t>
  </si>
  <si>
    <t>Deal 3827</t>
  </si>
  <si>
    <t>Deal 3828</t>
  </si>
  <si>
    <t>Deal 3829</t>
  </si>
  <si>
    <t>Deal 3830</t>
  </si>
  <si>
    <t>Deal 3831</t>
  </si>
  <si>
    <t>Deal 3832</t>
  </si>
  <si>
    <t>Deal 3833</t>
  </si>
  <si>
    <t>Deal 3834</t>
  </si>
  <si>
    <t>Deal 3835</t>
  </si>
  <si>
    <t>Deal 3836</t>
  </si>
  <si>
    <t>Deal 3837</t>
  </si>
  <si>
    <t>Deal 3838</t>
  </si>
  <si>
    <t>Deal 3839</t>
  </si>
  <si>
    <t>Deal 3840</t>
  </si>
  <si>
    <t>AGATQ US Equity</t>
  </si>
  <si>
    <t>812489Q US Equity</t>
  </si>
  <si>
    <t>FEIC US Equity</t>
  </si>
  <si>
    <t>WYPT US Equity</t>
  </si>
  <si>
    <t>FUR US Equity</t>
  </si>
  <si>
    <t>CLDX US Equity</t>
  </si>
  <si>
    <t>HU US Equity</t>
  </si>
  <si>
    <t>CMD US Equity</t>
  </si>
  <si>
    <t>KIM US Equity</t>
  </si>
  <si>
    <t>MDDS US Equity</t>
  </si>
  <si>
    <t>VABK US Equity</t>
  </si>
  <si>
    <t>CCTX US Equity</t>
  </si>
  <si>
    <t>PFC US Equity</t>
  </si>
  <si>
    <t>NFBK US Equity</t>
  </si>
  <si>
    <t>Deal 3841</t>
  </si>
  <si>
    <t>Deal 3842</t>
  </si>
  <si>
    <t>Deal 3843</t>
  </si>
  <si>
    <t>Deal 3844</t>
  </si>
  <si>
    <t>Deal 3845</t>
  </si>
  <si>
    <t>Deal 3846</t>
  </si>
  <si>
    <t>Deal 3847</t>
  </si>
  <si>
    <t>Deal 3848</t>
  </si>
  <si>
    <t>Deal 3849</t>
  </si>
  <si>
    <t>Deal 3850</t>
  </si>
  <si>
    <t>Deal 3851</t>
  </si>
  <si>
    <t>Deal 3852</t>
  </si>
  <si>
    <t>Deal 3853</t>
  </si>
  <si>
    <t>Deal 3854</t>
  </si>
  <si>
    <t>Deal 3855</t>
  </si>
  <si>
    <t>Deal 3856</t>
  </si>
  <si>
    <t>Deal 3857</t>
  </si>
  <si>
    <t>Deal 3858</t>
  </si>
  <si>
    <t>Deal 3859</t>
  </si>
  <si>
    <t>Deal 3860</t>
  </si>
  <si>
    <t>DENTQ US Equity</t>
  </si>
  <si>
    <t>EBIXQ US Equity</t>
  </si>
  <si>
    <t>3372216Q US Equity</t>
  </si>
  <si>
    <t>VLO US Equity</t>
  </si>
  <si>
    <t>NKLAQ US Equity</t>
  </si>
  <si>
    <t>HTBK US Equity</t>
  </si>
  <si>
    <t>RVTY US Equity</t>
  </si>
  <si>
    <t>MFE US Equity</t>
  </si>
  <si>
    <t>3414924Q US Equity</t>
  </si>
  <si>
    <t>BMS US Equity</t>
  </si>
  <si>
    <t>COLB US Equity</t>
  </si>
  <si>
    <t>Deal 3861</t>
  </si>
  <si>
    <t>Deal 3862</t>
  </si>
  <si>
    <t>Deal 3863</t>
  </si>
  <si>
    <t>Deal 3864</t>
  </si>
  <si>
    <t>Deal 3865</t>
  </si>
  <si>
    <t>Deal 3866</t>
  </si>
  <si>
    <t>Deal 3867</t>
  </si>
  <si>
    <t>Deal 3868</t>
  </si>
  <si>
    <t>Deal 3869</t>
  </si>
  <si>
    <t>Deal 3870</t>
  </si>
  <si>
    <t>Deal 3871</t>
  </si>
  <si>
    <t>Deal 3872</t>
  </si>
  <si>
    <t>Deal 3873</t>
  </si>
  <si>
    <t>Deal 3874</t>
  </si>
  <si>
    <t>Deal 3875</t>
  </si>
  <si>
    <t>Deal 3876</t>
  </si>
  <si>
    <t>Deal 3877</t>
  </si>
  <si>
    <t>Deal 3878</t>
  </si>
  <si>
    <t>Deal 3879</t>
  </si>
  <si>
    <t>Deal 3880</t>
  </si>
  <si>
    <t>BCR US Equity</t>
  </si>
  <si>
    <t>13620Z US Equity</t>
  </si>
  <si>
    <t>724880Q US Equity</t>
  </si>
  <si>
    <t>BBY US Equity</t>
  </si>
  <si>
    <t>NXWXQ US Equity</t>
  </si>
  <si>
    <t>AMNUQ US Equity</t>
  </si>
  <si>
    <t>FSBK US Equity</t>
  </si>
  <si>
    <t>SGID US Equity</t>
  </si>
  <si>
    <t>PACW US Equity</t>
  </si>
  <si>
    <t>BASXQ US Equity</t>
  </si>
  <si>
    <t>PAET US Equity</t>
  </si>
  <si>
    <t>PSCXQ US Equity</t>
  </si>
  <si>
    <t>ITXG US Equity</t>
  </si>
  <si>
    <t>SPB US Equity</t>
  </si>
  <si>
    <t>NEE US Equity</t>
  </si>
  <si>
    <t>Deal 3881</t>
  </si>
  <si>
    <t>Deal 3882</t>
  </si>
  <si>
    <t>Deal 3883</t>
  </si>
  <si>
    <t>Deal 3884</t>
  </si>
  <si>
    <t>Deal 3885</t>
  </si>
  <si>
    <t>Deal 3886</t>
  </si>
  <si>
    <t>Deal 3887</t>
  </si>
  <si>
    <t>Deal 3888</t>
  </si>
  <si>
    <t>Deal 3889</t>
  </si>
  <si>
    <t>Deal 3890</t>
  </si>
  <si>
    <t>Deal 3891</t>
  </si>
  <si>
    <t>Deal 3892</t>
  </si>
  <si>
    <t>Deal 3893</t>
  </si>
  <si>
    <t>Deal 3894</t>
  </si>
  <si>
    <t>Deal 3895</t>
  </si>
  <si>
    <t>Deal 3896</t>
  </si>
  <si>
    <t>Deal 3897</t>
  </si>
  <si>
    <t>Deal 3898</t>
  </si>
  <si>
    <t>Deal 3899</t>
  </si>
  <si>
    <t>Deal 3900</t>
  </si>
  <si>
    <t>NVI US Equity</t>
  </si>
  <si>
    <t>CMCT US Equity</t>
  </si>
  <si>
    <t>PFNS US Equity</t>
  </si>
  <si>
    <t>ACAS US Equity</t>
  </si>
  <si>
    <t>EOG US Equity</t>
  </si>
  <si>
    <t>VNBCQ US Equity</t>
  </si>
  <si>
    <t>MWW US Equity</t>
  </si>
  <si>
    <t>MSTI US Equity</t>
  </si>
  <si>
    <t>CFBX US Equity</t>
  </si>
  <si>
    <t>GNMP US Equity</t>
  </si>
  <si>
    <t>3026164Q US Equity</t>
  </si>
  <si>
    <t>496112Q US Equity</t>
  </si>
  <si>
    <t>ORRF US Equity</t>
  </si>
  <si>
    <t>Deal 3901</t>
  </si>
  <si>
    <t>Deal 3902</t>
  </si>
  <si>
    <t>Deal 3903</t>
  </si>
  <si>
    <t>Deal 3904</t>
  </si>
  <si>
    <t>Deal 3905</t>
  </si>
  <si>
    <t>Deal 3906</t>
  </si>
  <si>
    <t>Deal 3907</t>
  </si>
  <si>
    <t>Deal 3908</t>
  </si>
  <si>
    <t>Deal 3909</t>
  </si>
  <si>
    <t>Deal 3910</t>
  </si>
  <si>
    <t>Deal 3911</t>
  </si>
  <si>
    <t>Deal 3912</t>
  </si>
  <si>
    <t>Deal 3913</t>
  </si>
  <si>
    <t>Deal 3914</t>
  </si>
  <si>
    <t>Deal 3915</t>
  </si>
  <si>
    <t>Deal 3916</t>
  </si>
  <si>
    <t>Deal 3917</t>
  </si>
  <si>
    <t>Deal 3918</t>
  </si>
  <si>
    <t>Deal 3919</t>
  </si>
  <si>
    <t>Deal 3920</t>
  </si>
  <si>
    <t>IXYS US Equity</t>
  </si>
  <si>
    <t>CAA US Equity</t>
  </si>
  <si>
    <t>WFM US Equity</t>
  </si>
  <si>
    <t>EBS US Equity</t>
  </si>
  <si>
    <t>WTTR US Equity</t>
  </si>
  <si>
    <t>AMAT US Equity</t>
  </si>
  <si>
    <t>540721Q US Equity</t>
  </si>
  <si>
    <t>DRYR US Equity</t>
  </si>
  <si>
    <t>ACTRQ US Equity</t>
  </si>
  <si>
    <t>1794548D US Equity</t>
  </si>
  <si>
    <t>CSFL US Equity</t>
  </si>
  <si>
    <t>COV US Equity</t>
  </si>
  <si>
    <t>CBNJ US Equity</t>
  </si>
  <si>
    <t>IDMCQ US Equity</t>
  </si>
  <si>
    <t>FNSCQ US Equity</t>
  </si>
  <si>
    <t>HEOP US Equity</t>
  </si>
  <si>
    <t>AMAL US Equity</t>
  </si>
  <si>
    <t>AUB US Equity</t>
  </si>
  <si>
    <t>Deal 3921</t>
  </si>
  <si>
    <t>Deal 3922</t>
  </si>
  <si>
    <t>Deal 3923</t>
  </si>
  <si>
    <t>Deal 3924</t>
  </si>
  <si>
    <t>Deal 3925</t>
  </si>
  <si>
    <t>Deal 3926</t>
  </si>
  <si>
    <t>Deal 3927</t>
  </si>
  <si>
    <t>Deal 3928</t>
  </si>
  <si>
    <t>Deal 3929</t>
  </si>
  <si>
    <t>Deal 3930</t>
  </si>
  <si>
    <t>Deal 3931</t>
  </si>
  <si>
    <t>Deal 3932</t>
  </si>
  <si>
    <t>Deal 3933</t>
  </si>
  <si>
    <t>Deal 3934</t>
  </si>
  <si>
    <t>Deal 3935</t>
  </si>
  <si>
    <t>Deal 3936</t>
  </si>
  <si>
    <t>Deal 3937</t>
  </si>
  <si>
    <t>Deal 3938</t>
  </si>
  <si>
    <t>Deal 3939</t>
  </si>
  <si>
    <t>Deal 3940</t>
  </si>
  <si>
    <t>TQNT US Equity</t>
  </si>
  <si>
    <t>IPAS US Equity</t>
  </si>
  <si>
    <t>CTS US Equity</t>
  </si>
  <si>
    <t>RGS US Equity</t>
  </si>
  <si>
    <t>UMPQ US Equity</t>
  </si>
  <si>
    <t>FTAR US Equity</t>
  </si>
  <si>
    <t>KFRC US Equity</t>
  </si>
  <si>
    <t>CBFV US Equity</t>
  </si>
  <si>
    <t>9990822D US Equity</t>
  </si>
  <si>
    <t>FNBCQ US Equity</t>
  </si>
  <si>
    <t>SCZC US Equity</t>
  </si>
  <si>
    <t>KTOS US Equity</t>
  </si>
  <si>
    <t>HTB US Equity</t>
  </si>
  <si>
    <t>Deal 3941</t>
  </si>
  <si>
    <t>Deal 3942</t>
  </si>
  <si>
    <t>Deal 3943</t>
  </si>
  <si>
    <t>Deal 3944</t>
  </si>
  <si>
    <t>Deal 3945</t>
  </si>
  <si>
    <t>Deal 3946</t>
  </si>
  <si>
    <t>Deal 3947</t>
  </si>
  <si>
    <t>Deal 3948</t>
  </si>
  <si>
    <t>Deal 3949</t>
  </si>
  <si>
    <t>Deal 3950</t>
  </si>
  <si>
    <t>Deal 3951</t>
  </si>
  <si>
    <t>Deal 3952</t>
  </si>
  <si>
    <t>Deal 3953</t>
  </si>
  <si>
    <t>Deal 3954</t>
  </si>
  <si>
    <t>Deal 3955</t>
  </si>
  <si>
    <t>Deal 3956</t>
  </si>
  <si>
    <t>Deal 3957</t>
  </si>
  <si>
    <t>Deal 3958</t>
  </si>
  <si>
    <t>Deal 3959</t>
  </si>
  <si>
    <t>Deal 3960</t>
  </si>
  <si>
    <t>WAL US Equity</t>
  </si>
  <si>
    <t>PRDO US Equity</t>
  </si>
  <si>
    <t>JEFF US Equity</t>
  </si>
  <si>
    <t>CDOR US Equity</t>
  </si>
  <si>
    <t>MFSF US Equity</t>
  </si>
  <si>
    <t>BCIC US Equity</t>
  </si>
  <si>
    <t>CALP US Equity</t>
  </si>
  <si>
    <t>CFCB US Equity</t>
  </si>
  <si>
    <t>ARL US Equity</t>
  </si>
  <si>
    <t>BF/B US Equity</t>
  </si>
  <si>
    <t>ALNC US Equity</t>
  </si>
  <si>
    <t>DGIT US Equity</t>
  </si>
  <si>
    <t>SBKK US Equity</t>
  </si>
  <si>
    <t>Deal 3961</t>
  </si>
  <si>
    <t>Deal 3962</t>
  </si>
  <si>
    <t>Deal 3963</t>
  </si>
  <si>
    <t>Deal 3964</t>
  </si>
  <si>
    <t>Deal 3965</t>
  </si>
  <si>
    <t>Deal 3966</t>
  </si>
  <si>
    <t>Deal 3967</t>
  </si>
  <si>
    <t>Deal 3968</t>
  </si>
  <si>
    <t>Deal 3969</t>
  </si>
  <si>
    <t>Deal 3970</t>
  </si>
  <si>
    <t>Deal 3971</t>
  </si>
  <si>
    <t>Deal 3972</t>
  </si>
  <si>
    <t>Deal 3973</t>
  </si>
  <si>
    <t>Deal 3974</t>
  </si>
  <si>
    <t>Deal 3975</t>
  </si>
  <si>
    <t>Deal 3976</t>
  </si>
  <si>
    <t>Deal 3977</t>
  </si>
  <si>
    <t>Deal 3978</t>
  </si>
  <si>
    <t>Deal 3979</t>
  </si>
  <si>
    <t>Deal 3980</t>
  </si>
  <si>
    <t>VSB US Equity</t>
  </si>
  <si>
    <t>ABCB US Equity</t>
  </si>
  <si>
    <t>MKTW US Equity</t>
  </si>
  <si>
    <t>MCYF US Equity</t>
  </si>
  <si>
    <t>CELPQ US Equity</t>
  </si>
  <si>
    <t>ACNB US Equity</t>
  </si>
  <si>
    <t>CBF US Equity</t>
  </si>
  <si>
    <t>BNBN US Equity</t>
  </si>
  <si>
    <t>3029830Q US Equity</t>
  </si>
  <si>
    <t>TIBX US Equity</t>
  </si>
  <si>
    <t>SWK US Equity</t>
  </si>
  <si>
    <t>55148Q US Equity</t>
  </si>
  <si>
    <t>TEG US Equity</t>
  </si>
  <si>
    <t>ALOY US Equity</t>
  </si>
  <si>
    <t>CRXA US Equity</t>
  </si>
  <si>
    <t>MORN US Equity</t>
  </si>
  <si>
    <t>Deal 3981</t>
  </si>
  <si>
    <t>Deal 3982</t>
  </si>
  <si>
    <t>Deal 3983</t>
  </si>
  <si>
    <t>Deal 3984</t>
  </si>
  <si>
    <t>Deal 3985</t>
  </si>
  <si>
    <t>Deal 3986</t>
  </si>
  <si>
    <t>Deal 3987</t>
  </si>
  <si>
    <t>Deal 3988</t>
  </si>
  <si>
    <t>Deal 3989</t>
  </si>
  <si>
    <t>Deal 3990</t>
  </si>
  <si>
    <t>Deal 3991</t>
  </si>
  <si>
    <t>Deal 3992</t>
  </si>
  <si>
    <t>Deal 3993</t>
  </si>
  <si>
    <t>Deal 3994</t>
  </si>
  <si>
    <t>Deal 3995</t>
  </si>
  <si>
    <t>Deal 3996</t>
  </si>
  <si>
    <t>Deal 3997</t>
  </si>
  <si>
    <t>Deal 3998</t>
  </si>
  <si>
    <t>Deal 3999</t>
  </si>
  <si>
    <t>Deal 4000</t>
  </si>
  <si>
    <t>ESCC US Equity</t>
  </si>
  <si>
    <t>TUPBQ US Equity</t>
  </si>
  <si>
    <t>RCAPQ US Equity</t>
  </si>
  <si>
    <t>ESXB US Equity</t>
  </si>
  <si>
    <t>DAVLE US Equity</t>
  </si>
  <si>
    <t>987200Q US Equity</t>
  </si>
  <si>
    <t>213339Q US Equity</t>
  </si>
  <si>
    <t>FNWD US Equity</t>
  </si>
  <si>
    <t>PICM US Equity</t>
  </si>
  <si>
    <t>GEN US Equity</t>
  </si>
  <si>
    <t>RLH US Equity</t>
  </si>
  <si>
    <t>CKR US Equity</t>
  </si>
  <si>
    <t>STND US Equity</t>
  </si>
  <si>
    <t>SBKCQ US Equity</t>
  </si>
  <si>
    <t>AAPL US Equity</t>
  </si>
  <si>
    <t>Q2</t>
  </si>
  <si>
    <t>2024Q2 CF (MTCH US)</t>
  </si>
  <si>
    <t>Apple Inc</t>
  </si>
  <si>
    <t>Alphabet Inc</t>
  </si>
  <si>
    <t>IAC US Equity</t>
  </si>
  <si>
    <t>Q3</t>
  </si>
  <si>
    <t>2022Q3 CF (MTCH US)</t>
  </si>
  <si>
    <t>IAC Inc</t>
  </si>
  <si>
    <t>CA FP Equity</t>
  </si>
  <si>
    <t>COGS</t>
  </si>
  <si>
    <t>Estimate (CA FP)</t>
  </si>
  <si>
    <t>Carrefour SA</t>
  </si>
  <si>
    <t>TSCO LN Equity</t>
  </si>
  <si>
    <t>Q1</t>
  </si>
  <si>
    <t>Estimate (TSCO LN)</t>
  </si>
  <si>
    <t>Tesco PLC</t>
  </si>
  <si>
    <t>COLR BB Equity</t>
  </si>
  <si>
    <t>Q4</t>
  </si>
  <si>
    <t>Estimate (COLR BB)</t>
  </si>
  <si>
    <t>Colruyt Group N.V</t>
  </si>
  <si>
    <t>ANORA FH Equity</t>
  </si>
  <si>
    <t>A</t>
  </si>
  <si>
    <t>2021A CF (ANORA FH)</t>
  </si>
  <si>
    <t>Anora Group Oyj</t>
  </si>
  <si>
    <t>AVOL SW Equity</t>
  </si>
  <si>
    <t>2024A CF (AVOL SW)</t>
  </si>
  <si>
    <t>Avolta AG</t>
  </si>
  <si>
    <t>2024A CF (UNH US)</t>
  </si>
  <si>
    <t>HHS Centers for Medicare &amp; Medicaid Services</t>
  </si>
  <si>
    <t>3352Z US Equity</t>
  </si>
  <si>
    <t>United States of America</t>
  </si>
  <si>
    <t>2023A CF (IBM US)</t>
  </si>
  <si>
    <t>International Business Machines Corp</t>
  </si>
  <si>
    <t>WMT US Equity</t>
  </si>
  <si>
    <t>2024A CF (WMT US)</t>
  </si>
  <si>
    <t>Walmart Inc</t>
  </si>
  <si>
    <t>STOKS1 US Equity</t>
  </si>
  <si>
    <t>Company News (UNH US)</t>
  </si>
  <si>
    <t>State of Kansas</t>
  </si>
  <si>
    <t>TJX US Equity</t>
  </si>
  <si>
    <t>SGA</t>
  </si>
  <si>
    <t>2024A CF (KIM US)</t>
  </si>
  <si>
    <t>TJX Cos Inc/The</t>
  </si>
  <si>
    <t>ROST US Equity</t>
  </si>
  <si>
    <t>Ross Stores Inc</t>
  </si>
  <si>
    <t>Home Depot Inc/The</t>
  </si>
  <si>
    <t>AMZN US Equity</t>
  </si>
  <si>
    <t>Amazon.com Inc</t>
  </si>
  <si>
    <t>BURL US Equity</t>
  </si>
  <si>
    <t>Burlington Stores Inc</t>
  </si>
  <si>
    <t>2025A CF (KTOS US)</t>
  </si>
  <si>
    <t>Estimate (KTOS US)</t>
  </si>
  <si>
    <t>Northrop Grumman Corp</t>
  </si>
  <si>
    <t>LMT US Equity</t>
  </si>
  <si>
    <t>Lockheed Martin Corp</t>
  </si>
  <si>
    <t>RTX Corp</t>
  </si>
  <si>
    <t>BA US Equity</t>
  </si>
  <si>
    <t>Boeing Co/The</t>
  </si>
  <si>
    <t>2024A CF (OGE US)</t>
  </si>
  <si>
    <t>OGE Energy Corp</t>
  </si>
  <si>
    <t>0001036D US Equity</t>
  </si>
  <si>
    <t>2021A CF (NEE US)</t>
  </si>
  <si>
    <t>Loos &amp; Co Inc</t>
  </si>
  <si>
    <t>000150 KS Equity</t>
  </si>
  <si>
    <t>Doosan Co Ltd</t>
  </si>
  <si>
    <t>000210 KS Equity</t>
  </si>
  <si>
    <t>DL Holdings Co Ltd</t>
  </si>
  <si>
    <t>000760 CH Equity</t>
  </si>
  <si>
    <t>Steyr Motors Co Ltd</t>
  </si>
  <si>
    <t>2022A CF (300857 CH)</t>
  </si>
  <si>
    <t>Sharetronic Data Technology Co Ltd</t>
  </si>
  <si>
    <t>688169 CH Equity</t>
  </si>
  <si>
    <t>2024A CF (688169 CH)</t>
  </si>
  <si>
    <t>Beijing Roborock Technology Co Ltd</t>
  </si>
  <si>
    <t>FPAYQ US Equity</t>
  </si>
  <si>
    <t>2025Q3 CF (FPAYQ US)</t>
  </si>
  <si>
    <t>FlexShopper Inc</t>
  </si>
  <si>
    <t>UBER US Equity</t>
  </si>
  <si>
    <t>Company News (BBY US)</t>
  </si>
  <si>
    <t>Uber Technologies Inc</t>
  </si>
  <si>
    <t>VITA CN Equity</t>
  </si>
  <si>
    <t>Company News (VITA CN)</t>
  </si>
  <si>
    <t>Vitalist Inc</t>
  </si>
  <si>
    <t>COST US Equity</t>
  </si>
  <si>
    <t>2022A CF (PRMW CN)</t>
  </si>
  <si>
    <t>Costco Wholesale Corp</t>
  </si>
  <si>
    <t>2024A CF (USIO US)</t>
  </si>
  <si>
    <t>Usio Inc</t>
  </si>
  <si>
    <t>2021A CF (3176 TT)</t>
  </si>
  <si>
    <t>Medigen Biotechnology Corp</t>
  </si>
  <si>
    <t>GENNQ US Equity</t>
  </si>
  <si>
    <t>2025Q2 CF (GENNQ US)</t>
  </si>
  <si>
    <t>Genesis Healthcare Inc</t>
  </si>
  <si>
    <t>TSCO US Equity</t>
  </si>
  <si>
    <t>Estimate (TSCO US)</t>
  </si>
  <si>
    <t>Tractor Supply Co</t>
  </si>
  <si>
    <t>CDW US Equity</t>
  </si>
  <si>
    <t>Estimate (CDW US)</t>
  </si>
  <si>
    <t>CDW Corp/DE</t>
  </si>
  <si>
    <t>PCAR US Equity</t>
  </si>
  <si>
    <t>Estimate (PCAR US)</t>
  </si>
  <si>
    <t>PACCAR Inc</t>
  </si>
  <si>
    <t>Estimate (ARW US)</t>
  </si>
  <si>
    <t>Arrow Electronics Inc</t>
  </si>
  <si>
    <t>LOW US Equity</t>
  </si>
  <si>
    <t>Estimate (LOW US)</t>
  </si>
  <si>
    <t>Lowe's Cos Inc</t>
  </si>
  <si>
    <t>2025A CF (HAIN US)</t>
  </si>
  <si>
    <t>SYY US Equity</t>
  </si>
  <si>
    <t>Estimate (HAIN US)</t>
  </si>
  <si>
    <t>Sysco Corp</t>
  </si>
  <si>
    <t>UNFI US Equity</t>
  </si>
  <si>
    <t>United Natural Foods Inc</t>
  </si>
  <si>
    <t>AD NA Equity</t>
  </si>
  <si>
    <t>Koninklijke Ahold Delhaize NV</t>
  </si>
  <si>
    <t>BJ US Equity</t>
  </si>
  <si>
    <t>BJ's Wholesale Club Holdings Inc</t>
  </si>
  <si>
    <t>2025A CF (GE US)</t>
  </si>
  <si>
    <t>Estimate (GE US)</t>
  </si>
  <si>
    <t>AIR FP Equity</t>
  </si>
  <si>
    <t>Airbus SE</t>
  </si>
  <si>
    <t>UAL US Equity</t>
  </si>
  <si>
    <t>United Airlines Holdings Inc</t>
  </si>
  <si>
    <t>American Airlines Group Inc</t>
  </si>
  <si>
    <t>Company News (3764228Z US)</t>
  </si>
  <si>
    <t>Harper Corp-General Contractors/The</t>
  </si>
  <si>
    <t>C3</t>
  </si>
  <si>
    <t>2025C3 CF (082920 KS)</t>
  </si>
  <si>
    <t>Vitzrocell Co Ltd</t>
  </si>
  <si>
    <t>ABT US Equity</t>
  </si>
  <si>
    <t>2024A CF (ITGR US)</t>
  </si>
  <si>
    <t>Abbott Laboratories</t>
  </si>
  <si>
    <t>Boston Scientific Corp</t>
  </si>
  <si>
    <t>Medtronic PLC</t>
  </si>
  <si>
    <t>SNX US Equity</t>
  </si>
  <si>
    <t>Estimate (SNX US)</t>
  </si>
  <si>
    <t>TD SYNNEX Corp</t>
  </si>
  <si>
    <t>MSFT US Equity</t>
  </si>
  <si>
    <t>CAPEX</t>
  </si>
  <si>
    <t>Estimate (CSCO US)</t>
  </si>
  <si>
    <t>Microsoft Corp</t>
  </si>
  <si>
    <t>005930 KS Equity</t>
  </si>
  <si>
    <t>Samsung Electronics Co Ltd</t>
  </si>
  <si>
    <t>T US Equity</t>
  </si>
  <si>
    <t>AT&amp;T Inc</t>
  </si>
  <si>
    <t>Estimate (OI US)</t>
  </si>
  <si>
    <t>O-I Glass Inc</t>
  </si>
  <si>
    <t>0071241D US Equity</t>
  </si>
  <si>
    <t>2023A CF (BF/B US)</t>
  </si>
  <si>
    <t>F Korbel &amp; Bros</t>
  </si>
  <si>
    <t>AEP US Equity</t>
  </si>
  <si>
    <t>2021A CF (AEP US)</t>
  </si>
  <si>
    <t>American Electric Power Co Inc</t>
  </si>
  <si>
    <t>2024Q1 CF (CHDN US)</t>
  </si>
  <si>
    <t>Churchill Downs Inc</t>
  </si>
  <si>
    <t>DUK US Equity</t>
  </si>
  <si>
    <t>2021A CF (DUK US)</t>
  </si>
  <si>
    <t>Duke Energy Corp</t>
  </si>
  <si>
    <t>FE US Equity</t>
  </si>
  <si>
    <t>2021A CF (FE US)</t>
  </si>
  <si>
    <t>FirstEnergy Corp</t>
  </si>
  <si>
    <t>2025A CF (TDY US)</t>
  </si>
  <si>
    <t>Estimate (TDY US)</t>
  </si>
  <si>
    <t>LHX US Equity</t>
  </si>
  <si>
    <t>L3Harris Technologies Inc</t>
  </si>
  <si>
    <t>Company News (FICO US)</t>
  </si>
  <si>
    <t>Fair Isaac Corp</t>
  </si>
  <si>
    <t>Estimate (VRTX US)</t>
  </si>
  <si>
    <t>Vertex Pharmaceuticals Inc</t>
  </si>
  <si>
    <t>INCY US Equity</t>
  </si>
  <si>
    <t>Estimate (INCY US)</t>
  </si>
  <si>
    <t>Incyte Corp</t>
  </si>
  <si>
    <t>AZN LN Equity</t>
  </si>
  <si>
    <t>Estimate (AZN LN)</t>
  </si>
  <si>
    <t>AstraZeneca PLC</t>
  </si>
  <si>
    <t>NOVOB DC Equity</t>
  </si>
  <si>
    <t>Estimate (NOVOB DC)</t>
  </si>
  <si>
    <t>Novo Nordisk A/S</t>
  </si>
  <si>
    <t>BMY US Equity</t>
  </si>
  <si>
    <t>Estimate (BMY US)</t>
  </si>
  <si>
    <t>Bristol-Myers Squibb Co</t>
  </si>
  <si>
    <t>Estimate (TEMN SW)</t>
  </si>
  <si>
    <t>Temenos AG</t>
  </si>
  <si>
    <t>ECL US Equity</t>
  </si>
  <si>
    <t>2023Q2 CF (ECL US)</t>
  </si>
  <si>
    <t>Ecolab Inc</t>
  </si>
  <si>
    <t>Estimate (AAPL US)</t>
  </si>
  <si>
    <t>992 HK Equity</t>
  </si>
  <si>
    <t>Estimate (992 HK)</t>
  </si>
  <si>
    <t>Lenovo Group Ltd</t>
  </si>
  <si>
    <t>066570 KS Equity</t>
  </si>
  <si>
    <t>Estimate (066570 KS)</t>
  </si>
  <si>
    <t>LG Electronics Inc</t>
  </si>
  <si>
    <t>Estimate (BBY US)</t>
  </si>
  <si>
    <t>HP Inc</t>
  </si>
  <si>
    <t>FCPT US Equity</t>
  </si>
  <si>
    <t>2023A CF (FCPT US)</t>
  </si>
  <si>
    <t>Four Corners Property Trust Inc</t>
  </si>
  <si>
    <t>PRGS US Equity</t>
  </si>
  <si>
    <t>2023Q1 CF (PRGS US)</t>
  </si>
  <si>
    <t>Progress Software Corp</t>
  </si>
  <si>
    <t>2023Q2 CF (VYX US)</t>
  </si>
  <si>
    <t>NCR Voyix Corp</t>
  </si>
  <si>
    <t>Estimate (PWR US)</t>
  </si>
  <si>
    <t>Quanta Services Inc</t>
  </si>
  <si>
    <t>267260 KS Equity</t>
  </si>
  <si>
    <t>2025C3 CF (267260 KS)</t>
  </si>
  <si>
    <t>HD Hyundai Electric Co Ltd</t>
  </si>
  <si>
    <t>267250 KS Equity</t>
  </si>
  <si>
    <t>2025C3 CF (267250 KS)</t>
  </si>
  <si>
    <t>HD Hyundai Co Ltd</t>
  </si>
  <si>
    <t>Estimate (PRIM US)</t>
  </si>
  <si>
    <t>Primoris Services Corp</t>
  </si>
  <si>
    <t>1211 HK Equity</t>
  </si>
  <si>
    <t>Estimate (1211 HK)</t>
  </si>
  <si>
    <t>BYD Co Ltd</t>
  </si>
  <si>
    <t>Estimate (EMKR US)</t>
  </si>
  <si>
    <t>EMCORE Corp</t>
  </si>
  <si>
    <t>PKE US Equity</t>
  </si>
  <si>
    <t>Estimate (PKE US)</t>
  </si>
  <si>
    <t>Park Aerospace Corp</t>
  </si>
  <si>
    <t>TGI US Equity</t>
  </si>
  <si>
    <t>Estimate (TGI US)</t>
  </si>
  <si>
    <t>Triumph Group Inc</t>
  </si>
  <si>
    <t>AES US Equity</t>
  </si>
  <si>
    <t>2021A CF (AES US)</t>
  </si>
  <si>
    <t>AES Corp/The</t>
  </si>
  <si>
    <t>004800 KS Equity</t>
  </si>
  <si>
    <t>C2</t>
  </si>
  <si>
    <t>2025C2 CF (004800 KS)</t>
  </si>
  <si>
    <t>Hyosung Corp</t>
  </si>
  <si>
    <t>2024Q3 CF (ACIW US)</t>
  </si>
  <si>
    <t>ACI Worldwide Inc</t>
  </si>
  <si>
    <t>ASCL LN Equity</t>
  </si>
  <si>
    <t>2023A CF (ASCL LN)</t>
  </si>
  <si>
    <t>Ascential Ltd</t>
  </si>
  <si>
    <t>DBD US Equity</t>
  </si>
  <si>
    <t>2024A CF (DBD US)</t>
  </si>
  <si>
    <t>Diebold Nixdorf Inc</t>
  </si>
  <si>
    <t>DGII US Equity</t>
  </si>
  <si>
    <t>2024Q2 CF (DGII US)</t>
  </si>
  <si>
    <t>Digi International Inc</t>
  </si>
  <si>
    <t>INFA US Equity</t>
  </si>
  <si>
    <t>2024Q3 CF (INFA US)</t>
  </si>
  <si>
    <t>Informatica Inc</t>
  </si>
  <si>
    <t>179 HK Equity</t>
  </si>
  <si>
    <t>Estimate (179 HK)</t>
  </si>
  <si>
    <t>Johnson Electric Holdings Ltd</t>
  </si>
  <si>
    <t>021650 KS Equity</t>
  </si>
  <si>
    <t>2025C3 CF (021650 KS)</t>
  </si>
  <si>
    <t>Cubic Korea Inc</t>
  </si>
  <si>
    <t>DSY FP Equity</t>
  </si>
  <si>
    <t>Estimate (DSY FP)</t>
  </si>
  <si>
    <t>Dassault Systemes SE</t>
  </si>
  <si>
    <t>SEL IN Equity</t>
  </si>
  <si>
    <t>Estimate (SEL IN)</t>
  </si>
  <si>
    <t>Suprajit Engineering Ltd</t>
  </si>
  <si>
    <t>NNBR US Equity</t>
  </si>
  <si>
    <t>Estimate (NNBR US)</t>
  </si>
  <si>
    <t>NN Inc</t>
  </si>
  <si>
    <t>SAF FP Equity</t>
  </si>
  <si>
    <t>Estimate (SAF FP)</t>
  </si>
  <si>
    <t>Safran SA</t>
  </si>
  <si>
    <t>MTX GR Equity</t>
  </si>
  <si>
    <t>Estimate (MTX GR)</t>
  </si>
  <si>
    <t>MTU Aero Engines AG</t>
  </si>
  <si>
    <t>HWM US Equity</t>
  </si>
  <si>
    <t>2025A CF (HWM US)</t>
  </si>
  <si>
    <t>Howmet Aerospace Inc</t>
  </si>
  <si>
    <t>SARO US Equity</t>
  </si>
  <si>
    <t>Estimate (SARO US)</t>
  </si>
  <si>
    <t>StandardAero Inc</t>
  </si>
  <si>
    <t>ATI US Equity</t>
  </si>
  <si>
    <t>Estimate (ATI US)</t>
  </si>
  <si>
    <t>ATI Inc</t>
  </si>
  <si>
    <t>2025C3 CF (004800 KS)</t>
  </si>
  <si>
    <t>FISV US Equity</t>
  </si>
  <si>
    <t>2023C3 CF (FISV US)</t>
  </si>
  <si>
    <t>Fiserv Inc</t>
  </si>
  <si>
    <t>NICE IT Equity</t>
  </si>
  <si>
    <t>2023Q1 CF (NICE IT)</t>
  </si>
  <si>
    <t>Nice Ltd</t>
  </si>
  <si>
    <t>Estimate (KDP US)</t>
  </si>
  <si>
    <t>Keurig Dr Pepper Inc</t>
  </si>
  <si>
    <t>SABIC AB Equity</t>
  </si>
  <si>
    <t>Estimate (SABIC AB)</t>
  </si>
  <si>
    <t>Saudi Basic Industries Corp</t>
  </si>
  <si>
    <t>SOY CN Equity</t>
  </si>
  <si>
    <t>Estimate (SOY CN)</t>
  </si>
  <si>
    <t>SunOpta Inc</t>
  </si>
  <si>
    <t>IDL FP Equity</t>
  </si>
  <si>
    <t>Estimate (IDL FP)</t>
  </si>
  <si>
    <t>ID Logistics Group SACA</t>
  </si>
  <si>
    <t>121485Z US Equity</t>
  </si>
  <si>
    <t>2024A CF (HAIN US)</t>
  </si>
  <si>
    <t>Sesame Workshop</t>
  </si>
  <si>
    <t>2022A CF (MMSI US)</t>
  </si>
  <si>
    <t>Sumitomo Bakelite Co Ltd</t>
  </si>
  <si>
    <t>4272 JP Equity</t>
  </si>
  <si>
    <t>2022A CF (4272 JP)</t>
  </si>
  <si>
    <t>Nippon Kayaku Co Ltd</t>
  </si>
  <si>
    <t>2021A CF (BRK/A US)</t>
  </si>
  <si>
    <t>Berkshire Hathaway Inc</t>
  </si>
  <si>
    <t>2021A CF (CNP US)</t>
  </si>
  <si>
    <t>CenterPoint Energy Inc</t>
  </si>
  <si>
    <t>D US Equity</t>
  </si>
  <si>
    <t>2021A CF (D US)</t>
  </si>
  <si>
    <t>Dominion Energy Inc</t>
  </si>
  <si>
    <t>ETR US Equity</t>
  </si>
  <si>
    <t>2021A CF (ETR US)</t>
  </si>
  <si>
    <t>Entergy Corp</t>
  </si>
  <si>
    <t>EXC US Equity</t>
  </si>
  <si>
    <t>2021A CF (EXC US)</t>
  </si>
  <si>
    <t>Exelon Corp</t>
  </si>
  <si>
    <t>2023A CF (WOOD IJ)</t>
  </si>
  <si>
    <t>Integra Indocabinet Tbk PT</t>
  </si>
  <si>
    <t>AEE US Equity</t>
  </si>
  <si>
    <t>2021A CF (AEE US)</t>
  </si>
  <si>
    <t>Ameren Corp</t>
  </si>
  <si>
    <t>ED US Equity</t>
  </si>
  <si>
    <t>2021A CF (ED US)</t>
  </si>
  <si>
    <t>Consolidated Edison Inc</t>
  </si>
  <si>
    <t>HPE US Equity</t>
  </si>
  <si>
    <t>Estimate (HPE US)</t>
  </si>
  <si>
    <t>Hewlett Packard Enterprise Co</t>
  </si>
  <si>
    <t>Estimate (IBM US)</t>
  </si>
  <si>
    <t>ORCL US Equity</t>
  </si>
  <si>
    <t>Estimate (ORCL US)</t>
  </si>
  <si>
    <t>Oracle Corp</t>
  </si>
  <si>
    <t>RDWR US Equity</t>
  </si>
  <si>
    <t>Estimate (RDWR US)</t>
  </si>
  <si>
    <t>Radware Ltd</t>
  </si>
  <si>
    <t>0127903D US Equity</t>
  </si>
  <si>
    <t>2023A CF (ACIW US)</t>
  </si>
  <si>
    <t>Wincor Nixdorf Inc</t>
  </si>
  <si>
    <t>6201 JP Equity</t>
  </si>
  <si>
    <t>Estimate (6201 JP)</t>
  </si>
  <si>
    <t>Toyota Industries Corp</t>
  </si>
  <si>
    <t>222080 KS Equity</t>
  </si>
  <si>
    <t>2023A CF (222080 KS)</t>
  </si>
  <si>
    <t>Creative &amp; Innovative System</t>
  </si>
  <si>
    <t>DTE US Equity</t>
  </si>
  <si>
    <t>2021A CF (DTE US)</t>
  </si>
  <si>
    <t>DTE Energy Co</t>
  </si>
  <si>
    <t>2024A CF (VOYG US)</t>
  </si>
  <si>
    <t>Voyager Technologies Inc</t>
  </si>
  <si>
    <t>Estimate (CW US)</t>
  </si>
  <si>
    <t>Curtiss-Wright Corp</t>
  </si>
  <si>
    <t>HEI US Equity</t>
  </si>
  <si>
    <t>Estimate (HEI US)</t>
  </si>
  <si>
    <t>HEICO Corp</t>
  </si>
  <si>
    <t>AMPX US Equity</t>
  </si>
  <si>
    <t>Estimate (AMPX US)</t>
  </si>
  <si>
    <t>Amprius Technologies Inc</t>
  </si>
  <si>
    <t>Estimate (VIAV US)</t>
  </si>
  <si>
    <t>Viavi Solutions Inc</t>
  </si>
  <si>
    <t>2025A CF (FRSH US)</t>
  </si>
  <si>
    <t>Freshworks Inc</t>
  </si>
  <si>
    <t>NVDA US Equity</t>
  </si>
  <si>
    <t>Estimate (NVDA US)</t>
  </si>
  <si>
    <t>NVIDIA Corp</t>
  </si>
  <si>
    <t>2317 TT Equity</t>
  </si>
  <si>
    <t>Estimate (2317 TT)</t>
  </si>
  <si>
    <t>Hon Hai Precision Industry Co Ltd</t>
  </si>
  <si>
    <t>2330 TT Equity</t>
  </si>
  <si>
    <t>Estimate (2330 TT)</t>
  </si>
  <si>
    <t>Taiwan Semiconductor Manufacturing Co Ltd</t>
  </si>
  <si>
    <t>FLEX US Equity</t>
  </si>
  <si>
    <t>Estimate (FLEX US)</t>
  </si>
  <si>
    <t>Flex Ltd</t>
  </si>
  <si>
    <t>FN US Equity</t>
  </si>
  <si>
    <t>2025A CF (FN US)</t>
  </si>
  <si>
    <t>Fabrinet</t>
  </si>
  <si>
    <t>ARKO US Equity</t>
  </si>
  <si>
    <t>2024A CF (ARKO US)</t>
  </si>
  <si>
    <t>Arko Corp</t>
  </si>
  <si>
    <t>ATD CN Equity</t>
  </si>
  <si>
    <t>2025A CF (ATD CN)</t>
  </si>
  <si>
    <t>Alimentation Couche-Tard Inc</t>
  </si>
  <si>
    <t>BCE LN Equity</t>
  </si>
  <si>
    <t>2024Q1 CF (VLO US)</t>
  </si>
  <si>
    <t>Beacon Energy PLC</t>
  </si>
  <si>
    <t>CAPL US Equity</t>
  </si>
  <si>
    <t>2024A CF (CAPL US)</t>
  </si>
  <si>
    <t>CrossAmerica Partners LP</t>
  </si>
  <si>
    <t>CVX US Equity</t>
  </si>
  <si>
    <t>Chevron Corp</t>
  </si>
  <si>
    <t>053300 KS Equity</t>
  </si>
  <si>
    <t>2025C3 CF (053300 KS)</t>
  </si>
  <si>
    <t>Korea Information Certificate Authority Inc</t>
  </si>
  <si>
    <t>4784 JP Equity</t>
  </si>
  <si>
    <t>2023A CF (4784 JP)</t>
  </si>
  <si>
    <t>GMO Internet Inc</t>
  </si>
  <si>
    <t>8136 JP Equity</t>
  </si>
  <si>
    <t>2022A CF (8136 JP)</t>
  </si>
  <si>
    <t>Sanrio Co Ltd</t>
  </si>
  <si>
    <t>2025Q3 CF (MTCH US)</t>
  </si>
  <si>
    <t>BGO LN Equity</t>
  </si>
  <si>
    <t>2022A CF (BGO LN)</t>
  </si>
  <si>
    <t>Bango PLC</t>
  </si>
  <si>
    <t>2025A CF (KN US)</t>
  </si>
  <si>
    <t>WS Audiology A/S</t>
  </si>
  <si>
    <t>000063 CH Equity</t>
  </si>
  <si>
    <t>Estimate (000063 CH)</t>
  </si>
  <si>
    <t>ZTE Corp</t>
  </si>
  <si>
    <t>Company News (SGE LN)</t>
  </si>
  <si>
    <t>Sage Group PLC/The</t>
  </si>
  <si>
    <t>WDAY US Equity</t>
  </si>
  <si>
    <t>2025A CF (WDAY US)</t>
  </si>
  <si>
    <t>Workday Inc</t>
  </si>
  <si>
    <t>2022Q1 CF (0398293Z US)</t>
  </si>
  <si>
    <t>Ruby Pipeline LLC</t>
  </si>
  <si>
    <t>1334424D AV Equity</t>
  </si>
  <si>
    <t>Company News (LNN US)</t>
  </si>
  <si>
    <t>Pessl Instruments GmbH</t>
  </si>
  <si>
    <t>S1</t>
  </si>
  <si>
    <t>2025S1 CF (000078 CH)</t>
  </si>
  <si>
    <t>Shenzhen Neptunus Bioengineering Co Ltd</t>
  </si>
  <si>
    <t>032940 KS Equity</t>
  </si>
  <si>
    <t>2025C3 CF (032940 KS)</t>
  </si>
  <si>
    <t>Won Ik Corp</t>
  </si>
  <si>
    <t>256940 KS Equity</t>
  </si>
  <si>
    <t>2025C3 CF (256940 KS)</t>
  </si>
  <si>
    <t>Keeps Biopharma Inc</t>
  </si>
  <si>
    <t>3079 JP Equity</t>
  </si>
  <si>
    <t>2025A CF (3079 JP)</t>
  </si>
  <si>
    <t>Dvx Inc</t>
  </si>
  <si>
    <t>600998 CH Equity</t>
  </si>
  <si>
    <t>2025S1 CF (600998 CH)</t>
  </si>
  <si>
    <t>Jointown Pharmaceutical Group Co Ltd</t>
  </si>
  <si>
    <t>Media News (ARCH NO)</t>
  </si>
  <si>
    <t>Archer Ltd</t>
  </si>
  <si>
    <t>COP US Equity</t>
  </si>
  <si>
    <t>2022A CF (COP US)</t>
  </si>
  <si>
    <t>ConocoPhillips</t>
  </si>
  <si>
    <t>NESR US Equity</t>
  </si>
  <si>
    <t>2023A CF (NESR US)</t>
  </si>
  <si>
    <t>National Energy Services Reunited Corp</t>
  </si>
  <si>
    <t>CWK US Equity</t>
  </si>
  <si>
    <t>Company News (CSGP US)</t>
  </si>
  <si>
    <t>Cushman &amp; Wakefield Ltd</t>
  </si>
  <si>
    <t>SRC US Equity</t>
  </si>
  <si>
    <t>2022A CF (SRC US)</t>
  </si>
  <si>
    <t>Spirit Realty Capital Inc</t>
  </si>
  <si>
    <t>2023Q3 CF (1414936D US)</t>
  </si>
  <si>
    <t>Premier Kings Inc</t>
  </si>
  <si>
    <t>41935MF US Equity</t>
  </si>
  <si>
    <t>Company News (LAMR US)</t>
  </si>
  <si>
    <t>Lambert-St Louis International Airport Corp</t>
  </si>
  <si>
    <t>2024A CF (POOL US)</t>
  </si>
  <si>
    <t>Pool Corp</t>
  </si>
  <si>
    <t>011070 KS Equity</t>
  </si>
  <si>
    <t>Estimate (011070 KS)</t>
  </si>
  <si>
    <t>LG Innotek Co Ltd</t>
  </si>
  <si>
    <t>2025A CF (SARO US)</t>
  </si>
  <si>
    <t>SHEL LN Equity</t>
  </si>
  <si>
    <t>Estimate (TRN US)</t>
  </si>
  <si>
    <t>Shell PLC</t>
  </si>
  <si>
    <t>DOW US Equity</t>
  </si>
  <si>
    <t>Dow Inc</t>
  </si>
  <si>
    <t>PG US Equity</t>
  </si>
  <si>
    <t>Procter &amp; Gamble Co/The</t>
  </si>
  <si>
    <t>CEMEXCPO MM Equity</t>
  </si>
  <si>
    <t>Cemex SAB de CV</t>
  </si>
  <si>
    <t>Valero Energy Corp</t>
  </si>
  <si>
    <t>2025C3 CF (051380 KS)</t>
  </si>
  <si>
    <t>PC Direct Inc</t>
  </si>
  <si>
    <t>070590 KS Equity</t>
  </si>
  <si>
    <t>2025C3 CF (070590 KS)</t>
  </si>
  <si>
    <t>Hansol inticube Co Ltd</t>
  </si>
  <si>
    <t>2433 TT Equity</t>
  </si>
  <si>
    <t>2024A CF (2433 TT)</t>
  </si>
  <si>
    <t>Huxen Corp</t>
  </si>
  <si>
    <t>3908 JP Equity</t>
  </si>
  <si>
    <t>2025A CF (3908 JP)</t>
  </si>
  <si>
    <t>Collabos Corp</t>
  </si>
  <si>
    <t>600839 CH Equity</t>
  </si>
  <si>
    <t>2024A CF (600839 CH)</t>
  </si>
  <si>
    <t>Sichuan Changhong Electric Co Ltd</t>
  </si>
  <si>
    <t>2023A CF (278650 KS)</t>
  </si>
  <si>
    <t>HLB Biostep Co Ltd</t>
  </si>
  <si>
    <t>067010 KS Equity</t>
  </si>
  <si>
    <t>2026C2 CF (067010 KS)</t>
  </si>
  <si>
    <t>ECS TELECOM Co Ltd</t>
  </si>
  <si>
    <t>301318 CH Equity</t>
  </si>
  <si>
    <t>2025S1 CF (301318 CH)</t>
  </si>
  <si>
    <t>ValueHD Corp</t>
  </si>
  <si>
    <t>4813 JP Equity</t>
  </si>
  <si>
    <t>2023Q1 CF (4813 JP)</t>
  </si>
  <si>
    <t>Access Co Ltd</t>
  </si>
  <si>
    <t>2025A CF (NVDA US)</t>
  </si>
  <si>
    <t>2025A CF (WHR LN)</t>
  </si>
  <si>
    <t>Warehouse Reit PLC</t>
  </si>
  <si>
    <t>2025Q3 CF (DAR US)</t>
  </si>
  <si>
    <t>Darling Ingredients Inc</t>
  </si>
  <si>
    <t>HON US Equity</t>
  </si>
  <si>
    <t>Estimate (HON US)</t>
  </si>
  <si>
    <t>Honeywell International Inc</t>
  </si>
  <si>
    <t>CNR CN Equity</t>
  </si>
  <si>
    <t>Estimate (CNR CN)</t>
  </si>
  <si>
    <t>Canadian National Railway Co</t>
  </si>
  <si>
    <t>Company News (HY US)</t>
  </si>
  <si>
    <t>Hyster-Yale Inc</t>
  </si>
  <si>
    <t>2025A CF (RENG IN)</t>
  </si>
  <si>
    <t>Rajoo Engineers Ltd</t>
  </si>
  <si>
    <t>Estimate (ON US)</t>
  </si>
  <si>
    <t>WT Microelectronics Co Ltd</t>
  </si>
  <si>
    <t>AVT US Equity</t>
  </si>
  <si>
    <t>Avnet Inc</t>
  </si>
  <si>
    <t>005380 KS Equity</t>
  </si>
  <si>
    <t>Hyundai Motor Co</t>
  </si>
  <si>
    <t>3702 TT Equity</t>
  </si>
  <si>
    <t>WPG Holdings Ltd</t>
  </si>
  <si>
    <t>2021A CF (SNX US)</t>
  </si>
  <si>
    <t>Company News (13620Z US)</t>
  </si>
  <si>
    <t>Gorillas Technologies GmbH</t>
  </si>
  <si>
    <t>8206440Z LN Equity</t>
  </si>
  <si>
    <t>2025A CF (8206440Z LN)</t>
  </si>
  <si>
    <t>United Kingdom of Great Britain &amp; Northern Ireland Ministry of Defence</t>
  </si>
  <si>
    <t>Estimate (SPB US)</t>
  </si>
  <si>
    <t>WOOF US Equity</t>
  </si>
  <si>
    <t>Estimate (WOOF US)</t>
  </si>
  <si>
    <t>Petco Health &amp; Wellness Co Inc</t>
  </si>
  <si>
    <t>CHWY US Equity</t>
  </si>
  <si>
    <t>Chewy Inc</t>
  </si>
  <si>
    <t>TGT US Equity</t>
  </si>
  <si>
    <t>Target Corp</t>
  </si>
  <si>
    <t>2024A CF (TWAV US)</t>
  </si>
  <si>
    <t>Avaya LLC</t>
  </si>
  <si>
    <t>AVYAQ US Equity</t>
  </si>
  <si>
    <t>2022A CF (TWAV US)</t>
  </si>
  <si>
    <t>Avaya Holdings Corp</t>
  </si>
  <si>
    <t>Cisco Systems Inc</t>
  </si>
  <si>
    <t>ENGH CN Equity</t>
  </si>
  <si>
    <t>Enghouse Systems Ltd</t>
  </si>
  <si>
    <t>2024A CF (EOG US)</t>
  </si>
  <si>
    <t>Heritage Petroleum Co Ltd</t>
  </si>
  <si>
    <t>8212712Z TP Equity</t>
  </si>
  <si>
    <t>National Gas Co of Trinidad &amp; Tobago Ltd</t>
  </si>
  <si>
    <t>ATO US Equity</t>
  </si>
  <si>
    <t>2022A CF (ATO US)</t>
  </si>
  <si>
    <t>Atmos Energy Corp</t>
  </si>
  <si>
    <t>LNG US Equity</t>
  </si>
  <si>
    <t>2022Q3 CF (LNG US)</t>
  </si>
  <si>
    <t>Cheniere Energy Inc</t>
  </si>
  <si>
    <t>2025A CF (WK US)</t>
  </si>
  <si>
    <t>Workiva Inc</t>
  </si>
  <si>
    <t>NEWT US Equity</t>
  </si>
  <si>
    <t>2022A CF (NEWT US)</t>
  </si>
  <si>
    <t>NewtekOne Inc</t>
  </si>
  <si>
    <t>3382 JP Equity</t>
  </si>
  <si>
    <t>2024A CF (NNN US)</t>
  </si>
  <si>
    <t>Seven &amp; i Holdings Co Ltd</t>
  </si>
  <si>
    <t>MCW US Equity</t>
  </si>
  <si>
    <t>Mister Car Wash Inc</t>
  </si>
  <si>
    <t>PLAY US Equity</t>
  </si>
  <si>
    <t>Dave &amp; Buster's Entertainment Inc</t>
  </si>
  <si>
    <t>CWH US Equity</t>
  </si>
  <si>
    <t>Camping World Holdings Inc</t>
  </si>
  <si>
    <t>2024Q2 CF (TUPBQ US)</t>
  </si>
  <si>
    <t>M US Equity</t>
  </si>
  <si>
    <t>Macy's Inc</t>
  </si>
  <si>
    <t>Estimate (PEGA US)</t>
  </si>
  <si>
    <t>Accenture PLC</t>
  </si>
  <si>
    <t>ALV GR Equity</t>
  </si>
  <si>
    <t>Allianz SE</t>
  </si>
  <si>
    <t>HCA US Equity</t>
  </si>
  <si>
    <t>HCA Healthcare Inc</t>
  </si>
  <si>
    <t>CAP FP Equity</t>
  </si>
  <si>
    <t>Capgemini SE</t>
  </si>
  <si>
    <t>2023A CF (FISV US)</t>
  </si>
  <si>
    <t>SABR US Equity</t>
  </si>
  <si>
    <t>2025Q3 CF (SABR US)</t>
  </si>
  <si>
    <t>Sabre Corp</t>
  </si>
  <si>
    <t>1460 TT Equity</t>
  </si>
  <si>
    <t>2023Q1 CF (1460 TT)</t>
  </si>
  <si>
    <t>Everest Textile Co Ltd</t>
  </si>
  <si>
    <t>3060 TT Equity</t>
  </si>
  <si>
    <t>2022Q3 CF (3060 TT)</t>
  </si>
  <si>
    <t>MIN AIK Technology Co Ltd</t>
  </si>
  <si>
    <t>2024A CF (RILY US)</t>
  </si>
  <si>
    <t>LI FP Equity</t>
  </si>
  <si>
    <t>2022A CF (LI FP)</t>
  </si>
  <si>
    <t>Klepierre SA</t>
  </si>
  <si>
    <t>META US Equity</t>
  </si>
  <si>
    <t>Meta Platforms Inc</t>
  </si>
  <si>
    <t>INFO IN Equity</t>
  </si>
  <si>
    <t>Estimate (INFO IN)</t>
  </si>
  <si>
    <t>Infosys Ltd</t>
  </si>
  <si>
    <t>Estimate (MSFT US)</t>
  </si>
  <si>
    <t>ADBE US Equity</t>
  </si>
  <si>
    <t>Estimate (ADBE US)</t>
  </si>
  <si>
    <t>Adobe Inc</t>
  </si>
  <si>
    <t>Estimate (ECL US)</t>
  </si>
  <si>
    <t>PDM US Equity</t>
  </si>
  <si>
    <t>2024A CF (PDM US)</t>
  </si>
  <si>
    <t>Piedmont Realty Trust Inc</t>
  </si>
  <si>
    <t>Estimate (SLGN US)</t>
  </si>
  <si>
    <t>Silgan Holdings Inc</t>
  </si>
  <si>
    <t>Estimate (SWK US)</t>
  </si>
  <si>
    <t>Stanley Black &amp; Decker Inc</t>
  </si>
  <si>
    <t>6810 JP Equity</t>
  </si>
  <si>
    <t>Estimate (6810 JP)</t>
  </si>
  <si>
    <t>Maxell Ltd</t>
  </si>
  <si>
    <t>002891 CH Equity</t>
  </si>
  <si>
    <t>2024A CF (002891 CH)</t>
  </si>
  <si>
    <t>Yantai China Pet Foods Co Ltd</t>
  </si>
  <si>
    <t>2062 TT Equity</t>
  </si>
  <si>
    <t>2024Q3 CF (2062 TT)</t>
  </si>
  <si>
    <t>Sunspring Metal Corp</t>
  </si>
  <si>
    <t>Estimate (TEN IM)</t>
  </si>
  <si>
    <t>Tenaris SA</t>
  </si>
  <si>
    <t>PUMP US Equity</t>
  </si>
  <si>
    <t>2024A CF (PUMP US)</t>
  </si>
  <si>
    <t>ProPetro Holding Corp</t>
  </si>
  <si>
    <t>VK FP Equity</t>
  </si>
  <si>
    <t>Estimate (VK FP)</t>
  </si>
  <si>
    <t>Vallourec SACA</t>
  </si>
  <si>
    <t>DNOW US Equity</t>
  </si>
  <si>
    <t>Estimate (DNOW US)</t>
  </si>
  <si>
    <t>DNOW Inc</t>
  </si>
  <si>
    <t>FSP US Equity</t>
  </si>
  <si>
    <t>2024A CF (FSP US)</t>
  </si>
  <si>
    <t>Franklin Street Properties Corp</t>
  </si>
  <si>
    <t>1972 HK Equity</t>
  </si>
  <si>
    <t>2024A CF (1972 HK)</t>
  </si>
  <si>
    <t>Swire Properties Ltd</t>
  </si>
  <si>
    <t>3145290Z NZ Equity</t>
  </si>
  <si>
    <t>Company News (3145290Z NZ)</t>
  </si>
  <si>
    <t>Evander Management Ltd</t>
  </si>
  <si>
    <t>405 HK Equity</t>
  </si>
  <si>
    <t>2023A CF (405 HK)</t>
  </si>
  <si>
    <t>Yuexiu Real Estate Investment Trust</t>
  </si>
  <si>
    <t>ALPRG FP Equity</t>
  </si>
  <si>
    <t>2024A CF (ALPRG FP)</t>
  </si>
  <si>
    <t>Prologue</t>
  </si>
  <si>
    <t>AT1 GR Equity</t>
  </si>
  <si>
    <t>2025Q3 CF (AT1 GR)</t>
  </si>
  <si>
    <t>Aroundtown SA</t>
  </si>
  <si>
    <t>2025Q2 CF (BXP US)</t>
  </si>
  <si>
    <t>BXP Inc</t>
  </si>
  <si>
    <t>GFT GR Equity</t>
  </si>
  <si>
    <t>2023Q3 CF (GFT GR)</t>
  </si>
  <si>
    <t>GFT Technologies SE</t>
  </si>
  <si>
    <t>SUN SP Equity</t>
  </si>
  <si>
    <t>2024A CF (SUN SP)</t>
  </si>
  <si>
    <t>Suntec Real Estate Investment Trust</t>
  </si>
  <si>
    <t>Company News (AUR US)</t>
  </si>
  <si>
    <t>Aurora Innovation Inc</t>
  </si>
  <si>
    <t>2022Q3 CF (ORCL US)</t>
  </si>
  <si>
    <t>Company News (5331Z US)</t>
  </si>
  <si>
    <t>International Data Group Inc</t>
  </si>
  <si>
    <t>CUZ US Equity</t>
  </si>
  <si>
    <t>2025A CF (CUZ US)</t>
  </si>
  <si>
    <t>Cousins Properties Inc</t>
  </si>
  <si>
    <t>JBL US Equity</t>
  </si>
  <si>
    <t>Estimate (JBL US)</t>
  </si>
  <si>
    <t>Jabil Inc</t>
  </si>
  <si>
    <t>3481 TT Equity</t>
  </si>
  <si>
    <t>Estimate (3481 TT)</t>
  </si>
  <si>
    <t>Innolux Corp</t>
  </si>
  <si>
    <t>PTC US Equity</t>
  </si>
  <si>
    <t>Estimate (PTC US)</t>
  </si>
  <si>
    <t>PTC Inc</t>
  </si>
  <si>
    <t>MXL US Equity</t>
  </si>
  <si>
    <t>Estimate (MXL US)</t>
  </si>
  <si>
    <t>MaxLinear Inc</t>
  </si>
  <si>
    <t>INCO IJ Equity</t>
  </si>
  <si>
    <t>2025C2 CF (INCO IJ)</t>
  </si>
  <si>
    <t>Vale Indonesia Tbk PT</t>
  </si>
  <si>
    <t>INDY IJ Equity</t>
  </si>
  <si>
    <t>2024A CF (INDY IJ)</t>
  </si>
  <si>
    <t>Indika Energy Tbk PT</t>
  </si>
  <si>
    <t>NOVAQ US Equity</t>
  </si>
  <si>
    <t>2025Q1 CF (NOVAQ US)</t>
  </si>
  <si>
    <t>Sunnova Energy International Inc</t>
  </si>
  <si>
    <t>PRCH US Equity</t>
  </si>
  <si>
    <t>2025Q2 CF (PRCH US)</t>
  </si>
  <si>
    <t>Porch Group Inc</t>
  </si>
  <si>
    <t>CCC LN Equity</t>
  </si>
  <si>
    <t>Estimate (CCC LN)</t>
  </si>
  <si>
    <t>Computacenter PLC</t>
  </si>
  <si>
    <t>NSIT US Equity</t>
  </si>
  <si>
    <t>Estimate (NSIT US)</t>
  </si>
  <si>
    <t>Insight Enterprises Inc</t>
  </si>
  <si>
    <t>069640 KS Equity</t>
  </si>
  <si>
    <t>2024C3 CF (069640 KS)</t>
  </si>
  <si>
    <t>Hansae MK Co Ltd</t>
  </si>
  <si>
    <t>AKE FP Equity</t>
  </si>
  <si>
    <t>2022A CF (AKE FP)</t>
  </si>
  <si>
    <t>Arkema SA</t>
  </si>
  <si>
    <t>BKE US Equity</t>
  </si>
  <si>
    <t>2025A CF (BKE US)</t>
  </si>
  <si>
    <t>Buckle Inc/The</t>
  </si>
  <si>
    <t>ACI US Equity</t>
  </si>
  <si>
    <t>Company News (ACI US)</t>
  </si>
  <si>
    <t>Albertsons Cos Inc</t>
  </si>
  <si>
    <t>Estimate (EMN US)</t>
  </si>
  <si>
    <t>Eastman Chemical Co</t>
  </si>
  <si>
    <t>0006985D US Equity</t>
  </si>
  <si>
    <t>Computer Packages Inc</t>
  </si>
  <si>
    <t>1057653D FP Equity</t>
  </si>
  <si>
    <t>Manuthiers</t>
  </si>
  <si>
    <t>1707 TT Equity</t>
  </si>
  <si>
    <t>2025C3 CF (1707 TT)</t>
  </si>
  <si>
    <t>Grape King Bio Ltd</t>
  </si>
  <si>
    <t>21654Z US Equity</t>
  </si>
  <si>
    <t>Alorica Inc</t>
  </si>
  <si>
    <t>2025A CF (RGS US)</t>
  </si>
  <si>
    <t>Soham Inc</t>
  </si>
  <si>
    <t>2596414Z LN Equity</t>
  </si>
  <si>
    <t>John Paul Mitchell Systems UK Ltd</t>
  </si>
  <si>
    <t>2023A CF (RGS US)</t>
  </si>
  <si>
    <t>OR FP Equity</t>
  </si>
  <si>
    <t>L'Oreal SA</t>
  </si>
  <si>
    <t>2760 JP Equity</t>
  </si>
  <si>
    <t>2023Q2 CF (2760 JP)</t>
  </si>
  <si>
    <t>Tokyo Electron Device Ltd</t>
  </si>
  <si>
    <t>762 HK Equity</t>
  </si>
  <si>
    <t>2025A CF (762 HK)</t>
  </si>
  <si>
    <t>China Unicom Hong Kong Ltd</t>
  </si>
  <si>
    <t>ATO FP Equity</t>
  </si>
  <si>
    <t>2022Q1 CF (ATO FP)</t>
  </si>
  <si>
    <t>Atos SE</t>
  </si>
  <si>
    <t>2022A CF (AVT US)</t>
  </si>
  <si>
    <t>BBOX IN Equity</t>
  </si>
  <si>
    <t>2025Q3 CF (BBOX IN)</t>
  </si>
  <si>
    <t>Black Box Ltd</t>
  </si>
  <si>
    <t>Company News (9990822D US)</t>
  </si>
  <si>
    <t>JobTarget LLC</t>
  </si>
  <si>
    <t>US Bancorp</t>
  </si>
  <si>
    <t>415672Z US Equity</t>
  </si>
  <si>
    <t>Company News (JKHY US)</t>
  </si>
  <si>
    <t>TIB The Independent Bankersbank</t>
  </si>
  <si>
    <t>BLND US Equity</t>
  </si>
  <si>
    <t>Company News (BLND US)</t>
  </si>
  <si>
    <t>Blend Labs Inc</t>
  </si>
  <si>
    <t>KGF LN Equity</t>
  </si>
  <si>
    <t>Estimate (KGF LN)</t>
  </si>
  <si>
    <t>Kingfisher PLC</t>
  </si>
  <si>
    <t>4726 TT Equity</t>
  </si>
  <si>
    <t>2024A CF (4726 TT)</t>
  </si>
  <si>
    <t>Mycenax Biotech Inc</t>
  </si>
  <si>
    <t>6589 TT Equity</t>
  </si>
  <si>
    <t>2024A CF (6589 TT)</t>
  </si>
  <si>
    <t>EirGenix Inc</t>
  </si>
  <si>
    <t>2024A CF (4195 TT)</t>
  </si>
  <si>
    <t>Genomics BioSci&amp;Tech Co Ltd</t>
  </si>
  <si>
    <t>053030 KS Equity</t>
  </si>
  <si>
    <t>2024A CF (053030 KS)</t>
  </si>
  <si>
    <t>Binex Co Ltd</t>
  </si>
  <si>
    <t>000250 KS Equity</t>
  </si>
  <si>
    <t>2025C3 CF (000250 KS)</t>
  </si>
  <si>
    <t>Sam Chun Dang Pharm Co Ltd</t>
  </si>
  <si>
    <t>002022 CH Equity</t>
  </si>
  <si>
    <t>2024A CF (002022 CH)</t>
  </si>
  <si>
    <t>Shanghai Kehua Bio-Engineering Co Ltd</t>
  </si>
  <si>
    <t>2025A CF (UPS US)</t>
  </si>
  <si>
    <t>Estimate (UPS US)</t>
  </si>
  <si>
    <t>MCK US Equity</t>
  </si>
  <si>
    <t>McKesson Corp</t>
  </si>
  <si>
    <t>COR US Equity</t>
  </si>
  <si>
    <t>2025A CF (EXEL US)</t>
  </si>
  <si>
    <t>Cencora Inc</t>
  </si>
  <si>
    <t>CVS US Equity</t>
  </si>
  <si>
    <t>CVS Health Corp</t>
  </si>
  <si>
    <t>CI US Equity</t>
  </si>
  <si>
    <t>Cigna Group/The</t>
  </si>
  <si>
    <t>UnitedHealth Group Inc</t>
  </si>
  <si>
    <t>2023A CF (1402 TT)</t>
  </si>
  <si>
    <t>Far Eastern New Century Corp</t>
  </si>
  <si>
    <t>178 HK Equity</t>
  </si>
  <si>
    <t>2025A CF (178 HK)</t>
  </si>
  <si>
    <t>Sa Sa International Holdings Ltd</t>
  </si>
  <si>
    <t>4156525Z LN Equity</t>
  </si>
  <si>
    <t>Company News (PERY US)</t>
  </si>
  <si>
    <t>Bailie Group Ltd</t>
  </si>
  <si>
    <t>DELG IT Equity</t>
  </si>
  <si>
    <t>2024A CF (DELG IT)</t>
  </si>
  <si>
    <t>Delta Galil Ltd</t>
  </si>
  <si>
    <t>DXLG US Equity</t>
  </si>
  <si>
    <t>2025A CF (DXLG US)</t>
  </si>
  <si>
    <t>Destination XL Group Inc</t>
  </si>
  <si>
    <t>2023A CF (MATW US)</t>
  </si>
  <si>
    <t>0852591D LX Equity</t>
  </si>
  <si>
    <t>Ferrero International SA</t>
  </si>
  <si>
    <t>1041068Z US Equity</t>
  </si>
  <si>
    <t>Sheetz Inc</t>
  </si>
  <si>
    <t>1289210Z NA Equity</t>
  </si>
  <si>
    <t>2022Q2 CF (MATW US)</t>
  </si>
  <si>
    <t>Norgine BV</t>
  </si>
  <si>
    <t>2022A CF (INCY US)</t>
  </si>
  <si>
    <t>2025Q1 CF (CIO US)</t>
  </si>
  <si>
    <t>City Office REIT Inc</t>
  </si>
  <si>
    <t>ADI US Equity</t>
  </si>
  <si>
    <t>Estimate (ADI US)</t>
  </si>
  <si>
    <t>Analog Devices Inc</t>
  </si>
  <si>
    <t>OSIS US Equity</t>
  </si>
  <si>
    <t>Estimate (OSIS US)</t>
  </si>
  <si>
    <t>OSI Systems Inc</t>
  </si>
  <si>
    <t>Company News (FISV US)</t>
  </si>
  <si>
    <t>Estimate (OR FP)</t>
  </si>
  <si>
    <t>2024A CF (RGS US)</t>
  </si>
  <si>
    <t>PVT CN Equity</t>
  </si>
  <si>
    <t>2023Q1 CF (PVT CN)</t>
  </si>
  <si>
    <t>Pivotree Inc</t>
  </si>
  <si>
    <t>R&amp;D</t>
  </si>
  <si>
    <t>2024A CF (GMAB DC)</t>
  </si>
  <si>
    <t>Genmab A/S</t>
  </si>
  <si>
    <t>ABBV US Equity</t>
  </si>
  <si>
    <t>Estimate (ABBV US)</t>
  </si>
  <si>
    <t>AbbVie Inc</t>
  </si>
  <si>
    <t>HALO US Equity</t>
  </si>
  <si>
    <t>Estimate (HALO US)</t>
  </si>
  <si>
    <t>Halozyme Therapeutics Inc</t>
  </si>
  <si>
    <t>BAYN GR Equity</t>
  </si>
  <si>
    <t>Estimate (BAYN GR)</t>
  </si>
  <si>
    <t>Bayer AG</t>
  </si>
  <si>
    <t>2023Q3 CF (DLX US)</t>
  </si>
  <si>
    <t>Deluxe Corp</t>
  </si>
  <si>
    <t>Company News (AB US)</t>
  </si>
  <si>
    <t>Orion Advisor Solutions LLC</t>
  </si>
  <si>
    <t>600446 CH Equity</t>
  </si>
  <si>
    <t>2023S1 CF (600446 CH)</t>
  </si>
  <si>
    <t>Shenzhen Kingdom Sci-Tech Co Ltd</t>
  </si>
  <si>
    <t>Media News (9990822D US)</t>
  </si>
  <si>
    <t>Estimate (EMR US)</t>
  </si>
  <si>
    <t>Emerson Electric Co</t>
  </si>
  <si>
    <t>Estimate (PFE US)</t>
  </si>
  <si>
    <t>Pfizer Inc</t>
  </si>
  <si>
    <t>FDX US Equity</t>
  </si>
  <si>
    <t>Estimate (FDX US)</t>
  </si>
  <si>
    <t>FedEx Corp</t>
  </si>
  <si>
    <t>7751 JP Equity</t>
  </si>
  <si>
    <t>Estimate (7751 JP)</t>
  </si>
  <si>
    <t>Canon Inc</t>
  </si>
  <si>
    <t>DELL US Equity</t>
  </si>
  <si>
    <t>Estimate (DELL US)</t>
  </si>
  <si>
    <t>Dell Technologies Inc</t>
  </si>
  <si>
    <t>2025S1 CF (4579 JP)</t>
  </si>
  <si>
    <t>RaQualia Pharma Inc</t>
  </si>
  <si>
    <t>EGRX US Equity</t>
  </si>
  <si>
    <t>2022A CF (EGRX US)</t>
  </si>
  <si>
    <t>Eagle Pharmaceuticals Inc/DE</t>
  </si>
  <si>
    <t>2024A CF (002404 CH)</t>
  </si>
  <si>
    <t>ZheJiang Jiaxin Silk Corp Ltd</t>
  </si>
  <si>
    <t>0345295D US Equity</t>
  </si>
  <si>
    <t>Company News (0345295D US)</t>
  </si>
  <si>
    <t>Yottaa Inc</t>
  </si>
  <si>
    <t>1447 TT Equity</t>
  </si>
  <si>
    <t>2025C3 CF (1447 TT)</t>
  </si>
  <si>
    <t>Li Peng Enterprise Co Ltd</t>
  </si>
  <si>
    <t>BWSL IN Equity</t>
  </si>
  <si>
    <t>2025S1 CF (BWSL IN)</t>
  </si>
  <si>
    <t>Banswara Syntex Ltd</t>
  </si>
  <si>
    <t>2024A CF (SPG US)</t>
  </si>
  <si>
    <t>Simon Property Group Inc</t>
  </si>
  <si>
    <t>Estimate (BA US)</t>
  </si>
  <si>
    <t>HCLT IN Equity</t>
  </si>
  <si>
    <t>Estimate (HCLT IN)</t>
  </si>
  <si>
    <t>HCL Technologies Ltd</t>
  </si>
  <si>
    <t>JBTM US Equity</t>
  </si>
  <si>
    <t>JBT Marel Corp</t>
  </si>
  <si>
    <t>AMKR US Equity</t>
  </si>
  <si>
    <t>Estimate (AMKR US)</t>
  </si>
  <si>
    <t>Amkor Technology Inc</t>
  </si>
  <si>
    <t>2025A CF (ALAB US)</t>
  </si>
  <si>
    <t>3711 TT Equity</t>
  </si>
  <si>
    <t>ASE Technology Holding Co Ltd</t>
  </si>
  <si>
    <t>AMD US Equity</t>
  </si>
  <si>
    <t>2024A CF (AMD US)</t>
  </si>
  <si>
    <t>Advanced Micro Devices Inc</t>
  </si>
  <si>
    <t>ARM US Equity</t>
  </si>
  <si>
    <t>2026Q3 CF (ARM US)</t>
  </si>
  <si>
    <t>ARM Holdings PLC</t>
  </si>
  <si>
    <t>2022Q2 CF (CELPQ US)</t>
  </si>
  <si>
    <t>Dell Marketing LP</t>
  </si>
  <si>
    <t>0832584D US Equity</t>
  </si>
  <si>
    <t>Gustafson Septic Service Inc</t>
  </si>
  <si>
    <t>0867794D US Equity</t>
  </si>
  <si>
    <t>Flogistix LP</t>
  </si>
  <si>
    <t>0926549D US Equity</t>
  </si>
  <si>
    <t>Greg's Welding Inc</t>
  </si>
  <si>
    <t>7606315Z US Equity</t>
  </si>
  <si>
    <t>SHI International Corp</t>
  </si>
  <si>
    <t>Estimate (2356 TT)</t>
  </si>
  <si>
    <t>Inventec Corp</t>
  </si>
  <si>
    <t>Estimate (INTC US)</t>
  </si>
  <si>
    <t>Intel Corp</t>
  </si>
  <si>
    <t>2382 TT Equity</t>
  </si>
  <si>
    <t>Estimate (2382 TT)</t>
  </si>
  <si>
    <t>Quanta Computer Inc</t>
  </si>
  <si>
    <t>3231 TT Equity</t>
  </si>
  <si>
    <t>Estimate (3231 TT)</t>
  </si>
  <si>
    <t>Wistron Corp</t>
  </si>
  <si>
    <t>2024A CF (7751 JP)</t>
  </si>
  <si>
    <t>2025A CF (EMBASSY IN)</t>
  </si>
  <si>
    <t>Embassy Office Parks REIT</t>
  </si>
  <si>
    <t>AKAM US Equity</t>
  </si>
  <si>
    <t>Estimate (AKAM US)</t>
  </si>
  <si>
    <t>Akamai Technologies Inc</t>
  </si>
  <si>
    <t>PLTR US Equity</t>
  </si>
  <si>
    <t>Estimate (PLTR US)</t>
  </si>
  <si>
    <t>Palantir Technologies Inc</t>
  </si>
  <si>
    <t>0581607D SS Equity</t>
  </si>
  <si>
    <t>Company News (0581607D SS)</t>
  </si>
  <si>
    <t>QlikTech International AB</t>
  </si>
  <si>
    <t>1525385D US Equity</t>
  </si>
  <si>
    <t>Media News (1525385D US)</t>
  </si>
  <si>
    <t>Workato Inc</t>
  </si>
  <si>
    <t>2025A CF (HSY US)</t>
  </si>
  <si>
    <t>Hershey Co/The</t>
  </si>
  <si>
    <t>TXT US Equity</t>
  </si>
  <si>
    <t>Estimate (TXT US)</t>
  </si>
  <si>
    <t>Textron Inc</t>
  </si>
  <si>
    <t>LCII US Equity</t>
  </si>
  <si>
    <t>2025A CF (LCII US)</t>
  </si>
  <si>
    <t>LCI Industries</t>
  </si>
  <si>
    <t>WAB US Equity</t>
  </si>
  <si>
    <t>Estimate (WAB US)</t>
  </si>
  <si>
    <t>Westinghouse Air Brake Technologies Corp</t>
  </si>
  <si>
    <t>ERICB SS Equity</t>
  </si>
  <si>
    <t>Estimate (ERICB SS)</t>
  </si>
  <si>
    <t>Telefonaktiebolaget LM Ericsson</t>
  </si>
  <si>
    <t>2022A CF (EMBASSY IN)</t>
  </si>
  <si>
    <t>MCFE US Equity</t>
  </si>
  <si>
    <t>Company News (MCFE US)</t>
  </si>
  <si>
    <t>McAfee Corp</t>
  </si>
  <si>
    <t>2023S1 CF (HTG LN)</t>
  </si>
  <si>
    <t>Hunting PLC</t>
  </si>
  <si>
    <t>Pegasystems Inc</t>
  </si>
  <si>
    <t>AMS SM Equity</t>
  </si>
  <si>
    <t>Estimate (AMS SM)</t>
  </si>
  <si>
    <t>Amadeus IT Group SA</t>
  </si>
  <si>
    <t>6063 JP Equity</t>
  </si>
  <si>
    <t>2024A CF (6063 JP)</t>
  </si>
  <si>
    <t>Emergency Assistance Japan Co Ltd</t>
  </si>
  <si>
    <t>000997 CH Equity</t>
  </si>
  <si>
    <t>2025S1 CF (000997 CH)</t>
  </si>
  <si>
    <t>Newland Digital Technology Co Ltd</t>
  </si>
  <si>
    <t>Estimate (RPRX US)</t>
  </si>
  <si>
    <t>Royalty Pharma PLC</t>
  </si>
  <si>
    <t>ERF FP Equity</t>
  </si>
  <si>
    <t>Estimate (ERF FP)</t>
  </si>
  <si>
    <t>Eurofins Scientific SE</t>
  </si>
  <si>
    <t>LGND US Equity</t>
  </si>
  <si>
    <t>Estimate (LGND US)</t>
  </si>
  <si>
    <t>Ligand Pharmaceuticals Inc</t>
  </si>
  <si>
    <t>0730846D US Equity</t>
  </si>
  <si>
    <t>Iconic Therapeutics Inc</t>
  </si>
  <si>
    <t>2022A CF (ERC NA)</t>
  </si>
  <si>
    <t>ER Capital NV</t>
  </si>
  <si>
    <t>Company News (0090860D US)</t>
  </si>
  <si>
    <t>CQG Inc</t>
  </si>
  <si>
    <t>2024A CF (VRRM US)</t>
  </si>
  <si>
    <t>Verra Mobility Corp</t>
  </si>
  <si>
    <t>AENA SM Equity</t>
  </si>
  <si>
    <t>Estimate (AENA SM)</t>
  </si>
  <si>
    <t>Aena SME SA</t>
  </si>
  <si>
    <t>RKT LN Equity</t>
  </si>
  <si>
    <t>Estimate (RKT LN)</t>
  </si>
  <si>
    <t>Reckitt Benckiser Group PLC</t>
  </si>
  <si>
    <t>2024A CF (ACCL US)</t>
  </si>
  <si>
    <t>Govt of the Hong Kong Special Admin Region of the People Republic of China/The</t>
  </si>
  <si>
    <t>2280668D HK Equity</t>
  </si>
  <si>
    <t>Vistra Group Holdings Bvi Ltd</t>
  </si>
  <si>
    <t>CSX US Equity</t>
  </si>
  <si>
    <t>Estimate (CSX US)</t>
  </si>
  <si>
    <t>CSX Corp</t>
  </si>
  <si>
    <t>2445213D US Equity</t>
  </si>
  <si>
    <t>2021A CF (ALTO US)</t>
  </si>
  <si>
    <t>Calgren Renewable Fuels LLC</t>
  </si>
  <si>
    <t>2024Q2 CF (CNR CN)</t>
  </si>
  <si>
    <t>Estimate (SANM US)</t>
  </si>
  <si>
    <t>Sanmina Corp</t>
  </si>
  <si>
    <t>2454 TT Equity</t>
  </si>
  <si>
    <t>Estimate (2454 TT)</t>
  </si>
  <si>
    <t>MediaTek Inc</t>
  </si>
  <si>
    <t>GFS US Equity</t>
  </si>
  <si>
    <t>Estimate (GFS US)</t>
  </si>
  <si>
    <t>GLOBALFOUNDRIES Inc</t>
  </si>
  <si>
    <t>PTSN IJ Equity</t>
  </si>
  <si>
    <t>2025C3 CF (PTSN IJ)</t>
  </si>
  <si>
    <t>Sat Nusapersada Tbk PT</t>
  </si>
  <si>
    <t>Company News (AGR US)</t>
  </si>
  <si>
    <t>Ferguson Electric Co Inc</t>
  </si>
  <si>
    <t>354061Z US Equity</t>
  </si>
  <si>
    <t>MA Mortenson Co</t>
  </si>
  <si>
    <t>4148197Z US Equity</t>
  </si>
  <si>
    <t>Northline Utilities LLC</t>
  </si>
  <si>
    <t>634750Z US Equity</t>
  </si>
  <si>
    <t>Stuart C Irby Co LLC</t>
  </si>
  <si>
    <t>7011 JP Equity</t>
  </si>
  <si>
    <t>2023A CF (AGR US)</t>
  </si>
  <si>
    <t>Mitsubishi Heavy Industries Ltd</t>
  </si>
  <si>
    <t>General Electric Co</t>
  </si>
  <si>
    <t>Estimate (RTX US)</t>
  </si>
  <si>
    <t>2025Q3 CF (AAL US)</t>
  </si>
  <si>
    <t>Republic Airways Holdings Inc/Indiana</t>
  </si>
  <si>
    <t>7531668Z US Equity</t>
  </si>
  <si>
    <t>2025Q2 CF (AAL US)</t>
  </si>
  <si>
    <t>Republic Airlines Inc</t>
  </si>
  <si>
    <t>CULP US Equity</t>
  </si>
  <si>
    <t>Estimate (CULP US)</t>
  </si>
  <si>
    <t>Culp Inc</t>
  </si>
  <si>
    <t>BYND US Equity</t>
  </si>
  <si>
    <t>Estimate (BYND US)</t>
  </si>
  <si>
    <t>Beyond Meat Inc</t>
  </si>
  <si>
    <t>000977 CH Equity</t>
  </si>
  <si>
    <t>Estimate (000977 CH)</t>
  </si>
  <si>
    <t>IEIT Systems Co Ltd</t>
  </si>
  <si>
    <t>002189 CH Equity</t>
  </si>
  <si>
    <t>Company News (002189 CH)</t>
  </si>
  <si>
    <t>Costar Group Co Ltd</t>
  </si>
  <si>
    <t>0834326D US Equity</t>
  </si>
  <si>
    <t>Company News (IT US)</t>
  </si>
  <si>
    <t>Laserfiche</t>
  </si>
  <si>
    <t>1647533D US Equity</t>
  </si>
  <si>
    <t>Company News (1647533D US)</t>
  </si>
  <si>
    <t>AuditBoard Inc</t>
  </si>
  <si>
    <t>KLAC US Equity</t>
  </si>
  <si>
    <t>Estimate (KLAC US)</t>
  </si>
  <si>
    <t>KLA Corp</t>
  </si>
  <si>
    <t>101490 KS Equity</t>
  </si>
  <si>
    <t>Estimate (101490 KS)</t>
  </si>
  <si>
    <t>S&amp;S Tech Corp</t>
  </si>
  <si>
    <t>3680 TT Equity</t>
  </si>
  <si>
    <t>Estimate (3680 TT)</t>
  </si>
  <si>
    <t>Gudeng Precision Industrial Co Ltd</t>
  </si>
  <si>
    <t>381620 KS Equity</t>
  </si>
  <si>
    <t>2024C2 CF (381620 KS)</t>
  </si>
  <si>
    <t>Zenix Robotics Co Ltd</t>
  </si>
  <si>
    <t>603929 CH Equity</t>
  </si>
  <si>
    <t>2022A CF (603929 CH)</t>
  </si>
  <si>
    <t>L&amp;K Engineering Suzhou Co Ltd</t>
  </si>
  <si>
    <t>Company News (EBIXQ US)</t>
  </si>
  <si>
    <t>Docupace Technologies LLC</t>
  </si>
  <si>
    <t>1380631D IN Equity</t>
  </si>
  <si>
    <t>State of Andhra Pradesh India</t>
  </si>
  <si>
    <t>1433057D IN Equity</t>
  </si>
  <si>
    <t>State of West Bengal India</t>
  </si>
  <si>
    <t>293136Z US Equity</t>
  </si>
  <si>
    <t>RegEd Inc</t>
  </si>
  <si>
    <t>3055375Z US Equity</t>
  </si>
  <si>
    <t>Cannex</t>
  </si>
  <si>
    <t>2024A CF (CWT US)</t>
  </si>
  <si>
    <t>City of Commerce CA</t>
  </si>
  <si>
    <t>8665MF US Equity</t>
  </si>
  <si>
    <t>City of Hawthorne CA</t>
  </si>
  <si>
    <t>2026Q2 CF (CXM US)</t>
  </si>
  <si>
    <t>Sprinklr Inc</t>
  </si>
  <si>
    <t>ESBA US Equity</t>
  </si>
  <si>
    <t>2023A CF (ESBA US)</t>
  </si>
  <si>
    <t>Empire State Realty OP LP</t>
  </si>
  <si>
    <t>ESRT US Equity</t>
  </si>
  <si>
    <t>2024A CF (ESRT US)</t>
  </si>
  <si>
    <t>Empire State Realty Trust Inc</t>
  </si>
  <si>
    <t>2023Q3 CF (INFA US)</t>
  </si>
  <si>
    <t>Company News (BRKR US)</t>
  </si>
  <si>
    <t>European Organization For Nuclear Research</t>
  </si>
  <si>
    <t>0455979D LN Equity</t>
  </si>
  <si>
    <t>University of Warwick</t>
  </si>
  <si>
    <t>0706555D US Equity</t>
  </si>
  <si>
    <t>Stanford Linear Accelerator</t>
  </si>
  <si>
    <t>0837797D BB Equity</t>
  </si>
  <si>
    <t>Brussels Airport Co SA</t>
  </si>
  <si>
    <t>1025820Z LN Equity</t>
  </si>
  <si>
    <t>University of Birmingham/The</t>
  </si>
  <si>
    <t>WSR US Equity</t>
  </si>
  <si>
    <t>2024A CF (WSR US)</t>
  </si>
  <si>
    <t>Whitestone REIT</t>
  </si>
  <si>
    <t>IVT US Equity</t>
  </si>
  <si>
    <t>2022A CF (IVT US)</t>
  </si>
  <si>
    <t>InvenTrust Properties Corp</t>
  </si>
  <si>
    <t>OTEX CN Equity</t>
  </si>
  <si>
    <t>2026Q2 CF (OTEX CN)</t>
  </si>
  <si>
    <t>Open Text Corp</t>
  </si>
  <si>
    <t>2025A CF (SWK US)</t>
  </si>
  <si>
    <t>CEC GR Equity</t>
  </si>
  <si>
    <t>Estimate (CEC GR)</t>
  </si>
  <si>
    <t>CECONOMY AG</t>
  </si>
  <si>
    <t>2025A CF (NOC US)</t>
  </si>
  <si>
    <t>Estimate (NOC US)</t>
  </si>
  <si>
    <t>2025S1 CF (002971 CH)</t>
  </si>
  <si>
    <t>Hubei Heyuan Gas Co Ltd</t>
  </si>
  <si>
    <t>300218 CH Equity</t>
  </si>
  <si>
    <t>2022A CF (300218 CH)</t>
  </si>
  <si>
    <t>Anhui Anli Material Technology Co Ltd</t>
  </si>
  <si>
    <t>3118 TT Equity</t>
  </si>
  <si>
    <t>2024A CF (3118 TT)</t>
  </si>
  <si>
    <t>Level Biotechnology Inc</t>
  </si>
  <si>
    <t>4572 JP Equity</t>
  </si>
  <si>
    <t>2024A CF (4572 JP)</t>
  </si>
  <si>
    <t>Carna Biosciences Inc</t>
  </si>
  <si>
    <t>6598 TT Equity</t>
  </si>
  <si>
    <t>2023A CF (6598 TT)</t>
  </si>
  <si>
    <t>Applied BioCode Corp</t>
  </si>
  <si>
    <t>2022A CF (4569 JP)</t>
  </si>
  <si>
    <t>Kyorin Pharmaceutical Co Ltd</t>
  </si>
  <si>
    <t>2025Q4 CF (0517476D US)</t>
  </si>
  <si>
    <t>STG Logistics Inc</t>
  </si>
  <si>
    <t>1267523D US Equity</t>
  </si>
  <si>
    <t>Company News (UNP US)</t>
  </si>
  <si>
    <t>National Conference of Firemen &amp; Oilers District of Local 32BJ/SEIU</t>
  </si>
  <si>
    <t>1843503D US Equity</t>
  </si>
  <si>
    <t>Jaguar Transport Holdings LLC</t>
  </si>
  <si>
    <t>ARCH US Equity</t>
  </si>
  <si>
    <t>2023A CF (ARCH US)</t>
  </si>
  <si>
    <t>Arch Resources Inc</t>
  </si>
  <si>
    <t>CRC TB Equity</t>
  </si>
  <si>
    <t>2022A CF (CRC TB)</t>
  </si>
  <si>
    <t>Central Retail Corp PCL</t>
  </si>
  <si>
    <t>2024A CF (600626 CH)</t>
  </si>
  <si>
    <t>Shanghai Shenda Co Ltd</t>
  </si>
  <si>
    <t>HOUSE PM Equity</t>
  </si>
  <si>
    <t>2021A CF (HOUSE PM)</t>
  </si>
  <si>
    <t>8990 Holdings Inc</t>
  </si>
  <si>
    <t>2026Q1 CF (MOG/A US)</t>
  </si>
  <si>
    <t>2025A CF (MOG/A US)</t>
  </si>
  <si>
    <t>Estimate (MOG/A US)</t>
  </si>
  <si>
    <t>2024A CF (CLDX US)</t>
  </si>
  <si>
    <t>Rockefeller University/The</t>
  </si>
  <si>
    <t>0834632D US Equity</t>
  </si>
  <si>
    <t>2023A CF (CLDX US)</t>
  </si>
  <si>
    <t>United States National Institutes of Health</t>
  </si>
  <si>
    <t>GILD US Equity</t>
  </si>
  <si>
    <t>Gilead Sciences Inc</t>
  </si>
  <si>
    <t>2025A CF (CHD US)</t>
  </si>
  <si>
    <t>Estimate (CHD US)</t>
  </si>
  <si>
    <t>BABA US Equity</t>
  </si>
  <si>
    <t>Alibaba Group Holding Ltd</t>
  </si>
  <si>
    <t>WBA US Equity</t>
  </si>
  <si>
    <t>Walgreens Boots Alliance Inc</t>
  </si>
  <si>
    <t>SCSC US Equity</t>
  </si>
  <si>
    <t>Estimate (ZBRA US)</t>
  </si>
  <si>
    <t>ScanSource Inc</t>
  </si>
  <si>
    <t>Estimate (DE US)</t>
  </si>
  <si>
    <t>Deere &amp; Co</t>
  </si>
  <si>
    <t>Company News (NINE CN)</t>
  </si>
  <si>
    <t>Nine Mile Metals Ltd</t>
  </si>
  <si>
    <t>SOLR CN Equity</t>
  </si>
  <si>
    <t>Company News (SOLR CN)</t>
  </si>
  <si>
    <t>Solar Alliance Energy Inc</t>
  </si>
  <si>
    <t>2025Q3 CF (DRS US)</t>
  </si>
  <si>
    <t>Estimate (DRS US)</t>
  </si>
  <si>
    <t>BA/ LN Equity</t>
  </si>
  <si>
    <t>BAE Systems PLC</t>
  </si>
  <si>
    <t>CAT US Equity</t>
  </si>
  <si>
    <t>Estimate (CAT US)</t>
  </si>
  <si>
    <t>Caterpillar Inc</t>
  </si>
  <si>
    <t>000990 KS Equity</t>
  </si>
  <si>
    <t>Estimate (000990 KS)</t>
  </si>
  <si>
    <t>DB HiTek Co Ltd</t>
  </si>
  <si>
    <t>United Parcel Service Inc</t>
  </si>
  <si>
    <t>Estimate (MELE BB)</t>
  </si>
  <si>
    <t>Melexis NV</t>
  </si>
  <si>
    <t>GT US Equity</t>
  </si>
  <si>
    <t>Estimate (GT US)</t>
  </si>
  <si>
    <t>Goodyear Tire &amp; Rubber Co/The</t>
  </si>
  <si>
    <t>1470204D US Equity</t>
  </si>
  <si>
    <t>Company News (CW US)</t>
  </si>
  <si>
    <t>X-Energy LLC</t>
  </si>
  <si>
    <t>1580032D US Equity</t>
  </si>
  <si>
    <t>Sintavia LLC</t>
  </si>
  <si>
    <t>Estimate (JNJ US)</t>
  </si>
  <si>
    <t>CAH US Equity</t>
  </si>
  <si>
    <t>Cardinal Health Inc</t>
  </si>
  <si>
    <t>2024A CF (OPCH US)</t>
  </si>
  <si>
    <t>2024A CF (ASRT US)</t>
  </si>
  <si>
    <t>2025Q2 CF (CI US)</t>
  </si>
  <si>
    <t>0059668D CN Equity</t>
  </si>
  <si>
    <t>Tribute Pharmaceuticals Canada Ltd</t>
  </si>
  <si>
    <t>2025A CF (ARAY US)</t>
  </si>
  <si>
    <t>China Isotope &amp; Radiation Corp</t>
  </si>
  <si>
    <t>4745 TT Equity</t>
  </si>
  <si>
    <t>2024A CF (4745 TT)</t>
  </si>
  <si>
    <t>Cowealth Medical Holding Co Ltd</t>
  </si>
  <si>
    <t>APHS IN Equity</t>
  </si>
  <si>
    <t>Company News (ARAY US)</t>
  </si>
  <si>
    <t>Apollo Hospitals Enterprise Ltd</t>
  </si>
  <si>
    <t>DIMO SL Equity</t>
  </si>
  <si>
    <t>2022A CF (DIMO SL)</t>
  </si>
  <si>
    <t>Diesel &amp; Motor Engineering PLC</t>
  </si>
  <si>
    <t>ICC US Equity</t>
  </si>
  <si>
    <t>2023Q2 CF (ICC US)</t>
  </si>
  <si>
    <t>Genesiscare USA Holdings Inc</t>
  </si>
  <si>
    <t>0810846D US Equity</t>
  </si>
  <si>
    <t>2025Q2 CF (DAR US)</t>
  </si>
  <si>
    <t>Diamond Green Diesel Holdings LLC</t>
  </si>
  <si>
    <t>000915 CH Equity</t>
  </si>
  <si>
    <t>2023A CF (000915 CH)</t>
  </si>
  <si>
    <t>Shandong WIT Dyne Health Co Ltd</t>
  </si>
  <si>
    <t>2225120D US Equity</t>
  </si>
  <si>
    <t>Company News (DAR US)</t>
  </si>
  <si>
    <t>Cattlemen's Heritage Beef Co LLC</t>
  </si>
  <si>
    <t>9891091Z US Equity</t>
  </si>
  <si>
    <t>Panda Restaurant Group Inc</t>
  </si>
  <si>
    <t>920121 CH Equity</t>
  </si>
  <si>
    <t>2025S1 CF (920121 CH)</t>
  </si>
  <si>
    <t>Suzhou Jiangtian Packing Technology Co Ltd</t>
  </si>
  <si>
    <t>3611 TT Equity</t>
  </si>
  <si>
    <t>2024A CF (3611 TT)</t>
  </si>
  <si>
    <t>TSC Auto ID Technology Co Ltd</t>
  </si>
  <si>
    <t>CNXN US Equity</t>
  </si>
  <si>
    <t>Estimate (CNXN US)</t>
  </si>
  <si>
    <t>PC Connection Inc</t>
  </si>
  <si>
    <t>2024Q4 CF (PAR US)</t>
  </si>
  <si>
    <t>PAR Technology Corp</t>
  </si>
  <si>
    <t>AAT US Equity</t>
  </si>
  <si>
    <t>2024A CF (AAT US)</t>
  </si>
  <si>
    <t>American Assets Trust Inc</t>
  </si>
  <si>
    <t>2024A CF (TTI US)</t>
  </si>
  <si>
    <t>Eos Energy Enterprises Inc</t>
  </si>
  <si>
    <t>2024Q2 CF (FLCM US)</t>
  </si>
  <si>
    <t>Fulcrum Bioenergy Inc</t>
  </si>
  <si>
    <t>Yale University</t>
  </si>
  <si>
    <t>ES US Equity</t>
  </si>
  <si>
    <t>2021A CF (ES US)</t>
  </si>
  <si>
    <t>Eversource Energy</t>
  </si>
  <si>
    <t>IBE SM Equity</t>
  </si>
  <si>
    <t>2021A CF (IBE SM)</t>
  </si>
  <si>
    <t>Iberdrola SA</t>
  </si>
  <si>
    <t>NG/ LN Equity</t>
  </si>
  <si>
    <t>2021A CF (NG/ LN)</t>
  </si>
  <si>
    <t>National Grid PLC</t>
  </si>
  <si>
    <t>603400 CH Equity</t>
  </si>
  <si>
    <t>2024A CF (603400 CH)</t>
  </si>
  <si>
    <t>Suzhou Huazhijie Telecom Co Ltd</t>
  </si>
  <si>
    <t>669 HK Equity</t>
  </si>
  <si>
    <t>Estimate (669 HK)</t>
  </si>
  <si>
    <t>Techtronic Industries Co Ltd</t>
  </si>
  <si>
    <t>006400 KS Equity</t>
  </si>
  <si>
    <t>Estimate (006400 KS)</t>
  </si>
  <si>
    <t>Samsung SDI Co Ltd</t>
  </si>
  <si>
    <t>VNO US Equity</t>
  </si>
  <si>
    <t>2022A CF (VNO US)</t>
  </si>
  <si>
    <t>Vornado Realty Trust</t>
  </si>
  <si>
    <t>Santa Clara Valley Water District</t>
  </si>
  <si>
    <t>52776MF US Equity</t>
  </si>
  <si>
    <t>Stockton-East Water District</t>
  </si>
  <si>
    <t>12868MF US Equity</t>
  </si>
  <si>
    <t>City of Bakersfield CA</t>
  </si>
  <si>
    <t>13648MF US Equity</t>
  </si>
  <si>
    <t>City of Torrance CA</t>
  </si>
  <si>
    <t>27234MF US Equity</t>
  </si>
  <si>
    <t>San Francisco City &amp; County Public Utilities Commission</t>
  </si>
  <si>
    <t>2024A CF (QCOM US)</t>
  </si>
  <si>
    <t>QUALCOMM Inc</t>
  </si>
  <si>
    <t>MUST SP Equity</t>
  </si>
  <si>
    <t>2024A CF (MUST SP)</t>
  </si>
  <si>
    <t>Manulife US Real Estate Investment Trust</t>
  </si>
  <si>
    <t>2023A CF (AAT US)</t>
  </si>
  <si>
    <t>FMTY14 MM Equity</t>
  </si>
  <si>
    <t>2024A CF (FMTY14 MM)</t>
  </si>
  <si>
    <t>Fibra MTY SAPI de CV</t>
  </si>
  <si>
    <t>LMAX IN Equity</t>
  </si>
  <si>
    <t>2025A CF (LMAX IN)</t>
  </si>
  <si>
    <t>Lumax Auto Technologies Ltd</t>
  </si>
  <si>
    <t>1695300D US Equity</t>
  </si>
  <si>
    <t>Company News (1695300D US)</t>
  </si>
  <si>
    <t>Clarity AI Inc</t>
  </si>
  <si>
    <t>2067225D US Equity</t>
  </si>
  <si>
    <t>Company News (2067225D US)</t>
  </si>
  <si>
    <t>ZipHQ Inc</t>
  </si>
  <si>
    <t>2025A CF (CTS US)</t>
  </si>
  <si>
    <t>Toyota Motor Corp</t>
  </si>
  <si>
    <t>CMI US Equity</t>
  </si>
  <si>
    <t>Cummins Inc</t>
  </si>
  <si>
    <t>ABBN SW Equity</t>
  </si>
  <si>
    <t>Estimate (CTS US)</t>
  </si>
  <si>
    <t>ABB Ltd</t>
  </si>
  <si>
    <t>GM US Equity</t>
  </si>
  <si>
    <t>General Motors Co</t>
  </si>
  <si>
    <t>STLD US Equity</t>
  </si>
  <si>
    <t>Estimate (STLD US)</t>
  </si>
  <si>
    <t>Steel Dynamics Inc</t>
  </si>
  <si>
    <t>KOP US Equity</t>
  </si>
  <si>
    <t>Estimate (KOP US)</t>
  </si>
  <si>
    <t>Koppers Holdings Inc</t>
  </si>
  <si>
    <t>Trinity Industries Inc</t>
  </si>
  <si>
    <t>TKA GR Equity</t>
  </si>
  <si>
    <t>Estimate (TKA GR)</t>
  </si>
  <si>
    <t>thyssenkrupp AG</t>
  </si>
  <si>
    <t>CRS US Equity</t>
  </si>
  <si>
    <t>Estimate (CRS US)</t>
  </si>
  <si>
    <t>Carpenter Technology Corp</t>
  </si>
  <si>
    <t>Estimate (HWM US)</t>
  </si>
  <si>
    <t>GPK US Equity</t>
  </si>
  <si>
    <t>Estimate (GPK US)</t>
  </si>
  <si>
    <t>Graphic Packaging Holding Co</t>
  </si>
  <si>
    <t>SY1 GR Equity</t>
  </si>
  <si>
    <t>Estimate (SY1 GR)</t>
  </si>
  <si>
    <t>Symrise AG</t>
  </si>
  <si>
    <t>OPITQ US Equity</t>
  </si>
  <si>
    <t>2025Q2 CF (OPITQ US)</t>
  </si>
  <si>
    <t>Office Properties Income Trust</t>
  </si>
  <si>
    <t>002264 CH Equity</t>
  </si>
  <si>
    <t>2024A CF (002264 CH)</t>
  </si>
  <si>
    <t>New Huadu Technology Co Ltd</t>
  </si>
  <si>
    <t>1506059D US Equity</t>
  </si>
  <si>
    <t>Company News (CHD US)</t>
  </si>
  <si>
    <t>Focus IP Inc</t>
  </si>
  <si>
    <t>Company News (0860231D US)</t>
  </si>
  <si>
    <t>FeeX</t>
  </si>
  <si>
    <t>4765 JP Equity</t>
  </si>
  <si>
    <t>2025A CF (4765 JP)</t>
  </si>
  <si>
    <t>SBI Global Asset Management Co Ltd</t>
  </si>
  <si>
    <t>SKLT IJ Equity</t>
  </si>
  <si>
    <t>2024A CF (SKLT IJ)</t>
  </si>
  <si>
    <t>Sekar Laut Tbk PT</t>
  </si>
  <si>
    <t>TESS US Equity</t>
  </si>
  <si>
    <t>2023Q3 CF (TESS US)</t>
  </si>
  <si>
    <t>TESSCO Technologies Inc</t>
  </si>
  <si>
    <t>TCS IN Equity</t>
  </si>
  <si>
    <t>Estimate (TCS IN)</t>
  </si>
  <si>
    <t>Tata Consultancy Services Ltd</t>
  </si>
  <si>
    <t>JNPR US Equity</t>
  </si>
  <si>
    <t>Estimate (JNPR US)</t>
  </si>
  <si>
    <t>Juniper Networks Inc</t>
  </si>
  <si>
    <t>NXPI US Equity</t>
  </si>
  <si>
    <t>Estimate (NXPI US)</t>
  </si>
  <si>
    <t>NXP Semiconductors NV</t>
  </si>
  <si>
    <t>ON Semiconductor Corp</t>
  </si>
  <si>
    <t>2026Q3 CF (3565 JP)</t>
  </si>
  <si>
    <t>Ascentech KK</t>
  </si>
  <si>
    <t>Company News (ARW US)</t>
  </si>
  <si>
    <t>2021A CF (ATO FP)</t>
  </si>
  <si>
    <t>2022Q3 CF (CDW US)</t>
  </si>
  <si>
    <t>CFLT US Equity</t>
  </si>
  <si>
    <t>2023A CF (CFLT US)</t>
  </si>
  <si>
    <t>Confluent Inc</t>
  </si>
  <si>
    <t>Estimate (DLB US)</t>
  </si>
  <si>
    <t>6758 JP Equity</t>
  </si>
  <si>
    <t>Sony Group Corp</t>
  </si>
  <si>
    <t>NFLX US Equity</t>
  </si>
  <si>
    <t>Netflix Inc</t>
  </si>
  <si>
    <t>2023C3 CF (002630 KS)</t>
  </si>
  <si>
    <t>Orientbio Inc</t>
  </si>
  <si>
    <t>1902504D US Equity</t>
  </si>
  <si>
    <t>Company News (9980328D US)</t>
  </si>
  <si>
    <t>Segterra Inc</t>
  </si>
  <si>
    <t>2081497D US Equity</t>
  </si>
  <si>
    <t>Pinnacle Fertility Inc</t>
  </si>
  <si>
    <t>2022A CF (3118 TT)</t>
  </si>
  <si>
    <t>4132 TT Equity</t>
  </si>
  <si>
    <t>2022A CF (4132 TT)</t>
  </si>
  <si>
    <t>Golden Biotechnology Corp</t>
  </si>
  <si>
    <t>2024A CF (AEYE US)</t>
  </si>
  <si>
    <t>AudioEye Inc</t>
  </si>
  <si>
    <t>REED US Equity</t>
  </si>
  <si>
    <t>2025Q3 CF (REED US)</t>
  </si>
  <si>
    <t>Reed's Inc</t>
  </si>
  <si>
    <t>2024A CF (CMCT US)</t>
  </si>
  <si>
    <t>Kaiser Foundation Health Plan Inc</t>
  </si>
  <si>
    <t>0763849D US Equity</t>
  </si>
  <si>
    <t>3 Arts Entertainment Inc</t>
  </si>
  <si>
    <t>FXLV US Equity</t>
  </si>
  <si>
    <t>F45 Training Holdings Inc</t>
  </si>
  <si>
    <t>9277818Z US Equity</t>
  </si>
  <si>
    <t>O'Gara Coach Co LLC</t>
  </si>
  <si>
    <t>2023Q4 CF (EBIXQ US)</t>
  </si>
  <si>
    <t>FAIR Health Inc</t>
  </si>
  <si>
    <t>0849733D US Equity</t>
  </si>
  <si>
    <t>365 Operating Co LLC</t>
  </si>
  <si>
    <t>1236057D US Equity</t>
  </si>
  <si>
    <t>Zakipoint Health Inc</t>
  </si>
  <si>
    <t>3574930Z US Equity</t>
  </si>
  <si>
    <t>Veracode Inc</t>
  </si>
  <si>
    <t>7538140Z US Equity</t>
  </si>
  <si>
    <t>Craftsman Printing Inc</t>
  </si>
  <si>
    <t>2025C2 CF (AMAT US)</t>
  </si>
  <si>
    <t>MU US Equity</t>
  </si>
  <si>
    <t>Estimate (AMAT US)</t>
  </si>
  <si>
    <t>Micron Technology Inc</t>
  </si>
  <si>
    <t>000660 KS Equity</t>
  </si>
  <si>
    <t>SK hynix Inc</t>
  </si>
  <si>
    <t>Estimate (LMT US)</t>
  </si>
  <si>
    <t>7707 JP Equity</t>
  </si>
  <si>
    <t>2025A CF (7707 JP)</t>
  </si>
  <si>
    <t>Precision System Science Co Ltd</t>
  </si>
  <si>
    <t>IMI LN Equity</t>
  </si>
  <si>
    <t>Estimate (IMI LN)</t>
  </si>
  <si>
    <t>IMI PLC</t>
  </si>
  <si>
    <t>Teledyne Technologies Inc</t>
  </si>
  <si>
    <t>1763071D US Equity</t>
  </si>
  <si>
    <t>TetraScience Inc</t>
  </si>
  <si>
    <t>2025A CF (OPLN US)</t>
  </si>
  <si>
    <t>JD Power</t>
  </si>
  <si>
    <t>29662Z US Equity</t>
  </si>
  <si>
    <t>Kelley Blue Book Co Inc</t>
  </si>
  <si>
    <t>CARS US Equity</t>
  </si>
  <si>
    <t>Cars.com Inc</t>
  </si>
  <si>
    <t>CVNA US Equity</t>
  </si>
  <si>
    <t>2023A CF (OPLN US)</t>
  </si>
  <si>
    <t>Carvana Co</t>
  </si>
  <si>
    <t>EXPN LN Equity</t>
  </si>
  <si>
    <t>Experian PLC</t>
  </si>
  <si>
    <t>2022A CF (6208 TT)</t>
  </si>
  <si>
    <t>Highlight Tech Corp</t>
  </si>
  <si>
    <t>2359 TT Equity</t>
  </si>
  <si>
    <t>2024A CF (2359 TT)</t>
  </si>
  <si>
    <t>Solomon Technology Corp</t>
  </si>
  <si>
    <t>301252 CH Equity</t>
  </si>
  <si>
    <t>2022A CF (301252 CH)</t>
  </si>
  <si>
    <t>Zhejiang Tongxing Technology Co Ltd</t>
  </si>
  <si>
    <t>2025A CF (992 HK)</t>
  </si>
  <si>
    <t>2025Q1 CF (CNXN US)</t>
  </si>
  <si>
    <t>2022C2 CF (079960 KS)</t>
  </si>
  <si>
    <t>Dongyang E&amp;P Inc</t>
  </si>
  <si>
    <t>2025A CF (KFRC US)</t>
  </si>
  <si>
    <t>TWOUQ US Equity</t>
  </si>
  <si>
    <t>2024Q3 CF (TWOUQ US)</t>
  </si>
  <si>
    <t>2U LLC</t>
  </si>
  <si>
    <t>2025A CF (REXR US)</t>
  </si>
  <si>
    <t>Tireco Inc</t>
  </si>
  <si>
    <t>1478034D ID Equity</t>
  </si>
  <si>
    <t>Zenith Energy Management LLC</t>
  </si>
  <si>
    <t>2464209D US Equity</t>
  </si>
  <si>
    <t>Cubic Corp</t>
  </si>
  <si>
    <t>1947733D US Equity</t>
  </si>
  <si>
    <t>IBY Property Owner LLC</t>
  </si>
  <si>
    <t>2026Q2 CF (MRCY US)</t>
  </si>
  <si>
    <t>Estimate (MRCY US)</t>
  </si>
  <si>
    <t>2023Q3 CF (AKU CN)</t>
  </si>
  <si>
    <t>Akumin Inc</t>
  </si>
  <si>
    <t>2024A CF (039560 KS)</t>
  </si>
  <si>
    <t>Dasan Networks Inc</t>
  </si>
  <si>
    <t>0110010D US Equity</t>
  </si>
  <si>
    <t>Company News (DZSIQ US)</t>
  </si>
  <si>
    <t>Sonepar Management US Inc</t>
  </si>
  <si>
    <t>0430042D US Equity</t>
  </si>
  <si>
    <t>Irby Utility Supply LLC</t>
  </si>
  <si>
    <t>0850044D US Equity</t>
  </si>
  <si>
    <t>2024Q1 CF (DZSIQ US)</t>
  </si>
  <si>
    <t>US Cellular</t>
  </si>
  <si>
    <t>2024A CF (WTTR US)</t>
  </si>
  <si>
    <t>Killam Oil Co Ltd</t>
  </si>
  <si>
    <t>0752392D US Equity</t>
  </si>
  <si>
    <t>Northeast Natural Energy LLC</t>
  </si>
  <si>
    <t>0820329D US Equity</t>
  </si>
  <si>
    <t>Bayswater Exploration &amp; Production LLC</t>
  </si>
  <si>
    <t>1480650D US Equity</t>
  </si>
  <si>
    <t>2025Q3 CF (WTTR US)</t>
  </si>
  <si>
    <t>Ascent Resources LLC</t>
  </si>
  <si>
    <t>2137259D US Equity</t>
  </si>
  <si>
    <t>2024Q3 CF (WTTR US)</t>
  </si>
  <si>
    <t>Avant Natural Resources LLC</t>
  </si>
  <si>
    <t>2023A CF (002980 CH)</t>
  </si>
  <si>
    <t>Shenzhen Everbest Machinery Industry Co Ltd</t>
  </si>
  <si>
    <t>CURV US Equity</t>
  </si>
  <si>
    <t>2025A CF (CURV US)</t>
  </si>
  <si>
    <t>Torrid Holdings Inc</t>
  </si>
  <si>
    <t>HOME US Equity</t>
  </si>
  <si>
    <t>2025Q1 CF (HOME US)</t>
  </si>
  <si>
    <t>At Home Group Inc</t>
  </si>
  <si>
    <t>NKE US Equity</t>
  </si>
  <si>
    <t>2025Q3 CF (NKE US)</t>
  </si>
  <si>
    <t>NIKE Inc</t>
  </si>
  <si>
    <t>RADCQ US Equity</t>
  </si>
  <si>
    <t>2025Q1 CF (RADCQ US)</t>
  </si>
  <si>
    <t>Rite Aid Corp</t>
  </si>
  <si>
    <t>2025A CF (HAS US)</t>
  </si>
  <si>
    <t>Estimate (HAS US)</t>
  </si>
  <si>
    <t>Company News (EFX US)</t>
  </si>
  <si>
    <t>MINDBODY Inc</t>
  </si>
  <si>
    <t>6152Z LN Equity</t>
  </si>
  <si>
    <t>2025A CF (EFX US)</t>
  </si>
  <si>
    <t>United Kingdom of Great Britain and Northern Ireland</t>
  </si>
  <si>
    <t>Company News (GEN US)</t>
  </si>
  <si>
    <t>Gen Digital Inc</t>
  </si>
  <si>
    <t>HSI US Equity</t>
  </si>
  <si>
    <t>Hyland Software Inc</t>
  </si>
  <si>
    <t>NCNO US Equity</t>
  </si>
  <si>
    <t>2022A CF (NCNO US)</t>
  </si>
  <si>
    <t>nCino Inc</t>
  </si>
  <si>
    <t>2024A CF (MYGN US)</t>
  </si>
  <si>
    <t>6665 TT Equity</t>
  </si>
  <si>
    <t>2022A CF (6665 TT)</t>
  </si>
  <si>
    <t>Healthconn Corp</t>
  </si>
  <si>
    <t>GTG AU Equity</t>
  </si>
  <si>
    <t>2024A CF (GTG AU)</t>
  </si>
  <si>
    <t>Genetic Technologies Ltd</t>
  </si>
  <si>
    <t>ZYDUSLIF IN Equity</t>
  </si>
  <si>
    <t>Company News (ZYDUSLIF IN)</t>
  </si>
  <si>
    <t>Zydus Lifesciences Ltd</t>
  </si>
  <si>
    <t>Company News (SLND US)</t>
  </si>
  <si>
    <t>DOI Bureau of Reclamation</t>
  </si>
  <si>
    <t>SOLV US Equity</t>
  </si>
  <si>
    <t>2025Q3 CF (SOLV US)</t>
  </si>
  <si>
    <t>Solventum Corp</t>
  </si>
  <si>
    <t>3M IN Equity</t>
  </si>
  <si>
    <t>2025A CF (3M IN)</t>
  </si>
  <si>
    <t>3M India Ltd</t>
  </si>
  <si>
    <t>Estimate (MMM US)</t>
  </si>
  <si>
    <t>DHC US Equity</t>
  </si>
  <si>
    <t>2024A CF (DHC US)</t>
  </si>
  <si>
    <t>Diversified Healthcare Trust</t>
  </si>
  <si>
    <t>039860 KS Equity</t>
  </si>
  <si>
    <t>2022A CF (039860 KS)</t>
  </si>
  <si>
    <t>NanoenTek Inc</t>
  </si>
  <si>
    <t>2024Q4 CF (BHILQ US)</t>
  </si>
  <si>
    <t>Benson Hill Inc</t>
  </si>
  <si>
    <t>Estimate (TDG US)</t>
  </si>
  <si>
    <t>DAL US Equity</t>
  </si>
  <si>
    <t>Delta Air Lines Inc</t>
  </si>
  <si>
    <t>Estimate (MRK US)</t>
  </si>
  <si>
    <t>2025Q3 CF (MRK US)</t>
  </si>
  <si>
    <t>OGN US Equity</t>
  </si>
  <si>
    <t>2024A CF (MRK US)</t>
  </si>
  <si>
    <t>Organon &amp; Co</t>
  </si>
  <si>
    <t>Estimate (FLS US)</t>
  </si>
  <si>
    <t>Saudi Arabian Oil Co</t>
  </si>
  <si>
    <t>857 HK Equity</t>
  </si>
  <si>
    <t>PetroChina Co Ltd</t>
  </si>
  <si>
    <t>BHP AU Equity</t>
  </si>
  <si>
    <t>Estimate (BHP AU)</t>
  </si>
  <si>
    <t>BHP Group Ltd</t>
  </si>
  <si>
    <t>OXY US Equity</t>
  </si>
  <si>
    <t>Occidental Petroleum Corp</t>
  </si>
  <si>
    <t>XOM US Equity</t>
  </si>
  <si>
    <t>Exxon Mobil Corp</t>
  </si>
  <si>
    <t>2023A CF (000963 CH)</t>
  </si>
  <si>
    <t>Huadong Medicine Co Ltd</t>
  </si>
  <si>
    <t>EVC US Equity</t>
  </si>
  <si>
    <t>2021A CF (EVC US)</t>
  </si>
  <si>
    <t>Entravision Communications Corp</t>
  </si>
  <si>
    <t>2025A CF (NOVOB DC)</t>
  </si>
  <si>
    <t>000100 KS Equity</t>
  </si>
  <si>
    <t>2025C2 CF (000100 KS)</t>
  </si>
  <si>
    <t>Yuhan Corp</t>
  </si>
  <si>
    <t>207940 KS Equity</t>
  </si>
  <si>
    <t>2023Q3 CF (CTLT US)</t>
  </si>
  <si>
    <t>Samsung Biologics Co Ltd</t>
  </si>
  <si>
    <t>6575 TT Equity</t>
  </si>
  <si>
    <t>2022A CF (6575 TT)</t>
  </si>
  <si>
    <t>SyneuRx International Taiwan Corp</t>
  </si>
  <si>
    <t>ACW AU Equity</t>
  </si>
  <si>
    <t>2025A CF (ACW AU)</t>
  </si>
  <si>
    <t>Actinogen Medical Ltd</t>
  </si>
  <si>
    <t>2024A CF (FEG SP)</t>
  </si>
  <si>
    <t>Far East Group Ltd</t>
  </si>
  <si>
    <t>Company News (CDNS US)</t>
  </si>
  <si>
    <t>3443 TT Equity</t>
  </si>
  <si>
    <t>2024A CF (3443 TT)</t>
  </si>
  <si>
    <t>Global Unichip Corp</t>
  </si>
  <si>
    <t>3661 TT Equity</t>
  </si>
  <si>
    <t>2021A CF (3661 TT)</t>
  </si>
  <si>
    <t>Alchip Technologies Ltd</t>
  </si>
  <si>
    <t>2024A CF (HUM US)</t>
  </si>
  <si>
    <t>0219682Z US Equity</t>
  </si>
  <si>
    <t>United States Department of Defense</t>
  </si>
  <si>
    <t>0219834Z US Equity</t>
  </si>
  <si>
    <t>Company News (HUM US)</t>
  </si>
  <si>
    <t>DOD United States Army</t>
  </si>
  <si>
    <t>0221526Z US Equity</t>
  </si>
  <si>
    <t>2024Q3 CF (HUM US)</t>
  </si>
  <si>
    <t>DOD OSD FA Tricare Management Activity</t>
  </si>
  <si>
    <t>0228856Z US Equity</t>
  </si>
  <si>
    <t>DOD United States Department of Navy</t>
  </si>
  <si>
    <t>Company News (5158754Z SS)</t>
  </si>
  <si>
    <t>Klarna Holding AB</t>
  </si>
  <si>
    <t>2025A CF (DHX US)</t>
  </si>
  <si>
    <t>DHI Group Inc</t>
  </si>
  <si>
    <t>GNL US Equity</t>
  </si>
  <si>
    <t>2023A CF (GNL US)</t>
  </si>
  <si>
    <t>Global Net Lease Inc</t>
  </si>
  <si>
    <t>002626 CH Equity</t>
  </si>
  <si>
    <t>2024A CF (002626 CH)</t>
  </si>
  <si>
    <t>Xiamen Kingdomway Group Co</t>
  </si>
  <si>
    <t>EVRI US Equity</t>
  </si>
  <si>
    <t>2022A CF (EVRI US)</t>
  </si>
  <si>
    <t>Everi Holdings Inc</t>
  </si>
  <si>
    <t>FMCC US Equity</t>
  </si>
  <si>
    <t>Company News (FMCC US)</t>
  </si>
  <si>
    <t>Federal Home Loan Mortgage Corp</t>
  </si>
  <si>
    <t>2025A CF (RTX US)</t>
  </si>
  <si>
    <t>2024A CF (4104 TT)</t>
  </si>
  <si>
    <t>Excelsior Medical Co Ltd</t>
  </si>
  <si>
    <t>300246 CH Equity</t>
  </si>
  <si>
    <t>2021A CF (300246 CH)</t>
  </si>
  <si>
    <t>Guangdong Biolight Meditech Co Ltd</t>
  </si>
  <si>
    <t>CNMD US Equity</t>
  </si>
  <si>
    <t>Company News (MDT US)</t>
  </si>
  <si>
    <t>CONMED Corp</t>
  </si>
  <si>
    <t>VIVO US Equity</t>
  </si>
  <si>
    <t>2022A CF (VIVO US)</t>
  </si>
  <si>
    <t>Meridian Bioscience Inc</t>
  </si>
  <si>
    <t>2025A CF (PLXS US)</t>
  </si>
  <si>
    <t>0219738Z US Equity</t>
  </si>
  <si>
    <t>United States Department of Commerce</t>
  </si>
  <si>
    <t>0251349Z US Equity</t>
  </si>
  <si>
    <t>United States Department of State</t>
  </si>
  <si>
    <t>1222637D US Equity</t>
  </si>
  <si>
    <t>2025Q2 CF (PLXS US)</t>
  </si>
  <si>
    <t>Echodyne Corp</t>
  </si>
  <si>
    <t>Estimate (TXN US)</t>
  </si>
  <si>
    <t>Volkswagen AG</t>
  </si>
  <si>
    <t>Estimate (2760 JP)</t>
  </si>
  <si>
    <t>2025Q3 CF (JAKK US)</t>
  </si>
  <si>
    <t>2024A CF (JAKK US)</t>
  </si>
  <si>
    <t>Estimate (JAKK US)</t>
  </si>
  <si>
    <t>DLTR US Equity</t>
  </si>
  <si>
    <t>Dollar Tree Inc</t>
  </si>
  <si>
    <t>2024A CF (SDSYA US)</t>
  </si>
  <si>
    <t>South Dakota Soybean Processors LLC</t>
  </si>
  <si>
    <t>Estimate (COHR US)</t>
  </si>
  <si>
    <t>NOKIA FH Equity</t>
  </si>
  <si>
    <t>Nokia Oyj</t>
  </si>
  <si>
    <t>2024A CF (VHI US)</t>
  </si>
  <si>
    <t>Lennar Corp</t>
  </si>
  <si>
    <t>1928 JP Equity</t>
  </si>
  <si>
    <t>Sekisui House Ltd</t>
  </si>
  <si>
    <t>AMH US Equity</t>
  </si>
  <si>
    <t>American Homes 4 Rent</t>
  </si>
  <si>
    <t>1171959D US Equity</t>
  </si>
  <si>
    <t>2023A CF (VHI US)</t>
  </si>
  <si>
    <t>Sand Hill Property Co LLC</t>
  </si>
  <si>
    <t>2021A CF (8033 TT)</t>
  </si>
  <si>
    <t>Thunder Tiger Corp</t>
  </si>
  <si>
    <t>2025A CF (VRTX US)</t>
  </si>
  <si>
    <t>1724295D GR Equity</t>
  </si>
  <si>
    <t>Phoenix Pharma SE</t>
  </si>
  <si>
    <t>2022A CF (000737 CH)</t>
  </si>
  <si>
    <t>North Copper Co Ltd</t>
  </si>
  <si>
    <t>2112160D FH Equity</t>
  </si>
  <si>
    <t>Company News (2112160D FH)</t>
  </si>
  <si>
    <t>IQM Quantum Computers</t>
  </si>
  <si>
    <t>3061059Z US Equity</t>
  </si>
  <si>
    <t>Company News (JPM US)</t>
  </si>
  <si>
    <t>United States Department of the Treasury</t>
  </si>
  <si>
    <t>ACIN SW Equity</t>
  </si>
  <si>
    <t>Company News (ACIN SW)</t>
  </si>
  <si>
    <t>Acino International AG</t>
  </si>
  <si>
    <t>0078346D US Equity</t>
  </si>
  <si>
    <t>2022Q4 CF (ROP US)</t>
  </si>
  <si>
    <t>Thompson Coburn LLP</t>
  </si>
  <si>
    <t>2025S1 CF (603201 CH)</t>
  </si>
  <si>
    <t>Changshu Tongrun Auto Accessory Co Ltd</t>
  </si>
  <si>
    <t>2025S1 CF (688169 CH)</t>
  </si>
  <si>
    <t>ARA* MM Equity</t>
  </si>
  <si>
    <t>2025C3 CF (ARA* MM)</t>
  </si>
  <si>
    <t>Consorcio ARA SAB de CV</t>
  </si>
  <si>
    <t>CHH US Equity</t>
  </si>
  <si>
    <t>2024Q1 CF (HD US)</t>
  </si>
  <si>
    <t>Choice Hotels International Inc</t>
  </si>
  <si>
    <t>HLT US Equity</t>
  </si>
  <si>
    <t>Hilton Worldwide Holdings Inc</t>
  </si>
  <si>
    <t>Company News (IIIV US)</t>
  </si>
  <si>
    <t>Province of Saskatchewan Canada</t>
  </si>
  <si>
    <t>2024A CF (EBS US)</t>
  </si>
  <si>
    <t>0219354Z US Equity</t>
  </si>
  <si>
    <t>Company News (EBS US)</t>
  </si>
  <si>
    <t>United States Department of Health &amp; Human Services</t>
  </si>
  <si>
    <t>2023A CF (EBS US)</t>
  </si>
  <si>
    <t>0235280Z US Equity</t>
  </si>
  <si>
    <t>DOD DOA National Guard</t>
  </si>
  <si>
    <t>2022Q3 CF (INVE US)</t>
  </si>
  <si>
    <t>Identiv Inc</t>
  </si>
  <si>
    <t>Estimate (BABA US)</t>
  </si>
  <si>
    <t>Best Buy Co Inc</t>
  </si>
  <si>
    <t>002024 CH Equity</t>
  </si>
  <si>
    <t>Estimate (002024 CH)</t>
  </si>
  <si>
    <t>Suning.com Co Ltd</t>
  </si>
  <si>
    <t>Estimate (MU US)</t>
  </si>
  <si>
    <t>BHE US Equity</t>
  </si>
  <si>
    <t>Estimate (BHE US)</t>
  </si>
  <si>
    <t>Benchmark Electronics Inc</t>
  </si>
  <si>
    <t>MCHP US Equity</t>
  </si>
  <si>
    <t>Estimate (MCHP US)</t>
  </si>
  <si>
    <t>Microchip Technology Inc</t>
  </si>
  <si>
    <t>0707159D US Equity</t>
  </si>
  <si>
    <t>2023A CF (MRCY US)</t>
  </si>
  <si>
    <t>Omega Electronics</t>
  </si>
  <si>
    <t>GSIT US Equity</t>
  </si>
  <si>
    <t>Estimate (GSIT US)</t>
  </si>
  <si>
    <t>GSI Technology Inc</t>
  </si>
  <si>
    <t>Dolby Laboratories Inc</t>
  </si>
  <si>
    <t>377030 KS Equity</t>
  </si>
  <si>
    <t>2025C3 CF (377030 KS)</t>
  </si>
  <si>
    <t>BITMAX Co Ltd</t>
  </si>
  <si>
    <t>600690 CH Equity</t>
  </si>
  <si>
    <t>2023S1 CF (600690 CH)</t>
  </si>
  <si>
    <t>Haier Smart Home Co Ltd</t>
  </si>
  <si>
    <t>2025A CF (MSI US)</t>
  </si>
  <si>
    <t>2427 TT Equity</t>
  </si>
  <si>
    <t>2024A CF (2427 TT)</t>
  </si>
  <si>
    <t>Mercuries Data Systems Ltd</t>
  </si>
  <si>
    <t>2022A CF (002196 CH)</t>
  </si>
  <si>
    <t>Zhejiang Founder Motor Co Ltd</t>
  </si>
  <si>
    <t>2025A CF (INTU US)</t>
  </si>
  <si>
    <t>Company News (ADP US)</t>
  </si>
  <si>
    <t>Automatic Data Processing Inc</t>
  </si>
  <si>
    <t>CLX LN Equity</t>
  </si>
  <si>
    <t>Estimate (CLX LN)</t>
  </si>
  <si>
    <t>Calnex Solutions PLC</t>
  </si>
  <si>
    <t>368770 KS Equity</t>
  </si>
  <si>
    <t>Media News (368770 KS)</t>
  </si>
  <si>
    <t>FIBERPRO Inc/Yuseong</t>
  </si>
  <si>
    <t>EVRG US Equity</t>
  </si>
  <si>
    <t>2021A CF (EVRG US)</t>
  </si>
  <si>
    <t>Evergy Inc</t>
  </si>
  <si>
    <t>2025Q3 CF (INVA US)</t>
  </si>
  <si>
    <t>George Washington University/The</t>
  </si>
  <si>
    <t>24608Z US Equity</t>
  </si>
  <si>
    <t>Massachusetts Institute of Technology</t>
  </si>
  <si>
    <t>3252Z US Equity</t>
  </si>
  <si>
    <t>President and Fellows of Harvard College</t>
  </si>
  <si>
    <t>BSLN SW Equity</t>
  </si>
  <si>
    <t>Basilea Pharmaceutica Ag Allschwil</t>
  </si>
  <si>
    <t>Company News (WLDN US)</t>
  </si>
  <si>
    <t>Huntsville Utilities</t>
  </si>
  <si>
    <t>0910955D US Equity</t>
  </si>
  <si>
    <t>California Public Utilities Commission</t>
  </si>
  <si>
    <t>12890MF US Equity</t>
  </si>
  <si>
    <t>City of Bellflower CA</t>
  </si>
  <si>
    <t>1383351D US Equity</t>
  </si>
  <si>
    <t>2024A CF (WLDN US)</t>
  </si>
  <si>
    <t>Great Lakes Water Authority</t>
  </si>
  <si>
    <t>14119Z US Equity</t>
  </si>
  <si>
    <t>City of Long Beach CA</t>
  </si>
  <si>
    <t>Estimate (CMI US)</t>
  </si>
  <si>
    <t>MG CN Equity</t>
  </si>
  <si>
    <t>Estimate (MG CN)</t>
  </si>
  <si>
    <t>Magna International Inc</t>
  </si>
  <si>
    <t>6594 JP Equity</t>
  </si>
  <si>
    <t>Estimate (6594 JP)</t>
  </si>
  <si>
    <t>NIDEC CORP</t>
  </si>
  <si>
    <t>ACX SM Equity</t>
  </si>
  <si>
    <t>Estimate (ACX SM)</t>
  </si>
  <si>
    <t>Acerinox SA</t>
  </si>
  <si>
    <t>Company News (PFS US)</t>
  </si>
  <si>
    <t>Pollfish Inc/NY</t>
  </si>
  <si>
    <t>2025A CF (CWST US)</t>
  </si>
  <si>
    <t>Casella Construction Inc</t>
  </si>
  <si>
    <t>2025C3 CF (049480 KS)</t>
  </si>
  <si>
    <t>Openbase Inc</t>
  </si>
  <si>
    <t>232830 KS Equity</t>
  </si>
  <si>
    <t>2023A CF (232830 KS)</t>
  </si>
  <si>
    <t>Itcenpns Co Ltd</t>
  </si>
  <si>
    <t>294570 KS Equity</t>
  </si>
  <si>
    <t>2025C3 CF (294570 KS)</t>
  </si>
  <si>
    <t>Coocon Corp</t>
  </si>
  <si>
    <t>CON US Equity</t>
  </si>
  <si>
    <t>2024A CF (CON US)</t>
  </si>
  <si>
    <t>Concentra Group Holdings Parent Inc</t>
  </si>
  <si>
    <t>GICSAB MM Equity</t>
  </si>
  <si>
    <t>2023A CF (GICSAB MM)</t>
  </si>
  <si>
    <t>Grupo GICSA SAB de CV</t>
  </si>
  <si>
    <t>Company News (NKLAQ US)</t>
  </si>
  <si>
    <t>PGT Trucking Inc</t>
  </si>
  <si>
    <t>0424452D US Equity</t>
  </si>
  <si>
    <t>Ailo Logistics</t>
  </si>
  <si>
    <t>0812545D US Equity</t>
  </si>
  <si>
    <t>2023A CF (NKLAQ US)</t>
  </si>
  <si>
    <t>Anheuser-Busch Cos LLC</t>
  </si>
  <si>
    <t>4146197Z US Equity</t>
  </si>
  <si>
    <t>Total Transportation Services Inc</t>
  </si>
  <si>
    <t>603088 CH Equity</t>
  </si>
  <si>
    <t>2025S1 CF (603088 CH)</t>
  </si>
  <si>
    <t>JDM JingDa Machine Ningbo Co Ltd</t>
  </si>
  <si>
    <t>BRX US Equity</t>
  </si>
  <si>
    <t>2024A CF (BRX US)</t>
  </si>
  <si>
    <t>Brixmor Property Group Inc</t>
  </si>
  <si>
    <t>2023Q1 CF (MLNK US)</t>
  </si>
  <si>
    <t>Meridianlink Inc</t>
  </si>
  <si>
    <t>2024A CF (WHLR US)</t>
  </si>
  <si>
    <t>KR US Equity</t>
  </si>
  <si>
    <t>Kroger Co/The</t>
  </si>
  <si>
    <t>PLNT US Equity</t>
  </si>
  <si>
    <t>Planet Fitness Inc</t>
  </si>
  <si>
    <t>Estimate (354 HK)</t>
  </si>
  <si>
    <t>Chinasoft International Ltd</t>
  </si>
  <si>
    <t>EXTR US Equity</t>
  </si>
  <si>
    <t>Estimate (EXTR US)</t>
  </si>
  <si>
    <t>Extreme Networks Inc</t>
  </si>
  <si>
    <t>4726 JP Equity</t>
  </si>
  <si>
    <t>2024A CF (4726 JP)</t>
  </si>
  <si>
    <t>SB Technology Corp</t>
  </si>
  <si>
    <t>9903653D US Equity</t>
  </si>
  <si>
    <t>2022Q3 CF (9903653D US)</t>
  </si>
  <si>
    <t>TechTarget Inc/old</t>
  </si>
  <si>
    <t>AVGO US Equity</t>
  </si>
  <si>
    <t>2022A CF (GEN US)</t>
  </si>
  <si>
    <t>Broadcom Inc</t>
  </si>
  <si>
    <t>NextEra Energy Inc</t>
  </si>
  <si>
    <t>2024S1 CF (301501 CH)</t>
  </si>
  <si>
    <t>Hefei Hengxin Life Science &amp; Technology Co Ltd</t>
  </si>
  <si>
    <t>REI-U CN Equity</t>
  </si>
  <si>
    <t>2024A CF (REI-U CN)</t>
  </si>
  <si>
    <t>RioCan Real Estate Investment Trust</t>
  </si>
  <si>
    <t>SRU-U CN Equity</t>
  </si>
  <si>
    <t>2024A CF (SRU-U CN)</t>
  </si>
  <si>
    <t>SmartCentres Real Estate Investment Trust</t>
  </si>
  <si>
    <t>Kimco Realty Corp</t>
  </si>
  <si>
    <t>CHP-U CN Equity</t>
  </si>
  <si>
    <t>2024A CF (CHP-U CN)</t>
  </si>
  <si>
    <t>Choice Properties Real Estate Investment Trust</t>
  </si>
  <si>
    <t>2023A CF (4272 JP)</t>
  </si>
  <si>
    <t>CASIF US Equity</t>
  </si>
  <si>
    <t>2021A CF (CASIF US)</t>
  </si>
  <si>
    <t>CASI Pharmaceuticals Holdings Inc</t>
  </si>
  <si>
    <t>RDNT US Equity</t>
  </si>
  <si>
    <t>2022A CF (RDNT US)</t>
  </si>
  <si>
    <t>RadNet Inc</t>
  </si>
  <si>
    <t>CLS CN Equity</t>
  </si>
  <si>
    <t>Estimate (CLS CN)</t>
  </si>
  <si>
    <t>Celestica Inc</t>
  </si>
  <si>
    <t>TTMI US Equity</t>
  </si>
  <si>
    <t>Estimate (TTMI US)</t>
  </si>
  <si>
    <t>TTM Technologies Inc</t>
  </si>
  <si>
    <t>FII FP Equity</t>
  </si>
  <si>
    <t>Estimate (FII FP)</t>
  </si>
  <si>
    <t>LISI SA</t>
  </si>
  <si>
    <t>Estimate (DCO US)</t>
  </si>
  <si>
    <t>Ducommun Inc</t>
  </si>
  <si>
    <t>AERO SW Equity</t>
  </si>
  <si>
    <t>Estimate (AERO SW)</t>
  </si>
  <si>
    <t>Montana Aerospace AG</t>
  </si>
  <si>
    <t>AIR US Equity</t>
  </si>
  <si>
    <t>Estimate (AIR US)</t>
  </si>
  <si>
    <t>AAR Corp</t>
  </si>
  <si>
    <t>FTG CN Equity</t>
  </si>
  <si>
    <t>Estimate (FTG CN)</t>
  </si>
  <si>
    <t>Firan Technology Group Corp</t>
  </si>
  <si>
    <t>C1</t>
  </si>
  <si>
    <t>2025C1 CF (PCYO US)</t>
  </si>
  <si>
    <t>Pure Cycle Corp</t>
  </si>
  <si>
    <t>Estimate (WSO US)</t>
  </si>
  <si>
    <t>Watsco Inc</t>
  </si>
  <si>
    <t>MSM US Equity</t>
  </si>
  <si>
    <t>2025Q2 CF (MSM US)</t>
  </si>
  <si>
    <t>MSC Industrial Direct Co Inc</t>
  </si>
  <si>
    <t>2025S1 CF (MUST SP)</t>
  </si>
  <si>
    <t>0296332Z US Equity</t>
  </si>
  <si>
    <t>2023A CF (CSGP US)</t>
  </si>
  <si>
    <t>Duck Duck Go Inc</t>
  </si>
  <si>
    <t>688322 CH Equity</t>
  </si>
  <si>
    <t>2024A CF (688322 CH)</t>
  </si>
  <si>
    <t>Orbbec Inc</t>
  </si>
  <si>
    <t>CHCI US Equity</t>
  </si>
  <si>
    <t>2024A CF (CHCI US)</t>
  </si>
  <si>
    <t>Comstock Holding Cos Inc</t>
  </si>
  <si>
    <t>MAS US Equity</t>
  </si>
  <si>
    <t>2025A CF (MAS US)</t>
  </si>
  <si>
    <t>Masco Corp</t>
  </si>
  <si>
    <t>OC US Equity</t>
  </si>
  <si>
    <t>Estimate (OC US)</t>
  </si>
  <si>
    <t>Owens Corning</t>
  </si>
  <si>
    <t>2024Q3 CF (TIG LN)</t>
  </si>
  <si>
    <t>Team Internet Group PLC</t>
  </si>
  <si>
    <t>2023A CF (VNO US)</t>
  </si>
  <si>
    <t>EPD US Equity</t>
  </si>
  <si>
    <t>Enterprise Products Partners LP</t>
  </si>
  <si>
    <t>AI FP Equity</t>
  </si>
  <si>
    <t>Air Liquide SA</t>
  </si>
  <si>
    <t>Statkraft SF</t>
  </si>
  <si>
    <t>1712023D US Equity</t>
  </si>
  <si>
    <t>Vineyard Wind LLC</t>
  </si>
  <si>
    <t>20031MF US Equity</t>
  </si>
  <si>
    <t>Town of Barnstable MA</t>
  </si>
  <si>
    <t>4131721Z US Equity</t>
  </si>
  <si>
    <t>United States Department of Energy</t>
  </si>
  <si>
    <t>Estimate (BBOX IN)</t>
  </si>
  <si>
    <t>REG US Equity</t>
  </si>
  <si>
    <t>2025A CF (REG US)</t>
  </si>
  <si>
    <t>Regency Centers Corp</t>
  </si>
  <si>
    <t>CDP US Equity</t>
  </si>
  <si>
    <t>2024A CF (CDP US)</t>
  </si>
  <si>
    <t>COPT Defense Properties</t>
  </si>
  <si>
    <t>CERT US Equity</t>
  </si>
  <si>
    <t>Estimate (CERT US)</t>
  </si>
  <si>
    <t>Certara Inc</t>
  </si>
  <si>
    <t>ATRS US Equity</t>
  </si>
  <si>
    <t>2021A CF (ASRT US)</t>
  </si>
  <si>
    <t>Antares Pharma Inc</t>
  </si>
  <si>
    <t>PCG US Equity</t>
  </si>
  <si>
    <t>2021A CF (PCG US)</t>
  </si>
  <si>
    <t>PG&amp;E Corp</t>
  </si>
  <si>
    <t>ACUR US Equity</t>
  </si>
  <si>
    <t>2021A CF (ACUR US)</t>
  </si>
  <si>
    <t>Acura Pharmaceuticals Inc</t>
  </si>
  <si>
    <t>2025A CF (FOR US)</t>
  </si>
  <si>
    <t>DR Horton Inc</t>
  </si>
  <si>
    <t>9501 JP Equity</t>
  </si>
  <si>
    <t>2022A CF (9501 JP)</t>
  </si>
  <si>
    <t>Tokyo Electric Power Co Holdings Inc</t>
  </si>
  <si>
    <t>CVX FP Equity</t>
  </si>
  <si>
    <t>Company News (CVX FP)</t>
  </si>
  <si>
    <t>Carvolix SA</t>
  </si>
  <si>
    <t>EIX US Equity</t>
  </si>
  <si>
    <t>2021A CF (EIX US)</t>
  </si>
  <si>
    <t>Edison International</t>
  </si>
  <si>
    <t>2025Q1 CF (BLND US)</t>
  </si>
  <si>
    <t>MA US Equity</t>
  </si>
  <si>
    <t>2024Q1 CF (MA US)</t>
  </si>
  <si>
    <t>Mastercard Inc</t>
  </si>
  <si>
    <t>Estimate (ILMN US)</t>
  </si>
  <si>
    <t>Illumina Inc</t>
  </si>
  <si>
    <t>0031457D US Equity</t>
  </si>
  <si>
    <t>University of Texas MD Anderson Cancer Center/The</t>
  </si>
  <si>
    <t>0352162D US Equity</t>
  </si>
  <si>
    <t>Children's Medical Center Corp/The</t>
  </si>
  <si>
    <t>0707281D US Equity</t>
  </si>
  <si>
    <t>University of Rochester Medical Center</t>
  </si>
  <si>
    <t>1884157D US Equity</t>
  </si>
  <si>
    <t>Aptitude Health Holdings LLC</t>
  </si>
  <si>
    <t>Company News (15647Z US)</t>
  </si>
  <si>
    <t>Federal Home Loan Bank of Dallas</t>
  </si>
  <si>
    <t>2023A CF (NEWT US)</t>
  </si>
  <si>
    <t>2023Q4 CF (VYX US)</t>
  </si>
  <si>
    <t>0752339D US Equity</t>
  </si>
  <si>
    <t>2024A CF (CNP US)</t>
  </si>
  <si>
    <t>Fowler Ridge II Wind Farm LLC</t>
  </si>
  <si>
    <t>0809026D US Equity</t>
  </si>
  <si>
    <t>Benton County Wind Farm LLC</t>
  </si>
  <si>
    <t>0880147D US Equity</t>
  </si>
  <si>
    <t>2023A CF (CNP US)</t>
  </si>
  <si>
    <t>Koch Energy Services LLC</t>
  </si>
  <si>
    <t>Estimate (AI FP)</t>
  </si>
  <si>
    <t>APD US Equity</t>
  </si>
  <si>
    <t>Estimate (APD US)</t>
  </si>
  <si>
    <t>Air Products and Chemicals Inc</t>
  </si>
  <si>
    <t>001369 CH Equity</t>
  </si>
  <si>
    <t>2025S1 CF (001369 CH)</t>
  </si>
  <si>
    <t>Inner Mongolia Shuangxin Environment-Friendly Material Co Ltd</t>
  </si>
  <si>
    <t>BCPC US Equity</t>
  </si>
  <si>
    <t>2024A CF (BCPC US)</t>
  </si>
  <si>
    <t>Balchem Corp</t>
  </si>
  <si>
    <t>BBLNF US Equity</t>
  </si>
  <si>
    <t>2021A CF (BBLNF US)</t>
  </si>
  <si>
    <t>Babylon Holdings Ltd/Jersey</t>
  </si>
  <si>
    <t>EMBJ3 BZ Equity</t>
  </si>
  <si>
    <t>Estimate (EMBJ3 BZ)</t>
  </si>
  <si>
    <t>Embraer SA</t>
  </si>
  <si>
    <t>CAE CN Equity</t>
  </si>
  <si>
    <t>Estimate (CAE CN)</t>
  </si>
  <si>
    <t>CAE Inc</t>
  </si>
  <si>
    <t>2025A CF (PFE US)</t>
  </si>
  <si>
    <t>2025A CF (BMY US)</t>
  </si>
  <si>
    <t>2024A CF (PFE US)</t>
  </si>
  <si>
    <t>SFM US Equity</t>
  </si>
  <si>
    <t>Estimate (SFM US)</t>
  </si>
  <si>
    <t>Sprouts Farmers Market Inc</t>
  </si>
  <si>
    <t>Estimate (SCSC US)</t>
  </si>
  <si>
    <t>Estimate (ALAB US)</t>
  </si>
  <si>
    <t>601138 CH Equity</t>
  </si>
  <si>
    <t>Foxconn Industrial Internet Co Ltd</t>
  </si>
  <si>
    <t>2023A CF (AVOL SW)</t>
  </si>
  <si>
    <t>DOUG US Equity</t>
  </si>
  <si>
    <t>2023A CF (VGR US)</t>
  </si>
  <si>
    <t>Douglas Elliman Inc</t>
  </si>
  <si>
    <t>Photo Diagnostic Systems Inc</t>
  </si>
  <si>
    <t>224711Z FP Equity</t>
  </si>
  <si>
    <t>Airbus SAS</t>
  </si>
  <si>
    <t>2444680D CN Equity</t>
  </si>
  <si>
    <t>Limbus AI Inc</t>
  </si>
  <si>
    <t>BNLB GR Equity</t>
  </si>
  <si>
    <t>Brainlab AG</t>
  </si>
  <si>
    <t>CRADB SS Equity</t>
  </si>
  <si>
    <t>C-RAD AB</t>
  </si>
  <si>
    <t>Estimate (RGLD US)</t>
  </si>
  <si>
    <t>Royal Gold Inc</t>
  </si>
  <si>
    <t>TFPM CN Equity</t>
  </si>
  <si>
    <t>2025Q3 CF (TFPM CN)</t>
  </si>
  <si>
    <t>Triple Flag Precious Metals Corp</t>
  </si>
  <si>
    <t>ACO/X CN Equity</t>
  </si>
  <si>
    <t>2021A CF (ACO/X CN)</t>
  </si>
  <si>
    <t>Atco Ltd/Canada</t>
  </si>
  <si>
    <t>AVA US Equity</t>
  </si>
  <si>
    <t>2021A CF (AVA US)</t>
  </si>
  <si>
    <t>Avista Corp</t>
  </si>
  <si>
    <t>BKH US Equity</t>
  </si>
  <si>
    <t>2021A CF (BKH US)</t>
  </si>
  <si>
    <t>Black Hills Corp</t>
  </si>
  <si>
    <t>2025Q3 CF (LUV US)</t>
  </si>
  <si>
    <t>Southwest Airlines Co</t>
  </si>
  <si>
    <t>NEM US Equity</t>
  </si>
  <si>
    <t>2025A CF (NEM US)</t>
  </si>
  <si>
    <t>Newmont Corp</t>
  </si>
  <si>
    <t>AU US Equity</t>
  </si>
  <si>
    <t>2024A CF (AU US)</t>
  </si>
  <si>
    <t>Anglogold Ashanti Plc</t>
  </si>
  <si>
    <t>2024A CF (300505 CH)</t>
  </si>
  <si>
    <t>Kunming Chuan Jin Nuo Chemical Co Ltd</t>
  </si>
  <si>
    <t>7520500Z FP Equity</t>
  </si>
  <si>
    <t>Company News (QMCO US)</t>
  </si>
  <si>
    <t>Atempo</t>
  </si>
  <si>
    <t>Carrier Global Corp</t>
  </si>
  <si>
    <t>3906060Z US Equity</t>
  </si>
  <si>
    <t>Rheem Manufacturing Co</t>
  </si>
  <si>
    <t>TT US Equity</t>
  </si>
  <si>
    <t>Trane Technologies PLC</t>
  </si>
  <si>
    <t>000333 CH Equity</t>
  </si>
  <si>
    <t>Midea Group Co Ltd</t>
  </si>
  <si>
    <t>AQN CN Equity</t>
  </si>
  <si>
    <t>2021A CF (AQN CN)</t>
  </si>
  <si>
    <t>Algonquin Power &amp; Utilities Corp</t>
  </si>
  <si>
    <t>DTI US Equity</t>
  </si>
  <si>
    <t>2025Q2 CF (DTI US)</t>
  </si>
  <si>
    <t>Drilling Tools International Corp</t>
  </si>
  <si>
    <t>2023Q1 CF (SPPI US)</t>
  </si>
  <si>
    <t>0894439D US Equity</t>
  </si>
  <si>
    <t>2022Q2 CF (SPPI US)</t>
  </si>
  <si>
    <t>ImmunGene Inc</t>
  </si>
  <si>
    <t>128940 KS Equity</t>
  </si>
  <si>
    <t>2023C1 CF (128940 KS)</t>
  </si>
  <si>
    <t>Hanmi Pharm Co Ltd</t>
  </si>
  <si>
    <t>Company News (1748433D US)</t>
  </si>
  <si>
    <t>Altruist Corp</t>
  </si>
  <si>
    <t>2025A CF (EIH IN)</t>
  </si>
  <si>
    <t>EIH Ltd</t>
  </si>
  <si>
    <t>001740 KS Equity</t>
  </si>
  <si>
    <t>2024C2 CF (001740 KS)</t>
  </si>
  <si>
    <t>SK Networks Co Ltd</t>
  </si>
  <si>
    <t>034730 KS Equity</t>
  </si>
  <si>
    <t>2024C2 CF (034730 KS)</t>
  </si>
  <si>
    <t>SK Inc</t>
  </si>
  <si>
    <t>068400 KS Equity</t>
  </si>
  <si>
    <t>2025C3 CF (068400 KS)</t>
  </si>
  <si>
    <t>SK Rent A Car Co Ltd</t>
  </si>
  <si>
    <t>1059297Z BH Equity</t>
  </si>
  <si>
    <t>2022A CF (CAR US)</t>
  </si>
  <si>
    <t>Travelport Ltd</t>
  </si>
  <si>
    <t>2023A CF (ONEW US)</t>
  </si>
  <si>
    <t>BPS Direct LLC</t>
  </si>
  <si>
    <t>2025A CF (ONEW US)</t>
  </si>
  <si>
    <t>WMAR US Equity</t>
  </si>
  <si>
    <t>West Marine Inc</t>
  </si>
  <si>
    <t>2025S1 CF (301309 CH)</t>
  </si>
  <si>
    <t>Zhejiang Wandekai Fluid Equipment Technology Co Ltd</t>
  </si>
  <si>
    <t>CMS US Equity</t>
  </si>
  <si>
    <t>2021A CF (CMS US)</t>
  </si>
  <si>
    <t>CMS Energy Corp</t>
  </si>
  <si>
    <t>Meisheng Cultural &amp; Creative Corp Ltd</t>
  </si>
  <si>
    <t>7974 JP Equity</t>
  </si>
  <si>
    <t>Estimate (7974 JP)</t>
  </si>
  <si>
    <t>Nintendo Co Ltd</t>
  </si>
  <si>
    <t>EA US Equity</t>
  </si>
  <si>
    <t>Estimate (EA US)</t>
  </si>
  <si>
    <t>Electronic Arts Inc</t>
  </si>
  <si>
    <t>MAT US Equity</t>
  </si>
  <si>
    <t>Estimate (MAT US)</t>
  </si>
  <si>
    <t>Mattel Inc</t>
  </si>
  <si>
    <t>NRG Energy Inc</t>
  </si>
  <si>
    <t>VST US Equity</t>
  </si>
  <si>
    <t>Vistra Corp</t>
  </si>
  <si>
    <t>002342 CH Equity</t>
  </si>
  <si>
    <t>Juli Sling Co Ltd</t>
  </si>
  <si>
    <t>003030 KS Equity</t>
  </si>
  <si>
    <t>SeAH Steel Holdings Corp</t>
  </si>
  <si>
    <t>Estimate (RIO LN)</t>
  </si>
  <si>
    <t>Rio Tinto PLC</t>
  </si>
  <si>
    <t>ERA FP Equity</t>
  </si>
  <si>
    <t>Estimate (ERA FP)</t>
  </si>
  <si>
    <t>Eramet SA</t>
  </si>
  <si>
    <t>0887272D NO Equity</t>
  </si>
  <si>
    <t>2021A CF (VHI US)</t>
  </si>
  <si>
    <t>Ineos Tyssedal AS</t>
  </si>
  <si>
    <t>1635209D IN Equity</t>
  </si>
  <si>
    <t>Saraf Agencies Pvt Ltd</t>
  </si>
  <si>
    <t>2022A CF (VHI US)</t>
  </si>
  <si>
    <t>Johnson &amp; Johnson</t>
  </si>
  <si>
    <t>NESN SW Equity</t>
  </si>
  <si>
    <t>Nestle SA</t>
  </si>
  <si>
    <t>Punto Fa SL</t>
  </si>
  <si>
    <t>0522213D US Equity</t>
  </si>
  <si>
    <t>Southern Auto Finance Co</t>
  </si>
  <si>
    <t>1 HK Equity</t>
  </si>
  <si>
    <t>CK Hutchison Holdings Ltd</t>
  </si>
  <si>
    <t>1068Z LN Equity</t>
  </si>
  <si>
    <t>Company News (ACIW US)</t>
  </si>
  <si>
    <t>Co-Operative Group Ltd</t>
  </si>
  <si>
    <t>115500 KS Equity</t>
  </si>
  <si>
    <t>2025C3 CF (115500 KS)</t>
  </si>
  <si>
    <t>Korea Computer &amp; Systems Inc</t>
  </si>
  <si>
    <t>Estimate (005930 KS)</t>
  </si>
  <si>
    <t>Estimate (AVT US)</t>
  </si>
  <si>
    <t>8059 TT Equity</t>
  </si>
  <si>
    <t>2024A CF (8059 TT)</t>
  </si>
  <si>
    <t>CastleNet Technology Inc</t>
  </si>
  <si>
    <t>Estimate (VZ US)</t>
  </si>
  <si>
    <t>Verizon Communications Inc</t>
  </si>
  <si>
    <t>Estimate (T US)</t>
  </si>
  <si>
    <t>TMUS US Equity</t>
  </si>
  <si>
    <t>Estimate (TMUS US)</t>
  </si>
  <si>
    <t>T-Mobile US Inc</t>
  </si>
  <si>
    <t>2025S1 CF (000963 CH)</t>
  </si>
  <si>
    <t>OS US Equity</t>
  </si>
  <si>
    <t>2024Q4 CF (OS US)</t>
  </si>
  <si>
    <t>Onestream Inc</t>
  </si>
  <si>
    <t>SALM US Equity</t>
  </si>
  <si>
    <t>Company News (SALM US)</t>
  </si>
  <si>
    <t>Salem Media Group Inc</t>
  </si>
  <si>
    <t>1560616D US Equity</t>
  </si>
  <si>
    <t>Company News (1560616D US)</t>
  </si>
  <si>
    <t>Boom Technology Inc</t>
  </si>
  <si>
    <t>3315 HK Equity</t>
  </si>
  <si>
    <t>2024A CF (3315 HK)</t>
  </si>
  <si>
    <t>Goldpac Group Ltd</t>
  </si>
  <si>
    <t>ALHYP FP Equity</t>
  </si>
  <si>
    <t>2024A CF (ALHYP FP)</t>
  </si>
  <si>
    <t>HiPay Group SA</t>
  </si>
  <si>
    <t>EVTC US Equity</t>
  </si>
  <si>
    <t>2024A CF (EVTC US)</t>
  </si>
  <si>
    <t>EVERTEC Inc</t>
  </si>
  <si>
    <t>Estimate (TEL US)</t>
  </si>
  <si>
    <t>TE Connectivity PLC</t>
  </si>
  <si>
    <t>2062939D US Equity</t>
  </si>
  <si>
    <t>Company News (PRIM US)</t>
  </si>
  <si>
    <t>Light Source Communications LLC</t>
  </si>
  <si>
    <t>CTOS US Equity</t>
  </si>
  <si>
    <t>2025Q2 CF (CTOS US)</t>
  </si>
  <si>
    <t>Custom Truck One Source Inc</t>
  </si>
  <si>
    <t>FTCI US Equity</t>
  </si>
  <si>
    <t>Company News (FTCI US)</t>
  </si>
  <si>
    <t>FTC Solar Inc</t>
  </si>
  <si>
    <t>IOT US Equity</t>
  </si>
  <si>
    <t>2025Q1 CF (IOT US)</t>
  </si>
  <si>
    <t>Samsara Inc</t>
  </si>
  <si>
    <t>2025A CF (RAMP US)</t>
  </si>
  <si>
    <t>SNOW US Equity</t>
  </si>
  <si>
    <t>2026Q1 CF (SNOW US)</t>
  </si>
  <si>
    <t>Snowflake Inc</t>
  </si>
  <si>
    <t>2024A CF (NVDA US)</t>
  </si>
  <si>
    <t>THG LN Equity</t>
  </si>
  <si>
    <t>2022A CF (THG LN)</t>
  </si>
  <si>
    <t>THG PLC</t>
  </si>
  <si>
    <t>2022A CF (CHDN US)</t>
  </si>
  <si>
    <t>Jeff Ruby Culinary Entertainment Inc</t>
  </si>
  <si>
    <t>0787723D UY Equity</t>
  </si>
  <si>
    <t>HRU SA</t>
  </si>
  <si>
    <t>1782202D US Equity</t>
  </si>
  <si>
    <t>Company News (CHDN US)</t>
  </si>
  <si>
    <t>Exacta Systems LLC</t>
  </si>
  <si>
    <t>1895717D NZ Equity</t>
  </si>
  <si>
    <t>Auckland Racing Club Inc/The</t>
  </si>
  <si>
    <t>1965934Z LN Equity</t>
  </si>
  <si>
    <t>Ascot Racecourse Ltd</t>
  </si>
  <si>
    <t>POR US Equity</t>
  </si>
  <si>
    <t>2021A CF (POR US)</t>
  </si>
  <si>
    <t>Portland General Electric Co</t>
  </si>
  <si>
    <t>UTL US Equity</t>
  </si>
  <si>
    <t>2021A CF (UTL US)</t>
  </si>
  <si>
    <t>Unitil Corp</t>
  </si>
  <si>
    <t>Estimate (SABR US)</t>
  </si>
  <si>
    <t>NGTF US Equity</t>
  </si>
  <si>
    <t>2023A CF (NGTF US)</t>
  </si>
  <si>
    <t>NightFood Holdings Inc</t>
  </si>
  <si>
    <t>2025A CF (CDE US)</t>
  </si>
  <si>
    <t>Bank of Montreal</t>
  </si>
  <si>
    <t>1243583Z LN Equity</t>
  </si>
  <si>
    <t>Ocean Partners UK Ltd</t>
  </si>
  <si>
    <t>5857 JP Equity</t>
  </si>
  <si>
    <t>ARE Holdings Inc</t>
  </si>
  <si>
    <t>0311377D SW Equity</t>
  </si>
  <si>
    <t>2022A CF (CDE US)</t>
  </si>
  <si>
    <t>Argor-Heraeus SA</t>
  </si>
  <si>
    <t>DRR AU Equity</t>
  </si>
  <si>
    <t>2024S1 CF (DRR AU)</t>
  </si>
  <si>
    <t>Deterra Royalties Ltd</t>
  </si>
  <si>
    <t>2024A CF (PTIX US)</t>
  </si>
  <si>
    <t>University of Toronto</t>
  </si>
  <si>
    <t>2022A CF (UNTC US)</t>
  </si>
  <si>
    <t>Symmetry Energy Solutions LLC</t>
  </si>
  <si>
    <t>0711696D US Equity</t>
  </si>
  <si>
    <t>2023A CF (UNTC US)</t>
  </si>
  <si>
    <t>Slawson Exploration Co Inc</t>
  </si>
  <si>
    <t>0713670D US Equity</t>
  </si>
  <si>
    <t>Southwest Energy LP</t>
  </si>
  <si>
    <t>366058Z US Equity</t>
  </si>
  <si>
    <t>Superior Midstream LLC</t>
  </si>
  <si>
    <t>VSH US Equity</t>
  </si>
  <si>
    <t>Estimate (VSH US)</t>
  </si>
  <si>
    <t>Vishay Intertechnology Inc</t>
  </si>
  <si>
    <t>Blyncsy Inc</t>
  </si>
  <si>
    <t>IDA US Equity</t>
  </si>
  <si>
    <t>2021A CF (IDA US)</t>
  </si>
  <si>
    <t>IDACORP Inc</t>
  </si>
  <si>
    <t>LGTY US Equity</t>
  </si>
  <si>
    <t>2023A CF (LGTY US)</t>
  </si>
  <si>
    <t>Logility Supply Chain Solutions Inc</t>
  </si>
  <si>
    <t>2024A CF (CPTP US)</t>
  </si>
  <si>
    <t>Capital Properties Inc</t>
  </si>
  <si>
    <t>PERI US Equity</t>
  </si>
  <si>
    <t>2024A CF (PERI US)</t>
  </si>
  <si>
    <t>Perion Network Ltd</t>
  </si>
  <si>
    <t>Estimate (AD NA)</t>
  </si>
  <si>
    <t>1040620D SP Equity</t>
  </si>
  <si>
    <t>Company News (RAMP US)</t>
  </si>
  <si>
    <t>Carousell Pte Ltd</t>
  </si>
  <si>
    <t>TTD US Equity</t>
  </si>
  <si>
    <t>2025Q3 CF (TTD US)</t>
  </si>
  <si>
    <t>Trade Desk Inc/The</t>
  </si>
  <si>
    <t>1116447Z LN Equity</t>
  </si>
  <si>
    <t>Heathrow Airport Ltd</t>
  </si>
  <si>
    <t>360 AU Equity</t>
  </si>
  <si>
    <t>2024Q1 CF (360 AU)</t>
  </si>
  <si>
    <t>Life360 Inc</t>
  </si>
  <si>
    <t>2024A CF (GNL US)</t>
  </si>
  <si>
    <t>2024Q4 CF (IVT US)</t>
  </si>
  <si>
    <t>2024Q1 CF (ALTO US)</t>
  </si>
  <si>
    <t>OLE Smoky Distillery LLC</t>
  </si>
  <si>
    <t>1874639D US Equity</t>
  </si>
  <si>
    <t>Vi-Jon LLC</t>
  </si>
  <si>
    <t>2306992Z SW Equity</t>
  </si>
  <si>
    <t>Alcotra SA</t>
  </si>
  <si>
    <t>2453541D US Equity</t>
  </si>
  <si>
    <t>Highline Warren LLC</t>
  </si>
  <si>
    <t>4091 JP Equity</t>
  </si>
  <si>
    <t>Nippon Sanso Holdings Corp</t>
  </si>
  <si>
    <t>TEX US Equity</t>
  </si>
  <si>
    <t>Estimate (TEX US)</t>
  </si>
  <si>
    <t>Terex Corp</t>
  </si>
  <si>
    <t>UFI US Equity</t>
  </si>
  <si>
    <t>Estimate (UFI US)</t>
  </si>
  <si>
    <t>Unifi Inc</t>
  </si>
  <si>
    <t>2025C3 CF (139480 KS)</t>
  </si>
  <si>
    <t>E-MART Inc</t>
  </si>
  <si>
    <t>MEDP US Equity</t>
  </si>
  <si>
    <t>2025Q3 CF (MEDP US)</t>
  </si>
  <si>
    <t>Medpace Holdings Inc</t>
  </si>
  <si>
    <t>004170 KS Equity</t>
  </si>
  <si>
    <t>2025C3 CF (004170 KS)</t>
  </si>
  <si>
    <t>Shinsegae Inc</t>
  </si>
  <si>
    <t>004690 KS Equity</t>
  </si>
  <si>
    <t>2025C3 CF (004690 KS)</t>
  </si>
  <si>
    <t>Samchully Co Ltd</t>
  </si>
  <si>
    <t>047040 KS Equity</t>
  </si>
  <si>
    <t>2025C3 CF (047040 KS)</t>
  </si>
  <si>
    <t>Daewoo Engineering &amp; Construction Co Ltd</t>
  </si>
  <si>
    <t>2024A CF (CRK US)</t>
  </si>
  <si>
    <t>Enterprise Products Operating LLC</t>
  </si>
  <si>
    <t>VG US Equity</t>
  </si>
  <si>
    <t>Venture Global Inc</t>
  </si>
  <si>
    <t>2023A CF (CRK US)</t>
  </si>
  <si>
    <t>1216765D US Equity</t>
  </si>
  <si>
    <t>Venture Global LNG Inc</t>
  </si>
  <si>
    <t>2022A CF (CRK US)</t>
  </si>
  <si>
    <t>CFGH EY Equity</t>
  </si>
  <si>
    <t>2023Q1 CF (CFGH EY)</t>
  </si>
  <si>
    <t>Concrete Fashion Group For Commercial And Industrial Investments</t>
  </si>
  <si>
    <t>SITC US Equity</t>
  </si>
  <si>
    <t>2023A CF (SITC US)</t>
  </si>
  <si>
    <t>SITE Centers Corp</t>
  </si>
  <si>
    <t>SNAP US Equity</t>
  </si>
  <si>
    <t>Company News (SNAP US)</t>
  </si>
  <si>
    <t>Snap Inc</t>
  </si>
  <si>
    <t>044990 KS Equity</t>
  </si>
  <si>
    <t>2024C2 CF (044990 KS)</t>
  </si>
  <si>
    <t>H&amp;S Hightech Corp</t>
  </si>
  <si>
    <t>838 HK Equity</t>
  </si>
  <si>
    <t>2021A CF (838 HK)</t>
  </si>
  <si>
    <t>EVA Precision Industrial Holdings Ltd</t>
  </si>
  <si>
    <t>AEBI US Equity</t>
  </si>
  <si>
    <t>2022Q1 CF (AEBI US)</t>
  </si>
  <si>
    <t>Aebi Schmidt Holding AG</t>
  </si>
  <si>
    <t>2025Q4 CF (DY US)</t>
  </si>
  <si>
    <t>Dycom Industries Inc</t>
  </si>
  <si>
    <t>WITH FH Equity</t>
  </si>
  <si>
    <t>2021A CF (WITH FH)</t>
  </si>
  <si>
    <t>WithSecure Oyj</t>
  </si>
  <si>
    <t>ADTN US Equity</t>
  </si>
  <si>
    <t>2022Q3 CF (ADTN US)</t>
  </si>
  <si>
    <t>ADTRAN Holdings Inc</t>
  </si>
  <si>
    <t>Company News (WINMQ US)</t>
  </si>
  <si>
    <t>1605612D IN Equity</t>
  </si>
  <si>
    <t>Company News (1605612D IN)</t>
  </si>
  <si>
    <t>Prodapt Solutions Pvt Ltd</t>
  </si>
  <si>
    <t>DLN LN Equity</t>
  </si>
  <si>
    <t>2025S1 CF (DLN LN)</t>
  </si>
  <si>
    <t>Derwent London PLC</t>
  </si>
  <si>
    <t>D-U CN Equity</t>
  </si>
  <si>
    <t>2025Q3 CF (D-U CN)</t>
  </si>
  <si>
    <t>Dream Office Real Estate Investment Trust</t>
  </si>
  <si>
    <t>2022A CF (4765 JP)</t>
  </si>
  <si>
    <t>8303022Z US Equity</t>
  </si>
  <si>
    <t>Company News (8303022Z US)</t>
  </si>
  <si>
    <t>Datameer Inc</t>
  </si>
  <si>
    <t>2024A CF (300459 CH)</t>
  </si>
  <si>
    <t>Zhejiang Jinke Tom Culture Industry Co Ltd</t>
  </si>
  <si>
    <t>Estimate (AVGO US)</t>
  </si>
  <si>
    <t>Estimate (000660 KS)</t>
  </si>
  <si>
    <t>KRC US Equity</t>
  </si>
  <si>
    <t>2025A CF (KRC US)</t>
  </si>
  <si>
    <t>Kilroy Realty Corp</t>
  </si>
  <si>
    <t>002635 CH Equity</t>
  </si>
  <si>
    <t>Estimate (002635 CH)</t>
  </si>
  <si>
    <t>Suzhou Anjie Technology Co Ltd</t>
  </si>
  <si>
    <t>300739 CH Equity</t>
  </si>
  <si>
    <t>2024A CF (300739 CH)</t>
  </si>
  <si>
    <t>Sunshine Global Circuits Co Ltd</t>
  </si>
  <si>
    <t>5460 TT Equity</t>
  </si>
  <si>
    <t>2023A CF (5460 TT)</t>
  </si>
  <si>
    <t>Mustang Industrial Corp</t>
  </si>
  <si>
    <t>6198 TT Equity</t>
  </si>
  <si>
    <t>2021A CF (6198 TT)</t>
  </si>
  <si>
    <t>Rich Circle Development Co Ltd</t>
  </si>
  <si>
    <t>2024A CF (2610 TT)</t>
  </si>
  <si>
    <t>China Airlines Ltd</t>
  </si>
  <si>
    <t>2618 TT Equity</t>
  </si>
  <si>
    <t>2024A CF (2618 TT)</t>
  </si>
  <si>
    <t>Eva Airways Corp</t>
  </si>
  <si>
    <t>LTM CI Equity</t>
  </si>
  <si>
    <t>2025A CF (LTM CI)</t>
  </si>
  <si>
    <t>Latam Airlines Group SA</t>
  </si>
  <si>
    <t>Estimate (BAS GR)</t>
  </si>
  <si>
    <t>BASF SE</t>
  </si>
  <si>
    <t>4063 JP Equity</t>
  </si>
  <si>
    <t>Estimate (4063 JP)</t>
  </si>
  <si>
    <t>Shin-Etsu Chemical Co Ltd</t>
  </si>
  <si>
    <t>Company News (SPLP US)</t>
  </si>
  <si>
    <t>White &amp; Case LLP</t>
  </si>
  <si>
    <t>2025C2 CF (ICHB MM)</t>
  </si>
  <si>
    <t>Industrias CH SAB de CV</t>
  </si>
  <si>
    <t>2024A CF (NCNO US)</t>
  </si>
  <si>
    <t>Estimate (AZTA US)</t>
  </si>
  <si>
    <t>Azenta Inc</t>
  </si>
  <si>
    <t>MRVI US Equity</t>
  </si>
  <si>
    <t>Estimate (MRVI US)</t>
  </si>
  <si>
    <t>Maravai LifeSciences Holdings Inc</t>
  </si>
  <si>
    <t>1708072D CN Equity</t>
  </si>
  <si>
    <t>Company News (CTLT US)</t>
  </si>
  <si>
    <t>Ethicann Pharmaceuticals Inc</t>
  </si>
  <si>
    <t>9502 JP Equity</t>
  </si>
  <si>
    <t>2022A CF (9502 JP)</t>
  </si>
  <si>
    <t>Chubu Electric Power Co Inc</t>
  </si>
  <si>
    <t>9503 JP Equity</t>
  </si>
  <si>
    <t>2022A CF (9503 JP)</t>
  </si>
  <si>
    <t>Kansai Electric Power Co Inc/The</t>
  </si>
  <si>
    <t>Company News (4952088Z US)</t>
  </si>
  <si>
    <t>Quintevents LLC</t>
  </si>
  <si>
    <t>6665620Z US Equity</t>
  </si>
  <si>
    <t>Incredible Technologies Inc</t>
  </si>
  <si>
    <t>9766 JP Equity</t>
  </si>
  <si>
    <t>Konami Group Corp</t>
  </si>
  <si>
    <t>AGI AU Equity</t>
  </si>
  <si>
    <t>Ainsworth Game Technology Ltd</t>
  </si>
  <si>
    <t>AGS US Equity</t>
  </si>
  <si>
    <t>PlayAGS Inc</t>
  </si>
  <si>
    <t>BFS US Equity</t>
  </si>
  <si>
    <t>2024A CF (BFS US)</t>
  </si>
  <si>
    <t>Saul Centers Inc</t>
  </si>
  <si>
    <t>2025Q1 CF (CAP FP)</t>
  </si>
  <si>
    <t>GTM US Equity</t>
  </si>
  <si>
    <t>2022Q3 CF (GTM US)</t>
  </si>
  <si>
    <t>ZoomInfo Technologies Inc</t>
  </si>
  <si>
    <t>2025Q1 CF (INFA US)</t>
  </si>
  <si>
    <t>0633565D US Equity</t>
  </si>
  <si>
    <t>2025Q4 CF (HAS US)</t>
  </si>
  <si>
    <t>Legendary Entertainment LLC</t>
  </si>
  <si>
    <t>2023A CF (HAS US)</t>
  </si>
  <si>
    <t>748448Z US Equity</t>
  </si>
  <si>
    <t>2025Q3 CF (HAS US)</t>
  </si>
  <si>
    <t>Epic Games Inc</t>
  </si>
  <si>
    <t>7867 JP Equity</t>
  </si>
  <si>
    <t>2025A CF (7867 JP)</t>
  </si>
  <si>
    <t>Tomy Co Ltd</t>
  </si>
  <si>
    <t>2331 JP Equity</t>
  </si>
  <si>
    <t>2025A CF (2331 JP)</t>
  </si>
  <si>
    <t>ALSOK Co Ltd</t>
  </si>
  <si>
    <t>8968 JP Equity</t>
  </si>
  <si>
    <t>S2</t>
  </si>
  <si>
    <t>2025S2 CF (8968 JP)</t>
  </si>
  <si>
    <t>Fukuoka REIT Corp</t>
  </si>
  <si>
    <t>2022A CF (BBLNF US)</t>
  </si>
  <si>
    <t>Company News (1611364D US)</t>
  </si>
  <si>
    <t>Veza Technologies Inc</t>
  </si>
  <si>
    <t>Company News (NCNO US)</t>
  </si>
  <si>
    <t>2025Q3 CF (NEE US)</t>
  </si>
  <si>
    <t>SEI US Equity</t>
  </si>
  <si>
    <t>2022Q3 CF (SEI US)</t>
  </si>
  <si>
    <t>Solaris Energy Infrastructure Inc</t>
  </si>
  <si>
    <t>Select Water Solutions Inc</t>
  </si>
  <si>
    <t>2024A CF (EGP US)</t>
  </si>
  <si>
    <t>144062Z US Equity</t>
  </si>
  <si>
    <t>Mattress Firm Inc</t>
  </si>
  <si>
    <t>1285854D US Equity</t>
  </si>
  <si>
    <t>Repet Inc</t>
  </si>
  <si>
    <t>3693804Z US Equity</t>
  </si>
  <si>
    <t>Consolidated Electrical Distributors Inc</t>
  </si>
  <si>
    <t>DSV DC Equity</t>
  </si>
  <si>
    <t>DSV A/S</t>
  </si>
  <si>
    <t>AWTC MK Equity</t>
  </si>
  <si>
    <t>2023A CF (AWTC MK)</t>
  </si>
  <si>
    <t>Awanbiru Technology Bhd</t>
  </si>
  <si>
    <t>2024A CF (BNTX US)</t>
  </si>
  <si>
    <t>BioNTech SE</t>
  </si>
  <si>
    <t>DIM FP Equity</t>
  </si>
  <si>
    <t>Estimate (DIM FP)</t>
  </si>
  <si>
    <t>Sartorius Stedim Biotech</t>
  </si>
  <si>
    <t>5201 JP Equity</t>
  </si>
  <si>
    <t>Estimate (5201 JP)</t>
  </si>
  <si>
    <t>AGC Inc</t>
  </si>
  <si>
    <t>Company News (MNTX US)</t>
  </si>
  <si>
    <t>Manitex International Inc</t>
  </si>
  <si>
    <t>2022A CF (TA US)</t>
  </si>
  <si>
    <t>Black Bear Diners Inc</t>
  </si>
  <si>
    <t>1732858D US Equity</t>
  </si>
  <si>
    <t>Subway IP LLC</t>
  </si>
  <si>
    <t>1965505D US Equity</t>
  </si>
  <si>
    <t>Bob Evans Restaurants LLC</t>
  </si>
  <si>
    <t>3593843Z US Equity</t>
  </si>
  <si>
    <t>Fuddruckers Inc</t>
  </si>
  <si>
    <t>COMN US Equity</t>
  </si>
  <si>
    <t>Comdata Network Inc</t>
  </si>
  <si>
    <t>Estimate (WMS US)</t>
  </si>
  <si>
    <t>Advanced Drainage Systems Inc</t>
  </si>
  <si>
    <t>1069526D US Equity</t>
  </si>
  <si>
    <t>2023A CF (HOV US)</t>
  </si>
  <si>
    <t>ABC Supply Holding Corp</t>
  </si>
  <si>
    <t>1537014D US Equity</t>
  </si>
  <si>
    <t>Artisan Design Group LLC</t>
  </si>
  <si>
    <t>3352425Z US Equity</t>
  </si>
  <si>
    <t>84 Lumber Co</t>
  </si>
  <si>
    <t>Company News (DLX US)</t>
  </si>
  <si>
    <t>Dupaco Community Credit Union Inc</t>
  </si>
  <si>
    <t>402276Z US Equity</t>
  </si>
  <si>
    <t>Arvest Bank</t>
  </si>
  <si>
    <t>465416Z US Equity</t>
  </si>
  <si>
    <t>Peoples Bancorp Inc</t>
  </si>
  <si>
    <t>Fulton Financial Corp</t>
  </si>
  <si>
    <t>PNC US Equity</t>
  </si>
  <si>
    <t>PNC Financial Services Group Inc/The</t>
  </si>
  <si>
    <t>Company News (VSEE US)</t>
  </si>
  <si>
    <t>VSee Health Inc</t>
  </si>
  <si>
    <t>2025A CF (RPRX US)</t>
  </si>
  <si>
    <t>CRSP US Equity</t>
  </si>
  <si>
    <t>2024A CF (CRSP US)</t>
  </si>
  <si>
    <t>CRISPR Therapeutics AG</t>
  </si>
  <si>
    <t>MRNA US Equity</t>
  </si>
  <si>
    <t>2025A CF (MRNA US)</t>
  </si>
  <si>
    <t>Moderna Inc</t>
  </si>
  <si>
    <t>VERV US Equity</t>
  </si>
  <si>
    <t>2025Q1 CF (VERV US)</t>
  </si>
  <si>
    <t>Verve Therapeutics Inc</t>
  </si>
  <si>
    <t>2025A CF (ARE US)</t>
  </si>
  <si>
    <t>Alexandria Real Estate Equities Inc</t>
  </si>
  <si>
    <t>NRO FP Equity</t>
  </si>
  <si>
    <t>2022A CF (NRO FP)</t>
  </si>
  <si>
    <t>Neurones</t>
  </si>
  <si>
    <t>UBXN SW Equity</t>
  </si>
  <si>
    <t>2021A CF (UBXN SW)</t>
  </si>
  <si>
    <t>u-blox Holding AG</t>
  </si>
  <si>
    <t>WALLB SS Equity</t>
  </si>
  <si>
    <t>2024A CF (WALLB SS)</t>
  </si>
  <si>
    <t>Wallenstam AB</t>
  </si>
  <si>
    <t>2024Q3 CF (SCSC US)</t>
  </si>
  <si>
    <t>INFN US Equity</t>
  </si>
  <si>
    <t>2022A CF (INFN US)</t>
  </si>
  <si>
    <t>Infinera Corp</t>
  </si>
  <si>
    <t>2024Q3 CF (BILL US)</t>
  </si>
  <si>
    <t>BILL Holdings Inc</t>
  </si>
  <si>
    <t>2025Q3 CF (CFLT US)</t>
  </si>
  <si>
    <t>DT US Equity</t>
  </si>
  <si>
    <t>2022A CF (DT US)</t>
  </si>
  <si>
    <t>Dynatrace Inc</t>
  </si>
  <si>
    <t>HCP US Equity</t>
  </si>
  <si>
    <t>2023Q1 CF (HCP US)</t>
  </si>
  <si>
    <t>HashiCorp Inc</t>
  </si>
  <si>
    <t>2023A CF (NCNO US)</t>
  </si>
  <si>
    <t>2025A CF (UCTT US)</t>
  </si>
  <si>
    <t>Ultra Clean Holdings Inc</t>
  </si>
  <si>
    <t>AEIS US Equity</t>
  </si>
  <si>
    <t>2024A CF (AEIS US)</t>
  </si>
  <si>
    <t>Advanced Energy Industries Inc</t>
  </si>
  <si>
    <t>2025A CF (BHE US)</t>
  </si>
  <si>
    <t>ICHR US Equity</t>
  </si>
  <si>
    <t>2025A CF (ICHR US)</t>
  </si>
  <si>
    <t>Ichor Holdings Ltd</t>
  </si>
  <si>
    <t>2024A CF (GEO US)</t>
  </si>
  <si>
    <t>0006698D US Equity</t>
  </si>
  <si>
    <t>Company News (GEO US)</t>
  </si>
  <si>
    <t>DHS US Immigration &amp; Customs Enforcement</t>
  </si>
  <si>
    <t>0007161D US Equity</t>
  </si>
  <si>
    <t>State of Alaska Department of Corrections</t>
  </si>
  <si>
    <t>0007165D US Equity</t>
  </si>
  <si>
    <t>Oklahoma Department of Corrections</t>
  </si>
  <si>
    <t>0007468D US Equity</t>
  </si>
  <si>
    <t>Florida Department of Management Services</t>
  </si>
  <si>
    <t>2021A CF (9990253D US)</t>
  </si>
  <si>
    <t>Kelley Williamson Co</t>
  </si>
  <si>
    <t>0220462Z US Equity</t>
  </si>
  <si>
    <t>TREAS Bureau of Engraving &amp; Printing</t>
  </si>
  <si>
    <t>29638Z US Equity</t>
  </si>
  <si>
    <t>United States National Aeronautics &amp; Space Administration</t>
  </si>
  <si>
    <t>3471626Z US Equity</t>
  </si>
  <si>
    <t>DOD United States Department of The Air Force</t>
  </si>
  <si>
    <t>ILPT US Equity</t>
  </si>
  <si>
    <t>2023A CF (ILPT US)</t>
  </si>
  <si>
    <t>Industrial Logistics Properties Trust</t>
  </si>
  <si>
    <t>Company News (PARR US)</t>
  </si>
  <si>
    <t>Estimate (ATR US)</t>
  </si>
  <si>
    <t>AptarGroup Inc</t>
  </si>
  <si>
    <t>ARDS US Equity</t>
  </si>
  <si>
    <t>2022A CF (ARDS US)</t>
  </si>
  <si>
    <t>Aridis Pharmaceuticals Inc</t>
  </si>
  <si>
    <t>CMRX US Equity</t>
  </si>
  <si>
    <t>2024A CF (CMRX US)</t>
  </si>
  <si>
    <t>Chimerix Inc</t>
  </si>
  <si>
    <t>2024A CF (MDC US)</t>
  </si>
  <si>
    <t>Sekisui House US Inc</t>
  </si>
  <si>
    <t>SMARTWOR IN Equity</t>
  </si>
  <si>
    <t>2025A CF (SMARTWOR IN)</t>
  </si>
  <si>
    <t>Smartworks Coworking Spaces Ltd</t>
  </si>
  <si>
    <t>RPR-U CN Equity</t>
  </si>
  <si>
    <t>2024A CF (RPR-U CN)</t>
  </si>
  <si>
    <t>Ravelin Properties REIT</t>
  </si>
  <si>
    <t>3105 TT Equity</t>
  </si>
  <si>
    <t>Estimate (3105 TT)</t>
  </si>
  <si>
    <t>Win Semiconductors Corp</t>
  </si>
  <si>
    <t>TSEM IT Equity</t>
  </si>
  <si>
    <t>Estimate (TSEM IT)</t>
  </si>
  <si>
    <t>Tower Semiconductor Ltd</t>
  </si>
  <si>
    <t>2025A CF (NCNO US)</t>
  </si>
  <si>
    <t>2024Q2 CF (1012751D US)</t>
  </si>
  <si>
    <t>Red Lobster Management LLC</t>
  </si>
  <si>
    <t>BKNG US Equity</t>
  </si>
  <si>
    <t>Company News (BKNG US)</t>
  </si>
  <si>
    <t>Booking Holdings Inc</t>
  </si>
  <si>
    <t>CMCSA US Equity</t>
  </si>
  <si>
    <t>Company News (OMC US)</t>
  </si>
  <si>
    <t>Comcast Corp</t>
  </si>
  <si>
    <t>DGE LN Equity</t>
  </si>
  <si>
    <t>Media News (DGE LN)</t>
  </si>
  <si>
    <t>Diageo PLC</t>
  </si>
  <si>
    <t>DIS US Equity</t>
  </si>
  <si>
    <t>Walt Disney Co/The</t>
  </si>
  <si>
    <t>0180134Z US Equity</t>
  </si>
  <si>
    <t>2023A CF (CAMPQ US)</t>
  </si>
  <si>
    <t>Commonwealth of Pennsylvania Department of Health</t>
  </si>
  <si>
    <t>0189358Z US Equity</t>
  </si>
  <si>
    <t>2024Q2 CF (CAMPQ US)</t>
  </si>
  <si>
    <t>Virginia Department of Transportation</t>
  </si>
  <si>
    <t>0824697D US Equity</t>
  </si>
  <si>
    <t>Broward County Public Schools</t>
  </si>
  <si>
    <t>0859692D US Equity</t>
  </si>
  <si>
    <t>Omnitracs LLC</t>
  </si>
  <si>
    <t>2025Q1 CF (FISV US)</t>
  </si>
  <si>
    <t>2022A CF (294090 KS)</t>
  </si>
  <si>
    <t>Eoflow Co Ltd</t>
  </si>
  <si>
    <t>301165 CH Equity</t>
  </si>
  <si>
    <t>2022S1 CF (301165 CH)</t>
  </si>
  <si>
    <t>Ruijie Networks Co Ltd</t>
  </si>
  <si>
    <t>2025A CF (IT US)</t>
  </si>
  <si>
    <t>APGTQ US Equity</t>
  </si>
  <si>
    <t>2024Q1 CF (APGTQ US)</t>
  </si>
  <si>
    <t>Appgate Inc</t>
  </si>
  <si>
    <t>2022A CF (AWTC MK)</t>
  </si>
  <si>
    <t>2023S1 CF (MPW AU)</t>
  </si>
  <si>
    <t>Metal Powder Works Ltd</t>
  </si>
  <si>
    <t>2023A CF (CLCO LN)</t>
  </si>
  <si>
    <t>Cloudcoco Group PLC</t>
  </si>
  <si>
    <t>MEGACPO MM Equity</t>
  </si>
  <si>
    <t>2024A CF (MEGACPO MM)</t>
  </si>
  <si>
    <t>Megacable Holdings SAB de CV</t>
  </si>
  <si>
    <t>2024Q1 CF (SCSC US)</t>
  </si>
  <si>
    <t>2022Q3 CF (QUIS CN)</t>
  </si>
  <si>
    <t>Quisitive Technology Solutions Inc</t>
  </si>
  <si>
    <t>2024A CF (SKYW US)</t>
  </si>
  <si>
    <t>ALK US Equity</t>
  </si>
  <si>
    <t>2025A CF (ALK US)</t>
  </si>
  <si>
    <t>Alaska Air Group Inc</t>
  </si>
  <si>
    <t>2025A CF (DAL US)</t>
  </si>
  <si>
    <t>SRFM US Equity</t>
  </si>
  <si>
    <t>2024A CF (SRFM US)</t>
  </si>
  <si>
    <t>Surf Air Mobility Inc</t>
  </si>
  <si>
    <t>2025A CF (UAL US)</t>
  </si>
  <si>
    <t>142739Z US Equity</t>
  </si>
  <si>
    <t>2024A CF (RARE US)</t>
  </si>
  <si>
    <t>Texas A&amp;M University</t>
  </si>
  <si>
    <t>1685453D GR Equity</t>
  </si>
  <si>
    <t>2025A CF (RARE US)</t>
  </si>
  <si>
    <t>Rentschler Biopharma SE</t>
  </si>
  <si>
    <t>1877092D US Equity</t>
  </si>
  <si>
    <t>Company News (RARE US)</t>
  </si>
  <si>
    <t>Andelyn Biosciences Inc</t>
  </si>
  <si>
    <t>2024A CF (HE US)</t>
  </si>
  <si>
    <t>Hawaiian Electric Industries Inc</t>
  </si>
  <si>
    <t>Estimate (PLAB US)</t>
  </si>
  <si>
    <t>United Microelectronics Corp</t>
  </si>
  <si>
    <t>981 HK Equity</t>
  </si>
  <si>
    <t>Semiconductor Manufacturing International Corp</t>
  </si>
  <si>
    <t>2025A CF (CW US)</t>
  </si>
  <si>
    <t>GD US Equity</t>
  </si>
  <si>
    <t>General Dynamics Corp</t>
  </si>
  <si>
    <t>Company News (1337172D IT)</t>
  </si>
  <si>
    <t>Cato Networks Ltd</t>
  </si>
  <si>
    <t>2024A CF (DCREIT SP)</t>
  </si>
  <si>
    <t>Digital Core REIT Management Pte Ltd</t>
  </si>
  <si>
    <t>CIEN US Equity</t>
  </si>
  <si>
    <t>2024Q3 CF (CIEN US)</t>
  </si>
  <si>
    <t>Ciena Corp</t>
  </si>
  <si>
    <t>DLR US Equity</t>
  </si>
  <si>
    <t>2025A CF (DLR US)</t>
  </si>
  <si>
    <t>Digital Realty Trust Inc</t>
  </si>
  <si>
    <t>EQIX US Equity</t>
  </si>
  <si>
    <t>2024A CF (EQIX US)</t>
  </si>
  <si>
    <t>Equinix Inc</t>
  </si>
  <si>
    <t>2025Q3 CF (WSO US)</t>
  </si>
  <si>
    <t>FSV CN Equity</t>
  </si>
  <si>
    <t>Company News (WSO US)</t>
  </si>
  <si>
    <t>FirstService Corp</t>
  </si>
  <si>
    <t>1554630D US Equity</t>
  </si>
  <si>
    <t>2025A CF (ROP US)</t>
  </si>
  <si>
    <t>OpenAI Foundation</t>
  </si>
  <si>
    <t>1892140D US Equity</t>
  </si>
  <si>
    <t>Anthropic PBC</t>
  </si>
  <si>
    <t>920491 CH Equity</t>
  </si>
  <si>
    <t>2023A CF (920491 CH)</t>
  </si>
  <si>
    <t>Audiowell Electronics Guangdong Co Ltd</t>
  </si>
  <si>
    <t>2025C3 CF (039560 KS)</t>
  </si>
  <si>
    <t>154040 KS Equity</t>
  </si>
  <si>
    <t>2024A CF (154040 KS)</t>
  </si>
  <si>
    <t>Dasan Solueta Co Ltd</t>
  </si>
  <si>
    <t>208860 KS Equity</t>
  </si>
  <si>
    <t>2025C2 CF (208860 KS)</t>
  </si>
  <si>
    <t>DASAN DMC Co Ltd</t>
  </si>
  <si>
    <t>389020 KS Equity</t>
  </si>
  <si>
    <t>2025C3 CF (389020 KS)</t>
  </si>
  <si>
    <t>Zaram Technology Inc</t>
  </si>
  <si>
    <t>4147029Z US Equity</t>
  </si>
  <si>
    <t>Summit Technology Group LLC</t>
  </si>
  <si>
    <t>NTAP US Equity</t>
  </si>
  <si>
    <t>2026Q3 CF (NTAP US)</t>
  </si>
  <si>
    <t>NetApp Inc</t>
  </si>
  <si>
    <t>Texas Instruments Inc</t>
  </si>
  <si>
    <t>2024Q3 CF (GME US)</t>
  </si>
  <si>
    <t>Immutable X Pty Ltd</t>
  </si>
  <si>
    <t>Estimate (PLUG US)</t>
  </si>
  <si>
    <t>Plug Power Inc</t>
  </si>
  <si>
    <t>1003Z GR Equity</t>
  </si>
  <si>
    <t>Estimate (1003Z GR)</t>
  </si>
  <si>
    <t>ZF Friedrichshafen AG</t>
  </si>
  <si>
    <t>ALSN US Equity</t>
  </si>
  <si>
    <t>Estimate (ALSN US)</t>
  </si>
  <si>
    <t>Allison Transmission Holdings Inc</t>
  </si>
  <si>
    <t>GTLS US Equity</t>
  </si>
  <si>
    <t>Estimate (GTLS US)</t>
  </si>
  <si>
    <t>Chart Industries Inc</t>
  </si>
  <si>
    <t>Estimate (FICO US)</t>
  </si>
  <si>
    <t>Estimate (NTAP US)</t>
  </si>
  <si>
    <t>Estimate (CAP FP)</t>
  </si>
  <si>
    <t>2024A CF (SLG US)</t>
  </si>
  <si>
    <t>SL Green Realty Corp</t>
  </si>
  <si>
    <t>SYGIL IN Equity</t>
  </si>
  <si>
    <t>2025A CF (SYGIL IN)</t>
  </si>
  <si>
    <t>Synergy Green Industries Ltd</t>
  </si>
  <si>
    <t>2024A CF (DLN LN)</t>
  </si>
  <si>
    <t>2353 TT Equity</t>
  </si>
  <si>
    <t>Estimate (2353 TT)</t>
  </si>
  <si>
    <t>Acer Inc</t>
  </si>
  <si>
    <t>Health Gorilla Inc</t>
  </si>
  <si>
    <t>1235509D SW Equity</t>
  </si>
  <si>
    <t>Proteomedix AG</t>
  </si>
  <si>
    <t>2021A CF (405 HK)</t>
  </si>
  <si>
    <t>ATS CN Equity</t>
  </si>
  <si>
    <t>2024Q1 CF (ATS CN)</t>
  </si>
  <si>
    <t>ATS Corp</t>
  </si>
  <si>
    <t>BIOCQ US Equity</t>
  </si>
  <si>
    <t>2022A CF (BIOCQ US)</t>
  </si>
  <si>
    <t>Biocept Inc</t>
  </si>
  <si>
    <t>2024Q3 CF (4401 TT)</t>
  </si>
  <si>
    <t>Toung Loong Textile Manufacturing</t>
  </si>
  <si>
    <t>Estimate (TTD US)</t>
  </si>
  <si>
    <t>2023C3 CF (053300 KS)</t>
  </si>
  <si>
    <t>Company News (066570 KS)</t>
  </si>
  <si>
    <t>8 HK Equity</t>
  </si>
  <si>
    <t>2022S1 CF (8 HK)</t>
  </si>
  <si>
    <t>PCCW Ltd</t>
  </si>
  <si>
    <t>Estimate (MEC US)</t>
  </si>
  <si>
    <t>Mayville Engineering Co Inc</t>
  </si>
  <si>
    <t>24195Z US Equity</t>
  </si>
  <si>
    <t>2025A CF (SPH US)</t>
  </si>
  <si>
    <t>PJM Interconnection LLC</t>
  </si>
  <si>
    <t>289899Z US Equity</t>
  </si>
  <si>
    <t>New York Independent System Operator Inc/The</t>
  </si>
  <si>
    <t>CEQP US Equity</t>
  </si>
  <si>
    <t>2022A CF (SPH US)</t>
  </si>
  <si>
    <t>Crestwood Equity Partners LP</t>
  </si>
  <si>
    <t>ET US Equity</t>
  </si>
  <si>
    <t>Energy Transfer LP</t>
  </si>
  <si>
    <t>WEX US Equity</t>
  </si>
  <si>
    <t>2022Q1 CF (WEX US)</t>
  </si>
  <si>
    <t>WEX Inc</t>
  </si>
  <si>
    <t>GOOD US Equity</t>
  </si>
  <si>
    <t>2025Q2 CF (GOOD US)</t>
  </si>
  <si>
    <t>Gladstone Commercial Corp</t>
  </si>
  <si>
    <t>TNT-U CN Equity</t>
  </si>
  <si>
    <t>2024A CF (TNT-U CN)</t>
  </si>
  <si>
    <t>True North Commercial Real Estate Investment Trust</t>
  </si>
  <si>
    <t>1085090D US Equity</t>
  </si>
  <si>
    <t>Checkr Inc</t>
  </si>
  <si>
    <t>SSABA SS Equity</t>
  </si>
  <si>
    <t>Estimate (SSABA SS)</t>
  </si>
  <si>
    <t>SSAB AB</t>
  </si>
  <si>
    <t>600495 CH Equity</t>
  </si>
  <si>
    <t>2024S1 CF (600495 CH)</t>
  </si>
  <si>
    <t>Jinxi Axle Co Ltd</t>
  </si>
  <si>
    <t>2022A CF (LMRT SP)</t>
  </si>
  <si>
    <t>Lippo Malls Indonesia Retail Trust</t>
  </si>
  <si>
    <t>QMCI US Equity</t>
  </si>
  <si>
    <t>Company News (QMCI US)</t>
  </si>
  <si>
    <t>QuoteMedia Inc</t>
  </si>
  <si>
    <t>2025Q3 CF (KLXE US)</t>
  </si>
  <si>
    <t>BTA Oil Producers LLC</t>
  </si>
  <si>
    <t>APA US Equity</t>
  </si>
  <si>
    <t>APA Corp</t>
  </si>
  <si>
    <t>CIVI US Equity</t>
  </si>
  <si>
    <t>Civitas Resources Inc</t>
  </si>
  <si>
    <t>CLR US Equity</t>
  </si>
  <si>
    <t>Continental Resources Inc/OK</t>
  </si>
  <si>
    <t>0051996D US Equity</t>
  </si>
  <si>
    <t>Company News (CWST US)</t>
  </si>
  <si>
    <t>Routeware Inc</t>
  </si>
  <si>
    <t>WAGA FP Equity</t>
  </si>
  <si>
    <t>Company News (WAGA FP)</t>
  </si>
  <si>
    <t>Waga Energy SA</t>
  </si>
  <si>
    <t>PLUS US Equity</t>
  </si>
  <si>
    <t>Estimate (PLUS US)</t>
  </si>
  <si>
    <t>ePlus Inc</t>
  </si>
  <si>
    <t>2025Q2 CF (CAMPQ US)</t>
  </si>
  <si>
    <t>Marketstar Corp</t>
  </si>
  <si>
    <t>0964375D US Equity</t>
  </si>
  <si>
    <t>LeanData Inc</t>
  </si>
  <si>
    <t>2966634Z US Equity</t>
  </si>
  <si>
    <t>Demandbase Inc</t>
  </si>
  <si>
    <t>6285 TT Equity</t>
  </si>
  <si>
    <t>WNC Corp /Taiwan</t>
  </si>
  <si>
    <t>7948134Z HK Equity</t>
  </si>
  <si>
    <t>Evercom International Ltd</t>
  </si>
  <si>
    <t>Thermo Fisher Scientific Inc</t>
  </si>
  <si>
    <t>LYB US Equity</t>
  </si>
  <si>
    <t>LyondellBasell Industries NV</t>
  </si>
  <si>
    <t>1COV GR Equity</t>
  </si>
  <si>
    <t>Covestro AG</t>
  </si>
  <si>
    <t>Estimate (981 HK)</t>
  </si>
  <si>
    <t>WAF GR Equity</t>
  </si>
  <si>
    <t>Estimate (WAF GR)</t>
  </si>
  <si>
    <t>Siltronic AG</t>
  </si>
  <si>
    <t>8035 JP Equity</t>
  </si>
  <si>
    <t>Estimate (8035 JP)</t>
  </si>
  <si>
    <t>Tokyo Electron Ltd</t>
  </si>
  <si>
    <t>600584 CH Equity</t>
  </si>
  <si>
    <t>Estimate (600584 CH)</t>
  </si>
  <si>
    <t>JCET Group Co Ltd</t>
  </si>
  <si>
    <t>Estimate (3711 TT)</t>
  </si>
  <si>
    <t>Company News (PATK US)</t>
  </si>
  <si>
    <t>Ecoflow Ltd</t>
  </si>
  <si>
    <t>ALE US Equity</t>
  </si>
  <si>
    <t>2021A CF (ALE US)</t>
  </si>
  <si>
    <t>ALLETE Inc</t>
  </si>
  <si>
    <t>7013 JP Equity</t>
  </si>
  <si>
    <t>Estimate (7013 JP)</t>
  </si>
  <si>
    <t>IHI Corp</t>
  </si>
  <si>
    <t>SAABB SS Equity</t>
  </si>
  <si>
    <t>Estimate (SAABB SS)</t>
  </si>
  <si>
    <t>Saab AB</t>
  </si>
  <si>
    <t>Estimate (BA/ LN)</t>
  </si>
  <si>
    <t>Company News (UPBD US)</t>
  </si>
  <si>
    <t>Hanks Fine Furniture</t>
  </si>
  <si>
    <t>2022Q3 CF (COL SM)</t>
  </si>
  <si>
    <t>Colonial SFL Socimi SA</t>
  </si>
  <si>
    <t>Estimate (TT US)</t>
  </si>
  <si>
    <t>0065606D US Equity</t>
  </si>
  <si>
    <t>2023A CF (AZZ US)</t>
  </si>
  <si>
    <t>Mueller Inc</t>
  </si>
  <si>
    <t>0112112D US Equity</t>
  </si>
  <si>
    <t>McElroy Metal Mill Inc</t>
  </si>
  <si>
    <t>1610947D US Equity</t>
  </si>
  <si>
    <t>Metal Sales Manufacturing Corp</t>
  </si>
  <si>
    <t>20222Z US Equity</t>
  </si>
  <si>
    <t>Behlen Mfg. Co</t>
  </si>
  <si>
    <t>2023A CF (EXE US)</t>
  </si>
  <si>
    <t>Gunvor Group Ltd</t>
  </si>
  <si>
    <t>HC Composites LLC</t>
  </si>
  <si>
    <t>0573322D US Equity</t>
  </si>
  <si>
    <t>Grady-White Boats Inc</t>
  </si>
  <si>
    <t>0835869D US Equity</t>
  </si>
  <si>
    <t>Tiara Yachts Inc</t>
  </si>
  <si>
    <t>0867254D AU Equity</t>
  </si>
  <si>
    <t>Riviera Australia Pty Ltd</t>
  </si>
  <si>
    <t>0909837D ID Equity</t>
  </si>
  <si>
    <t>Sunseeker Yacht Holdings Ltd</t>
  </si>
  <si>
    <t>005820 KS Equity</t>
  </si>
  <si>
    <t>2025C3 CF (005820 KS)</t>
  </si>
  <si>
    <t>Wonlim Corp</t>
  </si>
  <si>
    <t>056090 KS Equity</t>
  </si>
  <si>
    <t>2025C3 CF (056090 KS)</t>
  </si>
  <si>
    <t>CG MedTech Co Ltd</t>
  </si>
  <si>
    <t>3716 TT Equity</t>
  </si>
  <si>
    <t>2024A CF (3716 TT)</t>
  </si>
  <si>
    <t>Cenra Inc</t>
  </si>
  <si>
    <t>4164 TT Equity</t>
  </si>
  <si>
    <t>2022A CF (4164 TT)</t>
  </si>
  <si>
    <t>CHC Healthcare Group</t>
  </si>
  <si>
    <t>2024A CF (EVH US)</t>
  </si>
  <si>
    <t>Evolent Health Inc</t>
  </si>
  <si>
    <t>ACAD US Equity</t>
  </si>
  <si>
    <t>Estimate (ACAD US)</t>
  </si>
  <si>
    <t>ACADIA Pharmaceuticals Inc</t>
  </si>
  <si>
    <t>Kyowa Kirin Co Ltd</t>
  </si>
  <si>
    <t>Estimate (RARE US)</t>
  </si>
  <si>
    <t>4568 JP Equity</t>
  </si>
  <si>
    <t>2025A CF (4568 JP)</t>
  </si>
  <si>
    <t>Daiichi Sankyo Co Ltd</t>
  </si>
  <si>
    <t>URI US Equity</t>
  </si>
  <si>
    <t>United Rentals Inc</t>
  </si>
  <si>
    <t>6305 JP Equity</t>
  </si>
  <si>
    <t>Hitachi Construction Machinery Co Ltd</t>
  </si>
  <si>
    <t>CTVA US Equity</t>
  </si>
  <si>
    <t>Corteva Inc</t>
  </si>
  <si>
    <t>MASI US Equity</t>
  </si>
  <si>
    <t>Estimate (MASI US)</t>
  </si>
  <si>
    <t>Masimo Corp</t>
  </si>
  <si>
    <t>AMCR US Equity</t>
  </si>
  <si>
    <t>Estimate (AMCR US)</t>
  </si>
  <si>
    <t>Amcor PLC</t>
  </si>
  <si>
    <t>UFPT US Equity</t>
  </si>
  <si>
    <t>Estimate (UFPT US)</t>
  </si>
  <si>
    <t>UFP Technologies Inc</t>
  </si>
  <si>
    <t>142280 KS Equity</t>
  </si>
  <si>
    <t>2025C3 CF (142280 KS)</t>
  </si>
  <si>
    <t>Green Cross Medical Science Corp</t>
  </si>
  <si>
    <t>2025A CF (FLO US)</t>
  </si>
  <si>
    <t>Estimate (FLO US)</t>
  </si>
  <si>
    <t>2455892D US Equity</t>
  </si>
  <si>
    <t>Publix Super Markets Inc</t>
  </si>
  <si>
    <t>2022Q1 CF (ASCL LN)</t>
  </si>
  <si>
    <t>Company News (8247120Z US)</t>
  </si>
  <si>
    <t>Prove Identity Inc</t>
  </si>
  <si>
    <t>2023A CF (DELL US)</t>
  </si>
  <si>
    <t>2025A CF (UFPT US)</t>
  </si>
  <si>
    <t>KE US Equity</t>
  </si>
  <si>
    <t>Estimate (KE US)</t>
  </si>
  <si>
    <t>Kimball Electronics Inc</t>
  </si>
  <si>
    <t>DSFIR NA Equity</t>
  </si>
  <si>
    <t>Estimate (DSFIR NA)</t>
  </si>
  <si>
    <t>DSM-Firmenich AG</t>
  </si>
  <si>
    <t>861 HK Equity</t>
  </si>
  <si>
    <t>Digital China Holdings Ltd</t>
  </si>
  <si>
    <t>002906 CH Equity</t>
  </si>
  <si>
    <t>Foryou Corp</t>
  </si>
  <si>
    <t>2026Q4 CF (CSGS US)</t>
  </si>
  <si>
    <t>CSG Systems International Inc</t>
  </si>
  <si>
    <t>2024A CF (3702 TT)</t>
  </si>
  <si>
    <t>TH CN Equity</t>
  </si>
  <si>
    <t>2022A CF (TH CN)</t>
  </si>
  <si>
    <t>Theratechnologies Inc</t>
  </si>
  <si>
    <t>Company News (1514239D US)</t>
  </si>
  <si>
    <t>Greenlight Financial Technology Inc</t>
  </si>
  <si>
    <t>2024A CF (BRK/A US)</t>
  </si>
  <si>
    <t>YUM US Equity</t>
  </si>
  <si>
    <t>Yum! Brands Inc</t>
  </si>
  <si>
    <t>2357 TT Equity</t>
  </si>
  <si>
    <t>Estimate (2357 TT)</t>
  </si>
  <si>
    <t>Asustek Computer Inc</t>
  </si>
  <si>
    <t>Estimate (6758 JP)</t>
  </si>
  <si>
    <t>WHR US Equity</t>
  </si>
  <si>
    <t>Estimate (WHR US)</t>
  </si>
  <si>
    <t>Whirlpool Corp</t>
  </si>
  <si>
    <t>2025Q3 CF (UAL US)</t>
  </si>
  <si>
    <t>0116581D US Equity</t>
  </si>
  <si>
    <t>2022A CF (CALX US)</t>
  </si>
  <si>
    <t>National Information Solutions Cooperative Inc</t>
  </si>
  <si>
    <t>1054789D US Equity</t>
  </si>
  <si>
    <t>2023A CF (CALX US)</t>
  </si>
  <si>
    <t>Pivot Group Inc</t>
  </si>
  <si>
    <t>AROC US Equity</t>
  </si>
  <si>
    <t>Estimate (AROC US)</t>
  </si>
  <si>
    <t>Archrock Inc</t>
  </si>
  <si>
    <t>1711553D US Equity</t>
  </si>
  <si>
    <t>Delfin LNG LLC</t>
  </si>
  <si>
    <t>2457842D US Equity</t>
  </si>
  <si>
    <t>Company News (EXE US)</t>
  </si>
  <si>
    <t>Evolution Well Services LLC</t>
  </si>
  <si>
    <t>CTO US Equity</t>
  </si>
  <si>
    <t>2024A CF (CTO US)</t>
  </si>
  <si>
    <t>CTO Realty Growth Inc</t>
  </si>
  <si>
    <t>2024A CF (SITC US)</t>
  </si>
  <si>
    <t>0008920D US Equity</t>
  </si>
  <si>
    <t>2025Q3 CF (JAS US)</t>
  </si>
  <si>
    <t>RM Palmer Co</t>
  </si>
  <si>
    <t>2024A CF (1788 TT)</t>
  </si>
  <si>
    <t>Hi-Clearance Inc</t>
  </si>
  <si>
    <t>003000 KS Equity</t>
  </si>
  <si>
    <t>2025C3 CF (003000 KS)</t>
  </si>
  <si>
    <t>Bukwang Pharmaceutical Co Ltd</t>
  </si>
  <si>
    <t>2022A CF (142280 KS)</t>
  </si>
  <si>
    <t>26794MF US Equity</t>
  </si>
  <si>
    <t>Company News (BAX US)</t>
  </si>
  <si>
    <t>Medical University of South Carolina/The</t>
  </si>
  <si>
    <t>2025C3 CF (4164 TT)</t>
  </si>
  <si>
    <t>DAN US Equity</t>
  </si>
  <si>
    <t>2025Q1 CF (DAN US)</t>
  </si>
  <si>
    <t>Dana Inc</t>
  </si>
  <si>
    <t>5108 JP Equity</t>
  </si>
  <si>
    <t>Bridgestone Corp</t>
  </si>
  <si>
    <t>GSK PLC</t>
  </si>
  <si>
    <t>1952 HK Equity</t>
  </si>
  <si>
    <t>2025Q2 CF (INVA US)</t>
  </si>
  <si>
    <t>Everest Medicines Ltd</t>
  </si>
  <si>
    <t>ZLAB US Equity</t>
  </si>
  <si>
    <t>Zai Lab Ltd</t>
  </si>
  <si>
    <t>2024A CF (INVA US)</t>
  </si>
  <si>
    <t>0777586D US Equity</t>
  </si>
  <si>
    <t>HHS NIH National Institute of Allergy &amp; Infectious Diseases</t>
  </si>
  <si>
    <t>Company News (CALX US)</t>
  </si>
  <si>
    <t>Innovative Systems Inc</t>
  </si>
  <si>
    <t>0061719D US Equity</t>
  </si>
  <si>
    <t>2024A CF (CALX US)</t>
  </si>
  <si>
    <t>Hunter Communications Inc</t>
  </si>
  <si>
    <t>0081762D US Equity</t>
  </si>
  <si>
    <t>Pinnacle Marketing Group LLC</t>
  </si>
  <si>
    <t>0111911Z US Equity</t>
  </si>
  <si>
    <t>Boycom Cablevision Inc</t>
  </si>
  <si>
    <t>0162494Z US Equity</t>
  </si>
  <si>
    <t>Jade Communications Inc</t>
  </si>
  <si>
    <t>23279Z US Equity</t>
  </si>
  <si>
    <t>2024A CF (CPK US)</t>
  </si>
  <si>
    <t>Gulfstream Natural Gas System LLC</t>
  </si>
  <si>
    <t>2636454D US Equity</t>
  </si>
  <si>
    <t>Florida Southeast Connection LLC</t>
  </si>
  <si>
    <t>6036Z US Equity</t>
  </si>
  <si>
    <t>2023A CF (CPK US)</t>
  </si>
  <si>
    <t>Florida Gas Transmission Co LLC</t>
  </si>
  <si>
    <t>EMA CN Equity</t>
  </si>
  <si>
    <t>Emera Inc</t>
  </si>
  <si>
    <t>2022Q2 CF (INVE US)</t>
  </si>
  <si>
    <t>Consumers Gas Cooperative</t>
  </si>
  <si>
    <t>NI US Equity</t>
  </si>
  <si>
    <t>NiSource Inc</t>
  </si>
  <si>
    <t>1751463D US Equity</t>
  </si>
  <si>
    <t>Guernsey Power Station LLC</t>
  </si>
  <si>
    <t>Company News (CPK US)</t>
  </si>
  <si>
    <t>BRG NO Equity</t>
  </si>
  <si>
    <t>2021A CF (CPK US)</t>
  </si>
  <si>
    <t>Borregaard ASA</t>
  </si>
  <si>
    <t>2021A CF (GRT-U CN)</t>
  </si>
  <si>
    <t>Granite Real Estate Investment Trust</t>
  </si>
  <si>
    <t>Estimate (293 HK)</t>
  </si>
  <si>
    <t>Cathay Pacific Airways Ltd</t>
  </si>
  <si>
    <t>003490 KS Equity</t>
  </si>
  <si>
    <t>2024A CF (AAL US)</t>
  </si>
  <si>
    <t>Korean Air Lines Co Ltd</t>
  </si>
  <si>
    <t>0108529D US Equity</t>
  </si>
  <si>
    <t>Company News (AAL US)</t>
  </si>
  <si>
    <t>DHS US Customs &amp; Border Protection</t>
  </si>
  <si>
    <t>0118883D FS Equity</t>
  </si>
  <si>
    <t>Air Pacific Ltd</t>
  </si>
  <si>
    <t>0207499D JP Equity</t>
  </si>
  <si>
    <t>Jetstar Japan KK</t>
  </si>
  <si>
    <t>SICPA Holding SA</t>
  </si>
  <si>
    <t>AKR US Equity</t>
  </si>
  <si>
    <t>2025A CF (AKR US)</t>
  </si>
  <si>
    <t>Acadia Realty Trust</t>
  </si>
  <si>
    <t>2025C3 CF (010120 KS)</t>
  </si>
  <si>
    <t>LS Electric Co Ltd</t>
  </si>
  <si>
    <t>2025A CF (BWA US)</t>
  </si>
  <si>
    <t>F US Equity</t>
  </si>
  <si>
    <t>Ford Motor Co</t>
  </si>
  <si>
    <t>Estimate (BWA US)</t>
  </si>
  <si>
    <t>STLA US Equity</t>
  </si>
  <si>
    <t>Stellantis NV</t>
  </si>
  <si>
    <t>036560 KS Equity</t>
  </si>
  <si>
    <t>2025C3 CF (036560 KS)</t>
  </si>
  <si>
    <t>KZ Precision Corp</t>
  </si>
  <si>
    <t>300963 CH Equity</t>
  </si>
  <si>
    <t>2025S1 CF (300963 CH)</t>
  </si>
  <si>
    <t>Shanghai Zhongzhou Special Alloy Materials Co Ltd</t>
  </si>
  <si>
    <t>4580 TT Equity</t>
  </si>
  <si>
    <t>2025Q2 CF (4580 TT)</t>
  </si>
  <si>
    <t>Value Valves Co Ltd</t>
  </si>
  <si>
    <t>9506 JP Equity</t>
  </si>
  <si>
    <t>2022A CF (9506 JP)</t>
  </si>
  <si>
    <t>Tohoku Electric Power Co Inc</t>
  </si>
  <si>
    <t>2023A CF (INSM US)</t>
  </si>
  <si>
    <t>Therapure Biopharma Inc</t>
  </si>
  <si>
    <t>1354675D US Equity</t>
  </si>
  <si>
    <t>2024A CF (INSM US)</t>
  </si>
  <si>
    <t>Cystic Fibrosis Foundation Therapeutics Inc</t>
  </si>
  <si>
    <t>1843866Z LN Equity</t>
  </si>
  <si>
    <t>Patheon UK Ltd</t>
  </si>
  <si>
    <t>1889545D CN Equity</t>
  </si>
  <si>
    <t>Resilience Biotechnologies Inc</t>
  </si>
  <si>
    <t>3016812Z SM Equity</t>
  </si>
  <si>
    <t>Esteve Pharmaceuticals SA</t>
  </si>
  <si>
    <t>MRO LN Equity</t>
  </si>
  <si>
    <t>Estimate (MRO LN)</t>
  </si>
  <si>
    <t>Melrose Industries PLC</t>
  </si>
  <si>
    <t>PH US Equity</t>
  </si>
  <si>
    <t>Estimate (PH US)</t>
  </si>
  <si>
    <t>Parker-Hannifin Corp</t>
  </si>
  <si>
    <t>2025A CF (MRK US)</t>
  </si>
  <si>
    <t>2503567D CH Equity</t>
  </si>
  <si>
    <t>LaNova Medicines Ltd</t>
  </si>
  <si>
    <t>Estimate (THO US)</t>
  </si>
  <si>
    <t>Thor Industries Inc</t>
  </si>
  <si>
    <t>2024A CF (PATK US)</t>
  </si>
  <si>
    <t>PII US Equity</t>
  </si>
  <si>
    <t>2023Q2 CF (PII US)</t>
  </si>
  <si>
    <t>Polaris Inc</t>
  </si>
  <si>
    <t>WCC US Equity</t>
  </si>
  <si>
    <t>2023Q3 CF (WCC US)</t>
  </si>
  <si>
    <t>WESCO International Inc</t>
  </si>
  <si>
    <t>WGO US Equity</t>
  </si>
  <si>
    <t>Company News (WGO US)</t>
  </si>
  <si>
    <t>Winnebago Industries Inc</t>
  </si>
  <si>
    <t>2025A CF (HPQ US)</t>
  </si>
  <si>
    <t>941 HK Equity</t>
  </si>
  <si>
    <t>Estimate (941 HK)</t>
  </si>
  <si>
    <t>China Mobile Ltd</t>
  </si>
  <si>
    <t>2024Q2 CF (ARVINDFA IN)</t>
  </si>
  <si>
    <t>Arvind Fashions Ltd</t>
  </si>
  <si>
    <t>GCO US Equity</t>
  </si>
  <si>
    <t>2025A CF (GCO US)</t>
  </si>
  <si>
    <t>Genesco Inc</t>
  </si>
  <si>
    <t>GIII US Equity</t>
  </si>
  <si>
    <t>2025A CF (GIII US)</t>
  </si>
  <si>
    <t>G-III Apparel Group Ltd</t>
  </si>
  <si>
    <t>ICNT IN Equity</t>
  </si>
  <si>
    <t>2026Q1 CF (ICNT IN)</t>
  </si>
  <si>
    <t>Indo Count Industries Ltd</t>
  </si>
  <si>
    <t>JD/ LN Equity</t>
  </si>
  <si>
    <t>2025A CF (JD/ LN)</t>
  </si>
  <si>
    <t>JD Sports Fashion PLC</t>
  </si>
  <si>
    <t>2023Q3 CF (HL US)</t>
  </si>
  <si>
    <t>Spectral Evolution Inc</t>
  </si>
  <si>
    <t>1643968D US Equity</t>
  </si>
  <si>
    <t>Company News (HL US)</t>
  </si>
  <si>
    <t>Mine Vision Systems Inc</t>
  </si>
  <si>
    <t>2290660D CN Equity</t>
  </si>
  <si>
    <t>GeologicAI Inc</t>
  </si>
  <si>
    <t>EPIA SS Equity</t>
  </si>
  <si>
    <t>Epiroc AB</t>
  </si>
  <si>
    <t>OGD CN Equity</t>
  </si>
  <si>
    <t>2026Q1 CF (OGD CN)</t>
  </si>
  <si>
    <t>Orbit Garant Drilling Inc</t>
  </si>
  <si>
    <t>Estimate (GME US)</t>
  </si>
  <si>
    <t>STX US Equity</t>
  </si>
  <si>
    <t>Seagate Technology Holdings PLC</t>
  </si>
  <si>
    <t>2021A CF (6215 TT)</t>
  </si>
  <si>
    <t>Aurotek Corp</t>
  </si>
  <si>
    <t>AIT US Equity</t>
  </si>
  <si>
    <t>2022A CF (AIMC US)</t>
  </si>
  <si>
    <t>Applied Industrial Technologies Inc</t>
  </si>
  <si>
    <t>GPC US Equity</t>
  </si>
  <si>
    <t>Genuine Parts Co</t>
  </si>
  <si>
    <t>GWW US Equity</t>
  </si>
  <si>
    <t>WW Grainger Inc</t>
  </si>
  <si>
    <t>Estimate (ASML NA)</t>
  </si>
  <si>
    <t>ASML Holding NV</t>
  </si>
  <si>
    <t>Applied Materials Inc</t>
  </si>
  <si>
    <t>Estimate (131290 KS)</t>
  </si>
  <si>
    <t>TSE Co Ltd</t>
  </si>
  <si>
    <t>002735 CH Equity</t>
  </si>
  <si>
    <t>2024A CF (002735 CH)</t>
  </si>
  <si>
    <t>Shenzhen Prince New Materials Co Ltd</t>
  </si>
  <si>
    <t>2025Q3 CF (AIR US)</t>
  </si>
  <si>
    <t>Company News (GE US)</t>
  </si>
  <si>
    <t>RBRK US Equity</t>
  </si>
  <si>
    <t>2024A CF (RBRK US)</t>
  </si>
  <si>
    <t>Rubrik Inc</t>
  </si>
  <si>
    <t>Company News (SAF FP)</t>
  </si>
  <si>
    <t>Estimate (WLK US)</t>
  </si>
  <si>
    <t>Westlake Corp</t>
  </si>
  <si>
    <t>LPX US Equity</t>
  </si>
  <si>
    <t>Estimate (LPX US)</t>
  </si>
  <si>
    <t>Louisiana-Pacific Corp</t>
  </si>
  <si>
    <t>FBIN US Equity</t>
  </si>
  <si>
    <t>Estimate (FBIN US)</t>
  </si>
  <si>
    <t>Fortune Brands Innovations Inc</t>
  </si>
  <si>
    <t>GFF US Equity</t>
  </si>
  <si>
    <t>Estimate (GFF US)</t>
  </si>
  <si>
    <t>Griffon Corp</t>
  </si>
  <si>
    <t>STRL US Equity</t>
  </si>
  <si>
    <t>Estimate (STRL US)</t>
  </si>
  <si>
    <t>Sterling Infrastructure Inc</t>
  </si>
  <si>
    <t>SRP LN Equity</t>
  </si>
  <si>
    <t>Company News (PEGA US)</t>
  </si>
  <si>
    <t>Serco Group PLC</t>
  </si>
  <si>
    <t>TTEC US Equity</t>
  </si>
  <si>
    <t>2022A CF (TTEC US)</t>
  </si>
  <si>
    <t>TTEC Holdings Inc</t>
  </si>
  <si>
    <t>2025Q3 CF (551 HK)</t>
  </si>
  <si>
    <t>Yue Yuen Industrial Holdings Ltd</t>
  </si>
  <si>
    <t>2025Q2 CF (ICNT IN)</t>
  </si>
  <si>
    <t>2025A CF (NSP US)</t>
  </si>
  <si>
    <t>Insperity Inc</t>
  </si>
  <si>
    <t>WCH GR Equity</t>
  </si>
  <si>
    <t>Estimate (WCH GR)</t>
  </si>
  <si>
    <t>Wacker Chemie AG</t>
  </si>
  <si>
    <t>XPO US Equity</t>
  </si>
  <si>
    <t>Estimate (XPO US)</t>
  </si>
  <si>
    <t>XPO Inc</t>
  </si>
  <si>
    <t>001378 CH Equity</t>
  </si>
  <si>
    <t>2025S1 CF (001378 CH)</t>
  </si>
  <si>
    <t>Guangdong Decro Film New Materials Co Ltd</t>
  </si>
  <si>
    <t>Estimate (QCOM US)</t>
  </si>
  <si>
    <t>001308 CH Equity</t>
  </si>
  <si>
    <t>2025S1 CF (001308 CH)</t>
  </si>
  <si>
    <t>Shenzhen KTC Technology Co Ltd</t>
  </si>
  <si>
    <t>0119215D IM Equity</t>
  </si>
  <si>
    <t>Company News (0119215D IM)</t>
  </si>
  <si>
    <t>Sisvel SpA</t>
  </si>
  <si>
    <t>1645930D US Equity</t>
  </si>
  <si>
    <t>Company News (1645930D US)</t>
  </si>
  <si>
    <t>Tricentis Americas Inc</t>
  </si>
  <si>
    <t>214320 KS Equity</t>
  </si>
  <si>
    <t>2025Q3 CF (214320 KS)</t>
  </si>
  <si>
    <t>Innocean Worldwide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</si>
</sst>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3366"/>
      <name val="Calibri"/>
    </font>
    <font>
      <b/>
      <sz val="10"/>
      <color rgb="FF003366"/>
      <name val="Calibri"/>
    </font>
    <font>
      <b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BDS|12651770039368650446</stp>
        <tr r="UY5" s="5"/>
      </tp>
      <tp t="s">
        <v>#N/A N/A</v>
        <stp/>
        <stp>BDS|11547759243158131096</stp>
        <tr r="LC5" s="7"/>
        <tr r="O5" s="17"/>
        <tr r="IU5" s="47"/>
      </tp>
      <tp t="s">
        <v>#N/A N/A</v>
        <stp/>
        <stp>BDS|10953590163668128195</stp>
        <tr r="TE5" s="28"/>
        <tr r="OO5" s="29"/>
        <tr r="IU5" s="37"/>
      </tp>
      <tp t="s">
        <v>#N/A N/A</v>
        <stp/>
        <stp>BDS|12893220652839789672</stp>
        <tr r="QI5" s="17"/>
      </tp>
      <tp t="s">
        <v>#N/A N/A</v>
        <stp/>
        <stp>BDS|18154249449330271466</stp>
        <tr r="RM5" s="18"/>
      </tp>
      <tp t="s">
        <v>#N/A N/A</v>
        <stp/>
        <stp>BDS|18283531834091886552</stp>
        <tr r="LC5" s="1"/>
        <tr r="BW5" s="18"/>
      </tp>
      <tp t="s">
        <v>#N/A N/A</v>
        <stp/>
        <stp>BDS|15982026886977061053</stp>
        <tr r="CM5" s="5"/>
        <tr r="MW5" s="13"/>
      </tp>
      <tp t="s">
        <v>#N/A N/A</v>
        <stp/>
        <stp>BDS|15744269498716741269</stp>
        <tr r="SA5" s="28"/>
      </tp>
      <tp t="s">
        <v>#N/A N/A</v>
        <stp/>
        <stp>BDS|11357701085551705589</stp>
        <tr r="SA5" s="46"/>
      </tp>
      <tp t="s">
        <v>#N/A N/A</v>
        <stp/>
        <stp>BDS|17012787216819265225</stp>
        <tr r="BI5" s="33"/>
      </tp>
      <tp t="s">
        <v>#N/A N/A</v>
        <stp/>
        <stp>BDS|11696108358699854682</stp>
        <tr r="LC5" s="17"/>
      </tp>
      <tp t="s">
        <v>#N/A N/A</v>
        <stp/>
        <stp>BDS|14967649575456349958</stp>
        <tr r="O5" s="50"/>
      </tp>
      <tp t="s">
        <v>#N/A N/A</v>
        <stp/>
        <stp>BDS|11999067494410599204</stp>
        <tr r="LC5" s="10"/>
      </tp>
      <tp t="s">
        <v>#N/A N/A</v>
        <stp/>
        <stp>BDS|12969867713949150823</stp>
        <tr r="DA5" s="26"/>
      </tp>
      <tp t="s">
        <v>#N/A N/A</v>
        <stp/>
        <stp>BDS|13345725196400158792</stp>
        <tr r="NK5" s="2"/>
      </tp>
      <tp t="s">
        <v>#N/A N/A</v>
        <stp/>
        <stp>BDS|13072168899664579558</stp>
        <tr r="DA5" s="7"/>
        <tr r="QW5" s="21"/>
        <tr r="SA5" s="25"/>
      </tp>
      <tp t="s">
        <v>#N/A N/A</v>
        <stp/>
        <stp>BDS|10035046886223794194</stp>
        <tr r="QW5" s="41"/>
      </tp>
      <tp t="s">
        <v>#N/A N/A</v>
        <stp/>
        <stp>BDS|14936150298175820302</stp>
        <tr r="AE5" s="23"/>
        <tr r="TU5" s="31"/>
        <tr r="CM5" s="47"/>
      </tp>
      <tp t="s">
        <v>#N/A N/A</v>
        <stp/>
        <stp>BDS|11670820340947190092</stp>
        <tr r="MW5" s="20"/>
      </tp>
      <tp t="s">
        <v>#N/A N/A</v>
        <stp/>
        <stp>BDS|13842312190694014749</stp>
        <tr r="QI5" s="2"/>
      </tp>
      <tp t="s">
        <v>#N/A N/A</v>
        <stp/>
        <stp>BDS|17519882876806205444</stp>
        <tr r="AE5" s="1"/>
        <tr r="LS5" s="5"/>
        <tr r="AE5" s="15"/>
        <tr r="IG5" s="25"/>
        <tr r="OA5" s="45"/>
      </tp>
      <tp t="s">
        <v>#N/A N/A</v>
        <stp/>
        <stp>BDS|13855162633569653261</stp>
        <tr r="EU5" s="27"/>
      </tp>
      <tp t="s">
        <v>#N/A N/A</v>
        <stp/>
        <stp>BDS|13045945499881602881</stp>
        <tr r="NK5" s="4"/>
      </tp>
      <tp t="s">
        <v>#N/A N/A</v>
        <stp/>
        <stp>BDS|14689740974989172749</stp>
        <tr r="UI5" s="2"/>
      </tp>
      <tp t="s">
        <v>#N/A N/A</v>
        <stp/>
        <stp>BDS|12865986362213747469</stp>
        <tr r="NK5" s="39"/>
      </tp>
      <tp t="s">
        <v>#N/A N/A</v>
        <stp/>
        <stp>BDS|15555861555677398566</stp>
        <tr r="O5" s="34"/>
      </tp>
      <tp t="s">
        <v>#N/A N/A</v>
        <stp/>
        <stp>BDS|12697265199094304790</stp>
        <tr r="IG5" s="44"/>
        <tr r="OA5" s="47"/>
      </tp>
      <tp t="s">
        <v>#N/A N/A</v>
        <stp/>
        <stp>BDS|12211756941903516836</stp>
        <tr r="UI5" s="48"/>
      </tp>
      <tp t="s">
        <v>#N/A N/A</v>
        <stp/>
        <stp>BDS|15087165036704413942</stp>
        <tr r="OA5" s="5"/>
      </tp>
      <tp t="s">
        <v>#N/A N/A</v>
        <stp/>
        <stp>BDS|15783177784772320473</stp>
        <tr r="BI5" s="50"/>
      </tp>
      <tp t="s">
        <v>#N/A N/A</v>
        <stp/>
        <stp>BDS|13741719956162073903</stp>
        <tr r="CM5" s="43"/>
      </tp>
      <tp t="s">
        <v>#N/A N/A</v>
        <stp/>
        <stp>BDS|12616997206119029898</stp>
        <tr r="TE5" s="18"/>
      </tp>
      <tp t="s">
        <v>#N/A N/A</v>
        <stp/>
        <stp>BDS|13150738517068316775</stp>
        <tr r="IG5" s="49"/>
      </tp>
      <tp t="s">
        <v>#N/A N/A</v>
        <stp/>
        <stp>BDS|13679441494493126768</stp>
        <tr r="O5" s="6"/>
        <tr r="NK5" s="17"/>
      </tp>
      <tp t="s">
        <v>#N/A N/A</v>
        <stp/>
        <stp>BDS|18376451809535844368</stp>
        <tr r="VM5" s="44"/>
      </tp>
      <tp t="s">
        <v>#N/A N/A</v>
        <stp/>
        <stp>BDS|14744603943374307866</stp>
        <tr r="SQ5" s="3"/>
      </tp>
      <tp t="s">
        <v>#N/A N/A</v>
        <stp/>
        <stp>BDS|15547240894275526114</stp>
        <tr r="MW5" s="41"/>
      </tp>
      <tp t="s">
        <v>#N/A N/A</v>
        <stp/>
        <stp>BDS|14981025788320031629</stp>
        <tr r="QI5" s="41"/>
      </tp>
      <tp t="s">
        <v>#N/A N/A</v>
        <stp/>
        <stp>BDS|15681141630348672526</stp>
        <tr r="NK5" s="47"/>
      </tp>
      <tp t="s">
        <v>#N/A N/A</v>
        <stp/>
        <stp>BDS|11740541017189602649</stp>
        <tr r="BI5" s="11"/>
      </tp>
      <tp t="s">
        <v>#N/A N/A</v>
        <stp/>
        <stp>BDS|17960517998667004663</stp>
        <tr r="EE5" s="33"/>
      </tp>
      <tp t="s">
        <v>#N/A N/A</v>
        <stp/>
        <stp>BDS|12628983712932876231</stp>
        <tr r="JK5" s="24"/>
      </tp>
      <tp t="s">
        <v>#N/A N/A</v>
        <stp/>
        <stp>BDS|17064275266240258946</stp>
        <tr r="QW5" s="50"/>
      </tp>
      <tp t="s">
        <v>#N/A N/A</v>
        <stp/>
        <stp>BDS|17920894233496665022</stp>
        <tr r="FI5" s="46"/>
      </tp>
      <tp t="s">
        <v>#N/A N/A</v>
        <stp/>
        <stp>BDS|17858791301473190957</stp>
        <tr r="AS5" s="50"/>
      </tp>
      <tp t="s">
        <v>#N/A N/A</v>
        <stp/>
        <stp>BDS|16403115154258525004</stp>
        <tr r="VM5" s="33"/>
      </tp>
      <tp t="s">
        <v>#N/A N/A</v>
        <stp/>
        <stp>BDS|18140266477220286777</stp>
        <tr r="HC5" s="45"/>
      </tp>
      <tp t="s">
        <v>#N/A N/A</v>
        <stp/>
        <stp>BDS|13049255523049385004</stp>
        <tr r="SA5" s="36"/>
      </tp>
      <tp t="s">
        <v>#N/A N/A</v>
        <stp/>
        <stp>BDS|12577856930266010555</stp>
        <tr r="IU5" s="43"/>
      </tp>
      <tp t="s">
        <v>#N/A N/A</v>
        <stp/>
        <stp>BDS|14972507292526708492</stp>
        <tr r="UY5" s="19"/>
      </tp>
      <tp t="s">
        <v>#N/A N/A</v>
        <stp/>
        <stp>BDS|11607160273019065461</stp>
        <tr r="RM5" s="21"/>
      </tp>
      <tp t="s">
        <v>#N/A N/A</v>
        <stp/>
        <stp>BDS|11394888942517365108</stp>
        <tr r="NK5" s="37"/>
      </tp>
      <tp t="s">
        <v>#N/A N/A</v>
        <stp/>
        <stp>BDS|16899199238168572761</stp>
        <tr r="QW5" s="16"/>
        <tr r="O5" s="43"/>
        <tr r="FI5" s="50"/>
        <tr r="SA5" s="50"/>
      </tp>
      <tp t="s">
        <v>#N/A N/A</v>
        <stp/>
        <stp>BDS|11040329291580996019</stp>
        <tr r="UI5" s="12"/>
      </tp>
      <tp t="s">
        <v>#N/A N/A</v>
        <stp/>
        <stp>BDS|17162765892063922179</stp>
        <tr r="EE5" s="27"/>
      </tp>
      <tp t="s">
        <v>#N/A N/A</v>
        <stp/>
        <stp>BDS|17764879756094405592</stp>
        <tr r="KO5" s="48"/>
      </tp>
      <tp t="s">
        <v>#N/A N/A</v>
        <stp/>
        <stp>BDS|11899557443459280272</stp>
        <tr r="JK5" s="43"/>
      </tp>
      <tp t="s">
        <v>#N/A N/A</v>
        <stp/>
        <stp>BDS|10847275908779610085</stp>
        <tr r="PE5" s="26"/>
      </tp>
      <tp t="s">
        <v>#N/A N/A</v>
        <stp/>
        <stp>BDS|17140642672678600580</stp>
        <tr r="SQ5" s="4"/>
        <tr r="JK5" s="25"/>
      </tp>
      <tp t="s">
        <v>#N/A N/A</v>
        <stp/>
        <stp>BDS|16017502943978817455</stp>
        <tr r="BI5" s="36"/>
      </tp>
      <tp t="s">
        <v>#N/A N/A</v>
        <stp/>
        <stp>BDS|17329201332304628997</stp>
        <tr r="SA5" s="19"/>
      </tp>
      <tp t="s">
        <v>#N/A N/A</v>
        <stp/>
        <stp>BDS|14409377618319393469</stp>
        <tr r="CM5" s="32"/>
      </tp>
      <tp t="s">
        <v>#N/A N/A</v>
        <stp/>
        <stp>BDS|12880404356991997983</stp>
        <tr r="RM5" s="47"/>
        <tr r="UY5" s="48"/>
      </tp>
      <tp t="s">
        <v>#N/A N/A</v>
        <stp/>
        <stp>BDS|16464909115250701593</stp>
        <tr r="CM5" s="3"/>
      </tp>
      <tp t="s">
        <v>#N/A N/A</v>
        <stp/>
        <stp>BDS|14714310458281686856</stp>
        <tr r="IG5" s="2"/>
      </tp>
      <tp t="s">
        <v>#N/A N/A</v>
        <stp/>
        <stp>BDS|14241800501823955475</stp>
        <tr r="SQ5" s="15"/>
        <tr r="KO5" s="20"/>
      </tp>
      <tp t="s">
        <v>#N/A N/A</v>
        <stp/>
        <stp>BDS|10194927832608166927</stp>
        <tr r="QI5" s="3"/>
      </tp>
      <tp t="s">
        <v>#N/A N/A</v>
        <stp/>
        <stp>BDS|15741608155228518552</stp>
        <tr r="O5" s="3"/>
      </tp>
      <tp t="s">
        <v>#N/A N/A</v>
        <stp/>
        <stp>BDS|15165823724247788335</stp>
        <tr r="MG5" s="1"/>
        <tr r="FI5" s="16"/>
        <tr r="PS5" s="17"/>
      </tp>
      <tp t="s">
        <v>#N/A N/A</v>
        <stp/>
        <stp>BDS|14645211623336402939</stp>
        <tr r="EU5" s="30"/>
      </tp>
      <tp t="s">
        <v>#N/A N/A</v>
        <stp/>
        <stp>BDS|14788220383642387767</stp>
        <tr r="O5" s="36"/>
      </tp>
      <tp t="s">
        <v>#N/A N/A</v>
        <stp/>
        <stp>BDS|13841003005290657887</stp>
        <tr r="JK5" s="33"/>
      </tp>
      <tp t="s">
        <v>#N/A N/A</v>
        <stp/>
        <stp>BDS|10157257573147215965</stp>
        <tr r="RM5" s="13"/>
      </tp>
      <tp t="s">
        <v>#N/A N/A</v>
        <stp/>
        <stp>BDS|10929815517096636495</stp>
        <tr r="QW5" s="9"/>
      </tp>
      <tp t="s">
        <v>#N/A N/A</v>
        <stp/>
        <stp>BDS|13632763042143525873</stp>
        <tr r="OA5" s="10"/>
        <tr r="OA5" s="15"/>
        <tr r="PE5" s="28"/>
      </tp>
      <tp t="s">
        <v>#N/A N/A</v>
        <stp/>
        <stp>BDS|10329950145222793426</stp>
        <tr r="GM5" s="39"/>
      </tp>
      <tp t="s">
        <v>#N/A N/A</v>
        <stp/>
        <stp>BDS|11848343533849035390</stp>
        <tr r="DQ5" s="31"/>
      </tp>
      <tp t="s">
        <v>#N/A N/A</v>
        <stp/>
        <stp>BDS|14650163736715233821</stp>
        <tr r="HC5" s="48"/>
      </tp>
      <tp t="s">
        <v>#N/A N/A</v>
        <stp/>
        <stp>BDS|17180316167531392826</stp>
        <tr r="BI5" s="8"/>
      </tp>
      <tp t="s">
        <v>#N/A N/A</v>
        <stp/>
        <stp>BDS|13640298185563469197</stp>
        <tr r="HQ5" s="10"/>
        <tr r="NK5" s="28"/>
        <tr r="GM5" s="47"/>
      </tp>
      <tp t="s">
        <v>#N/A N/A</v>
        <stp/>
        <stp>BDS|15262576597885327754</stp>
        <tr r="MW5" s="25"/>
      </tp>
      <tp t="s">
        <v>#N/A N/A</v>
        <stp/>
        <stp>BDS|15703087996813453494</stp>
        <tr r="UY5" s="16"/>
        <tr r="SQ5" s="42"/>
      </tp>
      <tp t="s">
        <v>#N/A N/A</v>
        <stp/>
        <stp>BDS|17682903059110997020</stp>
        <tr r="IG5" s="17"/>
      </tp>
      <tp t="s">
        <v>#N/A N/A</v>
        <stp/>
        <stp>BDS|17292451097686417708</stp>
        <tr r="VM5" s="37"/>
      </tp>
      <tp t="s">
        <v>#N/A N/A</v>
        <stp/>
        <stp>BDS|13579975497289002107</stp>
        <tr r="TE5" s="6"/>
      </tp>
      <tp t="s">
        <v>#N/A N/A</v>
        <stp/>
        <stp>BDS|10267715144728498395</stp>
        <tr r="OO5" s="44"/>
      </tp>
      <tp t="s">
        <v>#N/A N/A</v>
        <stp/>
        <stp>BDS|14573686096036407557</stp>
        <tr r="FI5" s="6"/>
        <tr r="QW5" s="6"/>
        <tr r="HQ5" s="43"/>
      </tp>
      <tp t="s">
        <v>#N/A N/A</v>
        <stp/>
        <stp>BDS|14200117640239801008</stp>
        <tr r="IU5" s="9"/>
        <tr r="O5" s="25"/>
      </tp>
      <tp t="s">
        <v>#N/A N/A</v>
        <stp/>
        <stp>BDS|13028485170901167929</stp>
        <tr r="EE5" s="13"/>
      </tp>
      <tp t="s">
        <v>#N/A N/A</v>
        <stp/>
        <stp>BDS|12945602145250356845</stp>
        <tr r="MW5" s="34"/>
      </tp>
      <tp t="s">
        <v>#N/A N/A</v>
        <stp/>
        <stp>BDS|13198801655620454684</stp>
        <tr r="JK5" s="5"/>
      </tp>
      <tp t="s">
        <v>#N/A N/A</v>
        <stp/>
        <stp>BDS|12723084410898115369</stp>
        <tr r="OA5" s="21"/>
      </tp>
      <tp t="s">
        <v>#N/A N/A</v>
        <stp/>
        <stp>BDS|18417625194717338895</stp>
        <tr r="IU5" s="17"/>
      </tp>
      <tp t="s">
        <v>#N/A N/A</v>
        <stp/>
        <stp>BDS|15929786588103280129</stp>
        <tr r="FI5" s="30"/>
      </tp>
      <tp t="s">
        <v>#N/A N/A</v>
        <stp/>
        <stp>BDS|11728289987250372347</stp>
        <tr r="O5" s="48"/>
      </tp>
      <tp t="s">
        <v>#N/A N/A</v>
        <stp/>
        <stp>BDS|12523977391829962352</stp>
        <tr r="DA5" s="42"/>
      </tp>
      <tp t="s">
        <v>#N/A N/A</v>
        <stp/>
        <stp>BDS|12166950246722827556</stp>
        <tr r="OO5" s="19"/>
      </tp>
      <tp t="s">
        <v>#N/A N/A</v>
        <stp/>
        <stp>BDS|15141804958166644636</stp>
        <tr r="PS5" s="3"/>
      </tp>
      <tp t="s">
        <v>#N/A N/A</v>
        <stp/>
        <stp>BDS|12754489292493948489</stp>
        <tr r="TU5" s="41"/>
      </tp>
      <tp t="s">
        <v>#N/A N/A</v>
        <stp/>
        <stp>BDS|14962887531482413597</stp>
        <tr r="OA5" s="11"/>
      </tp>
      <tp t="s">
        <v>#N/A N/A</v>
        <stp/>
        <stp>BDS|14261394479371814973</stp>
        <tr r="UY5" s="31"/>
      </tp>
      <tp t="s">
        <v>#N/A N/A</v>
        <stp/>
        <stp>BDS|13467478501656740971</stp>
        <tr r="CM5" s="27"/>
      </tp>
      <tp t="s">
        <v>#N/A N/A</v>
        <stp/>
        <stp>BDS|18034270280803509909</stp>
        <tr r="MG5" s="38"/>
      </tp>
      <tp t="s">
        <v>#N/A N/A</v>
        <stp/>
        <stp>BDS|10410920340764415103</stp>
        <tr r="UI5" s="35"/>
      </tp>
      <tp t="s">
        <v>#N/A N/A</v>
        <stp/>
        <stp>BDS|12496917515151301306</stp>
        <tr r="RM5" s="42"/>
        <tr r="SQ5" s="47"/>
      </tp>
      <tp t="s">
        <v>#N/A N/A</v>
        <stp/>
        <stp>BDS|16458817915851984691</stp>
        <tr r="EU5" s="21"/>
        <tr r="PE5" s="42"/>
      </tp>
      <tp t="s">
        <v>#N/A N/A</v>
        <stp/>
        <stp>BDS|17586629097869771967</stp>
        <tr r="UY5" s="25"/>
      </tp>
      <tp t="s">
        <v>#N/A N/A</v>
        <stp/>
        <stp>BDS|10758785672590805845</stp>
        <tr r="FI5" s="28"/>
        <tr r="AS5" s="39"/>
      </tp>
      <tp t="s">
        <v>#N/A N/A</v>
        <stp/>
        <stp>BDS|11345310896310769357</stp>
        <tr r="JY5" s="8"/>
      </tp>
      <tp t="s">
        <v>#N/A N/A</v>
        <stp/>
        <stp>BDS|12659721995047756316</stp>
        <tr r="OA5" s="42"/>
      </tp>
      <tp t="s">
        <v>#N/A N/A</v>
        <stp/>
        <stp>BDS|11209885090438913044</stp>
        <tr r="CM5" s="34"/>
      </tp>
      <tp t="s">
        <v>#N/A N/A</v>
        <stp/>
        <stp>BDS|10162673330014691944</stp>
        <tr r="JY5" s="16"/>
      </tp>
      <tp t="s">
        <v>#N/A N/A</v>
        <stp/>
        <stp>BDS|16313956033621455554</stp>
        <tr r="EU5" s="36"/>
      </tp>
      <tp t="s">
        <v>#N/A N/A</v>
        <stp/>
        <stp>BDS|14240069911945522842</stp>
        <tr r="SQ5" s="16"/>
      </tp>
      <tp t="s">
        <v>#N/A N/A</v>
        <stp/>
        <stp>BDS|13900098378155463863</stp>
        <tr r="OA5" s="19"/>
      </tp>
      <tp t="s">
        <v>#N/A N/A</v>
        <stp/>
        <stp>BDS|16412733079549616638</stp>
        <tr r="HC5" s="17"/>
      </tp>
      <tp t="s">
        <v>#N/A N/A</v>
        <stp/>
        <stp>BDS|17845252955528517150</stp>
        <tr r="IG5" s="27"/>
      </tp>
      <tp t="s">
        <v>#N/A N/A</v>
        <stp/>
        <stp>BDS|12241927069413687760</stp>
        <tr r="AS5" s="9"/>
      </tp>
      <tp t="s">
        <v>#N/A N/A</v>
        <stp/>
        <stp>BDS|17770490051146036968</stp>
        <tr r="BW5" s="34"/>
      </tp>
      <tp t="s">
        <v>#N/A N/A</v>
        <stp/>
        <stp>BDS|17606458358327756852</stp>
        <tr r="A5" s="23"/>
        <tr r="MW5" s="48"/>
        <tr r="HC5" s="34"/>
      </tp>
      <tp t="s">
        <v>#N/A N/A</v>
        <stp/>
        <stp>BDS|16009141661571883937</stp>
        <tr r="VM5" s="8"/>
      </tp>
      <tp t="s">
        <v>#N/A N/A</v>
        <stp/>
        <stp>BDS|12193724688490256473</stp>
        <tr r="SA5" s="11"/>
      </tp>
      <tp t="s">
        <v>#N/A N/A</v>
        <stp/>
        <stp>BDS|12178176421640936806</stp>
        <tr r="A5" s="30"/>
      </tp>
      <tp t="s">
        <v>#N/A N/A</v>
        <stp/>
        <stp>BDS|10609312165958856458</stp>
        <tr r="PE5" s="33"/>
      </tp>
      <tp t="s">
        <v>#N/A N/A</v>
        <stp/>
        <stp>BDS|17350429232708451188</stp>
        <tr r="MG5" s="2"/>
      </tp>
      <tp t="s">
        <v>#N/A N/A</v>
        <stp/>
        <stp>BDS|10340631390274471288</stp>
        <tr r="DQ5" s="46"/>
      </tp>
      <tp t="s">
        <v>#N/A N/A</v>
        <stp/>
        <stp>BDS|16612819841111220287</stp>
        <tr r="SA5" s="41"/>
      </tp>
      <tp t="s">
        <v>#N/A N/A</v>
        <stp/>
        <stp>BDS|15806947265483738020</stp>
        <tr r="CM5" s="21"/>
      </tp>
      <tp t="s">
        <v>#N/A N/A</v>
        <stp/>
        <stp>BDS|16167539650749343637</stp>
        <tr r="LC5" s="37"/>
      </tp>
      <tp t="s">
        <v>#N/A N/A</v>
        <stp/>
        <stp>BDS|11144440385911258501</stp>
        <tr r="VM5" s="9"/>
      </tp>
      <tp t="s">
        <v>#N/A N/A</v>
        <stp/>
        <stp>BDS|11112148771429156771</stp>
        <tr r="DA5" s="13"/>
      </tp>
      <tp t="s">
        <v>#N/A N/A</v>
        <stp/>
        <stp>BDS|18367196110766024781</stp>
        <tr r="RM5" s="20"/>
      </tp>
      <tp t="s">
        <v>#N/A N/A</v>
        <stp/>
        <stp>BDS|11449476993893115620</stp>
        <tr r="BI5" s="23"/>
      </tp>
      <tp t="s">
        <v>#N/A N/A</v>
        <stp/>
        <stp>BDS|13643946726338545928</stp>
        <tr r="EE5" s="21"/>
        <tr r="OO5" s="26"/>
      </tp>
      <tp t="s">
        <v>#N/A N/A</v>
        <stp/>
        <stp>BDS|12536932994878881397</stp>
        <tr r="HC5" s="41"/>
      </tp>
      <tp t="s">
        <v>#N/A N/A</v>
        <stp/>
        <stp>BDS|12345533064930610819</stp>
        <tr r="FI5" s="13"/>
      </tp>
      <tp t="s">
        <v>#N/A N/A</v>
        <stp/>
        <stp>BDS|13243304819191141990</stp>
        <tr r="HC5" s="3"/>
      </tp>
      <tp t="s">
        <v>#N/A N/A</v>
        <stp/>
        <stp>BDS|12835175012562509989</stp>
        <tr r="EE5" s="5"/>
      </tp>
      <tp t="s">
        <v>#N/A N/A</v>
        <stp/>
        <stp>BDS|12088546249658878250</stp>
        <tr r="VM5" s="12"/>
      </tp>
      <tp t="s">
        <v>#N/A N/A</v>
        <stp/>
        <stp>BDS|14529322625474461861</stp>
        <tr r="AS5" s="12"/>
        <tr r="BW5" s="25"/>
        <tr r="QW5" s="31"/>
        <tr r="OO5" s="41"/>
      </tp>
      <tp t="s">
        <v>#N/A N/A</v>
        <stp/>
        <stp>BDS|16207223526259328651</stp>
        <tr r="BI5" s="34"/>
      </tp>
      <tp t="s">
        <v>#N/A N/A</v>
        <stp/>
        <stp>BDS|14285788074749795484</stp>
        <tr r="EE5" s="14"/>
      </tp>
      <tp t="s">
        <v>#N/A N/A</v>
        <stp/>
        <stp>BDS|12216236501419881093</stp>
        <tr r="CM5" s="9"/>
      </tp>
      <tp t="s">
        <v>#N/A N/A</v>
        <stp/>
        <stp>BDS|12443613797007728341</stp>
        <tr r="QI5" s="40"/>
      </tp>
      <tp t="s">
        <v>#N/A N/A</v>
        <stp/>
        <stp>BDS|12066466307767531825</stp>
        <tr r="JY5" s="6"/>
      </tp>
      <tp t="s">
        <v>#N/A N/A</v>
        <stp/>
        <stp>BDS|12268327624252006824</stp>
        <tr r="PE5" s="25"/>
      </tp>
      <tp t="s">
        <v>#N/A N/A</v>
        <stp/>
        <stp>BDS|14724791391521197291</stp>
        <tr r="LC5" s="11"/>
        <tr r="BW5" s="20"/>
        <tr r="QW5" s="34"/>
        <tr r="JY5" s="40"/>
      </tp>
      <tp t="s">
        <v>#N/A N/A</v>
        <stp/>
        <stp>BDS|11260054883556238613</stp>
        <tr r="OO5" s="25"/>
      </tp>
      <tp t="s">
        <v>#N/A N/A</v>
        <stp/>
        <stp>BDS|16817588544288465646</stp>
        <tr r="IU5" s="5"/>
      </tp>
      <tp t="s">
        <v>#N/A N/A</v>
        <stp/>
        <stp>BDS|11855162412988970016</stp>
        <tr r="JY5" s="11"/>
        <tr r="MG5" s="31"/>
      </tp>
      <tp t="s">
        <v>#N/A N/A</v>
        <stp/>
        <stp>BDS|13664941337782530242</stp>
        <tr r="JK5" s="50"/>
      </tp>
      <tp t="s">
        <v>#N/A N/A</v>
        <stp/>
        <stp>BDS|15017187473138730284</stp>
        <tr r="EU5" s="48"/>
      </tp>
      <tp t="s">
        <v>#N/A N/A</v>
        <stp/>
        <stp>BDS|14580066078919943375</stp>
        <tr r="EU5" s="26"/>
      </tp>
      <tp t="s">
        <v>#N/A N/A</v>
        <stp/>
        <stp>BDS|10821431576888360549</stp>
        <tr r="HQ5" s="15"/>
      </tp>
      <tp t="s">
        <v>#N/A N/A</v>
        <stp/>
        <stp>BDS|16861160884915704460</stp>
        <tr r="QW5" s="19"/>
      </tp>
      <tp t="s">
        <v>#N/A N/A</v>
        <stp/>
        <stp>BDS|18135677800591480198</stp>
        <tr r="SA5" s="4"/>
      </tp>
      <tp t="s">
        <v>#N/A N/A</v>
        <stp/>
        <stp>BDS|14332759224696892924</stp>
        <tr r="MG5" s="43"/>
      </tp>
      <tp t="s">
        <v>#N/A N/A</v>
        <stp/>
        <stp>BDS|10464708087721388093</stp>
        <tr r="LC5" s="27"/>
      </tp>
      <tp t="s">
        <v>#N/A N/A</v>
        <stp/>
        <stp>BDS|10862118312958232603</stp>
        <tr r="TU5" s="48"/>
      </tp>
      <tp t="s">
        <v>#N/A N/A</v>
        <stp/>
        <stp>BDS|10743788635223643922</stp>
        <tr r="PE5" s="47"/>
      </tp>
      <tp t="s">
        <v>#N/A N/A</v>
        <stp/>
        <stp>BDS|13101031423198889778</stp>
        <tr r="JY5" s="2"/>
      </tp>
      <tp t="s">
        <v>#N/A N/A</v>
        <stp/>
        <stp>BDS|10077386286390211524</stp>
        <tr r="TE5" s="32"/>
      </tp>
      <tp t="s">
        <v>#N/A N/A</v>
        <stp/>
        <stp>BDS|13907917196495078801</stp>
        <tr r="UY5" s="12"/>
      </tp>
      <tp t="s">
        <v>#N/A N/A</v>
        <stp/>
        <stp>BDS|11795917199638334735</stp>
        <tr r="QW5" s="1"/>
      </tp>
      <tp t="s">
        <v>#N/A N/A</v>
        <stp/>
        <stp>BDS|11132930378485002456</stp>
        <tr r="SA5" s="8"/>
        <tr r="DA5" s="48"/>
      </tp>
      <tp t="s">
        <v>#N/A N/A</v>
        <stp/>
        <stp>BDS|14461737995284969042</stp>
        <tr r="DQ5" s="6"/>
        <tr r="UY5" s="42"/>
        <tr r="RM5" s="49"/>
      </tp>
      <tp t="s">
        <v>#N/A N/A</v>
        <stp/>
        <stp>BDS|17132694934685307906</stp>
        <tr r="UY5" s="37"/>
      </tp>
      <tp t="s">
        <v>#N/A N/A</v>
        <stp/>
        <stp>BDS|17545232892274849601</stp>
        <tr r="IU5" s="36"/>
      </tp>
      <tp t="s">
        <v>#N/A N/A</v>
        <stp/>
        <stp>BDS|14859439088093816562</stp>
        <tr r="SQ5" s="6"/>
      </tp>
      <tp t="s">
        <v>#N/A N/A</v>
        <stp/>
        <stp>BDS|12593141321928847754</stp>
        <tr r="PS5" s="21"/>
      </tp>
      <tp t="s">
        <v>#N/A N/A</v>
        <stp/>
        <stp>BDS|18352561652615759327</stp>
        <tr r="DA5" s="19"/>
      </tp>
      <tp t="s">
        <v>#N/A N/A</v>
        <stp/>
        <stp>BDS|16145407887297558311</stp>
        <tr r="EE5" s="48"/>
      </tp>
      <tp t="s">
        <v>#N/A N/A</v>
        <stp/>
        <stp>BDS|10781153407639129675</stp>
        <tr r="EE5" s="39"/>
      </tp>
      <tp t="s">
        <v>#N/A N/A</v>
        <stp/>
        <stp>BDS|18263457237760888185</stp>
        <tr r="LS5" s="48"/>
      </tp>
      <tp t="s">
        <v>#N/A N/A</v>
        <stp/>
        <stp>BDS|18228541666136973396</stp>
        <tr r="RM5" s="46"/>
      </tp>
      <tp t="s">
        <v>#N/A N/A</v>
        <stp/>
        <stp>BDS|16413940595108537019</stp>
        <tr r="LC5" s="15"/>
      </tp>
      <tp t="s">
        <v>#N/A N/A</v>
        <stp/>
        <stp>BDS|15578217682867634664</stp>
        <tr r="CM5" s="31"/>
      </tp>
      <tp t="s">
        <v>#N/A N/A</v>
        <stp/>
        <stp>BDS|11790144476351242814</stp>
        <tr r="DQ5" s="44"/>
      </tp>
      <tp t="s">
        <v>#N/A N/A</v>
        <stp/>
        <stp>BDS|16670851131211089241</stp>
        <tr r="LS5" s="43"/>
      </tp>
      <tp t="s">
        <v>#N/A N/A</v>
        <stp/>
        <stp>BDS|12851482898504540594</stp>
        <tr r="HQ5" s="26"/>
      </tp>
      <tp t="s">
        <v>#N/A N/A</v>
        <stp/>
        <stp>BDS|15293048686711049244</stp>
        <tr r="JY5" s="24"/>
      </tp>
      <tp t="s">
        <v>#N/A N/A</v>
        <stp/>
        <stp>BDS|17396888172893561589</stp>
        <tr r="QW5" s="17"/>
      </tp>
      <tp t="s">
        <v>#N/A N/A</v>
        <stp/>
        <stp>BDS|12188199190654555096</stp>
        <tr r="DQ5" s="28"/>
      </tp>
      <tp t="s">
        <v>#N/A N/A</v>
        <stp/>
        <stp>BDS|12759522451998283438</stp>
        <tr r="SQ5" s="26"/>
      </tp>
      <tp t="s">
        <v>#N/A N/A</v>
        <stp/>
        <stp>BDS|16160813693378059091</stp>
        <tr r="OA5" s="30"/>
      </tp>
      <tp t="s">
        <v>#N/A N/A</v>
        <stp/>
        <stp>BDS|17770787865291016803</stp>
        <tr r="DA5" s="12"/>
      </tp>
      <tp t="s">
        <v>#N/A N/A</v>
        <stp/>
        <stp>BDS|11310673768437757916</stp>
        <tr r="OO5" s="30"/>
      </tp>
      <tp t="s">
        <v>#N/A N/A</v>
        <stp/>
        <stp>BDS|16382138388663393303</stp>
        <tr r="AS5" s="8"/>
        <tr r="BW5" s="10"/>
        <tr r="AS5" s="11"/>
      </tp>
      <tp t="s">
        <v>#N/A N/A</v>
        <stp/>
        <stp>BDS|12470274316566863860</stp>
        <tr r="UI5" s="33"/>
      </tp>
      <tp t="s">
        <v>#N/A N/A</v>
        <stp/>
        <stp>BDS|15804202102669692145</stp>
        <tr r="A5" s="21"/>
      </tp>
      <tp t="s">
        <v>#N/A N/A</v>
        <stp/>
        <stp>BDS|16722949987150249885</stp>
        <tr r="IU5" s="16"/>
      </tp>
      <tp t="s">
        <v>#N/A N/A</v>
        <stp/>
        <stp>BDS|10859134521888694438</stp>
        <tr r="EE5" s="25"/>
        <tr r="QW5" s="25"/>
        <tr r="QW5" s="44"/>
      </tp>
      <tp t="s">
        <v>#N/A N/A</v>
        <stp/>
        <stp>BDS|12675462329082527931</stp>
        <tr r="GM5" s="1"/>
      </tp>
      <tp t="s">
        <v>#N/A N/A</v>
        <stp/>
        <stp>BDS|10441364320929705792</stp>
        <tr r="UI5" s="7"/>
        <tr r="PS5" s="37"/>
      </tp>
      <tp t="s">
        <v>#N/A N/A</v>
        <stp/>
        <stp>BDS|15482078254777971829</stp>
        <tr r="EU5" s="43"/>
      </tp>
      <tp t="s">
        <v>#N/A N/A</v>
        <stp/>
        <stp>BDS|13823670316163087856</stp>
        <tr r="MW5" s="6"/>
      </tp>
      <tp t="s">
        <v>#N/A N/A</v>
        <stp/>
        <stp>BDS|17822428885761756551</stp>
        <tr r="NK5" s="16"/>
      </tp>
      <tp t="s">
        <v>#N/A N/A</v>
        <stp/>
        <stp>BDS|14334262098295582554</stp>
        <tr r="QW5" s="23"/>
      </tp>
      <tp t="s">
        <v>#N/A N/A</v>
        <stp/>
        <stp>BDS|11589731773166175893</stp>
        <tr r="TE5" s="16"/>
      </tp>
      <tp t="s">
        <v>#N/A N/A</v>
        <stp/>
        <stp>BDS|18075974787984803259</stp>
        <tr r="BI5" s="6"/>
      </tp>
      <tp t="s">
        <v>#N/A N/A</v>
        <stp/>
        <stp>BDS|15893001181432285066</stp>
        <tr r="A5" s="44"/>
      </tp>
      <tp t="s">
        <v>#N/A N/A</v>
        <stp/>
        <stp>BDS|17933783639518268488</stp>
        <tr r="MW5" s="21"/>
      </tp>
      <tp t="s">
        <v>#N/A N/A</v>
        <stp/>
        <stp>BDS|12109827633685014322</stp>
        <tr r="JK5" s="10"/>
        <tr r="TU5" s="13"/>
      </tp>
      <tp t="s">
        <v>#N/A N/A</v>
        <stp/>
        <stp>BDS|18135315431781490663</stp>
        <tr r="FY5" s="5"/>
      </tp>
      <tp t="s">
        <v>#N/A N/A</v>
        <stp/>
        <stp>BDS|18185250004041441472</stp>
        <tr r="CM5" s="1"/>
      </tp>
      <tp t="s">
        <v>#N/A N/A</v>
        <stp/>
        <stp>BDS|11990482743138057611</stp>
        <tr r="JK5" s="21"/>
      </tp>
      <tp t="s">
        <v>#N/A N/A</v>
        <stp/>
        <stp>BDS|13179089906949577597</stp>
        <tr r="TU5" s="3"/>
        <tr r="PE5" s="19"/>
        <tr r="FY5" s="4"/>
        <tr r="HC5" s="9"/>
        <tr r="UY5" s="11"/>
        <tr r="BI5" s="19"/>
        <tr r="SQ5" s="19"/>
      </tp>
      <tp t="s">
        <v>#N/A N/A</v>
        <stp/>
        <stp>BDS|17866032683949832903</stp>
        <tr r="CM5" s="6"/>
        <tr r="JK5" s="28"/>
      </tp>
      <tp t="s">
        <v>#N/A N/A</v>
        <stp/>
        <stp>BDS|12916788661809624571</stp>
        <tr r="AE5" s="3"/>
      </tp>
      <tp t="s">
        <v>#N/A N/A</v>
        <stp/>
        <stp>BDS|12825170898010133509</stp>
        <tr r="KO5" s="5"/>
      </tp>
      <tp t="s">
        <v>#N/A N/A</v>
        <stp/>
        <stp>BDS|17925111108891639807</stp>
        <tr r="DQ5" s="49"/>
      </tp>
      <tp t="s">
        <v>#N/A N/A</v>
        <stp/>
        <stp>BDS|13702257276781054828</stp>
        <tr r="VM5" s="21"/>
      </tp>
      <tp t="s">
        <v>#N/A N/A</v>
        <stp/>
        <stp>BDS|15422369481734067557</stp>
        <tr r="BW5" s="29"/>
      </tp>
      <tp t="s">
        <v>#N/A N/A</v>
        <stp/>
        <stp>BDS|11554244756189643065</stp>
        <tr r="AS5" s="47"/>
      </tp>
      <tp t="s">
        <v>#N/A N/A</v>
        <stp/>
        <stp>BDS|16114045871669722741</stp>
        <tr r="KO5" s="32"/>
      </tp>
      <tp t="s">
        <v>#N/A N/A</v>
        <stp/>
        <stp>BDS|17407116573769141704</stp>
        <tr r="SQ5" s="24"/>
      </tp>
      <tp t="s">
        <v>#N/A N/A</v>
        <stp/>
        <stp>BDS|14694607773178666271</stp>
        <tr r="IU5" s="49"/>
      </tp>
      <tp t="s">
        <v>#N/A N/A</v>
        <stp/>
        <stp>BDS|12478738790220775345</stp>
        <tr r="DA5" s="6"/>
        <tr r="JY5" s="28"/>
      </tp>
      <tp t="s">
        <v>#N/A N/A</v>
        <stp/>
        <stp>BDS|17448250230481642838</stp>
        <tr r="DQ5" s="35"/>
      </tp>
      <tp t="s">
        <v>#N/A N/A</v>
        <stp/>
        <stp>BDS|14443071720000447930</stp>
        <tr r="RM5" s="8"/>
        <tr r="CM5" s="48"/>
      </tp>
      <tp t="s">
        <v>#N/A N/A</v>
        <stp/>
        <stp>BDS|16049207221288308178</stp>
        <tr r="JK5" s="20"/>
      </tp>
      <tp t="s">
        <v>#N/A N/A</v>
        <stp/>
        <stp>BDS|15234271163507210918</stp>
        <tr r="TU5" s="19"/>
      </tp>
      <tp t="s">
        <v>#N/A N/A</v>
        <stp/>
        <stp>BDS|18393360805661695535</stp>
        <tr r="LC5" s="42"/>
      </tp>
      <tp t="s">
        <v>#N/A N/A</v>
        <stp/>
        <stp>BDS|12829744053206804926</stp>
        <tr r="IG5" s="4"/>
      </tp>
      <tp t="s">
        <v>#N/A N/A</v>
        <stp/>
        <stp>BDS|11113087460761554990</stp>
        <tr r="NK5" s="30"/>
      </tp>
      <tp t="s">
        <v>#N/A N/A</v>
        <stp/>
        <stp>BDS|16320795021458987784</stp>
        <tr r="SA5" s="32"/>
      </tp>
      <tp t="s">
        <v>#N/A N/A</v>
        <stp/>
        <stp>BDS|13385835907832840550</stp>
        <tr r="SQ5" s="23"/>
        <tr r="EU5" s="25"/>
      </tp>
      <tp t="s">
        <v>#N/A N/A</v>
        <stp/>
        <stp>BDS|17011886322641278036</stp>
        <tr r="JK5" s="7"/>
      </tp>
      <tp t="s">
        <v>#N/A N/A</v>
        <stp/>
        <stp>BDS|15306433372453032993</stp>
        <tr r="SQ5" s="22"/>
      </tp>
      <tp t="s">
        <v>#N/A N/A</v>
        <stp/>
        <stp>BDS|12401217482954887040</stp>
        <tr r="MG5" s="41"/>
      </tp>
      <tp t="s">
        <v>#N/A N/A</v>
        <stp/>
        <stp>BDS|13259800772370809030</stp>
        <tr r="LS5" s="10"/>
      </tp>
      <tp t="s">
        <v>#N/A N/A</v>
        <stp/>
        <stp>BDS|16574223322259541389</stp>
        <tr r="SA5" s="26"/>
        <tr r="DA5" s="28"/>
      </tp>
      <tp t="s">
        <v>#N/A N/A</v>
        <stp/>
        <stp>BDS|17987977337266125708</stp>
        <tr r="RM5" s="16"/>
      </tp>
      <tp t="s">
        <v>#N/A N/A</v>
        <stp/>
        <stp>BDS|10755345329364397903</stp>
        <tr r="EU5" s="13"/>
      </tp>
      <tp t="s">
        <v>#N/A N/A</v>
        <stp/>
        <stp>BDS|15979916660827824193</stp>
        <tr r="AE5" s="19"/>
      </tp>
      <tp t="s">
        <v>#N/A N/A</v>
        <stp/>
        <stp>BDS|17623564319926687960</stp>
        <tr r="FI5" s="35"/>
      </tp>
      <tp t="s">
        <v>#N/A N/A</v>
        <stp/>
        <stp>BDS|11037472108220106905</stp>
        <tr r="DA5" s="49"/>
      </tp>
      <tp t="s">
        <v>#N/A N/A</v>
        <stp/>
        <stp>BDS|15938298084696340589</stp>
        <tr r="HC5" s="44"/>
      </tp>
      <tp t="s">
        <v>#N/A N/A</v>
        <stp/>
        <stp>BDS|14778848311541776096</stp>
        <tr r="JY5" s="29"/>
      </tp>
      <tp t="s">
        <v>#N/A N/A</v>
        <stp/>
        <stp>BDS|17113421966789928004</stp>
        <tr r="A5" s="12"/>
      </tp>
      <tp t="s">
        <v>#N/A N/A</v>
        <stp/>
        <stp>BDS|10212970747030914169</stp>
        <tr r="TU5" s="23"/>
      </tp>
      <tp t="s">
        <v>#N/A N/A</v>
        <stp/>
        <stp>BDS|14056348640017015892</stp>
        <tr r="OA5" s="24"/>
        <tr r="BI5" s="31"/>
      </tp>
      <tp t="s">
        <v>#N/A N/A</v>
        <stp/>
        <stp>BDS|13367392028359750779</stp>
        <tr r="JK5" s="39"/>
        <tr r="IG5" s="3"/>
        <tr r="RM5" s="31"/>
      </tp>
      <tp t="s">
        <v>#N/A N/A</v>
        <stp/>
        <stp>BDS|16654845393852318903</stp>
        <tr r="UY5" s="17"/>
      </tp>
      <tp t="s">
        <v>#N/A N/A</v>
        <stp/>
        <stp>BDS|10547680971529649483</stp>
        <tr r="OO5" s="22"/>
        <tr r="GM5" s="38"/>
      </tp>
      <tp t="s">
        <v>#N/A N/A</v>
        <stp/>
        <stp>BDS|13628780391899931850</stp>
        <tr r="SQ5" s="31"/>
        <tr r="PE5" s="50"/>
      </tp>
      <tp t="s">
        <v>#N/A N/A</v>
        <stp/>
        <stp>BDS|11219604684191627238</stp>
        <tr r="OO5" s="10"/>
        <tr r="PS5" s="28"/>
        <tr r="OO5" s="15"/>
      </tp>
      <tp t="s">
        <v>#N/A N/A</v>
        <stp/>
        <stp>BDS|11403852152333832384</stp>
        <tr r="KO5" s="12"/>
      </tp>
      <tp t="s">
        <v>#N/A N/A</v>
        <stp/>
        <stp>BDS|12509846307113127576</stp>
        <tr r="HC5" s="6"/>
      </tp>
      <tp t="s">
        <v>#N/A N/A</v>
        <stp/>
        <stp>BDS|12477094048613252972</stp>
        <tr r="BW5" s="26"/>
        <tr r="PS5" s="36"/>
      </tp>
      <tp t="s">
        <v>#N/A N/A</v>
        <stp/>
        <stp>BDS|13271604987953488217</stp>
        <tr r="O5" s="40"/>
      </tp>
      <tp t="s">
        <v>#N/A N/A</v>
        <stp/>
        <stp>BDS|10295888462936951407</stp>
        <tr r="CM5" s="4"/>
      </tp>
      <tp t="s">
        <v>#N/A N/A</v>
        <stp/>
        <stp>BDS|16006019002633433963</stp>
        <tr r="FY5" s="49"/>
      </tp>
      <tp t="s">
        <v>#N/A N/A</v>
        <stp/>
        <stp>BDS|13143014372300620857</stp>
        <tr r="SA5" s="1"/>
      </tp>
      <tp t="s">
        <v>#N/A N/A</v>
        <stp/>
        <stp>BDS|14032955832765188702</stp>
        <tr r="RM5" s="9"/>
      </tp>
      <tp t="s">
        <v>#N/A N/A</v>
        <stp/>
        <stp>BDS|16752945001851620223</stp>
        <tr r="FY5" s="42"/>
      </tp>
      <tp t="s">
        <v>#N/A N/A</v>
        <stp/>
        <stp>BDS|11571711811669001231</stp>
        <tr r="CM5" s="8"/>
      </tp>
      <tp t="s">
        <v>#N/A N/A</v>
        <stp/>
        <stp>BDS|11183020437728529663</stp>
        <tr r="AS5" s="1"/>
        <tr r="MG5" s="5"/>
        <tr r="AS5" s="15"/>
        <tr r="IU5" s="25"/>
        <tr r="OO5" s="45"/>
      </tp>
      <tp t="s">
        <v>#N/A N/A</v>
        <stp/>
        <stp>BDS|14515750181711383663</stp>
        <tr r="FI5" s="4"/>
      </tp>
      <tp t="s">
        <v>#N/A N/A</v>
        <stp/>
        <stp>BDS|16006833846080974688</stp>
        <tr r="SA5" s="17"/>
      </tp>
      <tp t="s">
        <v>#N/A N/A</v>
        <stp/>
        <stp>BDS|10761755933398267074</stp>
        <tr r="AS5" s="44"/>
      </tp>
      <tp t="s">
        <v>#N/A N/A</v>
        <stp/>
        <stp>BDS|10507990569755063610</stp>
        <tr r="GM5" s="42"/>
      </tp>
      <tp t="s">
        <v>#N/A N/A</v>
        <stp/>
        <stp>BDS|16528624491143185624</stp>
        <tr r="TE5" s="33"/>
      </tp>
      <tp t="s">
        <v>#N/A N/A</v>
        <stp/>
        <stp>BDS|13635324082584322009</stp>
        <tr r="PE5" s="34"/>
      </tp>
      <tp t="s">
        <v>#N/A N/A</v>
        <stp/>
        <stp>BDS|16520055020160439817</stp>
        <tr r="LC5" s="5"/>
      </tp>
      <tp t="s">
        <v>#N/A N/A</v>
        <stp/>
        <stp>BDS|17417155698541403283</stp>
        <tr r="LC5" s="6"/>
      </tp>
      <tp t="s">
        <v>#N/A N/A</v>
        <stp/>
        <stp>BDS|11054116240461059946</stp>
        <tr r="JK5" s="9"/>
      </tp>
      <tp t="s">
        <v>#N/A N/A</v>
        <stp/>
        <stp>BDS|10720741388095231733</stp>
        <tr r="FY5" s="1"/>
      </tp>
      <tp t="s">
        <v>#N/A N/A</v>
        <stp/>
        <stp>BDS|17750529997052837409</stp>
        <tr r="PS5" s="10"/>
      </tp>
      <tp t="s">
        <v>#N/A N/A</v>
        <stp/>
        <stp>BDS|17076959875741979538</stp>
        <tr r="AE5" s="38"/>
      </tp>
      <tp t="s">
        <v>#N/A N/A</v>
        <stp/>
        <stp>BDS|15289050648099075544</stp>
        <tr r="BW5" s="41"/>
      </tp>
      <tp t="s">
        <v>#N/A N/A</v>
        <stp/>
        <stp>BDS|11047162108904543903</stp>
        <tr r="DA5" s="5"/>
        <tr r="NK5" s="13"/>
      </tp>
      <tp t="s">
        <v>#N/A N/A</v>
        <stp/>
        <stp>BDS|11510487329553995965</stp>
        <tr r="EU5" s="22"/>
      </tp>
      <tp t="s">
        <v>#N/A N/A</v>
        <stp/>
        <stp>BDS|12027991583749554743</stp>
        <tr r="UY5" s="24"/>
      </tp>
      <tp t="s">
        <v>#N/A N/A</v>
        <stp/>
        <stp>BDS|16617598192566490122</stp>
        <tr r="AE5" s="49"/>
      </tp>
      <tp t="s">
        <v>#N/A N/A</v>
        <stp/>
        <stp>BDS|14936515095142115773</stp>
        <tr r="HC5" s="33"/>
      </tp>
      <tp t="s">
        <v>#N/A N/A</v>
        <stp/>
        <stp>BDS|13136818052586850522</stp>
        <tr r="HQ5" s="42"/>
      </tp>
      <tp t="s">
        <v>#N/A N/A</v>
        <stp/>
        <stp>BDS|13521413258707487806</stp>
        <tr r="AE5" s="50"/>
      </tp>
      <tp t="s">
        <v>#N/A N/A</v>
        <stp/>
        <stp>BDS|14115941622295860772</stp>
        <tr r="KO5" s="7"/>
        <tr r="A5" s="17"/>
        <tr r="IG5" s="47"/>
      </tp>
      <tp t="s">
        <v>#N/A N/A</v>
        <stp/>
        <stp>BDS|10873850844604776579</stp>
        <tr r="UY5" s="4"/>
      </tp>
      <tp t="s">
        <v>#N/A N/A</v>
        <stp/>
        <stp>BDS|10044719479215645874</stp>
        <tr r="UI5" s="8"/>
        <tr r="BW5" s="22"/>
        <tr r="AS5" s="42"/>
      </tp>
      <tp t="s">
        <v>#N/A N/A</v>
        <stp/>
        <stp>BDS|18323283555561187360</stp>
        <tr r="LC5" s="46"/>
      </tp>
      <tp t="s">
        <v>#N/A N/A</v>
        <stp/>
        <stp>BDS|17462157389564528739</stp>
        <tr r="SQ5" s="8"/>
      </tp>
      <tp t="s">
        <v>#N/A N/A</v>
        <stp/>
        <stp>BDS|15337822558986220359</stp>
        <tr r="HQ5" s="18"/>
      </tp>
      <tp t="s">
        <v>#N/A N/A</v>
        <stp/>
        <stp>BDS|11417999703070018512</stp>
        <tr r="O5" s="29"/>
      </tp>
      <tp t="s">
        <v>#N/A N/A</v>
        <stp/>
        <stp>BDS|18331325730954908171</stp>
        <tr r="BW5" s="4"/>
      </tp>
      <tp t="s">
        <v>#N/A N/A</v>
        <stp/>
        <stp>BDS|17052586956052133839</stp>
        <tr r="LC5" s="19"/>
      </tp>
      <tp t="s">
        <v>#N/A N/A</v>
        <stp/>
        <stp>BDS|11286159820677956820</stp>
        <tr r="HC5" s="50"/>
      </tp>
      <tp t="s">
        <v>#N/A N/A</v>
        <stp/>
        <stp>BDS|16269439784886065189</stp>
        <tr r="UI5" s="42"/>
      </tp>
      <tp t="s">
        <v>#N/A N/A</v>
        <stp/>
        <stp>BDS|17583553989474682328</stp>
        <tr r="TE5" s="2"/>
      </tp>
      <tp t="s">
        <v>#N/A N/A</v>
        <stp/>
        <stp>BDS|13184166131774953822</stp>
        <tr r="FY5" s="7"/>
      </tp>
      <tp t="s">
        <v>#N/A N/A</v>
        <stp/>
        <stp>BDS|16047359365157535982</stp>
        <tr r="RM5" s="33"/>
      </tp>
      <tp t="s">
        <v>#N/A N/A</v>
        <stp/>
        <stp>BDS|16963631656448462053</stp>
        <tr r="JK5" s="6"/>
      </tp>
      <tp t="s">
        <v>#N/A N/A</v>
        <stp/>
        <stp>BDS|18133607147745120250</stp>
        <tr r="PS5" s="4"/>
      </tp>
      <tp t="s">
        <v>#N/A N/A</v>
        <stp/>
        <stp>BDS|11007633546897055978</stp>
        <tr r="FY5" s="19"/>
      </tp>
      <tp t="s">
        <v>#N/A N/A</v>
        <stp/>
        <stp>BDS|15063843878286821174</stp>
        <tr r="OO5" s="49"/>
      </tp>
      <tp t="s">
        <v>#N/A N/A</v>
        <stp/>
        <stp>BDS|12778708616358785150</stp>
        <tr r="LC5" s="40"/>
      </tp>
      <tp t="s">
        <v>#N/A N/A</v>
        <stp/>
        <stp>BDS|15186428685943223746</stp>
        <tr r="IU5" s="31"/>
      </tp>
      <tp t="s">
        <v>#N/A N/A</v>
        <stp/>
        <stp>BDS|10304267116768372605</stp>
        <tr r="VM5" s="29"/>
      </tp>
      <tp t="s">
        <v>#N/A N/A</v>
        <stp/>
        <stp>BDS|10274813355907728705</stp>
        <tr r="FI5" s="43"/>
      </tp>
      <tp t="s">
        <v>#N/A N/A</v>
        <stp/>
        <stp>BDS|12491015204727692860</stp>
        <tr r="SA5" s="2"/>
      </tp>
      <tp t="s">
        <v>#N/A N/A</v>
        <stp/>
        <stp>BDS|15356638275838303174</stp>
        <tr r="SQ5" s="38"/>
      </tp>
      <tp t="s">
        <v>#N/A N/A</v>
        <stp/>
        <stp>BDS|12559889059963782154</stp>
        <tr r="PE5" s="21"/>
      </tp>
      <tp t="s">
        <v>#N/A N/A</v>
        <stp/>
        <stp>BDS|10433927245172667234</stp>
        <tr r="OO5" s="31"/>
      </tp>
      <tp t="s">
        <v>#N/A N/A</v>
        <stp/>
        <stp>BDS|12011820062118100968</stp>
        <tr r="HC5" s="39"/>
        <tr r="RM5" s="15"/>
        <tr r="UY5" s="28"/>
        <tr r="RM5" s="30"/>
        <tr r="FY5" s="31"/>
        <tr r="QI5" s="35"/>
      </tp>
      <tp t="s">
        <v>#N/A N/A</v>
        <stp/>
        <stp>BDS|14819882630547049570</stp>
        <tr r="QW5" s="49"/>
      </tp>
      <tp t="s">
        <v>#N/A N/A</v>
        <stp/>
        <stp>BDS|14498669481161457602</stp>
        <tr r="KO5" s="25"/>
      </tp>
      <tp t="s">
        <v>#N/A N/A</v>
        <stp/>
        <stp>BDS|17561673034449308619</stp>
        <tr r="SQ5" s="10"/>
      </tp>
      <tp t="s">
        <v>#N/A N/A</v>
        <stp/>
        <stp>BDS|11399334694000230635</stp>
        <tr r="IG5" s="6"/>
        <tr r="RM5" s="22"/>
      </tp>
      <tp t="s">
        <v>#N/A N/A</v>
        <stp/>
        <stp>BDS|13726396005865903877</stp>
        <tr r="IU5" s="13"/>
      </tp>
      <tp t="s">
        <v>#N/A N/A</v>
        <stp/>
        <stp>BDS|16490464976590295836</stp>
        <tr r="JK5" s="27"/>
      </tp>
      <tp t="s">
        <v>#N/A N/A</v>
        <stp/>
        <stp>BDS|17651213458561396361</stp>
        <tr r="QW5" s="36"/>
      </tp>
      <tp t="s">
        <v>#N/A N/A</v>
        <stp/>
        <stp>BDS|14136266779775212668</stp>
        <tr r="VM5" s="10"/>
      </tp>
      <tp t="s">
        <v>#N/A N/A</v>
        <stp/>
        <stp>BDS|12433133029723711034</stp>
        <tr r="TE5" s="5"/>
      </tp>
      <tp t="s">
        <v>#N/A N/A</v>
        <stp/>
        <stp>BDS|16999520534711794320</stp>
        <tr r="LC5" s="13"/>
      </tp>
      <tp t="s">
        <v>#N/A N/A</v>
        <stp/>
        <stp>BDS|10897813847026558818</stp>
        <tr r="DQ5" s="45"/>
        <tr r="UY5" s="49"/>
      </tp>
      <tp t="s">
        <v>#N/A N/A</v>
        <stp/>
        <stp>BDS|11187262867243879428</stp>
        <tr r="QW5" s="14"/>
      </tp>
      <tp t="s">
        <v>#N/A N/A</v>
        <stp/>
        <stp>BDS|15580299520841362642</stp>
        <tr r="EE5" s="1"/>
      </tp>
      <tp t="s">
        <v>#N/A N/A</v>
        <stp/>
        <stp>BDS|15901112398996950922</stp>
        <tr r="CM5" s="36"/>
      </tp>
      <tp t="s">
        <v>#N/A N/A</v>
        <stp/>
        <stp>BDS|17420382421423094744</stp>
        <tr r="BW5" s="5"/>
      </tp>
      <tp t="s">
        <v>#N/A N/A</v>
        <stp/>
        <stp>BDS|11653071768341765479</stp>
        <tr r="OO5" s="13"/>
        <tr r="LC5" s="29"/>
      </tp>
      <tp t="s">
        <v>#N/A N/A</v>
        <stp/>
        <stp>BDS|13294540605357916334</stp>
        <tr r="LS5" s="8"/>
        <tr r="MW5" s="9"/>
        <tr r="JK5" s="14"/>
      </tp>
      <tp t="s">
        <v>#N/A N/A</v>
        <stp/>
        <stp>BDS|17852233040714459768</stp>
        <tr r="NK5" s="12"/>
        <tr r="JY5" s="36"/>
      </tp>
      <tp t="s">
        <v>#N/A N/A</v>
        <stp/>
        <stp>BDS|14098191426092404728</stp>
        <tr r="PE5" s="37"/>
        <tr r="TU5" s="7"/>
      </tp>
      <tp t="s">
        <v>#N/A N/A</v>
        <stp/>
        <stp>BDS|15404744675431899630</stp>
        <tr r="GM5" s="40"/>
      </tp>
      <tp t="s">
        <v>#N/A N/A</v>
        <stp/>
        <stp>BDS|13033695804675466275</stp>
        <tr r="EU5" s="44"/>
      </tp>
      <tp t="s">
        <v>#N/A N/A</v>
        <stp/>
        <stp>BDS|12632585302070637545</stp>
        <tr r="HQ5" s="2"/>
      </tp>
      <tp t="s">
        <v>#N/A N/A</v>
        <stp/>
        <stp>BDS|14597493837626641721</stp>
        <tr r="HC5" s="12"/>
      </tp>
      <tp t="s">
        <v>#N/A N/A</v>
        <stp/>
        <stp>BDS|14868354262403902094</stp>
        <tr r="UI5" s="46"/>
      </tp>
      <tp t="s">
        <v>#N/A N/A</v>
        <stp/>
        <stp>BDS|16836781459306163071</stp>
        <tr r="UY5" s="10"/>
      </tp>
      <tp t="s">
        <v>#N/A N/A</v>
        <stp/>
        <stp>BDS|10803629192438649522</stp>
        <tr r="HC5" s="30"/>
      </tp>
      <tp t="s">
        <v>#N/A N/A</v>
        <stp/>
        <stp>BDS|10298098351053525439</stp>
        <tr r="AE5" s="6"/>
      </tp>
      <tp t="s">
        <v>#N/A N/A</v>
        <stp/>
        <stp>BDS|13296001198049115176</stp>
        <tr r="UY5" s="21"/>
      </tp>
      <tp t="s">
        <v>#N/A N/A</v>
        <stp/>
        <stp>BDS|14240097274986268702</stp>
        <tr r="QI5" s="37"/>
      </tp>
      <tp t="s">
        <v>#N/A N/A</v>
        <stp/>
        <stp>BDS|16811732747325697282</stp>
        <tr r="JY5" s="42"/>
      </tp>
      <tp t="s">
        <v>#N/A N/A</v>
        <stp/>
        <stp>BDS|12603448425605126345</stp>
        <tr r="KO5" s="39"/>
      </tp>
      <tp t="s">
        <v>#N/A N/A</v>
        <stp/>
        <stp>BDS|11744057310612987095</stp>
        <tr r="EU5" s="35"/>
      </tp>
      <tp t="s">
        <v>#N/A N/A</v>
        <stp/>
        <stp>BDS|10075307311985346503</stp>
        <tr r="DQ5" s="36"/>
      </tp>
      <tp t="s">
        <v>#N/A N/A</v>
        <stp/>
        <stp>BDS|12509103736812538046</stp>
        <tr r="EU5" s="32"/>
      </tp>
      <tp t="s">
        <v>#N/A N/A</v>
        <stp/>
        <stp>BDS|14682714017299604942</stp>
        <tr r="TU5" s="50"/>
      </tp>
      <tp t="s">
        <v>#N/A N/A</v>
        <stp/>
        <stp>BDS|17638377054050438337</stp>
        <tr r="QI5" s="14"/>
      </tp>
      <tp t="s">
        <v>#N/A N/A</v>
        <stp/>
        <stp>BDS|13556345903233065103</stp>
        <tr r="NK5" s="7"/>
      </tp>
      <tp t="s">
        <v>#N/A N/A</v>
        <stp/>
        <stp>BDS|14579759703975877494</stp>
        <tr r="IU5" s="4"/>
      </tp>
      <tp t="s">
        <v>#N/A N/A</v>
        <stp/>
        <stp>BDS|14362364332235275368</stp>
        <tr r="A5" s="49"/>
      </tp>
      <tp t="s">
        <v>#N/A N/A</v>
        <stp/>
        <stp>BDS|15908879909638536711</stp>
        <tr r="EU5" s="7"/>
        <tr r="QI5" s="24"/>
      </tp>
      <tp t="s">
        <v>#N/A N/A</v>
        <stp/>
        <stp>BDS|11550271186391528823</stp>
        <tr r="IG5" s="9"/>
        <tr r="A5" s="25"/>
      </tp>
      <tp t="s">
        <v>#N/A N/A</v>
        <stp/>
        <stp>BDS|14755284118247556212</stp>
        <tr r="OO5" s="28"/>
      </tp>
      <tp t="s">
        <v>#N/A N/A</v>
        <stp/>
        <stp>BDS|11499079362082865798</stp>
        <tr r="MW5" s="45"/>
      </tp>
      <tp t="s">
        <v>#N/A N/A</v>
        <stp/>
        <stp>BDS|13310405153096457640</stp>
        <tr r="DA5" s="50"/>
      </tp>
      <tp t="s">
        <v>#N/A N/A</v>
        <stp/>
        <stp>BDS|11543203271075710336</stp>
        <tr r="QW5" s="8"/>
      </tp>
      <tp t="s">
        <v>#N/A N/A</v>
        <stp/>
        <stp>BDS|10962221465317817162</stp>
        <tr r="TU5" s="5"/>
      </tp>
      <tp t="s">
        <v>#N/A N/A</v>
        <stp/>
        <stp>BDS|10397791408022008732</stp>
        <tr r="PE5" s="5"/>
      </tp>
      <tp t="s">
        <v>#N/A N/A</v>
        <stp/>
        <stp>BDS|12718959994137131762</stp>
        <tr r="A5" s="28"/>
      </tp>
      <tp t="s">
        <v>#N/A N/A</v>
        <stp/>
        <stp>BDS|13600053176164213262</stp>
        <tr r="DA5" s="40"/>
      </tp>
      <tp t="s">
        <v>#N/A N/A</v>
        <stp/>
        <stp>BDS|12688474178446987510</stp>
        <tr r="EE5" s="6"/>
        <tr r="VM5" s="42"/>
        <tr r="SA5" s="49"/>
      </tp>
      <tp t="s">
        <v>#N/A N/A</v>
        <stp/>
        <stp>BDS|13269900296353086227</stp>
        <tr r="QW5" s="39"/>
      </tp>
      <tp t="s">
        <v>#N/A N/A</v>
        <stp/>
        <stp>BDS|11881669600900036584</stp>
        <tr r="AE5" s="47"/>
      </tp>
      <tp t="s">
        <v>#N/A N/A</v>
        <stp/>
        <stp>BDS|10225177266172666730</stp>
        <tr r="PE5" s="9"/>
      </tp>
      <tp t="s">
        <v>#N/A N/A</v>
        <stp/>
        <stp>BDS|17572070858454408483</stp>
        <tr r="SA5" s="3"/>
      </tp>
      <tp t="s">
        <v>#N/A N/A</v>
        <stp/>
        <stp>BDS|17837862647199842067</stp>
        <tr r="AE5" s="44"/>
      </tp>
      <tp t="s">
        <v>#N/A N/A</v>
        <stp/>
        <stp>BDS|11028032755686517044</stp>
        <tr r="DA5" s="1"/>
      </tp>
      <tp t="s">
        <v>#N/A N/A</v>
        <stp/>
        <stp>BDS|10803283300195675517</stp>
        <tr r="IG5" s="11"/>
        <tr r="IG5" s="42"/>
      </tp>
      <tp t="s">
        <v>#N/A N/A</v>
        <stp/>
        <stp>BDS|16145264732801586472</stp>
        <tr r="TE5" s="31"/>
        <tr r="PS5" s="50"/>
      </tp>
      <tp t="s">
        <v>#N/A N/A</v>
        <stp/>
        <stp>BDS|11464347954991080435</stp>
        <tr r="NK5" s="36"/>
      </tp>
      <tp t="s">
        <v>#N/A N/A</v>
        <stp/>
        <stp>BDS|13871475512576121284</stp>
        <tr r="AS5" s="6"/>
      </tp>
      <tp t="s">
        <v>#N/A N/A</v>
        <stp/>
        <stp>BDS|12044284961623456794</stp>
        <tr r="FI5" s="49"/>
      </tp>
      <tp t="s">
        <v>#N/A N/A</v>
        <stp/>
        <stp>BDS|13020752671917383637</stp>
        <tr r="FI5" s="29"/>
      </tp>
      <tp t="s">
        <v>#N/A N/A</v>
        <stp/>
        <stp>BDS|12632043950662286754</stp>
        <tr r="IG5" s="19"/>
      </tp>
      <tp t="s">
        <v>#N/A N/A</v>
        <stp/>
        <stp>BDS|16624178675967203531</stp>
        <tr r="VM5" s="39"/>
      </tp>
      <tp t="s">
        <v>#N/A N/A</v>
        <stp/>
        <stp>BDS|18213416304216738856</stp>
        <tr r="O5" s="24"/>
      </tp>
      <tp t="s">
        <v>#N/A N/A</v>
        <stp/>
        <stp>BDS|14335405067462725660</stp>
        <tr r="DA5" s="21"/>
      </tp>
      <tp t="s">
        <v>#N/A N/A</v>
        <stp/>
        <stp>BDS|10390765755087585700</stp>
        <tr r="MG5" s="49"/>
      </tp>
      <tp t="s">
        <v>#N/A N/A</v>
        <stp/>
        <stp>BDS|15493873159758550355</stp>
        <tr r="RM5" s="24"/>
      </tp>
      <tp t="s">
        <v>#N/A N/A</v>
        <stp/>
        <stp>BDS|18034330216449754084</stp>
        <tr r="CM5" s="2"/>
      </tp>
      <tp t="s">
        <v>#N/A N/A</v>
        <stp/>
        <stp>BDS|16361604331280852001</stp>
        <tr r="UI5" s="17"/>
        <tr r="PS5" s="1"/>
      </tp>
      <tp t="s">
        <v>#N/A N/A</v>
        <stp/>
        <stp>BDS|15230364816056810217</stp>
        <tr r="TE5" s="44"/>
      </tp>
      <tp t="s">
        <v>#N/A N/A</v>
        <stp/>
        <stp>BDS|13820142642200605535</stp>
        <tr r="AS5" s="49"/>
      </tp>
      <tp t="s">
        <v>#N/A N/A</v>
        <stp/>
        <stp>BDS|15785555559477059109</stp>
        <tr r="FY5" s="41"/>
      </tp>
      <tp t="s">
        <v>#N/A N/A</v>
        <stp/>
        <stp>BDS|11836617354086589707</stp>
        <tr r="PS5" s="8"/>
      </tp>
      <tp t="s">
        <v>#N/A N/A</v>
        <stp/>
        <stp>BDS|18293714342209105185</stp>
        <tr r="NK5" s="10"/>
      </tp>
      <tp t="s">
        <v>#N/A N/A</v>
        <stp/>
        <stp>BDS|10261184448807912134</stp>
        <tr r="OO5" s="7"/>
        <tr r="O5" s="45"/>
      </tp>
      <tp t="s">
        <v>#N/A N/A</v>
        <stp/>
        <stp>BDS|11535091317570647343</stp>
        <tr r="EE5" s="40"/>
      </tp>
      <tp t="s">
        <v>#N/A N/A</v>
        <stp/>
        <stp>BDS|14386884983917796069</stp>
        <tr r="HQ5" s="22"/>
      </tp>
      <tp t="s">
        <v>#N/A N/A</v>
        <stp/>
        <stp>BDS|10315007894582801812</stp>
        <tr r="TU5" s="29"/>
      </tp>
      <tp t="s">
        <v>#N/A N/A</v>
        <stp/>
        <stp>BDS|16291914883370982476</stp>
        <tr r="EU5" s="2"/>
        <tr r="A5" s="9"/>
        <tr r="SQ5" s="13"/>
        <tr r="AE5" s="14"/>
        <tr r="IG5" s="30"/>
        <tr r="BI5" s="32"/>
      </tp>
      <tp t="s">
        <v>#N/A N/A</v>
        <stp/>
        <stp>BDS|13583707700137970032</stp>
        <tr r="AE5" s="32"/>
      </tp>
      <tp t="s">
        <v>#N/A N/A</v>
        <stp/>
        <stp>BDS|12483172319838738928</stp>
        <tr r="LC5" s="30"/>
        <tr r="OO5" s="40"/>
      </tp>
      <tp t="s">
        <v>#N/A N/A</v>
        <stp/>
        <stp>BDS|16118593367203707578</stp>
        <tr r="MG5" s="30"/>
      </tp>
      <tp t="s">
        <v>#N/A N/A</v>
        <stp/>
        <stp>BDS|12629535209583047738</stp>
        <tr r="EE5" s="38"/>
      </tp>
      <tp t="s">
        <v>#N/A N/A</v>
        <stp/>
        <stp>BDS|11430492157693199048</stp>
        <tr r="LS5" s="15"/>
        <tr r="EU5" s="33"/>
        <tr r="EU5" s="38"/>
      </tp>
      <tp t="s">
        <v>#N/A N/A</v>
        <stp/>
        <stp>BDS|11786836298905229610</stp>
        <tr r="DQ5" s="25"/>
        <tr r="QI5" s="44"/>
        <tr r="QI5" s="25"/>
      </tp>
      <tp t="s">
        <v>#N/A N/A</v>
        <stp/>
        <stp>BDS|16248578803447341797</stp>
        <tr r="OA5" s="3"/>
      </tp>
      <tp t="s">
        <v>#N/A N/A</v>
        <stp/>
        <stp>BDS|16760262871985417582</stp>
        <tr r="EE5" s="42"/>
      </tp>
      <tp t="s">
        <v>#N/A N/A</v>
        <stp/>
        <stp>BDS|16917404317857744758</stp>
        <tr r="QI5" s="49"/>
      </tp>
      <tp t="s">
        <v>#N/A N/A</v>
        <stp/>
        <stp>BDS|10994590819016139156</stp>
        <tr r="UI5" s="28"/>
      </tp>
      <tp t="s">
        <v>#N/A N/A</v>
        <stp/>
        <stp>BDS|13921432441832423229</stp>
        <tr r="IG5" s="31"/>
      </tp>
      <tp t="s">
        <v>#N/A N/A</v>
        <stp/>
        <stp>BDS|15212270719247156202</stp>
        <tr r="HQ5" s="47"/>
      </tp>
      <tp t="s">
        <v>#N/A N/A</v>
        <stp/>
        <stp>BDS|15146645024753041131</stp>
        <tr r="DA5" s="16"/>
      </tp>
      <tp t="s">
        <v>#N/A N/A</v>
        <stp/>
        <stp>BDS|13674068434694275753</stp>
        <tr r="BI5" s="47"/>
      </tp>
      <tp t="s">
        <v>#N/A N/A</v>
        <stp/>
        <stp>BDS|13133854622043760921</stp>
        <tr r="DQ5" s="26"/>
      </tp>
      <tp t="s">
        <v>#N/A N/A</v>
        <stp/>
        <stp>BDS|13110486768942519047</stp>
        <tr r="KO5" s="41"/>
      </tp>
      <tp t="s">
        <v>#N/A N/A</v>
        <stp/>
        <stp>BDS|11317510732851887589</stp>
        <tr r="PS5" s="13"/>
      </tp>
      <tp t="s">
        <v>#N/A N/A</v>
        <stp/>
        <stp>BDS|17652139523133103472</stp>
        <tr r="RM5" s="29"/>
      </tp>
      <tp t="s">
        <v>#N/A N/A</v>
        <stp/>
        <stp>BDS|15880101879949266935</stp>
        <tr r="OA5" s="44"/>
      </tp>
      <tp t="s">
        <v>#N/A N/A</v>
        <stp/>
        <stp>BDS|15208305030140171636</stp>
        <tr r="TE5" s="19"/>
        <tr r="HQ5" s="9"/>
        <tr r="VM5" s="11"/>
        <tr r="GM5" s="4"/>
        <tr r="BW5" s="19"/>
        <tr r="UI5" s="3"/>
        <tr r="PS5" s="19"/>
      </tp>
      <tp t="s">
        <v>#N/A N/A</v>
        <stp/>
        <stp>BDS|13220339287289737200</stp>
        <tr r="AS5" s="41"/>
      </tp>
      <tp t="s">
        <v>#N/A N/A</v>
        <stp/>
        <stp>BDS|12122150677387403061</stp>
        <tr r="HQ5" s="4"/>
        <tr r="VM5" s="41"/>
      </tp>
      <tp t="s">
        <v>#N/A N/A</v>
        <stp/>
        <stp>BDS|15167351614112868694</stp>
        <tr r="GM5" s="23"/>
        <tr r="DA5" s="35"/>
        <tr r="EE5" s="41"/>
      </tp>
      <tp t="s">
        <v>#N/A N/A</v>
        <stp/>
        <stp>BDS|17687286611416070196</stp>
        <tr r="UI5" s="36"/>
      </tp>
      <tp t="s">
        <v>#N/A N/A</v>
        <stp/>
        <stp>BDS|16369331006440924683</stp>
        <tr r="MW5" s="39"/>
      </tp>
      <tp t="s">
        <v>#N/A N/A</v>
        <stp/>
        <stp>BDS|16316826321316271954</stp>
        <tr r="AS5" s="40"/>
      </tp>
      <tp t="s">
        <v>#N/A N/A</v>
        <stp/>
        <stp>BDS|13652403859226063784</stp>
        <tr r="HC5" s="38"/>
      </tp>
      <tp t="s">
        <v>#N/A N/A</v>
        <stp/>
        <stp>BDS|18352180419172031952</stp>
        <tr r="NK5" s="42"/>
      </tp>
      <tp t="s">
        <v>#N/A N/A</v>
        <stp/>
        <stp>BDS|17526162064296436575</stp>
        <tr r="DA5" s="10"/>
        <tr r="MG5" s="13"/>
      </tp>
      <tp t="s">
        <v>#N/A N/A</v>
        <stp/>
        <stp>BDS|11316681429417316151</stp>
        <tr r="DQ5" s="41"/>
        <tr r="FY5" s="23"/>
        <tr r="CM5" s="35"/>
      </tp>
      <tp t="s">
        <v>#N/A N/A</v>
        <stp/>
        <stp>BDS|15246212619504741193</stp>
        <tr r="NK5" s="49"/>
      </tp>
      <tp t="s">
        <v>#N/A N/A</v>
        <stp/>
        <stp>BDS|12585232107781593213</stp>
        <tr r="NK5" s="34"/>
      </tp>
      <tp t="s">
        <v>#N/A N/A</v>
        <stp/>
        <stp>BDS|15632433171655518042</stp>
        <tr r="VM5" s="40"/>
      </tp>
      <tp t="s">
        <v>#N/A N/A</v>
        <stp/>
        <stp>BDS|11674387143307190161</stp>
        <tr r="DA5" s="46"/>
      </tp>
      <tp t="s">
        <v>#N/A N/A</v>
        <stp/>
        <stp>BDS|11455118858725105062</stp>
        <tr r="AE5" s="22"/>
      </tp>
      <tp t="s">
        <v>#N/A N/A</v>
        <stp/>
        <stp>BDS|14248755729292057349</stp>
        <tr r="QI5" s="47"/>
      </tp>
      <tp t="s">
        <v>#N/A N/A</v>
        <stp/>
        <stp>BDS|11909060926234500767</stp>
        <tr r="O5" s="12"/>
      </tp>
      <tp t="s">
        <v>#N/A N/A</v>
        <stp/>
        <stp>BDS|14555482281470164862</stp>
        <tr r="AE5" s="36"/>
      </tp>
      <tp t="s">
        <v>#N/A N/A</v>
        <stp/>
        <stp>BDS|13499418605145993217</stp>
        <tr r="SA5" s="20"/>
      </tp>
      <tp t="s">
        <v>#N/A N/A</v>
        <stp/>
        <stp>BDS|12283399110089359905</stp>
        <tr r="A5" s="15"/>
        <tr r="SQ5" s="45"/>
        <tr r="UY5" s="45"/>
      </tp>
      <tp t="s">
        <v>#N/A N/A</v>
        <stp/>
        <stp>BDS|14031109734951807759</stp>
        <tr r="CM5" s="39"/>
      </tp>
      <tp t="s">
        <v>#N/A N/A</v>
        <stp/>
        <stp>BDS|10362676719800025742</stp>
        <tr r="KO5" s="11"/>
        <tr r="BI5" s="20"/>
        <tr r="QI5" s="34"/>
        <tr r="JK5" s="40"/>
      </tp>
      <tp t="s">
        <v>#N/A N/A</v>
        <stp/>
        <stp>BDS|17855558965501903584</stp>
        <tr r="TU5" s="25"/>
      </tp>
      <tp t="s">
        <v>#N/A N/A</v>
        <stp/>
        <stp>BDS|12964179996593587946</stp>
        <tr r="FI5" s="3"/>
        <tr r="FI5" s="9"/>
        <tr r="BW5" s="24"/>
        <tr r="FI5" s="24"/>
        <tr r="SA5" s="38"/>
      </tp>
      <tp t="s">
        <v>#N/A N/A</v>
        <stp/>
        <stp>BDS|12670696833083398412</stp>
        <tr r="FI5" s="44"/>
      </tp>
      <tp t="s">
        <v>#N/A N/A</v>
        <stp/>
        <stp>BDS|10615235961884364092</stp>
        <tr r="EE5" s="47"/>
      </tp>
      <tp t="s">
        <v>#N/A N/A</v>
        <stp/>
        <stp>BDS|17377268648673335204</stp>
        <tr r="A5" s="32"/>
      </tp>
      <tp t="s">
        <v>#N/A N/A</v>
        <stp/>
        <stp>BDS|17828081936932064695</stp>
        <tr r="O5" s="4"/>
      </tp>
      <tp t="s">
        <v>#N/A N/A</v>
        <stp/>
        <stp>BDS|17922788107710985002</stp>
        <tr r="DA5" s="23"/>
      </tp>
      <tp t="s">
        <v>#N/A N/A</v>
        <stp/>
        <stp>BDS|16816052661296566663</stp>
        <tr r="TE5" s="27"/>
      </tp>
      <tp t="s">
        <v>#N/A N/A</v>
        <stp/>
        <stp>BDS|17337604329827189474</stp>
        <tr r="VM5" s="22"/>
      </tp>
      <tp t="s">
        <v>#N/A N/A</v>
        <stp/>
        <stp>BDS|17245857402637096885</stp>
        <tr r="FI5" s="41"/>
        <tr r="DA5" s="25"/>
      </tp>
      <tp t="s">
        <v>#N/A N/A</v>
        <stp/>
        <stp>BDS|11055754482798997631</stp>
        <tr r="AS5" s="45"/>
      </tp>
      <tp t="s">
        <v>#N/A N/A</v>
        <stp/>
        <stp>BDS|10248099632910586311</stp>
        <tr r="AE5" s="34"/>
      </tp>
      <tp t="s">
        <v>#N/A N/A</v>
        <stp/>
        <stp>BDS|14258378779910197001</stp>
        <tr r="FY5" s="11"/>
        <tr r="CM5" s="37"/>
      </tp>
      <tp t="s">
        <v>#N/A N/A</v>
        <stp/>
        <stp>BDS|16462323618120276411</stp>
        <tr r="QI5" s="29"/>
      </tp>
      <tp t="s">
        <v>#N/A N/A</v>
        <stp/>
        <stp>BDS|10408172973547494198</stp>
        <tr r="KO5" s="9"/>
        <tr r="JK5" s="41"/>
      </tp>
      <tp t="s">
        <v>#N/A N/A</v>
        <stp/>
        <stp>BDS|13209253723142284140</stp>
        <tr r="DA5" s="45"/>
      </tp>
      <tp t="s">
        <v>#N/A N/A</v>
        <stp/>
        <stp>BDS|13278546015293601475</stp>
        <tr r="NK5" s="15"/>
      </tp>
      <tp t="s">
        <v>#N/A N/A</v>
        <stp/>
        <stp>BDS|11774055082169786041</stp>
        <tr r="RM5" s="7"/>
      </tp>
      <tp t="s">
        <v>#N/A N/A</v>
        <stp/>
        <stp>BDS|15798714839745489482</stp>
        <tr r="TE5" s="7"/>
        <tr r="HQ5" s="16"/>
      </tp>
      <tp t="s">
        <v>#N/A N/A</v>
        <stp/>
        <stp>BDS|18331274987877513559</stp>
        <tr r="AE5" s="24"/>
      </tp>
      <tp t="s">
        <v>#N/A N/A</v>
        <stp/>
        <stp>BDS|16417554437808220878</stp>
        <tr r="BW5" s="17"/>
      </tp>
      <tp t="s">
        <v>#N/A N/A</v>
        <stp/>
        <stp>BDS|12020135053420559663</stp>
        <tr r="FY5" s="29"/>
      </tp>
      <tp t="s">
        <v>#N/A N/A</v>
        <stp/>
        <stp>BDS|13133571134222642771</stp>
        <tr r="BW5" s="42"/>
      </tp>
      <tp t="s">
        <v>#N/A N/A</v>
        <stp/>
        <stp>BDS|12405462201533692554</stp>
        <tr r="A5" s="38"/>
        <tr r="HC5" s="24"/>
        <tr r="UY5" s="43"/>
      </tp>
      <tp t="s">
        <v>#N/A N/A</v>
        <stp/>
        <stp>BDS|12853696204844141043</stp>
        <tr r="DA5" s="33"/>
      </tp>
      <tp t="s">
        <v>#N/A N/A</v>
        <stp/>
        <stp>BDS|15574277832044903092</stp>
        <tr r="OO5" s="24"/>
        <tr r="BW5" s="31"/>
      </tp>
      <tp t="s">
        <v>#N/A N/A</v>
        <stp/>
        <stp>BDS|13166789918415668060</stp>
        <tr r="AS5" s="34"/>
      </tp>
      <tp t="s">
        <v>#N/A N/A</v>
        <stp/>
        <stp>BDS|13949461359950381247</stp>
        <tr r="GM5" s="43"/>
      </tp>
      <tp t="s">
        <v>#N/A N/A</v>
        <stp/>
        <stp>BDS|10968840003120947819</stp>
        <tr r="AE5" s="2"/>
        <tr r="DQ5" s="23"/>
      </tp>
      <tp t="s">
        <v>#N/A N/A</v>
        <stp/>
        <stp>BDS|10986294305100513264</stp>
        <tr r="UI5" s="15"/>
      </tp>
      <tp t="s">
        <v>#N/A N/A</v>
        <stp/>
        <stp>BDS|17858764622016282487</stp>
        <tr r="KO5" s="6"/>
      </tp>
      <tp t="s">
        <v>#N/A N/A</v>
        <stp/>
        <stp>BDS|11146321744552329421</stp>
        <tr r="UI5" s="9"/>
      </tp>
      <tp t="s">
        <v>#N/A N/A</v>
        <stp/>
        <stp>BDS|16962420056721967620</stp>
        <tr r="RM5" s="41"/>
      </tp>
      <tp t="s">
        <v>#N/A N/A</v>
        <stp/>
        <stp>BDS|18109611594594667347</stp>
        <tr r="UY5" s="29"/>
      </tp>
      <tp t="s">
        <v>#N/A N/A</v>
        <stp/>
        <stp>BDS|11511033237854788619</stp>
        <tr r="FY5" s="46"/>
      </tp>
      <tp t="s">
        <v>#N/A N/A</v>
        <stp/>
        <stp>BDS|12961460900783819503</stp>
        <tr r="O5" s="32"/>
      </tp>
      <tp t="s">
        <v>#N/A N/A</v>
        <stp/>
        <stp>BDS|13179990282882995045</stp>
        <tr r="BI5" s="4"/>
      </tp>
      <tp t="s">
        <v>#N/A N/A</v>
        <stp/>
        <stp>BDS|12697349321467128464</stp>
        <tr r="VM5" s="4"/>
      </tp>
      <tp t="s">
        <v>#N/A N/A</v>
        <stp/>
        <stp>BDS|13924096169083955644</stp>
        <tr r="PS5" s="5"/>
      </tp>
      <tp t="s">
        <v>#N/A N/A</v>
        <stp/>
        <stp>BDS|14032669631945772441</stp>
        <tr r="EU5" s="17"/>
      </tp>
      <tp t="s">
        <v>#N/A N/A</v>
        <stp/>
        <stp>BDS|11682806797322550217</stp>
        <tr r="QW5" s="10"/>
      </tp>
      <tp t="s">
        <v>#N/A N/A</v>
        <stp/>
        <stp>BDS|16308533410802314190</stp>
        <tr r="VM5" s="23"/>
        <tr r="JY5" s="37"/>
      </tp>
      <tp t="s">
        <v>#N/A N/A</v>
        <stp/>
        <stp>BDS|17948270343063329348</stp>
        <tr r="NK5" s="9"/>
        <tr r="JY5" s="14"/>
        <tr r="MG5" s="8"/>
      </tp>
      <tp t="s">
        <v>#N/A N/A</v>
        <stp/>
        <stp>BDS|10683328562872407686</stp>
        <tr r="OA5" s="34"/>
      </tp>
      <tp t="s">
        <v>#N/A N/A</v>
        <stp/>
        <stp>BDS|11938813805669796102</stp>
        <tr r="TE5" s="46"/>
      </tp>
      <tp t="s">
        <v>#N/A N/A</v>
        <stp/>
        <stp>BDS|12045146905734905626</stp>
        <tr r="UI5" s="21"/>
      </tp>
      <tp t="s">
        <v>#N/A N/A</v>
        <stp/>
        <stp>BDS|14769159574734490783</stp>
        <tr r="EE5" s="35"/>
      </tp>
      <tp t="s">
        <v>#N/A N/A</v>
        <stp/>
        <stp>BDS|13923657044834840483</stp>
        <tr r="A5" s="1"/>
      </tp>
      <tp t="s">
        <v>#N/A N/A</v>
        <stp/>
        <stp>BDS|13616265378933717475</stp>
        <tr r="MW5" s="11"/>
      </tp>
      <tp t="s">
        <v>#N/A N/A</v>
        <stp/>
        <stp>BDS|12976226371835725352</stp>
        <tr r="A5" s="33"/>
      </tp>
      <tp t="s">
        <v>#N/A N/A</v>
        <stp/>
        <stp>BDS|17815807298213959409</stp>
        <tr r="BW5" s="48"/>
      </tp>
      <tp t="s">
        <v>#N/A N/A</v>
        <stp/>
        <stp>BDS|11552410155487972663</stp>
        <tr r="GM5" s="13"/>
      </tp>
      <tp t="s">
        <v>#N/A N/A</v>
        <stp/>
        <stp>BDS|10346293986212694963</stp>
        <tr r="FI5" s="19"/>
      </tp>
      <tp t="s">
        <v>#N/A N/A</v>
        <stp/>
        <stp>BDS|12403104149750636675</stp>
        <tr r="DQ5" s="40"/>
      </tp>
      <tp t="s">
        <v>#N/A N/A</v>
        <stp/>
        <stp>BDS|15247764439879088909</stp>
        <tr r="A5" s="41"/>
      </tp>
      <tp t="s">
        <v>#N/A N/A</v>
        <stp/>
        <stp>BDS|10329336762675929167</stp>
        <tr r="OA5" s="16"/>
        <tr r="TU5" s="44"/>
      </tp>
      <tp t="s">
        <v>#N/A N/A</v>
        <stp/>
        <stp>BDS|16895939528678064418</stp>
        <tr r="RM5" s="5"/>
        <tr r="KO5" s="43"/>
      </tp>
      <tp t="s">
        <v>#N/A N/A</v>
        <stp/>
        <stp>BDS|12724534776331734079</stp>
        <tr r="IU5" s="3"/>
        <tr r="SA5" s="31"/>
        <tr r="JY5" s="39"/>
      </tp>
      <tp t="s">
        <v>#N/A N/A</v>
        <stp/>
        <stp>BDS|14502492527072155186</stp>
        <tr r="OA5" s="46"/>
      </tp>
      <tp t="s">
        <v>#N/A N/A</v>
        <stp/>
        <stp>BDS|11589380320602822378</stp>
        <tr r="BI5" s="13"/>
      </tp>
      <tp t="s">
        <v>#N/A N/A</v>
        <stp/>
        <stp>BDS|13699676887629203573</stp>
        <tr r="UI5" s="11"/>
      </tp>
      <tp t="s">
        <v>#N/A N/A</v>
        <stp/>
        <stp>BDS|13114008059307338081</stp>
        <tr r="NK5" s="40"/>
      </tp>
      <tp t="s">
        <v>#N/A N/A</v>
        <stp/>
        <stp>BDS|10525302587079543344</stp>
        <tr r="TU5" s="10"/>
      </tp>
      <tp t="s">
        <v>#N/A N/A</v>
        <stp/>
        <stp>BDS|10210306506575232760</stp>
        <tr r="JY5" s="32"/>
      </tp>
      <tp t="s">
        <v>#N/A N/A</v>
        <stp/>
        <stp>BDS|10707018064766136139</stp>
        <tr r="PS5" s="23"/>
      </tp>
      <tp t="s">
        <v>#N/A N/A</v>
        <stp/>
        <stp>BDS|13732735962567496430</stp>
        <tr r="EE5" s="10"/>
        <tr r="HQ5" s="14"/>
        <tr r="UI5" s="27"/>
        <tr r="UI5" s="38"/>
        <tr r="TE5" s="41"/>
      </tp>
      <tp t="s">
        <v>#N/A N/A</v>
        <stp/>
        <stp>BDS|14700883628067113878</stp>
        <tr r="QI5" s="16"/>
        <tr r="A5" s="43"/>
        <tr r="EU5" s="50"/>
        <tr r="RM5" s="50"/>
      </tp>
      <tp t="s">
        <v>#N/A N/A</v>
        <stp/>
        <stp>BDS|12596723573263008054</stp>
        <tr r="LS5" s="38"/>
      </tp>
      <tp t="s">
        <v>#N/A N/A</v>
        <stp/>
        <stp>BDS|13253566854544016615</stp>
        <tr r="GM5" s="35"/>
        <tr r="FI5" s="40"/>
      </tp>
      <tp t="s">
        <v>#N/A N/A</v>
        <stp/>
        <stp>BDS|13376431022173368707</stp>
        <tr r="GM5" s="8"/>
      </tp>
      <tp t="s">
        <v>#N/A N/A</v>
        <stp/>
        <stp>BDS|15110149014986547229</stp>
        <tr r="FY5" s="13"/>
      </tp>
      <tp t="s">
        <v>#N/A N/A</v>
        <stp/>
        <stp>BDS|13647381758950373438</stp>
        <tr r="DA5" s="17"/>
      </tp>
      <tp t="s">
        <v>#N/A N/A</v>
        <stp/>
        <stp>BDS|11967051568423675542</stp>
        <tr r="NK5" s="1"/>
        <tr r="UI5" s="4"/>
      </tp>
      <tp t="s">
        <v>#N/A N/A</v>
        <stp/>
        <stp>BDS|17640472177162902791</stp>
        <tr r="AS5" s="36"/>
      </tp>
      <tp t="s">
        <v>#N/A N/A</v>
        <stp/>
        <stp>BDS|10123804870226097865</stp>
        <tr r="EE5" s="9"/>
      </tp>
      <tp t="s">
        <v>#N/A N/A</v>
        <stp/>
        <stp>BDS|14284522219051812052</stp>
        <tr r="JK5" s="1"/>
        <tr r="OA5" s="14"/>
        <tr r="BI5" s="27"/>
      </tp>
      <tp t="s">
        <v>#N/A N/A</v>
        <stp/>
        <stp>BDS|16743361465814874682</stp>
        <tr r="OA5" s="7"/>
        <tr r="A5" s="45"/>
      </tp>
      <tp t="s">
        <v>#N/A N/A</v>
        <stp/>
        <stp>BDS|10216852107391369875</stp>
        <tr r="A5" s="36"/>
      </tp>
      <tp t="s">
        <v>#N/A N/A</v>
        <stp/>
        <stp>BDS|15761702409677801421</stp>
        <tr r="MG5" s="14"/>
        <tr r="MG5" s="35"/>
      </tp>
      <tp t="s">
        <v>#N/A N/A</v>
        <stp/>
        <stp>BDS|15061441561282490458</stp>
        <tr r="HC5" s="26"/>
      </tp>
      <tp t="s">
        <v>#N/A N/A</v>
        <stp/>
        <stp>BDS|16289232348786959757</stp>
        <tr r="IU5" s="39"/>
        <tr r="LC5" s="23"/>
        <tr r="MG5" s="27"/>
        <tr r="EE5" s="32"/>
        <tr r="GM5" s="36"/>
      </tp>
      <tp t="s">
        <v>#N/A N/A</v>
        <stp/>
        <stp>BDS|15089557667294071377</stp>
        <tr r="BI5" s="48"/>
      </tp>
      <tp t="s">
        <v>#N/A N/A</v>
        <stp/>
        <stp>BDS|11289309736115156500</stp>
        <tr r="DQ5" s="34"/>
      </tp>
      <tp t="s">
        <v>#N/A N/A</v>
        <stp/>
        <stp>BDS|15355039132443970316</stp>
        <tr r="BW5" s="50"/>
      </tp>
      <tp t="s">
        <v>#N/A N/A</v>
        <stp/>
        <stp>BDS|12974285917187591097</stp>
        <tr r="AE5" s="13"/>
      </tp>
      <tp t="s">
        <v>#N/A N/A</v>
        <stp/>
        <stp>BDS|14758592535300020414</stp>
        <tr r="UI5" s="29"/>
      </tp>
      <tp t="s">
        <v>#N/A N/A</v>
        <stp/>
        <stp>BDS|14950056683113742921</stp>
        <tr r="BW5" s="45"/>
      </tp>
      <tp t="s">
        <v>#N/A N/A</v>
        <stp/>
        <stp>BDS|18137511534251633987</stp>
        <tr r="OA5" s="17"/>
      </tp>
      <tp t="s">
        <v>#N/A N/A</v>
        <stp/>
        <stp>BDS|17747331606977259583</stp>
        <tr r="MG5" s="45"/>
      </tp>
      <tp t="s">
        <v>#N/A N/A</v>
        <stp/>
        <stp>BDS|15393134299722109905</stp>
        <tr r="UI5" s="43"/>
        <tr r="VM5" s="47"/>
      </tp>
      <tp t="s">
        <v>#N/A N/A</v>
        <stp/>
        <stp>BDS|12311590275515383356</stp>
        <tr r="UY5" s="32"/>
      </tp>
      <tp t="s">
        <v>#N/A N/A</v>
        <stp/>
        <stp>BDS|15871201732202650059</stp>
        <tr r="GM5" s="6"/>
        <tr r="OO5" s="9"/>
        <tr r="O5" s="18"/>
        <tr r="AS5" s="48"/>
      </tp>
      <tp t="s">
        <v>#N/A N/A</v>
        <stp/>
        <stp>BDS|13661799400003706111</stp>
        <tr r="BW5" s="6"/>
      </tp>
      <tp t="s">
        <v>#N/A N/A</v>
        <stp/>
        <stp>BDS|11181543539586256776</stp>
        <tr r="HQ5" s="37"/>
      </tp>
      <tp t="s">
        <v>#N/A N/A</v>
        <stp/>
        <stp>BDS|13509219889876081937</stp>
        <tr r="O5" s="19"/>
      </tp>
      <tp t="s">
        <v>#N/A N/A</v>
        <stp/>
        <stp>BDS|10793382774345562703</stp>
        <tr r="HQ5" s="30"/>
      </tp>
      <tp t="s">
        <v>#N/A N/A</v>
        <stp/>
        <stp>BDS|17582412420785371284</stp>
        <tr r="CM5" s="40"/>
      </tp>
      <tp t="s">
        <v>#N/A N/A</v>
        <stp/>
        <stp>BDS|10097737178014215261</stp>
        <tr r="SQ5" s="5"/>
      </tp>
      <tp t="s">
        <v>#N/A N/A</v>
        <stp/>
        <stp>BDS|10365565368066748356</stp>
        <tr r="SQ5" s="28"/>
        <tr r="OA5" s="29"/>
        <tr r="IG5" s="37"/>
      </tp>
      <tp t="s">
        <v>#N/A N/A</v>
        <stp/>
        <stp>BDS|16217966081402969330</stp>
        <tr r="FI5" s="15"/>
      </tp>
      <tp t="s">
        <v>#N/A N/A</v>
        <stp/>
        <stp>BDS|16684453155251051099</stp>
        <tr r="BI5" s="43"/>
      </tp>
      <tp t="s">
        <v>#N/A N/A</v>
        <stp/>
        <stp>BDS|17113743353733887024</stp>
        <tr r="A5" s="19"/>
      </tp>
      <tp t="s">
        <v>#N/A N/A</v>
        <stp/>
        <stp>BDS|14144349759256007202</stp>
        <tr r="DQ5" s="1"/>
      </tp>
      <tp t="s">
        <v>#N/A N/A</v>
        <stp/>
        <stp>BDS|11966303360182448008</stp>
        <tr r="PE5" s="10"/>
      </tp>
      <tp t="s">
        <v>#N/A N/A</v>
        <stp/>
        <stp>BDS|16466066738765202658</stp>
        <tr r="OO5" s="46"/>
      </tp>
      <tp t="s">
        <v>#N/A N/A</v>
        <stp/>
        <stp>BDS|17546279325939618835</stp>
        <tr r="PS5" s="40"/>
      </tp>
      <tp t="s">
        <v>#N/A N/A</v>
        <stp/>
        <stp>BDS|17643524715324192130</stp>
        <tr r="IU5" s="14"/>
      </tp>
      <tp t="s">
        <v>#N/A N/A</v>
        <stp/>
        <stp>BDS|18103307798416338296</stp>
        <tr r="NK5" s="6"/>
      </tp>
      <tp t="s">
        <v>#N/A N/A</v>
        <stp/>
        <stp>BDS|15739451117761641707</stp>
        <tr r="LS5" s="26"/>
      </tp>
      <tp t="s">
        <v>#N/A N/A</v>
        <stp/>
        <stp>BDS|11898382325563196573</stp>
        <tr r="QI5" s="27"/>
      </tp>
      <tp t="s">
        <v>#N/A N/A</v>
        <stp/>
        <stp>BDS|14984026420801204191</stp>
        <tr r="EE5" s="2"/>
        <tr r="OO5" s="6"/>
        <tr r="BW5" s="7"/>
        <tr r="OO5" s="37"/>
      </tp>
      <tp t="s">
        <v>#N/A N/A</v>
        <stp/>
        <stp>BDS|18413553480464497758</stp>
        <tr r="JK5" s="15"/>
        <tr r="BI5" s="40"/>
        <tr r="OA5" s="48"/>
      </tp>
      <tp t="s">
        <v>#N/A N/A</v>
        <stp/>
        <stp>BDS|14799454153275931694</stp>
        <tr r="QI5" s="22"/>
        <tr r="JK5" s="23"/>
      </tp>
      <tp t="s">
        <v>#N/A N/A</v>
        <stp/>
        <stp>BDS|16449910149974990949</stp>
        <tr r="KO5" s="49"/>
      </tp>
      <tp t="s">
        <v>#N/A N/A</v>
        <stp/>
        <stp>BDS|11303054066271743064</stp>
        <tr r="BW5" s="12"/>
        <tr r="MG5" s="21"/>
      </tp>
      <tp t="s">
        <v>#N/A N/A</v>
        <stp/>
        <stp>BDS|13713730342521156764</stp>
        <tr r="AS5" s="20"/>
      </tp>
      <tp t="s">
        <v>#N/A N/A</v>
        <stp/>
        <stp>BDS|13350519755314143100</stp>
        <tr r="O5" s="8"/>
        <tr r="AS5" s="21"/>
      </tp>
      <tp t="s">
        <v>#N/A N/A</v>
        <stp/>
        <stp>BDS|10386521875336273204</stp>
        <tr r="PE5" s="6"/>
        <tr r="TU5" s="26"/>
      </tp>
      <tp t="s">
        <v>#N/A N/A</v>
        <stp/>
        <stp>BDS|14937243723973966116</stp>
        <tr r="TE5" s="3"/>
      </tp>
      <tp t="s">
        <v>#N/A N/A</v>
        <stp/>
        <stp>BDS|12412403803309397924</stp>
        <tr r="UY5" s="1"/>
      </tp>
      <tp t="s">
        <v>#N/A N/A</v>
        <stp/>
        <stp>BDS|17839454641445806423</stp>
        <tr r="PS5" s="27"/>
        <tr r="SA5" s="27"/>
        <tr r="HQ5" s="25"/>
        <tr r="MG5" s="34"/>
      </tp>
      <tp t="s">
        <v>#N/A N/A</v>
        <stp/>
        <stp>BDS|10626165173428562805</stp>
        <tr r="TU5" s="35"/>
      </tp>
      <tp t="s">
        <v>#N/A N/A</v>
        <stp/>
        <stp>BDS|10616547083278760315</stp>
        <tr r="UI5" s="47"/>
      </tp>
      <tp t="s">
        <v>#N/A N/A</v>
        <stp/>
        <stp>BDS|13669471211022034272</stp>
        <tr r="MG5" s="50"/>
      </tp>
      <tp t="s">
        <v>#N/A N/A</v>
        <stp/>
        <stp>BDS|13657475706065145412</stp>
        <tr r="PS5" s="7"/>
        <tr r="BW5" s="28"/>
      </tp>
      <tp t="s">
        <v>#N/A N/A</v>
        <stp/>
        <stp>BDS|10346993398825613305</stp>
        <tr r="TU5" s="8"/>
        <tr r="BI5" s="22"/>
        <tr r="AE5" s="42"/>
      </tp>
      <tp t="s">
        <v>#N/A N/A</v>
        <stp/>
        <stp>BDS|16714260588543536989</stp>
        <tr r="MG5" s="18"/>
        <tr r="AS5" s="33"/>
      </tp>
      <tp t="s">
        <v>#N/A N/A</v>
        <stp/>
        <stp>BDS|11839544523226201699</stp>
        <tr r="A5" s="24"/>
      </tp>
      <tp t="s">
        <v>#N/A N/A</v>
        <stp/>
        <stp>BDS|11796963085017362130</stp>
        <tr r="OA5" s="40"/>
        <tr r="KO5" s="30"/>
      </tp>
      <tp t="s">
        <v>#N/A N/A</v>
        <stp/>
        <stp>BDS|12642547330150633203</stp>
        <tr r="QW5" s="26"/>
      </tp>
      <tp t="s">
        <v>#N/A N/A</v>
        <stp/>
        <stp>BDS|11206138701112594414</stp>
        <tr r="HQ5" s="27"/>
        <tr r="NK5" s="44"/>
      </tp>
      <tp t="s">
        <v>#N/A N/A</v>
        <stp/>
        <stp>BDS|10970698430124408716</stp>
        <tr r="AE5" s="21"/>
        <tr r="A5" s="8"/>
      </tp>
      <tp t="s">
        <v>#N/A N/A</v>
        <stp/>
        <stp>BDS|18214357855009065170</stp>
        <tr r="IU5" s="35"/>
      </tp>
      <tp t="s">
        <v>#N/A N/A</v>
        <stp/>
        <stp>BDS|10963428743956514083</stp>
        <tr r="QI5" s="36"/>
      </tp>
      <tp t="s">
        <v>#N/A N/A</v>
        <stp/>
        <stp>BDS|17579220973512135604</stp>
        <tr r="PS5" s="24"/>
      </tp>
      <tp t="s">
        <v>#N/A N/A</v>
        <stp/>
        <stp>BDS|17415547585068759589</stp>
        <tr r="AS5" s="2"/>
        <tr r="EE5" s="23"/>
      </tp>
      <tp t="s">
        <v>#N/A N/A</v>
        <stp/>
        <stp>BDS|13884438804975543507</stp>
        <tr r="EU5" s="8"/>
      </tp>
      <tp t="s">
        <v>#N/A N/A</v>
        <stp/>
        <stp>BDS|11004422627458729887</stp>
        <tr r="DQ5" s="2"/>
        <tr r="OA5" s="6"/>
        <tr r="BI5" s="7"/>
        <tr r="OA5" s="37"/>
      </tp>
      <tp t="s">
        <v>#N/A N/A</v>
        <stp/>
        <stp>BDS|11585690029896605496</stp>
        <tr r="SQ5" s="48"/>
      </tp>
      <tp t="s">
        <v>#N/A N/A</v>
        <stp/>
        <stp>BDS|11589625316165385482</stp>
        <tr r="JY5" s="30"/>
      </tp>
      <tp t="s">
        <v>#N/A N/A</v>
        <stp/>
        <stp>BDS|13947347707731661678</stp>
        <tr r="SQ5" s="32"/>
      </tp>
      <tp t="s">
        <v>#N/A N/A</v>
        <stp/>
        <stp>BDS|16860725467208405828</stp>
        <tr r="HQ5" s="41"/>
      </tp>
      <tp t="s">
        <v>#N/A N/A</v>
        <stp/>
        <stp>BDS|15638698260322358072</stp>
        <tr r="FI5" s="20"/>
      </tp>
      <tp t="s">
        <v>#N/A N/A</v>
        <stp/>
        <stp>BDS|15898974322291631800</stp>
        <tr r="QI5" s="32"/>
      </tp>
      <tp t="s">
        <v>#N/A N/A</v>
        <stp/>
        <stp>BDS|10715481932553595304</stp>
        <tr r="O5" s="41"/>
      </tp>
      <tp t="s">
        <v>#N/A N/A</v>
        <stp/>
        <stp>BDS|15234096369772335691</stp>
        <tr r="HC5" s="36"/>
      </tp>
      <tp t="s">
        <v>#N/A N/A</v>
        <stp/>
        <stp>BDS|16452482143836288751</stp>
        <tr r="CM5" s="15"/>
      </tp>
      <tp t="s">
        <v>#N/A N/A</v>
        <stp/>
        <stp>BDS|18054278663509949247</stp>
        <tr r="QW5" s="47"/>
      </tp>
      <tp t="s">
        <v>#N/A N/A</v>
        <stp/>
        <stp>BDS|11050710078354368239</stp>
        <tr r="EU5" s="31"/>
      </tp>
      <tp t="s">
        <v>#N/A N/A</v>
        <stp/>
        <stp>BDS|11967433339729296883</stp>
        <tr r="HQ5" s="8"/>
      </tp>
      <tp t="s">
        <v>#N/A N/A</v>
        <stp/>
        <stp>BDS|15458674616394553193</stp>
        <tr r="PE5" s="16"/>
        <tr r="CM5" s="20"/>
      </tp>
      <tp t="s">
        <v>#N/A N/A</v>
        <stp/>
        <stp>BDS|12574136713322947726</stp>
        <tr r="AE5" s="41"/>
      </tp>
      <tp t="s">
        <v>#N/A N/A</v>
        <stp/>
        <stp>BDS|15329053378992621741</stp>
        <tr r="OA5" s="8"/>
        <tr r="DQ5" s="24"/>
        <tr r="A5" s="27"/>
      </tp>
      <tp t="s">
        <v>#N/A N/A</v>
        <stp/>
        <stp>BDS|14703132346547688187</stp>
        <tr r="AS5" s="25"/>
      </tp>
      <tp t="s">
        <v>#N/A N/A</v>
        <stp/>
        <stp>BDS|17086838297925929413</stp>
        <tr r="KO5" s="8"/>
      </tp>
      <tp t="s">
        <v>#N/A N/A</v>
        <stp/>
        <stp>BDS|17522130788160569976</stp>
        <tr r="O5" s="23"/>
        <tr r="HQ5" s="34"/>
        <tr r="NK5" s="48"/>
      </tp>
      <tp t="s">
        <v>#N/A N/A</v>
        <stp/>
        <stp>BDS|11075775365924932379</stp>
        <tr r="LS5" s="49"/>
      </tp>
      <tp t="s">
        <v>#N/A N/A</v>
        <stp/>
        <stp>BDS|17855063916208012943</stp>
        <tr r="GM5" s="5"/>
      </tp>
      <tp t="s">
        <v>#N/A N/A</v>
        <stp/>
        <stp>BDS|17761780054966214458</stp>
        <tr r="KO5" s="27"/>
      </tp>
      <tp t="s">
        <v>#N/A N/A</v>
        <stp/>
        <stp>BDS|10219489357051861787</stp>
        <tr r="HQ5" s="1"/>
        <tr r="FI5" s="11"/>
        <tr r="AS5" s="28"/>
      </tp>
      <tp t="s">
        <v>#N/A N/A</v>
        <stp/>
        <stp>BDS|17619513428676052129</stp>
        <tr r="MW5" s="18"/>
      </tp>
      <tp t="s">
        <v>#N/A N/A</v>
        <stp/>
        <stp>BDS|14868020839098988876</stp>
        <tr r="RM5" s="6"/>
      </tp>
      <tp t="s">
        <v>#N/A N/A</v>
        <stp/>
        <stp>BDS|14102380261705703328</stp>
        <tr r="VM5" s="15"/>
      </tp>
      <tp t="s">
        <v>#N/A N/A</v>
        <stp/>
        <stp>BDS|11151796551355290169</stp>
        <tr r="A5" s="26"/>
      </tp>
      <tp t="s">
        <v>#N/A N/A</v>
        <stp/>
        <stp>BDS|15857587266697095646</stp>
        <tr r="EU5" s="5"/>
      </tp>
      <tp t="s">
        <v>#N/A N/A</v>
        <stp/>
        <stp>BDS|14198030811874543648</stp>
        <tr r="MG5" s="39"/>
      </tp>
      <tp t="s">
        <v>#N/A N/A</v>
        <stp/>
        <stp>BDS|11022312102324309126</stp>
        <tr r="MG5" s="25"/>
      </tp>
      <tp t="s">
        <v>#N/A N/A</v>
        <stp/>
        <stp>BDS|16684555494348404503</stp>
        <tr r="HC5" s="25"/>
        <tr r="PE5" s="27"/>
        <tr r="RM5" s="27"/>
        <tr r="LS5" s="34"/>
      </tp>
      <tp t="s">
        <v>#N/A N/A</v>
        <stp/>
        <stp>BDS|14153040968000729597</stp>
        <tr r="UY5" s="6"/>
      </tp>
      <tp t="s">
        <v>#N/A N/A</v>
        <stp/>
        <stp>BDS|14053900401738319221</stp>
        <tr r="UY5" s="33"/>
      </tp>
      <tp t="s">
        <v>#N/A N/A</v>
        <stp/>
        <stp>BDS|14617650142607635671</stp>
        <tr r="PS5" s="30"/>
        <tr r="LC5" s="38"/>
      </tp>
      <tp t="s">
        <v>#N/A N/A</v>
        <stp/>
        <stp>BDS|17096047670504416314</stp>
        <tr r="UY5" s="35"/>
      </tp>
      <tp t="s">
        <v>#N/A N/A</v>
        <stp/>
        <stp>BDS|18170553092264706779</stp>
        <tr r="AE5" s="29"/>
      </tp>
      <tp t="s">
        <v>#N/A N/A</v>
        <stp/>
        <stp>BDS|16187021913645419523</stp>
        <tr r="FI5" s="37"/>
      </tp>
      <tp t="s">
        <v>#N/A N/A</v>
        <stp/>
        <stp>BDS|13387798409701700224</stp>
        <tr r="UY5" s="2"/>
        <tr r="UY5" s="36"/>
      </tp>
      <tp t="s">
        <v>#N/A N/A</v>
        <stp/>
        <stp>BDS|11630002361489021910</stp>
        <tr r="EU5" s="11"/>
        <tr r="HC5" s="1"/>
        <tr r="AE5" s="28"/>
      </tp>
      <tp t="s">
        <v>#N/A N/A</v>
        <stp/>
        <stp>BDS|15832366158333168716</stp>
        <tr r="HQ5" s="5"/>
      </tp>
      <tp t="s">
        <v>#N/A N/A</v>
        <stp/>
        <stp>BDS|12794190276714992768</stp>
        <tr r="GM5" s="19"/>
      </tp>
      <tp t="s">
        <v>#N/A N/A</v>
        <stp/>
        <stp>BDS|12285623152896237071</stp>
        <tr r="PS5" s="6"/>
        <tr r="UI5" s="26"/>
      </tp>
      <tp t="s">
        <v>#N/A N/A</v>
        <stp/>
        <stp>BDS|11769186981558125780</stp>
        <tr r="NK5" s="14"/>
      </tp>
      <tp t="s">
        <v>#N/A N/A</v>
        <stp/>
        <stp>BDS|12153620108306885576</stp>
        <tr r="BI5" s="49"/>
      </tp>
      <tp t="s">
        <v>#N/A N/A</v>
        <stp/>
        <stp>BDS|18336208005795013820</stp>
        <tr r="HC5" s="23"/>
      </tp>
      <tp t="s">
        <v>#N/A N/A</v>
        <stp/>
        <stp>BDS|12930268009884792358</stp>
        <tr r="FI5" s="39"/>
      </tp>
      <tp t="s">
        <v>#N/A N/A</v>
        <stp/>
        <stp>BDS|14447052870495425112</stp>
        <tr r="LC5" s="9"/>
        <tr r="JY5" s="41"/>
      </tp>
      <tp t="s">
        <v>#N/A N/A</v>
        <stp/>
        <stp>BDS|17846403649317365765</stp>
        <tr r="NK5" s="41"/>
      </tp>
      <tp t="s">
        <v>#N/A N/A</v>
        <stp/>
        <stp>BDS|13993851017854753981</stp>
        <tr r="CM5" s="50"/>
      </tp>
      <tp t="s">
        <v>#N/A N/A</v>
        <stp/>
        <stp>BDS|15710712523987329033</stp>
        <tr r="MG5" s="23"/>
      </tp>
      <tp t="s">
        <v>#N/A N/A</v>
        <stp/>
        <stp>BDS|13835200302625932369</stp>
        <tr r="NK5" s="23"/>
      </tp>
      <tp t="s">
        <v>#N/A N/A</v>
        <stp/>
        <stp>BDS|12680447036134968577</stp>
        <tr r="LS5" s="23"/>
      </tp>
      <tp t="s">
        <v>#N/A N/A</v>
        <stp/>
        <stp>BDS|10957559636420177213</stp>
        <tr r="UY5" s="8"/>
      </tp>
      <tp t="s">
        <v>#N/A N/A</v>
        <stp/>
        <stp>BDS|17751822924279943022</stp>
        <tr r="KO5" s="10"/>
      </tp>
      <tp t="s">
        <v>#N/A N/A</v>
        <stp/>
        <stp>BDS|12942243805856160239</stp>
        <tr r="BI5" s="2"/>
      </tp>
      <tp t="s">
        <v>#N/A N/A</v>
        <stp/>
        <stp>BDS|15211582318837944219</stp>
        <tr r="PE5" s="35"/>
      </tp>
      <tp t="s">
        <v>#N/A N/A</v>
        <stp/>
        <stp>BDS|11356480070337105116</stp>
        <tr r="OO5" s="2"/>
      </tp>
      <tp t="s">
        <v>#N/A N/A</v>
        <stp/>
        <stp>BDS|17747270059941612578</stp>
        <tr r="JY5" s="50"/>
      </tp>
      <tp t="s">
        <v>#N/A N/A</v>
        <stp/>
        <stp>BDS|12996911587496406123</stp>
        <tr r="HQ5" s="7"/>
      </tp>
      <tp t="s">
        <v>#N/A N/A</v>
        <stp/>
        <stp>BDS|10628541153114801007</stp>
        <tr r="VM5" s="13"/>
      </tp>
      <tp t="s">
        <v>#N/A N/A</v>
        <stp/>
        <stp>BDS|12874057217615405273</stp>
        <tr r="SA5" s="9"/>
      </tp>
      <tp t="s">
        <v>#N/A N/A</v>
        <stp/>
        <stp>BDS|16459622678534236755</stp>
        <tr r="JK5" s="46"/>
      </tp>
      <tp t="s">
        <v>#N/A N/A</v>
        <stp/>
        <stp>BDS|15966996694723279293</stp>
        <tr r="A5" s="6"/>
        <tr r="MW5" s="17"/>
      </tp>
      <tp t="s">
        <v>#N/A N/A</v>
        <stp/>
        <stp>BDS|13592539348603429553</stp>
        <tr r="JK5" s="11"/>
        <tr r="LS5" s="31"/>
      </tp>
      <tp t="s">
        <v>#N/A N/A</v>
        <stp/>
        <stp>BDS|10874493539874089749</stp>
        <tr r="EE5" s="4"/>
        <tr r="O5" s="11"/>
        <tr r="AS5" s="18"/>
        <tr r="DA5" s="41"/>
      </tp>
      <tp t="s">
        <v>#N/A N/A</v>
        <stp/>
        <stp>BDS|12613342719635222151</stp>
        <tr r="LC5" s="25"/>
      </tp>
      <tp t="s">
        <v>#N/A N/A</v>
        <stp/>
        <stp>BDS|15942773391907481867</stp>
        <tr r="O5" s="30"/>
      </tp>
      <tp t="s">
        <v>#N/A N/A</v>
        <stp/>
        <stp>BDS|18252315373580567878</stp>
        <tr r="UI5" s="24"/>
        <tr r="PS5" s="39"/>
      </tp>
      <tp t="s">
        <v>#N/A N/A</v>
        <stp/>
        <stp>BDS|16226348059034609092</stp>
        <tr r="IU5" s="50"/>
      </tp>
      <tp t="s">
        <v>#N/A N/A</v>
        <stp/>
        <stp>BDS|17492043320476958799</stp>
        <tr r="MG5" s="15"/>
        <tr r="FI5" s="38"/>
        <tr r="FI5" s="33"/>
      </tp>
      <tp t="s">
        <v>#N/A N/A</v>
        <stp/>
        <stp>BDS|10836193661007168414</stp>
        <tr r="TU5" s="33"/>
      </tp>
      <tp t="s">
        <v>#N/A N/A</v>
        <stp/>
        <stp>BDS|10411418586409035139</stp>
        <tr r="PS5" s="18"/>
      </tp>
      <tp t="s">
        <v>#N/A N/A</v>
        <stp/>
        <stp>BDS|12441541160742151712</stp>
        <tr r="A5" s="34"/>
      </tp>
      <tp t="s">
        <v>#N/A N/A</v>
        <stp/>
        <stp>BDS|10565031933677138059</stp>
        <tr r="EE5" s="26"/>
      </tp>
      <tp t="s">
        <v>#N/A N/A</v>
        <stp/>
        <stp>BDS|15574456115935092148</stp>
        <tr r="SQ5" s="50"/>
      </tp>
      <tp t="s">
        <v>#N/A N/A</v>
        <stp/>
        <stp>BDS|17358767660122263068</stp>
        <tr r="QI5" s="7"/>
      </tp>
      <tp t="s">
        <v>#N/A N/A</v>
        <stp/>
        <stp>BDS|10852886452340479970</stp>
        <tr r="EU5" s="14"/>
      </tp>
      <tp t="s">
        <v>#N/A N/A</v>
        <stp/>
        <stp>BDS|11164820421259591602</stp>
        <tr r="SQ5" s="44"/>
      </tp>
      <tp t="s">
        <v>#N/A N/A</v>
        <stp/>
        <stp>BDS|10046549236962777026</stp>
        <tr r="HQ5" s="38"/>
      </tp>
      <tp t="s">
        <v>#N/A N/A</v>
        <stp/>
        <stp>BDS|16869598157407661546</stp>
        <tr r="EU5" s="18"/>
      </tp>
      <tp t="s">
        <v>#N/A N/A</v>
        <stp/>
        <stp>BDS|11027515144775263134</stp>
        <tr r="CM5" s="33"/>
      </tp>
      <tp t="s">
        <v>#N/A N/A</v>
        <stp/>
        <stp>BDS|15437247724953338223</stp>
        <tr r="DQ5" s="39"/>
      </tp>
      <tp t="s">
        <v>#N/A N/A</v>
        <stp/>
        <stp>BDS|17646173650977314185</stp>
        <tr r="IU5" s="23"/>
      </tp>
      <tp t="s">
        <v>#N/A N/A</v>
        <stp/>
        <stp>BDS|17445427591847500886</stp>
        <tr r="EE5" s="46"/>
      </tp>
      <tp t="s">
        <v>#N/A N/A</v>
        <stp/>
        <stp>BDS|15797596361680401300</stp>
        <tr r="O5" s="49"/>
      </tp>
      <tp t="s">
        <v>#N/A N/A</v>
        <stp/>
        <stp>BDS|10361369993308821751</stp>
        <tr r="QW5" s="29"/>
      </tp>
      <tp t="s">
        <v>#N/A N/A</v>
        <stp/>
        <stp>BDS|10177438178446865092</stp>
        <tr r="NK5" s="38"/>
      </tp>
      <tp t="s">
        <v>#N/A N/A</v>
        <stp/>
        <stp>BDS|15730194515155382533</stp>
        <tr r="KO5" s="17"/>
      </tp>
      <tp t="s">
        <v>#N/A N/A</v>
        <stp/>
        <stp>BDS|17341992755877474909</stp>
        <tr r="A5" s="47"/>
      </tp>
      <tp t="s">
        <v>#N/A N/A</v>
        <stp/>
        <stp>BDS|15561307874067303394</stp>
        <tr r="IG5" s="14"/>
      </tp>
      <tp t="s">
        <v>#N/A N/A</v>
        <stp/>
        <stp>BDS|13803548177777593360</stp>
        <tr r="VM5" s="38"/>
      </tp>
      <tp t="s">
        <v>#N/A N/A</v>
        <stp/>
        <stp>BDS|12853243347416163720</stp>
        <tr r="HQ5" s="36"/>
      </tp>
      <tp t="s">
        <v>#N/A N/A</v>
        <stp/>
        <stp>BDS|17422093226976632640</stp>
        <tr r="LC5" s="18"/>
      </tp>
      <tp t="s">
        <v>#N/A N/A</v>
        <stp/>
        <stp>BDS|11644523178101571702</stp>
        <tr r="MW5" s="15"/>
      </tp>
      <tp t="s">
        <v>#N/A N/A</v>
        <stp/>
        <stp>BDS|12173656986519822043</stp>
        <tr r="O5" s="7"/>
        <tr r="DA5" s="22"/>
      </tp>
      <tp t="s">
        <v>#N/A N/A</v>
        <stp/>
        <stp>BDS|11096172856555856567</stp>
        <tr r="BW5" s="11"/>
      </tp>
      <tp t="s">
        <v>#N/A N/A</v>
        <stp/>
        <stp>BDS|16107104267705135182</stp>
        <tr r="QI5" s="50"/>
      </tp>
      <tp t="s">
        <v>#N/A N/A</v>
        <stp/>
        <stp>BDS|10144560908116837681</stp>
        <tr r="FI5" s="22"/>
      </tp>
      <tp t="s">
        <v>#N/A N/A</v>
        <stp/>
        <stp>BDS|10992386549991046377</stp>
        <tr r="MW5" s="46"/>
      </tp>
      <tp t="s">
        <v>#N/A N/A</v>
        <stp/>
        <stp>BDS|16905598770933901264</stp>
        <tr r="MG5" s="33"/>
        <tr r="EE5" s="50"/>
      </tp>
      <tp t="s">
        <v>#N/A N/A</v>
        <stp/>
        <stp>BDS|15683131539575133714</stp>
        <tr r="SQ5" s="21"/>
        <tr r="RM5" s="43"/>
      </tp>
      <tp t="s">
        <v>#N/A N/A</v>
        <stp/>
        <stp>BDS|15743114270004816220</stp>
        <tr r="HQ5" s="11"/>
      </tp>
      <tp t="s">
        <v>#N/A N/A</v>
        <stp/>
        <stp>BDS|17773782725832446538</stp>
        <tr r="VM5" s="26"/>
        <tr r="TE5" s="30"/>
        <tr r="TE5" s="43"/>
      </tp>
      <tp t="s">
        <v>#N/A N/A</v>
        <stp/>
        <stp>BDS|16038361855683063618</stp>
        <tr r="OA5" s="49"/>
      </tp>
      <tp t="s">
        <v>#N/A N/A</v>
        <stp/>
        <stp>BDS|16874389352127770270</stp>
        <tr r="EE5" s="37"/>
      </tp>
      <tp t="s">
        <v>#N/A N/A</v>
        <stp/>
        <stp>BDS|13394230418853286687</stp>
        <tr r="HC5" s="22"/>
      </tp>
      <tp t="s">
        <v>#N/A N/A</v>
        <stp/>
        <stp>BDS|10956783151797042029</stp>
        <tr r="DA5" s="36"/>
      </tp>
      <tp t="s">
        <v>#N/A N/A</v>
        <stp/>
        <stp>BDS|11693299172748867970</stp>
        <tr r="HQ5" s="21"/>
      </tp>
      <tp t="s">
        <v>#N/A N/A</v>
        <stp/>
        <stp>BDS|17881484289227338994</stp>
        <tr r="IU5" s="11"/>
        <tr r="IU5" s="42"/>
      </tp>
      <tp t="s">
        <v>#N/A N/A</v>
        <stp/>
        <stp>BDS|11426603440486702005</stp>
        <tr r="MG5" s="26"/>
      </tp>
      <tp t="s">
        <v>#N/A N/A</v>
        <stp/>
        <stp>BDS|17495450750042452169</stp>
        <tr r="O5" s="26"/>
      </tp>
      <tp t="s">
        <v>#N/A N/A</v>
        <stp/>
        <stp>BDS|12098254297929208503</stp>
        <tr r="GM5" s="3"/>
        <tr r="VM5" s="20"/>
        <tr r="DA5" s="24"/>
        <tr r="JY5" s="26"/>
      </tp>
      <tp t="s">
        <v>#N/A N/A</v>
        <stp/>
        <stp>BDS|10042668939925635589</stp>
        <tr r="AS5" s="26"/>
      </tp>
      <tp t="s">
        <v>#N/A N/A</v>
        <stp/>
        <stp>BDS|13023720413983832389</stp>
        <tr r="TE5" s="9"/>
      </tp>
      <tp t="s">
        <v>#N/A N/A</v>
        <stp/>
        <stp>BDS|13170627602813676369</stp>
        <tr r="IG5" s="5"/>
      </tp>
      <tp t="s">
        <v>#N/A N/A</v>
        <stp/>
        <stp>BDS|10951227468367693633</stp>
        <tr r="AS5" s="3"/>
      </tp>
      <tp t="s">
        <v>#N/A N/A</v>
        <stp/>
        <stp>BDS|12653335765852245041</stp>
        <tr r="MG5" s="11"/>
      </tp>
      <tp t="s">
        <v>#N/A N/A</v>
        <stp/>
        <stp>BDS|12574636040600243527</stp>
        <tr r="BI5" s="1"/>
        <tr r="RM5" s="10"/>
        <tr r="FY5" s="17"/>
        <tr r="JK5" s="17"/>
        <tr r="FY5" s="26"/>
        <tr r="IG5" s="26"/>
        <tr r="TU5" s="32"/>
        <tr r="OA5" s="43"/>
        <tr r="IG5" s="45"/>
      </tp>
      <tp t="s">
        <v>#N/A N/A</v>
        <stp/>
        <stp>BDS|11869742528240158128</stp>
        <tr r="UI5" s="10"/>
      </tp>
      <tp t="s">
        <v>#N/A N/A</v>
        <stp/>
        <stp>BDS|17758405958281975216</stp>
        <tr r="SA5" s="21"/>
      </tp>
      <tp t="s">
        <v>#N/A N/A</v>
        <stp/>
        <stp>BDS|16094339242833063755</stp>
        <tr r="TU5" s="22"/>
      </tp>
      <tp t="s">
        <v>#N/A N/A</v>
        <stp/>
        <stp>BDS|15552033742952705671</stp>
        <tr r="TE5" s="11"/>
        <tr r="MG5" s="47"/>
      </tp>
      <tp t="s">
        <v>#N/A N/A</v>
        <stp/>
        <stp>BDS|16551290911921982109</stp>
        <tr r="IG5" s="22"/>
      </tp>
      <tp t="s">
        <v>#N/A N/A</v>
        <stp/>
        <stp>BDS|15993000702527946769</stp>
        <tr r="HQ5" s="28"/>
        <tr r="QW5" s="28"/>
      </tp>
      <tp t="s">
        <v>#N/A N/A</v>
        <stp/>
        <stp>BDS|16726618579641982323</stp>
        <tr r="OA5" s="12"/>
      </tp>
      <tp t="s">
        <v>#N/A N/A</v>
        <stp/>
        <stp>BDS|12805747488001591946</stp>
        <tr r="DA5" s="44"/>
      </tp>
      <tp t="s">
        <v>#N/A N/A</v>
        <stp/>
        <stp>BDS|16005252274165192352</stp>
        <tr r="CM5" s="17"/>
      </tp>
      <tp t="s">
        <v>#N/A N/A</v>
        <stp/>
        <stp>BDS|16567739115673578633</stp>
        <tr r="JY5" s="25"/>
        <tr r="TE5" s="4"/>
      </tp>
      <tp t="s">
        <v>#N/A N/A</v>
        <stp/>
        <stp>BDS|17473832587951488314</stp>
        <tr r="UI5" s="19"/>
      </tp>
    </main>
    <main first="bofaddin.rtdserver">
      <tp t="s">
        <v>#N/A N/A</v>
        <stp/>
        <stp>BDS|5357363430520631993</stp>
        <tr r="IU5" s="34"/>
      </tp>
      <tp t="s">
        <v>#N/A N/A</v>
        <stp/>
        <stp>BDS|3107881853162928092</stp>
        <tr r="LS5" s="25"/>
      </tp>
      <tp t="s">
        <v>#N/A N/A</v>
        <stp/>
        <stp>BDS|7680728635716903926</stp>
        <tr r="TE5" s="48"/>
      </tp>
      <tp t="s">
        <v>#N/A N/A</v>
        <stp/>
        <stp>BDS|6259400404806995853</stp>
        <tr r="TU5" s="18"/>
      </tp>
      <tp t="s">
        <v>#N/A N/A</v>
        <stp/>
        <stp>BDS|5425153477217842851</stp>
        <tr r="DQ5" s="9"/>
      </tp>
      <tp t="s">
        <v>#N/A N/A</v>
        <stp/>
        <stp>BDS|7909758944288497048</stp>
        <tr r="TE5" s="38"/>
      </tp>
      <tp t="s">
        <v>#N/A N/A</v>
        <stp/>
        <stp>BDS|3519909950811486283</stp>
        <tr r="AS5" s="37"/>
      </tp>
      <tp t="s">
        <v>#N/A N/A</v>
        <stp/>
        <stp>BDS|5908102990630776172</stp>
        <tr r="AE5" s="27"/>
      </tp>
      <tp t="s">
        <v>#N/A N/A</v>
        <stp/>
        <stp>BDS|9069697456572055467</stp>
        <tr r="TE5" s="26"/>
      </tp>
      <tp t="s">
        <v>#N/A N/A</v>
        <stp/>
        <stp>BDS|1566989765317083579</stp>
        <tr r="AE5" s="8"/>
        <tr r="BI5" s="10"/>
        <tr r="AE5" s="11"/>
      </tp>
      <tp t="s">
        <v>#N/A N/A</v>
        <stp/>
        <stp>BDS|4505581360869714258</stp>
        <tr r="VM5" s="16"/>
        <tr r="TE5" s="42"/>
      </tp>
      <tp t="s">
        <v>#N/A N/A</v>
        <stp/>
        <stp>BDS|4638893411521624071</stp>
        <tr r="LS5" s="37"/>
      </tp>
      <tp t="s">
        <v>#N/A N/A</v>
        <stp/>
        <stp>BDS|3824695088820222175</stp>
        <tr r="HQ5" s="45"/>
      </tp>
      <tp t="s">
        <v>#N/A N/A</v>
        <stp/>
        <stp>BDS|7828066714863386958</stp>
        <tr r="VM5" s="19"/>
      </tp>
      <tp t="s">
        <v>#N/A N/A</v>
        <stp/>
        <stp>BDS|9672244261320999173</stp>
        <tr r="FY5" s="39"/>
      </tp>
      <tp t="s">
        <v>#N/A N/A</v>
        <stp/>
        <stp>BDS|1998607450468578614</stp>
        <tr r="EU5" s="28"/>
        <tr r="AE5" s="39"/>
      </tp>
      <tp t="s">
        <v>#N/A N/A</v>
        <stp/>
        <stp>BDS|9726903507898420494</stp>
        <tr r="OO5" s="27"/>
        <tr r="FI5" s="34"/>
      </tp>
      <tp t="s">
        <v>#N/A N/A</v>
        <stp/>
        <stp>BDS|4918869612645670465</stp>
        <tr r="OA5" s="39"/>
      </tp>
      <tp t="s">
        <v>#N/A N/A</v>
        <stp/>
        <stp>BDS|6795816812592170175</stp>
        <tr r="OA5" s="13"/>
        <tr r="KO5" s="29"/>
      </tp>
      <tp t="s">
        <v>#N/A N/A</v>
        <stp/>
        <stp>BDS|4883664949989048359</stp>
        <tr r="SA5" s="45"/>
      </tp>
      <tp t="s">
        <v>#N/A N/A</v>
        <stp/>
        <stp>BDS|6138818536295038444</stp>
        <tr r="PS5" s="47"/>
      </tp>
      <tp t="s">
        <v>#N/A N/A</v>
        <stp/>
        <stp>BDS|4103195070406984834</stp>
        <tr r="O5" s="47"/>
      </tp>
      <tp t="s">
        <v>#N/A N/A</v>
        <stp/>
        <stp>BDS|8778262373339299822</stp>
        <tr r="MG5" s="4"/>
        <tr r="OO5" s="32"/>
        <tr r="PS5" s="48"/>
      </tp>
      <tp t="s">
        <v>#N/A N/A</v>
        <stp/>
        <stp>BDS|4591663811567302839</stp>
        <tr r="HQ5" s="35"/>
      </tp>
      <tp t="s">
        <v>#N/A N/A</v>
        <stp/>
        <stp>BDS|1406132916548401572</stp>
        <tr r="AE5" s="45"/>
      </tp>
      <tp t="s">
        <v>#N/A N/A</v>
        <stp/>
        <stp>BDS|6944288404069624106</stp>
        <tr r="NK5" s="18"/>
      </tp>
      <tp t="s">
        <v>#N/A N/A</v>
        <stp/>
        <stp>BDS|3510018537788261426</stp>
        <tr r="GM5" s="48"/>
      </tp>
      <tp t="s">
        <v>#N/A N/A</v>
        <stp/>
        <stp>BDS|5517282112948974259</stp>
        <tr r="VM5" s="46"/>
      </tp>
      <tp t="s">
        <v>#N/A N/A</v>
        <stp/>
        <stp>BDS|6952488281157269129</stp>
        <tr r="RM5" s="1"/>
      </tp>
      <tp t="s">
        <v>#N/A N/A</v>
        <stp/>
        <stp>BDS|9578573497630404911</stp>
        <tr r="EE5" s="3"/>
        <tr r="VM5" s="14"/>
      </tp>
      <tp t="s">
        <v>#N/A N/A</v>
        <stp/>
        <stp>BDS|8702511119444825471</stp>
        <tr r="QI5" s="19"/>
      </tp>
      <tp t="s">
        <v>#N/A N/A</v>
        <stp/>
        <stp>BDS|9481623361672218741</stp>
        <tr r="IG5" s="8"/>
        <tr r="SQ5" s="20"/>
      </tp>
      <tp t="s">
        <v>#N/A N/A</v>
        <stp/>
        <stp>BDS|3960403124340429987</stp>
        <tr r="UI5" s="25"/>
      </tp>
      <tp t="s">
        <v>#N/A N/A</v>
        <stp/>
        <stp>BDS|4361377584401229234</stp>
        <tr r="TU5" s="40"/>
      </tp>
      <tp t="s">
        <v>#N/A N/A</v>
        <stp/>
        <stp>BDS|6783948930372030247</stp>
        <tr r="RM5" s="37"/>
      </tp>
      <tp t="s">
        <v>#N/A N/A</v>
        <stp/>
        <stp>BDS|7949716510429979464</stp>
        <tr r="IG5" s="13"/>
      </tp>
      <tp t="s">
        <v>#N/A N/A</v>
        <stp/>
        <stp>BDS|2392847168163924320</stp>
        <tr r="PS5" s="2"/>
        <tr r="VM5" s="18"/>
        <tr r="TE5" s="25"/>
        <tr r="IU5" s="29"/>
        <tr r="EE5" s="30"/>
      </tp>
      <tp t="s">
        <v>#N/A N/A</v>
        <stp/>
        <stp>BDS|3917243245418875159</stp>
        <tr r="RM5" s="14"/>
      </tp>
      <tp t="s">
        <v>#N/A N/A</v>
        <stp/>
        <stp>BDS|2568530150518771643</stp>
        <tr r="UI5" s="41"/>
      </tp>
      <tp t="s">
        <v>#N/A N/A</v>
        <stp/>
        <stp>BDS|6635736376872944903</stp>
        <tr r="A5" s="13"/>
        <tr r="HC5" s="31"/>
      </tp>
      <tp t="s">
        <v>#N/A N/A</v>
        <stp/>
        <stp>BDS|6050730096776715388</stp>
        <tr r="UI5" s="6"/>
      </tp>
      <tp t="s">
        <v>#N/A N/A</v>
        <stp/>
        <stp>BDS|3753594383334627718</stp>
        <tr r="O5" s="21"/>
      </tp>
      <tp t="s">
        <v>#N/A N/A</v>
        <stp/>
        <stp>BDS|8599790110101707203</stp>
        <tr r="A5" s="4"/>
      </tp>
      <tp t="s">
        <v>#N/A N/A</v>
        <stp/>
        <stp>BDS|9127956929817086869</stp>
        <tr r="PS5" s="26"/>
      </tp>
      <tp t="s">
        <v>#N/A N/A</v>
        <stp/>
        <stp>BDS|5998685962450817809</stp>
        <tr r="IG5" s="48"/>
      </tp>
      <tp t="s">
        <v>#N/A N/A</v>
        <stp/>
        <stp>BDS|9531698884973282924</stp>
        <tr r="UY5" s="30"/>
      </tp>
      <tp t="s">
        <v>#N/A N/A</v>
        <stp/>
        <stp>BDS|7365010391566290596</stp>
        <tr r="BW5" s="16"/>
      </tp>
      <tp t="s">
        <v>#N/A N/A</v>
        <stp/>
        <stp>BDS|1406973559256315600</stp>
        <tr r="IG5" s="32"/>
        <tr r="FY5" s="33"/>
        <tr r="SQ5" s="35"/>
      </tp>
      <tp t="s">
        <v>#N/A N/A</v>
        <stp/>
        <stp>BDS|5347391927621067844</stp>
        <tr r="GM5" s="30"/>
      </tp>
      <tp t="s">
        <v>#N/A N/A</v>
        <stp/>
        <stp>BDS|6087282882762713338</stp>
        <tr r="IU5" s="19"/>
      </tp>
      <tp t="s">
        <v>#N/A N/A</v>
        <stp/>
        <stp>BDS|7023975308197901496</stp>
        <tr r="AS5" s="5"/>
      </tp>
      <tp t="s">
        <v>#N/A N/A</v>
        <stp/>
        <stp>BDS|9977299218760720733</stp>
        <tr r="AS5" s="23"/>
        <tr r="UI5" s="31"/>
        <tr r="DA5" s="47"/>
      </tp>
      <tp t="s">
        <v>#N/A N/A</v>
        <stp/>
        <stp>BDS|5408295981737676561</stp>
        <tr r="NK5" s="25"/>
      </tp>
      <tp t="s">
        <v>#N/A N/A</v>
        <stp/>
        <stp>BDS|1109306788763277472</stp>
        <tr r="PE5" s="44"/>
      </tp>
      <tp t="s">
        <v>#N/A N/A</v>
        <stp/>
        <stp>BDS|5994102550794631827</stp>
        <tr r="QW5" s="43"/>
      </tp>
      <tp t="s">
        <v>#N/A N/A</v>
        <stp/>
        <stp>BDS|7183133126998179180</stp>
        <tr r="JY5" s="7"/>
      </tp>
      <tp t="s">
        <v>#N/A N/A</v>
        <stp/>
        <stp>BDS|1028564490391487107</stp>
        <tr r="MW5" s="29"/>
      </tp>
      <tp t="s">
        <v>#N/A N/A</v>
        <stp/>
        <stp>BDS|9447178847200226144</stp>
        <tr r="EU5" s="3"/>
        <tr r="EU5" s="9"/>
        <tr r="BI5" s="24"/>
        <tr r="RM5" s="38"/>
        <tr r="EU5" s="24"/>
      </tp>
      <tp t="s">
        <v>#N/A N/A</v>
        <stp/>
        <stp>BDS|6102901411152548179</stp>
        <tr r="A5" s="37"/>
      </tp>
      <tp t="s">
        <v>#N/A N/A</v>
        <stp/>
        <stp>BDS|8670532982120031857</stp>
        <tr r="CM5" s="26"/>
      </tp>
      <tp t="s">
        <v>#N/A N/A</v>
        <stp/>
        <stp>BDS|7738043430969129011</stp>
        <tr r="DA5" s="39"/>
      </tp>
      <tp t="s">
        <v>#N/A N/A</v>
        <stp/>
        <stp>BDS|9912001898888427561</stp>
        <tr r="SA5" s="7"/>
      </tp>
      <tp t="s">
        <v>#N/A N/A</v>
        <stp/>
        <stp>BDS|4661623878849889173</stp>
        <tr r="LS5" s="16"/>
      </tp>
      <tp t="s">
        <v>#N/A N/A</v>
        <stp/>
        <stp>BDS|6085916276091614414</stp>
        <tr r="VM5" s="32"/>
      </tp>
      <tp t="s">
        <v>#N/A N/A</v>
        <stp/>
        <stp>BDS|9904562750804710083</stp>
        <tr r="BI5" s="21"/>
      </tp>
      <tp t="s">
        <v>#N/A N/A</v>
        <stp/>
        <stp>BDS|1230884739211206616</stp>
        <tr r="FI5" s="48"/>
      </tp>
      <tp t="s">
        <v>#N/A N/A</v>
        <stp/>
        <stp>BDS|7622975932814781447</stp>
        <tr r="AE5" s="35"/>
      </tp>
      <tp t="s">
        <v>#N/A N/A</v>
        <stp/>
        <stp>BDS|8590581990709937057</stp>
        <tr r="PE5" s="45"/>
      </tp>
      <tp t="s">
        <v>#N/A N/A</v>
        <stp/>
        <stp>BDS|3504613043058350455</stp>
        <tr r="PE5" s="1"/>
        <tr r="TU5" s="17"/>
      </tp>
      <tp t="s">
        <v>#N/A N/A</v>
        <stp/>
        <stp>BDS|5860921903336784786</stp>
        <tr r="OO5" s="39"/>
      </tp>
      <tp t="s">
        <v>#N/A N/A</v>
        <stp/>
        <stp>BDS|4131174223898397207</stp>
        <tr r="NK5" s="45"/>
      </tp>
      <tp t="s">
        <v>#N/A N/A</v>
        <stp/>
        <stp>BDS|8557230273298236808</stp>
        <tr r="RM5" s="36"/>
      </tp>
      <tp t="s">
        <v>#N/A N/A</v>
        <stp/>
        <stp>BDS|7761550417738136630</stp>
        <tr r="PS5" s="12"/>
      </tp>
      <tp t="s">
        <v>#N/A N/A</v>
        <stp/>
        <stp>BDS|7343066786130363272</stp>
        <tr r="MG5" s="20"/>
        <tr r="GM5" s="22"/>
        <tr r="NK5" s="31"/>
        <tr r="UI5" s="45"/>
      </tp>
      <tp t="s">
        <v>#N/A N/A</v>
        <stp/>
        <stp>BDS|9186266351207508448</stp>
        <tr r="KO5" s="40"/>
      </tp>
      <tp t="s">
        <v>#N/A N/A</v>
        <stp/>
        <stp>BDS|9311048131627138008</stp>
        <tr r="SQ5" s="11"/>
        <tr r="LS5" s="47"/>
      </tp>
      <tp t="s">
        <v>#N/A N/A</v>
        <stp/>
        <stp>BDS|6190994164224399083</stp>
        <tr r="UY5" s="13"/>
      </tp>
      <tp t="s">
        <v>#N/A N/A</v>
        <stp/>
        <stp>BDS|8062206735005499155</stp>
        <tr r="JY5" s="12"/>
        <tr r="NK5" s="35"/>
      </tp>
      <tp t="s">
        <v>#N/A N/A</v>
        <stp/>
        <stp>BDS|2201946032234620160</stp>
        <tr r="SQ5" s="33"/>
      </tp>
      <tp t="s">
        <v>#N/A N/A</v>
        <stp/>
        <stp>BDS|8309229306732624544</stp>
        <tr r="LC5" s="47"/>
      </tp>
      <tp t="s">
        <v>#N/A N/A</v>
        <stp/>
        <stp>BDS|8409354663245450536</stp>
        <tr r="UI5" s="22"/>
      </tp>
      <tp t="s">
        <v>#N/A N/A</v>
        <stp/>
        <stp>BDS|7516161319429798073</stp>
        <tr r="KO5" s="3"/>
      </tp>
      <tp t="s">
        <v>#N/A N/A</v>
        <stp/>
        <stp>BDS|4806843648381966772</stp>
        <tr r="CM5" s="18"/>
        <tr r="IG5" s="20"/>
      </tp>
      <tp t="s">
        <v>#N/A N/A</v>
        <stp/>
        <stp>BDS|7448898803943295272</stp>
        <tr r="IG5" s="43"/>
      </tp>
      <tp t="s">
        <v>#N/A N/A</v>
        <stp/>
        <stp>BDS|5849876414866307435</stp>
        <tr r="JK5" s="19"/>
      </tp>
      <tp t="s">
        <v>#N/A N/A</v>
        <stp/>
        <stp>BDS|8196491487753512924</stp>
        <tr r="PE5" s="15"/>
      </tp>
      <tp t="s">
        <v>#N/A N/A</v>
        <stp/>
        <stp>BDS|7536718782051701793</stp>
        <tr r="FY5" s="28"/>
      </tp>
      <tp t="s">
        <v>#N/A N/A</v>
        <stp/>
        <stp>BDS|4313854042034559292</stp>
        <tr r="MG5" s="46"/>
      </tp>
      <tp t="s">
        <v>#N/A N/A</v>
        <stp/>
        <stp>BDS|5864643646971083827</stp>
        <tr r="SA5" s="24"/>
      </tp>
      <tp t="s">
        <v>#N/A N/A</v>
        <stp/>
        <stp>BDS|5967852526447280608</stp>
        <tr r="OO5" s="5"/>
      </tp>
      <tp t="s">
        <v>#N/A N/A</v>
        <stp/>
        <stp>BDS|2313601751126913934</stp>
        <tr r="DA5" s="18"/>
        <tr r="IU5" s="20"/>
      </tp>
      <tp t="s">
        <v>#N/A N/A</v>
        <stp/>
        <stp>BDS|8850763026933609075</stp>
        <tr r="VM5" s="50"/>
        <tr r="EE5" s="11"/>
      </tp>
      <tp t="s">
        <v>#N/A N/A</v>
        <stp/>
        <stp>BDS|9700645956100568499</stp>
        <tr r="BW5" s="15"/>
      </tp>
      <tp t="s">
        <v>#N/A N/A</v>
        <stp/>
        <stp>BDS|8473899249678541283</stp>
        <tr r="NK5" s="19"/>
        <tr r="OO5" s="20"/>
        <tr r="LC5" s="45"/>
      </tp>
      <tp t="s">
        <v>#N/A N/A</v>
        <stp/>
        <stp>BDS|4771325705040944905</stp>
        <tr r="TE5" s="17"/>
      </tp>
      <tp t="s">
        <v>#N/A N/A</v>
        <stp/>
        <stp>BDS|8540919329655380877</stp>
        <tr r="MG5" s="9"/>
      </tp>
      <tp t="s">
        <v>#N/A N/A</v>
        <stp/>
        <stp>BDS|3788111516935704898</stp>
        <tr r="LS5" s="2"/>
      </tp>
      <tp t="s">
        <v>#N/A N/A</v>
        <stp/>
        <stp>BDS|1278840407482690593</stp>
        <tr r="FI5" s="7"/>
        <tr r="QW5" s="24"/>
      </tp>
      <tp t="s">
        <v>#N/A N/A</v>
        <stp/>
        <stp>BDS|3523680594277673517</stp>
        <tr r="DQ5" s="27"/>
      </tp>
      <tp t="s">
        <v>#N/A N/A</v>
        <stp/>
        <stp>BDS|3706192824498180640</stp>
        <tr r="HC5" s="29"/>
      </tp>
      <tp t="s">
        <v>#N/A N/A</v>
        <stp/>
        <stp>BDS|1040927613040834766</stp>
        <tr r="FY5" s="45"/>
      </tp>
      <tp t="s">
        <v>#N/A N/A</v>
        <stp/>
        <stp>BDS|5127141376204958963</stp>
        <tr r="UY5" s="46"/>
      </tp>
      <tp t="s">
        <v>#N/A N/A</v>
        <stp/>
        <stp>BDS|1254400476008953414</stp>
        <tr r="A5" s="16"/>
        <tr r="KO5" s="26"/>
      </tp>
      <tp t="s">
        <v>#N/A N/A</v>
        <stp/>
        <stp>BDS|1337801265653971236</stp>
        <tr r="DA5" s="34"/>
      </tp>
      <tp t="s">
        <v>#N/A N/A</v>
        <stp/>
        <stp>BDS|6073948478055030317</stp>
        <tr r="FY5" s="20"/>
      </tp>
      <tp t="s">
        <v>#N/A N/A</v>
        <stp/>
        <stp>BDS|9975271701920731554</stp>
        <tr r="JK5" s="2"/>
      </tp>
      <tp t="s">
        <v>#N/A N/A</v>
        <stp/>
        <stp>BDS|8948620733962039150</stp>
        <tr r="CM5" s="10"/>
        <tr r="LS5" s="13"/>
      </tp>
      <tp t="s">
        <v>#N/A N/A</v>
        <stp/>
        <stp>BDS|2434666070054826972</stp>
        <tr r="MW5" s="49"/>
      </tp>
      <tp t="s">
        <v>#N/A N/A</v>
        <stp/>
        <stp>BDS|3028588848895254907</stp>
        <tr r="EU5" s="23"/>
      </tp>
      <tp t="s">
        <v>#N/A N/A</v>
        <stp/>
        <stp>BDS|2515391019529688702</stp>
        <tr r="JY5" s="43"/>
      </tp>
      <tp t="s">
        <v>#N/A N/A</v>
        <stp/>
        <stp>BDS|4383868879613650696</stp>
        <tr r="DQ5" s="38"/>
      </tp>
      <tp t="s">
        <v>#N/A N/A</v>
        <stp/>
        <stp>BDS|4512101830889136144</stp>
        <tr r="VM5" s="24"/>
      </tp>
      <tp t="s">
        <v>#N/A N/A</v>
        <stp/>
        <stp>BDS|2742233519628924744</stp>
        <tr r="AS5" s="7"/>
      </tp>
      <tp t="s">
        <v>#N/A N/A</v>
        <stp/>
        <stp>BDS|4853466689556372044</stp>
        <tr r="A5" s="50"/>
      </tp>
      <tp t="s">
        <v>#N/A N/A</v>
        <stp/>
        <stp>BDS|9479568277822677729</stp>
        <tr r="LS5" s="46"/>
      </tp>
      <tp t="s">
        <v>#N/A N/A</v>
        <stp/>
        <stp>BDS|7103802532491713358</stp>
        <tr r="BI5" s="9"/>
      </tp>
      <tp t="s">
        <v>#N/A N/A</v>
        <stp/>
        <stp>BDS|1173456394455573742</stp>
        <tr r="LC5" s="2"/>
      </tp>
      <tp t="s">
        <v>#N/A N/A</v>
        <stp/>
        <stp>BDS|5122306490875651469</stp>
        <tr r="NK5" s="11"/>
      </tp>
      <tp t="s">
        <v>#N/A N/A</v>
        <stp/>
        <stp>BDS|8450111568231569090</stp>
        <tr r="LS5" s="14"/>
        <tr r="LS5" s="35"/>
      </tp>
      <tp t="s">
        <v>#N/A N/A</v>
        <stp/>
        <stp>BDS|1999261170509886314</stp>
        <tr r="FY5" s="16"/>
      </tp>
      <tp t="s">
        <v>#N/A N/A</v>
        <stp/>
        <stp>BDS|7422300701098005218</stp>
        <tr r="MW5" s="1"/>
        <tr r="TU5" s="4"/>
      </tp>
      <tp t="s">
        <v>#N/A N/A</v>
        <stp/>
        <stp>BDS|1173880454460836218</stp>
        <tr r="PE5" s="14"/>
      </tp>
      <tp t="s">
        <v>#N/A N/A</v>
        <stp/>
        <stp>BDS|7936520602388509489</stp>
        <tr r="A5" s="7"/>
        <tr r="CM5" s="22"/>
      </tp>
      <tp t="s">
        <v>#N/A N/A</v>
        <stp/>
        <stp>BDS|6383966000319406858</stp>
        <tr r="HC5" s="27"/>
        <tr r="MW5" s="44"/>
      </tp>
      <tp t="s">
        <v>#N/A N/A</v>
        <stp/>
        <stp>BDS|3742571586972247212</stp>
        <tr r="QW5" s="13"/>
      </tp>
      <tp t="s">
        <v>#N/A N/A</v>
        <stp/>
        <stp>BDS|7327535170973136846</stp>
        <tr r="GM5" s="32"/>
      </tp>
      <tp t="s">
        <v>#N/A N/A</v>
        <stp/>
        <stp>BDS|9634061578649935947</stp>
        <tr r="A5" s="3"/>
      </tp>
      <tp t="s">
        <v>#N/A N/A</v>
        <stp/>
        <stp>BDS|1676172087136248010</stp>
        <tr r="AS5" s="10"/>
      </tp>
      <tp t="s">
        <v>#N/A N/A</v>
        <stp/>
        <stp>BDS|7842732397464803313</stp>
        <tr r="BI5" s="41"/>
      </tp>
      <tp t="s">
        <v>#N/A N/A</v>
        <stp/>
        <stp>BDS|2790707311033956851</stp>
        <tr r="FI5" s="17"/>
      </tp>
      <tp t="s">
        <v>#N/A N/A</v>
        <stp/>
        <stp>BDS|9831830110639990687</stp>
        <tr r="JY5" s="5"/>
      </tp>
      <tp t="s">
        <v>#N/A N/A</v>
        <stp/>
        <stp>BDS|1944699769157145928</stp>
        <tr r="OO5" s="36"/>
      </tp>
      <tp t="s">
        <v>#N/A N/A</v>
        <stp/>
        <stp>BDS|8632658076105668382</stp>
        <tr r="UY5" s="20"/>
        <tr r="CM5" s="24"/>
        <tr r="JK5" s="26"/>
        <tr r="FY5" s="3"/>
      </tp>
      <tp t="s">
        <v>#N/A N/A</v>
        <stp/>
        <stp>BDS|8808224264116172543</stp>
        <tr r="PE5" s="13"/>
      </tp>
      <tp t="s">
        <v>#N/A N/A</v>
        <stp/>
        <stp>BDS|8588325748730648016</stp>
        <tr r="EE5" s="45"/>
        <tr r="VM5" s="49"/>
      </tp>
      <tp t="s">
        <v>#N/A N/A</v>
        <stp/>
        <stp>BDS|6577627300566725989</stp>
        <tr r="MG5" s="42"/>
      </tp>
      <tp t="s">
        <v>#N/A N/A</v>
        <stp/>
        <stp>BDS|4764457050609945335</stp>
        <tr r="BI5" s="45"/>
      </tp>
      <tp t="s">
        <v>#N/A N/A</v>
        <stp/>
        <stp>BDS|8239505386329386395</stp>
        <tr r="QW5" s="48"/>
      </tp>
      <tp t="s">
        <v>#N/A N/A</v>
        <stp/>
        <stp>BDS|3628899253829767857</stp>
        <tr r="FY5" s="14"/>
      </tp>
      <tp t="s">
        <v>#N/A N/A</v>
        <stp/>
        <stp>BDS|5467086083062376024</stp>
        <tr r="OO5" s="38"/>
      </tp>
      <tp t="s">
        <v>#N/A N/A</v>
        <stp/>
        <stp>BDS|4121796393473262677</stp>
        <tr r="MW5" s="5"/>
      </tp>
      <tp t="s">
        <v>#N/A N/A</v>
        <stp/>
        <stp>BDS|5136015579259430433</stp>
        <tr r="QI5" s="15"/>
      </tp>
      <tp t="s">
        <v>#N/A N/A</v>
        <stp/>
        <stp>BDS|9628550978910353475</stp>
        <tr r="UI5" s="39"/>
      </tp>
      <tp t="s">
        <v>#N/A N/A</v>
        <stp/>
        <stp>BDS|6351311188227083557</stp>
        <tr r="JY5" s="18"/>
      </tp>
      <tp t="s">
        <v>#N/A N/A</v>
        <stp/>
        <stp>BDS|8959743187081433918</stp>
        <tr r="DA5" s="9"/>
      </tp>
      <tp t="s">
        <v>#N/A N/A</v>
        <stp/>
        <stp>BDS|2074212900009428695</stp>
        <tr r="A5" s="5"/>
      </tp>
      <tp t="s">
        <v>#N/A N/A</v>
        <stp/>
        <stp>BDS|7239825027021815322</stp>
        <tr r="O5" s="20"/>
      </tp>
      <tp t="s">
        <v>#N/A N/A</v>
        <stp/>
        <stp>BDS|9870138742322974133</stp>
        <tr r="DA5" s="4"/>
      </tp>
      <tp t="s">
        <v>#N/A N/A</v>
        <stp/>
        <stp>BDS|6385185078417730877</stp>
        <tr r="KO5" s="24"/>
      </tp>
      <tp t="s">
        <v>#N/A N/A</v>
        <stp/>
        <stp>BDS|8923628449867945284</stp>
        <tr r="TU5" s="37"/>
      </tp>
      <tp t="s">
        <v>#N/A N/A</v>
        <stp/>
        <stp>BDS|1861536428781049807</stp>
        <tr r="QW5" s="15"/>
      </tp>
      <tp t="s">
        <v>#N/A N/A</v>
        <stp/>
        <stp>BDS|9410703934690203211</stp>
        <tr r="UY5" s="15"/>
      </tp>
      <tp t="s">
        <v>#N/A N/A</v>
        <stp/>
        <stp>BDS|6156639748079220287</stp>
        <tr r="OA5" s="33"/>
      </tp>
      <tp t="s">
        <v>#N/A N/A</v>
        <stp/>
        <stp>BDS|7754210496005506653</stp>
        <tr r="HC5" s="10"/>
        <tr r="MW5" s="28"/>
        <tr r="FY5" s="47"/>
      </tp>
      <tp t="s">
        <v>#N/A N/A</v>
        <stp/>
        <stp>BDS|2760096481120902565</stp>
        <tr r="QW5" s="20"/>
      </tp>
      <tp t="s">
        <v>#N/A N/A</v>
        <stp/>
        <stp>BDS|1878689065646342877</stp>
        <tr r="MW5" s="14"/>
      </tp>
      <tp t="s">
        <v>#N/A N/A</v>
        <stp/>
        <stp>BDS|5062817914287727435</stp>
        <tr r="BW5" s="46"/>
      </tp>
      <tp t="s">
        <v>#N/A N/A</v>
        <stp/>
        <stp>BDS|4944215931922145898</stp>
        <tr r="FY5" s="48"/>
      </tp>
      <tp t="s">
        <v>#N/A N/A</v>
        <stp/>
        <stp>BDS|5208129402259618229</stp>
        <tr r="UY5" s="39"/>
      </tp>
      <tp t="s">
        <v>#N/A N/A</v>
        <stp/>
        <stp>BDS|3668824234784324357</stp>
        <tr r="PS5" s="34"/>
      </tp>
      <tp t="s">
        <v>#N/A N/A</v>
        <stp/>
        <stp>BDS|9920869712539878627</stp>
        <tr r="IU5" s="10"/>
        <tr r="LC5" s="21"/>
      </tp>
      <tp t="s">
        <v>#N/A N/A</v>
        <stp/>
        <stp>BDS|1794471924770165827</stp>
        <tr r="NK5" s="50"/>
      </tp>
      <tp t="s">
        <v>#N/A N/A</v>
        <stp/>
        <stp>BDS|9130641911341145025</stp>
        <tr r="OA5" s="31"/>
      </tp>
      <tp t="s">
        <v>#N/A N/A</v>
        <stp/>
        <stp>BDS|7711400461908556263</stp>
        <tr r="IG5" s="10"/>
        <tr r="KO5" s="21"/>
      </tp>
      <tp t="s">
        <v>#N/A N/A</v>
        <stp/>
        <stp>BDS|3405416080345751570</stp>
        <tr r="FI5" s="36"/>
      </tp>
      <tp t="s">
        <v>#N/A N/A</v>
        <stp/>
        <stp>BDS|9078796531873553188</stp>
        <tr r="HQ5" s="12"/>
      </tp>
      <tp t="s">
        <v>#N/A N/A</v>
        <stp/>
        <stp>BDS|8908515806074147155</stp>
        <tr r="TE5" s="34"/>
      </tp>
      <tp t="s">
        <v>#N/A N/A</v>
        <stp/>
        <stp>BDS|9379280948557385082</stp>
        <tr r="KO5" s="16"/>
      </tp>
      <tp t="s">
        <v>#N/A N/A</v>
        <stp/>
        <stp>BDS|2899763686062660761</stp>
        <tr r="PE5" s="20"/>
        <tr r="JK5" s="34"/>
      </tp>
      <tp t="s">
        <v>#N/A N/A</v>
        <stp/>
        <stp>BDS|8685309476085021186</stp>
        <tr r="DQ5" s="3"/>
        <tr r="UY5" s="14"/>
      </tp>
      <tp t="s">
        <v>#N/A N/A</v>
        <stp/>
        <stp>BDS|8734854758878744540</stp>
        <tr r="FY5" s="9"/>
      </tp>
      <tp t="s">
        <v>#N/A N/A</v>
        <stp/>
        <stp>BDS|8473759246292607181</stp>
        <tr r="HC5" s="13"/>
      </tp>
      <tp t="s">
        <v>#N/A N/A</v>
        <stp/>
        <stp>BDS|5107214544573964837</stp>
        <tr r="VM5" s="25"/>
      </tp>
      <tp t="s">
        <v>#N/A N/A</v>
        <stp/>
        <stp>BDS|9976550853668309921</stp>
        <tr r="HC5" s="40"/>
      </tp>
      <tp t="s">
        <v>#N/A N/A</v>
        <stp/>
        <stp>BDS|8590000522634189698</stp>
        <tr r="BW5" s="33"/>
      </tp>
      <tp t="s">
        <v>#N/A N/A</v>
        <stp/>
        <stp>BDS|9168971662856368889</stp>
        <tr r="CM5" s="16"/>
      </tp>
      <tp t="s">
        <v>#N/A N/A</v>
        <stp/>
        <stp>BDS|4681627619258495358</stp>
        <tr r="CM5" s="19"/>
      </tp>
      <tp t="s">
        <v>#N/A N/A</v>
        <stp/>
        <stp>BDS|8116686014682141519</stp>
        <tr r="BW5" s="13"/>
      </tp>
      <tp t="s">
        <v>#N/A N/A</v>
        <stp/>
        <stp>BDS|1767089600820738955</stp>
        <tr r="QW5" s="22"/>
        <tr r="JY5" s="23"/>
      </tp>
      <tp t="s">
        <v>#N/A N/A</v>
        <stp/>
        <stp>BDS|2173632601509884593</stp>
        <tr r="DQ5" s="7"/>
      </tp>
      <tp t="s">
        <v>#N/A N/A</v>
        <stp/>
        <stp>BDS|3100068580775077658</stp>
        <tr r="BW5" s="35"/>
      </tp>
      <tp t="s">
        <v>#N/A N/A</v>
        <stp/>
        <stp>BDS|7767004634178721461</stp>
        <tr r="VM5" s="1"/>
      </tp>
      <tp t="s">
        <v>#N/A N/A</v>
        <stp/>
        <stp>BDS|8051287470534857122</stp>
        <tr r="DQ5" s="42"/>
      </tp>
      <tp t="s">
        <v>#N/A N/A</v>
        <stp/>
        <stp>BDS|4867885313130620576</stp>
        <tr r="BI5" s="29"/>
      </tp>
      <tp t="s">
        <v>#N/A N/A</v>
        <stp/>
        <stp>BDS|2136026901483621964</stp>
        <tr r="JK5" s="8"/>
      </tp>
      <tp t="s">
        <v>#N/A N/A</v>
        <stp/>
        <stp>BDS|1385820557042077656</stp>
        <tr r="VM5" s="31"/>
      </tp>
      <tp t="s">
        <v>#N/A N/A</v>
        <stp/>
        <stp>BDS|7635804574913838392</stp>
        <tr r="HQ5" s="3"/>
      </tp>
      <tp t="s">
        <v>#N/A N/A</v>
        <stp/>
        <stp>BDS|5705715640087221978</stp>
        <tr r="LS5" s="11"/>
      </tp>
      <tp t="s">
        <v>#N/A N/A</v>
        <stp/>
        <stp>BDS|9502112846582827697</stp>
        <tr r="GM5" s="20"/>
      </tp>
      <tp t="s">
        <v>#N/A N/A</v>
        <stp/>
        <stp>BDS|5994082880280428569</stp>
        <tr r="MW5" s="4"/>
      </tp>
      <tp t="s">
        <v>#N/A N/A</v>
        <stp/>
        <stp>BDS|7609953524496432207</stp>
        <tr r="HQ5" s="13"/>
      </tp>
      <tp t="s">
        <v>#N/A N/A</v>
        <stp/>
        <stp>BDS|1363981925675804757</stp>
        <tr r="AS5" s="16"/>
        <tr r="TE5" s="49"/>
      </tp>
      <tp t="s">
        <v>#N/A N/A</v>
        <stp/>
        <stp>BDS|4683308697087142108</stp>
        <tr r="JY5" s="9"/>
      </tp>
      <tp t="s">
        <v>#N/A N/A</v>
        <stp/>
        <stp>BDS|1660204503362061956</stp>
        <tr r="A5" s="20"/>
      </tp>
      <tp t="s">
        <v>#N/A N/A</v>
        <stp/>
        <stp>BDS|7161414744676261965</stp>
        <tr r="AS5" s="32"/>
      </tp>
      <tp t="s">
        <v>#N/A N/A</v>
        <stp/>
        <stp>BDS|5562927546227426754</stp>
        <tr r="HC5" s="42"/>
      </tp>
      <tp t="s">
        <v>#N/A N/A</v>
        <stp/>
        <stp>BDS|5439816538070989651</stp>
        <tr r="HC5" s="46"/>
      </tp>
      <tp t="s">
        <v>#N/A N/A</v>
        <stp/>
        <stp>BDS|5742228721815509809</stp>
        <tr r="TE5" s="15"/>
        <tr r="LC5" s="20"/>
      </tp>
      <tp t="s">
        <v>#N/A N/A</v>
        <stp/>
        <stp>BDS|3767824554027212124</stp>
        <tr r="KO5" s="23"/>
        <tr r="LS5" s="27"/>
        <tr r="DQ5" s="32"/>
        <tr r="FY5" s="36"/>
        <tr r="IG5" s="39"/>
      </tp>
      <tp t="s">
        <v>#N/A N/A</v>
        <stp/>
        <stp>BDS|1705633746522067943</stp>
        <tr r="IU5" s="40"/>
      </tp>
      <tp t="s">
        <v>#N/A N/A</v>
        <stp/>
        <stp>BDS|8040158334887656515</stp>
        <tr r="SA5" s="6"/>
      </tp>
      <tp t="s">
        <v>#N/A N/A</v>
        <stp/>
        <stp>BDS|5673437112330318826</stp>
        <tr r="MW5" s="40"/>
      </tp>
      <tp t="s">
        <v>#N/A N/A</v>
        <stp/>
        <stp>BDS|2516245471176504930</stp>
        <tr r="QW5" s="42"/>
      </tp>
      <tp t="s">
        <v>#N/A N/A</v>
        <stp/>
        <stp>BDS|8411767114693759567</stp>
        <tr r="A5" s="48"/>
      </tp>
      <tp t="s">
        <v>#N/A N/A</v>
        <stp/>
        <stp>BDS|2079757082466616362</stp>
        <tr r="TE5" s="22"/>
      </tp>
      <tp t="s">
        <v>#N/A N/A</v>
        <stp/>
        <stp>BDS|8270349415825007778</stp>
        <tr r="TE5" s="50"/>
      </tp>
      <tp t="s">
        <v>#N/A N/A</v>
        <stp/>
        <stp>BDS|6764129855289280369</stp>
        <tr r="SA5" s="39"/>
      </tp>
      <tp t="s">
        <v>#N/A N/A</v>
        <stp/>
        <stp>BDS|6518022969340846823</stp>
        <tr r="HC5" s="19"/>
        <tr r="QI5" s="30"/>
      </tp>
      <tp t="s">
        <v>#N/A N/A</v>
        <stp/>
        <stp>BDS|8028032031532369157</stp>
        <tr r="LS5" s="19"/>
        <tr r="LS5" s="36"/>
        <tr r="IG5" s="15"/>
      </tp>
      <tp t="s">
        <v>#N/A N/A</v>
        <stp/>
        <stp>BDS|3703369720198294268</stp>
        <tr r="PE5" s="2"/>
        <tr r="UY5" s="18"/>
        <tr r="SQ5" s="25"/>
        <tr r="IG5" s="29"/>
        <tr r="DQ5" s="30"/>
      </tp>
      <tp t="s">
        <v>#N/A N/A</v>
        <stp/>
        <stp>BDS|8867819797120327182</stp>
        <tr r="KO5" s="37"/>
      </tp>
      <tp t="s">
        <v>#N/A N/A</v>
        <stp/>
        <stp>BDS|6862433660885824969</stp>
        <tr r="FY5" s="37"/>
      </tp>
      <tp t="s">
        <v>#N/A N/A</v>
        <stp/>
        <stp>BDS|1510260216953603892</stp>
        <tr r="UI5" s="18"/>
      </tp>
      <tp t="s">
        <v>#N/A N/A</v>
        <stp/>
        <stp>BDS|6310087254932430817</stp>
        <tr r="AS5" s="27"/>
      </tp>
      <tp t="s">
        <v>#N/A N/A</v>
        <stp/>
        <stp>BDS|1137472628876461801</stp>
        <tr r="A5" s="11"/>
        <tr r="DQ5" s="4"/>
        <tr r="AE5" s="18"/>
        <tr r="CM5" s="41"/>
      </tp>
      <tp t="s">
        <v>#N/A N/A</v>
        <stp/>
        <stp>BDS|8688519040545438594</stp>
        <tr r="AE5" s="10"/>
      </tp>
      <tp t="s">
        <v>#N/A N/A</v>
        <stp/>
        <stp>BDS|7502099943149580310</stp>
        <tr r="TE5" s="21"/>
        <tr r="SA5" s="43"/>
      </tp>
      <tp t="s">
        <v>#N/A N/A</v>
        <stp/>
        <stp>BDS|2269989428032819224</stp>
        <tr r="IU5" s="48"/>
      </tp>
      <tp t="s">
        <v>#N/A N/A</v>
        <stp/>
        <stp>BDS|9482210219973730032</stp>
        <tr r="RM5" s="19"/>
      </tp>
      <tp t="s">
        <v>#N/A N/A</v>
        <stp/>
        <stp>BDS|9726477661493023193</stp>
        <tr r="OO5" s="16"/>
        <tr r="UI5" s="44"/>
      </tp>
      <tp t="s">
        <v>#N/A N/A</v>
        <stp/>
        <stp>BDS|6455412208753354862</stp>
        <tr r="FY5" s="30"/>
      </tp>
      <tp t="s">
        <v>#N/A N/A</v>
        <stp/>
        <stp>BDS|7884767551238010463</stp>
        <tr r="DA5" s="32"/>
      </tp>
      <tp t="s">
        <v>#N/A N/A</v>
        <stp/>
        <stp>BDS|3020075085187854534</stp>
        <tr r="DQ5" s="19"/>
        <tr r="MW5" s="27"/>
        <tr r="KO5" s="36"/>
      </tp>
      <tp t="s">
        <v>#N/A N/A</v>
        <stp/>
        <stp>BDS|8439466921915576284</stp>
        <tr r="SQ5" s="27"/>
      </tp>
      <tp t="s">
        <v>#N/A N/A</v>
        <stp/>
        <stp>BDS|7415006996527469089</stp>
        <tr r="TE5" s="10"/>
      </tp>
      <tp t="s">
        <v>#N/A N/A</v>
        <stp/>
        <stp>BDS|3954466703288325611</stp>
        <tr r="PS5" s="14"/>
      </tp>
      <tp t="s">
        <v>#N/A N/A</v>
        <stp/>
        <stp>BDS|6311236684196310391</stp>
        <tr r="DA5" s="29"/>
      </tp>
      <tp t="s">
        <v>#N/A N/A</v>
        <stp/>
        <stp>BDS|2737625450010027898</stp>
        <tr r="RM5" s="40"/>
        <tr r="AE5" s="43"/>
      </tp>
      <tp t="s">
        <v>#N/A N/A</v>
        <stp/>
        <stp>BDS|6073932927815898109</stp>
        <tr r="DQ5" s="47"/>
      </tp>
      <tp t="s">
        <v>#N/A N/A</v>
        <stp/>
        <stp>BDS|2025504964290851802</stp>
        <tr r="MW5" s="22"/>
      </tp>
      <tp t="s">
        <v>#N/A N/A</v>
        <stp/>
        <stp>BDS|9766396805011512220</stp>
        <tr r="TE5" s="1"/>
      </tp>
      <tp t="s">
        <v>#N/A N/A</v>
        <stp/>
        <stp>BDS|5628636038621720867</stp>
        <tr r="FI5" s="1"/>
        <tr r="DA5" s="11"/>
        <tr r="BW5" s="14"/>
        <tr r="PS5" s="38"/>
      </tp>
      <tp t="s">
        <v>#N/A N/A</v>
        <stp/>
        <stp>BDS|8919674671765728544</stp>
        <tr r="RM5" s="26"/>
        <tr r="CM5" s="28"/>
      </tp>
      <tp t="s">
        <v>#N/A N/A</v>
        <stp/>
        <stp>BDS|4753651287647871404</stp>
        <tr r="FY5" s="15"/>
      </tp>
      <tp t="s">
        <v>#N/A N/A</v>
        <stp/>
        <stp>BDS|9721607069879383900</stp>
        <tr r="KO5" s="28"/>
      </tp>
      <tp t="s">
        <v>#N/A N/A</v>
        <stp/>
        <stp>BDS|9526829715420693965</stp>
        <tr r="PS5" s="29"/>
      </tp>
      <tp t="s">
        <v>#N/A N/A</v>
        <stp/>
        <stp>BDS|2068552396104126313</stp>
        <tr r="OO5" s="3"/>
      </tp>
      <tp t="s">
        <v>#N/A N/A</v>
        <stp/>
        <stp>BDS|9631108034685326717</stp>
        <tr r="HC5" s="32"/>
      </tp>
      <tp t="s">
        <v>#N/A N/A</v>
        <stp/>
        <stp>BDS|5103463364756392800</stp>
        <tr r="AS5" s="19"/>
      </tp>
      <tp t="s">
        <v>#N/A N/A</v>
        <stp/>
        <stp>BDS|6576988436156900323</stp>
        <tr r="TU5" s="15"/>
      </tp>
      <tp t="s">
        <v>#N/A N/A</v>
        <stp/>
        <stp>BDS|3714835785502891895</stp>
        <tr r="VM5" s="34"/>
      </tp>
      <tp t="s">
        <v>#N/A N/A</v>
        <stp/>
        <stp>BDS|2934075070485870967</stp>
        <tr r="BW5" s="30"/>
      </tp>
      <tp t="s">
        <v>#N/A N/A</v>
        <stp/>
        <stp>BDS|1954199096185477528</stp>
        <tr r="FI5" s="8"/>
      </tp>
      <tp t="s">
        <v>#N/A N/A</v>
        <stp/>
        <stp>BDS|3728200272966530908</stp>
        <tr r="LC5" s="49"/>
      </tp>
      <tp t="s">
        <v>#N/A N/A</v>
        <stp/>
        <stp>BDS|9362520811264125016</stp>
        <tr r="DA5" s="43"/>
      </tp>
      <tp t="s">
        <v>#N/A N/A</v>
        <stp/>
        <stp>BDS|5609059961662636851</stp>
        <tr r="O5" s="28"/>
      </tp>
      <tp t="s">
        <v>#N/A N/A</v>
        <stp/>
        <stp>BDS|2319783989030477471</stp>
        <tr r="PE5" s="41"/>
      </tp>
      <tp t="s">
        <v>#N/A N/A</v>
        <stp/>
        <stp>BDS|8839278218355812799</stp>
        <tr r="HQ5" s="48"/>
      </tp>
      <tp t="s">
        <v>#N/A N/A</v>
        <stp/>
        <stp>BDS|8405038568387876019</stp>
        <tr r="QI5" s="10"/>
      </tp>
      <tp t="s">
        <v>#N/A N/A</v>
        <stp/>
        <stp>BDS|8961116617731044081</stp>
        <tr r="QI5" s="26"/>
      </tp>
      <tp t="s">
        <v>#N/A N/A</v>
        <stp/>
        <stp>BDS|7656725753555033901</stp>
        <tr r="DQ5" s="20"/>
      </tp>
      <tp t="s">
        <v>#N/A N/A</v>
        <stp/>
        <stp>BDS|6330667389944857513</stp>
        <tr r="DQ5" s="21"/>
        <tr r="OA5" s="26"/>
      </tp>
      <tp t="s">
        <v>#N/A N/A</v>
        <stp/>
        <stp>BDS|8080810483746476731</stp>
        <tr r="EU5" s="49"/>
      </tp>
      <tp t="s">
        <v>#N/A N/A</v>
        <stp/>
        <stp>BDS|6402755987952399207</stp>
        <tr r="JK5" s="45"/>
      </tp>
      <tp t="s">
        <v>#N/A N/A</v>
        <stp/>
        <stp>BDS|5871610707248283165</stp>
        <tr r="UI5" s="40"/>
      </tp>
      <tp t="s">
        <v>#N/A N/A</v>
        <stp/>
        <stp>BDS|3336180777886439936</stp>
        <tr r="MW5" s="32"/>
      </tp>
      <tp t="s">
        <v>#N/A N/A</v>
        <stp/>
        <stp>BDS|4094498015048083377</stp>
        <tr r="AE5" s="4"/>
      </tp>
      <tp t="s">
        <v>#N/A N/A</v>
        <stp/>
        <stp>BDS|3997906327593576103</stp>
        <tr r="MW5" s="42"/>
      </tp>
      <tp t="s">
        <v>#N/A N/A</v>
        <stp/>
        <stp>BDS|8126990667814600927</stp>
        <tr r="BI5" s="5"/>
      </tp>
      <tp t="s">
        <v>#N/A N/A</v>
        <stp/>
        <stp>BDS|3301747694174052382</stp>
        <tr r="GM5" s="29"/>
      </tp>
      <tp t="s">
        <v>#N/A N/A</v>
        <stp/>
        <stp>BDS|3286618918147690969</stp>
        <tr r="CM5" s="13"/>
      </tp>
      <tp t="s">
        <v>#N/A N/A</v>
        <stp/>
        <stp>BDS|2948089733313815825</stp>
        <tr r="UY5" s="26"/>
        <tr r="SQ5" s="30"/>
        <tr r="SQ5" s="43"/>
      </tp>
      <tp t="s">
        <v>#N/A N/A</v>
        <stp/>
        <stp>BDS|4225495293140659362</stp>
        <tr r="RM5" s="35"/>
      </tp>
      <tp t="s">
        <v>#N/A N/A</v>
        <stp/>
        <stp>BDS|6199945966385915634</stp>
        <tr r="VM5" s="3"/>
      </tp>
      <tp t="s">
        <v>#N/A N/A</v>
        <stp/>
        <stp>BDS|3268505485040868467</stp>
        <tr r="MG5" s="6"/>
      </tp>
      <tp t="s">
        <v>#N/A N/A</v>
        <stp/>
        <stp>BDS|3827088091404817477</stp>
        <tr r="MW5" s="7"/>
      </tp>
      <tp t="s">
        <v>#N/A N/A</v>
        <stp/>
        <stp>BDS|4954277269343078998</stp>
        <tr r="IG5" s="33"/>
      </tp>
      <tp t="s">
        <v>#N/A N/A</v>
        <stp/>
        <stp>BDS|3677031311791382999</stp>
        <tr r="A5" s="14"/>
      </tp>
      <tp t="s">
        <v>#N/A N/A</v>
        <stp/>
        <stp>BDS|4089527347008845722</stp>
        <tr r="JY5" s="20"/>
      </tp>
      <tp t="s">
        <v>#N/A N/A</v>
        <stp/>
        <stp>BDS|7279802811884920058</stp>
        <tr r="JY5" s="10"/>
        <tr r="UI5" s="13"/>
      </tp>
      <tp t="s">
        <v>#N/A N/A</v>
        <stp/>
        <stp>BDS|8136660869782776058</stp>
        <tr r="BW5" s="36"/>
      </tp>
      <tp t="s">
        <v>#N/A N/A</v>
        <stp/>
        <stp>BDS|1857871631119445968</stp>
        <tr r="AE5" s="25"/>
      </tp>
      <tp t="s">
        <v>#N/A N/A</v>
        <stp/>
        <stp>BDS|1322605089332097762</stp>
        <tr r="HC5" s="5"/>
      </tp>
      <tp t="s">
        <v>#N/A N/A</v>
        <stp/>
        <stp>BDS|8918576198359922737</stp>
        <tr r="IG5" s="24"/>
      </tp>
      <tp t="s">
        <v>#N/A N/A</v>
        <stp/>
        <stp>BDS|3476501099426725372</stp>
        <tr r="GM5" s="15"/>
      </tp>
      <tp t="s">
        <v>#N/A N/A</v>
        <stp/>
        <stp>BDS|9797988110579179232</stp>
        <tr r="TU5" s="36"/>
      </tp>
      <tp t="s">
        <v>#N/A N/A</v>
        <stp/>
        <stp>BDS|3460541990234981148</stp>
        <tr r="PS5" s="16"/>
        <tr r="DA5" s="20"/>
      </tp>
      <tp t="s">
        <v>#N/A N/A</v>
        <stp/>
        <stp>BDS|1851314093677076689</stp>
        <tr r="OO5" s="33"/>
      </tp>
      <tp t="s">
        <v>#N/A N/A</v>
        <stp/>
        <stp>BDS|2549723971781013941</stp>
        <tr r="SA5" s="35"/>
      </tp>
      <tp t="s">
        <v>#N/A N/A</v>
        <stp/>
        <stp>BDS|4210014892723655452</stp>
        <tr r="DA5" s="31"/>
      </tp>
      <tp t="s">
        <v>#N/A N/A</v>
        <stp/>
        <stp>BDS|9121379477055565276</stp>
        <tr r="KO5" s="14"/>
      </tp>
      <tp t="s">
        <v>#N/A N/A</v>
        <stp/>
        <stp>BDS|7500748799367340482</stp>
        <tr r="IG5" s="50"/>
      </tp>
      <tp t="s">
        <v>#N/A N/A</v>
        <stp/>
        <stp>BDS|2720208804113621964</stp>
        <tr r="LC5" s="14"/>
      </tp>
      <tp t="s">
        <v>#N/A N/A</v>
        <stp/>
        <stp>BDS|2362390848347552879</stp>
        <tr r="DQ5" s="5"/>
      </tp>
      <tp t="s">
        <v>#N/A N/A</v>
        <stp/>
        <stp>BDS|7144942354693674273</stp>
        <tr r="EU5" s="37"/>
      </tp>
      <tp t="s">
        <v>#N/A N/A</v>
        <stp/>
        <stp>BDS|3022016505589068052</stp>
        <tr r="TE5" s="40"/>
      </tp>
      <tp t="s">
        <v>#N/A N/A</v>
        <stp/>
        <stp>BDS|9227986210399584293</stp>
        <tr r="TU5" s="42"/>
      </tp>
      <tp t="s">
        <v>#N/A N/A</v>
        <stp/>
        <stp>BDS|8059373164420578700</stp>
        <tr r="O5" s="16"/>
        <tr r="LC5" s="26"/>
      </tp>
      <tp t="s">
        <v>#N/A N/A</v>
        <stp/>
        <stp>BDS|8576460858175426691</stp>
        <tr r="OO5" s="1"/>
      </tp>
      <tp t="s">
        <v>#N/A N/A</v>
        <stp/>
        <stp>BDS|4018403115709500270</stp>
        <tr r="QI5" s="23"/>
      </tp>
      <tp t="s">
        <v>#N/A N/A</v>
        <stp/>
        <stp>BDS|5904739186012959217</stp>
        <tr r="TU5" s="43"/>
        <tr r="UY5" s="47"/>
      </tp>
      <tp t="s">
        <v>#N/A N/A</v>
        <stp/>
        <stp>BDS|2558463859120635988</stp>
        <tr r="MW5" s="36"/>
      </tp>
      <tp t="s">
        <v>#N/A N/A</v>
        <stp/>
        <stp>BDS|6646671703539458321</stp>
        <tr r="UI5" s="50"/>
      </tp>
      <tp t="s">
        <v>#N/A N/A</v>
        <stp/>
        <stp>BDS|3949843464756411189</stp>
        <tr r="BI5" s="42"/>
      </tp>
      <tp t="s">
        <v>#N/A N/A</v>
        <stp/>
        <stp>BDS|4984432183662964056</stp>
        <tr r="LC5" s="39"/>
      </tp>
      <tp t="s">
        <v>#N/A N/A</v>
        <stp/>
        <stp>BDS|8247889292002892156</stp>
        <tr r="FY5" s="10"/>
      </tp>
      <tp t="s">
        <v>#N/A N/A</v>
        <stp/>
        <stp>BDS|1196763690814863050</stp>
        <tr r="PS5" s="32"/>
      </tp>
      <tp t="s">
        <v>#N/A N/A</v>
        <stp/>
        <stp>BDS|9086396315818427836</stp>
        <tr r="IG5" s="34"/>
      </tp>
      <tp t="s">
        <v>#N/A N/A</v>
        <stp/>
        <stp>BDS|2448883301293730215</stp>
        <tr r="O5" s="14"/>
      </tp>
      <tp t="s">
        <v>#N/A N/A</v>
        <stp/>
        <stp>BDS|5557829597658926709</stp>
        <tr r="EU5" s="4"/>
      </tp>
      <tp t="s">
        <v>#N/A N/A</v>
        <stp/>
        <stp>BDS|6821663385894152739</stp>
        <tr r="QW5" s="5"/>
        <tr r="BW5" s="39"/>
      </tp>
      <tp t="s">
        <v>#N/A N/A</v>
        <stp/>
        <stp>BDS|2544759802976952859</stp>
        <tr r="HC5" s="4"/>
        <tr r="UY5" s="41"/>
      </tp>
      <tp t="s">
        <v>#N/A N/A</v>
        <stp/>
        <stp>BDS|6099295755898784250</stp>
        <tr r="AE5" s="46"/>
      </tp>
      <tp t="s">
        <v>#N/A N/A</v>
        <stp/>
        <stp>BDS|4855240093693197713</stp>
        <tr r="AE5" s="31"/>
      </tp>
      <tp t="s">
        <v>#N/A N/A</v>
        <stp/>
        <stp>BDS|4493463706499395289</stp>
        <tr r="TU5" s="49"/>
      </tp>
      <tp t="s">
        <v>#N/A N/A</v>
        <stp/>
        <stp>BDS|4314420716559890300</stp>
        <tr r="GM5" s="11"/>
        <tr r="DA5" s="37"/>
      </tp>
      <tp t="s">
        <v>#N/A N/A</v>
        <stp/>
        <stp>BDS|9964111827016118716</stp>
        <tr r="JY5" s="4"/>
        <tr r="PS5" s="22"/>
        <tr r="O5" s="42"/>
      </tp>
      <tp t="s">
        <v>#N/A N/A</v>
        <stp/>
        <stp>BDS|5206801918590427726</stp>
        <tr r="FI5" s="31"/>
      </tp>
      <tp t="s">
        <v>#N/A N/A</v>
        <stp/>
        <stp>BDS|6296183687211108510</stp>
        <tr r="IU5" s="41"/>
      </tp>
      <tp t="s">
        <v>#N/A N/A</v>
        <stp/>
        <stp>BDS|4966753292967325600</stp>
        <tr r="HC5" s="7"/>
      </tp>
      <tp t="s">
        <v>#N/A N/A</v>
        <stp/>
        <stp>BDS|3774148374187660937</stp>
        <tr r="BW5" s="38"/>
      </tp>
      <tp t="s">
        <v>#N/A N/A</v>
        <stp/>
        <stp>BDS|1445358702570377936</stp>
        <tr r="O5" s="1"/>
      </tp>
      <tp t="s">
        <v>#N/A N/A</v>
        <stp/>
        <stp>BDS|5357266803128011450</stp>
        <tr r="LS5" s="41"/>
      </tp>
      <tp t="s">
        <v>#N/A N/A</v>
        <stp/>
        <stp>BDS|2711530549780946874</stp>
        <tr r="HQ5" s="32"/>
      </tp>
      <tp t="s">
        <v>#N/A N/A</v>
        <stp/>
        <stp>BDS|7694267532158500577</stp>
        <tr r="LC5" s="3"/>
      </tp>
      <tp t="s">
        <v>#N/A N/A</v>
        <stp/>
        <stp>BDS|8810540021996527287</stp>
        <tr r="SA5" s="37"/>
      </tp>
      <tp t="s">
        <v>#N/A N/A</v>
        <stp/>
        <stp>BDS|6409722873305363876</stp>
        <tr r="OO5" s="8"/>
        <tr r="EE5" s="24"/>
        <tr r="O5" s="27"/>
      </tp>
      <tp t="s">
        <v>#N/A N/A</v>
        <stp/>
        <stp>BDS|4316600810260399863</stp>
        <tr r="SA5" s="16"/>
      </tp>
      <tp t="s">
        <v>#N/A N/A</v>
        <stp/>
        <stp>BDS|5510186958879204312</stp>
        <tr r="MG5" s="44"/>
      </tp>
      <tp t="s">
        <v>#N/A N/A</v>
        <stp/>
        <stp>BDS|8918588103351737734</stp>
        <tr r="RM5" s="23"/>
      </tp>
      <tp t="s">
        <v>#N/A N/A</v>
        <stp/>
        <stp>BDS|1580855305860671252</stp>
        <tr r="LS5" s="50"/>
      </tp>
      <tp t="s">
        <v>#N/A N/A</v>
        <stp/>
        <stp>BDS|5258534291652337054</stp>
        <tr r="JY5" s="21"/>
      </tp>
      <tp t="s">
        <v>#N/A N/A</v>
        <stp/>
        <stp>BDS|4353945504134564206</stp>
        <tr r="IG5" s="35"/>
      </tp>
      <tp t="s">
        <v>#N/A N/A</v>
        <stp/>
        <stp>BDS|6721931813331752464</stp>
        <tr r="AE5" s="16"/>
        <tr r="SQ5" s="49"/>
      </tp>
      <tp t="s">
        <v>#N/A N/A</v>
        <stp/>
        <stp>BDS|9642029701734372613</stp>
        <tr r="DQ5" s="14"/>
      </tp>
      <tp t="s">
        <v>#N/A N/A</v>
        <stp/>
        <stp>BDS|2872849176221417791</stp>
        <tr r="VM5" s="27"/>
      </tp>
      <tp t="s">
        <v>#N/A N/A</v>
        <stp/>
        <stp>BDS|3654626795307501031</stp>
        <tr r="MG5" s="48"/>
      </tp>
      <tp t="s">
        <v>#N/A N/A</v>
        <stp/>
        <stp>BDS|1911812996868980339</stp>
        <tr r="SA5" s="12"/>
      </tp>
      <tp t="s">
        <v>#N/A N/A</v>
        <stp/>
        <stp>BDS|7010942506376182370</stp>
        <tr r="FY5" s="21"/>
        <tr r="OA5" s="35"/>
      </tp>
      <tp t="s">
        <v>#N/A N/A</v>
        <stp/>
        <stp>BDS|8486999465104964859</stp>
        <tr r="QI5" s="45"/>
      </tp>
      <tp t="s">
        <v>#N/A N/A</v>
        <stp/>
        <stp>BDS|2618139081875666579</stp>
        <tr r="TU5" s="30"/>
      </tp>
      <tp t="s">
        <v>#N/A N/A</v>
        <stp/>
        <stp>BDS|4399080682736964154</stp>
        <tr r="LS5" s="1"/>
        <tr r="EU5" s="16"/>
        <tr r="PE5" s="17"/>
      </tp>
      <tp t="s">
        <v>#N/A N/A</v>
        <stp/>
        <stp>BDS|2494446443819644003</stp>
        <tr r="LS5" s="30"/>
      </tp>
      <tp t="s">
        <v>#N/A N/A</v>
        <stp/>
        <stp>BDS|4818704753690102208</stp>
        <tr r="FI5" s="42"/>
      </tp>
      <tp t="s">
        <v>#N/A N/A</v>
        <stp/>
        <stp>BDS|8888553219070688882</stp>
        <tr r="UI5" s="20"/>
      </tp>
      <tp t="s">
        <v>#N/A N/A</v>
        <stp/>
        <stp>BDS|8622058128038645679</stp>
        <tr r="KO5" s="34"/>
      </tp>
      <tp t="s">
        <v>#N/A N/A</v>
        <stp/>
        <stp>BDS|5420683042773270066</stp>
        <tr r="A5" s="35"/>
      </tp>
      <tp t="s">
        <v>#N/A N/A</v>
        <stp/>
        <stp>BDS|7151759011037636286</stp>
        <tr r="RM5" s="3"/>
      </tp>
      <tp t="s">
        <v>#N/A N/A</v>
        <stp/>
        <stp>BDS|7842259942021365476</stp>
        <tr r="SA5" s="44"/>
      </tp>
      <tp t="s">
        <v>#N/A N/A</v>
        <stp/>
        <stp>BDS|6357816555456550992</stp>
        <tr r="PE5" s="23"/>
      </tp>
      <tp t="s">
        <v>#N/A N/A</v>
        <stp/>
        <stp>BDS|6317171233532953255</stp>
        <tr r="SQ5" s="46"/>
      </tp>
      <tp t="s">
        <v>#N/A N/A</v>
        <stp/>
        <stp>BDS|3146286598598880415</stp>
        <tr r="QW5" s="27"/>
      </tp>
      <tp t="s">
        <v>#N/A N/A</v>
        <stp/>
        <stp>BDS|4958645268328592883</stp>
        <tr r="CM5" s="44"/>
      </tp>
      <tp t="s">
        <v>#N/A N/A</v>
        <stp/>
        <stp>BDS|2310271212397776297</stp>
        <tr r="BW5" s="3"/>
      </tp>
      <tp t="s">
        <v>#N/A N/A</v>
        <stp/>
        <stp>BDS|4646519347360899100</stp>
        <tr r="LS5" s="12"/>
      </tp>
      <tp t="s">
        <v>#N/A N/A</v>
        <stp/>
        <stp>BDS|9984389290797894005</stp>
        <tr r="LS5" s="6"/>
      </tp>
      <tp t="s">
        <v>#N/A N/A</v>
        <stp/>
        <stp>BDS|1357866899507784327</stp>
        <tr r="UY5" s="27"/>
      </tp>
      <tp t="s">
        <v>#N/A N/A</v>
        <stp/>
        <stp>BDS|4763582435800389604</stp>
        <tr r="TE5" s="14"/>
      </tp>
      <tp t="s">
        <v>#N/A N/A</v>
        <stp/>
        <stp>BDS|6264280266771558703</stp>
        <tr r="QI5" s="38"/>
      </tp>
      <tp t="s">
        <v>#N/A N/A</v>
        <stp/>
        <stp>BDS|9823912650202914396</stp>
        <tr r="O5" s="15"/>
        <tr r="TE5" s="45"/>
        <tr r="VM5" s="45"/>
      </tp>
      <tp t="s">
        <v>#N/A N/A</v>
        <stp/>
        <stp>BDS|6909268232444104726</stp>
        <tr r="SA5" s="23"/>
      </tp>
      <tp t="s">
        <v>#N/A N/A</v>
        <stp/>
        <stp>BDS|8930714187617610479</stp>
        <tr r="LC5" s="8"/>
      </tp>
      <tp t="s">
        <v>#N/A N/A</v>
        <stp/>
        <stp>BDS|4453515138651153725</stp>
        <tr r="QW5" s="37"/>
      </tp>
      <tp t="s">
        <v>#N/A N/A</v>
        <stp/>
        <stp>BDS|1918262695347313974</stp>
        <tr r="UY5" s="23"/>
        <tr r="JK5" s="37"/>
      </tp>
      <tp t="s">
        <v>#N/A N/A</v>
        <stp/>
        <stp>BDS|3134171423672802622</stp>
        <tr r="TU5" s="9"/>
      </tp>
      <tp t="s">
        <v>#N/A N/A</v>
        <stp/>
        <stp>BDS|1556088650598556879</stp>
        <tr r="GM5" s="41"/>
      </tp>
      <tp t="s">
        <v>#N/A N/A</v>
        <stp/>
        <stp>BDS|3204829580786813154</stp>
        <tr r="CM5" s="25"/>
        <tr r="EU5" s="41"/>
      </tp>
      <tp t="s">
        <v>#N/A N/A</v>
        <stp/>
        <stp>BDS|5271284496879512342</stp>
        <tr r="MW5" s="3"/>
      </tp>
      <tp t="s">
        <v>#N/A N/A</v>
        <stp/>
        <stp>BDS|9492323187961512763</stp>
        <tr r="GM5" s="25"/>
      </tp>
      <tp t="s">
        <v>#N/A N/A</v>
        <stp/>
        <stp>BDS|1316955393497208256</stp>
        <tr r="BW5" s="49"/>
      </tp>
      <tp t="s">
        <v>#N/A N/A</v>
        <stp/>
        <stp>BDS|9470623785811922295</stp>
        <tr r="VM5" s="7"/>
      </tp>
      <tp t="s">
        <v>#N/A N/A</v>
        <stp/>
        <stp>BDS|5648124352431715424</stp>
        <tr r="LC5" s="48"/>
      </tp>
      <tp t="s">
        <v>#N/A N/A</v>
        <stp/>
        <stp>BDS|3112777338500815355</stp>
        <tr r="PS5" s="15"/>
      </tp>
      <tp t="s">
        <v>#N/A N/A</v>
        <stp/>
        <stp>BDS|8335295989053804583</stp>
        <tr r="FI5" s="10"/>
        <tr r="TE5" s="37"/>
      </tp>
      <tp t="s">
        <v>#N/A N/A</v>
        <stp/>
        <stp>BDS|4370299145577964163</stp>
        <tr r="EE5" s="20"/>
      </tp>
      <tp t="s">
        <v>#N/A N/A</v>
        <stp/>
        <stp>BDS|4983221208993459175</stp>
        <tr r="LS5" s="24"/>
        <tr r="KO5" s="33"/>
      </tp>
      <tp t="s">
        <v>#N/A N/A</v>
        <stp/>
        <stp>BDS|1416102244789220926</stp>
        <tr r="HC5" s="49"/>
      </tp>
      <tp t="s">
        <v>#N/A N/A</v>
        <stp/>
        <stp>BDS|1017343470043104249</stp>
        <tr r="UY5" s="9"/>
      </tp>
      <tp t="s">
        <v>#N/A N/A</v>
        <stp/>
        <stp>BDS|4181820533889887291</stp>
        <tr r="IU5" s="22"/>
      </tp>
      <tp t="s">
        <v>#N/A N/A</v>
        <stp/>
        <stp>BDS|6101636713177059205</stp>
        <tr r="LS5" s="39"/>
      </tp>
      <tp t="s">
        <v>#N/A N/A</v>
        <stp/>
        <stp>BDS|8407554746668100501</stp>
        <tr r="PE5" s="18"/>
      </tp>
      <tp t="s">
        <v>#N/A N/A</v>
        <stp/>
        <stp>BDS|9897457797803831350</stp>
        <tr r="LS5" s="22"/>
        <tr r="JK5" s="35"/>
      </tp>
      <tp t="s">
        <v>#N/A N/A</v>
        <stp/>
        <stp>BDS|3774100318450896737</stp>
        <tr r="PE5" s="40"/>
      </tp>
      <tp t="s">
        <v>#N/A N/A</v>
        <stp/>
        <stp>BDS|4732776958404876647</stp>
        <tr r="IG5" s="23"/>
      </tp>
      <tp t="s">
        <v>#N/A N/A</v>
        <stp/>
        <stp>BDS|5098842766829058662</stp>
        <tr r="KO5" s="47"/>
      </tp>
      <tp t="s">
        <v>#N/A N/A</v>
        <stp/>
        <stp>BDS|5790516570967325411</stp>
        <tr r="GM5" s="2"/>
        <tr r="TE5" s="12"/>
        <tr r="BW5" s="37"/>
      </tp>
      <tp t="s">
        <v>#N/A N/A</v>
        <stp/>
        <stp>BDS|7766008214784109679</stp>
        <tr r="TU5" s="2"/>
      </tp>
      <tp t="s">
        <v>#N/A N/A</v>
        <stp/>
        <stp>BDS|4264312615555319700</stp>
        <tr r="CM5" s="14"/>
      </tp>
      <tp t="s">
        <v>#N/A N/A</v>
        <stp/>
        <stp>BDS|6153942876349677506</stp>
        <tr r="MG5" s="3"/>
      </tp>
      <tp t="s">
        <v>#N/A N/A</v>
        <stp/>
        <stp>BDS|4344322605681986374</stp>
        <tr r="MW5" s="30"/>
      </tp>
      <tp t="s">
        <v>#N/A N/A</v>
        <stp/>
        <stp>BDS|3626761804744865567</stp>
        <tr r="OA5" s="18"/>
        <tr r="DQ5" s="22"/>
        <tr r="LS5" s="40"/>
      </tp>
      <tp t="s">
        <v>#N/A N/A</v>
        <stp/>
        <stp>BDS|2316534833860857101</stp>
        <tr r="KO5" s="42"/>
      </tp>
      <tp t="s">
        <v>#N/A N/A</v>
        <stp/>
        <stp>BDS|4839765771596741738</stp>
        <tr r="EU5" s="47"/>
        <tr r="RM5" s="48"/>
      </tp>
      <tp t="s">
        <v>#N/A N/A</v>
        <stp/>
        <stp>BDS|7841257832575437609</stp>
        <tr r="O5" s="10"/>
      </tp>
      <tp t="s">
        <v>#N/A N/A</v>
        <stp/>
        <stp>BDS|5272723120713259690</stp>
        <tr r="NK5" s="21"/>
      </tp>
      <tp t="s">
        <v>#N/A N/A</v>
        <stp/>
        <stp>BDS|9693686540488006660</stp>
        <tr r="A5" s="10"/>
      </tp>
      <tp t="s">
        <v>#N/A N/A</v>
        <stp/>
        <stp>BDS|4270538538213320422</stp>
        <tr r="IG5" s="16"/>
      </tp>
      <tp t="s">
        <v>#N/A N/A</v>
        <stp/>
        <stp>BDS|2985154179182810349</stp>
        <tr r="MW5" s="12"/>
        <tr r="JK5" s="36"/>
      </tp>
      <tp t="s">
        <v>#N/A N/A</v>
        <stp/>
        <stp>BDS|4543312023431899116</stp>
        <tr r="IG5" s="18"/>
      </tp>
      <tp t="s">
        <v>#N/A N/A</v>
        <stp/>
        <stp>BDS|1496353544584905735</stp>
        <tr r="UY5" s="44"/>
      </tp>
      <tp t="s">
        <v>#N/A N/A</v>
        <stp/>
        <stp>BDS|4866416394404752856</stp>
        <tr r="IU5" s="8"/>
        <tr r="TE5" s="20"/>
      </tp>
      <tp t="s">
        <v>#N/A N/A</v>
        <stp/>
        <stp>BDS|6566340412070702188</stp>
        <tr r="LC5" s="4"/>
        <tr r="NK5" s="8"/>
        <tr r="JY5" s="13"/>
        <tr r="EE5" s="17"/>
        <tr r="LC5" s="22"/>
        <tr r="MG5" s="28"/>
        <tr r="AS5" s="30"/>
        <tr r="PS5" s="31"/>
        <tr r="IU5" s="38"/>
        <tr r="O5" s="39"/>
        <tr r="GM5" s="50"/>
      </tp>
      <tp t="s">
        <v>#N/A N/A</v>
        <stp/>
        <stp>BDS|8943744793460074322</stp>
        <tr r="MG5" s="24"/>
        <tr r="LC5" s="33"/>
      </tp>
      <tp t="s">
        <v>#N/A N/A</v>
        <stp/>
        <stp>BDS|8853514081165105554</stp>
        <tr r="IG5" s="7"/>
      </tp>
      <tp t="s">
        <v>#N/A N/A</v>
        <stp/>
        <stp>BDS|4489485748427111683</stp>
        <tr r="IU5" s="28"/>
        <tr r="JY5" s="49"/>
      </tp>
      <tp t="s">
        <v>#N/A N/A</v>
        <stp/>
        <stp>BDS|9625354054039295381</stp>
        <tr r="UI5" s="49"/>
      </tp>
      <tp t="s">
        <v>#N/A N/A</v>
        <stp/>
        <stp>BDS|3337816757072100998</stp>
        <tr r="SQ5" s="1"/>
      </tp>
      <tp t="s">
        <v>#N/A N/A</v>
        <stp/>
        <stp>BDS|4881269025142104376</stp>
        <tr r="PS5" s="44"/>
      </tp>
      <tp t="s">
        <v>#N/A N/A</v>
        <stp/>
        <stp>BDS|8797203542158443337</stp>
        <tr r="PS5" s="35"/>
      </tp>
      <tp t="s">
        <v>#N/A N/A</v>
        <stp/>
        <stp>BDS|7217849702183300957</stp>
        <tr r="PE5" s="46"/>
      </tp>
      <tp t="s">
        <v>#N/A N/A</v>
        <stp/>
        <stp>BDS|5683833608949688196</stp>
        <tr r="PS5" s="43"/>
      </tp>
      <tp t="s">
        <v>#N/A N/A</v>
        <stp/>
        <stp>BDS|8586635033771417939</stp>
        <tr r="TE5" s="24"/>
      </tp>
      <tp t="s">
        <v>#N/A N/A</v>
        <stp/>
        <stp>BDS|4664380243215665392</stp>
        <tr r="LC5" s="12"/>
      </tp>
      <tp t="s">
        <v>#N/A N/A</v>
        <stp/>
        <stp>BDS|6147369370562266578</stp>
        <tr r="MW5" s="24"/>
        <tr r="KO5" s="35"/>
      </tp>
      <tp t="s">
        <v>#N/A N/A</v>
        <stp/>
        <stp>BDS|4502395649603195574</stp>
        <tr r="EU5" s="29"/>
      </tp>
      <tp t="s">
        <v>#N/A N/A</v>
        <stp/>
        <stp>BDS|4279000075480401602</stp>
        <tr r="PE5" s="12"/>
      </tp>
      <tp t="s">
        <v>#N/A N/A</v>
        <stp/>
        <stp>BDS|3435901797812621457</stp>
        <tr r="JY5" s="31"/>
      </tp>
      <tp t="s">
        <v>#N/A N/A</v>
        <stp/>
        <stp>BDS|5685803734183000825</stp>
        <tr r="LC5" s="24"/>
      </tp>
      <tp t="s">
        <v>#N/A N/A</v>
        <stp/>
        <stp>BDS|2156240177735282709</stp>
        <tr r="IG5" s="41"/>
      </tp>
      <tp t="s">
        <v>#N/A N/A</v>
        <stp/>
        <stp>BDS|4237154339404993779</stp>
        <tr r="GM5" s="28"/>
      </tp>
      <tp t="s">
        <v>#N/A N/A</v>
        <stp/>
        <stp>BDS|6850878621469801068</stp>
        <tr r="JK5" s="48"/>
      </tp>
      <tp t="s">
        <v>#N/A N/A</v>
        <stp/>
        <stp>BDS|2003221146442164348</stp>
        <tr r="TU5" s="20"/>
      </tp>
      <tp t="s">
        <v>#N/A N/A</v>
        <stp/>
        <stp>BDS|6444941371808557551</stp>
        <tr r="JY5" s="19"/>
      </tp>
      <tp t="s">
        <v>#N/A N/A</v>
        <stp/>
        <stp>BDS|1403991289705793022</stp>
        <tr r="PS5" s="33"/>
      </tp>
      <tp t="s">
        <v>#N/A N/A</v>
        <stp/>
        <stp>BDS|7757905985252607150</stp>
        <tr r="HC5" s="20"/>
      </tp>
      <tp t="s">
        <v>#N/A N/A</v>
        <stp/>
        <stp>BDS|3266737578715039383</stp>
        <tr r="HC5" s="8"/>
      </tp>
      <tp t="s">
        <v>#N/A N/A</v>
        <stp/>
        <stp>BDS|7664674800772172615</stp>
        <tr r="LS5" s="4"/>
        <tr r="OA5" s="32"/>
        <tr r="PE5" s="48"/>
      </tp>
      <tp t="s">
        <v>#N/A N/A</v>
        <stp/>
        <stp>BDS|7951192400925782663</stp>
        <tr r="MW5" s="37"/>
      </tp>
      <tp t="s">
        <v>#N/A N/A</v>
        <stp/>
        <stp>BDS|2093148888148579682</stp>
        <tr r="NK5" s="32"/>
      </tp>
      <tp t="s">
        <v>#N/A N/A</v>
        <stp/>
        <stp>BDS|8108543286307670737</stp>
        <tr r="IG5" s="21"/>
        <tr r="MW5" s="33"/>
        <tr r="QI5" s="33"/>
      </tp>
      <tp t="s">
        <v>#N/A N/A</v>
        <stp/>
        <stp>BDS|2742209300837264229</stp>
        <tr r="MG5" s="7"/>
        <tr r="LC5" s="31"/>
        <tr r="JY5" s="44"/>
      </tp>
      <tp t="s">
        <v>#N/A N/A</v>
        <stp/>
        <stp>BDS|2388147261258029817</stp>
        <tr r="QI5" s="12"/>
        <tr r="DQ5" s="18"/>
        <tr r="OA5" s="23"/>
      </tp>
      <tp t="s">
        <v>#N/A N/A</v>
        <stp/>
        <stp>BDS|1495450811235222450</stp>
        <tr r="TU5" s="46"/>
      </tp>
      <tp t="s">
        <v>#N/A N/A</v>
        <stp/>
        <stp>BDS|6765259554092531642</stp>
        <tr r="AS5" s="24"/>
      </tp>
      <tp t="s">
        <v>#N/A N/A</v>
        <stp/>
        <stp>BDS|4275605842982181161</stp>
        <tr r="LS5" s="20"/>
        <tr r="FY5" s="22"/>
        <tr r="MW5" s="31"/>
        <tr r="TU5" s="45"/>
      </tp>
      <tp t="s">
        <v>#N/A N/A</v>
        <stp/>
        <stp>BDS|1455536981648561141</stp>
        <tr r="QI5" s="11"/>
      </tp>
      <tp t="s">
        <v>#N/A N/A</v>
        <stp/>
        <stp>BDS|7253832858578824761</stp>
        <tr r="QI5" s="5"/>
        <tr r="BI5" s="39"/>
      </tp>
      <tp t="s">
        <v>#N/A N/A</v>
        <stp/>
        <stp>BDS|7604719956591107146</stp>
        <tr r="GM5" s="16"/>
      </tp>
      <tp t="s">
        <v>#N/A N/A</v>
        <stp/>
        <stp>BDS|6023309802464742408</stp>
        <tr r="BI5" s="12"/>
        <tr r="LS5" s="21"/>
      </tp>
      <tp t="s">
        <v>#N/A N/A</v>
        <stp/>
        <stp>BDS|2195522236970648167</stp>
        <tr r="FI5" s="5"/>
      </tp>
      <tp t="s">
        <v>#N/A N/A</v>
        <stp/>
        <stp>BDS|4709003411732546266</stp>
        <tr r="SA5" s="47"/>
        <tr r="VM5" s="48"/>
      </tp>
      <tp t="s">
        <v>#N/A N/A</v>
        <stp/>
        <stp>BDS|4116768250104892452</stp>
        <tr r="MW5" s="16"/>
      </tp>
      <tp t="s">
        <v>#N/A N/A</v>
        <stp/>
        <stp>BDS|2814556792250333867</stp>
        <tr r="CM5" s="12"/>
      </tp>
      <tp t="s">
        <v>#N/A N/A</v>
        <stp/>
        <stp>BDS|1607741301296949600</stp>
        <tr r="HQ5" s="29"/>
      </tp>
      <tp t="s">
        <v>#N/A N/A</v>
        <stp/>
        <stp>BDS|2365781433205139523</stp>
        <tr r="MG5" s="22"/>
        <tr r="JY5" s="35"/>
      </tp>
      <tp t="s">
        <v>#N/A N/A</v>
        <stp/>
        <stp>BDS|4056196526822570327</stp>
        <tr r="LS5" s="17"/>
      </tp>
      <tp t="s">
        <v>#N/A N/A</v>
        <stp/>
        <stp>BDS|6541297043866419034</stp>
        <tr r="RM5" s="32"/>
      </tp>
      <tp t="s">
        <v>#N/A N/A</v>
        <stp/>
        <stp>BDS|3871021479243258195</stp>
        <tr r="GM5" s="46"/>
      </tp>
      <tp t="s">
        <v>#N/A N/A</v>
        <stp/>
        <stp>BDS|1636366429482060400</stp>
        <tr r="GM5" s="24"/>
      </tp>
      <tp t="s">
        <v>#N/A N/A</v>
        <stp/>
        <stp>BDS|2848327923634795106</stp>
        <tr r="JK5" s="16"/>
      </tp>
      <tp t="s">
        <v>#N/A N/A</v>
        <stp/>
        <stp>BDS|3746081999259069581</stp>
        <tr r="O5" s="13"/>
        <tr r="HQ5" s="31"/>
      </tp>
      <tp t="s">
        <v>#N/A N/A</v>
        <stp/>
        <stp>BDS|3688720177602463799</stp>
        <tr r="EU5" s="19"/>
      </tp>
      <tp t="s">
        <v>#N/A N/A</v>
        <stp/>
        <stp>BDS|8873949413035214320</stp>
        <tr r="TU5" s="47"/>
      </tp>
      <tp t="s">
        <v>#N/A N/A</v>
        <stp/>
        <stp>BDS|7008555665996958465</stp>
        <tr r="FI5" s="45"/>
      </tp>
      <tp t="s">
        <v>#N/A N/A</v>
        <stp/>
        <stp>BDS|7663397717817784438</stp>
        <tr r="LC5" s="28"/>
      </tp>
      <tp t="s">
        <v>#N/A N/A</v>
        <stp/>
        <stp>BDS|9210549300579250388</stp>
        <tr r="O5" s="5"/>
      </tp>
      <tp t="s">
        <v>#N/A N/A</v>
        <stp/>
        <stp>BDS|8685836983297235989</stp>
        <tr r="PS5" s="49"/>
      </tp>
      <tp t="s">
        <v>#N/A N/A</v>
        <stp/>
        <stp>BDS|1122924469681315955</stp>
        <tr r="UI5" s="14"/>
      </tp>
      <tp t="s">
        <v>#N/A N/A</v>
        <stp/>
        <stp>BDS|2558767686869164294</stp>
        <tr r="BW5" s="23"/>
      </tp>
      <tp t="s">
        <v>#N/A N/A</v>
        <stp/>
        <stp>BDS|1916019261723738230</stp>
        <tr r="GM5" s="44"/>
      </tp>
      <tp t="s">
        <v>#N/A N/A</v>
        <stp/>
        <stp>BDS|5782155076996276348</stp>
        <tr r="HQ5" s="49"/>
      </tp>
      <tp t="s">
        <v>#N/A N/A</v>
        <stp/>
        <stp>BDS|1747224834546228015</stp>
        <tr r="FI5" s="2"/>
        <tr r="O5" s="9"/>
        <tr r="TE5" s="13"/>
        <tr r="AS5" s="14"/>
        <tr r="IU5" s="30"/>
        <tr r="BW5" s="32"/>
      </tp>
      <tp t="s">
        <v>#N/A N/A</v>
        <stp/>
        <stp>BDS|7817258518626183465</stp>
        <tr r="JK5" s="32"/>
      </tp>
      <tp t="s">
        <v>#N/A N/A</v>
        <stp/>
        <stp>BDS|3477861755150549801</stp>
        <tr r="GM5" s="45"/>
      </tp>
      <tp t="s">
        <v>#N/A N/A</v>
        <stp/>
        <stp>BDS|4826834832210964927</stp>
        <tr r="BW5" s="9"/>
      </tp>
      <tp t="s">
        <v>#N/A N/A</v>
        <stp/>
        <stp>BDS|2453447950706201318</stp>
        <tr r="AE5" s="5"/>
      </tp>
      <tp t="s">
        <v>#N/A N/A</v>
        <stp/>
        <stp>BDS|9655246054039618133</stp>
        <tr r="MG5" s="10"/>
      </tp>
      <tp t="s">
        <v>#N/A N/A</v>
        <stp/>
        <stp>BDS|7714164005755403508</stp>
        <tr r="EU5" s="45"/>
      </tp>
      <tp t="s">
        <v>#N/A N/A</v>
        <stp/>
        <stp>BDS|5078406536034625008</stp>
        <tr r="IG5" s="28"/>
        <tr r="JK5" s="49"/>
      </tp>
      <tp t="s">
        <v>#N/A N/A</v>
        <stp/>
        <stp>BDS|3371025073232403079</stp>
        <tr r="FY5" s="35"/>
        <tr r="EU5" s="40"/>
      </tp>
      <tp t="s">
        <v>#N/A N/A</v>
        <stp/>
        <stp>BDS|9367011522165218838</stp>
        <tr r="SQ5" s="17"/>
      </tp>
      <tp t="s">
        <v>#N/A N/A</v>
        <stp/>
        <stp>BDS|5312810389027350490</stp>
        <tr r="EE5" s="19"/>
        <tr r="NK5" s="27"/>
        <tr r="LC5" s="36"/>
      </tp>
      <tp t="s">
        <v>#N/A N/A</v>
        <stp/>
        <stp>BDS|3350061123580720779</stp>
        <tr r="QI5" s="1"/>
      </tp>
      <tp t="s">
        <v>#N/A N/A</v>
        <stp/>
        <stp>BDS|9071736094931745068</stp>
        <tr r="HC5" s="28"/>
        <tr r="QI5" s="28"/>
      </tp>
      <tp t="s">
        <v>#N/A N/A</v>
        <stp/>
        <stp>BDS|6417462432401206642</stp>
        <tr r="PE5" s="24"/>
      </tp>
      <tp t="s">
        <v>#N/A N/A</v>
        <stp/>
        <stp>BDS|6670071558300966579</stp>
        <tr r="SQ5" s="9"/>
      </tp>
      <tp t="s">
        <v>#N/A N/A</v>
        <stp/>
        <stp>BDS|4978119843512452588</stp>
        <tr r="DQ5" s="16"/>
      </tp>
      <tp t="s">
        <v>#N/A N/A</v>
        <stp/>
        <stp>BDS|8103220525248770662</stp>
        <tr r="SQ5" s="34"/>
      </tp>
      <tp t="s">
        <v>#N/A N/A</v>
        <stp/>
        <stp>BDS|7989294252757083154</stp>
        <tr r="VM5" s="2"/>
        <tr r="VM5" s="36"/>
      </tp>
      <tp t="s">
        <v>#N/A N/A</v>
        <stp/>
        <stp>BDS|4376767594305777910</stp>
        <tr r="UY5" s="22"/>
      </tp>
      <tp t="s">
        <v>#N/A N/A</v>
        <stp/>
        <stp>BDS|4911383452514495035</stp>
        <tr r="RM5" s="11"/>
      </tp>
      <tp t="s">
        <v>#N/A N/A</v>
        <stp/>
        <stp>BDS|1982625428477613416</stp>
        <tr r="LS5" s="33"/>
        <tr r="DQ5" s="50"/>
      </tp>
      <tp t="s">
        <v>#N/A N/A</v>
        <stp/>
        <stp>BDS|6655118866042423505</stp>
        <tr r="IG5" s="1"/>
      </tp>
      <tp t="s">
        <v>#N/A N/A</v>
        <stp/>
        <stp>BDS|5110977146808657633</stp>
        <tr r="IU5" s="18"/>
      </tp>
      <tp t="s">
        <v>#N/A N/A</v>
        <stp/>
        <stp>BDS|5449001943456381116</stp>
        <tr r="UI5" s="1"/>
      </tp>
      <tp t="s">
        <v>#N/A N/A</v>
        <stp/>
        <stp>BDS|3689641151660657605</stp>
        <tr r="TU5" s="12"/>
      </tp>
      <tp t="s">
        <v>#N/A N/A</v>
        <stp/>
        <stp>BDS|8135340091403391729</stp>
        <tr r="O5" s="22"/>
        <tr r="JY5" s="38"/>
      </tp>
      <tp t="s">
        <v>#N/A N/A</v>
        <stp/>
        <stp>BDS|6968894749194094938</stp>
        <tr r="EU5" s="39"/>
      </tp>
      <tp t="s">
        <v>#N/A N/A</v>
        <stp/>
        <stp>BDS|7908707649216353593</stp>
        <tr r="JK5" s="12"/>
        <tr r="MW5" s="35"/>
      </tp>
      <tp t="s">
        <v>#N/A N/A</v>
        <stp/>
        <stp>BDS|8789440793743886127</stp>
        <tr r="CM5" s="23"/>
      </tp>
      <tp t="s">
        <v>#N/A N/A</v>
        <stp/>
        <stp>BDS|4663501158906272568</stp>
        <tr r="JY5" s="46"/>
      </tp>
      <tp t="s">
        <v>#N/A N/A</v>
        <stp/>
        <stp>BDS|4978088503827076499</stp>
        <tr r="IU5" s="1"/>
      </tp>
      <tp t="s">
        <v>#N/A N/A</v>
        <stp/>
        <stp>BDS|7912321477920630415</stp>
        <tr r="HQ5" s="19"/>
        <tr r="QW5" s="30"/>
      </tp>
      <tp t="s">
        <v>#N/A N/A</v>
        <stp/>
        <stp>BDS|5219332669551242613</stp>
        <tr r="KO5" s="1"/>
        <tr r="BI5" s="18"/>
      </tp>
      <tp t="s">
        <v>#N/A N/A</v>
        <stp/>
        <stp>BDS|6363195751413662665</stp>
        <tr r="IU5" s="2"/>
      </tp>
      <tp t="s">
        <v>#N/A N/A</v>
        <stp/>
        <stp>BDS|2902602434027353769</stp>
        <tr r="EE5" s="29"/>
      </tp>
      <tp t="s">
        <v>#N/A N/A</v>
        <stp/>
        <stp>BDS|7011036083988831001</stp>
        <tr r="VM5" s="30"/>
      </tp>
      <tp t="s">
        <v>#N/A N/A</v>
        <stp/>
        <stp>BDS|2659288714187159122</stp>
        <tr r="IU5" s="32"/>
        <tr r="GM5" s="33"/>
        <tr r="TE5" s="35"/>
      </tp>
      <tp t="s">
        <v>#N/A N/A</v>
        <stp/>
        <stp>BDS|7442042433994579786</stp>
        <tr r="GM5" s="7"/>
      </tp>
      <tp t="s">
        <v>#N/A N/A</v>
        <stp/>
        <stp>BDS|4289598107297584176</stp>
        <tr r="IU5" s="27"/>
      </tp>
      <tp t="s">
        <v>#N/A N/A</v>
        <stp/>
        <stp>BDS|1991335400900573512</stp>
        <tr r="MG5" s="12"/>
      </tp>
      <tp t="s">
        <v>#N/A N/A</v>
        <stp/>
        <stp>BDS|6817047384499350057</stp>
        <tr r="OO5" s="34"/>
      </tp>
      <tp t="s">
        <v>#N/A N/A</v>
        <stp/>
        <stp>BDS|6632736806596866057</stp>
        <tr r="OO5" s="12"/>
      </tp>
      <tp t="s">
        <v>#N/A N/A</v>
        <stp/>
        <stp>BDS|8403023004138818742</stp>
        <tr r="AS5" s="29"/>
      </tp>
      <tp t="s">
        <v>#N/A N/A</v>
        <stp/>
        <stp>BDS|5813567464662462301</stp>
        <tr r="PE5" s="29"/>
      </tp>
      <tp t="s">
        <v>#N/A N/A</v>
        <stp/>
        <stp>BDS|6559132764926412093</stp>
        <tr r="PE5" s="43"/>
      </tp>
      <tp t="s">
        <v>#N/A N/A</v>
        <stp/>
        <stp>BDS|4161675864105904641</stp>
        <tr r="OO5" s="42"/>
      </tp>
      <tp t="s">
        <v>#N/A N/A</v>
        <stp/>
        <stp>BDS|3100347979793303307</stp>
        <tr r="HQ5" s="23"/>
      </tp>
      <tp t="s">
        <v>#N/A N/A</v>
        <stp/>
        <stp>BDS|9914095919278067752</stp>
        <tr r="PS5" s="9"/>
      </tp>
      <tp t="s">
        <v>#N/A N/A</v>
        <stp/>
        <stp>BDS|5102232879665006268</stp>
        <tr r="MG5" s="16"/>
      </tp>
      <tp t="s">
        <v>#N/A N/A</v>
        <stp/>
        <stp>BDS|2728629778517652369</stp>
        <tr r="BW5" s="2"/>
      </tp>
      <tp t="s">
        <v>#N/A N/A</v>
        <stp/>
        <stp>BDS|8674901115610696788</stp>
        <tr r="SA5" s="33"/>
      </tp>
      <tp t="s">
        <v>#N/A N/A</v>
        <stp/>
        <stp>BDS|5086824281936852466</stp>
        <tr r="BW5" s="1"/>
        <tr r="SA5" s="10"/>
        <tr r="GM5" s="17"/>
        <tr r="JY5" s="17"/>
        <tr r="GM5" s="26"/>
        <tr r="IU5" s="26"/>
        <tr r="UI5" s="32"/>
        <tr r="OO5" s="43"/>
        <tr r="IU5" s="45"/>
      </tp>
      <tp t="s">
        <v>#N/A N/A</v>
        <stp/>
        <stp>BDS|4838341284051326967</stp>
        <tr r="EE5" s="28"/>
      </tp>
      <tp t="s">
        <v>#N/A N/A</v>
        <stp/>
        <stp>BDS|1841369663913893075</stp>
        <tr r="DA5" s="14"/>
      </tp>
      <tp t="s">
        <v>#N/A N/A</v>
        <stp/>
        <stp>BDS|2373556487689585163</stp>
        <tr r="SA5" s="34"/>
      </tp>
      <tp t="s">
        <v>#N/A N/A</v>
        <stp/>
        <stp>BDS|8874216075198754297</stp>
        <tr r="GM5" s="12"/>
      </tp>
      <tp t="s">
        <v>#N/A N/A</v>
        <stp/>
        <stp>BDS|5332451824085114116</stp>
        <tr r="DA5" s="8"/>
      </tp>
      <tp t="s">
        <v>#N/A N/A</v>
        <stp/>
        <stp>BDS|6475282996848100298</stp>
        <tr r="PE5" s="3"/>
      </tp>
      <tp t="s">
        <v>#N/A N/A</v>
        <stp/>
        <stp>BDS|5206827597335066648</stp>
        <tr r="OO5" s="4"/>
      </tp>
      <tp t="s">
        <v>#N/A N/A</v>
        <stp/>
        <stp>BDS|8097213201589100422</stp>
        <tr r="OA5" s="28"/>
      </tp>
      <tp t="s">
        <v>#N/A N/A</v>
        <stp/>
        <stp>BDS|3665730877764604073</stp>
        <tr r="SA5" s="40"/>
        <tr r="AS5" s="43"/>
      </tp>
      <tp t="s">
        <v>#N/A N/A</v>
        <stp/>
        <stp>BDS|3522047609856993219</stp>
        <tr r="OO5" s="50"/>
      </tp>
      <tp t="s">
        <v>#N/A N/A</v>
        <stp/>
        <stp>BDS|1000350471556261463</stp>
        <tr r="NK5" s="43"/>
      </tp>
      <tp t="s">
        <v>#N/A N/A</v>
        <stp/>
        <stp>BDS|7313456567484022611</stp>
        <tr r="SA5" s="18"/>
      </tp>
      <tp t="s">
        <v>#N/A N/A</v>
        <stp/>
        <stp>BDS|9350968277097485764</stp>
        <tr r="GM5" s="21"/>
        <tr r="OO5" s="35"/>
      </tp>
      <tp t="s">
        <v>#N/A N/A</v>
        <stp/>
        <stp>BDS|5578321016353323322</stp>
        <tr r="DQ5" s="48"/>
      </tp>
      <tp t="s">
        <v>#N/A N/A</v>
        <stp/>
        <stp>BDS|8255529956127507827</stp>
        <tr r="DA5" s="38"/>
        <tr r="O5" s="46"/>
      </tp>
      <tp t="s">
        <v>#N/A N/A</v>
        <stp/>
        <stp>BDS|8852239239179170724</stp>
        <tr r="IU5" s="12"/>
      </tp>
      <tp t="s">
        <v>#N/A N/A</v>
        <stp/>
        <stp>BDS|1612727299148824035</stp>
        <tr r="QW5" s="7"/>
      </tp>
      <tp t="s">
        <v>#N/A N/A</v>
        <stp/>
        <stp>BDS|6422025951037543358</stp>
        <tr r="IG5" s="46"/>
      </tp>
      <tp t="s">
        <v>#N/A N/A</v>
        <stp/>
        <stp>BDS|7313478455798378951</stp>
        <tr r="AE5" s="17"/>
      </tp>
      <tp t="s">
        <v>#N/A N/A</v>
        <stp/>
        <stp>BDS|2424632752845449362</stp>
        <tr r="JY5" s="33"/>
      </tp>
      <tp t="s">
        <v>#N/A N/A</v>
        <stp/>
        <stp>BDS|5816085977221519458</stp>
        <tr r="LS5" s="32"/>
        <tr r="SQ5" s="36"/>
        <tr r="KO5" s="44"/>
      </tp>
      <tp t="s">
        <v>#N/A N/A</v>
        <stp/>
        <stp>BDS|8497978121636571200</stp>
        <tr r="LC5" s="41"/>
      </tp>
      <tp t="s">
        <v>#N/A N/A</v>
        <stp/>
        <stp>BDS|2532581978192711568</stp>
        <tr r="NK5" s="22"/>
      </tp>
      <tp t="s">
        <v>#N/A N/A</v>
        <stp/>
        <stp>BDS|4528013431632688276</stp>
        <tr r="KO5" s="46"/>
      </tp>
      <tp t="s">
        <v>#N/A N/A</v>
        <stp/>
        <stp>BDS|6042411636085100322</stp>
        <tr r="OO5" s="18"/>
        <tr r="EE5" s="22"/>
        <tr r="MG5" s="40"/>
      </tp>
      <tp t="s">
        <v>#N/A N/A</v>
        <stp/>
        <stp>BDS|3682739956411565739</stp>
        <tr r="KO5" s="50"/>
      </tp>
      <tp t="s">
        <v>#N/A N/A</v>
        <stp/>
        <stp>BDS|3112268658506976534</stp>
        <tr r="CM5" s="42"/>
      </tp>
      <tp t="s">
        <v>#N/A N/A</v>
        <stp/>
        <stp>BDS|9776713783834654565</stp>
        <tr r="EE5" s="49"/>
      </tp>
      <tp t="s">
        <v>#N/A N/A</v>
        <stp/>
        <stp>BDS|1111341127734657312</stp>
        <tr r="KO5" s="15"/>
      </tp>
      <tp t="s">
        <v>#N/A N/A</v>
        <stp/>
        <stp>BDS|5930099661217247493</stp>
        <tr r="SA5" s="29"/>
      </tp>
      <tp t="s">
        <v>#N/A N/A</v>
        <stp/>
        <stp>BDS|2891788138256755053</stp>
        <tr r="AE5" s="7"/>
      </tp>
      <tp t="s">
        <v>#N/A N/A</v>
        <stp/>
        <stp>BDS|2636233459780607502</stp>
        <tr r="KO5" s="4"/>
        <tr r="JK5" s="13"/>
        <tr r="DQ5" s="17"/>
        <tr r="AE5" s="30"/>
        <tr r="PE5" s="31"/>
        <tr r="MW5" s="8"/>
        <tr r="IG5" s="38"/>
        <tr r="LS5" s="28"/>
        <tr r="A5" s="39"/>
        <tr r="KO5" s="22"/>
        <tr r="FY5" s="50"/>
      </tp>
      <tp t="s">
        <v>#N/A N/A</v>
        <stp/>
        <stp>BDS|5796159734542481595</stp>
        <tr r="QW5" s="3"/>
      </tp>
      <tp t="s">
        <v>#N/A N/A</v>
        <stp/>
        <stp>BDS|8335364270665680987</stp>
        <tr r="VM5" s="35"/>
      </tp>
      <tp t="s">
        <v>#N/A N/A</v>
        <stp/>
        <stp>BDS|7272581977543357655</stp>
        <tr r="BI5" s="30"/>
      </tp>
      <tp t="s">
        <v>#N/A N/A</v>
        <stp/>
        <stp>BDS|4912181539767051136</stp>
        <tr r="GM5" s="37"/>
      </tp>
      <tp t="s">
        <v>#N/A N/A</v>
        <stp/>
        <stp>BDS|1455747959583633041</stp>
        <tr r="BI5" s="38"/>
      </tp>
      <tp t="s">
        <v>#N/A N/A</v>
        <stp/>
        <stp>BDS|2974467166054317428</stp>
        <tr r="OO5" s="21"/>
      </tp>
      <tp t="s">
        <v>#N/A N/A</v>
        <stp/>
        <stp>BDS|6008059561764546498</stp>
        <tr r="EE5" s="12"/>
      </tp>
      <tp t="s">
        <v>#N/A N/A</v>
        <stp/>
        <stp>BDS|9418782506419762753</stp>
        <tr r="TU5" s="14"/>
      </tp>
      <tp t="s">
        <v>#N/A N/A</v>
        <stp/>
        <stp>BDS|3208592200462147426</stp>
        <tr r="KO5" s="19"/>
      </tp>
      <tp t="s">
        <v>#N/A N/A</v>
        <stp/>
        <stp>BDS|6862584342570351780</stp>
        <tr r="LS5" s="29"/>
      </tp>
      <tp t="s">
        <v>#N/A N/A</v>
        <stp/>
        <stp>BDS|6210400220368325881</stp>
        <tr r="PE5" s="11"/>
        <tr r="A5" s="31"/>
      </tp>
      <tp t="s">
        <v>#N/A N/A</v>
        <stp/>
        <stp>BDS|6772281089199189597</stp>
        <tr r="JK5" s="29"/>
      </tp>
      <tp t="s">
        <v>#N/A N/A</v>
        <stp/>
        <stp>BDS|6129505558285538326</stp>
        <tr r="HQ5" s="46"/>
      </tp>
      <tp t="s">
        <v>#N/A N/A</v>
        <stp/>
        <stp>BDS|6939178151093229123</stp>
        <tr r="EU5" s="46"/>
      </tp>
      <tp t="s">
        <v>#N/A N/A</v>
        <stp/>
        <stp>BDS|6842352921354324308</stp>
        <tr r="IU5" s="44"/>
        <tr r="OO5" s="47"/>
      </tp>
      <tp t="s">
        <v>#N/A N/A</v>
        <stp/>
        <stp>BDS|3068224044404848112</stp>
        <tr r="DQ5" s="15"/>
      </tp>
      <tp t="s">
        <v>#N/A N/A</v>
        <stp/>
        <stp>BDS|1161892611058461022</stp>
        <tr r="JK5" s="31"/>
      </tp>
      <tp t="s">
        <v>#N/A N/A</v>
        <stp/>
        <stp>BDS|7820693376813313584</stp>
        <tr r="OA5" s="1"/>
      </tp>
      <tp t="s">
        <v>#N/A N/A</v>
        <stp/>
        <stp>BDS|1670386557475576203</stp>
        <tr r="MW5" s="50"/>
      </tp>
      <tp t="s">
        <v>#N/A N/A</v>
        <stp/>
        <stp>BDS|7638785163122838487</stp>
        <tr r="UI5" s="23"/>
      </tp>
      <tp t="s">
        <v>#N/A N/A</v>
        <stp/>
        <stp>BDS|8382279861585143968</stp>
        <tr r="GM5" s="27"/>
      </tp>
      <tp t="s">
        <v>#N/A N/A</v>
        <stp/>
        <stp>BDS|3064711596404633938</stp>
        <tr r="MW5" s="23"/>
      </tp>
      <tp t="s">
        <v>#N/A N/A</v>
        <stp/>
        <stp>BDS|3795239644016730351</stp>
        <tr r="HQ5" s="6"/>
      </tp>
      <tp t="s">
        <v>#N/A N/A</v>
        <stp/>
        <stp>BDS|4892444798631303858</stp>
        <tr r="IU5" s="6"/>
        <tr r="SA5" s="22"/>
      </tp>
      <tp t="s">
        <v>#N/A N/A</v>
        <stp/>
        <stp>BDS|1944646514112805435</stp>
        <tr r="SQ5" s="7"/>
        <tr r="HC5" s="16"/>
      </tp>
      <tp t="s">
        <v>#N/A N/A</v>
        <stp/>
        <stp>BDS|7302237409553864626</stp>
        <tr r="JK5" s="30"/>
      </tp>
      <tp t="s">
        <v>#N/A N/A</v>
        <stp/>
        <stp>BDS|6029652636215338631</stp>
        <tr r="EU5" s="1"/>
        <tr r="CM5" s="11"/>
        <tr r="BI5" s="14"/>
        <tr r="PE5" s="38"/>
      </tp>
      <tp t="s">
        <v>#N/A N/A</v>
        <stp/>
        <stp>BDS|7256185979067292628</stp>
        <tr r="CM5" s="46"/>
      </tp>
      <tp t="s">
        <v>#N/A N/A</v>
        <stp/>
        <stp>BDS|8435338071545191941</stp>
        <tr r="TE5" s="39"/>
        <tr r="QW5" s="46"/>
      </tp>
      <tp t="s">
        <v>#N/A N/A</v>
        <stp/>
        <stp>BDS|7409177552077229400</stp>
        <tr r="FI5" s="32"/>
      </tp>
      <tp t="s">
        <v>#N/A N/A</v>
        <stp/>
        <stp>BDS|2948772729471565639</stp>
        <tr r="JK5" s="47"/>
      </tp>
      <tp t="s">
        <v>#N/A N/A</v>
        <stp/>
        <stp>BDS|9528045617739732179</stp>
        <tr r="PS5" s="41"/>
      </tp>
      <tp t="s">
        <v>#N/A N/A</v>
        <stp/>
        <stp>BDS|6822405958107320055</stp>
        <tr r="EU5" s="15"/>
      </tp>
      <tp t="s">
        <v>#N/A N/A</v>
        <stp/>
        <stp>BDS|2383006434634616563</stp>
        <tr r="SA5" s="5"/>
        <tr r="LC5" s="43"/>
      </tp>
      <tp t="s">
        <v>#N/A N/A</v>
        <stp/>
        <stp>BDS|5190408877653517544</stp>
        <tr r="NK5" s="29"/>
      </tp>
      <tp t="s">
        <v>#N/A N/A</v>
        <stp/>
        <stp>BDS|1403256784203592840</stp>
        <tr r="HQ5" s="44"/>
      </tp>
      <tp t="s">
        <v>#N/A N/A</v>
        <stp/>
        <stp>BDS|3575215031405540742</stp>
        <tr r="QI5" s="18"/>
      </tp>
      <tp t="s">
        <v>#N/A N/A</v>
        <stp/>
        <stp>BDS|4412120834721459724</stp>
        <tr r="MW5" s="10"/>
      </tp>
      <tp t="s">
        <v>#N/A N/A</v>
        <stp/>
        <stp>BDS|9451912363754732241</stp>
        <tr r="LS5" s="7"/>
        <tr r="KO5" s="31"/>
        <tr r="JK5" s="44"/>
      </tp>
      <tp t="s">
        <v>#N/A N/A</v>
        <stp/>
        <stp>BDS|2395491760668999864</stp>
        <tr r="HQ5" s="33"/>
      </tp>
      <tp t="s">
        <v>#N/A N/A</v>
        <stp/>
        <stp>BDS|5352307860672248244</stp>
        <tr r="VM5" s="6"/>
      </tp>
      <tp t="s">
        <v>#N/A N/A</v>
        <stp/>
        <stp>BDS|1692622320392601686</stp>
        <tr r="BI5" s="16"/>
      </tp>
      <tp t="s">
        <v>#N/A N/A</v>
        <stp/>
        <stp>BDS|4876011607794644122</stp>
        <tr r="AS5" s="13"/>
      </tp>
      <tp t="s">
        <v>#N/A N/A</v>
        <stp/>
        <stp>BDS|3991772310966254262</stp>
        <tr r="UY5" s="7"/>
      </tp>
      <tp t="s">
        <v>#N/A N/A</v>
        <stp/>
        <stp>BDS|4133332626032905674</stp>
        <tr r="QI5" s="20"/>
      </tp>
      <tp t="s">
        <v>#N/A N/A</v>
        <stp/>
        <stp>BDS|4494606126699039897</stp>
        <tr r="RM5" s="2"/>
      </tp>
      <tp t="s">
        <v>#N/A N/A</v>
        <stp/>
        <stp>BDS|2982108266057160366</stp>
        <tr r="KO5" s="2"/>
      </tp>
      <tp t="s">
        <v>#N/A N/A</v>
        <stp/>
        <stp>BDS|9314896339546277593</stp>
        <tr r="SQ5" s="40"/>
      </tp>
      <tp t="s">
        <v>#N/A N/A</v>
        <stp/>
        <stp>BDS|3856886789623971199</stp>
        <tr r="PS5" s="11"/>
        <tr r="O5" s="31"/>
      </tp>
      <tp t="s">
        <v>#N/A N/A</v>
        <stp/>
        <stp>BDS|9221804438945134624</stp>
        <tr r="RM5" s="28"/>
      </tp>
      <tp t="s">
        <v>#N/A N/A</v>
        <stp/>
        <stp>BDS|6814385619675692062</stp>
        <tr r="DA5" s="3"/>
      </tp>
      <tp t="s">
        <v>#N/A N/A</v>
        <stp/>
        <stp>BDS|5294493201432741245</stp>
        <tr r="UY5" s="34"/>
      </tp>
      <tp t="s">
        <v>#N/A N/A</v>
        <stp/>
        <stp>BDS|5390283814376284138</stp>
        <tr r="RM5" s="17"/>
      </tp>
      <tp t="s">
        <v>#N/A N/A</v>
        <stp/>
        <stp>BDS|1669409132981204688</stp>
        <tr r="UY5" s="3"/>
      </tp>
      <tp t="s">
        <v>#N/A N/A</v>
        <stp/>
        <stp>BDS|3921240065205130372</stp>
        <tr r="FY5" s="6"/>
        <tr r="OA5" s="9"/>
        <tr r="A5" s="18"/>
        <tr r="AE5" s="48"/>
      </tp>
      <tp t="s">
        <v>#N/A N/A</v>
        <stp/>
        <stp>BDS|3646290042627111327</stp>
        <tr r="BI5" s="26"/>
        <tr r="PE5" s="36"/>
      </tp>
      <tp t="s">
        <v>#N/A N/A</v>
        <stp/>
        <stp>BDS|7832653821280329206</stp>
        <tr r="RM5" s="34"/>
      </tp>
      <tp t="s">
        <v>#N/A N/A</v>
        <stp/>
        <stp>BDS|1628043371160946753</stp>
        <tr r="LC5" s="16"/>
      </tp>
      <tp t="s">
        <v>#N/A N/A</v>
        <stp/>
        <stp>BDS|9939236435371540869</stp>
        <tr r="HQ5" s="20"/>
      </tp>
      <tp t="s">
        <v>#N/A N/A</v>
        <stp/>
        <stp>BDS|1991108970004356262</stp>
        <tr r="AS5" s="22"/>
      </tp>
      <tp t="s">
        <v>#N/A N/A</v>
        <stp/>
        <stp>BDS|9660352683193431063</stp>
        <tr r="LS5" s="9"/>
      </tp>
      <tp t="s">
        <v>#N/A N/A</v>
        <stp/>
        <stp>BDS|2103354007008196813</stp>
        <tr r="GM5" s="18"/>
      </tp>
      <tp t="s">
        <v>#N/A N/A</v>
        <stp/>
        <stp>BDS|3875985339389186182</stp>
        <tr r="AE5" s="33"/>
        <tr r="LS5" s="18"/>
      </tp>
      <tp t="s">
        <v>#N/A N/A</v>
        <stp/>
        <stp>BDS|6085689358852583658</stp>
        <tr r="AS5" s="17"/>
      </tp>
      <tp t="s">
        <v>#N/A N/A</v>
        <stp/>
        <stp>BDS|4440387043570822278</stp>
        <tr r="DA5" s="30"/>
      </tp>
      <tp t="s">
        <v>#N/A N/A</v>
        <stp/>
        <stp>BDS|5334197108214314110</stp>
        <tr r="AS5" s="46"/>
      </tp>
      <tp t="s">
        <v>#N/A N/A</v>
        <stp/>
        <stp>BDS|8217181498667476665</stp>
        <tr r="O5" s="35"/>
      </tp>
      <tp t="s">
        <v>#N/A N/A</v>
        <stp/>
        <stp>BDS|4566364742175831795</stp>
        <tr r="QI5" s="39"/>
      </tp>
      <tp t="s">
        <v>#N/A N/A</v>
        <stp/>
        <stp>BDS|1891206188213354924</stp>
        <tr r="MW5" s="38"/>
      </tp>
      <tp t="s">
        <v>#N/A N/A</v>
        <stp/>
        <stp>BDS|2792762411723125603</stp>
        <tr r="CM5" s="7"/>
        <tr r="QI5" s="21"/>
        <tr r="RM5" s="25"/>
      </tp>
      <tp t="s">
        <v>#N/A N/A</v>
        <stp/>
        <stp>BDS|7066333515517546324</stp>
        <tr r="UI5" s="5"/>
      </tp>
      <tp t="s">
        <v>#N/A N/A</v>
        <stp/>
        <stp>BDS|2348261721790466310</stp>
        <tr r="HC5" s="37"/>
      </tp>
      <tp t="s">
        <v>#N/A N/A</v>
        <stp/>
        <stp>BDS|5103799113701432392</stp>
        <tr r="AE5" s="26"/>
      </tp>
      <tp t="s">
        <v>#N/A N/A</v>
        <stp/>
        <stp>BDS|5508692390522221983</stp>
        <tr r="FI5" s="18"/>
      </tp>
      <tp t="s">
        <v>#N/A N/A</v>
        <stp/>
        <stp>BDS|8526038780457363623</stp>
        <tr r="JY5" s="27"/>
      </tp>
      <tp t="s">
        <v>#N/A N/A</v>
        <stp/>
        <stp>BDS|5793866541911497939</stp>
        <tr r="SQ5" s="39"/>
        <tr r="QI5" s="46"/>
      </tp>
      <tp t="s">
        <v>#N/A N/A</v>
        <stp/>
        <stp>BDS|3708008932004594575</stp>
        <tr r="FY5" s="8"/>
      </tp>
      <tp t="s">
        <v>#N/A N/A</v>
        <stp/>
        <stp>BDS|4356774595803505803</stp>
        <tr r="OA5" s="50"/>
      </tp>
      <tp t="s">
        <v>#N/A N/A</v>
        <stp/>
        <stp>BDS|6725767308464827458</stp>
        <tr r="FY5" s="25"/>
      </tp>
      <tp t="s">
        <v>#N/A N/A</v>
        <stp/>
        <stp>BDS|6516508967823276740</stp>
        <tr r="GM5" s="10"/>
      </tp>
      <tp t="s">
        <v>#N/A N/A</v>
        <stp/>
        <stp>BDS|5095024401454086068</stp>
        <tr r="A5" s="2"/>
      </tp>
      <tp t="s">
        <v>#N/A N/A</v>
        <stp/>
        <stp>BDS|1565675917127008000</stp>
        <tr r="QW5" s="32"/>
      </tp>
      <tp t="s">
        <v>#N/A N/A</v>
        <stp/>
        <stp>BDS|2561877077409534551</stp>
        <tr r="OA5" s="4"/>
      </tp>
      <tp t="s">
        <v>#N/A N/A</v>
        <stp/>
        <stp>BDS|7598424262442146619</stp>
        <tr r="NK5" s="3"/>
      </tp>
      <tp t="s">
        <v>#N/A N/A</v>
        <stp/>
        <stp>BDS|4402032454753437323</stp>
        <tr r="FY5" s="40"/>
      </tp>
      <tp t="s">
        <v>#N/A N/A</v>
        <stp/>
        <stp>BDS|4450798245336146332</stp>
        <tr r="BI5" s="44"/>
      </tp>
      <tp t="s">
        <v>#N/A N/A</v>
        <stp/>
        <stp>BDS|8320826800144393681</stp>
        <tr r="IU5" s="33"/>
      </tp>
      <tp t="s">
        <v>#N/A N/A</v>
        <stp/>
        <stp>BDS|5020843089160449732</stp>
        <tr r="SQ5" s="14"/>
      </tp>
      <tp t="s">
        <v>#N/A N/A</v>
        <stp/>
        <stp>BDS|3523795971916767710</stp>
        <tr r="AE5" s="40"/>
      </tp>
      <tp t="s">
        <v>#N/A N/A</v>
        <stp/>
        <stp>BDS|7409903482154515082</stp>
        <tr r="QW5" s="45"/>
      </tp>
      <tp t="s">
        <v>#N/A N/A</v>
        <stp/>
        <stp>BDS|4421723760574858355</stp>
        <tr r="O5" s="37"/>
      </tp>
      <tp t="s">
        <v>#N/A N/A</v>
        <stp/>
        <stp>BDS|6654142049959235813</stp>
        <tr r="JK5" s="18"/>
      </tp>
      <tp t="s">
        <v>#N/A N/A</v>
        <stp/>
        <stp>BDS|5004210538671135709</stp>
        <tr r="MW5" s="47"/>
      </tp>
      <tp t="s">
        <v>#N/A N/A</v>
        <stp/>
        <stp>BDS|2925543036495338306</stp>
        <tr r="UY5" s="38"/>
      </tp>
      <tp t="s">
        <v>#N/A N/A</v>
        <stp/>
        <stp>BDS|1230856286224162785</stp>
        <tr r="RM5" s="4"/>
      </tp>
      <tp t="s">
        <v>#N/A N/A</v>
        <stp/>
        <stp>BDS|7601617302737851450</stp>
        <tr r="BI5" s="46"/>
      </tp>
      <tp t="s">
        <v>#N/A N/A</v>
        <stp/>
        <stp>BDS|7404705909244470602</stp>
        <tr r="TU5" s="16"/>
      </tp>
      <tp t="s">
        <v>#N/A N/A</v>
        <stp/>
        <stp>BDS|8011250428199065345</stp>
        <tr r="TE5" s="29"/>
      </tp>
      <tp t="s">
        <v>#N/A N/A</v>
        <stp/>
        <stp>BDS|8036196399757050593</stp>
        <tr r="FY5" s="27"/>
      </tp>
      <tp t="s">
        <v>#N/A N/A</v>
        <stp/>
        <stp>BDS|3756357014184936764</stp>
        <tr r="DQ5" s="37"/>
      </tp>
      <tp t="s">
        <v>#N/A N/A</v>
        <stp/>
        <stp>BDS|9854134998002852121</stp>
        <tr r="QW5" s="40"/>
      </tp>
      <tp t="s">
        <v>#N/A N/A</v>
        <stp/>
        <stp>BDS|6340961120338926726</stp>
        <tr r="PS5" s="45"/>
      </tp>
      <tp t="s">
        <v>#N/A N/A</v>
        <stp/>
        <stp>BDS|9660653987546981312</stp>
        <tr r="HC5" s="15"/>
      </tp>
      <tp t="s">
        <v>#N/A N/A</v>
        <stp/>
        <stp>BDS|4232574843970346796</stp>
        <tr r="EE5" s="7"/>
      </tp>
      <tp t="s">
        <v>#N/A N/A</v>
        <stp/>
        <stp>BDS|1473523752404054784</stp>
        <tr r="EE5" s="31"/>
      </tp>
      <tp t="s">
        <v>#N/A N/A</v>
        <stp/>
        <stp>BDS|8741962997678214287</stp>
        <tr r="CM5" s="30"/>
      </tp>
      <tp t="s">
        <v>#N/A N/A</v>
        <stp/>
        <stp>BDS|6667207490737953836</stp>
        <tr r="JY5" s="3"/>
      </tp>
      <tp t="s">
        <v>#N/A N/A</v>
        <stp/>
        <stp>BDS|9697754099776476335</stp>
        <tr r="AE5" s="9"/>
      </tp>
      <tp t="s">
        <v>#N/A N/A</v>
        <stp/>
        <stp>BDS|7461350294648864700</stp>
        <tr r="HC5" s="11"/>
      </tp>
      <tp t="s">
        <v>#N/A N/A</v>
        <stp/>
        <stp>BDS|5611088817834072240</stp>
        <tr r="HC5" s="35"/>
      </tp>
      <tp t="s">
        <v>#N/A N/A</v>
        <stp/>
        <stp>BDS|5168124978516939708</stp>
        <tr r="NK5" s="20"/>
      </tp>
      <tp t="s">
        <v>#N/A N/A</v>
        <stp/>
        <stp>BDS|8462453075149149073</stp>
        <tr r="RM5" s="44"/>
      </tp>
      <tp t="s">
        <v>#N/A N/A</v>
        <stp/>
        <stp>BDS|6813509609806492753</stp>
        <tr r="NK5" s="24"/>
        <tr r="LC5" s="35"/>
      </tp>
      <tp t="s">
        <v>#N/A N/A</v>
        <stp/>
        <stp>BDS|7793022304706115305</stp>
        <tr r="FI5" s="21"/>
        <tr r="PS5" s="42"/>
      </tp>
      <tp t="s">
        <v>#N/A N/A</v>
        <stp/>
        <stp>BDS|7516658105903367068</stp>
        <tr r="EE5" s="34"/>
      </tp>
      <tp t="s">
        <v>#N/A N/A</v>
        <stp/>
        <stp>BDS|6221676947191301717</stp>
        <tr r="IU5" s="46"/>
      </tp>
      <tp t="s">
        <v>#N/A N/A</v>
        <stp/>
        <stp>BDS|5324665209012416387</stp>
        <tr r="RM5" s="45"/>
      </tp>
      <tp t="s">
        <v>#N/A N/A</v>
        <stp/>
        <stp>BDS|1044916345437501913</stp>
        <tr r="DQ5" s="12"/>
      </tp>
      <tp t="s">
        <v>#N/A N/A</v>
        <stp/>
        <stp>BDS|8453952793743182920</stp>
        <tr r="LS5" s="44"/>
      </tp>
      <tp t="s">
        <v>#N/A N/A</v>
        <stp/>
        <stp>BDS|4371313407282098741</stp>
        <tr r="O5" s="38"/>
        <tr r="VM5" s="43"/>
        <tr r="HQ5" s="24"/>
      </tp>
      <tp t="s">
        <v>#N/A N/A</v>
        <stp/>
        <stp>BDS|1819199573676272316</stp>
        <tr r="PE5" s="4"/>
      </tp>
      <tp t="s">
        <v>#N/A N/A</v>
        <stp/>
        <stp>BDS|1094152232641553038</stp>
        <tr r="LC5" s="32"/>
      </tp>
      <tp t="s">
        <v>#N/A N/A</v>
        <stp/>
        <stp>BDS|9841813309580242330</stp>
        <tr r="QI5" s="9"/>
      </tp>
      <tp t="s">
        <v>#N/A N/A</v>
        <stp/>
        <stp>BDS|9647575963451743939</stp>
        <tr r="JY5" s="45"/>
      </tp>
      <tp t="s">
        <v>#N/A N/A</v>
        <stp/>
        <stp>BDS|3705930446709694523</stp>
        <tr r="QI5" s="42"/>
      </tp>
      <tp t="s">
        <v>#N/A N/A</v>
        <stp/>
        <stp>BDS|3662632719454277284</stp>
        <tr r="MW5" s="26"/>
      </tp>
      <tp t="s">
        <v>#N/A N/A</v>
        <stp/>
        <stp>BDS|1844491772183224377</stp>
        <tr r="UY5" s="50"/>
        <tr r="DQ5" s="11"/>
      </tp>
      <tp t="s">
        <v>#N/A N/A</v>
        <stp/>
        <stp>BDS|2588013952666658370</stp>
        <tr r="IU5" s="21"/>
        <tr r="NK5" s="33"/>
        <tr r="QW5" s="33"/>
      </tp>
      <tp t="s">
        <v>#N/A N/A</v>
        <stp/>
        <stp>BDS|9803973105056403490</stp>
        <tr r="QW5" s="11"/>
      </tp>
      <tp t="s">
        <v>#N/A N/A</v>
        <stp/>
        <stp>BDS|1328554992196060932</stp>
        <tr r="OA5" s="22"/>
        <tr r="FY5" s="38"/>
      </tp>
      <tp t="s">
        <v>#N/A N/A</v>
        <stp/>
        <stp>BDS|1962365553256208392</stp>
        <tr r="HC5" s="2"/>
      </tp>
      <tp t="s">
        <v>#N/A N/A</v>
        <stp/>
        <stp>BDS|7165086477837987504</stp>
        <tr r="TU5" s="21"/>
      </tp>
      <tp t="s">
        <v>#N/A N/A</v>
        <stp/>
        <stp>BDS|9498484391531079791</stp>
        <tr r="LS5" s="45"/>
      </tp>
      <tp t="s">
        <v>#N/A N/A</v>
        <stp/>
        <stp>BDS|1696854251566310854</stp>
        <tr r="UI5" s="30"/>
      </tp>
      <tp t="s">
        <v>#N/A N/A</v>
        <stp/>
        <stp>BDS|2740300378743962727</stp>
        <tr r="PE5" s="7"/>
        <tr r="BI5" s="28"/>
      </tp>
      <tp t="s">
        <v>#N/A N/A</v>
        <stp/>
        <stp>BDS|5464623402758317933</stp>
        <tr r="MG5" s="17"/>
      </tp>
      <tp t="s">
        <v>#N/A N/A</v>
        <stp/>
        <stp>BDS|3612378163913428722</stp>
        <tr r="PS5" s="46"/>
      </tp>
      <tp t="s">
        <v>#N/A N/A</v>
        <stp/>
        <stp>BDS|6550383579092239224</stp>
        <tr r="MW5" s="19"/>
        <tr r="OA5" s="20"/>
        <tr r="KO5" s="45"/>
      </tp>
      <tp t="s">
        <v>#N/A N/A</v>
        <stp/>
        <stp>BDS|7471631211992052030</stp>
        <tr r="SQ5" s="29"/>
      </tp>
      <tp t="s">
        <v>#N/A N/A</v>
        <stp/>
        <stp>BDS|4851738626527861402</stp>
        <tr r="PE5" s="30"/>
        <tr r="KO5" s="38"/>
      </tp>
      <tp t="s">
        <v>#N/A N/A</v>
        <stp/>
        <stp>BDS|4318185058302536038</stp>
        <tr r="JY5" s="22"/>
        <tr r="GM5" s="34"/>
        <tr r="EE5" s="43"/>
      </tp>
      <tp t="s">
        <v>#N/A N/A</v>
        <stp/>
        <stp>BDS|6353999560992611995</stp>
        <tr r="A5" s="29"/>
      </tp>
      <tp t="s">
        <v>#N/A N/A</v>
        <stp/>
        <stp>BDS|8469603024116289879</stp>
        <tr r="OO5" s="17"/>
      </tp>
      <tp t="s">
        <v>#N/A N/A</v>
        <stp/>
        <stp>BDS|1139435971794947507</stp>
        <tr r="CM5" s="45"/>
      </tp>
      <tp t="s">
        <v>#N/A N/A</v>
        <stp/>
        <stp>BDS|2134381394922645919</stp>
        <tr r="FY5" s="32"/>
      </tp>
      <tp t="s">
        <v>#N/A N/A</v>
        <stp/>
        <stp>BDS|7347034335000696783</stp>
        <tr r="QW5" s="2"/>
      </tp>
      <tp t="s">
        <v>#N/A N/A</v>
        <stp/>
        <stp>BDS|2630106101835584599</stp>
        <tr r="EE5" s="15"/>
      </tp>
      <tp t="s">
        <v>#N/A N/A</v>
        <stp/>
        <stp>BDS|9808433980155443346</stp>
        <tr r="IU5" s="15"/>
        <tr r="MG5" s="19"/>
        <tr r="MG5" s="36"/>
      </tp>
      <tp t="s">
        <v>#N/A N/A</v>
        <stp/>
        <stp>BDS|7951115949481826027</stp>
        <tr r="HC5" s="18"/>
      </tp>
      <tp t="s">
        <v>#N/A N/A</v>
        <stp/>
        <stp>BDS|6979448994470292805</stp>
        <tr r="JK5" s="22"/>
        <tr r="FY5" s="34"/>
        <tr r="DQ5" s="43"/>
      </tp>
      <tp t="s">
        <v>#N/A N/A</v>
        <stp/>
        <stp>BDS|9716981367031380437</stp>
        <tr r="GM5" s="9"/>
      </tp>
      <tp t="s">
        <v>#N/A N/A</v>
        <stp/>
        <stp>BDS|3637056667143804548</stp>
        <tr r="SA5" s="13"/>
      </tp>
      <tp t="s">
        <v>#N/A N/A</v>
        <stp/>
        <stp>BDS|2051271955261333799</stp>
        <tr r="MG5" s="29"/>
      </tp>
      <tp t="s">
        <v>#N/A N/A</v>
        <stp/>
        <stp>BDS|2897212446390334748</stp>
        <tr r="DQ5" s="33"/>
      </tp>
      <tp t="s">
        <v>#N/A N/A</v>
        <stp/>
        <stp>BDS|4340905241868849237</stp>
        <tr r="DQ5" s="29"/>
      </tp>
      <tp t="s">
        <v>#N/A N/A</v>
        <stp/>
        <stp>BDS|7743114119650459427</stp>
        <tr r="AS5" s="35"/>
      </tp>
      <tp t="s">
        <v>#N/A N/A</v>
        <stp/>
        <stp>BDS|3547425738562607565</stp>
        <tr r="MW5" s="43"/>
      </tp>
      <tp t="s">
        <v>#N/A N/A</v>
        <stp/>
        <stp>BDS|7836758510880609245</stp>
        <tr r="TU5" s="6"/>
      </tp>
      <tp t="s">
        <v>#N/A N/A</v>
        <stp/>
        <stp>BDS|4644590914104754736</stp>
        <tr r="SQ5" s="2"/>
      </tp>
      <tp t="s">
        <v>#N/A N/A</v>
        <stp/>
        <stp>BDS|4192427089949685201</stp>
        <tr r="O5" s="2"/>
      </tp>
      <tp t="s">
        <v>#N/A N/A</v>
        <stp/>
        <stp>BDS|6529118714631962457</stp>
        <tr r="JY5" s="34"/>
        <tr r="PS5" s="20"/>
      </tp>
      <tp t="s">
        <v>#N/A N/A</v>
        <stp/>
        <stp>BDS|2156787968915945542</stp>
        <tr r="CM5" s="29"/>
      </tp>
      <tp t="s">
        <v>#N/A N/A</v>
        <stp/>
        <stp>BDS|1272066638233298229</stp>
        <tr r="FI5" s="25"/>
        <tr r="TE5" s="23"/>
      </tp>
      <tp t="s">
        <v>#N/A N/A</v>
        <stp/>
        <stp>BDS|2312203309446644502</stp>
        <tr r="EU5" s="12"/>
      </tp>
      <tp t="s">
        <v>#N/A N/A</v>
        <stp/>
        <stp>BDS|2095586262555259748</stp>
        <tr r="OA5" s="38"/>
      </tp>
      <tp t="s">
        <v>#N/A N/A</v>
        <stp/>
        <stp>BDS|2599141534071014283</stp>
        <tr r="SA5" s="14"/>
      </tp>
      <tp t="s">
        <v>#N/A N/A</v>
        <stp/>
        <stp>BDS|3385995852808463415</stp>
        <tr r="QI5" s="13"/>
      </tp>
      <tp t="s">
        <v>#N/A N/A</v>
        <stp/>
        <stp>BDS|5428784275180242695</stp>
        <tr r="QI5" s="4"/>
        <tr r="TU5" s="34"/>
      </tp>
      <tp t="s">
        <v>#N/A N/A</v>
        <stp/>
        <stp>BDS|3385035154262196771</stp>
        <tr r="BW5" s="43"/>
      </tp>
      <tp t="s">
        <v>#N/A N/A</v>
        <stp/>
        <stp>BDS|8237668722497367860</stp>
        <tr r="O5" s="33"/>
      </tp>
      <tp t="s">
        <v>#N/A N/A</v>
        <stp/>
        <stp>BDS|2192449410712347650</stp>
        <tr r="NK5" s="5"/>
      </tp>
      <tp t="s">
        <v>#N/A N/A</v>
        <stp/>
        <stp>BDS|4534076579558846807</stp>
        <tr r="HQ5" s="40"/>
      </tp>
      <tp t="s">
        <v>#N/A N/A</v>
        <stp/>
        <stp>BDS|9018717452530562851</stp>
        <tr r="NK5" s="46"/>
      </tp>
      <tp t="s">
        <v>#N/A N/A</v>
        <stp/>
        <stp>BDS|1535704530903376562</stp>
        <tr r="EE5" s="16"/>
      </tp>
      <tp t="s">
        <v>#N/A N/A</v>
        <stp/>
        <stp>BDS|3449254106142409038</stp>
        <tr r="JK5" s="4"/>
        <tr r="PE5" s="22"/>
        <tr r="A5" s="42"/>
      </tp>
      <tp t="s">
        <v>#N/A N/A</v>
        <stp/>
        <stp>BDS|1053935861759598473</stp>
        <tr r="AE5" s="20"/>
      </tp>
      <tp t="s">
        <v>#N/A N/A</v>
        <stp/>
        <stp>BDS|7078987799571016516</stp>
        <tr r="AE5" s="12"/>
        <tr r="BI5" s="25"/>
        <tr r="QI5" s="31"/>
        <tr r="OA5" s="41"/>
      </tp>
      <tp t="s">
        <v>#N/A N/A</v>
        <stp/>
        <stp>BDS|9655834950771253668</stp>
        <tr r="JY5" s="15"/>
        <tr r="BW5" s="40"/>
        <tr r="OO5" s="48"/>
      </tp>
      <tp t="s">
        <v>#N/A N/A</v>
        <stp/>
        <stp>BDS|6831402660005801219</stp>
        <tr r="QW5" s="12"/>
        <tr r="EE5" s="18"/>
        <tr r="OO5" s="23"/>
      </tp>
      <tp t="s">
        <v>#N/A N/A</v>
        <stp/>
        <stp>BDS|6212553784440009824</stp>
        <tr r="RM5" s="39"/>
      </tp>
      <tp t="s">
        <v>#N/A N/A</v>
        <stp/>
        <stp>BDS|6338541906769409941</stp>
        <tr r="PS5" s="25"/>
      </tp>
      <tp t="s">
        <v>#N/A N/A</v>
        <stp/>
        <stp>BDS|4501402881929190246</stp>
        <tr r="JY5" s="47"/>
      </tp>
      <tp t="s">
        <v>#N/A N/A</v>
        <stp/>
        <stp>BDS|1298552547546647500</stp>
        <tr r="EU5" s="42"/>
      </tp>
      <tp t="s">
        <v>#N/A N/A</v>
        <stp/>
        <stp>BDS|2413550051996550737</stp>
        <tr r="FY5" s="44"/>
      </tp>
      <tp t="s">
        <v>#N/A N/A</v>
        <stp/>
        <stp>BDS|9594720695291054541</stp>
        <tr r="FI5" s="26"/>
      </tp>
      <tp t="s">
        <v>#N/A N/A</v>
        <stp/>
        <stp>BDS|5481467520518166850</stp>
        <tr r="TU5" s="11"/>
      </tp>
      <tp t="s">
        <v>#N/A N/A</v>
        <stp/>
        <stp>BDS|3605611631106130301</stp>
        <tr r="AS5" s="4"/>
      </tp>
      <tp t="s">
        <v>#N/A N/A</v>
        <stp/>
        <stp>BDS|4439530229017155781</stp>
        <tr r="OA5" s="25"/>
      </tp>
      <tp t="s">
        <v>#N/A N/A</v>
        <stp/>
        <stp>BDS|9531111190161013300</stp>
        <tr r="IU5" s="7"/>
      </tp>
      <tp t="s">
        <v>#N/A N/A</v>
        <stp/>
        <stp>BDS|2316573464591183359</stp>
        <tr r="FY5" s="12"/>
      </tp>
      <tp t="s">
        <v>#N/A N/A</v>
        <stp/>
        <stp>BDS|6778773249855859346</stp>
        <tr r="CM5" s="49"/>
      </tp>
      <tp t="s">
        <v>#N/A N/A</v>
        <stp/>
        <stp>BDS|3984540195518855455</stp>
        <tr r="HQ5" s="50"/>
      </tp>
      <tp t="s">
        <v>#N/A N/A</v>
        <stp/>
        <stp>BDS|82527192356092087</stp>
        <tr r="DA5" s="15"/>
      </tp>
      <tp t="s">
        <v>#N/A N/A</v>
        <stp/>
        <stp>BDS|42701433473008937</stp>
        <tr r="PE5" s="49"/>
      </tp>
      <tp t="s">
        <v>#N/A N/A</v>
        <stp/>
        <stp>BDS|27739743057428816</stp>
        <tr r="DQ5" s="8"/>
      </tp>
      <tp t="s">
        <v>#N/A N/A</v>
        <stp/>
        <stp>BDS|43845533871622688</stp>
        <tr r="HC5" s="43"/>
        <tr r="EU5" s="6"/>
        <tr r="QI5" s="6"/>
      </tp>
      <tp t="s">
        <v>#N/A N/A</v>
        <stp/>
        <stp>BDS|74956371240069340</stp>
        <tr r="DA5" s="27"/>
      </tp>
      <tp t="s">
        <v>#N/A N/A</v>
        <stp/>
        <stp>BDS|88769985046603487</stp>
        <tr r="MG5" s="37"/>
      </tp>
      <tp t="s">
        <v>#N/A N/A</v>
        <stp/>
        <stp>BDS|98534355716303657</stp>
        <tr r="EU5" s="10"/>
        <tr r="SQ5" s="37"/>
      </tp>
      <tp t="s">
        <v>#N/A N/A</v>
        <stp/>
        <stp>BDS|49366884454835998</stp>
        <tr r="OO5" s="11"/>
      </tp>
      <tp t="s">
        <v>#N/A N/A</v>
        <stp/>
        <stp>BDS|10892893251194773</stp>
        <tr r="NK5" s="26"/>
      </tp>
      <tp t="s">
        <v>#N/A N/A</v>
        <stp/>
        <stp>BDS|61140481724476972</stp>
        <tr r="PE5" s="8"/>
      </tp>
      <tp t="s">
        <v>#N/A N/A</v>
        <stp/>
        <stp>BDS|25485854102006646</stp>
        <tr r="IU5" s="24"/>
      </tp>
      <tp t="s">
        <v>#N/A N/A</v>
        <stp/>
        <stp>BDS|43407757384655084</stp>
        <tr r="UI5" s="37"/>
      </tp>
      <tp t="s">
        <v>#N/A N/A</v>
        <stp/>
        <stp>BDS|965948912389025422</stp>
        <tr r="EU5" s="20"/>
      </tp>
      <tp t="s">
        <v>#N/A N/A</v>
        <stp/>
        <stp>BDS|139124031010770784</stp>
        <tr r="HQ5" s="17"/>
      </tp>
      <tp t="s">
        <v>#N/A N/A</v>
        <stp/>
        <stp>BDS|243475059573315773</stp>
        <tr r="FI5" s="12"/>
      </tp>
      <tp t="s">
        <v>#N/A N/A</v>
        <stp/>
        <stp>BDS|607434694679619136</stp>
        <tr r="HC5" s="47"/>
      </tp>
      <tp t="s">
        <v>#N/A N/A</v>
        <stp/>
        <stp>BDS|673232771159350920</stp>
        <tr r="FI5" s="27"/>
      </tp>
      <tp t="s">
        <v>#N/A N/A</v>
        <stp/>
        <stp>BDS|464154744278374807</stp>
        <tr r="UI5" s="16"/>
      </tp>
      <tp t="s">
        <v>#N/A N/A</v>
        <stp/>
        <stp>BDS|599244809010085672</stp>
        <tr r="FY5" s="24"/>
      </tp>
      <tp t="s">
        <v>#N/A N/A</v>
        <stp/>
        <stp>BDS|213567709208090951</stp>
        <tr r="QI5" s="43"/>
      </tp>
      <tp t="s">
        <v>#N/A N/A</v>
        <stp/>
        <stp>BDS|952297459495271628</stp>
        <tr r="MW5" s="2"/>
      </tp>
      <tp t="s">
        <v>#N/A N/A</v>
        <stp/>
        <stp>BDS|784364878648008839</stp>
        <tr r="EE5" s="36"/>
      </tp>
      <tp t="s">
        <v>#N/A N/A</v>
        <stp/>
        <stp>BDS|682620894923914834</stp>
        <tr r="O5" s="44"/>
      </tp>
      <tp t="s">
        <v>#N/A N/A</v>
        <stp/>
        <stp>BDS|676401558345501003</stp>
        <tr r="EE5" s="44"/>
      </tp>
      <tp t="s">
        <v>#N/A N/A</v>
        <stp/>
        <stp>BDS|168888493584281243</stp>
        <tr r="LC5" s="50"/>
      </tp>
      <tp t="s">
        <v>#N/A N/A</v>
        <stp/>
        <stp>BDS|284032350235196796</stp>
        <tr r="PE5" s="39"/>
        <tr r="TU5" s="24"/>
      </tp>
      <tp t="s">
        <v>#N/A N/A</v>
        <stp/>
        <stp>BDS|500018509455785210</stp>
        <tr r="GM5" s="49"/>
      </tp>
      <tp t="s">
        <v>#N/A N/A</v>
        <stp/>
        <stp>BDS|965799194568286136</stp>
        <tr r="UY5" s="40"/>
      </tp>
      <tp t="s">
        <v>#N/A N/A</v>
        <stp/>
        <stp>BDS|599580150916032186</stp>
        <tr r="BW5" s="44"/>
      </tp>
      <tp t="s">
        <v>#N/A N/A</v>
        <stp/>
        <stp>BDS|819004148991119220</stp>
        <tr r="A5" s="40"/>
      </tp>
      <tp t="s">
        <v>#N/A N/A</v>
        <stp/>
        <stp>BDS|720188534044095053</stp>
        <tr r="BI5" s="35"/>
      </tp>
      <tp t="s">
        <v>#N/A N/A</v>
        <stp/>
        <stp>BDS|377096793418318750</stp>
        <tr r="TE5" s="8"/>
      </tp>
      <tp t="s">
        <v>#N/A N/A</v>
        <stp/>
        <stp>BDS|679427460825576147</stp>
        <tr r="IG5" s="36"/>
      </tp>
      <tp t="s">
        <v>#N/A N/A</v>
        <stp/>
        <stp>BDS|744550790232274859</stp>
        <tr r="FY5" s="2"/>
        <tr r="SQ5" s="12"/>
        <tr r="BI5" s="37"/>
      </tp>
      <tp t="s">
        <v>#N/A N/A</v>
        <stp/>
        <stp>BDS|566833913448310772</stp>
        <tr r="EE5" s="8"/>
      </tp>
      <tp t="s">
        <v>#N/A N/A</v>
        <stp/>
        <stp>BDS|497054514477380057</stp>
        <tr r="KO5" s="18"/>
      </tp>
      <tp t="s">
        <v>#N/A N/A</v>
        <stp/>
        <stp>BDS|946324988539719473</stp>
        <tr r="FY5" s="43"/>
      </tp>
      <tp t="s">
        <v>#N/A N/A</v>
        <stp/>
        <stp>BDS|505342808672793036</stp>
        <tr r="TU5" s="1"/>
      </tp>
      <tp t="s">
        <v>#N/A N/A</v>
        <stp/>
        <stp>BDS|302159948542465646</stp>
        <tr r="OA5" s="36"/>
      </tp>
      <tp t="s">
        <v>#N/A N/A</v>
        <stp/>
        <stp>BDS|860704291958987781</stp>
        <tr r="LC5" s="34"/>
      </tp>
      <tp t="s">
        <v>#N/A N/A</v>
        <stp/>
        <stp>BDS|863669171388304852</stp>
        <tr r="FY5" s="18"/>
      </tp>
      <tp t="s">
        <v>#N/A N/A</v>
        <stp/>
        <stp>BDS|642734062245453599</stp>
        <tr r="QI5" s="48"/>
      </tp>
      <tp t="s">
        <v>#N/A N/A</v>
        <stp/>
        <stp>BDS|981145255886016329</stp>
        <tr r="QW5" s="4"/>
        <tr r="UI5" s="34"/>
      </tp>
      <tp t="s">
        <v>#N/A N/A</v>
        <stp/>
        <stp>BDS|102952990272469333</stp>
        <tr r="BI5" s="3"/>
      </tp>
      <tp t="s">
        <v>#N/A N/A</v>
        <stp/>
        <stp>BDS|247365937256575626</stp>
        <tr r="IG5" s="40"/>
      </tp>
      <tp t="s">
        <v>#N/A N/A</v>
        <stp/>
        <stp>BDS|902740215016575084</stp>
        <tr r="CM5" s="38"/>
        <tr r="A5" s="46"/>
      </tp>
      <tp t="s">
        <v>#N/A N/A</v>
        <stp/>
        <stp>BDS|947351906038201818</stp>
        <tr r="QW5" s="38"/>
      </tp>
      <tp t="s">
        <v>#N/A N/A</v>
        <stp/>
        <stp>BDS|969156820584035475</stp>
        <tr r="FI5" s="47"/>
        <tr r="SA5" s="48"/>
      </tp>
      <tp t="s">
        <v>#N/A N/A</v>
        <stp/>
        <stp>BDS|226538522612040667</stp>
        <tr r="BI5" s="17"/>
      </tp>
      <tp t="s">
        <v>#N/A N/A</v>
        <stp/>
        <stp>BDS|825049281069965245</stp>
        <tr r="MG5" s="32"/>
        <tr r="TE5" s="36"/>
        <tr r="LC5" s="44"/>
      </tp>
      <tp t="s">
        <v>#N/A N/A</v>
        <stp/>
        <stp>BDS|153439871629224909</stp>
        <tr r="JK5" s="3"/>
      </tp>
      <tp t="s">
        <v>#N/A N/A</v>
        <stp/>
        <stp>BDS|761917053896138963</stp>
        <tr r="GM5" s="14"/>
      </tp>
      <tp t="s">
        <v>#N/A N/A</v>
        <stp/>
        <stp>BDS|563709089889838566</stp>
        <tr r="SA5" s="42"/>
        <tr r="TE5" s="47"/>
      </tp>
      <tp t="s">
        <v>#N/A N/A</v>
        <stp/>
        <stp>BDS|798475722264814026</stp>
        <tr r="OA5" s="27"/>
        <tr r="EU5" s="34"/>
      </tp>
      <tp t="s">
        <v>#N/A N/A</v>
        <stp/>
        <stp>BDS|385992862279614466</stp>
        <tr r="FI5" s="23"/>
      </tp>
      <tp t="s">
        <v>#N/A N/A</v>
        <stp/>
        <stp>BDS|270220949538381359</stp>
        <tr r="SA5" s="15"/>
        <tr r="VM5" s="28"/>
        <tr r="SA5" s="30"/>
        <tr r="GM5" s="31"/>
        <tr r="QW5" s="35"/>
        <tr r="HQ5" s="39"/>
      </tp>
      <tp t="s">
        <v>#N/A N/A</v>
        <stp/>
        <stp>BDS|615618494806429415</stp>
        <tr r="DQ5" s="10"/>
        <tr r="HC5" s="14"/>
        <tr r="TU5" s="27"/>
        <tr r="TU5" s="38"/>
        <tr r="SQ5" s="41"/>
      </tp>
      <tp t="s">
        <v>#N/A N/A</v>
        <stp/>
        <stp>BDS|112599436029457298</stp>
        <tr r="QW5" s="18"/>
      </tp>
      <tp t="s">
        <v>#N/A N/A</v>
        <stp/>
        <stp>BDS|612258695142968519</stp>
        <tr r="LS5" s="42"/>
      </tp>
      <tp t="s">
        <v>#N/A N/A</v>
        <stp/>
        <stp>BDS|350798868088921590</stp>
        <tr r="HC5" s="21"/>
      </tp>
      <tp t="s">
        <v>#N/A N/A</v>
        <stp/>
        <stp>BDS|973595389558237995</stp>
        <tr r="BW5" s="47"/>
      </tp>
      <tp t="s">
        <v>#N/A N/A</v>
        <stp/>
        <stp>BDS|169229010374348896</stp>
        <tr r="QI5" s="8"/>
      </tp>
      <tp t="s">
        <v>#N/A N/A</v>
        <stp/>
        <stp>BDS|463585561265647917</stp>
        <tr r="BW5" s="21"/>
      </tp>
      <tp t="s">
        <v>#N/A N/A</v>
        <stp/>
        <stp>BDS|982736522823237917</stp>
        <tr r="AS5" s="31"/>
      </tp>
      <tp t="s">
        <v>#N/A N/A</v>
        <stp/>
        <stp>BDS|617040701799727615</stp>
        <tr r="KO5" s="13"/>
      </tp>
      <tp t="s">
        <v>#N/A N/A</v>
        <stp/>
        <stp>BDS|622087636065159998</stp>
        <tr r="BW5" s="8"/>
      </tp>
      <tp t="s">
        <v>#N/A N/A</v>
        <stp/>
        <stp>BDS|688149799973858411</stp>
        <tr r="JY5" s="1"/>
        <tr r="OO5" s="14"/>
        <tr r="BW5" s="27"/>
      </tp>
      <tp t="s">
        <v>#N/A N/A</v>
        <stp/>
        <stp>BDS|833789197209730833</stp>
        <tr r="DA5" s="2"/>
      </tp>
      <tp t="s">
        <v>#N/A N/A</v>
        <stp/>
        <stp>BDS|868971427605343067</stp>
        <tr r="TU5" s="39"/>
      </tp>
      <tp t="s">
        <v>#N/A N/A</v>
        <stp/>
        <stp>BDS|833055016927341860</stp>
        <tr r="VM5" s="5"/>
      </tp>
      <tp t="s">
        <v>#N/A N/A</v>
        <stp/>
        <stp>BDS|331606482852282299</stp>
        <tr r="AE5" s="37"/>
      </tp>
      <tp t="s">
        <v>#N/A N/A</v>
        <stp/>
        <stp>BDS|909494583364449656</stp>
        <tr r="IG5" s="12"/>
      </tp>
      <tp t="s">
        <v>#N/A N/A</v>
        <stp/>
        <stp>BDS|930859926027688451</stp>
        <tr r="VM5" s="17"/>
      </tp>
      <tp t="s">
        <v>#N/A N/A</v>
        <stp/>
        <stp>BDS|566349681282290078</stp>
        <tr r="OA5" s="2"/>
      </tp>
      <tp t="s">
        <v>#N/A N/A</v>
        <stp/>
        <stp>BDS|376332621970492809</stp>
        <tr r="LS5" s="3"/>
      </tp>
      <tp t="s">
        <v>#N/A N/A</v>
        <stp/>
        <stp>BDS|387751462668935081</stp>
        <tr r="JY5" s="48"/>
      </tp>
      <tp t="s">
        <v>#N/A N/A</v>
        <stp/>
        <stp>BDS|507291696593874146</stp>
        <tr r="A5" s="22"/>
        <tr r="JK5" s="38"/>
      </tp>
      <tp t="s">
        <v>#N/A N/A</v>
        <stp/>
        <stp>BDS|554239098825894747</stp>
        <tr r="SQ5" s="18"/>
      </tp>
      <tp t="s">
        <v>#N/A N/A</v>
        <stp/>
        <stp>BDS|510232605853711901</stp>
        <tr r="RM5" s="12"/>
      </tp>
      <tp t="s">
        <v>#N/A N/A</v>
        <stp/>
        <stp>BDS|681033252238635512</stp>
        <tr r="DQ5" s="13"/>
      </tp>
      <tp t="s">
        <v>#N/A N/A</v>
        <stp/>
        <stp>BDS|163464051030059962</stp>
        <tr r="JK5" s="42"/>
      </tp>
      <tp t="s">
        <v>#N/A N/A</v>
        <stp/>
        <stp>BDS|784867106661971321</stp>
        <tr r="FI5" s="14"/>
      </tp>
      <tp t="s">
        <v>#N/A N/A</v>
        <stp/>
        <stp>BDS|249278368178521657</stp>
        <tr r="PE5" s="32"/>
      </tp>
      <tp t="s">
        <v>#N/A N/A</v>
        <stp/>
        <stp>BDS|562201363676620890</stp>
        <tr r="TU5" s="28"/>
      </tp>
      <tp t="s">
        <v>#N/A N/A</v>
        <stp/>
        <stp>BDS|464183795630195225</stp>
        <tr r="BI5" s="15"/>
      </tp>
      <tp t="s">
        <v>#N/A N/A</v>
        <stp/>
        <stp>BDS|309170278908553490</stp>
        <tr r="AS5" s="3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B9"/>
  <sheetViews>
    <sheetView tabSelected="1" workbookViewId="0">
      <selection activeCell="J9" sqref="J9"/>
    </sheetView>
  </sheetViews>
  <sheetFormatPr defaultRowHeight="15" x14ac:dyDescent="0.25"/>
  <cols>
    <col min="1" max="600" width="14" customWidth="1"/>
  </cols>
  <sheetData>
    <row r="1" spans="1:60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20</v>
      </c>
      <c r="AE2" s="3" t="s">
        <v>21</v>
      </c>
      <c r="BI2" s="3" t="s">
        <v>22</v>
      </c>
      <c r="CM2" s="3" t="s">
        <v>23</v>
      </c>
      <c r="DQ2" s="3" t="s">
        <v>24</v>
      </c>
      <c r="EU2" s="3" t="s">
        <v>25</v>
      </c>
      <c r="FY2" s="3" t="s">
        <v>26</v>
      </c>
      <c r="HC2" s="3" t="s">
        <v>27</v>
      </c>
      <c r="IG2" s="3" t="s">
        <v>28</v>
      </c>
      <c r="JK2" s="3" t="s">
        <v>29</v>
      </c>
      <c r="KO2" s="3" t="s">
        <v>30</v>
      </c>
      <c r="LS2" s="3" t="s">
        <v>31</v>
      </c>
      <c r="MW2" s="3" t="s">
        <v>32</v>
      </c>
      <c r="OA2" s="3" t="s">
        <v>33</v>
      </c>
      <c r="PE2" s="3" t="s">
        <v>34</v>
      </c>
      <c r="QI2" s="3" t="s">
        <v>35</v>
      </c>
      <c r="RM2" s="3" t="s">
        <v>36</v>
      </c>
      <c r="SQ2" s="3" t="s">
        <v>37</v>
      </c>
      <c r="TU2" s="3" t="s">
        <v>38</v>
      </c>
      <c r="UY2" s="3" t="s">
        <v>39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_xll.BDS("CEIN US Equity","SUPPLY_CHAIN_SUPPLIERS_ALL_DATA")</f>
        <v>#N/A N/A</v>
      </c>
      <c r="O5" t="str">
        <f>_xll.BDS("CEIN US Equity","SUPPLY_CHAIN_CUSTOMERS_ALL_DATA")</f>
        <v>#N/A N/A</v>
      </c>
      <c r="AE5" t="str">
        <f>_xll.BDS("NPBC US Equity","SUPPLY_CHAIN_SUPPLIERS_ALL_DATA")</f>
        <v>#N/A N/A</v>
      </c>
      <c r="AS5" t="str">
        <f>_xll.BDS("NPBC US Equity","SUPPLY_CHAIN_CUSTOMERS_ALL_DATA")</f>
        <v>#N/A N/A</v>
      </c>
      <c r="BI5" t="str">
        <f>_xll.BDS("nan Equity","SUPPLY_CHAIN_SUPPLIERS_ALL_DATA")</f>
        <v>#N/A N/A</v>
      </c>
      <c r="BW5" t="str">
        <f>_xll.BDS("nan Equity","SUPPLY_CHAIN_CUSTOMERS_ALL_DATA")</f>
        <v>#N/A N/A</v>
      </c>
      <c r="CM5" t="str">
        <f>_xll.BDS("STL US Equity","SUPPLY_CHAIN_SUPPLIERS_ALL_DATA")</f>
        <v>#N/A N/A</v>
      </c>
      <c r="DA5" t="str">
        <f>_xll.BDS("STL US Equity","SUPPLY_CHAIN_CUSTOMERS_ALL_DATA")</f>
        <v>#N/A N/A</v>
      </c>
      <c r="DQ5" t="str">
        <f>_xll.BDS("PLAB US Equity","SUPPLY_CHAIN_SUPPLIERS_ALL_DATA","cols=12;rows=5")</f>
        <v>KLAC US Equity</v>
      </c>
      <c r="DR5" t="s">
        <v>1906</v>
      </c>
      <c r="DS5">
        <v>9.9895999999999999E-2</v>
      </c>
      <c r="DT5">
        <v>4.8760409999999998</v>
      </c>
      <c r="DU5" t="s">
        <v>1768</v>
      </c>
      <c r="DV5">
        <v>2026</v>
      </c>
      <c r="DW5" t="s">
        <v>2789</v>
      </c>
      <c r="DX5" s="6">
        <v>46063</v>
      </c>
      <c r="DY5">
        <v>5</v>
      </c>
      <c r="DZ5">
        <v>3293717</v>
      </c>
      <c r="EA5">
        <v>101732</v>
      </c>
      <c r="EB5" t="s">
        <v>2790</v>
      </c>
      <c r="EE5" t="str">
        <f>_xll.BDS("PLAB US Equity","SUPPLY_CHAIN_CUSTOMERS_ALL_DATA","cols=12;rows=5")</f>
        <v>2303 TT Equity</v>
      </c>
      <c r="EF5">
        <v>18.013725000000001</v>
      </c>
      <c r="EG5" t="s">
        <v>1777</v>
      </c>
      <c r="EH5">
        <v>2.8030590000000002</v>
      </c>
      <c r="EI5" t="s">
        <v>1785</v>
      </c>
      <c r="EJ5">
        <v>2025</v>
      </c>
      <c r="EK5" t="s">
        <v>4346</v>
      </c>
      <c r="EL5" s="6">
        <v>46052</v>
      </c>
      <c r="EM5">
        <v>5</v>
      </c>
      <c r="EN5">
        <v>38868216</v>
      </c>
      <c r="EO5">
        <v>118133</v>
      </c>
      <c r="EP5" t="s">
        <v>4347</v>
      </c>
      <c r="EU5" t="str">
        <f>_xll.BDS("2676187Q US Equity","SUPPLY_CHAIN_SUPPLIERS_ALL_DATA")</f>
        <v>#N/A N/A</v>
      </c>
      <c r="FI5" t="str">
        <f>_xll.BDS("2676187Q US Equity","SUPPLY_CHAIN_CUSTOMERS_ALL_DATA")</f>
        <v>#N/A N/A</v>
      </c>
      <c r="FY5" t="str">
        <f>_xll.BDS("KMAGQ US Equity","SUPPLY_CHAIN_SUPPLIERS_ALL_DATA")</f>
        <v>#N/A N/A</v>
      </c>
      <c r="GM5" t="str">
        <f>_xll.BDS("KMAGQ US Equity","SUPPLY_CHAIN_CUSTOMERS_ALL_DATA")</f>
        <v>#N/A N/A</v>
      </c>
      <c r="HC5" t="str">
        <f>_xll.BDS("NWBI US Equity","SUPPLY_CHAIN_SUPPLIERS_ALL_DATA","cols=12;rows=1")</f>
        <v>FISV US Equity</v>
      </c>
      <c r="HE5">
        <v>-2.4245362661989844E-14</v>
      </c>
      <c r="HF5">
        <v>-2.4245362661989844E-14</v>
      </c>
      <c r="HG5" t="s">
        <v>1894</v>
      </c>
      <c r="HH5">
        <v>2023</v>
      </c>
      <c r="HI5" t="s">
        <v>2045</v>
      </c>
      <c r="HJ5" s="6">
        <v>45245</v>
      </c>
      <c r="HK5">
        <v>1</v>
      </c>
      <c r="HL5">
        <v>-2.4245362661989844E-14</v>
      </c>
      <c r="HM5">
        <v>103882</v>
      </c>
      <c r="HN5" t="s">
        <v>2046</v>
      </c>
      <c r="HQ5" t="str">
        <f>_xll.BDS("NWBI US Equity","SUPPLY_CHAIN_CUSTOMERS_ALL_DATA")</f>
        <v>#N/A N/A</v>
      </c>
      <c r="IG5" t="str">
        <f>_xll.BDS("XCRA US Equity","SUPPLY_CHAIN_SUPPLIERS_ALL_DATA")</f>
        <v>#N/A N/A</v>
      </c>
      <c r="IU5" t="str">
        <f>_xll.BDS("XCRA US Equity","SUPPLY_CHAIN_CUSTOMERS_ALL_DATA")</f>
        <v>#N/A N/A</v>
      </c>
      <c r="JK5" t="str">
        <f>_xll.BDS("1916526D US Equity","SUPPLY_CHAIN_SUPPLIERS_ALL_DATA")</f>
        <v>#N/A N/A</v>
      </c>
      <c r="JY5" t="str">
        <f>_xll.BDS("1916526D US Equity","SUPPLY_CHAIN_CUSTOMERS_ALL_DATA")</f>
        <v>#N/A N/A</v>
      </c>
      <c r="KO5" t="str">
        <f>_xll.BDS("OCFC US Equity","SUPPLY_CHAIN_SUPPLIERS_ALL_DATA")</f>
        <v>#N/A N/A</v>
      </c>
      <c r="LC5" t="str">
        <f>_xll.BDS("OCFC US Equity","SUPPLY_CHAIN_CUSTOMERS_ALL_DATA")</f>
        <v>#N/A N/A</v>
      </c>
      <c r="LS5" t="str">
        <f>_xll.BDS("NUAN US Equity","SUPPLY_CHAIN_SUPPLIERS_ALL_DATA")</f>
        <v>#N/A N/A</v>
      </c>
      <c r="MG5" t="str">
        <f>_xll.BDS("NUAN US Equity","SUPPLY_CHAIN_CUSTOMERS_ALL_DATA")</f>
        <v>#N/A N/A</v>
      </c>
      <c r="MW5" t="str">
        <f>_xll.BDS("653707Q US Equity","SUPPLY_CHAIN_SUPPLIERS_ALL_DATA")</f>
        <v>#N/A N/A</v>
      </c>
      <c r="NK5" t="str">
        <f>_xll.BDS("653707Q US Equity","SUPPLY_CHAIN_CUSTOMERS_ALL_DATA")</f>
        <v>#N/A N/A</v>
      </c>
      <c r="OA5" t="str">
        <f>_xll.BDS("FCPR US Equity","SUPPLY_CHAIN_SUPPLIERS_ALL_DATA")</f>
        <v>#N/A N/A</v>
      </c>
      <c r="OO5" t="str">
        <f>_xll.BDS("FCPR US Equity","SUPPLY_CHAIN_CUSTOMERS_ALL_DATA")</f>
        <v>#N/A N/A</v>
      </c>
      <c r="PE5" t="str">
        <f>_xll.BDS("1894768D US Equity","SUPPLY_CHAIN_SUPPLIERS_ALL_DATA")</f>
        <v>#N/A N/A</v>
      </c>
      <c r="PS5" t="str">
        <f>_xll.BDS("1894768D US Equity","SUPPLY_CHAIN_CUSTOMERS_ALL_DATA","cols=12;rows=1")</f>
        <v>AWTC MK Equity</v>
      </c>
      <c r="PT5">
        <v>-2.4245362661989844E-14</v>
      </c>
      <c r="PV5">
        <v>-2.4245362661989844E-14</v>
      </c>
      <c r="PW5" t="s">
        <v>1789</v>
      </c>
      <c r="PX5">
        <v>2023</v>
      </c>
      <c r="PY5" t="s">
        <v>4151</v>
      </c>
      <c r="PZ5" s="6">
        <v>45224</v>
      </c>
      <c r="QA5">
        <v>1</v>
      </c>
      <c r="QB5">
        <v>-2.4245362661989844E-14</v>
      </c>
      <c r="QC5">
        <v>25746653</v>
      </c>
      <c r="QD5" t="s">
        <v>4152</v>
      </c>
      <c r="QI5" t="str">
        <f>_xll.BDS("3354388Q US Equity","SUPPLY_CHAIN_SUPPLIERS_ALL_DATA")</f>
        <v>#N/A N/A</v>
      </c>
      <c r="QW5" t="str">
        <f>_xll.BDS("3354388Q US Equity","SUPPLY_CHAIN_CUSTOMERS_ALL_DATA")</f>
        <v>#N/A N/A</v>
      </c>
      <c r="RM5" t="str">
        <f>_xll.BDS("FOR US Equity","SUPPLY_CHAIN_SUPPLIERS_ALL_DATA","cols=12;rows=1")</f>
        <v>DHI US Equity</v>
      </c>
      <c r="RN5" t="s">
        <v>1777</v>
      </c>
      <c r="RO5">
        <v>1.168E-3</v>
      </c>
      <c r="RP5">
        <v>3.0794999999999999E-2</v>
      </c>
      <c r="RQ5" t="s">
        <v>1789</v>
      </c>
      <c r="RR5">
        <v>2025</v>
      </c>
      <c r="RS5" t="s">
        <v>3649</v>
      </c>
      <c r="RT5" s="6">
        <v>45980</v>
      </c>
      <c r="RU5">
        <v>1</v>
      </c>
      <c r="RV5">
        <v>100000</v>
      </c>
      <c r="RW5">
        <v>103445</v>
      </c>
      <c r="RX5" t="s">
        <v>3650</v>
      </c>
      <c r="SA5" t="str">
        <f>_xll.BDS("FOR US Equity","SUPPLY_CHAIN_CUSTOMERS_ALL_DATA","cols=12;rows=1")</f>
        <v>DHI US Equity</v>
      </c>
      <c r="SB5">
        <v>82.838065999999998</v>
      </c>
      <c r="SC5" t="s">
        <v>1777</v>
      </c>
      <c r="SD5">
        <v>5.2919179999999999</v>
      </c>
      <c r="SE5" t="s">
        <v>1789</v>
      </c>
      <c r="SF5">
        <v>2025</v>
      </c>
      <c r="SG5" t="s">
        <v>3649</v>
      </c>
      <c r="SH5" s="6">
        <v>45980</v>
      </c>
      <c r="SI5">
        <v>1</v>
      </c>
      <c r="SJ5">
        <v>344275000</v>
      </c>
      <c r="SK5">
        <v>103445</v>
      </c>
      <c r="SL5" t="s">
        <v>3650</v>
      </c>
      <c r="SQ5" t="str">
        <f>_xll.BDS("WAXS US Equity","SUPPLY_CHAIN_SUPPLIERS_ALL_DATA")</f>
        <v>#N/A N/A</v>
      </c>
      <c r="TE5" t="str">
        <f>_xll.BDS("WAXS US Equity","SUPPLY_CHAIN_CUSTOMERS_ALL_DATA")</f>
        <v>#N/A N/A</v>
      </c>
      <c r="TU5" t="str">
        <f>_xll.BDS("BAX US Equity","SUPPLY_CHAIN_SUPPLIERS_ALL_DATA","cols=12;rows=5")</f>
        <v>BHE US Equity</v>
      </c>
      <c r="TV5" t="s">
        <v>1777</v>
      </c>
      <c r="TW5">
        <v>1.118628</v>
      </c>
      <c r="TX5">
        <v>0.40062900000000001</v>
      </c>
      <c r="TY5" t="s">
        <v>1781</v>
      </c>
      <c r="TZ5">
        <v>2025</v>
      </c>
      <c r="UA5" t="s">
        <v>3433</v>
      </c>
      <c r="UB5" s="6">
        <v>45793</v>
      </c>
      <c r="UC5">
        <v>5</v>
      </c>
      <c r="UD5">
        <v>7067089</v>
      </c>
      <c r="UE5">
        <v>102417</v>
      </c>
      <c r="UF5" t="s">
        <v>3434</v>
      </c>
      <c r="UI5" t="str">
        <f>_xll.BDS("BAX US Equity","SUPPLY_CHAIN_CUSTOMERS_ALL_DATA","cols=12;rows=5")</f>
        <v>1788 TT Equity</v>
      </c>
      <c r="UJ5">
        <v>2.648E-2</v>
      </c>
      <c r="UK5" t="s">
        <v>1777</v>
      </c>
      <c r="UL5">
        <v>3.0847989999999998</v>
      </c>
      <c r="UM5" t="s">
        <v>1789</v>
      </c>
      <c r="UN5">
        <v>2024</v>
      </c>
      <c r="UO5" t="s">
        <v>4650</v>
      </c>
      <c r="UP5" s="6">
        <v>45784</v>
      </c>
      <c r="UQ5">
        <v>5</v>
      </c>
      <c r="UR5">
        <v>720839.48</v>
      </c>
      <c r="US5">
        <v>9152670</v>
      </c>
      <c r="UT5" t="s">
        <v>4651</v>
      </c>
      <c r="UY5" t="str">
        <f>_xll.BDS("FCGI US Equity","SUPPLY_CHAIN_SUPPLIERS_ALL_DATA")</f>
        <v>#N/A N/A</v>
      </c>
      <c r="VM5" t="str">
        <f>_xll.BDS("FCGI US Equity","SUPPLY_CHAIN_CUSTOMERS_ALL_DATA")</f>
        <v>#N/A N/A</v>
      </c>
    </row>
    <row r="6" spans="1:600" x14ac:dyDescent="0.25">
      <c r="DQ6" t="s">
        <v>2791</v>
      </c>
      <c r="DR6" t="s">
        <v>1777</v>
      </c>
      <c r="DS6">
        <v>0.34424500000000002</v>
      </c>
      <c r="DT6">
        <v>0.10344399999999999</v>
      </c>
      <c r="DU6" t="s">
        <v>1781</v>
      </c>
      <c r="DV6">
        <v>2025</v>
      </c>
      <c r="DW6" t="s">
        <v>2792</v>
      </c>
      <c r="DX6" s="6">
        <v>45876</v>
      </c>
      <c r="DY6">
        <v>5</v>
      </c>
      <c r="DZ6">
        <v>137105.07</v>
      </c>
      <c r="EA6">
        <v>15726698</v>
      </c>
      <c r="EB6" t="s">
        <v>2793</v>
      </c>
      <c r="EE6" t="s">
        <v>1909</v>
      </c>
      <c r="EF6">
        <v>13.009048</v>
      </c>
      <c r="EG6" t="s">
        <v>1777</v>
      </c>
      <c r="EH6">
        <v>7.4043999999999999E-2</v>
      </c>
      <c r="EI6" t="s">
        <v>1785</v>
      </c>
      <c r="EJ6">
        <v>2025</v>
      </c>
      <c r="EK6" t="s">
        <v>4346</v>
      </c>
      <c r="EL6" s="6">
        <v>46052</v>
      </c>
      <c r="EM6">
        <v>5</v>
      </c>
      <c r="EN6">
        <v>28069624</v>
      </c>
      <c r="EO6">
        <v>117929</v>
      </c>
      <c r="EP6" t="s">
        <v>1910</v>
      </c>
      <c r="TU6" t="s">
        <v>4579</v>
      </c>
      <c r="TV6" t="s">
        <v>1777</v>
      </c>
      <c r="TW6">
        <v>1.7139150000000001</v>
      </c>
      <c r="TX6">
        <v>0.34947299999999998</v>
      </c>
      <c r="TY6" t="s">
        <v>1768</v>
      </c>
      <c r="TZ6">
        <v>2025</v>
      </c>
      <c r="UA6" t="s">
        <v>4580</v>
      </c>
      <c r="UB6" s="6">
        <v>45899</v>
      </c>
      <c r="UC6">
        <v>5</v>
      </c>
      <c r="UD6">
        <v>6356911</v>
      </c>
      <c r="UE6">
        <v>194140</v>
      </c>
      <c r="UF6" t="s">
        <v>4581</v>
      </c>
      <c r="UI6" t="s">
        <v>4652</v>
      </c>
      <c r="UJ6">
        <v>1.3072E-2</v>
      </c>
      <c r="UK6" t="s">
        <v>1777</v>
      </c>
      <c r="UL6">
        <v>1.9261200000000001</v>
      </c>
      <c r="UM6" t="s">
        <v>1894</v>
      </c>
      <c r="UN6">
        <v>2025</v>
      </c>
      <c r="UO6" t="s">
        <v>4653</v>
      </c>
      <c r="UP6" s="6">
        <v>45975</v>
      </c>
      <c r="UQ6">
        <v>5</v>
      </c>
      <c r="UR6">
        <v>359532.99</v>
      </c>
      <c r="US6">
        <v>128926</v>
      </c>
      <c r="UT6" t="s">
        <v>4654</v>
      </c>
    </row>
    <row r="7" spans="1:600" x14ac:dyDescent="0.25">
      <c r="DQ7" t="s">
        <v>2794</v>
      </c>
      <c r="DR7" t="s">
        <v>1777</v>
      </c>
      <c r="DS7">
        <v>1.1204E-2</v>
      </c>
      <c r="DT7">
        <v>3.751E-3</v>
      </c>
      <c r="DU7" t="s">
        <v>1785</v>
      </c>
      <c r="DV7">
        <v>2024</v>
      </c>
      <c r="DW7" t="s">
        <v>2795</v>
      </c>
      <c r="DX7" s="6">
        <v>45786</v>
      </c>
      <c r="DY7">
        <v>5</v>
      </c>
      <c r="DZ7">
        <v>5106.17</v>
      </c>
      <c r="EA7">
        <v>17202339</v>
      </c>
      <c r="EB7" t="s">
        <v>2796</v>
      </c>
      <c r="EE7" t="s">
        <v>4348</v>
      </c>
      <c r="EF7">
        <v>8.1697380000000006</v>
      </c>
      <c r="EG7" t="s">
        <v>1777</v>
      </c>
      <c r="EH7">
        <v>0.94823800000000003</v>
      </c>
      <c r="EI7" t="s">
        <v>1785</v>
      </c>
      <c r="EJ7">
        <v>2025</v>
      </c>
      <c r="EK7" t="s">
        <v>4346</v>
      </c>
      <c r="EL7" s="6">
        <v>46052</v>
      </c>
      <c r="EM7">
        <v>5</v>
      </c>
      <c r="EN7">
        <v>17627844</v>
      </c>
      <c r="EO7">
        <v>7039692</v>
      </c>
      <c r="EP7" t="s">
        <v>4349</v>
      </c>
      <c r="TU7" t="s">
        <v>4582</v>
      </c>
      <c r="TV7" t="s">
        <v>1777</v>
      </c>
      <c r="TW7">
        <v>0.10432</v>
      </c>
      <c r="TX7">
        <v>0.237146</v>
      </c>
      <c r="TY7" t="s">
        <v>1768</v>
      </c>
      <c r="TZ7">
        <v>2026</v>
      </c>
      <c r="UA7" t="s">
        <v>4583</v>
      </c>
      <c r="UB7" s="6">
        <v>46071</v>
      </c>
      <c r="UC7">
        <v>5</v>
      </c>
      <c r="UD7">
        <v>5684397</v>
      </c>
      <c r="UE7">
        <v>61417091</v>
      </c>
      <c r="UF7" t="s">
        <v>4584</v>
      </c>
      <c r="UI7" t="s">
        <v>4588</v>
      </c>
      <c r="UJ7">
        <v>-2.4245362661989844E-14</v>
      </c>
      <c r="UL7">
        <v>-2.4245362661989844E-14</v>
      </c>
      <c r="UM7" t="s">
        <v>1789</v>
      </c>
      <c r="UN7">
        <v>2022</v>
      </c>
      <c r="UO7" t="s">
        <v>4655</v>
      </c>
      <c r="UP7" s="6">
        <v>45005</v>
      </c>
      <c r="UQ7">
        <v>5</v>
      </c>
      <c r="UR7">
        <v>-2.4245362661989844E-14</v>
      </c>
      <c r="US7">
        <v>18841705</v>
      </c>
      <c r="UT7" t="s">
        <v>4590</v>
      </c>
    </row>
    <row r="8" spans="1:600" x14ac:dyDescent="0.25">
      <c r="DQ8" t="s">
        <v>2797</v>
      </c>
      <c r="DS8">
        <v>-2.4245362661989844E-14</v>
      </c>
      <c r="DT8">
        <v>-2.4245362661989844E-14</v>
      </c>
      <c r="DU8" t="s">
        <v>1996</v>
      </c>
      <c r="DV8">
        <v>2024</v>
      </c>
      <c r="DW8" t="s">
        <v>2798</v>
      </c>
      <c r="DX8" s="6">
        <v>45523</v>
      </c>
      <c r="DY8">
        <v>5</v>
      </c>
      <c r="DZ8">
        <v>-2.4245362661989844E-14</v>
      </c>
      <c r="EA8">
        <v>71841372</v>
      </c>
      <c r="EB8" t="s">
        <v>2799</v>
      </c>
      <c r="EE8" t="s">
        <v>3142</v>
      </c>
      <c r="EF8">
        <v>7.6349090000000004</v>
      </c>
      <c r="EG8" t="s">
        <v>1777</v>
      </c>
      <c r="EH8">
        <v>0.21984300000000001</v>
      </c>
      <c r="EI8" t="s">
        <v>1773</v>
      </c>
      <c r="EJ8">
        <v>2025</v>
      </c>
      <c r="EK8" t="s">
        <v>4346</v>
      </c>
      <c r="EL8" s="6">
        <v>45884</v>
      </c>
      <c r="EM8">
        <v>5</v>
      </c>
      <c r="EN8">
        <v>16109047</v>
      </c>
      <c r="EO8">
        <v>193974</v>
      </c>
      <c r="EP8" t="s">
        <v>3143</v>
      </c>
      <c r="TU8" t="s">
        <v>4585</v>
      </c>
      <c r="TV8" t="s">
        <v>1777</v>
      </c>
      <c r="TW8">
        <v>3.0757509999999999</v>
      </c>
      <c r="TX8">
        <v>0.25219200000000003</v>
      </c>
      <c r="TY8" t="s">
        <v>1773</v>
      </c>
      <c r="TZ8">
        <v>2025</v>
      </c>
      <c r="UA8" t="s">
        <v>4586</v>
      </c>
      <c r="UB8" s="6">
        <v>46050</v>
      </c>
      <c r="UC8">
        <v>5</v>
      </c>
      <c r="UD8">
        <v>4753819</v>
      </c>
      <c r="UE8">
        <v>126764</v>
      </c>
      <c r="UF8" t="s">
        <v>4587</v>
      </c>
      <c r="UI8" t="s">
        <v>4656</v>
      </c>
      <c r="UJ8">
        <v>-2.4245362661989844E-14</v>
      </c>
      <c r="UL8">
        <v>-2.4245362661989844E-14</v>
      </c>
      <c r="UM8" t="s">
        <v>1789</v>
      </c>
      <c r="UN8">
        <v>2025</v>
      </c>
      <c r="UO8" t="s">
        <v>4657</v>
      </c>
      <c r="UP8" s="6">
        <v>46030</v>
      </c>
      <c r="UQ8">
        <v>5</v>
      </c>
      <c r="UR8">
        <v>-2.4245362661989844E-14</v>
      </c>
      <c r="US8">
        <v>1017025</v>
      </c>
      <c r="UT8" t="s">
        <v>4658</v>
      </c>
    </row>
    <row r="9" spans="1:600" x14ac:dyDescent="0.25">
      <c r="DQ9" t="s">
        <v>2800</v>
      </c>
      <c r="DS9">
        <v>-2.4245362661989844E-14</v>
      </c>
      <c r="DT9">
        <v>-2.4245362661989844E-14</v>
      </c>
      <c r="DU9" t="s">
        <v>1789</v>
      </c>
      <c r="DV9">
        <v>2022</v>
      </c>
      <c r="DW9" t="s">
        <v>2801</v>
      </c>
      <c r="DX9" s="6">
        <v>44994</v>
      </c>
      <c r="DY9">
        <v>5</v>
      </c>
      <c r="DZ9">
        <v>-2.4245362661989844E-14</v>
      </c>
      <c r="EA9">
        <v>30408135</v>
      </c>
      <c r="EB9" t="s">
        <v>2802</v>
      </c>
      <c r="EE9" t="s">
        <v>887</v>
      </c>
      <c r="EF9">
        <v>7.4264869999999998</v>
      </c>
      <c r="EG9" t="s">
        <v>1777</v>
      </c>
      <c r="EH9">
        <v>0.16818</v>
      </c>
      <c r="EI9" t="s">
        <v>1773</v>
      </c>
      <c r="EJ9">
        <v>2025</v>
      </c>
      <c r="EK9" t="s">
        <v>4346</v>
      </c>
      <c r="EL9" s="6">
        <v>45884</v>
      </c>
      <c r="EM9">
        <v>5</v>
      </c>
      <c r="EN9">
        <v>15669293</v>
      </c>
      <c r="EO9">
        <v>101729</v>
      </c>
      <c r="EP9" t="s">
        <v>2656</v>
      </c>
      <c r="TU9" t="s">
        <v>4588</v>
      </c>
      <c r="TV9" t="s">
        <v>1777</v>
      </c>
      <c r="TW9">
        <v>10.127708</v>
      </c>
      <c r="TX9">
        <v>0.109997</v>
      </c>
      <c r="TY9" t="s">
        <v>1894</v>
      </c>
      <c r="TZ9">
        <v>2025</v>
      </c>
      <c r="UA9" t="s">
        <v>4589</v>
      </c>
      <c r="UB9" s="6">
        <v>45975</v>
      </c>
      <c r="UC9">
        <v>5</v>
      </c>
      <c r="UD9">
        <v>1993134.38</v>
      </c>
      <c r="UE9">
        <v>18841705</v>
      </c>
      <c r="UF9" t="s">
        <v>4590</v>
      </c>
      <c r="UI9" t="s">
        <v>4560</v>
      </c>
      <c r="UJ9">
        <v>-2.4245362661989844E-14</v>
      </c>
      <c r="UL9">
        <v>-2.4245362661989844E-14</v>
      </c>
      <c r="UM9" t="s">
        <v>1894</v>
      </c>
      <c r="UN9">
        <v>2025</v>
      </c>
      <c r="UO9" t="s">
        <v>4659</v>
      </c>
      <c r="UP9" s="6">
        <v>45986</v>
      </c>
      <c r="UQ9">
        <v>5</v>
      </c>
      <c r="UR9">
        <v>-2.4245362661989844E-14</v>
      </c>
      <c r="US9">
        <v>27516715</v>
      </c>
      <c r="UT9" t="s">
        <v>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</v>
      </c>
      <c r="AE2" s="3" t="s">
        <v>75</v>
      </c>
      <c r="BI2" s="3" t="s">
        <v>76</v>
      </c>
      <c r="CM2" s="3" t="s">
        <v>77</v>
      </c>
      <c r="DQ2" s="3" t="s">
        <v>78</v>
      </c>
      <c r="EU2" s="3" t="s">
        <v>79</v>
      </c>
      <c r="FY2" s="3" t="s">
        <v>80</v>
      </c>
      <c r="HC2" s="3" t="s">
        <v>81</v>
      </c>
      <c r="IG2" s="3" t="s">
        <v>82</v>
      </c>
      <c r="JK2" s="3" t="s">
        <v>83</v>
      </c>
      <c r="KO2" s="3" t="s">
        <v>84</v>
      </c>
      <c r="LS2" s="3" t="s">
        <v>85</v>
      </c>
      <c r="MW2" s="3" t="s">
        <v>86</v>
      </c>
      <c r="OA2" s="3" t="s">
        <v>87</v>
      </c>
      <c r="PE2" s="3" t="s">
        <v>88</v>
      </c>
      <c r="QI2" s="3" t="s">
        <v>89</v>
      </c>
      <c r="RM2" s="3" t="s">
        <v>90</v>
      </c>
      <c r="SQ2" s="3" t="s">
        <v>91</v>
      </c>
      <c r="TU2" s="3" t="s">
        <v>92</v>
      </c>
      <c r="UY2" s="3" t="s">
        <v>93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_xll.BDS("IT US Equity","SUPPLY_CHAIN_SUPPLIERS_ALL_DATA","cols=12;rows=5")</f>
        <v>000977 CH Equity</v>
      </c>
      <c r="B5" t="s">
        <v>1906</v>
      </c>
      <c r="C5">
        <v>0.14047699999999999</v>
      </c>
      <c r="D5">
        <v>17.867687</v>
      </c>
      <c r="E5" t="s">
        <v>1768</v>
      </c>
      <c r="F5">
        <v>2025</v>
      </c>
      <c r="G5" t="s">
        <v>2777</v>
      </c>
      <c r="H5" s="6">
        <v>45958</v>
      </c>
      <c r="I5">
        <v>5</v>
      </c>
      <c r="J5">
        <v>6476615.4400000004</v>
      </c>
      <c r="K5">
        <v>1456094</v>
      </c>
      <c r="L5" t="s">
        <v>2778</v>
      </c>
      <c r="O5" t="str">
        <f>_xll.BDS("IT US Equity","SUPPLY_CHAIN_CUSTOMERS_ALL_DATA","cols=12;rows=5")</f>
        <v>294090 KS Equity</v>
      </c>
      <c r="P5">
        <v>-2.4245362661989844E-14</v>
      </c>
      <c r="R5">
        <v>-2.4245362661989844E-14</v>
      </c>
      <c r="S5" t="s">
        <v>1789</v>
      </c>
      <c r="T5">
        <v>2022</v>
      </c>
      <c r="U5" t="s">
        <v>4306</v>
      </c>
      <c r="V5" s="6">
        <v>45007</v>
      </c>
      <c r="W5">
        <v>5</v>
      </c>
      <c r="X5">
        <v>-2.4245362661989844E-14</v>
      </c>
      <c r="Y5">
        <v>59002338</v>
      </c>
      <c r="Z5" t="s">
        <v>4307</v>
      </c>
      <c r="AE5" t="str">
        <f>_xll.BDS("FCBN US Equity","SUPPLY_CHAIN_SUPPLIERS_ALL_DATA")</f>
        <v>#N/A N/A</v>
      </c>
      <c r="AS5" t="str">
        <f>_xll.BDS("FCBN US Equity","SUPPLY_CHAIN_CUSTOMERS_ALL_DATA")</f>
        <v>#N/A N/A</v>
      </c>
      <c r="BI5" t="str">
        <f>_xll.BDS("EWBC US Equity","SUPPLY_CHAIN_SUPPLIERS_ALL_DATA","cols=12;rows=1")</f>
        <v>BRX US Equity</v>
      </c>
      <c r="BK5">
        <v>-2.4245362661989844E-14</v>
      </c>
      <c r="BL5">
        <v>-2.4245362661989844E-14</v>
      </c>
      <c r="BM5" t="s">
        <v>1789</v>
      </c>
      <c r="BN5">
        <v>2024</v>
      </c>
      <c r="BO5" t="s">
        <v>3529</v>
      </c>
      <c r="BP5" s="6">
        <v>45698</v>
      </c>
      <c r="BQ5">
        <v>1</v>
      </c>
      <c r="BR5">
        <v>-2.4245362661989844E-14</v>
      </c>
      <c r="BS5">
        <v>24112045</v>
      </c>
      <c r="BT5" t="s">
        <v>3530</v>
      </c>
      <c r="BW5" t="str">
        <f>_xll.BDS("EWBC US Equity","SUPPLY_CHAIN_CUSTOMERS_ALL_DATA")</f>
        <v>#N/A N/A</v>
      </c>
      <c r="CM5" t="str">
        <f>_xll.BDS("1073675D US Equity","SUPPLY_CHAIN_SUPPLIERS_ALL_DATA")</f>
        <v>#N/A N/A</v>
      </c>
      <c r="DA5" t="str">
        <f>_xll.BDS("1073675D US Equity","SUPPLY_CHAIN_CUSTOMERS_ALL_DATA")</f>
        <v>#N/A N/A</v>
      </c>
      <c r="DQ5" t="str">
        <f>_xll.BDS("SCFS US Equity","SUPPLY_CHAIN_SUPPLIERS_ALL_DATA")</f>
        <v>#N/A N/A</v>
      </c>
      <c r="EE5" t="str">
        <f>_xll.BDS("SCFS US Equity","SUPPLY_CHAIN_CUSTOMERS_ALL_DATA")</f>
        <v>#N/A N/A</v>
      </c>
      <c r="EU5" t="str">
        <f>_xll.BDS("BBT US Equity","SUPPLY_CHAIN_SUPPLIERS_ALL_DATA")</f>
        <v>#N/A N/A</v>
      </c>
      <c r="FI5" t="str">
        <f>_xll.BDS("BBT US Equity","SUPPLY_CHAIN_CUSTOMERS_ALL_DATA")</f>
        <v>#N/A N/A</v>
      </c>
      <c r="FY5" t="str">
        <f>_xll.BDS("RNST US Equity","SUPPLY_CHAIN_SUPPLIERS_ALL_DATA")</f>
        <v>#N/A N/A</v>
      </c>
      <c r="GM5" t="str">
        <f>_xll.BDS("RNST US Equity","SUPPLY_CHAIN_CUSTOMERS_ALL_DATA")</f>
        <v>#N/A N/A</v>
      </c>
      <c r="HC5" t="str">
        <f>_xll.BDS("FLO US Equity","SUPPLY_CHAIN_SUPPLIERS_ALL_DATA","cols=12;rows=5")</f>
        <v>AEP US Equity</v>
      </c>
      <c r="HE5">
        <v>-2.4245362661989844E-14</v>
      </c>
      <c r="HF5">
        <v>-2.4245362661989844E-14</v>
      </c>
      <c r="HG5" t="s">
        <v>1789</v>
      </c>
      <c r="HH5">
        <v>2021</v>
      </c>
      <c r="HI5" t="s">
        <v>1919</v>
      </c>
      <c r="HJ5" s="6">
        <v>44693</v>
      </c>
      <c r="HK5">
        <v>5</v>
      </c>
      <c r="HL5">
        <v>-2.4245362661989844E-14</v>
      </c>
      <c r="HM5">
        <v>100060</v>
      </c>
      <c r="HN5" t="s">
        <v>1920</v>
      </c>
      <c r="HQ5" t="str">
        <f>_xll.BDS("FLO US Equity","SUPPLY_CHAIN_CUSTOMERS_ALL_DATA","cols=12;rows=5")</f>
        <v>WMT US Equity</v>
      </c>
      <c r="HR5">
        <v>21.5</v>
      </c>
      <c r="HS5" t="s">
        <v>1777</v>
      </c>
      <c r="HT5">
        <v>0.211086</v>
      </c>
      <c r="HU5" t="s">
        <v>1789</v>
      </c>
      <c r="HV5">
        <v>2025</v>
      </c>
      <c r="HW5" t="s">
        <v>4591</v>
      </c>
      <c r="HX5" s="6">
        <v>46078</v>
      </c>
      <c r="HY5">
        <v>5</v>
      </c>
      <c r="HZ5">
        <v>282535744</v>
      </c>
      <c r="IA5">
        <v>101616</v>
      </c>
      <c r="IB5" t="s">
        <v>1803</v>
      </c>
      <c r="IG5" t="str">
        <f>_xll.BDS("IWOV US Equity","SUPPLY_CHAIN_SUPPLIERS_ALL_DATA")</f>
        <v>#N/A N/A</v>
      </c>
      <c r="IU5" t="str">
        <f>_xll.BDS("IWOV US Equity","SUPPLY_CHAIN_CUSTOMERS_ALL_DATA")</f>
        <v>#N/A N/A</v>
      </c>
      <c r="JK5" t="str">
        <f>_xll.BDS("AMFH US Equity","SUPPLY_CHAIN_SUPPLIERS_ALL_DATA")</f>
        <v>#N/A N/A</v>
      </c>
      <c r="JY5" t="str">
        <f>_xll.BDS("AMFH US Equity","SUPPLY_CHAIN_CUSTOMERS_ALL_DATA")</f>
        <v>#N/A N/A</v>
      </c>
      <c r="KO5" t="str">
        <f>_xll.BDS("WINMQ US Equity","SUPPLY_CHAIN_SUPPLIERS_ALL_DATA","cols=12;rows=5")</f>
        <v>DY US Equity</v>
      </c>
      <c r="KQ5">
        <v>2.4</v>
      </c>
      <c r="KR5">
        <v>-2.4245362661989844E-14</v>
      </c>
      <c r="KS5" t="s">
        <v>1785</v>
      </c>
      <c r="KT5">
        <v>2025</v>
      </c>
      <c r="KU5" t="s">
        <v>4024</v>
      </c>
      <c r="KV5" s="6">
        <v>45717</v>
      </c>
      <c r="KW5">
        <v>5</v>
      </c>
      <c r="KX5">
        <v>26028624</v>
      </c>
      <c r="KY5">
        <v>100487</v>
      </c>
      <c r="KZ5" t="s">
        <v>4025</v>
      </c>
      <c r="LC5" t="str">
        <f>_xll.BDS("WINMQ US Equity","SUPPLY_CHAIN_CUSTOMERS_ALL_DATA","cols=12;rows=2")</f>
        <v>SCSC US Equity</v>
      </c>
      <c r="LD5">
        <v>-2.4245362661989844E-14</v>
      </c>
      <c r="LF5">
        <v>-2.4245362661989844E-14</v>
      </c>
      <c r="LG5" t="s">
        <v>1773</v>
      </c>
      <c r="LH5">
        <v>2024</v>
      </c>
      <c r="LI5" t="s">
        <v>4214</v>
      </c>
      <c r="LJ5" s="6">
        <v>45422</v>
      </c>
      <c r="LK5">
        <v>2</v>
      </c>
      <c r="LL5">
        <v>-2.4245362661989844E-14</v>
      </c>
      <c r="LM5">
        <v>136424</v>
      </c>
      <c r="LN5" t="s">
        <v>2903</v>
      </c>
      <c r="LS5" t="str">
        <f>_xll.BDS("HSP US Equity","SUPPLY_CHAIN_SUPPLIERS_ALL_DATA")</f>
        <v>#N/A N/A</v>
      </c>
      <c r="MG5" t="str">
        <f>_xll.BDS("HSP US Equity","SUPPLY_CHAIN_CUSTOMERS_ALL_DATA")</f>
        <v>#N/A N/A</v>
      </c>
      <c r="MW5" t="str">
        <f>_xll.BDS("PFE US Equity","SUPPLY_CHAIN_SUPPLIERS_ALL_DATA","cols=12;rows=5")</f>
        <v>BNTX US Equity</v>
      </c>
      <c r="MX5" t="s">
        <v>1777</v>
      </c>
      <c r="MY5">
        <v>73</v>
      </c>
      <c r="MZ5">
        <v>12.187704999999999</v>
      </c>
      <c r="NA5" t="s">
        <v>1789</v>
      </c>
      <c r="NB5">
        <v>2024</v>
      </c>
      <c r="NC5" t="s">
        <v>4153</v>
      </c>
      <c r="ND5" s="6">
        <v>45726</v>
      </c>
      <c r="NE5">
        <v>5</v>
      </c>
      <c r="NF5">
        <v>544064265</v>
      </c>
      <c r="NG5">
        <v>65839686</v>
      </c>
      <c r="NH5" t="s">
        <v>4154</v>
      </c>
      <c r="NK5" t="str">
        <f>_xll.BDS("PFE US Equity","SUPPLY_CHAIN_CUSTOMERS_ALL_DATA","cols=12;rows=5")</f>
        <v>MCK US Equity</v>
      </c>
      <c r="NL5">
        <v>25</v>
      </c>
      <c r="NM5" t="s">
        <v>1777</v>
      </c>
      <c r="NN5">
        <v>4.0761390000000004</v>
      </c>
      <c r="NO5" t="s">
        <v>1789</v>
      </c>
      <c r="NP5">
        <v>2025</v>
      </c>
      <c r="NQ5" t="s">
        <v>3705</v>
      </c>
      <c r="NR5" s="6">
        <v>46079</v>
      </c>
      <c r="NS5">
        <v>5</v>
      </c>
      <c r="NT5">
        <v>3911187456</v>
      </c>
      <c r="NU5">
        <v>154936</v>
      </c>
      <c r="NV5" t="s">
        <v>2528</v>
      </c>
      <c r="OA5" t="str">
        <f>_xll.BDS("BHB US Equity","SUPPLY_CHAIN_SUPPLIERS_ALL_DATA")</f>
        <v>#N/A N/A</v>
      </c>
      <c r="OO5" t="str">
        <f>_xll.BDS("BHB US Equity","SUPPLY_CHAIN_CUSTOMERS_ALL_DATA")</f>
        <v>#N/A N/A</v>
      </c>
      <c r="PE5" t="str">
        <f>_xll.BDS("CBU US Equity","SUPPLY_CHAIN_SUPPLIERS_ALL_DATA")</f>
        <v>#N/A N/A</v>
      </c>
      <c r="PS5" t="str">
        <f>_xll.BDS("CBU US Equity","SUPPLY_CHAIN_CUSTOMERS_ALL_DATA")</f>
        <v>#N/A N/A</v>
      </c>
      <c r="QI5" t="str">
        <f>_xll.BDS("CVC US Equity","SUPPLY_CHAIN_SUPPLIERS_ALL_DATA")</f>
        <v>#N/A N/A</v>
      </c>
      <c r="QW5" t="str">
        <f>_xll.BDS("CVC US Equity","SUPPLY_CHAIN_CUSTOMERS_ALL_DATA")</f>
        <v>#N/A N/A</v>
      </c>
      <c r="RM5" t="str">
        <f>_xll.BDS("1321686D US Equity","SUPPLY_CHAIN_SUPPLIERS_ALL_DATA")</f>
        <v>#N/A N/A</v>
      </c>
      <c r="SA5" t="str">
        <f>_xll.BDS("1321686D US Equity","SUPPLY_CHAIN_CUSTOMERS_ALL_DATA")</f>
        <v>#N/A N/A</v>
      </c>
      <c r="SQ5" t="str">
        <f>_xll.BDS("PATK US Equity","SUPPLY_CHAIN_SUPPLIERS_ALL_DATA","cols=12;rows=5")</f>
        <v>138743Z LN Equity</v>
      </c>
      <c r="SS5">
        <v>-2.4245362661989844E-14</v>
      </c>
      <c r="ST5">
        <v>-2.4245362661989844E-14</v>
      </c>
      <c r="SU5" t="s">
        <v>1789</v>
      </c>
      <c r="SV5">
        <v>2023</v>
      </c>
      <c r="SW5" t="s">
        <v>4514</v>
      </c>
      <c r="SX5" s="6">
        <v>45091</v>
      </c>
      <c r="SY5">
        <v>5</v>
      </c>
      <c r="SZ5">
        <v>-2.4245362661989844E-14</v>
      </c>
      <c r="TA5">
        <v>7880683</v>
      </c>
      <c r="TB5" t="s">
        <v>4515</v>
      </c>
      <c r="TE5" t="str">
        <f>_xll.BDS("PATK US Equity","SUPPLY_CHAIN_CUSTOMERS_ALL_DATA","cols=12;rows=5")</f>
        <v>THO US Equity</v>
      </c>
      <c r="TF5">
        <v>3.611399</v>
      </c>
      <c r="TG5" t="s">
        <v>1777</v>
      </c>
      <c r="TH5">
        <v>1.7106239999999999</v>
      </c>
      <c r="TI5" t="s">
        <v>1781</v>
      </c>
      <c r="TJ5">
        <v>2026</v>
      </c>
      <c r="TK5" t="s">
        <v>4763</v>
      </c>
      <c r="TL5" s="6">
        <v>46031</v>
      </c>
      <c r="TM5">
        <v>5</v>
      </c>
      <c r="TN5">
        <v>35233932</v>
      </c>
      <c r="TO5">
        <v>101471</v>
      </c>
      <c r="TP5" t="s">
        <v>4764</v>
      </c>
      <c r="TU5" t="str">
        <f>_xll.BDS("JH US Equity","SUPPLY_CHAIN_SUPPLIERS_ALL_DATA")</f>
        <v>#N/A N/A</v>
      </c>
      <c r="UI5" t="str">
        <f>_xll.BDS("JH US Equity","SUPPLY_CHAIN_CUSTOMERS_ALL_DATA")</f>
        <v>#N/A N/A</v>
      </c>
      <c r="UY5" t="str">
        <f>_xll.BDS("HNBC US Equity","SUPPLY_CHAIN_SUPPLIERS_ALL_DATA")</f>
        <v>#N/A N/A</v>
      </c>
      <c r="VM5" t="str">
        <f>_xll.BDS("HNBC US Equity","SUPPLY_CHAIN_CUSTOMERS_ALL_DATA")</f>
        <v>#N/A N/A</v>
      </c>
    </row>
    <row r="6" spans="1:600" x14ac:dyDescent="0.25">
      <c r="A6" t="s">
        <v>2362</v>
      </c>
      <c r="B6" t="s">
        <v>1808</v>
      </c>
      <c r="C6">
        <v>1.398854</v>
      </c>
      <c r="D6">
        <v>0.27654699999999999</v>
      </c>
      <c r="E6" t="s">
        <v>1789</v>
      </c>
      <c r="F6">
        <v>2024</v>
      </c>
      <c r="G6" t="s">
        <v>2363</v>
      </c>
      <c r="H6" s="6">
        <v>45702</v>
      </c>
      <c r="I6">
        <v>5</v>
      </c>
      <c r="J6">
        <v>1994500</v>
      </c>
      <c r="K6">
        <v>225922</v>
      </c>
      <c r="L6" t="s">
        <v>2364</v>
      </c>
      <c r="O6" t="s">
        <v>4308</v>
      </c>
      <c r="P6">
        <v>-2.4245362661989844E-14</v>
      </c>
      <c r="R6">
        <v>-2.4245362661989844E-14</v>
      </c>
      <c r="S6" t="s">
        <v>2183</v>
      </c>
      <c r="T6">
        <v>2022</v>
      </c>
      <c r="U6" t="s">
        <v>4309</v>
      </c>
      <c r="V6" s="6">
        <v>44865</v>
      </c>
      <c r="W6">
        <v>5</v>
      </c>
      <c r="X6">
        <v>-2.4245362661989844E-14</v>
      </c>
      <c r="Y6">
        <v>30408380</v>
      </c>
      <c r="Z6" t="s">
        <v>4310</v>
      </c>
      <c r="HC6" t="s">
        <v>816</v>
      </c>
      <c r="HE6">
        <v>-2.4245362661989844E-14</v>
      </c>
      <c r="HF6">
        <v>-2.4245362661989844E-14</v>
      </c>
      <c r="HG6" t="s">
        <v>1789</v>
      </c>
      <c r="HH6">
        <v>2021</v>
      </c>
      <c r="HI6" t="s">
        <v>2069</v>
      </c>
      <c r="HJ6" s="6">
        <v>44693</v>
      </c>
      <c r="HK6">
        <v>5</v>
      </c>
      <c r="HL6">
        <v>-2.4245362661989844E-14</v>
      </c>
      <c r="HM6">
        <v>100193</v>
      </c>
      <c r="HN6" t="s">
        <v>2070</v>
      </c>
      <c r="HQ6" t="s">
        <v>3534</v>
      </c>
      <c r="HR6">
        <v>6.8037299999999998</v>
      </c>
      <c r="HS6" t="s">
        <v>1777</v>
      </c>
      <c r="HT6">
        <v>0.25124299999999999</v>
      </c>
      <c r="HU6" t="s">
        <v>1781</v>
      </c>
      <c r="HV6">
        <v>2025</v>
      </c>
      <c r="HW6" t="s">
        <v>4592</v>
      </c>
      <c r="HX6" s="6">
        <v>45835</v>
      </c>
      <c r="HY6">
        <v>5</v>
      </c>
      <c r="HZ6">
        <v>86806872</v>
      </c>
      <c r="IA6">
        <v>100864</v>
      </c>
      <c r="IB6" t="s">
        <v>3535</v>
      </c>
      <c r="KO6" t="s">
        <v>4026</v>
      </c>
      <c r="KQ6">
        <v>-2.4245362661989844E-14</v>
      </c>
      <c r="KR6">
        <v>-2.4245362661989844E-14</v>
      </c>
      <c r="KS6" t="s">
        <v>1789</v>
      </c>
      <c r="KT6">
        <v>2021</v>
      </c>
      <c r="KU6" t="s">
        <v>4027</v>
      </c>
      <c r="KV6" s="6">
        <v>44718</v>
      </c>
      <c r="KW6">
        <v>5</v>
      </c>
      <c r="KX6">
        <v>-2.4245362661989844E-14</v>
      </c>
      <c r="KY6">
        <v>885036</v>
      </c>
      <c r="KZ6" t="s">
        <v>4028</v>
      </c>
      <c r="LC6" t="s">
        <v>4215</v>
      </c>
      <c r="LD6">
        <v>-2.4245362661989844E-14</v>
      </c>
      <c r="LF6">
        <v>-2.4245362661989844E-14</v>
      </c>
      <c r="LG6" t="s">
        <v>1789</v>
      </c>
      <c r="LH6">
        <v>2022</v>
      </c>
      <c r="LI6" t="s">
        <v>4216</v>
      </c>
      <c r="LJ6" s="6">
        <v>44993</v>
      </c>
      <c r="LK6">
        <v>2</v>
      </c>
      <c r="LL6">
        <v>-2.4245362661989844E-14</v>
      </c>
      <c r="LM6">
        <v>10092517</v>
      </c>
      <c r="LN6" t="s">
        <v>4217</v>
      </c>
      <c r="MW6" t="s">
        <v>2094</v>
      </c>
      <c r="MX6" t="s">
        <v>1777</v>
      </c>
      <c r="MY6">
        <v>0.22900000000000001</v>
      </c>
      <c r="MZ6">
        <v>1.2800659999999999</v>
      </c>
      <c r="NA6" t="s">
        <v>1785</v>
      </c>
      <c r="NB6">
        <v>2025</v>
      </c>
      <c r="NC6" t="s">
        <v>2095</v>
      </c>
      <c r="ND6" s="6">
        <v>45848</v>
      </c>
      <c r="NE6">
        <v>5</v>
      </c>
      <c r="NF6">
        <v>36417872</v>
      </c>
      <c r="NG6">
        <v>101752</v>
      </c>
      <c r="NH6" t="s">
        <v>2096</v>
      </c>
      <c r="NK6" t="s">
        <v>2529</v>
      </c>
      <c r="NL6">
        <v>16</v>
      </c>
      <c r="NM6" t="s">
        <v>1777</v>
      </c>
      <c r="NN6">
        <v>3.190922</v>
      </c>
      <c r="NO6" t="s">
        <v>1789</v>
      </c>
      <c r="NP6">
        <v>2025</v>
      </c>
      <c r="NQ6" t="s">
        <v>3705</v>
      </c>
      <c r="NR6" s="6">
        <v>46079</v>
      </c>
      <c r="NS6">
        <v>5</v>
      </c>
      <c r="NT6">
        <v>2503160064</v>
      </c>
      <c r="NU6">
        <v>156969</v>
      </c>
      <c r="NV6" t="s">
        <v>2531</v>
      </c>
      <c r="SQ6" t="s">
        <v>1918</v>
      </c>
      <c r="SS6">
        <v>-2.4245362661989844E-14</v>
      </c>
      <c r="ST6">
        <v>-2.4245362661989844E-14</v>
      </c>
      <c r="SU6" t="s">
        <v>1789</v>
      </c>
      <c r="SV6">
        <v>2021</v>
      </c>
      <c r="SW6" t="s">
        <v>1919</v>
      </c>
      <c r="SX6" s="6">
        <v>44693</v>
      </c>
      <c r="SY6">
        <v>5</v>
      </c>
      <c r="SZ6">
        <v>-2.4245362661989844E-14</v>
      </c>
      <c r="TA6">
        <v>100060</v>
      </c>
      <c r="TB6" t="s">
        <v>1920</v>
      </c>
      <c r="TE6" t="s">
        <v>816</v>
      </c>
      <c r="TF6">
        <v>-2.4245362661989844E-14</v>
      </c>
      <c r="TH6">
        <v>-2.4245362661989844E-14</v>
      </c>
      <c r="TI6" t="s">
        <v>1789</v>
      </c>
      <c r="TJ6">
        <v>2024</v>
      </c>
      <c r="TK6" t="s">
        <v>4765</v>
      </c>
      <c r="TL6" s="6">
        <v>45708</v>
      </c>
      <c r="TM6">
        <v>5</v>
      </c>
      <c r="TN6">
        <v>-2.4245362661989844E-14</v>
      </c>
      <c r="TO6">
        <v>100193</v>
      </c>
      <c r="TP6" t="s">
        <v>2070</v>
      </c>
    </row>
    <row r="7" spans="1:600" x14ac:dyDescent="0.25">
      <c r="A7" t="s">
        <v>2779</v>
      </c>
      <c r="C7">
        <v>-2.4245362661989844E-14</v>
      </c>
      <c r="D7">
        <v>-2.4245362661989844E-14</v>
      </c>
      <c r="E7" t="s">
        <v>1789</v>
      </c>
      <c r="F7">
        <v>2024</v>
      </c>
      <c r="G7" t="s">
        <v>2780</v>
      </c>
      <c r="H7" s="6">
        <v>45597</v>
      </c>
      <c r="I7">
        <v>5</v>
      </c>
      <c r="J7">
        <v>-2.4245362661989844E-14</v>
      </c>
      <c r="K7">
        <v>13536133</v>
      </c>
      <c r="L7" t="s">
        <v>2781</v>
      </c>
      <c r="O7" t="s">
        <v>1797</v>
      </c>
      <c r="P7">
        <v>-2.4245362661989844E-14</v>
      </c>
      <c r="R7">
        <v>-2.4245362661989844E-14</v>
      </c>
      <c r="S7" t="s">
        <v>1789</v>
      </c>
      <c r="T7">
        <v>2025</v>
      </c>
      <c r="U7" t="s">
        <v>4311</v>
      </c>
      <c r="V7" s="6">
        <v>46065</v>
      </c>
      <c r="W7">
        <v>5</v>
      </c>
      <c r="X7">
        <v>-2.4245362661989844E-14</v>
      </c>
      <c r="Y7">
        <v>218252</v>
      </c>
      <c r="Z7" t="s">
        <v>1798</v>
      </c>
      <c r="HC7" t="s">
        <v>925</v>
      </c>
      <c r="HE7">
        <v>-2.4245362661989844E-14</v>
      </c>
      <c r="HF7">
        <v>-2.4245362661989844E-14</v>
      </c>
      <c r="HG7" t="s">
        <v>1789</v>
      </c>
      <c r="HH7">
        <v>2021</v>
      </c>
      <c r="HI7" t="s">
        <v>2071</v>
      </c>
      <c r="HJ7" s="6">
        <v>44693</v>
      </c>
      <c r="HK7">
        <v>5</v>
      </c>
      <c r="HL7">
        <v>-2.4245362661989844E-14</v>
      </c>
      <c r="HM7">
        <v>100760</v>
      </c>
      <c r="HN7" t="s">
        <v>2072</v>
      </c>
      <c r="HQ7" t="s">
        <v>4593</v>
      </c>
      <c r="HR7">
        <v>4.2662750000000003</v>
      </c>
      <c r="HS7" t="s">
        <v>1777</v>
      </c>
      <c r="HT7">
        <v>0.46547100000000002</v>
      </c>
      <c r="HU7" t="s">
        <v>1781</v>
      </c>
      <c r="HV7">
        <v>2025</v>
      </c>
      <c r="HW7" t="s">
        <v>4592</v>
      </c>
      <c r="HX7" s="6">
        <v>45835</v>
      </c>
      <c r="HY7">
        <v>5</v>
      </c>
      <c r="HZ7">
        <v>54432200</v>
      </c>
      <c r="IA7">
        <v>143036</v>
      </c>
      <c r="IB7" t="s">
        <v>4594</v>
      </c>
      <c r="KO7" t="s">
        <v>4029</v>
      </c>
      <c r="KQ7">
        <v>-2.4245362661989844E-14</v>
      </c>
      <c r="KR7">
        <v>-2.4245362661989844E-14</v>
      </c>
      <c r="KS7" t="s">
        <v>1773</v>
      </c>
      <c r="KT7">
        <v>2022</v>
      </c>
      <c r="KU7" t="s">
        <v>4030</v>
      </c>
      <c r="KV7" s="6">
        <v>44895</v>
      </c>
      <c r="KW7">
        <v>5</v>
      </c>
      <c r="KX7">
        <v>-2.4245362661989844E-14</v>
      </c>
      <c r="KY7">
        <v>69795062</v>
      </c>
      <c r="KZ7" t="s">
        <v>4031</v>
      </c>
      <c r="MW7" t="s">
        <v>4155</v>
      </c>
      <c r="MX7" t="s">
        <v>1777</v>
      </c>
      <c r="MY7">
        <v>3.7231350000000001</v>
      </c>
      <c r="MZ7">
        <v>0.80518199999999995</v>
      </c>
      <c r="NA7" t="s">
        <v>1773</v>
      </c>
      <c r="NB7">
        <v>2025</v>
      </c>
      <c r="NC7" t="s">
        <v>4156</v>
      </c>
      <c r="ND7" s="6">
        <v>46069</v>
      </c>
      <c r="NE7">
        <v>5</v>
      </c>
      <c r="NF7">
        <v>33600181.100000001</v>
      </c>
      <c r="NG7">
        <v>153809</v>
      </c>
      <c r="NH7" t="s">
        <v>4157</v>
      </c>
      <c r="NK7" t="s">
        <v>2933</v>
      </c>
      <c r="NL7">
        <v>13</v>
      </c>
      <c r="NM7" t="s">
        <v>1777</v>
      </c>
      <c r="NN7">
        <v>3.4525320000000002</v>
      </c>
      <c r="NO7" t="s">
        <v>1789</v>
      </c>
      <c r="NP7">
        <v>2025</v>
      </c>
      <c r="NQ7" t="s">
        <v>3705</v>
      </c>
      <c r="NR7" s="6">
        <v>46079</v>
      </c>
      <c r="NS7">
        <v>5</v>
      </c>
      <c r="NT7">
        <v>2033817472</v>
      </c>
      <c r="NU7">
        <v>102782</v>
      </c>
      <c r="NV7" t="s">
        <v>2934</v>
      </c>
      <c r="SQ7" t="s">
        <v>4516</v>
      </c>
      <c r="SS7">
        <v>-2.4245362661989844E-14</v>
      </c>
      <c r="ST7">
        <v>-2.4245362661989844E-14</v>
      </c>
      <c r="SU7" t="s">
        <v>1789</v>
      </c>
      <c r="SV7">
        <v>2021</v>
      </c>
      <c r="SW7" t="s">
        <v>4517</v>
      </c>
      <c r="SX7" s="6">
        <v>44693</v>
      </c>
      <c r="SY7">
        <v>5</v>
      </c>
      <c r="SZ7">
        <v>-2.4245362661989844E-14</v>
      </c>
      <c r="TA7">
        <v>101000</v>
      </c>
      <c r="TB7" t="s">
        <v>4518</v>
      </c>
      <c r="TE7" t="s">
        <v>4766</v>
      </c>
      <c r="TF7">
        <v>-2.4245362661989844E-14</v>
      </c>
      <c r="TH7">
        <v>-2.4245362661989844E-14</v>
      </c>
      <c r="TI7" t="s">
        <v>1768</v>
      </c>
      <c r="TJ7">
        <v>2023</v>
      </c>
      <c r="TK7" t="s">
        <v>4767</v>
      </c>
      <c r="TL7" s="6">
        <v>45138</v>
      </c>
      <c r="TM7">
        <v>5</v>
      </c>
      <c r="TN7">
        <v>-2.4245362661989844E-14</v>
      </c>
      <c r="TO7">
        <v>106917</v>
      </c>
      <c r="TP7" t="s">
        <v>4768</v>
      </c>
    </row>
    <row r="8" spans="1:600" x14ac:dyDescent="0.25">
      <c r="A8" t="s">
        <v>2782</v>
      </c>
      <c r="C8">
        <v>-2.4245362661989844E-14</v>
      </c>
      <c r="D8">
        <v>-2.4245362661989844E-14</v>
      </c>
      <c r="E8" t="s">
        <v>1789</v>
      </c>
      <c r="F8">
        <v>2025</v>
      </c>
      <c r="G8" t="s">
        <v>2783</v>
      </c>
      <c r="H8" s="6">
        <v>45847</v>
      </c>
      <c r="I8">
        <v>5</v>
      </c>
      <c r="J8">
        <v>-2.4245362661989844E-14</v>
      </c>
      <c r="K8">
        <v>999057</v>
      </c>
      <c r="L8" t="s">
        <v>2784</v>
      </c>
      <c r="O8" t="s">
        <v>4312</v>
      </c>
      <c r="P8">
        <v>-2.4245362661989844E-14</v>
      </c>
      <c r="R8">
        <v>-2.4245362661989844E-14</v>
      </c>
      <c r="S8" t="s">
        <v>1781</v>
      </c>
      <c r="T8">
        <v>2024</v>
      </c>
      <c r="U8" t="s">
        <v>4313</v>
      </c>
      <c r="V8" s="6">
        <v>45418</v>
      </c>
      <c r="W8">
        <v>5</v>
      </c>
      <c r="X8">
        <v>-2.4245362661989844E-14</v>
      </c>
      <c r="Y8">
        <v>11307982</v>
      </c>
      <c r="Z8" t="s">
        <v>4314</v>
      </c>
      <c r="HC8" t="s">
        <v>2073</v>
      </c>
      <c r="HE8">
        <v>-2.4245362661989844E-14</v>
      </c>
      <c r="HF8">
        <v>-2.4245362661989844E-14</v>
      </c>
      <c r="HG8" t="s">
        <v>1789</v>
      </c>
      <c r="HH8">
        <v>2021</v>
      </c>
      <c r="HI8" t="s">
        <v>2074</v>
      </c>
      <c r="HJ8" s="6">
        <v>44693</v>
      </c>
      <c r="HK8">
        <v>5</v>
      </c>
      <c r="HL8">
        <v>-2.4245362661989844E-14</v>
      </c>
      <c r="HM8">
        <v>100466</v>
      </c>
      <c r="HN8" t="s">
        <v>2075</v>
      </c>
      <c r="HQ8" t="s">
        <v>2462</v>
      </c>
      <c r="HR8">
        <v>4.0886269999999998</v>
      </c>
      <c r="HS8" t="s">
        <v>1777</v>
      </c>
      <c r="HT8">
        <v>0.38215199999999999</v>
      </c>
      <c r="HU8" t="s">
        <v>1781</v>
      </c>
      <c r="HV8">
        <v>2025</v>
      </c>
      <c r="HW8" t="s">
        <v>4592</v>
      </c>
      <c r="HX8" s="6">
        <v>45835</v>
      </c>
      <c r="HY8">
        <v>5</v>
      </c>
      <c r="HZ8">
        <v>52165636</v>
      </c>
      <c r="IA8">
        <v>46386935</v>
      </c>
      <c r="IB8" t="s">
        <v>2464</v>
      </c>
      <c r="KO8" t="s">
        <v>919</v>
      </c>
      <c r="KQ8">
        <v>-2.4245362661989844E-14</v>
      </c>
      <c r="KR8">
        <v>-2.4245362661989844E-14</v>
      </c>
      <c r="KS8" t="s">
        <v>1789</v>
      </c>
      <c r="KT8">
        <v>2024</v>
      </c>
      <c r="KU8" t="s">
        <v>4032</v>
      </c>
      <c r="KV8" s="6">
        <v>45307</v>
      </c>
      <c r="KW8">
        <v>5</v>
      </c>
      <c r="KX8">
        <v>-2.4245362661989844E-14</v>
      </c>
      <c r="KY8">
        <v>69423747</v>
      </c>
      <c r="KZ8" t="s">
        <v>2300</v>
      </c>
      <c r="MW8" t="s">
        <v>1946</v>
      </c>
      <c r="MX8" t="s">
        <v>1777</v>
      </c>
      <c r="MY8">
        <v>0.238619</v>
      </c>
      <c r="MZ8">
        <v>0.71575299999999997</v>
      </c>
      <c r="NA8" t="s">
        <v>1789</v>
      </c>
      <c r="NB8">
        <v>2025</v>
      </c>
      <c r="NC8" t="s">
        <v>3706</v>
      </c>
      <c r="ND8" s="6">
        <v>46064</v>
      </c>
      <c r="NE8">
        <v>5</v>
      </c>
      <c r="NF8">
        <v>28750000</v>
      </c>
      <c r="NG8">
        <v>100225</v>
      </c>
      <c r="NH8" t="s">
        <v>1948</v>
      </c>
      <c r="NK8" t="s">
        <v>1946</v>
      </c>
      <c r="NL8">
        <v>11.153900999999999</v>
      </c>
      <c r="NM8" t="s">
        <v>1777</v>
      </c>
      <c r="NN8">
        <v>50.086109</v>
      </c>
      <c r="NO8" t="s">
        <v>1789</v>
      </c>
      <c r="NP8">
        <v>2025</v>
      </c>
      <c r="NQ8" t="s">
        <v>3706</v>
      </c>
      <c r="NR8" s="6">
        <v>46064</v>
      </c>
      <c r="NS8">
        <v>5</v>
      </c>
      <c r="NT8">
        <v>1745000000</v>
      </c>
      <c r="NU8">
        <v>100225</v>
      </c>
      <c r="NV8" t="s">
        <v>1948</v>
      </c>
      <c r="SQ8" t="s">
        <v>816</v>
      </c>
      <c r="SS8">
        <v>-2.4245362661989844E-14</v>
      </c>
      <c r="ST8">
        <v>-2.4245362661989844E-14</v>
      </c>
      <c r="SU8" t="s">
        <v>1789</v>
      </c>
      <c r="SV8">
        <v>2021</v>
      </c>
      <c r="SW8" t="s">
        <v>2069</v>
      </c>
      <c r="SX8" s="6">
        <v>44693</v>
      </c>
      <c r="SY8">
        <v>5</v>
      </c>
      <c r="SZ8">
        <v>-2.4245362661989844E-14</v>
      </c>
      <c r="TA8">
        <v>100193</v>
      </c>
      <c r="TB8" t="s">
        <v>2070</v>
      </c>
      <c r="TE8" t="s">
        <v>4769</v>
      </c>
      <c r="TF8">
        <v>-2.4245362661989844E-14</v>
      </c>
      <c r="TH8">
        <v>-2.4245362661989844E-14</v>
      </c>
      <c r="TI8" t="s">
        <v>1773</v>
      </c>
      <c r="TJ8">
        <v>2023</v>
      </c>
      <c r="TK8" t="s">
        <v>4770</v>
      </c>
      <c r="TL8" s="6">
        <v>45216</v>
      </c>
      <c r="TM8">
        <v>5</v>
      </c>
      <c r="TN8">
        <v>-2.4245362661989844E-14</v>
      </c>
      <c r="TO8">
        <v>305945</v>
      </c>
      <c r="TP8" t="s">
        <v>4771</v>
      </c>
    </row>
    <row r="9" spans="1:600" x14ac:dyDescent="0.25">
      <c r="A9" t="s">
        <v>2785</v>
      </c>
      <c r="C9">
        <v>-2.4245362661989844E-14</v>
      </c>
      <c r="D9">
        <v>-2.4245362661989844E-14</v>
      </c>
      <c r="E9" t="s">
        <v>1789</v>
      </c>
      <c r="F9">
        <v>2024</v>
      </c>
      <c r="G9" t="s">
        <v>2786</v>
      </c>
      <c r="H9" s="6">
        <v>45307</v>
      </c>
      <c r="I9">
        <v>5</v>
      </c>
      <c r="J9">
        <v>-2.4245362661989844E-14</v>
      </c>
      <c r="K9">
        <v>61467250</v>
      </c>
      <c r="L9" t="s">
        <v>2787</v>
      </c>
      <c r="O9" t="s">
        <v>4150</v>
      </c>
      <c r="P9">
        <v>-2.4245362661989844E-14</v>
      </c>
      <c r="R9">
        <v>-2.4245362661989844E-14</v>
      </c>
      <c r="S9" t="s">
        <v>1789</v>
      </c>
      <c r="T9">
        <v>2022</v>
      </c>
      <c r="U9" t="s">
        <v>4315</v>
      </c>
      <c r="V9" s="6">
        <v>44860</v>
      </c>
      <c r="W9">
        <v>5</v>
      </c>
      <c r="X9">
        <v>-2.4245362661989844E-14</v>
      </c>
      <c r="Y9">
        <v>25746653</v>
      </c>
      <c r="Z9" t="s">
        <v>4152</v>
      </c>
      <c r="HC9" t="s">
        <v>1923</v>
      </c>
      <c r="HE9">
        <v>-2.4245362661989844E-14</v>
      </c>
      <c r="HF9">
        <v>-2.4245362661989844E-14</v>
      </c>
      <c r="HG9" t="s">
        <v>1789</v>
      </c>
      <c r="HH9">
        <v>2021</v>
      </c>
      <c r="HI9" t="s">
        <v>1924</v>
      </c>
      <c r="HJ9" s="6">
        <v>44693</v>
      </c>
      <c r="HK9">
        <v>5</v>
      </c>
      <c r="HL9">
        <v>-2.4245362661989844E-14</v>
      </c>
      <c r="HM9">
        <v>100481</v>
      </c>
      <c r="HN9" t="s">
        <v>1925</v>
      </c>
      <c r="HQ9" t="s">
        <v>1876</v>
      </c>
      <c r="HR9">
        <v>3.4712960000000002</v>
      </c>
      <c r="HS9" t="s">
        <v>1777</v>
      </c>
      <c r="HT9">
        <v>0.27651399999999998</v>
      </c>
      <c r="HU9" t="s">
        <v>1781</v>
      </c>
      <c r="HV9">
        <v>2025</v>
      </c>
      <c r="HW9" t="s">
        <v>4592</v>
      </c>
      <c r="HX9" s="6">
        <v>45835</v>
      </c>
      <c r="HY9">
        <v>5</v>
      </c>
      <c r="HZ9">
        <v>44289284</v>
      </c>
      <c r="IA9">
        <v>101433</v>
      </c>
      <c r="IB9" t="s">
        <v>1878</v>
      </c>
      <c r="KO9" t="s">
        <v>4033</v>
      </c>
      <c r="KQ9">
        <v>-2.4245362661989844E-14</v>
      </c>
      <c r="KR9">
        <v>-2.4245362661989844E-14</v>
      </c>
      <c r="KS9" t="s">
        <v>1789</v>
      </c>
      <c r="KT9">
        <v>2023</v>
      </c>
      <c r="KU9" t="s">
        <v>4034</v>
      </c>
      <c r="KV9" s="6">
        <v>45301</v>
      </c>
      <c r="KW9">
        <v>5</v>
      </c>
      <c r="KX9">
        <v>-2.4245362661989844E-14</v>
      </c>
      <c r="KY9">
        <v>57811522</v>
      </c>
      <c r="KZ9" t="s">
        <v>4035</v>
      </c>
      <c r="MW9" t="s">
        <v>4158</v>
      </c>
      <c r="MX9" t="s">
        <v>1777</v>
      </c>
      <c r="MY9">
        <v>0.82792200000000005</v>
      </c>
      <c r="MZ9">
        <v>0.75151400000000002</v>
      </c>
      <c r="NA9" t="s">
        <v>1768</v>
      </c>
      <c r="NB9">
        <v>2025</v>
      </c>
      <c r="NC9" t="s">
        <v>4159</v>
      </c>
      <c r="ND9" s="6">
        <v>45959</v>
      </c>
      <c r="NE9">
        <v>5</v>
      </c>
      <c r="NF9">
        <v>28398061.84</v>
      </c>
      <c r="NG9">
        <v>113332</v>
      </c>
      <c r="NH9" t="s">
        <v>4160</v>
      </c>
      <c r="NK9" t="s">
        <v>1797</v>
      </c>
      <c r="NL9">
        <v>6</v>
      </c>
      <c r="NN9">
        <v>-2.4245362661989844E-14</v>
      </c>
      <c r="NO9" t="s">
        <v>1789</v>
      </c>
      <c r="NP9">
        <v>2024</v>
      </c>
      <c r="NQ9" t="s">
        <v>3707</v>
      </c>
      <c r="NR9" s="6">
        <v>45715</v>
      </c>
      <c r="NS9">
        <v>5</v>
      </c>
      <c r="NT9">
        <v>954404992</v>
      </c>
      <c r="NU9">
        <v>218252</v>
      </c>
      <c r="NV9" t="s">
        <v>1798</v>
      </c>
      <c r="SQ9" t="s">
        <v>3798</v>
      </c>
      <c r="SS9">
        <v>-2.4245362661989844E-14</v>
      </c>
      <c r="ST9">
        <v>-2.4245362661989844E-14</v>
      </c>
      <c r="SU9" t="s">
        <v>1789</v>
      </c>
      <c r="SV9">
        <v>2021</v>
      </c>
      <c r="SW9" t="s">
        <v>3799</v>
      </c>
      <c r="SX9" s="6">
        <v>44693</v>
      </c>
      <c r="SY9">
        <v>5</v>
      </c>
      <c r="SZ9">
        <v>-2.4245362661989844E-14</v>
      </c>
      <c r="TA9">
        <v>100348</v>
      </c>
      <c r="TB9" t="s">
        <v>3800</v>
      </c>
      <c r="TE9" t="s">
        <v>4772</v>
      </c>
      <c r="TF9">
        <v>-2.4245362661989844E-14</v>
      </c>
      <c r="TH9">
        <v>-2.4245362661989844E-14</v>
      </c>
      <c r="TI9" t="s">
        <v>1789</v>
      </c>
      <c r="TJ9">
        <v>2023</v>
      </c>
      <c r="TK9" t="s">
        <v>4773</v>
      </c>
      <c r="TL9" s="6">
        <v>45001</v>
      </c>
      <c r="TM9">
        <v>5</v>
      </c>
      <c r="TN9">
        <v>-2.4245362661989844E-14</v>
      </c>
      <c r="TO9">
        <v>101666</v>
      </c>
      <c r="TP9" t="s">
        <v>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</v>
      </c>
      <c r="AE2" s="3" t="s">
        <v>115</v>
      </c>
      <c r="BI2" s="3" t="s">
        <v>116</v>
      </c>
      <c r="CM2" s="3" t="s">
        <v>117</v>
      </c>
      <c r="DQ2" s="3" t="s">
        <v>118</v>
      </c>
      <c r="EU2" s="3" t="s">
        <v>119</v>
      </c>
      <c r="FY2" s="3" t="s">
        <v>120</v>
      </c>
      <c r="HC2" s="3" t="s">
        <v>121</v>
      </c>
      <c r="IG2" s="3" t="s">
        <v>122</v>
      </c>
      <c r="JK2" s="3" t="s">
        <v>123</v>
      </c>
      <c r="KO2" s="3" t="s">
        <v>124</v>
      </c>
      <c r="LS2" s="3" t="s">
        <v>125</v>
      </c>
      <c r="MW2" s="3" t="s">
        <v>126</v>
      </c>
      <c r="OA2" s="3" t="s">
        <v>127</v>
      </c>
      <c r="PE2" s="3" t="s">
        <v>128</v>
      </c>
      <c r="QI2" s="3" t="s">
        <v>129</v>
      </c>
      <c r="RM2" s="3" t="s">
        <v>130</v>
      </c>
      <c r="SQ2" s="3" t="s">
        <v>131</v>
      </c>
      <c r="TU2" s="3" t="s">
        <v>132</v>
      </c>
      <c r="UY2" s="3" t="s">
        <v>133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_xll.BDS("THFF US Equity","SUPPLY_CHAIN_SUPPLIERS_ALL_DATA")</f>
        <v>#N/A N/A</v>
      </c>
      <c r="O5" t="str">
        <f>_xll.BDS("THFF US Equity","SUPPLY_CHAIN_CUSTOMERS_ALL_DATA")</f>
        <v>#N/A N/A</v>
      </c>
      <c r="AE5" t="str">
        <f>_xll.BDS("CDE US Equity","SUPPLY_CHAIN_SUPPLIERS_ALL_DATA","cols=12;rows=5")</f>
        <v>RGLD US Equity</v>
      </c>
      <c r="AF5" t="s">
        <v>1777</v>
      </c>
      <c r="AG5">
        <v>0.83426100000000003</v>
      </c>
      <c r="AH5">
        <v>0.76223099999999999</v>
      </c>
      <c r="AI5" t="s">
        <v>1768</v>
      </c>
      <c r="AJ5">
        <v>2025</v>
      </c>
      <c r="AK5" t="s">
        <v>3728</v>
      </c>
      <c r="AL5" s="6">
        <v>45889</v>
      </c>
      <c r="AM5">
        <v>5</v>
      </c>
      <c r="AN5">
        <v>1748970</v>
      </c>
      <c r="AO5">
        <v>106508</v>
      </c>
      <c r="AP5" t="s">
        <v>3729</v>
      </c>
      <c r="AS5" t="str">
        <f>_xll.BDS("CDE US Equity","SUPPLY_CHAIN_CUSTOMERS_ALL_DATA","cols=12;rows=5")</f>
        <v>BMO CN Equity</v>
      </c>
      <c r="AT5">
        <v>57.875706000000001</v>
      </c>
      <c r="AU5" t="s">
        <v>1777</v>
      </c>
      <c r="AV5">
        <v>7.9480919999999999</v>
      </c>
      <c r="AW5" t="s">
        <v>1789</v>
      </c>
      <c r="AX5">
        <v>2025</v>
      </c>
      <c r="AY5" t="s">
        <v>3916</v>
      </c>
      <c r="AZ5" s="6">
        <v>46071</v>
      </c>
      <c r="BA5">
        <v>5</v>
      </c>
      <c r="BB5">
        <v>299525000</v>
      </c>
      <c r="BC5">
        <v>108444</v>
      </c>
      <c r="BD5" t="s">
        <v>3917</v>
      </c>
      <c r="BI5" t="str">
        <f>_xll.BDS("MBFI US Equity","SUPPLY_CHAIN_SUPPLIERS_ALL_DATA")</f>
        <v>#N/A N/A</v>
      </c>
      <c r="BW5" t="str">
        <f>_xll.BDS("MBFI US Equity","SUPPLY_CHAIN_CUSTOMERS_ALL_DATA")</f>
        <v>#N/A N/A</v>
      </c>
      <c r="CM5" t="str">
        <f>_xll.BDS("3592185Q US Equity","SUPPLY_CHAIN_SUPPLIERS_ALL_DATA")</f>
        <v>#N/A N/A</v>
      </c>
      <c r="DA5" t="str">
        <f>_xll.BDS("3592185Q US Equity","SUPPLY_CHAIN_CUSTOMERS_ALL_DATA")</f>
        <v>#N/A N/A</v>
      </c>
      <c r="DQ5" t="str">
        <f>_xll.BDS("SBLUQ US Equity","SUPPLY_CHAIN_SUPPLIERS_ALL_DATA")</f>
        <v>#N/A N/A</v>
      </c>
      <c r="EE5" t="str">
        <f>_xll.BDS("SBLUQ US Equity","SUPPLY_CHAIN_CUSTOMERS_ALL_DATA")</f>
        <v>#N/A N/A</v>
      </c>
      <c r="EU5" t="str">
        <f>_xll.BDS("FULT US Equity","SUPPLY_CHAIN_SUPPLIERS_ALL_DATA","cols=12;rows=2")</f>
        <v>DLX US Equity</v>
      </c>
      <c r="EW5">
        <v>-2.4245362661989844E-14</v>
      </c>
      <c r="EX5">
        <v>-2.4245362661989844E-14</v>
      </c>
      <c r="EY5" t="s">
        <v>1773</v>
      </c>
      <c r="EZ5">
        <v>2023</v>
      </c>
      <c r="FA5" t="s">
        <v>2586</v>
      </c>
      <c r="FB5" s="6">
        <v>45265</v>
      </c>
      <c r="FC5">
        <v>2</v>
      </c>
      <c r="FD5">
        <v>-2.4245362661989844E-14</v>
      </c>
      <c r="FE5">
        <v>100444</v>
      </c>
      <c r="FF5" t="s">
        <v>2587</v>
      </c>
      <c r="FI5" t="str">
        <f>_xll.BDS("FULT US Equity","SUPPLY_CHAIN_CUSTOMERS_ALL_DATA")</f>
        <v>#N/A N/A</v>
      </c>
      <c r="FY5" t="str">
        <f>_xll.BDS("NBTB US Equity","SUPPLY_CHAIN_SUPPLIERS_ALL_DATA","cols=12;rows=1")</f>
        <v>FRSH US Equity</v>
      </c>
      <c r="GA5">
        <v>-2.4245362661989844E-14</v>
      </c>
      <c r="GB5">
        <v>-2.4245362661989844E-14</v>
      </c>
      <c r="GC5" t="s">
        <v>1789</v>
      </c>
      <c r="GD5">
        <v>2025</v>
      </c>
      <c r="GE5" t="s">
        <v>2124</v>
      </c>
      <c r="GF5" s="6">
        <v>46063</v>
      </c>
      <c r="GG5">
        <v>1</v>
      </c>
      <c r="GH5">
        <v>-2.4245362661989844E-14</v>
      </c>
      <c r="GI5">
        <v>28498368</v>
      </c>
      <c r="GJ5" t="s">
        <v>2125</v>
      </c>
      <c r="GM5" t="str">
        <f>_xll.BDS("NBTB US Equity","SUPPLY_CHAIN_CUSTOMERS_ALL_DATA")</f>
        <v>#N/A N/A</v>
      </c>
      <c r="HC5" t="str">
        <f>_xll.BDS("WABC US Equity","SUPPLY_CHAIN_SUPPLIERS_ALL_DATA","cols=12;rows=1")</f>
        <v>QUIS CN Equity</v>
      </c>
      <c r="HE5">
        <v>-2.4245362661989844E-14</v>
      </c>
      <c r="HF5">
        <v>-2.4245362661989844E-14</v>
      </c>
      <c r="HG5" t="s">
        <v>1773</v>
      </c>
      <c r="HH5">
        <v>2022</v>
      </c>
      <c r="HI5" t="s">
        <v>4324</v>
      </c>
      <c r="HJ5" s="6">
        <v>44902</v>
      </c>
      <c r="HK5">
        <v>1</v>
      </c>
      <c r="HL5">
        <v>-2.4245362661989844E-14</v>
      </c>
      <c r="HM5">
        <v>28615713</v>
      </c>
      <c r="HN5" t="s">
        <v>4325</v>
      </c>
      <c r="HQ5" t="str">
        <f>_xll.BDS("WABC US Equity","SUPPLY_CHAIN_CUSTOMERS_ALL_DATA")</f>
        <v>#N/A N/A</v>
      </c>
      <c r="IG5" t="str">
        <f>_xll.BDS("NIC US Equity","SUPPLY_CHAIN_SUPPLIERS_ALL_DATA","cols=12;rows=1")</f>
        <v>VYX US Equity</v>
      </c>
      <c r="II5">
        <v>-2.4245362661989844E-14</v>
      </c>
      <c r="IJ5">
        <v>-2.4245362661989844E-14</v>
      </c>
      <c r="IK5" t="s">
        <v>1785</v>
      </c>
      <c r="IL5">
        <v>2023</v>
      </c>
      <c r="IM5" t="s">
        <v>3677</v>
      </c>
      <c r="IN5" s="6">
        <v>45730</v>
      </c>
      <c r="IO5">
        <v>1</v>
      </c>
      <c r="IP5">
        <v>-2.4245362661989844E-14</v>
      </c>
      <c r="IQ5">
        <v>202476</v>
      </c>
      <c r="IR5" t="s">
        <v>1970</v>
      </c>
      <c r="IU5" t="str">
        <f>_xll.BDS("NIC US Equity","SUPPLY_CHAIN_CUSTOMERS_ALL_DATA")</f>
        <v>#N/A N/A</v>
      </c>
      <c r="JK5" t="str">
        <f>_xll.BDS("PRU US Equity","SUPPLY_CHAIN_SUPPLIERS_ALL_DATA","cols=12;rows=5")</f>
        <v>ADBE US Equity</v>
      </c>
      <c r="JL5" t="s">
        <v>1808</v>
      </c>
      <c r="JM5">
        <v>1.4040000000000001E-3</v>
      </c>
      <c r="JN5">
        <v>0.16491400000000001</v>
      </c>
      <c r="JO5" t="s">
        <v>1768</v>
      </c>
      <c r="JP5">
        <v>2025</v>
      </c>
      <c r="JQ5" t="s">
        <v>2359</v>
      </c>
      <c r="JR5" s="6">
        <v>45838</v>
      </c>
      <c r="JS5">
        <v>5</v>
      </c>
      <c r="JT5">
        <v>82457</v>
      </c>
      <c r="JU5">
        <v>101689</v>
      </c>
      <c r="JV5" t="s">
        <v>2360</v>
      </c>
      <c r="JY5" t="str">
        <f>_xll.BDS("PRU US Equity","SUPPLY_CHAIN_CUSTOMERS_ALL_DATA","cols=12;rows=1")</f>
        <v>BBLNF US Equity</v>
      </c>
      <c r="JZ5">
        <v>-2.4245362661989844E-14</v>
      </c>
      <c r="KB5">
        <v>-2.4245362661989844E-14</v>
      </c>
      <c r="KC5" t="s">
        <v>1789</v>
      </c>
      <c r="KD5">
        <v>2021</v>
      </c>
      <c r="KE5" t="s">
        <v>3697</v>
      </c>
      <c r="KF5" s="6">
        <v>44650</v>
      </c>
      <c r="KG5">
        <v>1</v>
      </c>
      <c r="KH5">
        <v>-2.4245362661989844E-14</v>
      </c>
      <c r="KI5">
        <v>69697711</v>
      </c>
      <c r="KJ5" t="s">
        <v>3698</v>
      </c>
      <c r="KO5" t="str">
        <f>_xll.BDS("PTIX US Equity","SUPPLY_CHAIN_SUPPLIERS_ALL_DATA","cols=12;rows=1")</f>
        <v>3840Z CN Equity</v>
      </c>
      <c r="KQ5">
        <v>-2.4245362661989844E-14</v>
      </c>
      <c r="KR5">
        <v>-2.4245362661989844E-14</v>
      </c>
      <c r="KS5" t="s">
        <v>1789</v>
      </c>
      <c r="KT5">
        <v>2024</v>
      </c>
      <c r="KU5" t="s">
        <v>3928</v>
      </c>
      <c r="KV5" s="6">
        <v>45747</v>
      </c>
      <c r="KW5">
        <v>1</v>
      </c>
      <c r="KX5">
        <v>-2.4245362661989844E-14</v>
      </c>
      <c r="KY5">
        <v>957405</v>
      </c>
      <c r="KZ5" t="s">
        <v>3929</v>
      </c>
      <c r="LC5" t="str">
        <f>_xll.BDS("PTIX US Equity","SUPPLY_CHAIN_CUSTOMERS_ALL_DATA")</f>
        <v>#N/A N/A</v>
      </c>
      <c r="LS5" t="str">
        <f>_xll.BDS("SHBI US Equity","SUPPLY_CHAIN_SUPPLIERS_ALL_DATA")</f>
        <v>#N/A N/A</v>
      </c>
      <c r="MG5" t="str">
        <f>_xll.BDS("SHBI US Equity","SUPPLY_CHAIN_CUSTOMERS_ALL_DATA")</f>
        <v>#N/A N/A</v>
      </c>
      <c r="MW5" t="str">
        <f>_xll.BDS("RCRC US Equity","SUPPLY_CHAIN_SUPPLIERS_ALL_DATA")</f>
        <v>#N/A N/A</v>
      </c>
      <c r="NK5" t="str">
        <f>_xll.BDS("RCRC US Equity","SUPPLY_CHAIN_CUSTOMERS_ALL_DATA")</f>
        <v>#N/A N/A</v>
      </c>
      <c r="OA5" t="str">
        <f>_xll.BDS("GWB US Equity","SUPPLY_CHAIN_SUPPLIERS_ALL_DATA")</f>
        <v>#N/A N/A</v>
      </c>
      <c r="OO5" t="str">
        <f>_xll.BDS("GWB US Equity","SUPPLY_CHAIN_CUSTOMERS_ALL_DATA")</f>
        <v>#N/A N/A</v>
      </c>
      <c r="PE5" t="str">
        <f>_xll.BDS("TCR US Equity","SUPPLY_CHAIN_SUPPLIERS_ALL_DATA")</f>
        <v>#N/A N/A</v>
      </c>
      <c r="PS5" t="str">
        <f>_xll.BDS("TCR US Equity","SUPPLY_CHAIN_CUSTOMERS_ALL_DATA")</f>
        <v>#N/A N/A</v>
      </c>
      <c r="QI5" t="str">
        <f>_xll.BDS("SAGI US Equity","SUPPLY_CHAIN_SUPPLIERS_ALL_DATA")</f>
        <v>#N/A N/A</v>
      </c>
      <c r="QW5" t="str">
        <f>_xll.BDS("SAGI US Equity","SUPPLY_CHAIN_CUSTOMERS_ALL_DATA")</f>
        <v>#N/A N/A</v>
      </c>
      <c r="RM5" t="str">
        <f>_xll.BDS("CLBK US Equity","SUPPLY_CHAIN_SUPPLIERS_ALL_DATA")</f>
        <v>#N/A N/A</v>
      </c>
      <c r="SA5" t="str">
        <f>_xll.BDS("CLBK US Equity","SUPPLY_CHAIN_CUSTOMERS_ALL_DATA")</f>
        <v>#N/A N/A</v>
      </c>
      <c r="SQ5" t="str">
        <f>_xll.BDS("EAGB US Equity","SUPPLY_CHAIN_SUPPLIERS_ALL_DATA")</f>
        <v>#N/A N/A</v>
      </c>
      <c r="TE5" t="str">
        <f>_xll.BDS("EAGB US Equity","SUPPLY_CHAIN_CUSTOMERS_ALL_DATA")</f>
        <v>#N/A N/A</v>
      </c>
      <c r="TU5" t="str">
        <f>_xll.BDS("TFC US Equity","SUPPLY_CHAIN_SUPPLIERS_ALL_DATA","cols=12;rows=5")</f>
        <v>ADBE US Equity</v>
      </c>
      <c r="TV5" t="s">
        <v>1808</v>
      </c>
      <c r="TW5">
        <v>9.3438999999999994E-2</v>
      </c>
      <c r="TX5">
        <v>0.18883900000000001</v>
      </c>
      <c r="TY5" t="s">
        <v>1768</v>
      </c>
      <c r="TZ5">
        <v>2025</v>
      </c>
      <c r="UA5" t="s">
        <v>2359</v>
      </c>
      <c r="UB5" s="6">
        <v>45838</v>
      </c>
      <c r="UC5">
        <v>5</v>
      </c>
      <c r="UD5">
        <v>5487672</v>
      </c>
      <c r="UE5">
        <v>101689</v>
      </c>
      <c r="UF5" t="s">
        <v>2360</v>
      </c>
      <c r="UI5" t="str">
        <f>_xll.BDS("TFC US Equity","SUPPLY_CHAIN_CUSTOMERS_ALL_DATA","cols=12;rows=1")</f>
        <v>RENG IN Equity</v>
      </c>
      <c r="UJ5">
        <v>-2.4245362661989844E-14</v>
      </c>
      <c r="UL5">
        <v>-2.4245362661989844E-14</v>
      </c>
      <c r="UM5" t="s">
        <v>1789</v>
      </c>
      <c r="UN5">
        <v>2025</v>
      </c>
      <c r="UO5" t="s">
        <v>2271</v>
      </c>
      <c r="UP5" s="6">
        <v>45901</v>
      </c>
      <c r="UQ5">
        <v>1</v>
      </c>
      <c r="UR5">
        <v>-2.4245362661989844E-14</v>
      </c>
      <c r="US5">
        <v>182734</v>
      </c>
      <c r="UT5" t="s">
        <v>2272</v>
      </c>
      <c r="UY5" t="str">
        <f>_xll.BDS("DCOM US Equity","SUPPLY_CHAIN_SUPPLIERS_ALL_DATA")</f>
        <v>#N/A N/A</v>
      </c>
      <c r="VM5" t="str">
        <f>_xll.BDS("DCOM US Equity","SUPPLY_CHAIN_CUSTOMERS_ALL_DATA")</f>
        <v>#N/A N/A</v>
      </c>
    </row>
    <row r="6" spans="1:600" x14ac:dyDescent="0.25">
      <c r="AE6" t="s">
        <v>3730</v>
      </c>
      <c r="AF6" t="s">
        <v>1777</v>
      </c>
      <c r="AG6">
        <v>1.2786770000000001</v>
      </c>
      <c r="AH6">
        <v>0.48042899999999999</v>
      </c>
      <c r="AI6" t="s">
        <v>1773</v>
      </c>
      <c r="AJ6">
        <v>2025</v>
      </c>
      <c r="AK6" t="s">
        <v>3731</v>
      </c>
      <c r="AL6" s="6">
        <v>45965</v>
      </c>
      <c r="AM6">
        <v>5</v>
      </c>
      <c r="AN6">
        <v>1195000</v>
      </c>
      <c r="AO6">
        <v>66375989</v>
      </c>
      <c r="AP6" t="s">
        <v>3732</v>
      </c>
      <c r="AS6" t="s">
        <v>3918</v>
      </c>
      <c r="AT6">
        <v>22.438248000000002</v>
      </c>
      <c r="AV6">
        <v>-2.4245362661989844E-14</v>
      </c>
      <c r="AW6" t="s">
        <v>1789</v>
      </c>
      <c r="AX6">
        <v>2025</v>
      </c>
      <c r="AY6" t="s">
        <v>3916</v>
      </c>
      <c r="AZ6" s="6">
        <v>46071</v>
      </c>
      <c r="BA6">
        <v>5</v>
      </c>
      <c r="BB6">
        <v>116125000</v>
      </c>
      <c r="BC6">
        <v>12956522</v>
      </c>
      <c r="BD6" t="s">
        <v>3919</v>
      </c>
      <c r="EU6" t="s">
        <v>2044</v>
      </c>
      <c r="EW6">
        <v>-2.4245362661989844E-14</v>
      </c>
      <c r="EX6">
        <v>-2.4245362661989844E-14</v>
      </c>
      <c r="EY6" t="s">
        <v>1894</v>
      </c>
      <c r="EZ6">
        <v>2023</v>
      </c>
      <c r="FA6" t="s">
        <v>2045</v>
      </c>
      <c r="FB6" s="6">
        <v>45245</v>
      </c>
      <c r="FC6">
        <v>2</v>
      </c>
      <c r="FD6">
        <v>-2.4245362661989844E-14</v>
      </c>
      <c r="FE6">
        <v>103882</v>
      </c>
      <c r="FF6" t="s">
        <v>2046</v>
      </c>
      <c r="JK6" t="s">
        <v>3029</v>
      </c>
      <c r="JM6">
        <v>-2.4245362661989844E-14</v>
      </c>
      <c r="JN6">
        <v>-2.4245362661989844E-14</v>
      </c>
      <c r="JO6" t="s">
        <v>1789</v>
      </c>
      <c r="JP6">
        <v>2025</v>
      </c>
      <c r="JQ6" t="s">
        <v>3030</v>
      </c>
      <c r="JR6" s="6">
        <v>45938</v>
      </c>
      <c r="JS6">
        <v>5</v>
      </c>
      <c r="JT6">
        <v>-2.4245362661989844E-14</v>
      </c>
      <c r="JU6">
        <v>70158692</v>
      </c>
      <c r="JV6" t="s">
        <v>3031</v>
      </c>
      <c r="TU6" t="s">
        <v>3331</v>
      </c>
      <c r="TV6" t="s">
        <v>1808</v>
      </c>
      <c r="TW6">
        <v>1.151538</v>
      </c>
      <c r="TX6">
        <v>7.7191999999999997E-2</v>
      </c>
      <c r="TY6" t="s">
        <v>1789</v>
      </c>
      <c r="TZ6">
        <v>2024</v>
      </c>
      <c r="UA6" t="s">
        <v>3966</v>
      </c>
      <c r="UB6" s="6">
        <v>45716</v>
      </c>
      <c r="UC6">
        <v>5</v>
      </c>
      <c r="UD6">
        <v>2317499</v>
      </c>
      <c r="UE6">
        <v>35300053</v>
      </c>
      <c r="UF6" t="s">
        <v>3333</v>
      </c>
    </row>
    <row r="7" spans="1:600" x14ac:dyDescent="0.25">
      <c r="AE7" t="s">
        <v>3733</v>
      </c>
      <c r="AG7">
        <v>-2.4245362661989844E-14</v>
      </c>
      <c r="AH7">
        <v>-2.4245362661989844E-14</v>
      </c>
      <c r="AI7" t="s">
        <v>1789</v>
      </c>
      <c r="AJ7">
        <v>2021</v>
      </c>
      <c r="AK7" t="s">
        <v>3734</v>
      </c>
      <c r="AL7" s="6">
        <v>44652</v>
      </c>
      <c r="AM7">
        <v>5</v>
      </c>
      <c r="AN7">
        <v>-2.4245362661989844E-14</v>
      </c>
      <c r="AO7">
        <v>108393</v>
      </c>
      <c r="AP7" t="s">
        <v>3735</v>
      </c>
      <c r="AS7" t="s">
        <v>3920</v>
      </c>
      <c r="AT7">
        <v>17.399908</v>
      </c>
      <c r="AU7" t="s">
        <v>1777</v>
      </c>
      <c r="AV7">
        <v>11.335708</v>
      </c>
      <c r="AW7" t="s">
        <v>1789</v>
      </c>
      <c r="AX7">
        <v>2025</v>
      </c>
      <c r="AY7" t="s">
        <v>3916</v>
      </c>
      <c r="AZ7" s="6">
        <v>46071</v>
      </c>
      <c r="BA7">
        <v>5</v>
      </c>
      <c r="BB7">
        <v>90050008</v>
      </c>
      <c r="BC7">
        <v>15691932</v>
      </c>
      <c r="BD7" t="s">
        <v>3921</v>
      </c>
      <c r="JK7" t="s">
        <v>4125</v>
      </c>
      <c r="JM7">
        <v>-2.4245362661989844E-14</v>
      </c>
      <c r="JN7">
        <v>-2.4245362661989844E-14</v>
      </c>
      <c r="JO7" t="s">
        <v>1789</v>
      </c>
      <c r="JP7">
        <v>2025</v>
      </c>
      <c r="JQ7" t="s">
        <v>4126</v>
      </c>
      <c r="JR7" s="6">
        <v>45828</v>
      </c>
      <c r="JS7">
        <v>5</v>
      </c>
      <c r="JT7">
        <v>-2.4245362661989844E-14</v>
      </c>
      <c r="JU7">
        <v>7863499</v>
      </c>
      <c r="JV7" t="s">
        <v>4127</v>
      </c>
      <c r="TU7" t="s">
        <v>2493</v>
      </c>
      <c r="TV7" t="s">
        <v>1808</v>
      </c>
      <c r="TW7">
        <v>0.492811</v>
      </c>
      <c r="TX7">
        <v>2.9784000000000001E-2</v>
      </c>
      <c r="TY7" t="s">
        <v>1781</v>
      </c>
      <c r="TZ7">
        <v>2026</v>
      </c>
      <c r="UA7" t="s">
        <v>3630</v>
      </c>
      <c r="UB7" s="6">
        <v>45898</v>
      </c>
      <c r="UC7">
        <v>5</v>
      </c>
      <c r="UD7">
        <v>889383.69</v>
      </c>
      <c r="UE7">
        <v>178651</v>
      </c>
      <c r="UF7" t="s">
        <v>2495</v>
      </c>
    </row>
    <row r="8" spans="1:600" x14ac:dyDescent="0.25">
      <c r="AE8" t="s">
        <v>3736</v>
      </c>
      <c r="AG8">
        <v>-2.4245362661989844E-14</v>
      </c>
      <c r="AH8">
        <v>-2.4245362661989844E-14</v>
      </c>
      <c r="AI8" t="s">
        <v>1789</v>
      </c>
      <c r="AJ8">
        <v>2021</v>
      </c>
      <c r="AK8" t="s">
        <v>3737</v>
      </c>
      <c r="AL8" s="6">
        <v>44693</v>
      </c>
      <c r="AM8">
        <v>5</v>
      </c>
      <c r="AN8">
        <v>-2.4245362661989844E-14</v>
      </c>
      <c r="AO8">
        <v>101625</v>
      </c>
      <c r="AP8" t="s">
        <v>3738</v>
      </c>
      <c r="AS8" t="s">
        <v>3922</v>
      </c>
      <c r="AT8">
        <v>-2.4245362661989844E-14</v>
      </c>
      <c r="AV8">
        <v>-2.4245362661989844E-14</v>
      </c>
      <c r="AW8" t="s">
        <v>1789</v>
      </c>
      <c r="AX8">
        <v>2022</v>
      </c>
      <c r="AY8" t="s">
        <v>3923</v>
      </c>
      <c r="AZ8" s="6">
        <v>44980</v>
      </c>
      <c r="BA8">
        <v>5</v>
      </c>
      <c r="BB8">
        <v>-2.4245362661989844E-14</v>
      </c>
      <c r="BC8">
        <v>1496403</v>
      </c>
      <c r="BD8" t="s">
        <v>3924</v>
      </c>
      <c r="JK8" t="s">
        <v>4128</v>
      </c>
      <c r="JM8">
        <v>-2.4245362661989844E-14</v>
      </c>
      <c r="JN8">
        <v>-2.4245362661989844E-14</v>
      </c>
      <c r="JO8" t="s">
        <v>4129</v>
      </c>
      <c r="JP8">
        <v>2025</v>
      </c>
      <c r="JQ8" t="s">
        <v>4130</v>
      </c>
      <c r="JR8" s="6">
        <v>45947</v>
      </c>
      <c r="JS8">
        <v>5</v>
      </c>
      <c r="JT8">
        <v>-2.4245362661989844E-14</v>
      </c>
      <c r="JU8">
        <v>9809006</v>
      </c>
      <c r="JV8" t="s">
        <v>4131</v>
      </c>
      <c r="TU8" t="s">
        <v>2839</v>
      </c>
      <c r="TW8">
        <v>0.44397199999999998</v>
      </c>
      <c r="TX8">
        <v>-2.4245362661989844E-14</v>
      </c>
      <c r="TY8" t="s">
        <v>1785</v>
      </c>
      <c r="TZ8">
        <v>2024</v>
      </c>
      <c r="UA8" t="s">
        <v>3967</v>
      </c>
      <c r="UB8" s="6">
        <v>45699</v>
      </c>
      <c r="UC8">
        <v>5</v>
      </c>
      <c r="UD8">
        <v>316250</v>
      </c>
      <c r="UE8">
        <v>10086577</v>
      </c>
      <c r="UF8" t="s">
        <v>2841</v>
      </c>
    </row>
    <row r="9" spans="1:600" x14ac:dyDescent="0.25">
      <c r="AE9" t="s">
        <v>3739</v>
      </c>
      <c r="AG9">
        <v>-2.4245362661989844E-14</v>
      </c>
      <c r="AH9">
        <v>-2.4245362661989844E-14</v>
      </c>
      <c r="AI9" t="s">
        <v>1789</v>
      </c>
      <c r="AJ9">
        <v>2021</v>
      </c>
      <c r="AK9" t="s">
        <v>3740</v>
      </c>
      <c r="AL9" s="6">
        <v>44693</v>
      </c>
      <c r="AM9">
        <v>5</v>
      </c>
      <c r="AN9">
        <v>-2.4245362661989844E-14</v>
      </c>
      <c r="AO9">
        <v>100207</v>
      </c>
      <c r="AP9" t="s">
        <v>3741</v>
      </c>
      <c r="AS9" t="s">
        <v>3925</v>
      </c>
      <c r="AT9">
        <v>-2.4245362661989844E-14</v>
      </c>
      <c r="AV9">
        <v>-2.4245362661989844E-14</v>
      </c>
      <c r="AW9" t="s">
        <v>2183</v>
      </c>
      <c r="AX9">
        <v>2024</v>
      </c>
      <c r="AY9" t="s">
        <v>3926</v>
      </c>
      <c r="AZ9" s="6">
        <v>45706</v>
      </c>
      <c r="BA9">
        <v>5</v>
      </c>
      <c r="BB9">
        <v>-2.4245362661989844E-14</v>
      </c>
      <c r="BC9">
        <v>67288168</v>
      </c>
      <c r="BD9" t="s">
        <v>3927</v>
      </c>
      <c r="JK9" t="s">
        <v>3696</v>
      </c>
      <c r="JM9">
        <v>-2.4245362661989844E-14</v>
      </c>
      <c r="JN9">
        <v>-2.4245362661989844E-14</v>
      </c>
      <c r="JO9" t="s">
        <v>1789</v>
      </c>
      <c r="JP9">
        <v>2022</v>
      </c>
      <c r="JQ9" t="s">
        <v>4132</v>
      </c>
      <c r="JR9" s="6">
        <v>45001</v>
      </c>
      <c r="JS9">
        <v>5</v>
      </c>
      <c r="JT9">
        <v>-2.4245362661989844E-14</v>
      </c>
      <c r="JU9">
        <v>69697711</v>
      </c>
      <c r="JV9" t="s">
        <v>3698</v>
      </c>
      <c r="TU9" t="s">
        <v>1995</v>
      </c>
      <c r="TW9">
        <v>-2.4245362661989844E-14</v>
      </c>
      <c r="TX9">
        <v>-2.4245362661989844E-14</v>
      </c>
      <c r="TY9" t="s">
        <v>1894</v>
      </c>
      <c r="TZ9">
        <v>2025</v>
      </c>
      <c r="UA9" t="s">
        <v>2043</v>
      </c>
      <c r="UB9" s="6">
        <v>45974</v>
      </c>
      <c r="UC9">
        <v>5</v>
      </c>
      <c r="UD9">
        <v>-2.4245362661989844E-14</v>
      </c>
      <c r="UE9">
        <v>118099</v>
      </c>
      <c r="UF9" t="s">
        <v>1998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154</v>
      </c>
      <c r="AE2" s="3" t="s">
        <v>155</v>
      </c>
      <c r="BI2" s="3" t="s">
        <v>156</v>
      </c>
      <c r="CM2" s="3" t="s">
        <v>157</v>
      </c>
      <c r="DQ2" s="3" t="s">
        <v>158</v>
      </c>
      <c r="EU2" s="3" t="s">
        <v>159</v>
      </c>
      <c r="FY2" s="3" t="s">
        <v>132</v>
      </c>
      <c r="HC2" s="3" t="s">
        <v>160</v>
      </c>
      <c r="IG2" s="3" t="s">
        <v>161</v>
      </c>
      <c r="JK2" s="3" t="s">
        <v>162</v>
      </c>
      <c r="KO2" s="3" t="s">
        <v>163</v>
      </c>
      <c r="LS2" s="3" t="s">
        <v>164</v>
      </c>
      <c r="MW2" s="3" t="s">
        <v>165</v>
      </c>
      <c r="OA2" s="3" t="s">
        <v>166</v>
      </c>
      <c r="PE2" s="3" t="s">
        <v>167</v>
      </c>
      <c r="QI2" s="3" t="s">
        <v>168</v>
      </c>
      <c r="RM2" s="3" t="s">
        <v>169</v>
      </c>
      <c r="SQ2" s="3" t="s">
        <v>170</v>
      </c>
      <c r="TU2" s="3" t="s">
        <v>32</v>
      </c>
      <c r="UY2" s="3" t="s">
        <v>171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_xll.BDS("AAL US Equity","SUPPLY_CHAIN_SUPPLIERS_ALL_DATA","cols=12;rows=5")</f>
        <v>BA US Equity</v>
      </c>
      <c r="B5" t="s">
        <v>1906</v>
      </c>
      <c r="C5">
        <v>1.979095</v>
      </c>
      <c r="D5">
        <v>90.225311000000005</v>
      </c>
      <c r="E5" t="s">
        <v>1768</v>
      </c>
      <c r="F5">
        <v>2025</v>
      </c>
      <c r="G5" t="s">
        <v>2625</v>
      </c>
      <c r="H5" s="6">
        <v>45873</v>
      </c>
      <c r="I5">
        <v>5</v>
      </c>
      <c r="J5">
        <v>450224320</v>
      </c>
      <c r="K5">
        <v>100211</v>
      </c>
      <c r="L5" t="s">
        <v>1825</v>
      </c>
      <c r="O5" t="str">
        <f>_xll.BDS("AAL US Equity","SUPPLY_CHAIN_CUSTOMERS_ALL_DATA","cols=12;rows=5")</f>
        <v>293 HK Equity</v>
      </c>
      <c r="P5">
        <v>9.9788000000000002E-2</v>
      </c>
      <c r="Q5" t="s">
        <v>1808</v>
      </c>
      <c r="R5">
        <v>0.46331600000000001</v>
      </c>
      <c r="S5" t="s">
        <v>1768</v>
      </c>
      <c r="T5">
        <v>2025</v>
      </c>
      <c r="U5" t="s">
        <v>4707</v>
      </c>
      <c r="V5" s="6">
        <v>45882</v>
      </c>
      <c r="W5">
        <v>5</v>
      </c>
      <c r="X5">
        <v>14362498.66</v>
      </c>
      <c r="Y5">
        <v>115777</v>
      </c>
      <c r="Z5" t="s">
        <v>4708</v>
      </c>
      <c r="AE5" t="str">
        <f>_xll.BDS("CBONQ US Equity","SUPPLY_CHAIN_SUPPLIERS_ALL_DATA")</f>
        <v>#N/A N/A</v>
      </c>
      <c r="AS5" t="str">
        <f>_xll.BDS("CBONQ US Equity","SUPPLY_CHAIN_CUSTOMERS_ALL_DATA")</f>
        <v>#N/A N/A</v>
      </c>
      <c r="BI5" t="str">
        <f>_xll.BDS("DEIX US Equity","SUPPLY_CHAIN_SUPPLIERS_ALL_DATA")</f>
        <v>#N/A N/A</v>
      </c>
      <c r="BW5" t="str">
        <f>_xll.BDS("DEIX US Equity","SUPPLY_CHAIN_CUSTOMERS_ALL_DATA")</f>
        <v>#N/A N/A</v>
      </c>
      <c r="CM5" t="str">
        <f>_xll.BDS("1740293D US Equity","SUPPLY_CHAIN_SUPPLIERS_ALL_DATA")</f>
        <v>#N/A N/A</v>
      </c>
      <c r="DA5" t="str">
        <f>_xll.BDS("1740293D US Equity","SUPPLY_CHAIN_CUSTOMERS_ALL_DATA")</f>
        <v>#N/A N/A</v>
      </c>
      <c r="DQ5" t="str">
        <f>_xll.BDS("VLY US Equity","SUPPLY_CHAIN_SUPPLIERS_ALL_DATA","cols=12;rows=2")</f>
        <v>VNO US Equity</v>
      </c>
      <c r="DS5">
        <v>-2.4245362661989844E-14</v>
      </c>
      <c r="DT5">
        <v>-2.4245362661989844E-14</v>
      </c>
      <c r="DU5" t="s">
        <v>1789</v>
      </c>
      <c r="DV5">
        <v>2022</v>
      </c>
      <c r="DW5" t="s">
        <v>3003</v>
      </c>
      <c r="DX5" s="6">
        <v>44970</v>
      </c>
      <c r="DY5">
        <v>2</v>
      </c>
      <c r="DZ5">
        <v>-2.4245362661989844E-14</v>
      </c>
      <c r="EA5">
        <v>101608</v>
      </c>
      <c r="EB5" t="s">
        <v>3004</v>
      </c>
      <c r="EE5" t="str">
        <f>_xll.BDS("VLY US Equity","SUPPLY_CHAIN_CUSTOMERS_ALL_DATA")</f>
        <v>#N/A N/A</v>
      </c>
      <c r="EU5" t="str">
        <f>_xll.BDS("VRTX US Equity","SUPPLY_CHAIN_SUPPLIERS_ALL_DATA","cols=12;rows=5")</f>
        <v>RPRX US Equity</v>
      </c>
      <c r="EV5" t="s">
        <v>2574</v>
      </c>
      <c r="EW5">
        <v>35</v>
      </c>
      <c r="EX5">
        <v>21.290894999999999</v>
      </c>
      <c r="EY5" t="s">
        <v>1789</v>
      </c>
      <c r="EZ5">
        <v>2025</v>
      </c>
      <c r="FA5" t="s">
        <v>4193</v>
      </c>
      <c r="FB5" s="6">
        <v>46064</v>
      </c>
      <c r="FC5">
        <v>5</v>
      </c>
      <c r="FD5">
        <v>208091888</v>
      </c>
      <c r="FE5">
        <v>68003261</v>
      </c>
      <c r="FF5" t="s">
        <v>2709</v>
      </c>
      <c r="FI5" t="str">
        <f>_xll.BDS("VRTX US Equity","SUPPLY_CHAIN_CUSTOMERS_ALL_DATA","cols=12;rows=5")</f>
        <v>MCK US Equity</v>
      </c>
      <c r="FJ5">
        <v>21.943724</v>
      </c>
      <c r="FK5" t="s">
        <v>1777</v>
      </c>
      <c r="FL5">
        <v>0.68615000000000004</v>
      </c>
      <c r="FM5" t="s">
        <v>1789</v>
      </c>
      <c r="FN5">
        <v>2025</v>
      </c>
      <c r="FO5" t="s">
        <v>3387</v>
      </c>
      <c r="FP5" s="6">
        <v>46066</v>
      </c>
      <c r="FQ5">
        <v>5</v>
      </c>
      <c r="FR5">
        <v>658382976</v>
      </c>
      <c r="FS5">
        <v>154936</v>
      </c>
      <c r="FT5" t="s">
        <v>2528</v>
      </c>
      <c r="FY5" t="str">
        <f>_xll.BDS("TFC US Equity","SUPPLY_CHAIN_SUPPLIERS_ALL_DATA","cols=12;rows=5")</f>
        <v>ADBE US Equity</v>
      </c>
      <c r="FZ5" t="s">
        <v>1808</v>
      </c>
      <c r="GA5">
        <v>9.3438999999999994E-2</v>
      </c>
      <c r="GB5">
        <v>0.18883900000000001</v>
      </c>
      <c r="GC5" t="s">
        <v>1768</v>
      </c>
      <c r="GD5">
        <v>2025</v>
      </c>
      <c r="GE5" t="s">
        <v>2359</v>
      </c>
      <c r="GF5" s="6">
        <v>45838</v>
      </c>
      <c r="GG5">
        <v>5</v>
      </c>
      <c r="GH5">
        <v>5487672</v>
      </c>
      <c r="GI5">
        <v>101689</v>
      </c>
      <c r="GJ5" t="s">
        <v>2360</v>
      </c>
      <c r="GM5" t="str">
        <f>_xll.BDS("TFC US Equity","SUPPLY_CHAIN_CUSTOMERS_ALL_DATA","cols=12;rows=1")</f>
        <v>RENG IN Equity</v>
      </c>
      <c r="GN5">
        <v>-2.4245362661989844E-14</v>
      </c>
      <c r="GP5">
        <v>-2.4245362661989844E-14</v>
      </c>
      <c r="GQ5" t="s">
        <v>1789</v>
      </c>
      <c r="GR5">
        <v>2025</v>
      </c>
      <c r="GS5" t="s">
        <v>2271</v>
      </c>
      <c r="GT5" s="6">
        <v>45901</v>
      </c>
      <c r="GU5">
        <v>1</v>
      </c>
      <c r="GV5">
        <v>-2.4245362661989844E-14</v>
      </c>
      <c r="GW5">
        <v>182734</v>
      </c>
      <c r="GX5" t="s">
        <v>2272</v>
      </c>
      <c r="HC5" t="str">
        <f>_xll.BDS("ISBC US Equity","SUPPLY_CHAIN_SUPPLIERS_ALL_DATA")</f>
        <v>#N/A N/A</v>
      </c>
      <c r="HQ5" t="str">
        <f>_xll.BDS("ISBC US Equity","SUPPLY_CHAIN_CUSTOMERS_ALL_DATA")</f>
        <v>#N/A N/A</v>
      </c>
      <c r="IG5" t="str">
        <f>_xll.BDS("AGR US Equity","SUPPLY_CHAIN_SUPPLIERS_ALL_DATA","cols=12;rows=5")</f>
        <v>3365854Z US Equity</v>
      </c>
      <c r="II5">
        <v>-2.4245362661989844E-14</v>
      </c>
      <c r="IJ5">
        <v>-2.4245362661989844E-14</v>
      </c>
      <c r="IK5" t="s">
        <v>1789</v>
      </c>
      <c r="IL5">
        <v>2024</v>
      </c>
      <c r="IM5" t="s">
        <v>2752</v>
      </c>
      <c r="IN5" s="6">
        <v>45593</v>
      </c>
      <c r="IO5">
        <v>5</v>
      </c>
      <c r="IP5">
        <v>-2.4245362661989844E-14</v>
      </c>
      <c r="IQ5">
        <v>16825198</v>
      </c>
      <c r="IR5" t="s">
        <v>2753</v>
      </c>
      <c r="IU5" t="str">
        <f>_xll.BDS("AGR US Equity","SUPPLY_CHAIN_CUSTOMERS_ALL_DATA","cols=12;rows=5")</f>
        <v>1256Z NO Equity</v>
      </c>
      <c r="IV5">
        <v>-2.4245362661989844E-14</v>
      </c>
      <c r="IX5">
        <v>-2.4245362661989844E-14</v>
      </c>
      <c r="IY5" t="s">
        <v>1789</v>
      </c>
      <c r="IZ5">
        <v>2024</v>
      </c>
      <c r="JA5" t="s">
        <v>2752</v>
      </c>
      <c r="JB5" s="6">
        <v>45519</v>
      </c>
      <c r="JC5">
        <v>5</v>
      </c>
      <c r="JD5">
        <v>-2.4245362661989844E-14</v>
      </c>
      <c r="JE5">
        <v>173537</v>
      </c>
      <c r="JF5" t="s">
        <v>3623</v>
      </c>
      <c r="JK5" t="str">
        <f>_xll.BDS("1822785D US Equity","SUPPLY_CHAIN_SUPPLIERS_ALL_DATA")</f>
        <v>#N/A N/A</v>
      </c>
      <c r="JY5" t="str">
        <f>_xll.BDS("1822785D US Equity","SUPPLY_CHAIN_CUSTOMERS_ALL_DATA")</f>
        <v>#N/A N/A</v>
      </c>
      <c r="KO5" t="str">
        <f>_xll.BDS("FNB US Equity","SUPPLY_CHAIN_SUPPLIERS_ALL_DATA","cols=12;rows=1")</f>
        <v>HY US Equity</v>
      </c>
      <c r="KQ5">
        <v>-2.4245362661989844E-14</v>
      </c>
      <c r="KR5">
        <v>-2.4245362661989844E-14</v>
      </c>
      <c r="KS5" t="s">
        <v>1789</v>
      </c>
      <c r="KT5">
        <v>2024</v>
      </c>
      <c r="KU5" t="s">
        <v>2269</v>
      </c>
      <c r="KV5" s="6">
        <v>45427</v>
      </c>
      <c r="KW5">
        <v>1</v>
      </c>
      <c r="KX5">
        <v>-2.4245362661989844E-14</v>
      </c>
      <c r="KY5">
        <v>159242</v>
      </c>
      <c r="KZ5" t="s">
        <v>2270</v>
      </c>
      <c r="LC5" t="str">
        <f>_xll.BDS("FNB US Equity","SUPPLY_CHAIN_CUSTOMERS_ALL_DATA")</f>
        <v>#N/A N/A</v>
      </c>
      <c r="LS5" t="str">
        <f>_xll.BDS("9980328D US Equity","SUPPLY_CHAIN_SUPPLIERS_ALL_DATA","cols=12;rows=5")</f>
        <v>1052024D US Equity</v>
      </c>
      <c r="LU5">
        <v>-2.4245362661989844E-14</v>
      </c>
      <c r="LV5">
        <v>-2.4245362661989844E-14</v>
      </c>
      <c r="LW5" t="s">
        <v>1789</v>
      </c>
      <c r="LX5">
        <v>2024</v>
      </c>
      <c r="LY5" t="s">
        <v>3107</v>
      </c>
      <c r="LZ5" s="6">
        <v>45358</v>
      </c>
      <c r="MA5">
        <v>5</v>
      </c>
      <c r="MB5">
        <v>-2.4245362661989844E-14</v>
      </c>
      <c r="MC5">
        <v>41866638</v>
      </c>
      <c r="MD5" t="s">
        <v>4419</v>
      </c>
      <c r="MG5" t="str">
        <f>_xll.BDS("9980328D US Equity","SUPPLY_CHAIN_CUSTOMERS_ALL_DATA","cols=12;rows=5")</f>
        <v>002630 KS Equity</v>
      </c>
      <c r="MH5">
        <v>-2.4245362661989844E-14</v>
      </c>
      <c r="MJ5">
        <v>-2.4245362661989844E-14</v>
      </c>
      <c r="MK5" t="s">
        <v>1894</v>
      </c>
      <c r="ML5">
        <v>2023</v>
      </c>
      <c r="MM5" t="s">
        <v>3104</v>
      </c>
      <c r="MN5" s="6">
        <v>44971</v>
      </c>
      <c r="MO5">
        <v>5</v>
      </c>
      <c r="MP5">
        <v>-2.4245362661989844E-14</v>
      </c>
      <c r="MQ5">
        <v>129294</v>
      </c>
      <c r="MR5" t="s">
        <v>3105</v>
      </c>
      <c r="MW5" t="str">
        <f>_xll.BDS("ARW US Equity","SUPPLY_CHAIN_SUPPLIERS_ALL_DATA","cols=12;rows=5")</f>
        <v>ADI US Equity</v>
      </c>
      <c r="MX5" t="s">
        <v>1777</v>
      </c>
      <c r="MY5">
        <v>23.97711</v>
      </c>
      <c r="MZ5">
        <v>10.259909</v>
      </c>
      <c r="NA5" t="s">
        <v>1773</v>
      </c>
      <c r="NB5">
        <v>2025</v>
      </c>
      <c r="NC5" t="s">
        <v>2563</v>
      </c>
      <c r="ND5" s="6">
        <v>45891</v>
      </c>
      <c r="NE5">
        <v>5</v>
      </c>
      <c r="NF5">
        <v>690624192</v>
      </c>
      <c r="NG5">
        <v>100097</v>
      </c>
      <c r="NH5" t="s">
        <v>2564</v>
      </c>
      <c r="NK5" t="str">
        <f>_xll.BDS("ARW US Equity","SUPPLY_CHAIN_CUSTOMERS_ALL_DATA","cols=12;rows=5")</f>
        <v>IBM US Equity</v>
      </c>
      <c r="NL5">
        <v>0.62020699999999995</v>
      </c>
      <c r="NM5" t="s">
        <v>1777</v>
      </c>
      <c r="NN5">
        <v>0.64917100000000005</v>
      </c>
      <c r="NO5" t="s">
        <v>1781</v>
      </c>
      <c r="NP5">
        <v>2025</v>
      </c>
      <c r="NQ5" t="s">
        <v>2093</v>
      </c>
      <c r="NR5" s="6">
        <v>45797</v>
      </c>
      <c r="NS5">
        <v>5</v>
      </c>
      <c r="NT5">
        <v>42261032</v>
      </c>
      <c r="NU5">
        <v>100801</v>
      </c>
      <c r="NV5" t="s">
        <v>1800</v>
      </c>
      <c r="OA5" t="str">
        <f>_xll.BDS("HUM US Equity","SUPPLY_CHAIN_SUPPLIERS_ALL_DATA","cols=12;rows=5")</f>
        <v>EVH US Equity</v>
      </c>
      <c r="OB5" t="s">
        <v>1777</v>
      </c>
      <c r="OC5">
        <v>19.299999</v>
      </c>
      <c r="OD5">
        <v>0.489813</v>
      </c>
      <c r="OE5" t="s">
        <v>1789</v>
      </c>
      <c r="OF5">
        <v>2024</v>
      </c>
      <c r="OG5" t="s">
        <v>4563</v>
      </c>
      <c r="OH5" s="6">
        <v>45709</v>
      </c>
      <c r="OI5">
        <v>5</v>
      </c>
      <c r="OJ5">
        <v>123266256</v>
      </c>
      <c r="OK5">
        <v>34451827</v>
      </c>
      <c r="OL5" t="s">
        <v>4564</v>
      </c>
      <c r="OO5" t="str">
        <f>_xll.BDS("HUM US Equity","SUPPLY_CHAIN_CUSTOMERS_ALL_DATA","cols=12;rows=5")</f>
        <v>3352Z US Equity</v>
      </c>
      <c r="OP5">
        <v>85</v>
      </c>
      <c r="OR5">
        <v>-2.4245362661989844E-14</v>
      </c>
      <c r="OS5" t="s">
        <v>1789</v>
      </c>
      <c r="OT5">
        <v>2024</v>
      </c>
      <c r="OU5" t="s">
        <v>3316</v>
      </c>
      <c r="OV5" s="6">
        <v>45708</v>
      </c>
      <c r="OW5">
        <v>5</v>
      </c>
      <c r="OX5">
        <v>25024212992</v>
      </c>
      <c r="OY5">
        <v>218252</v>
      </c>
      <c r="OZ5" t="s">
        <v>1798</v>
      </c>
      <c r="PE5" t="str">
        <f>_xll.BDS("BMRC US Equity","SUPPLY_CHAIN_SUPPLIERS_ALL_DATA")</f>
        <v>#N/A N/A</v>
      </c>
      <c r="PS5" t="str">
        <f>_xll.BDS("BMRC US Equity","SUPPLY_CHAIN_CUSTOMERS_ALL_DATA")</f>
        <v>#N/A N/A</v>
      </c>
      <c r="QI5" t="str">
        <f>_xll.BDS("388103Q US Equity","SUPPLY_CHAIN_SUPPLIERS_ALL_DATA")</f>
        <v>#N/A N/A</v>
      </c>
      <c r="QW5" t="str">
        <f>_xll.BDS("388103Q US Equity","SUPPLY_CHAIN_CUSTOMERS_ALL_DATA")</f>
        <v>#N/A N/A</v>
      </c>
      <c r="RM5" t="str">
        <f>_xll.BDS("ALTO US Equity","SUPPLY_CHAIN_SUPPLIERS_ALL_DATA","cols=12;rows=3")</f>
        <v>CSX US Equity</v>
      </c>
      <c r="RN5" t="s">
        <v>1777</v>
      </c>
      <c r="RO5">
        <v>6.9049999999999997E-3</v>
      </c>
      <c r="RP5">
        <v>0.113881</v>
      </c>
      <c r="RQ5" t="s">
        <v>1773</v>
      </c>
      <c r="RR5">
        <v>2025</v>
      </c>
      <c r="RS5" t="s">
        <v>2735</v>
      </c>
      <c r="RT5" s="6">
        <v>45993</v>
      </c>
      <c r="RU5">
        <v>3</v>
      </c>
      <c r="RV5">
        <v>247682</v>
      </c>
      <c r="RW5">
        <v>100415</v>
      </c>
      <c r="RX5" t="s">
        <v>2736</v>
      </c>
      <c r="SA5" t="str">
        <f>_xll.BDS("ALTO US Equity","SUPPLY_CHAIN_CUSTOMERS_ALL_DATA","cols=12;rows=5")</f>
        <v>0877602D US Equity</v>
      </c>
      <c r="SB5">
        <v>-2.4245362661989844E-14</v>
      </c>
      <c r="SD5">
        <v>-2.4245362661989844E-14</v>
      </c>
      <c r="SE5" t="s">
        <v>1781</v>
      </c>
      <c r="SF5">
        <v>2024</v>
      </c>
      <c r="SG5" t="s">
        <v>3968</v>
      </c>
      <c r="SH5" s="6">
        <v>45418</v>
      </c>
      <c r="SI5">
        <v>5</v>
      </c>
      <c r="SJ5">
        <v>-2.4245362661989844E-14</v>
      </c>
      <c r="SK5">
        <v>37429504</v>
      </c>
      <c r="SL5" t="s">
        <v>3969</v>
      </c>
      <c r="SQ5" t="str">
        <f>_xll.BDS("SVC US Equity","SUPPLY_CHAIN_SUPPLIERS_ALL_DATA","cols=12;rows=4")</f>
        <v>OPITQ US Equity</v>
      </c>
      <c r="SR5" t="s">
        <v>1808</v>
      </c>
      <c r="SS5">
        <v>8.2245259999999991</v>
      </c>
      <c r="ST5">
        <v>38.534247999999998</v>
      </c>
      <c r="SU5" t="s">
        <v>1768</v>
      </c>
      <c r="SV5">
        <v>2025</v>
      </c>
      <c r="SW5" t="s">
        <v>3062</v>
      </c>
      <c r="SX5" s="6">
        <v>45868</v>
      </c>
      <c r="SY5">
        <v>4</v>
      </c>
      <c r="SZ5">
        <v>9417000</v>
      </c>
      <c r="TA5">
        <v>15671511</v>
      </c>
      <c r="TB5" t="s">
        <v>3063</v>
      </c>
      <c r="TE5" t="str">
        <f>_xll.BDS("SVC US Equity","SUPPLY_CHAIN_CUSTOMERS_ALL_DATA","cols=12;rows=1")</f>
        <v>OPITQ US Equity</v>
      </c>
      <c r="TF5">
        <v>8.8789999999999994E-2</v>
      </c>
      <c r="TG5" t="s">
        <v>1808</v>
      </c>
      <c r="TH5">
        <v>1.1887350000000001</v>
      </c>
      <c r="TI5" t="s">
        <v>1768</v>
      </c>
      <c r="TJ5">
        <v>2025</v>
      </c>
      <c r="TK5" t="s">
        <v>3062</v>
      </c>
      <c r="TL5" s="6">
        <v>45868</v>
      </c>
      <c r="TM5">
        <v>1</v>
      </c>
      <c r="TN5">
        <v>447000</v>
      </c>
      <c r="TO5">
        <v>15671511</v>
      </c>
      <c r="TP5" t="s">
        <v>3063</v>
      </c>
      <c r="TU5" t="str">
        <f>_xll.BDS("653707Q US Equity","SUPPLY_CHAIN_SUPPLIERS_ALL_DATA")</f>
        <v>#N/A N/A</v>
      </c>
      <c r="UI5" t="str">
        <f>_xll.BDS("653707Q US Equity","SUPPLY_CHAIN_CUSTOMERS_ALL_DATA")</f>
        <v>#N/A N/A</v>
      </c>
      <c r="UY5" t="str">
        <f>_xll.BDS("103917Q US Equity","SUPPLY_CHAIN_SUPPLIERS_ALL_DATA")</f>
        <v>#N/A N/A</v>
      </c>
      <c r="VM5" t="str">
        <f>_xll.BDS("103917Q US Equity","SUPPLY_CHAIN_CUSTOMERS_ALL_DATA")</f>
        <v>#N/A N/A</v>
      </c>
    </row>
    <row r="6" spans="1:600" x14ac:dyDescent="0.25">
      <c r="A6" t="s">
        <v>921</v>
      </c>
      <c r="B6" t="s">
        <v>1777</v>
      </c>
      <c r="C6">
        <v>3.0622020000000001</v>
      </c>
      <c r="D6">
        <v>2.546176</v>
      </c>
      <c r="E6" t="s">
        <v>1768</v>
      </c>
      <c r="F6">
        <v>2025</v>
      </c>
      <c r="G6" t="s">
        <v>1886</v>
      </c>
      <c r="H6" s="6">
        <v>45888</v>
      </c>
      <c r="I6">
        <v>5</v>
      </c>
      <c r="J6">
        <v>337546528</v>
      </c>
      <c r="K6">
        <v>100632</v>
      </c>
      <c r="L6" t="s">
        <v>2763</v>
      </c>
      <c r="O6" t="s">
        <v>4709</v>
      </c>
      <c r="P6">
        <v>-2.4245362661989844E-14</v>
      </c>
      <c r="R6">
        <v>-2.4245362661989844E-14</v>
      </c>
      <c r="S6" t="s">
        <v>1789</v>
      </c>
      <c r="T6">
        <v>2024</v>
      </c>
      <c r="U6" t="s">
        <v>4710</v>
      </c>
      <c r="V6" s="6">
        <v>45707</v>
      </c>
      <c r="W6">
        <v>5</v>
      </c>
      <c r="X6">
        <v>-2.4245362661989844E-14</v>
      </c>
      <c r="Y6">
        <v>129220</v>
      </c>
      <c r="Z6" t="s">
        <v>4711</v>
      </c>
      <c r="DQ6" t="s">
        <v>1121</v>
      </c>
      <c r="DS6">
        <v>-2.4245362661989844E-14</v>
      </c>
      <c r="DT6">
        <v>-2.4245362661989844E-14</v>
      </c>
      <c r="DU6" t="s">
        <v>1768</v>
      </c>
      <c r="DV6">
        <v>2023</v>
      </c>
      <c r="DW6" t="s">
        <v>1969</v>
      </c>
      <c r="DX6" s="6">
        <v>45174</v>
      </c>
      <c r="DY6">
        <v>2</v>
      </c>
      <c r="DZ6">
        <v>-2.4245362661989844E-14</v>
      </c>
      <c r="EA6">
        <v>202476</v>
      </c>
      <c r="EB6" t="s">
        <v>1970</v>
      </c>
      <c r="EU6" t="s">
        <v>4194</v>
      </c>
      <c r="EV6" t="s">
        <v>2574</v>
      </c>
      <c r="EW6">
        <v>93.798575999999997</v>
      </c>
      <c r="EX6">
        <v>0.96410799999999997</v>
      </c>
      <c r="EY6" t="s">
        <v>1789</v>
      </c>
      <c r="EZ6">
        <v>2024</v>
      </c>
      <c r="FA6" t="s">
        <v>4195</v>
      </c>
      <c r="FB6" s="6">
        <v>45699</v>
      </c>
      <c r="FC6">
        <v>5</v>
      </c>
      <c r="FD6">
        <v>8750000</v>
      </c>
      <c r="FE6">
        <v>50557740</v>
      </c>
      <c r="FF6" t="s">
        <v>4196</v>
      </c>
      <c r="FI6" t="s">
        <v>2534</v>
      </c>
      <c r="FJ6">
        <v>11.969303</v>
      </c>
      <c r="FK6" t="s">
        <v>1777</v>
      </c>
      <c r="FL6">
        <v>0.57611000000000001</v>
      </c>
      <c r="FM6" t="s">
        <v>1789</v>
      </c>
      <c r="FN6">
        <v>2025</v>
      </c>
      <c r="FO6" t="s">
        <v>3387</v>
      </c>
      <c r="FP6" s="6">
        <v>46066</v>
      </c>
      <c r="FQ6">
        <v>5</v>
      </c>
      <c r="FR6">
        <v>359117984</v>
      </c>
      <c r="FS6">
        <v>60401289</v>
      </c>
      <c r="FT6" t="s">
        <v>2535</v>
      </c>
      <c r="FY6" t="s">
        <v>3331</v>
      </c>
      <c r="FZ6" t="s">
        <v>1808</v>
      </c>
      <c r="GA6">
        <v>1.151538</v>
      </c>
      <c r="GB6">
        <v>7.7191999999999997E-2</v>
      </c>
      <c r="GC6" t="s">
        <v>1789</v>
      </c>
      <c r="GD6">
        <v>2024</v>
      </c>
      <c r="GE6" t="s">
        <v>3966</v>
      </c>
      <c r="GF6" s="6">
        <v>45716</v>
      </c>
      <c r="GG6">
        <v>5</v>
      </c>
      <c r="GH6">
        <v>2317499</v>
      </c>
      <c r="GI6">
        <v>35300053</v>
      </c>
      <c r="GJ6" t="s">
        <v>3333</v>
      </c>
      <c r="IG6" t="s">
        <v>2754</v>
      </c>
      <c r="II6">
        <v>-2.4245362661989844E-14</v>
      </c>
      <c r="IJ6">
        <v>-2.4245362661989844E-14</v>
      </c>
      <c r="IK6" t="s">
        <v>1789</v>
      </c>
      <c r="IL6">
        <v>2024</v>
      </c>
      <c r="IM6" t="s">
        <v>2752</v>
      </c>
      <c r="IN6" s="6">
        <v>45593</v>
      </c>
      <c r="IO6">
        <v>5</v>
      </c>
      <c r="IP6">
        <v>-2.4245362661989844E-14</v>
      </c>
      <c r="IQ6">
        <v>8960270</v>
      </c>
      <c r="IR6" t="s">
        <v>2755</v>
      </c>
      <c r="IU6" t="s">
        <v>3624</v>
      </c>
      <c r="IV6">
        <v>-2.4245362661989844E-14</v>
      </c>
      <c r="IX6">
        <v>-2.4245362661989844E-14</v>
      </c>
      <c r="IY6" t="s">
        <v>1789</v>
      </c>
      <c r="IZ6">
        <v>2023</v>
      </c>
      <c r="JA6" t="s">
        <v>2761</v>
      </c>
      <c r="JB6" s="6">
        <v>45344</v>
      </c>
      <c r="JC6">
        <v>5</v>
      </c>
      <c r="JD6">
        <v>-2.4245362661989844E-14</v>
      </c>
      <c r="JE6">
        <v>62907102</v>
      </c>
      <c r="JF6" t="s">
        <v>3625</v>
      </c>
      <c r="LS6" t="s">
        <v>4420</v>
      </c>
      <c r="LU6">
        <v>-2.4245362661989844E-14</v>
      </c>
      <c r="LV6">
        <v>-2.4245362661989844E-14</v>
      </c>
      <c r="LW6" t="s">
        <v>1789</v>
      </c>
      <c r="LX6">
        <v>2023</v>
      </c>
      <c r="LY6" t="s">
        <v>3107</v>
      </c>
      <c r="LZ6" s="6">
        <v>45068</v>
      </c>
      <c r="MA6">
        <v>5</v>
      </c>
      <c r="MB6">
        <v>-2.4245362661989844E-14</v>
      </c>
      <c r="MC6">
        <v>37260707</v>
      </c>
      <c r="MD6" t="s">
        <v>4421</v>
      </c>
      <c r="MG6" t="s">
        <v>3106</v>
      </c>
      <c r="MH6">
        <v>-2.4245362661989844E-14</v>
      </c>
      <c r="MJ6">
        <v>-2.4245362661989844E-14</v>
      </c>
      <c r="MK6" t="s">
        <v>1789</v>
      </c>
      <c r="ML6">
        <v>2022</v>
      </c>
      <c r="MM6" t="s">
        <v>3107</v>
      </c>
      <c r="MN6" s="6">
        <v>44732</v>
      </c>
      <c r="MO6">
        <v>5</v>
      </c>
      <c r="MP6">
        <v>-2.4245362661989844E-14</v>
      </c>
      <c r="MQ6">
        <v>69656039</v>
      </c>
      <c r="MR6" t="s">
        <v>3108</v>
      </c>
      <c r="MW6" t="s">
        <v>2090</v>
      </c>
      <c r="MX6" t="s">
        <v>1777</v>
      </c>
      <c r="MY6">
        <v>6.2410899999999998</v>
      </c>
      <c r="MZ6">
        <v>7.8808930000000004</v>
      </c>
      <c r="NA6" t="s">
        <v>1768</v>
      </c>
      <c r="NB6">
        <v>2025</v>
      </c>
      <c r="NC6" t="s">
        <v>2091</v>
      </c>
      <c r="ND6" s="6">
        <v>45846</v>
      </c>
      <c r="NE6">
        <v>5</v>
      </c>
      <c r="NF6">
        <v>476007936</v>
      </c>
      <c r="NG6">
        <v>42602315</v>
      </c>
      <c r="NH6" t="s">
        <v>2092</v>
      </c>
      <c r="NK6" t="s">
        <v>1909</v>
      </c>
      <c r="NL6">
        <v>0.54625800000000002</v>
      </c>
      <c r="NM6" t="s">
        <v>1777</v>
      </c>
      <c r="NN6">
        <v>0.118252</v>
      </c>
      <c r="NO6" t="s">
        <v>1768</v>
      </c>
      <c r="NP6">
        <v>2025</v>
      </c>
      <c r="NQ6" t="s">
        <v>3843</v>
      </c>
      <c r="NR6" s="6">
        <v>45952</v>
      </c>
      <c r="NS6">
        <v>5</v>
      </c>
      <c r="NT6">
        <v>41454810.32</v>
      </c>
      <c r="NU6">
        <v>117929</v>
      </c>
      <c r="NV6" t="s">
        <v>1910</v>
      </c>
      <c r="OA6" t="s">
        <v>2094</v>
      </c>
      <c r="OB6" t="s">
        <v>1777</v>
      </c>
      <c r="OC6">
        <v>0.38419599999999998</v>
      </c>
      <c r="OD6">
        <v>0.23025699999999999</v>
      </c>
      <c r="OE6" t="s">
        <v>1785</v>
      </c>
      <c r="OF6">
        <v>2025</v>
      </c>
      <c r="OG6" t="s">
        <v>2095</v>
      </c>
      <c r="OH6" s="6">
        <v>45848</v>
      </c>
      <c r="OI6">
        <v>5</v>
      </c>
      <c r="OJ6">
        <v>61098688</v>
      </c>
      <c r="OK6">
        <v>101752</v>
      </c>
      <c r="OL6" t="s">
        <v>2096</v>
      </c>
      <c r="OO6" t="s">
        <v>3317</v>
      </c>
      <c r="OP6">
        <v>-2.4245362661989844E-14</v>
      </c>
      <c r="OR6">
        <v>-2.4245362661989844E-14</v>
      </c>
      <c r="OS6" t="s">
        <v>1789</v>
      </c>
      <c r="OT6">
        <v>2024</v>
      </c>
      <c r="OU6" t="s">
        <v>3316</v>
      </c>
      <c r="OV6" s="6">
        <v>45708</v>
      </c>
      <c r="OW6">
        <v>5</v>
      </c>
      <c r="OX6">
        <v>-2.4245362661989844E-14</v>
      </c>
      <c r="OY6">
        <v>962205</v>
      </c>
      <c r="OZ6" t="s">
        <v>3318</v>
      </c>
      <c r="RM6" t="s">
        <v>2737</v>
      </c>
      <c r="RO6">
        <v>-2.4245362661989844E-14</v>
      </c>
      <c r="RP6">
        <v>-2.4245362661989844E-14</v>
      </c>
      <c r="RQ6" t="s">
        <v>1789</v>
      </c>
      <c r="RR6">
        <v>2021</v>
      </c>
      <c r="RS6" t="s">
        <v>2738</v>
      </c>
      <c r="RT6" s="6">
        <v>44635</v>
      </c>
      <c r="RU6">
        <v>3</v>
      </c>
      <c r="RV6">
        <v>-2.4245362661989844E-14</v>
      </c>
      <c r="RW6">
        <v>17076435</v>
      </c>
      <c r="RX6" t="s">
        <v>2739</v>
      </c>
      <c r="SA6" t="s">
        <v>3970</v>
      </c>
      <c r="SB6">
        <v>-2.4245362661989844E-14</v>
      </c>
      <c r="SD6">
        <v>-2.4245362661989844E-14</v>
      </c>
      <c r="SE6" t="s">
        <v>1781</v>
      </c>
      <c r="SF6">
        <v>2024</v>
      </c>
      <c r="SG6" t="s">
        <v>3968</v>
      </c>
      <c r="SH6" s="6">
        <v>45418</v>
      </c>
      <c r="SI6">
        <v>5</v>
      </c>
      <c r="SJ6">
        <v>-2.4245362661989844E-14</v>
      </c>
      <c r="SK6">
        <v>69492809</v>
      </c>
      <c r="SL6" t="s">
        <v>3971</v>
      </c>
      <c r="SQ6" t="s">
        <v>2699</v>
      </c>
      <c r="SR6" t="s">
        <v>1777</v>
      </c>
      <c r="SS6">
        <v>3.6719999999999999E-3</v>
      </c>
      <c r="ST6">
        <v>0.26312200000000002</v>
      </c>
      <c r="SU6" t="s">
        <v>1768</v>
      </c>
      <c r="SV6">
        <v>2025</v>
      </c>
      <c r="SW6" t="s">
        <v>2700</v>
      </c>
      <c r="SX6" s="6">
        <v>45910</v>
      </c>
      <c r="SY6">
        <v>4</v>
      </c>
      <c r="SZ6">
        <v>64276.24</v>
      </c>
      <c r="TA6">
        <v>18686622</v>
      </c>
      <c r="TB6" t="s">
        <v>2701</v>
      </c>
    </row>
    <row r="7" spans="1:600" x14ac:dyDescent="0.25">
      <c r="A7" t="s">
        <v>208</v>
      </c>
      <c r="B7" t="s">
        <v>1777</v>
      </c>
      <c r="C7">
        <v>1.2661089999999999</v>
      </c>
      <c r="D7">
        <v>2.0610919999999999</v>
      </c>
      <c r="E7" t="s">
        <v>1768</v>
      </c>
      <c r="F7">
        <v>2025</v>
      </c>
      <c r="G7" t="s">
        <v>2764</v>
      </c>
      <c r="H7" s="6">
        <v>45895</v>
      </c>
      <c r="I7">
        <v>5</v>
      </c>
      <c r="J7">
        <v>273238976</v>
      </c>
      <c r="K7">
        <v>101555</v>
      </c>
      <c r="L7" t="s">
        <v>1823</v>
      </c>
      <c r="O7" t="s">
        <v>4712</v>
      </c>
      <c r="P7">
        <v>-2.4245362661989844E-14</v>
      </c>
      <c r="R7">
        <v>-2.4245362661989844E-14</v>
      </c>
      <c r="S7" t="s">
        <v>1789</v>
      </c>
      <c r="T7">
        <v>2025</v>
      </c>
      <c r="U7" t="s">
        <v>4713</v>
      </c>
      <c r="V7" s="6">
        <v>45755</v>
      </c>
      <c r="W7">
        <v>5</v>
      </c>
      <c r="X7">
        <v>-2.4245362661989844E-14</v>
      </c>
      <c r="Y7">
        <v>17681995</v>
      </c>
      <c r="Z7" t="s">
        <v>4714</v>
      </c>
      <c r="EU7" t="s">
        <v>4197</v>
      </c>
      <c r="EV7" t="s">
        <v>2574</v>
      </c>
      <c r="EW7">
        <v>0.66872399999999999</v>
      </c>
      <c r="EX7">
        <v>0.33252300000000001</v>
      </c>
      <c r="EY7" t="s">
        <v>1789</v>
      </c>
      <c r="EZ7">
        <v>2025</v>
      </c>
      <c r="FA7" t="s">
        <v>4198</v>
      </c>
      <c r="FB7" s="6">
        <v>46073</v>
      </c>
      <c r="FC7">
        <v>5</v>
      </c>
      <c r="FD7">
        <v>3250000</v>
      </c>
      <c r="FE7">
        <v>33533771</v>
      </c>
      <c r="FF7" t="s">
        <v>4199</v>
      </c>
      <c r="FI7" t="s">
        <v>1451</v>
      </c>
      <c r="FJ7">
        <v>9.6255240000000004</v>
      </c>
      <c r="FK7" t="s">
        <v>1777</v>
      </c>
      <c r="FL7">
        <v>0.32416699999999998</v>
      </c>
      <c r="FM7" t="s">
        <v>1785</v>
      </c>
      <c r="FN7">
        <v>2025</v>
      </c>
      <c r="FO7" t="s">
        <v>1935</v>
      </c>
      <c r="FP7" s="6">
        <v>46077</v>
      </c>
      <c r="FQ7">
        <v>5</v>
      </c>
      <c r="FR7">
        <v>307054208</v>
      </c>
      <c r="FS7">
        <v>101548</v>
      </c>
      <c r="FT7" t="s">
        <v>2536</v>
      </c>
      <c r="FY7" t="s">
        <v>2493</v>
      </c>
      <c r="FZ7" t="s">
        <v>1808</v>
      </c>
      <c r="GA7">
        <v>0.492811</v>
      </c>
      <c r="GB7">
        <v>2.9784000000000001E-2</v>
      </c>
      <c r="GC7" t="s">
        <v>1781</v>
      </c>
      <c r="GD7">
        <v>2026</v>
      </c>
      <c r="GE7" t="s">
        <v>3630</v>
      </c>
      <c r="GF7" s="6">
        <v>45898</v>
      </c>
      <c r="GG7">
        <v>5</v>
      </c>
      <c r="GH7">
        <v>889383.69</v>
      </c>
      <c r="GI7">
        <v>178651</v>
      </c>
      <c r="GJ7" t="s">
        <v>2495</v>
      </c>
      <c r="IG7" t="s">
        <v>2756</v>
      </c>
      <c r="II7">
        <v>-2.4245362661989844E-14</v>
      </c>
      <c r="IJ7">
        <v>-2.4245362661989844E-14</v>
      </c>
      <c r="IK7" t="s">
        <v>1789</v>
      </c>
      <c r="IL7">
        <v>2024</v>
      </c>
      <c r="IM7" t="s">
        <v>2752</v>
      </c>
      <c r="IN7" s="6">
        <v>45593</v>
      </c>
      <c r="IO7">
        <v>5</v>
      </c>
      <c r="IP7">
        <v>-2.4245362661989844E-14</v>
      </c>
      <c r="IQ7">
        <v>21172241</v>
      </c>
      <c r="IR7" t="s">
        <v>2757</v>
      </c>
      <c r="IU7" t="s">
        <v>3626</v>
      </c>
      <c r="IV7">
        <v>-2.4245362661989844E-14</v>
      </c>
      <c r="IX7">
        <v>-2.4245362661989844E-14</v>
      </c>
      <c r="IY7" t="s">
        <v>1789</v>
      </c>
      <c r="IZ7">
        <v>2022</v>
      </c>
      <c r="JA7" t="s">
        <v>2752</v>
      </c>
      <c r="JB7" s="6">
        <v>44700</v>
      </c>
      <c r="JC7">
        <v>5</v>
      </c>
      <c r="JD7">
        <v>-2.4245362661989844E-14</v>
      </c>
      <c r="JE7">
        <v>1042860</v>
      </c>
      <c r="JF7" t="s">
        <v>3627</v>
      </c>
      <c r="LS7" t="s">
        <v>2398</v>
      </c>
      <c r="LU7">
        <v>-2.4245362661989844E-14</v>
      </c>
      <c r="LV7">
        <v>-2.4245362661989844E-14</v>
      </c>
      <c r="LW7" t="s">
        <v>1789</v>
      </c>
      <c r="LX7">
        <v>2021</v>
      </c>
      <c r="LY7" t="s">
        <v>4422</v>
      </c>
      <c r="LZ7" s="6">
        <v>44677</v>
      </c>
      <c r="MA7">
        <v>5</v>
      </c>
      <c r="MB7">
        <v>-2.4245362661989844E-14</v>
      </c>
      <c r="MC7">
        <v>10142668</v>
      </c>
      <c r="MD7" t="s">
        <v>2400</v>
      </c>
      <c r="MG7" t="s">
        <v>3109</v>
      </c>
      <c r="MH7">
        <v>-2.4245362661989844E-14</v>
      </c>
      <c r="MJ7">
        <v>-2.4245362661989844E-14</v>
      </c>
      <c r="MK7" t="s">
        <v>1789</v>
      </c>
      <c r="ML7">
        <v>2024</v>
      </c>
      <c r="MM7" t="s">
        <v>3107</v>
      </c>
      <c r="MN7" s="6">
        <v>45356</v>
      </c>
      <c r="MO7">
        <v>5</v>
      </c>
      <c r="MP7">
        <v>-2.4245362661989844E-14</v>
      </c>
      <c r="MQ7">
        <v>70384894</v>
      </c>
      <c r="MR7" t="s">
        <v>3110</v>
      </c>
      <c r="MW7" t="s">
        <v>4390</v>
      </c>
      <c r="MX7" t="s">
        <v>1777</v>
      </c>
      <c r="MY7">
        <v>22</v>
      </c>
      <c r="MZ7">
        <v>4.8704559999999999</v>
      </c>
      <c r="NA7" t="s">
        <v>1773</v>
      </c>
      <c r="NB7">
        <v>2026</v>
      </c>
      <c r="NC7" t="s">
        <v>4391</v>
      </c>
      <c r="ND7" s="6">
        <v>46079</v>
      </c>
      <c r="NE7">
        <v>5</v>
      </c>
      <c r="NF7">
        <v>376860000</v>
      </c>
      <c r="NG7">
        <v>171351</v>
      </c>
      <c r="NH7" t="s">
        <v>4392</v>
      </c>
      <c r="NK7" t="s">
        <v>2275</v>
      </c>
      <c r="NL7">
        <v>0.52273000000000003</v>
      </c>
      <c r="NM7" t="s">
        <v>1777</v>
      </c>
      <c r="NN7">
        <v>0.80835999999999997</v>
      </c>
      <c r="NO7" t="s">
        <v>1768</v>
      </c>
      <c r="NP7">
        <v>2026</v>
      </c>
      <c r="NQ7" t="s">
        <v>3844</v>
      </c>
      <c r="NR7" s="6">
        <v>46063</v>
      </c>
      <c r="NS7">
        <v>5</v>
      </c>
      <c r="NT7">
        <v>45720172</v>
      </c>
      <c r="NU7">
        <v>100142</v>
      </c>
      <c r="NV7" t="s">
        <v>2276</v>
      </c>
      <c r="OA7" t="s">
        <v>1943</v>
      </c>
      <c r="OB7" t="s">
        <v>1777</v>
      </c>
      <c r="OC7">
        <v>0.27947699999999998</v>
      </c>
      <c r="OD7">
        <v>0.117197</v>
      </c>
      <c r="OE7" t="s">
        <v>1773</v>
      </c>
      <c r="OF7">
        <v>2025</v>
      </c>
      <c r="OG7" t="s">
        <v>1944</v>
      </c>
      <c r="OH7" s="6">
        <v>46049</v>
      </c>
      <c r="OI7">
        <v>5</v>
      </c>
      <c r="OJ7">
        <v>32809650.949999999</v>
      </c>
      <c r="OK7">
        <v>101095</v>
      </c>
      <c r="OL7" t="s">
        <v>1945</v>
      </c>
      <c r="OO7" t="s">
        <v>3319</v>
      </c>
      <c r="OP7">
        <v>-2.4245362661989844E-14</v>
      </c>
      <c r="OR7">
        <v>-2.4245362661989844E-14</v>
      </c>
      <c r="OS7" t="s">
        <v>1789</v>
      </c>
      <c r="OT7">
        <v>2023</v>
      </c>
      <c r="OU7" t="s">
        <v>3320</v>
      </c>
      <c r="OV7" s="6">
        <v>44986</v>
      </c>
      <c r="OW7">
        <v>5</v>
      </c>
      <c r="OX7">
        <v>-2.4245362661989844E-14</v>
      </c>
      <c r="OY7">
        <v>962190</v>
      </c>
      <c r="OZ7" t="s">
        <v>3321</v>
      </c>
      <c r="RM7" t="s">
        <v>2266</v>
      </c>
      <c r="RO7">
        <v>-2.4245362661989844E-14</v>
      </c>
      <c r="RP7">
        <v>-2.4245362661989844E-14</v>
      </c>
      <c r="RQ7" t="s">
        <v>1768</v>
      </c>
      <c r="RR7">
        <v>2024</v>
      </c>
      <c r="RS7" t="s">
        <v>2740</v>
      </c>
      <c r="RT7" s="6">
        <v>45573</v>
      </c>
      <c r="RU7">
        <v>3</v>
      </c>
      <c r="RV7">
        <v>-2.4245362661989844E-14</v>
      </c>
      <c r="RW7">
        <v>179551</v>
      </c>
      <c r="RX7" t="s">
        <v>2268</v>
      </c>
      <c r="SA7" t="s">
        <v>3972</v>
      </c>
      <c r="SB7">
        <v>-2.4245362661989844E-14</v>
      </c>
      <c r="SD7">
        <v>-2.4245362661989844E-14</v>
      </c>
      <c r="SE7" t="s">
        <v>1781</v>
      </c>
      <c r="SF7">
        <v>2024</v>
      </c>
      <c r="SG7" t="s">
        <v>3968</v>
      </c>
      <c r="SH7" s="6">
        <v>45418</v>
      </c>
      <c r="SI7">
        <v>5</v>
      </c>
      <c r="SJ7">
        <v>-2.4245362661989844E-14</v>
      </c>
      <c r="SK7">
        <v>13869572</v>
      </c>
      <c r="SL7" t="s">
        <v>3973</v>
      </c>
      <c r="SQ7" t="s">
        <v>2339</v>
      </c>
      <c r="SR7" t="s">
        <v>1777</v>
      </c>
      <c r="SS7">
        <v>7.9469999999999992E-3</v>
      </c>
      <c r="ST7">
        <v>0.32603799999999999</v>
      </c>
      <c r="SU7" t="s">
        <v>1785</v>
      </c>
      <c r="SV7">
        <v>2024</v>
      </c>
      <c r="SW7" t="s">
        <v>3912</v>
      </c>
      <c r="SX7" s="6">
        <v>45771</v>
      </c>
      <c r="SY7">
        <v>4</v>
      </c>
      <c r="SZ7">
        <v>56799</v>
      </c>
      <c r="TA7">
        <v>38748702</v>
      </c>
      <c r="TB7" t="s">
        <v>2341</v>
      </c>
    </row>
    <row r="8" spans="1:600" x14ac:dyDescent="0.25">
      <c r="A8" t="s">
        <v>567</v>
      </c>
      <c r="B8" t="s">
        <v>1777</v>
      </c>
      <c r="C8">
        <v>-2.4245362661989844E-14</v>
      </c>
      <c r="D8">
        <v>1.3072379999999999</v>
      </c>
      <c r="E8" t="s">
        <v>1773</v>
      </c>
      <c r="F8">
        <v>2025</v>
      </c>
      <c r="G8" t="s">
        <v>2765</v>
      </c>
      <c r="H8" s="6">
        <v>45953</v>
      </c>
      <c r="I8">
        <v>5</v>
      </c>
      <c r="J8">
        <v>177000000</v>
      </c>
      <c r="K8">
        <v>1757856</v>
      </c>
      <c r="L8" t="s">
        <v>2766</v>
      </c>
      <c r="O8" t="s">
        <v>4715</v>
      </c>
      <c r="P8">
        <v>-2.4245362661989844E-14</v>
      </c>
      <c r="R8">
        <v>-2.4245362661989844E-14</v>
      </c>
      <c r="S8" t="s">
        <v>1789</v>
      </c>
      <c r="T8">
        <v>2024</v>
      </c>
      <c r="U8" t="s">
        <v>4710</v>
      </c>
      <c r="V8" s="6">
        <v>45707</v>
      </c>
      <c r="W8">
        <v>5</v>
      </c>
      <c r="X8">
        <v>-2.4245362661989844E-14</v>
      </c>
      <c r="Y8">
        <v>901570</v>
      </c>
      <c r="Z8" t="s">
        <v>4716</v>
      </c>
      <c r="EU8" t="s">
        <v>4200</v>
      </c>
      <c r="EV8" t="s">
        <v>2574</v>
      </c>
      <c r="EW8">
        <v>4.2455119999999997</v>
      </c>
      <c r="EX8">
        <v>0.142901</v>
      </c>
      <c r="EY8" t="s">
        <v>1781</v>
      </c>
      <c r="EZ8">
        <v>2025</v>
      </c>
      <c r="FA8" t="s">
        <v>4201</v>
      </c>
      <c r="FB8" s="6">
        <v>45791</v>
      </c>
      <c r="FC8">
        <v>5</v>
      </c>
      <c r="FD8">
        <v>1400000</v>
      </c>
      <c r="FE8">
        <v>64710168</v>
      </c>
      <c r="FF8" t="s">
        <v>4202</v>
      </c>
      <c r="FI8" t="s">
        <v>2899</v>
      </c>
      <c r="FJ8">
        <v>8.0896969999999992</v>
      </c>
      <c r="FK8" t="s">
        <v>1777</v>
      </c>
      <c r="FL8">
        <v>0.79452400000000001</v>
      </c>
      <c r="FM8" t="s">
        <v>1785</v>
      </c>
      <c r="FN8">
        <v>2025</v>
      </c>
      <c r="FO8" t="s">
        <v>1935</v>
      </c>
      <c r="FP8" s="6">
        <v>46077</v>
      </c>
      <c r="FQ8">
        <v>5</v>
      </c>
      <c r="FR8">
        <v>258061328</v>
      </c>
      <c r="FS8">
        <v>101617</v>
      </c>
      <c r="FT8" t="s">
        <v>2900</v>
      </c>
      <c r="FY8" t="s">
        <v>2839</v>
      </c>
      <c r="GA8">
        <v>0.44397199999999998</v>
      </c>
      <c r="GB8">
        <v>-2.4245362661989844E-14</v>
      </c>
      <c r="GC8" t="s">
        <v>1785</v>
      </c>
      <c r="GD8">
        <v>2024</v>
      </c>
      <c r="GE8" t="s">
        <v>3967</v>
      </c>
      <c r="GF8" s="6">
        <v>45699</v>
      </c>
      <c r="GG8">
        <v>5</v>
      </c>
      <c r="GH8">
        <v>316250</v>
      </c>
      <c r="GI8">
        <v>10086577</v>
      </c>
      <c r="GJ8" t="s">
        <v>2841</v>
      </c>
      <c r="IG8" t="s">
        <v>2758</v>
      </c>
      <c r="II8">
        <v>-2.4245362661989844E-14</v>
      </c>
      <c r="IJ8">
        <v>-2.4245362661989844E-14</v>
      </c>
      <c r="IK8" t="s">
        <v>1789</v>
      </c>
      <c r="IL8">
        <v>2024</v>
      </c>
      <c r="IM8" t="s">
        <v>2752</v>
      </c>
      <c r="IN8" s="6">
        <v>45593</v>
      </c>
      <c r="IO8">
        <v>5</v>
      </c>
      <c r="IP8">
        <v>-2.4245362661989844E-14</v>
      </c>
      <c r="IQ8">
        <v>953096</v>
      </c>
      <c r="IR8" t="s">
        <v>2759</v>
      </c>
      <c r="IU8" t="s">
        <v>1797</v>
      </c>
      <c r="IV8">
        <v>-2.4245362661989844E-14</v>
      </c>
      <c r="IX8">
        <v>-2.4245362661989844E-14</v>
      </c>
      <c r="IY8" t="s">
        <v>1789</v>
      </c>
      <c r="IZ8">
        <v>2024</v>
      </c>
      <c r="JA8" t="s">
        <v>2752</v>
      </c>
      <c r="JB8" s="6">
        <v>45569</v>
      </c>
      <c r="JC8">
        <v>5</v>
      </c>
      <c r="JD8">
        <v>-2.4245362661989844E-14</v>
      </c>
      <c r="JE8">
        <v>218252</v>
      </c>
      <c r="JF8" t="s">
        <v>1798</v>
      </c>
      <c r="LS8" t="s">
        <v>4423</v>
      </c>
      <c r="LU8">
        <v>-2.4245362661989844E-14</v>
      </c>
      <c r="LV8">
        <v>-2.4245362661989844E-14</v>
      </c>
      <c r="LW8" t="s">
        <v>1781</v>
      </c>
      <c r="LX8">
        <v>2024</v>
      </c>
      <c r="LY8" t="s">
        <v>4424</v>
      </c>
      <c r="LZ8" s="6">
        <v>45175</v>
      </c>
      <c r="MA8">
        <v>5</v>
      </c>
      <c r="MB8">
        <v>-2.4245362661989844E-14</v>
      </c>
      <c r="MC8">
        <v>126987</v>
      </c>
      <c r="MD8" t="s">
        <v>4425</v>
      </c>
      <c r="MG8" t="s">
        <v>2856</v>
      </c>
      <c r="MH8">
        <v>-2.4245362661989844E-14</v>
      </c>
      <c r="MJ8">
        <v>-2.4245362661989844E-14</v>
      </c>
      <c r="MK8" t="s">
        <v>1789</v>
      </c>
      <c r="ML8">
        <v>2022</v>
      </c>
      <c r="MM8" t="s">
        <v>3111</v>
      </c>
      <c r="MN8" s="6">
        <v>45055</v>
      </c>
      <c r="MO8">
        <v>5</v>
      </c>
      <c r="MP8">
        <v>-2.4245362661989844E-14</v>
      </c>
      <c r="MQ8">
        <v>9152714</v>
      </c>
      <c r="MR8" t="s">
        <v>2858</v>
      </c>
      <c r="MW8" t="s">
        <v>2604</v>
      </c>
      <c r="MX8" t="s">
        <v>1777</v>
      </c>
      <c r="MY8">
        <v>1.106266</v>
      </c>
      <c r="MZ8">
        <v>4.3831030000000002</v>
      </c>
      <c r="NA8" t="s">
        <v>1781</v>
      </c>
      <c r="NB8">
        <v>2025</v>
      </c>
      <c r="NC8" t="s">
        <v>1870</v>
      </c>
      <c r="ND8" s="6">
        <v>45784</v>
      </c>
      <c r="NE8">
        <v>5</v>
      </c>
      <c r="NF8">
        <v>264740512</v>
      </c>
      <c r="NG8">
        <v>50985605</v>
      </c>
      <c r="NH8" t="s">
        <v>2606</v>
      </c>
      <c r="NK8" t="s">
        <v>2901</v>
      </c>
      <c r="NL8">
        <v>2.0605999999999999E-2</v>
      </c>
      <c r="NM8" t="s">
        <v>1777</v>
      </c>
      <c r="NN8">
        <v>0.23221900000000001</v>
      </c>
      <c r="NO8" t="s">
        <v>1773</v>
      </c>
      <c r="NP8">
        <v>2025</v>
      </c>
      <c r="NQ8" t="s">
        <v>3711</v>
      </c>
      <c r="NR8" s="6">
        <v>45840</v>
      </c>
      <c r="NS8">
        <v>5</v>
      </c>
      <c r="NT8">
        <v>1404101</v>
      </c>
      <c r="NU8">
        <v>136424</v>
      </c>
      <c r="NV8" t="s">
        <v>2903</v>
      </c>
      <c r="OA8" t="s">
        <v>4565</v>
      </c>
      <c r="OB8" t="s">
        <v>1777</v>
      </c>
      <c r="OC8">
        <v>10.936959999999999</v>
      </c>
      <c r="OD8">
        <v>0.108871</v>
      </c>
      <c r="OE8" t="s">
        <v>1773</v>
      </c>
      <c r="OF8">
        <v>2025</v>
      </c>
      <c r="OG8" t="s">
        <v>4566</v>
      </c>
      <c r="OH8" s="6">
        <v>46018</v>
      </c>
      <c r="OI8">
        <v>5</v>
      </c>
      <c r="OJ8">
        <v>30473980</v>
      </c>
      <c r="OK8">
        <v>1746087</v>
      </c>
      <c r="OL8" t="s">
        <v>4567</v>
      </c>
      <c r="OO8" t="s">
        <v>3322</v>
      </c>
      <c r="OP8">
        <v>-2.4245362661989844E-14</v>
      </c>
      <c r="OR8">
        <v>-2.4245362661989844E-14</v>
      </c>
      <c r="OS8" t="s">
        <v>1773</v>
      </c>
      <c r="OT8">
        <v>2024</v>
      </c>
      <c r="OU8" t="s">
        <v>3323</v>
      </c>
      <c r="OV8" s="6">
        <v>45595</v>
      </c>
      <c r="OW8">
        <v>5</v>
      </c>
      <c r="OX8">
        <v>-2.4245362661989844E-14</v>
      </c>
      <c r="OY8">
        <v>25315094</v>
      </c>
      <c r="OZ8" t="s">
        <v>3324</v>
      </c>
      <c r="SA8" t="s">
        <v>3974</v>
      </c>
      <c r="SB8">
        <v>-2.4245362661989844E-14</v>
      </c>
      <c r="SD8">
        <v>-2.4245362661989844E-14</v>
      </c>
      <c r="SE8" t="s">
        <v>1781</v>
      </c>
      <c r="SF8">
        <v>2024</v>
      </c>
      <c r="SG8" t="s">
        <v>3968</v>
      </c>
      <c r="SH8" s="6">
        <v>45418</v>
      </c>
      <c r="SI8">
        <v>5</v>
      </c>
      <c r="SJ8">
        <v>-2.4245362661989844E-14</v>
      </c>
      <c r="SK8">
        <v>71700510</v>
      </c>
      <c r="SL8" t="s">
        <v>3975</v>
      </c>
      <c r="SQ8" t="s">
        <v>3913</v>
      </c>
      <c r="SS8">
        <v>-2.4245362661989844E-14</v>
      </c>
      <c r="ST8">
        <v>-2.4245362661989844E-14</v>
      </c>
      <c r="SU8" t="s">
        <v>1789</v>
      </c>
      <c r="SV8">
        <v>2023</v>
      </c>
      <c r="SW8" t="s">
        <v>3914</v>
      </c>
      <c r="SX8" s="6">
        <v>45213</v>
      </c>
      <c r="SY8">
        <v>4</v>
      </c>
      <c r="SZ8">
        <v>-2.4245362661989844E-14</v>
      </c>
      <c r="TA8">
        <v>38676291</v>
      </c>
      <c r="TB8" t="s">
        <v>3915</v>
      </c>
    </row>
    <row r="9" spans="1:600" x14ac:dyDescent="0.25">
      <c r="A9" t="s">
        <v>2767</v>
      </c>
      <c r="B9" t="s">
        <v>1777</v>
      </c>
      <c r="C9">
        <v>-2.4245362661989844E-14</v>
      </c>
      <c r="D9">
        <v>1.312514</v>
      </c>
      <c r="E9" t="s">
        <v>1768</v>
      </c>
      <c r="F9">
        <v>2025</v>
      </c>
      <c r="G9" t="s">
        <v>2768</v>
      </c>
      <c r="H9" s="6">
        <v>45862</v>
      </c>
      <c r="I9">
        <v>5</v>
      </c>
      <c r="J9">
        <v>174000000</v>
      </c>
      <c r="K9">
        <v>946362</v>
      </c>
      <c r="L9" t="s">
        <v>2769</v>
      </c>
      <c r="O9" t="s">
        <v>4717</v>
      </c>
      <c r="P9">
        <v>-2.4245362661989844E-14</v>
      </c>
      <c r="R9">
        <v>-2.4245362661989844E-14</v>
      </c>
      <c r="S9" t="s">
        <v>1789</v>
      </c>
      <c r="T9">
        <v>2024</v>
      </c>
      <c r="U9" t="s">
        <v>4710</v>
      </c>
      <c r="V9" s="6">
        <v>45707</v>
      </c>
      <c r="W9">
        <v>5</v>
      </c>
      <c r="X9">
        <v>-2.4245362661989844E-14</v>
      </c>
      <c r="Y9">
        <v>27010988</v>
      </c>
      <c r="Z9" t="s">
        <v>4718</v>
      </c>
      <c r="EU9" t="s">
        <v>2710</v>
      </c>
      <c r="EV9" t="s">
        <v>1777</v>
      </c>
      <c r="EW9">
        <v>4.2693000000000002E-2</v>
      </c>
      <c r="EX9">
        <v>0.18987100000000001</v>
      </c>
      <c r="EY9" t="s">
        <v>1785</v>
      </c>
      <c r="EZ9">
        <v>2024</v>
      </c>
      <c r="FA9" t="s">
        <v>2711</v>
      </c>
      <c r="FB9" s="6">
        <v>45730</v>
      </c>
      <c r="FC9">
        <v>5</v>
      </c>
      <c r="FD9">
        <v>804767.68</v>
      </c>
      <c r="FE9">
        <v>239787</v>
      </c>
      <c r="FF9" t="s">
        <v>2712</v>
      </c>
      <c r="FI9" t="s">
        <v>3388</v>
      </c>
      <c r="FJ9">
        <v>5.7701919999999998</v>
      </c>
      <c r="FK9" t="s">
        <v>1777</v>
      </c>
      <c r="FL9">
        <v>1.5274570000000001</v>
      </c>
      <c r="FM9" t="s">
        <v>1785</v>
      </c>
      <c r="FN9">
        <v>2025</v>
      </c>
      <c r="FO9" t="s">
        <v>1935</v>
      </c>
      <c r="FP9" s="6">
        <v>46077</v>
      </c>
      <c r="FQ9">
        <v>5</v>
      </c>
      <c r="FR9">
        <v>184069120</v>
      </c>
      <c r="FS9">
        <v>65026608</v>
      </c>
      <c r="FT9" t="s">
        <v>3389</v>
      </c>
      <c r="FY9" t="s">
        <v>1995</v>
      </c>
      <c r="GA9">
        <v>-2.4245362661989844E-14</v>
      </c>
      <c r="GB9">
        <v>-2.4245362661989844E-14</v>
      </c>
      <c r="GC9" t="s">
        <v>1894</v>
      </c>
      <c r="GD9">
        <v>2025</v>
      </c>
      <c r="GE9" t="s">
        <v>2043</v>
      </c>
      <c r="GF9" s="6">
        <v>45974</v>
      </c>
      <c r="GG9">
        <v>5</v>
      </c>
      <c r="GH9">
        <v>-2.4245362661989844E-14</v>
      </c>
      <c r="GI9">
        <v>118099</v>
      </c>
      <c r="GJ9" t="s">
        <v>1998</v>
      </c>
      <c r="IG9" t="s">
        <v>2760</v>
      </c>
      <c r="II9">
        <v>-2.4245362661989844E-14</v>
      </c>
      <c r="IJ9">
        <v>-2.4245362661989844E-14</v>
      </c>
      <c r="IK9" t="s">
        <v>1789</v>
      </c>
      <c r="IL9">
        <v>2023</v>
      </c>
      <c r="IM9" t="s">
        <v>2761</v>
      </c>
      <c r="IN9" s="6">
        <v>45344</v>
      </c>
      <c r="IO9">
        <v>5</v>
      </c>
      <c r="IP9">
        <v>-2.4245362661989844E-14</v>
      </c>
      <c r="IQ9">
        <v>114155</v>
      </c>
      <c r="IR9" t="s">
        <v>2762</v>
      </c>
      <c r="IU9" t="s">
        <v>3628</v>
      </c>
      <c r="IV9">
        <v>-2.4245362661989844E-14</v>
      </c>
      <c r="IX9">
        <v>-2.4245362661989844E-14</v>
      </c>
      <c r="IY9" t="s">
        <v>1789</v>
      </c>
      <c r="IZ9">
        <v>2024</v>
      </c>
      <c r="JA9" t="s">
        <v>2752</v>
      </c>
      <c r="JB9" s="6">
        <v>45569</v>
      </c>
      <c r="JC9">
        <v>5</v>
      </c>
      <c r="JD9">
        <v>-2.4245362661989844E-14</v>
      </c>
      <c r="JE9">
        <v>962207</v>
      </c>
      <c r="JF9" t="s">
        <v>3629</v>
      </c>
      <c r="LS9" t="s">
        <v>4426</v>
      </c>
      <c r="LU9">
        <v>-2.4245362661989844E-14</v>
      </c>
      <c r="LV9">
        <v>-2.4245362661989844E-14</v>
      </c>
      <c r="LW9" t="s">
        <v>1789</v>
      </c>
      <c r="LX9">
        <v>2022</v>
      </c>
      <c r="LY9" t="s">
        <v>4427</v>
      </c>
      <c r="LZ9" s="6">
        <v>45033</v>
      </c>
      <c r="MA9">
        <v>5</v>
      </c>
      <c r="MB9">
        <v>-2.4245362661989844E-14</v>
      </c>
      <c r="MC9">
        <v>7360919</v>
      </c>
      <c r="MD9" t="s">
        <v>4428</v>
      </c>
      <c r="MG9" t="s">
        <v>3112</v>
      </c>
      <c r="MH9">
        <v>-2.4245362661989844E-14</v>
      </c>
      <c r="MJ9">
        <v>-2.4245362661989844E-14</v>
      </c>
      <c r="MK9" t="s">
        <v>1789</v>
      </c>
      <c r="ML9">
        <v>2022</v>
      </c>
      <c r="MM9" t="s">
        <v>3113</v>
      </c>
      <c r="MN9" s="6">
        <v>45075</v>
      </c>
      <c r="MO9">
        <v>5</v>
      </c>
      <c r="MP9">
        <v>-2.4245362661989844E-14</v>
      </c>
      <c r="MQ9">
        <v>17157811</v>
      </c>
      <c r="MR9" t="s">
        <v>3114</v>
      </c>
      <c r="MW9" t="s">
        <v>1447</v>
      </c>
      <c r="MX9" t="s">
        <v>1777</v>
      </c>
      <c r="MY9">
        <v>5.3475780000000004</v>
      </c>
      <c r="MZ9">
        <v>3.7672150000000002</v>
      </c>
      <c r="NA9" t="s">
        <v>1773</v>
      </c>
      <c r="NB9">
        <v>2025</v>
      </c>
      <c r="NC9" t="s">
        <v>3363</v>
      </c>
      <c r="ND9" s="6">
        <v>45954</v>
      </c>
      <c r="NE9">
        <v>5</v>
      </c>
      <c r="NF9">
        <v>253582144</v>
      </c>
      <c r="NG9">
        <v>101460</v>
      </c>
      <c r="NH9" t="s">
        <v>4393</v>
      </c>
      <c r="NK9" t="s">
        <v>3845</v>
      </c>
      <c r="NL9">
        <v>1.5744999999999999E-2</v>
      </c>
      <c r="NM9" t="s">
        <v>1777</v>
      </c>
      <c r="NN9">
        <v>24.704799999999999</v>
      </c>
      <c r="NO9" t="s">
        <v>1789</v>
      </c>
      <c r="NP9">
        <v>2024</v>
      </c>
      <c r="NQ9" t="s">
        <v>3846</v>
      </c>
      <c r="NR9" s="6">
        <v>45786</v>
      </c>
      <c r="NS9">
        <v>5</v>
      </c>
      <c r="NT9">
        <v>1106635.73</v>
      </c>
      <c r="NU9">
        <v>7998639</v>
      </c>
      <c r="NV9" t="s">
        <v>3847</v>
      </c>
      <c r="OA9" t="s">
        <v>1940</v>
      </c>
      <c r="OB9" t="s">
        <v>1777</v>
      </c>
      <c r="OC9">
        <v>0.19075</v>
      </c>
      <c r="OD9">
        <v>0.102963</v>
      </c>
      <c r="OE9" t="s">
        <v>1773</v>
      </c>
      <c r="OF9">
        <v>2025</v>
      </c>
      <c r="OG9" t="s">
        <v>1941</v>
      </c>
      <c r="OH9" s="6">
        <v>46080</v>
      </c>
      <c r="OI9">
        <v>5</v>
      </c>
      <c r="OJ9">
        <v>29571972</v>
      </c>
      <c r="OK9">
        <v>111093</v>
      </c>
      <c r="OL9" t="s">
        <v>1942</v>
      </c>
      <c r="OO9" t="s">
        <v>3325</v>
      </c>
      <c r="OP9">
        <v>-2.4245362661989844E-14</v>
      </c>
      <c r="OR9">
        <v>-2.4245362661989844E-14</v>
      </c>
      <c r="OS9" t="s">
        <v>1789</v>
      </c>
      <c r="OT9">
        <v>2023</v>
      </c>
      <c r="OU9" t="s">
        <v>3320</v>
      </c>
      <c r="OV9" s="6">
        <v>44986</v>
      </c>
      <c r="OW9">
        <v>5</v>
      </c>
      <c r="OX9">
        <v>-2.4245362661989844E-14</v>
      </c>
      <c r="OY9">
        <v>227296</v>
      </c>
      <c r="OZ9" t="s">
        <v>3326</v>
      </c>
      <c r="SA9" t="s">
        <v>3976</v>
      </c>
      <c r="SB9">
        <v>-2.4245362661989844E-14</v>
      </c>
      <c r="SD9">
        <v>-2.4245362661989844E-14</v>
      </c>
      <c r="SE9" t="s">
        <v>1781</v>
      </c>
      <c r="SF9">
        <v>2024</v>
      </c>
      <c r="SG9" t="s">
        <v>3968</v>
      </c>
      <c r="SH9" s="6">
        <v>45418</v>
      </c>
      <c r="SI9">
        <v>5</v>
      </c>
      <c r="SJ9">
        <v>-2.4245362661989844E-14</v>
      </c>
      <c r="SK9">
        <v>114387</v>
      </c>
      <c r="SL9" t="s">
        <v>3977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180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181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182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183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184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185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186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187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188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189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190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191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192</v>
      </c>
      <c r="AE2" s="3" t="s">
        <v>193</v>
      </c>
      <c r="BI2" s="3" t="s">
        <v>194</v>
      </c>
      <c r="CM2" s="3" t="s">
        <v>195</v>
      </c>
      <c r="DQ2" s="3" t="s">
        <v>196</v>
      </c>
      <c r="EU2" s="3" t="s">
        <v>197</v>
      </c>
      <c r="FY2" s="3" t="s">
        <v>198</v>
      </c>
      <c r="HC2" s="3" t="s">
        <v>199</v>
      </c>
      <c r="IG2" s="3" t="s">
        <v>200</v>
      </c>
      <c r="JK2" s="3" t="s">
        <v>201</v>
      </c>
      <c r="KO2" s="3" t="s">
        <v>202</v>
      </c>
      <c r="LS2" s="3" t="s">
        <v>21</v>
      </c>
      <c r="MW2" s="3" t="s">
        <v>203</v>
      </c>
      <c r="OA2" s="3" t="s">
        <v>204</v>
      </c>
      <c r="PE2" s="3" t="s">
        <v>205</v>
      </c>
      <c r="QI2" s="3" t="s">
        <v>206</v>
      </c>
      <c r="RM2" s="3" t="s">
        <v>207</v>
      </c>
      <c r="SQ2" s="3" t="s">
        <v>208</v>
      </c>
      <c r="TU2" s="3" t="s">
        <v>209</v>
      </c>
      <c r="UY2" s="3" t="s">
        <v>210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_xll.BDS("0618828D US Equity","SUPPLY_CHAIN_SUPPLIERS_ALL_DATA")</f>
        <v>#N/A N/A</v>
      </c>
      <c r="O5" t="str">
        <f>_xll.BDS("0618828D US Equity","SUPPLY_CHAIN_CUSTOMERS_ALL_DATA")</f>
        <v>#N/A N/A</v>
      </c>
      <c r="AE5" t="str">
        <f>_xll.BDS("CFG US Equity","SUPPLY_CHAIN_SUPPLIERS_ALL_DATA","cols=12;rows=5")</f>
        <v>INFO IN Equity</v>
      </c>
      <c r="AF5" t="s">
        <v>1808</v>
      </c>
      <c r="AG5">
        <v>0.43002000000000001</v>
      </c>
      <c r="AH5">
        <v>1.5096449999999999</v>
      </c>
      <c r="AI5" t="s">
        <v>1768</v>
      </c>
      <c r="AJ5">
        <v>2026</v>
      </c>
      <c r="AK5" t="s">
        <v>2355</v>
      </c>
      <c r="AL5" s="6">
        <v>46022</v>
      </c>
      <c r="AM5">
        <v>5</v>
      </c>
      <c r="AN5">
        <v>20161931.899999999</v>
      </c>
      <c r="AO5">
        <v>174545</v>
      </c>
      <c r="AP5" t="s">
        <v>2356</v>
      </c>
      <c r="AS5" t="str">
        <f>_xll.BDS("CFG US Equity","SUPPLY_CHAIN_CUSTOMERS_ALL_DATA")</f>
        <v>#N/A N/A</v>
      </c>
      <c r="BI5" t="str">
        <f>_xll.BDS("0966147D US Equity","SUPPLY_CHAIN_SUPPLIERS_ALL_DATA")</f>
        <v>#N/A N/A</v>
      </c>
      <c r="BW5" t="str">
        <f>_xll.BDS("0966147D US Equity","SUPPLY_CHAIN_CUSTOMERS_ALL_DATA")</f>
        <v>#N/A N/A</v>
      </c>
      <c r="CM5" t="str">
        <f>_xll.BDS("2185054D US Equity","SUPPLY_CHAIN_SUPPLIERS_ALL_DATA")</f>
        <v>#N/A N/A</v>
      </c>
      <c r="DA5" t="str">
        <f>_xll.BDS("2185054D US Equity","SUPPLY_CHAIN_CUSTOMERS_ALL_DATA")</f>
        <v>#N/A N/A</v>
      </c>
      <c r="DQ5" t="str">
        <f>_xll.BDS("CMOS US Equity","SUPPLY_CHAIN_SUPPLIERS_ALL_DATA")</f>
        <v>#N/A N/A</v>
      </c>
      <c r="EE5" t="str">
        <f>_xll.BDS("CMOS US Equity","SUPPLY_CHAIN_CUSTOMERS_ALL_DATA")</f>
        <v>#N/A N/A</v>
      </c>
      <c r="EU5" t="str">
        <f>_xll.BDS("NFS US Equity","SUPPLY_CHAIN_SUPPLIERS_ALL_DATA")</f>
        <v>#N/A N/A</v>
      </c>
      <c r="FI5" t="str">
        <f>_xll.BDS("NFS US Equity","SUPPLY_CHAIN_CUSTOMERS_ALL_DATA")</f>
        <v>#N/A N/A</v>
      </c>
      <c r="FY5" t="str">
        <f>_xll.BDS("GOOGL US Equity","SUPPLY_CHAIN_SUPPLIERS_ALL_DATA","cols=12;rows=5")</f>
        <v>300459 CH Equity</v>
      </c>
      <c r="GA5">
        <v>30.98</v>
      </c>
      <c r="GB5">
        <v>-2.4245362661989844E-14</v>
      </c>
      <c r="GC5" t="s">
        <v>1789</v>
      </c>
      <c r="GD5">
        <v>2024</v>
      </c>
      <c r="GE5" t="s">
        <v>4046</v>
      </c>
      <c r="GF5" s="6">
        <v>45775</v>
      </c>
      <c r="GG5">
        <v>5</v>
      </c>
      <c r="GH5">
        <v>12293920332643.84</v>
      </c>
      <c r="GI5">
        <v>26369530</v>
      </c>
      <c r="GJ5" t="s">
        <v>4047</v>
      </c>
      <c r="GM5" t="str">
        <f>_xll.BDS("GOOGL US Equity","SUPPLY_CHAIN_CUSTOMERS_ALL_DATA","cols=12;rows=5")</f>
        <v>VZ US Equity</v>
      </c>
      <c r="GN5">
        <v>0.38197399999999998</v>
      </c>
      <c r="GO5" t="s">
        <v>1777</v>
      </c>
      <c r="GP5">
        <v>2.6527189999999998</v>
      </c>
      <c r="GQ5" t="s">
        <v>1768</v>
      </c>
      <c r="GR5">
        <v>2025</v>
      </c>
      <c r="GS5" t="s">
        <v>3848</v>
      </c>
      <c r="GT5" s="6">
        <v>45862</v>
      </c>
      <c r="GU5">
        <v>5</v>
      </c>
      <c r="GV5">
        <v>368330048</v>
      </c>
      <c r="GW5">
        <v>100185</v>
      </c>
      <c r="GX5" t="s">
        <v>3849</v>
      </c>
      <c r="HC5" t="str">
        <f>_xll.BDS("BWA US Equity","SUPPLY_CHAIN_SUPPLIERS_ALL_DATA","cols=12;rows=5")</f>
        <v>CMI US Equity</v>
      </c>
      <c r="HD5" t="s">
        <v>1777</v>
      </c>
      <c r="HE5">
        <v>0.21012600000000001</v>
      </c>
      <c r="HF5">
        <v>0.60577700000000001</v>
      </c>
      <c r="HG5" t="s">
        <v>1768</v>
      </c>
      <c r="HH5">
        <v>2025</v>
      </c>
      <c r="HI5" t="s">
        <v>3488</v>
      </c>
      <c r="HJ5" s="6">
        <v>45880</v>
      </c>
      <c r="HK5">
        <v>5</v>
      </c>
      <c r="HL5">
        <v>18161190</v>
      </c>
      <c r="HM5">
        <v>100419</v>
      </c>
      <c r="HN5" t="s">
        <v>3035</v>
      </c>
      <c r="HQ5" t="str">
        <f>_xll.BDS("BWA US Equity","SUPPLY_CHAIN_CUSTOMERS_ALL_DATA","cols=12;rows=5")</f>
        <v>VOW GR Equity</v>
      </c>
      <c r="HR5">
        <v>13</v>
      </c>
      <c r="HS5" t="s">
        <v>1777</v>
      </c>
      <c r="HT5">
        <v>0.61808799999999997</v>
      </c>
      <c r="HU5" t="s">
        <v>1789</v>
      </c>
      <c r="HV5">
        <v>2025</v>
      </c>
      <c r="HW5" t="s">
        <v>4725</v>
      </c>
      <c r="HX5" s="6">
        <v>46064</v>
      </c>
      <c r="HY5">
        <v>5</v>
      </c>
      <c r="HZ5">
        <v>465270016</v>
      </c>
      <c r="IA5">
        <v>115757</v>
      </c>
      <c r="IB5" t="s">
        <v>3364</v>
      </c>
      <c r="IG5" t="str">
        <f>_xll.BDS("CPK US Equity","SUPPLY_CHAIN_SUPPLIERS_ALL_DATA","cols=12;rows=5")</f>
        <v>IBM US Equity</v>
      </c>
      <c r="IH5" t="s">
        <v>1777</v>
      </c>
      <c r="II5">
        <v>5.1009999999999996E-3</v>
      </c>
      <c r="IJ5">
        <v>0.63777899999999998</v>
      </c>
      <c r="IK5" t="s">
        <v>1781</v>
      </c>
      <c r="IL5">
        <v>2025</v>
      </c>
      <c r="IM5" t="s">
        <v>2093</v>
      </c>
      <c r="IN5" s="6">
        <v>45797</v>
      </c>
      <c r="IO5">
        <v>5</v>
      </c>
      <c r="IP5">
        <v>741736</v>
      </c>
      <c r="IQ5">
        <v>100801</v>
      </c>
      <c r="IR5" t="s">
        <v>1800</v>
      </c>
      <c r="IU5" t="str">
        <f>_xll.BDS("CPK US Equity","SUPPLY_CHAIN_CUSTOMERS_ALL_DATA","cols=12;rows=5")</f>
        <v>1010660D US Equity</v>
      </c>
      <c r="IV5">
        <v>1.8546750000000001</v>
      </c>
      <c r="IX5">
        <v>-2.4245362661989844E-14</v>
      </c>
      <c r="IY5" t="s">
        <v>1789</v>
      </c>
      <c r="IZ5">
        <v>2024</v>
      </c>
      <c r="JA5" t="s">
        <v>4686</v>
      </c>
      <c r="JB5" s="6">
        <v>45714</v>
      </c>
      <c r="JC5">
        <v>5</v>
      </c>
      <c r="JD5">
        <v>3650000</v>
      </c>
      <c r="JE5">
        <v>40889989</v>
      </c>
      <c r="JF5" t="s">
        <v>4696</v>
      </c>
      <c r="JK5" t="str">
        <f>_xll.BDS("RTEC US Equity","SUPPLY_CHAIN_SUPPLIERS_ALL_DATA","cols=12;rows=1")</f>
        <v>FE US Equity</v>
      </c>
      <c r="JM5">
        <v>-2.4245362661989844E-14</v>
      </c>
      <c r="JN5">
        <v>-2.4245362661989844E-14</v>
      </c>
      <c r="JO5" t="s">
        <v>1789</v>
      </c>
      <c r="JP5">
        <v>2021</v>
      </c>
      <c r="JQ5" t="s">
        <v>1927</v>
      </c>
      <c r="JR5" s="6">
        <v>44693</v>
      </c>
      <c r="JS5">
        <v>1</v>
      </c>
      <c r="JT5">
        <v>-2.4245362661989844E-14</v>
      </c>
      <c r="JU5">
        <v>302916</v>
      </c>
      <c r="JV5" t="s">
        <v>1928</v>
      </c>
      <c r="JY5" t="str">
        <f>_xll.BDS("RTEC US Equity","SUPPLY_CHAIN_CUSTOMERS_ALL_DATA")</f>
        <v>#N/A N/A</v>
      </c>
      <c r="KO5" t="str">
        <f>_xll.BDS("CWST US Equity","SUPPLY_CHAIN_SUPPLIERS_ALL_DATA","cols=12;rows=3")</f>
        <v>0669281D US Equity</v>
      </c>
      <c r="KP5" t="s">
        <v>1777</v>
      </c>
      <c r="KQ5">
        <v>-2.4245362661989844E-14</v>
      </c>
      <c r="KR5">
        <v>0.703515</v>
      </c>
      <c r="KS5" t="s">
        <v>1789</v>
      </c>
      <c r="KT5">
        <v>2025</v>
      </c>
      <c r="KU5" t="s">
        <v>3500</v>
      </c>
      <c r="KV5" s="6">
        <v>46073</v>
      </c>
      <c r="KW5">
        <v>3</v>
      </c>
      <c r="KX5">
        <v>2139750</v>
      </c>
      <c r="KY5">
        <v>19846464</v>
      </c>
      <c r="KZ5" t="s">
        <v>3501</v>
      </c>
      <c r="LC5" t="str">
        <f>_xll.BDS("CWST US Equity","SUPPLY_CHAIN_CUSTOMERS_ALL_DATA","cols=12;rows=1")</f>
        <v>0669281D US Equity</v>
      </c>
      <c r="LD5">
        <v>1.7420999999999999E-2</v>
      </c>
      <c r="LF5">
        <v>-2.4245362661989844E-14</v>
      </c>
      <c r="LG5" t="s">
        <v>1789</v>
      </c>
      <c r="LH5">
        <v>2025</v>
      </c>
      <c r="LI5" t="s">
        <v>3500</v>
      </c>
      <c r="LJ5" s="6">
        <v>46073</v>
      </c>
      <c r="LK5">
        <v>1</v>
      </c>
      <c r="LL5">
        <v>80000</v>
      </c>
      <c r="LM5">
        <v>19846464</v>
      </c>
      <c r="LN5" t="s">
        <v>3501</v>
      </c>
      <c r="LS5" t="str">
        <f>_xll.BDS("NPBC US Equity","SUPPLY_CHAIN_SUPPLIERS_ALL_DATA")</f>
        <v>#N/A N/A</v>
      </c>
      <c r="MG5" t="str">
        <f>_xll.BDS("NPBC US Equity","SUPPLY_CHAIN_CUSTOMERS_ALL_DATA")</f>
        <v>#N/A N/A</v>
      </c>
      <c r="MW5" t="str">
        <f>_xll.BDS("RGNA US Equity","SUPPLY_CHAIN_SUPPLIERS_ALL_DATA")</f>
        <v>#N/A N/A</v>
      </c>
      <c r="NK5" t="str">
        <f>_xll.BDS("RGNA US Equity","SUPPLY_CHAIN_CUSTOMERS_ALL_DATA")</f>
        <v>#N/A N/A</v>
      </c>
      <c r="OA5" t="str">
        <f>_xll.BDS("TLRDQ US Equity","SUPPLY_CHAIN_SUPPLIERS_ALL_DATA","cols=12;rows=5")</f>
        <v>BRX US Equity</v>
      </c>
      <c r="OC5">
        <v>-2.4245362661989844E-14</v>
      </c>
      <c r="OD5">
        <v>-2.4245362661989844E-14</v>
      </c>
      <c r="OE5" t="s">
        <v>1789</v>
      </c>
      <c r="OF5">
        <v>2024</v>
      </c>
      <c r="OG5" t="s">
        <v>3529</v>
      </c>
      <c r="OH5" s="6">
        <v>45698</v>
      </c>
      <c r="OI5">
        <v>5</v>
      </c>
      <c r="OJ5">
        <v>-2.4245362661989844E-14</v>
      </c>
      <c r="OK5">
        <v>24112045</v>
      </c>
      <c r="OL5" t="s">
        <v>3530</v>
      </c>
      <c r="OO5" t="str">
        <f>_xll.BDS("TLRDQ US Equity","SUPPLY_CHAIN_CUSTOMERS_ALL_DATA")</f>
        <v>#N/A N/A</v>
      </c>
      <c r="PE5" t="str">
        <f>_xll.BDS("CRK US Equity","SUPPLY_CHAIN_SUPPLIERS_ALL_DATA","cols=12;rows=4")</f>
        <v>HTG LN Equity</v>
      </c>
      <c r="PG5">
        <v>-2.4245362661989844E-14</v>
      </c>
      <c r="PH5">
        <v>-2.4245362661989844E-14</v>
      </c>
      <c r="PI5" t="s">
        <v>2183</v>
      </c>
      <c r="PJ5">
        <v>2023</v>
      </c>
      <c r="PK5" t="s">
        <v>2696</v>
      </c>
      <c r="PL5" s="6">
        <v>45182</v>
      </c>
      <c r="PM5">
        <v>4</v>
      </c>
      <c r="PN5">
        <v>-2.4245362661989844E-14</v>
      </c>
      <c r="PO5">
        <v>111764</v>
      </c>
      <c r="PP5" t="s">
        <v>2697</v>
      </c>
      <c r="PS5" t="str">
        <f>_xll.BDS("CRK US Equity","SUPPLY_CHAIN_CUSTOMERS_ALL_DATA","cols=12;rows=5")</f>
        <v>17249Z US Equity</v>
      </c>
      <c r="PT5">
        <v>21</v>
      </c>
      <c r="PU5" t="s">
        <v>1777</v>
      </c>
      <c r="PV5">
        <v>0.51519000000000004</v>
      </c>
      <c r="PW5" t="s">
        <v>1789</v>
      </c>
      <c r="PX5">
        <v>2024</v>
      </c>
      <c r="PY5" t="s">
        <v>3998</v>
      </c>
      <c r="PZ5" s="6">
        <v>45709</v>
      </c>
      <c r="QA5">
        <v>5</v>
      </c>
      <c r="QB5">
        <v>65812952</v>
      </c>
      <c r="QC5">
        <v>820834</v>
      </c>
      <c r="QD5" t="s">
        <v>3999</v>
      </c>
      <c r="QI5" t="str">
        <f>_xll.BDS("1552309D US Equity","SUPPLY_CHAIN_SUPPLIERS_ALL_DATA")</f>
        <v>#N/A N/A</v>
      </c>
      <c r="QW5" t="str">
        <f>_xll.BDS("1552309D US Equity","SUPPLY_CHAIN_CUSTOMERS_ALL_DATA")</f>
        <v>#N/A N/A</v>
      </c>
      <c r="RM5" t="str">
        <f>_xll.BDS("MCHB US Equity","SUPPLY_CHAIN_SUPPLIERS_ALL_DATA")</f>
        <v>#N/A N/A</v>
      </c>
      <c r="SA5" t="str">
        <f>_xll.BDS("MCHB US Equity","SUPPLY_CHAIN_CUSTOMERS_ALL_DATA")</f>
        <v>#N/A N/A</v>
      </c>
      <c r="SQ5" t="str">
        <f>_xll.BDS("RTX US Equity","SUPPLY_CHAIN_SUPPLIERS_ALL_DATA","cols=12;rows=5")</f>
        <v>MTX GR Equity</v>
      </c>
      <c r="SR5" t="s">
        <v>1777</v>
      </c>
      <c r="SS5">
        <v>24.749371</v>
      </c>
      <c r="ST5">
        <v>3.4020609999999998</v>
      </c>
      <c r="SU5" t="s">
        <v>1768</v>
      </c>
      <c r="SV5">
        <v>2025</v>
      </c>
      <c r="SW5" t="s">
        <v>2032</v>
      </c>
      <c r="SX5" s="6">
        <v>45937</v>
      </c>
      <c r="SY5">
        <v>5</v>
      </c>
      <c r="SZ5">
        <v>585090912.53999996</v>
      </c>
      <c r="TA5">
        <v>8445936</v>
      </c>
      <c r="TB5" t="s">
        <v>2033</v>
      </c>
      <c r="TE5" t="str">
        <f>_xll.BDS("RTX US Equity","SUPPLY_CHAIN_CUSTOMERS_ALL_DATA","cols=12;rows=5")</f>
        <v>3352Z US Equity</v>
      </c>
      <c r="TF5">
        <v>37.559677000000001</v>
      </c>
      <c r="TH5">
        <v>-2.4245362661989844E-14</v>
      </c>
      <c r="TI5" t="s">
        <v>1789</v>
      </c>
      <c r="TJ5">
        <v>2025</v>
      </c>
      <c r="TK5" t="s">
        <v>3343</v>
      </c>
      <c r="TL5" s="6">
        <v>46059</v>
      </c>
      <c r="TM5">
        <v>5</v>
      </c>
      <c r="TN5">
        <v>8319750000</v>
      </c>
      <c r="TO5">
        <v>218252</v>
      </c>
      <c r="TP5" t="s">
        <v>1798</v>
      </c>
      <c r="TU5" t="str">
        <f>_xll.BDS("9990225D US Equity","SUPPLY_CHAIN_SUPPLIERS_ALL_DATA")</f>
        <v>#N/A N/A</v>
      </c>
      <c r="UI5" t="str">
        <f>_xll.BDS("9990225D US Equity","SUPPLY_CHAIN_CUSTOMERS_ALL_DATA")</f>
        <v>#N/A N/A</v>
      </c>
      <c r="UY5" t="str">
        <f>_xll.BDS("NOC US Equity","SUPPLY_CHAIN_SUPPLIERS_ALL_DATA","cols=12;rows=5")</f>
        <v>RTX US Equity</v>
      </c>
      <c r="UZ5" t="s">
        <v>1777</v>
      </c>
      <c r="VA5">
        <v>0.51138700000000004</v>
      </c>
      <c r="VB5">
        <v>1.351197</v>
      </c>
      <c r="VC5" t="s">
        <v>1768</v>
      </c>
      <c r="VD5">
        <v>2025</v>
      </c>
      <c r="VE5" t="s">
        <v>2764</v>
      </c>
      <c r="VF5" s="6">
        <v>45895</v>
      </c>
      <c r="VG5">
        <v>5</v>
      </c>
      <c r="VH5">
        <v>110362432</v>
      </c>
      <c r="VI5">
        <v>101555</v>
      </c>
      <c r="VJ5" t="s">
        <v>1823</v>
      </c>
      <c r="VM5" t="str">
        <f>_xll.BDS("NOC US Equity","SUPPLY_CHAIN_CUSTOMERS_ALL_DATA","cols=12;rows=5")</f>
        <v>3352Z US Equity</v>
      </c>
      <c r="VN5">
        <v>84</v>
      </c>
      <c r="VP5">
        <v>-2.4245362661989844E-14</v>
      </c>
      <c r="VQ5" t="s">
        <v>1789</v>
      </c>
      <c r="VR5">
        <v>2025</v>
      </c>
      <c r="VS5" t="s">
        <v>2849</v>
      </c>
      <c r="VT5" s="6">
        <v>46049</v>
      </c>
      <c r="VU5">
        <v>5</v>
      </c>
      <c r="VV5">
        <v>8795750000</v>
      </c>
      <c r="VW5">
        <v>218252</v>
      </c>
      <c r="VX5" t="s">
        <v>1798</v>
      </c>
    </row>
    <row r="6" spans="1:600" x14ac:dyDescent="0.25">
      <c r="AE6" t="s">
        <v>686</v>
      </c>
      <c r="AF6" t="s">
        <v>1808</v>
      </c>
      <c r="AG6">
        <v>4.9203999999999998E-2</v>
      </c>
      <c r="AH6">
        <v>1.7811E-2</v>
      </c>
      <c r="AI6" t="s">
        <v>1781</v>
      </c>
      <c r="AJ6">
        <v>2025</v>
      </c>
      <c r="AK6" t="s">
        <v>2330</v>
      </c>
      <c r="AL6" s="6">
        <v>45855</v>
      </c>
      <c r="AM6">
        <v>5</v>
      </c>
      <c r="AN6">
        <v>234030</v>
      </c>
      <c r="AO6">
        <v>171977</v>
      </c>
      <c r="AP6" t="s">
        <v>2698</v>
      </c>
      <c r="FY6" t="s">
        <v>2126</v>
      </c>
      <c r="FZ6" t="s">
        <v>1906</v>
      </c>
      <c r="GA6">
        <v>4.8652389999999999</v>
      </c>
      <c r="GB6">
        <v>11.900978</v>
      </c>
      <c r="GC6" t="s">
        <v>1785</v>
      </c>
      <c r="GD6">
        <v>2026</v>
      </c>
      <c r="GE6" t="s">
        <v>2127</v>
      </c>
      <c r="GF6" s="6">
        <v>46087</v>
      </c>
      <c r="GG6">
        <v>5</v>
      </c>
      <c r="GH6">
        <v>3314541312</v>
      </c>
      <c r="GI6">
        <v>313657</v>
      </c>
      <c r="GJ6" t="s">
        <v>2128</v>
      </c>
      <c r="GM6" t="s">
        <v>1902</v>
      </c>
      <c r="GN6">
        <v>0.23885600000000001</v>
      </c>
      <c r="GO6" t="s">
        <v>1777</v>
      </c>
      <c r="GP6">
        <v>1.5104679999999999</v>
      </c>
      <c r="GQ6" t="s">
        <v>1785</v>
      </c>
      <c r="GR6">
        <v>2025</v>
      </c>
      <c r="GS6" t="s">
        <v>1903</v>
      </c>
      <c r="GT6" s="6">
        <v>46056</v>
      </c>
      <c r="GU6">
        <v>5</v>
      </c>
      <c r="GV6">
        <v>244460032</v>
      </c>
      <c r="GW6">
        <v>1499717</v>
      </c>
      <c r="GX6" t="s">
        <v>1904</v>
      </c>
      <c r="HC6" t="s">
        <v>2013</v>
      </c>
      <c r="HD6" t="s">
        <v>1777</v>
      </c>
      <c r="HE6">
        <v>1.6930989999999999</v>
      </c>
      <c r="HF6">
        <v>0.53028200000000003</v>
      </c>
      <c r="HG6" t="s">
        <v>1768</v>
      </c>
      <c r="HH6">
        <v>2026</v>
      </c>
      <c r="HI6" t="s">
        <v>2014</v>
      </c>
      <c r="HJ6" s="6">
        <v>46044</v>
      </c>
      <c r="HK6">
        <v>5</v>
      </c>
      <c r="HL6">
        <v>15521341</v>
      </c>
      <c r="HM6">
        <v>116426</v>
      </c>
      <c r="HN6" t="s">
        <v>2015</v>
      </c>
      <c r="HQ6" t="s">
        <v>4726</v>
      </c>
      <c r="HR6">
        <v>12</v>
      </c>
      <c r="HS6" t="s">
        <v>1777</v>
      </c>
      <c r="HT6">
        <v>0.92566800000000005</v>
      </c>
      <c r="HU6" t="s">
        <v>1789</v>
      </c>
      <c r="HV6">
        <v>2025</v>
      </c>
      <c r="HW6" t="s">
        <v>4725</v>
      </c>
      <c r="HX6" s="6">
        <v>46064</v>
      </c>
      <c r="HY6">
        <v>5</v>
      </c>
      <c r="HZ6">
        <v>429480000</v>
      </c>
      <c r="IA6">
        <v>100602</v>
      </c>
      <c r="IB6" t="s">
        <v>4727</v>
      </c>
      <c r="IG6" t="s">
        <v>4685</v>
      </c>
      <c r="II6">
        <v>-2.4245362661989844E-14</v>
      </c>
      <c r="IJ6">
        <v>-2.4245362661989844E-14</v>
      </c>
      <c r="IK6" t="s">
        <v>1789</v>
      </c>
      <c r="IL6">
        <v>2024</v>
      </c>
      <c r="IM6" t="s">
        <v>4686</v>
      </c>
      <c r="IN6" s="6">
        <v>45714</v>
      </c>
      <c r="IO6">
        <v>5</v>
      </c>
      <c r="IP6">
        <v>-2.4245362661989844E-14</v>
      </c>
      <c r="IQ6">
        <v>7026658</v>
      </c>
      <c r="IR6" t="s">
        <v>4687</v>
      </c>
      <c r="IU6" t="s">
        <v>4697</v>
      </c>
      <c r="IV6">
        <v>1.587907</v>
      </c>
      <c r="IW6" t="s">
        <v>1777</v>
      </c>
      <c r="IX6">
        <v>1.1040460000000001</v>
      </c>
      <c r="IY6" t="s">
        <v>1789</v>
      </c>
      <c r="IZ6">
        <v>2024</v>
      </c>
      <c r="JA6" t="s">
        <v>4686</v>
      </c>
      <c r="JB6" s="6">
        <v>45714</v>
      </c>
      <c r="JC6">
        <v>5</v>
      </c>
      <c r="JD6">
        <v>3125001</v>
      </c>
      <c r="JE6">
        <v>101074</v>
      </c>
      <c r="JF6" t="s">
        <v>4698</v>
      </c>
      <c r="KO6" t="s">
        <v>4479</v>
      </c>
      <c r="KQ6">
        <v>-2.4245362661989844E-14</v>
      </c>
      <c r="KR6">
        <v>-2.4245362661989844E-14</v>
      </c>
      <c r="KS6" t="s">
        <v>1789</v>
      </c>
      <c r="KT6">
        <v>2022</v>
      </c>
      <c r="KU6" t="s">
        <v>4480</v>
      </c>
      <c r="KV6" s="6">
        <v>44705</v>
      </c>
      <c r="KW6">
        <v>3</v>
      </c>
      <c r="KX6">
        <v>-2.4245362661989844E-14</v>
      </c>
      <c r="KY6">
        <v>25012182</v>
      </c>
      <c r="KZ6" t="s">
        <v>4481</v>
      </c>
      <c r="OA6" t="s">
        <v>4006</v>
      </c>
      <c r="OC6">
        <v>-2.4245362661989844E-14</v>
      </c>
      <c r="OD6">
        <v>-2.4245362661989844E-14</v>
      </c>
      <c r="OE6" t="s">
        <v>1781</v>
      </c>
      <c r="OF6">
        <v>2023</v>
      </c>
      <c r="OG6" t="s">
        <v>4007</v>
      </c>
      <c r="OH6" s="6">
        <v>45111</v>
      </c>
      <c r="OI6">
        <v>5</v>
      </c>
      <c r="OJ6">
        <v>-2.4245362661989844E-14</v>
      </c>
      <c r="OK6">
        <v>11063370</v>
      </c>
      <c r="OL6" t="s">
        <v>4008</v>
      </c>
      <c r="PE6" t="s">
        <v>1559</v>
      </c>
      <c r="PG6">
        <v>-2.4245362661989844E-14</v>
      </c>
      <c r="PH6">
        <v>-2.4245362661989844E-14</v>
      </c>
      <c r="PI6" t="s">
        <v>1773</v>
      </c>
      <c r="PJ6">
        <v>2025</v>
      </c>
      <c r="PK6" t="s">
        <v>4136</v>
      </c>
      <c r="PL6" s="6">
        <v>45999</v>
      </c>
      <c r="PM6">
        <v>4</v>
      </c>
      <c r="PN6">
        <v>-2.4245362661989844E-14</v>
      </c>
      <c r="PO6">
        <v>100607</v>
      </c>
      <c r="PP6" t="s">
        <v>3552</v>
      </c>
      <c r="PS6" t="s">
        <v>4000</v>
      </c>
      <c r="PT6">
        <v>12</v>
      </c>
      <c r="PU6" t="s">
        <v>1777</v>
      </c>
      <c r="PV6">
        <v>8.932874</v>
      </c>
      <c r="PW6" t="s">
        <v>1789</v>
      </c>
      <c r="PX6">
        <v>2024</v>
      </c>
      <c r="PY6" t="s">
        <v>3998</v>
      </c>
      <c r="PZ6" s="6">
        <v>45709</v>
      </c>
      <c r="QA6">
        <v>5</v>
      </c>
      <c r="QB6">
        <v>37607400</v>
      </c>
      <c r="QC6">
        <v>71818851</v>
      </c>
      <c r="QD6" t="s">
        <v>4001</v>
      </c>
      <c r="SQ6" t="s">
        <v>4754</v>
      </c>
      <c r="SR6" t="s">
        <v>1777</v>
      </c>
      <c r="SS6">
        <v>24.639126000000001</v>
      </c>
      <c r="ST6">
        <v>1.5545880000000001</v>
      </c>
      <c r="SU6" t="s">
        <v>1768</v>
      </c>
      <c r="SV6">
        <v>2025</v>
      </c>
      <c r="SW6" t="s">
        <v>4755</v>
      </c>
      <c r="SX6" s="6">
        <v>45961</v>
      </c>
      <c r="SY6">
        <v>5</v>
      </c>
      <c r="SZ6">
        <v>275439546.58999997</v>
      </c>
      <c r="TA6">
        <v>47700205</v>
      </c>
      <c r="TB6" t="s">
        <v>4756</v>
      </c>
      <c r="TE6" t="s">
        <v>1887</v>
      </c>
      <c r="TF6">
        <v>14</v>
      </c>
      <c r="TG6" t="s">
        <v>1777</v>
      </c>
      <c r="TH6">
        <v>18.408752</v>
      </c>
      <c r="TI6" t="s">
        <v>1789</v>
      </c>
      <c r="TJ6">
        <v>2025</v>
      </c>
      <c r="TK6" t="s">
        <v>3343</v>
      </c>
      <c r="TL6" s="6">
        <v>46059</v>
      </c>
      <c r="TM6">
        <v>5</v>
      </c>
      <c r="TN6">
        <v>3101104896</v>
      </c>
      <c r="TO6">
        <v>876285</v>
      </c>
      <c r="TP6" t="s">
        <v>1888</v>
      </c>
      <c r="UY6" t="s">
        <v>4519</v>
      </c>
      <c r="UZ6" t="s">
        <v>1777</v>
      </c>
      <c r="VA6">
        <v>2.205819</v>
      </c>
      <c r="VB6">
        <v>0.66992200000000002</v>
      </c>
      <c r="VC6" t="s">
        <v>1768</v>
      </c>
      <c r="VD6">
        <v>2026</v>
      </c>
      <c r="VE6" t="s">
        <v>4520</v>
      </c>
      <c r="VF6" s="6">
        <v>46017</v>
      </c>
      <c r="VG6">
        <v>5</v>
      </c>
      <c r="VH6">
        <v>56247939.43</v>
      </c>
      <c r="VI6">
        <v>113796</v>
      </c>
      <c r="VJ6" t="s">
        <v>4521</v>
      </c>
      <c r="VM6" t="s">
        <v>1821</v>
      </c>
      <c r="VN6">
        <v>1.0381830000000001</v>
      </c>
      <c r="VO6" t="s">
        <v>1777</v>
      </c>
      <c r="VP6">
        <v>0.65061599999999997</v>
      </c>
      <c r="VQ6" t="s">
        <v>1773</v>
      </c>
      <c r="VR6">
        <v>2025</v>
      </c>
      <c r="VS6" t="s">
        <v>2850</v>
      </c>
      <c r="VT6" s="6">
        <v>45964</v>
      </c>
      <c r="VU6">
        <v>5</v>
      </c>
      <c r="VV6">
        <v>106499408</v>
      </c>
      <c r="VW6">
        <v>156923</v>
      </c>
      <c r="VX6" t="s">
        <v>1822</v>
      </c>
    </row>
    <row r="7" spans="1:600" x14ac:dyDescent="0.25">
      <c r="AE7" t="s">
        <v>4720</v>
      </c>
      <c r="AG7">
        <v>-2.4245362661989844E-14</v>
      </c>
      <c r="AH7">
        <v>-2.4245362661989844E-14</v>
      </c>
      <c r="AI7" t="s">
        <v>1789</v>
      </c>
      <c r="AJ7">
        <v>2025</v>
      </c>
      <c r="AK7" t="s">
        <v>4721</v>
      </c>
      <c r="AL7" s="6">
        <v>46066</v>
      </c>
      <c r="AM7">
        <v>5</v>
      </c>
      <c r="AN7">
        <v>-2.4245362661989844E-14</v>
      </c>
      <c r="AO7">
        <v>117123</v>
      </c>
      <c r="AP7" t="s">
        <v>4722</v>
      </c>
      <c r="FY7" t="s">
        <v>3549</v>
      </c>
      <c r="FZ7" t="s">
        <v>1906</v>
      </c>
      <c r="GA7">
        <v>12.78093</v>
      </c>
      <c r="GB7">
        <v>9.6125100000000003</v>
      </c>
      <c r="GC7" t="s">
        <v>1785</v>
      </c>
      <c r="GD7">
        <v>2025</v>
      </c>
      <c r="GE7" t="s">
        <v>4048</v>
      </c>
      <c r="GF7" s="6">
        <v>46010</v>
      </c>
      <c r="GG7">
        <v>5</v>
      </c>
      <c r="GH7">
        <v>2302484480</v>
      </c>
      <c r="GI7">
        <v>59907412</v>
      </c>
      <c r="GJ7" t="s">
        <v>3551</v>
      </c>
      <c r="GM7" t="s">
        <v>1911</v>
      </c>
      <c r="GN7">
        <v>0.23884</v>
      </c>
      <c r="GO7" t="s">
        <v>1777</v>
      </c>
      <c r="GP7">
        <v>1.871626</v>
      </c>
      <c r="GQ7" t="s">
        <v>1768</v>
      </c>
      <c r="GR7">
        <v>2025</v>
      </c>
      <c r="GS7" t="s">
        <v>3850</v>
      </c>
      <c r="GT7" s="6">
        <v>45863</v>
      </c>
      <c r="GU7">
        <v>5</v>
      </c>
      <c r="GV7">
        <v>230308256</v>
      </c>
      <c r="GW7">
        <v>101376</v>
      </c>
      <c r="GX7" t="s">
        <v>1912</v>
      </c>
      <c r="HC7" t="s">
        <v>3489</v>
      </c>
      <c r="HD7" t="s">
        <v>1777</v>
      </c>
      <c r="HE7">
        <v>0.119572</v>
      </c>
      <c r="HF7">
        <v>0.42400599999999999</v>
      </c>
      <c r="HG7" t="s">
        <v>1768</v>
      </c>
      <c r="HH7">
        <v>2025</v>
      </c>
      <c r="HI7" t="s">
        <v>3490</v>
      </c>
      <c r="HJ7" s="6">
        <v>45943</v>
      </c>
      <c r="HK7">
        <v>5</v>
      </c>
      <c r="HL7">
        <v>12711699</v>
      </c>
      <c r="HM7">
        <v>109806</v>
      </c>
      <c r="HN7" t="s">
        <v>3491</v>
      </c>
      <c r="HQ7" t="s">
        <v>3039</v>
      </c>
      <c r="HR7">
        <v>8.3136449999999993</v>
      </c>
      <c r="HS7" t="s">
        <v>1777</v>
      </c>
      <c r="HT7">
        <v>0.74647699999999995</v>
      </c>
      <c r="HU7" t="s">
        <v>1785</v>
      </c>
      <c r="HV7">
        <v>2025</v>
      </c>
      <c r="HW7" t="s">
        <v>4728</v>
      </c>
      <c r="HX7" s="6">
        <v>46070</v>
      </c>
      <c r="HY7">
        <v>5</v>
      </c>
      <c r="HZ7">
        <v>296963392</v>
      </c>
      <c r="IA7">
        <v>16632863</v>
      </c>
      <c r="IB7" t="s">
        <v>3040</v>
      </c>
      <c r="IG7" t="s">
        <v>4688</v>
      </c>
      <c r="II7">
        <v>-2.4245362661989844E-14</v>
      </c>
      <c r="IJ7">
        <v>-2.4245362661989844E-14</v>
      </c>
      <c r="IK7" t="s">
        <v>1789</v>
      </c>
      <c r="IL7">
        <v>2024</v>
      </c>
      <c r="IM7" t="s">
        <v>4686</v>
      </c>
      <c r="IN7" s="6">
        <v>45714</v>
      </c>
      <c r="IO7">
        <v>5</v>
      </c>
      <c r="IP7">
        <v>-2.4245362661989844E-14</v>
      </c>
      <c r="IQ7">
        <v>62119995</v>
      </c>
      <c r="IR7" t="s">
        <v>4689</v>
      </c>
      <c r="IU7" t="s">
        <v>4699</v>
      </c>
      <c r="IV7">
        <v>-2.4245362661989844E-14</v>
      </c>
      <c r="IX7">
        <v>-2.4245362661989844E-14</v>
      </c>
      <c r="IY7" t="s">
        <v>1789</v>
      </c>
      <c r="IZ7">
        <v>2024</v>
      </c>
      <c r="JA7" t="s">
        <v>4686</v>
      </c>
      <c r="JB7" s="6">
        <v>45714</v>
      </c>
      <c r="JC7">
        <v>5</v>
      </c>
      <c r="JD7">
        <v>-2.4245362661989844E-14</v>
      </c>
      <c r="JE7">
        <v>64500798</v>
      </c>
      <c r="JF7" t="s">
        <v>4700</v>
      </c>
      <c r="KO7" t="s">
        <v>4482</v>
      </c>
      <c r="KQ7">
        <v>-2.4245362661989844E-14</v>
      </c>
      <c r="KR7">
        <v>-2.4245362661989844E-14</v>
      </c>
      <c r="KS7" t="s">
        <v>1789</v>
      </c>
      <c r="KT7">
        <v>2023</v>
      </c>
      <c r="KU7" t="s">
        <v>4483</v>
      </c>
      <c r="KV7" s="6">
        <v>45117</v>
      </c>
      <c r="KW7">
        <v>3</v>
      </c>
      <c r="KX7">
        <v>-2.4245362661989844E-14</v>
      </c>
      <c r="KY7">
        <v>69598184</v>
      </c>
      <c r="KZ7" t="s">
        <v>4484</v>
      </c>
      <c r="OA7" t="s">
        <v>3631</v>
      </c>
      <c r="OC7">
        <v>-2.4245362661989844E-14</v>
      </c>
      <c r="OD7">
        <v>-2.4245362661989844E-14</v>
      </c>
      <c r="OE7" t="s">
        <v>1789</v>
      </c>
      <c r="OF7">
        <v>2025</v>
      </c>
      <c r="OG7" t="s">
        <v>3632</v>
      </c>
      <c r="OH7" s="6">
        <v>46066</v>
      </c>
      <c r="OI7">
        <v>5</v>
      </c>
      <c r="OJ7">
        <v>-2.4245362661989844E-14</v>
      </c>
      <c r="OK7">
        <v>126273</v>
      </c>
      <c r="OL7" t="s">
        <v>3633</v>
      </c>
      <c r="PE7" t="s">
        <v>4137</v>
      </c>
      <c r="PG7">
        <v>-2.4245362661989844E-14</v>
      </c>
      <c r="PH7">
        <v>-2.4245362661989844E-14</v>
      </c>
      <c r="PI7" t="s">
        <v>1773</v>
      </c>
      <c r="PJ7">
        <v>2022</v>
      </c>
      <c r="PK7" t="s">
        <v>4138</v>
      </c>
      <c r="PL7" s="6">
        <v>44901</v>
      </c>
      <c r="PM7">
        <v>4</v>
      </c>
      <c r="PN7">
        <v>-2.4245362661989844E-14</v>
      </c>
      <c r="PO7">
        <v>53255043</v>
      </c>
      <c r="PP7" t="s">
        <v>4139</v>
      </c>
      <c r="PS7" t="s">
        <v>3935</v>
      </c>
      <c r="PT7">
        <v>-2.4245362661989844E-14</v>
      </c>
      <c r="PV7">
        <v>-2.4245362661989844E-14</v>
      </c>
      <c r="PW7" t="s">
        <v>1789</v>
      </c>
      <c r="PX7">
        <v>2023</v>
      </c>
      <c r="PY7" t="s">
        <v>4002</v>
      </c>
      <c r="PZ7" s="6">
        <v>45338</v>
      </c>
      <c r="QA7">
        <v>5</v>
      </c>
      <c r="QB7">
        <v>-2.4245362661989844E-14</v>
      </c>
      <c r="QC7">
        <v>19492414</v>
      </c>
      <c r="QD7" t="s">
        <v>3936</v>
      </c>
      <c r="SQ7" t="s">
        <v>2034</v>
      </c>
      <c r="SR7" t="s">
        <v>1777</v>
      </c>
      <c r="SS7">
        <v>11</v>
      </c>
      <c r="ST7">
        <v>1.2818369999999999</v>
      </c>
      <c r="SU7" t="s">
        <v>1789</v>
      </c>
      <c r="SV7">
        <v>2025</v>
      </c>
      <c r="SW7" t="s">
        <v>2035</v>
      </c>
      <c r="SX7" s="6">
        <v>46065</v>
      </c>
      <c r="SY7">
        <v>5</v>
      </c>
      <c r="SZ7">
        <v>226930000</v>
      </c>
      <c r="TA7">
        <v>59099358</v>
      </c>
      <c r="TB7" t="s">
        <v>2036</v>
      </c>
      <c r="TE7" t="s">
        <v>1824</v>
      </c>
      <c r="TF7">
        <v>5.3565009999999997</v>
      </c>
      <c r="TG7" t="s">
        <v>1777</v>
      </c>
      <c r="TH7">
        <v>5.6905900000000003</v>
      </c>
      <c r="TI7" t="s">
        <v>1768</v>
      </c>
      <c r="TJ7">
        <v>2025</v>
      </c>
      <c r="TK7" t="s">
        <v>2764</v>
      </c>
      <c r="TL7" s="6">
        <v>45895</v>
      </c>
      <c r="TM7">
        <v>5</v>
      </c>
      <c r="TN7">
        <v>1155986432</v>
      </c>
      <c r="TO7">
        <v>100211</v>
      </c>
      <c r="TP7" t="s">
        <v>1825</v>
      </c>
      <c r="UY7" t="s">
        <v>3575</v>
      </c>
      <c r="UZ7" t="s">
        <v>1777</v>
      </c>
      <c r="VA7">
        <v>6.9616020000000001</v>
      </c>
      <c r="VB7">
        <v>0.64157799999999998</v>
      </c>
      <c r="VC7" t="s">
        <v>1773</v>
      </c>
      <c r="VD7">
        <v>2025</v>
      </c>
      <c r="VE7" t="s">
        <v>3576</v>
      </c>
      <c r="VF7" s="6">
        <v>46001</v>
      </c>
      <c r="VG7">
        <v>5</v>
      </c>
      <c r="VH7">
        <v>52402484</v>
      </c>
      <c r="VI7">
        <v>1182195</v>
      </c>
      <c r="VJ7" t="s">
        <v>3577</v>
      </c>
      <c r="VM7" t="s">
        <v>1814</v>
      </c>
      <c r="VN7">
        <v>0.57939300000000005</v>
      </c>
      <c r="VO7" t="s">
        <v>1777</v>
      </c>
      <c r="VP7">
        <v>6.7030000000000006E-2</v>
      </c>
      <c r="VQ7" t="s">
        <v>1773</v>
      </c>
      <c r="VR7">
        <v>2025</v>
      </c>
      <c r="VS7" t="s">
        <v>2850</v>
      </c>
      <c r="VT7" s="6">
        <v>45964</v>
      </c>
      <c r="VU7">
        <v>5</v>
      </c>
      <c r="VV7">
        <v>59435584</v>
      </c>
      <c r="VW7">
        <v>216952</v>
      </c>
      <c r="VX7" t="s">
        <v>1815</v>
      </c>
    </row>
    <row r="8" spans="1:600" x14ac:dyDescent="0.25">
      <c r="AE8" t="s">
        <v>2502</v>
      </c>
      <c r="AG8">
        <v>-2.4245362661989844E-14</v>
      </c>
      <c r="AH8">
        <v>-2.4245362661989844E-14</v>
      </c>
      <c r="AI8" t="s">
        <v>1781</v>
      </c>
      <c r="AJ8">
        <v>2025</v>
      </c>
      <c r="AK8" t="s">
        <v>3660</v>
      </c>
      <c r="AL8" s="6">
        <v>45785</v>
      </c>
      <c r="AM8">
        <v>5</v>
      </c>
      <c r="AN8">
        <v>-2.4245362661989844E-14</v>
      </c>
      <c r="AO8">
        <v>42447088</v>
      </c>
      <c r="AP8" t="s">
        <v>2504</v>
      </c>
      <c r="FY8" t="s">
        <v>2129</v>
      </c>
      <c r="FZ8" t="s">
        <v>1906</v>
      </c>
      <c r="GA8">
        <v>2.5768610000000001</v>
      </c>
      <c r="GB8">
        <v>6.6721240000000002</v>
      </c>
      <c r="GC8" t="s">
        <v>1768</v>
      </c>
      <c r="GD8">
        <v>2025</v>
      </c>
      <c r="GE8" t="s">
        <v>2130</v>
      </c>
      <c r="GF8" s="6">
        <v>45889</v>
      </c>
      <c r="GG8">
        <v>5</v>
      </c>
      <c r="GH8">
        <v>1498845043.1900001</v>
      </c>
      <c r="GI8">
        <v>119133</v>
      </c>
      <c r="GJ8" t="s">
        <v>2131</v>
      </c>
      <c r="GM8" t="s">
        <v>3851</v>
      </c>
      <c r="GN8">
        <v>0.17849499999999999</v>
      </c>
      <c r="GO8" t="s">
        <v>1777</v>
      </c>
      <c r="GP8">
        <v>2.3335089999999998</v>
      </c>
      <c r="GQ8" t="s">
        <v>1768</v>
      </c>
      <c r="GR8">
        <v>2025</v>
      </c>
      <c r="GS8" t="s">
        <v>3852</v>
      </c>
      <c r="GT8" s="6">
        <v>45863</v>
      </c>
      <c r="GU8">
        <v>5</v>
      </c>
      <c r="GV8">
        <v>172119616</v>
      </c>
      <c r="GW8">
        <v>8779219</v>
      </c>
      <c r="GX8" t="s">
        <v>3853</v>
      </c>
      <c r="HC8" t="s">
        <v>3492</v>
      </c>
      <c r="HD8" t="s">
        <v>1777</v>
      </c>
      <c r="HE8">
        <v>0.21518399999999999</v>
      </c>
      <c r="HF8">
        <v>0.32997900000000002</v>
      </c>
      <c r="HG8" t="s">
        <v>1785</v>
      </c>
      <c r="HH8">
        <v>2025</v>
      </c>
      <c r="HI8" t="s">
        <v>3493</v>
      </c>
      <c r="HJ8" s="6">
        <v>45975</v>
      </c>
      <c r="HK8">
        <v>5</v>
      </c>
      <c r="HL8">
        <v>9340117.3900000006</v>
      </c>
      <c r="HM8">
        <v>114345</v>
      </c>
      <c r="HN8" t="s">
        <v>3494</v>
      </c>
      <c r="HQ8" t="s">
        <v>4729</v>
      </c>
      <c r="HR8">
        <v>7.7337600000000002</v>
      </c>
      <c r="HS8" t="s">
        <v>1777</v>
      </c>
      <c r="HT8">
        <v>0.74002400000000002</v>
      </c>
      <c r="HU8" t="s">
        <v>1785</v>
      </c>
      <c r="HV8">
        <v>2025</v>
      </c>
      <c r="HW8" t="s">
        <v>4728</v>
      </c>
      <c r="HX8" s="6">
        <v>46070</v>
      </c>
      <c r="HY8">
        <v>5</v>
      </c>
      <c r="HZ8">
        <v>276249920</v>
      </c>
      <c r="IA8">
        <v>41633927</v>
      </c>
      <c r="IB8" t="s">
        <v>4730</v>
      </c>
      <c r="IG8" t="s">
        <v>4690</v>
      </c>
      <c r="II8">
        <v>-2.4245362661989844E-14</v>
      </c>
      <c r="IJ8">
        <v>-2.4245362661989844E-14</v>
      </c>
      <c r="IK8" t="s">
        <v>1789</v>
      </c>
      <c r="IL8">
        <v>2023</v>
      </c>
      <c r="IM8" t="s">
        <v>4691</v>
      </c>
      <c r="IN8" s="6">
        <v>45343</v>
      </c>
      <c r="IO8">
        <v>5</v>
      </c>
      <c r="IP8">
        <v>-2.4245362661989844E-14</v>
      </c>
      <c r="IQ8">
        <v>215356</v>
      </c>
      <c r="IR8" t="s">
        <v>4692</v>
      </c>
      <c r="IU8" t="s">
        <v>1918</v>
      </c>
      <c r="IV8">
        <v>-2.4245362661989844E-14</v>
      </c>
      <c r="IX8">
        <v>-2.4245362661989844E-14</v>
      </c>
      <c r="IY8" t="s">
        <v>1789</v>
      </c>
      <c r="IZ8">
        <v>2025</v>
      </c>
      <c r="JA8" t="s">
        <v>4701</v>
      </c>
      <c r="JB8" s="6">
        <v>45846</v>
      </c>
      <c r="JC8">
        <v>5</v>
      </c>
      <c r="JD8">
        <v>-2.4245362661989844E-14</v>
      </c>
      <c r="JE8">
        <v>100060</v>
      </c>
      <c r="JF8" t="s">
        <v>1920</v>
      </c>
      <c r="OA8" t="s">
        <v>4009</v>
      </c>
      <c r="OC8">
        <v>-2.4245362661989844E-14</v>
      </c>
      <c r="OD8">
        <v>-2.4245362661989844E-14</v>
      </c>
      <c r="OE8" t="s">
        <v>1789</v>
      </c>
      <c r="OF8">
        <v>2023</v>
      </c>
      <c r="OG8" t="s">
        <v>4010</v>
      </c>
      <c r="OH8" s="6">
        <v>45335</v>
      </c>
      <c r="OI8">
        <v>5</v>
      </c>
      <c r="OJ8">
        <v>-2.4245362661989844E-14</v>
      </c>
      <c r="OK8">
        <v>116906</v>
      </c>
      <c r="OL8" t="s">
        <v>4011</v>
      </c>
      <c r="PE8" t="s">
        <v>1617</v>
      </c>
      <c r="PG8">
        <v>-2.4245362661989844E-14</v>
      </c>
      <c r="PH8">
        <v>-2.4245362661989844E-14</v>
      </c>
      <c r="PI8" t="s">
        <v>1773</v>
      </c>
      <c r="PJ8">
        <v>2025</v>
      </c>
      <c r="PK8" t="s">
        <v>3210</v>
      </c>
      <c r="PL8" s="6">
        <v>45981</v>
      </c>
      <c r="PM8">
        <v>4</v>
      </c>
      <c r="PN8">
        <v>-2.4245362661989844E-14</v>
      </c>
      <c r="PO8">
        <v>52033328</v>
      </c>
      <c r="PP8" t="s">
        <v>4140</v>
      </c>
      <c r="PS8" t="s">
        <v>4003</v>
      </c>
      <c r="PT8">
        <v>-2.4245362661989844E-14</v>
      </c>
      <c r="PV8">
        <v>-2.4245362661989844E-14</v>
      </c>
      <c r="PW8" t="s">
        <v>1789</v>
      </c>
      <c r="PX8">
        <v>2023</v>
      </c>
      <c r="PY8" t="s">
        <v>4002</v>
      </c>
      <c r="PZ8" s="6">
        <v>45338</v>
      </c>
      <c r="QA8">
        <v>5</v>
      </c>
      <c r="QB8">
        <v>-2.4245362661989844E-14</v>
      </c>
      <c r="QC8">
        <v>43525642</v>
      </c>
      <c r="QD8" t="s">
        <v>4004</v>
      </c>
      <c r="SQ8" t="s">
        <v>816</v>
      </c>
      <c r="SR8" t="s">
        <v>1777</v>
      </c>
      <c r="SS8">
        <v>0.19926099999999999</v>
      </c>
      <c r="ST8">
        <v>1.1451750000000001</v>
      </c>
      <c r="SU8" t="s">
        <v>1768</v>
      </c>
      <c r="SV8">
        <v>2025</v>
      </c>
      <c r="SW8" t="s">
        <v>2764</v>
      </c>
      <c r="SX8" s="6">
        <v>45895</v>
      </c>
      <c r="SY8">
        <v>5</v>
      </c>
      <c r="SZ8">
        <v>197027360</v>
      </c>
      <c r="TA8">
        <v>100193</v>
      </c>
      <c r="TB8" t="s">
        <v>2070</v>
      </c>
      <c r="TE8" t="s">
        <v>1821</v>
      </c>
      <c r="TF8">
        <v>2.7185320000000002</v>
      </c>
      <c r="TG8" t="s">
        <v>1777</v>
      </c>
      <c r="TH8">
        <v>3.3805040000000002</v>
      </c>
      <c r="TI8" t="s">
        <v>1768</v>
      </c>
      <c r="TJ8">
        <v>2025</v>
      </c>
      <c r="TK8" t="s">
        <v>2764</v>
      </c>
      <c r="TL8" s="6">
        <v>45895</v>
      </c>
      <c r="TM8">
        <v>5</v>
      </c>
      <c r="TN8">
        <v>586686400</v>
      </c>
      <c r="TO8">
        <v>156923</v>
      </c>
      <c r="TP8" t="s">
        <v>1822</v>
      </c>
      <c r="UY8" t="s">
        <v>4522</v>
      </c>
      <c r="UZ8" t="s">
        <v>1777</v>
      </c>
      <c r="VA8">
        <v>2.2395689999999999</v>
      </c>
      <c r="VB8">
        <v>0.51293900000000003</v>
      </c>
      <c r="VC8" t="s">
        <v>1768</v>
      </c>
      <c r="VD8">
        <v>2025</v>
      </c>
      <c r="VE8" t="s">
        <v>4523</v>
      </c>
      <c r="VF8" s="6">
        <v>45859</v>
      </c>
      <c r="VG8">
        <v>5</v>
      </c>
      <c r="VH8">
        <v>45819367.549999997</v>
      </c>
      <c r="VI8">
        <v>328221</v>
      </c>
      <c r="VJ8" t="s">
        <v>4524</v>
      </c>
      <c r="VM8" t="s">
        <v>1824</v>
      </c>
      <c r="VN8">
        <v>0.42797499999999999</v>
      </c>
      <c r="VO8" t="s">
        <v>1777</v>
      </c>
      <c r="VP8">
        <v>0.17119400000000001</v>
      </c>
      <c r="VQ8" t="s">
        <v>1773</v>
      </c>
      <c r="VR8">
        <v>2025</v>
      </c>
      <c r="VS8" t="s">
        <v>2850</v>
      </c>
      <c r="VT8" s="6">
        <v>45964</v>
      </c>
      <c r="VU8">
        <v>5</v>
      </c>
      <c r="VV8">
        <v>43902744</v>
      </c>
      <c r="VW8">
        <v>100211</v>
      </c>
      <c r="VX8" t="s">
        <v>1825</v>
      </c>
    </row>
    <row r="9" spans="1:600" x14ac:dyDescent="0.25">
      <c r="AE9" t="s">
        <v>3096</v>
      </c>
      <c r="AG9">
        <v>-2.4245362661989844E-14</v>
      </c>
      <c r="AH9">
        <v>-2.4245362661989844E-14</v>
      </c>
      <c r="AI9" t="s">
        <v>1773</v>
      </c>
      <c r="AJ9">
        <v>2025</v>
      </c>
      <c r="AK9" t="s">
        <v>4220</v>
      </c>
      <c r="AL9" s="6">
        <v>45957</v>
      </c>
      <c r="AM9">
        <v>5</v>
      </c>
      <c r="AN9">
        <v>-2.4245362661989844E-14</v>
      </c>
      <c r="AO9">
        <v>43152573</v>
      </c>
      <c r="AP9" t="s">
        <v>3098</v>
      </c>
      <c r="FY9" t="s">
        <v>3142</v>
      </c>
      <c r="FZ9" t="s">
        <v>1906</v>
      </c>
      <c r="GA9">
        <v>7.3190790000000003</v>
      </c>
      <c r="GB9">
        <v>4.4339519999999997</v>
      </c>
      <c r="GC9" t="s">
        <v>1773</v>
      </c>
      <c r="GD9">
        <v>2025</v>
      </c>
      <c r="GE9" t="s">
        <v>4049</v>
      </c>
      <c r="GF9" s="6">
        <v>46080</v>
      </c>
      <c r="GG9">
        <v>5</v>
      </c>
      <c r="GH9">
        <v>1290877323.8699999</v>
      </c>
      <c r="GI9">
        <v>193974</v>
      </c>
      <c r="GJ9" t="s">
        <v>3143</v>
      </c>
      <c r="GM9" t="s">
        <v>2447</v>
      </c>
      <c r="GN9">
        <v>6.148E-2</v>
      </c>
      <c r="GO9" t="s">
        <v>1777</v>
      </c>
      <c r="GP9">
        <v>2.6783929999999998</v>
      </c>
      <c r="GQ9" t="s">
        <v>1768</v>
      </c>
      <c r="GR9">
        <v>2025</v>
      </c>
      <c r="GS9" t="s">
        <v>2448</v>
      </c>
      <c r="GT9" s="6">
        <v>46008</v>
      </c>
      <c r="GU9">
        <v>5</v>
      </c>
      <c r="GV9">
        <v>62289296.270000003</v>
      </c>
      <c r="GW9">
        <v>349049</v>
      </c>
      <c r="GX9" t="s">
        <v>2449</v>
      </c>
      <c r="HC9" t="s">
        <v>3495</v>
      </c>
      <c r="HD9" t="s">
        <v>1777</v>
      </c>
      <c r="HE9">
        <v>0.52654900000000004</v>
      </c>
      <c r="HF9">
        <v>0.28446300000000002</v>
      </c>
      <c r="HG9" t="s">
        <v>1773</v>
      </c>
      <c r="HH9">
        <v>2025</v>
      </c>
      <c r="HI9" t="s">
        <v>3496</v>
      </c>
      <c r="HJ9" s="6">
        <v>45968</v>
      </c>
      <c r="HK9">
        <v>5</v>
      </c>
      <c r="HL9">
        <v>8327797.4100000001</v>
      </c>
      <c r="HM9">
        <v>127005</v>
      </c>
      <c r="HN9" t="s">
        <v>3497</v>
      </c>
      <c r="HQ9" t="s">
        <v>2277</v>
      </c>
      <c r="HR9">
        <v>5.9479470000000001</v>
      </c>
      <c r="HS9" t="s">
        <v>1777</v>
      </c>
      <c r="HT9">
        <v>0.76650399999999996</v>
      </c>
      <c r="HU9" t="s">
        <v>1785</v>
      </c>
      <c r="HV9">
        <v>2025</v>
      </c>
      <c r="HW9" t="s">
        <v>4728</v>
      </c>
      <c r="HX9" s="6">
        <v>46070</v>
      </c>
      <c r="HY9">
        <v>5</v>
      </c>
      <c r="HZ9">
        <v>212460672</v>
      </c>
      <c r="IA9">
        <v>117621</v>
      </c>
      <c r="IB9" t="s">
        <v>2278</v>
      </c>
      <c r="IG9" t="s">
        <v>4693</v>
      </c>
      <c r="II9">
        <v>-2.4245362661989844E-14</v>
      </c>
      <c r="IJ9">
        <v>-2.4245362661989844E-14</v>
      </c>
      <c r="IK9" t="s">
        <v>1789</v>
      </c>
      <c r="IL9">
        <v>2024</v>
      </c>
      <c r="IM9" t="s">
        <v>4686</v>
      </c>
      <c r="IN9" s="6">
        <v>45714</v>
      </c>
      <c r="IO9">
        <v>5</v>
      </c>
      <c r="IP9">
        <v>-2.4245362661989844E-14</v>
      </c>
      <c r="IQ9">
        <v>898712</v>
      </c>
      <c r="IR9" t="s">
        <v>4694</v>
      </c>
      <c r="IU9" t="s">
        <v>4702</v>
      </c>
      <c r="IV9">
        <v>-2.4245362661989844E-14</v>
      </c>
      <c r="IX9">
        <v>-2.4245362661989844E-14</v>
      </c>
      <c r="IY9" t="s">
        <v>1789</v>
      </c>
      <c r="IZ9">
        <v>2021</v>
      </c>
      <c r="JA9" t="s">
        <v>4703</v>
      </c>
      <c r="JB9" s="6">
        <v>44693</v>
      </c>
      <c r="JC9">
        <v>5</v>
      </c>
      <c r="JD9">
        <v>-2.4245362661989844E-14</v>
      </c>
      <c r="JE9">
        <v>32593414</v>
      </c>
      <c r="JF9" t="s">
        <v>4704</v>
      </c>
      <c r="OA9" t="s">
        <v>4012</v>
      </c>
      <c r="OC9">
        <v>-2.4245362661989844E-14</v>
      </c>
      <c r="OD9">
        <v>-2.4245362661989844E-14</v>
      </c>
      <c r="OE9" t="s">
        <v>1789</v>
      </c>
      <c r="OF9">
        <v>2023</v>
      </c>
      <c r="OG9" t="s">
        <v>4013</v>
      </c>
      <c r="OH9" s="6">
        <v>45035</v>
      </c>
      <c r="OI9">
        <v>5</v>
      </c>
      <c r="OJ9">
        <v>-2.4245362661989844E-14</v>
      </c>
      <c r="OK9">
        <v>34426116</v>
      </c>
      <c r="OL9" t="s">
        <v>4014</v>
      </c>
      <c r="PS9" t="s">
        <v>2223</v>
      </c>
      <c r="PT9">
        <v>-2.4245362661989844E-14</v>
      </c>
      <c r="PV9">
        <v>-2.4245362661989844E-14</v>
      </c>
      <c r="PW9" t="s">
        <v>1789</v>
      </c>
      <c r="PX9">
        <v>2022</v>
      </c>
      <c r="PY9" t="s">
        <v>4005</v>
      </c>
      <c r="PZ9" s="6">
        <v>44975</v>
      </c>
      <c r="QA9">
        <v>5</v>
      </c>
      <c r="QB9">
        <v>-2.4245362661989844E-14</v>
      </c>
      <c r="QC9">
        <v>9268711</v>
      </c>
      <c r="QD9" t="s">
        <v>2225</v>
      </c>
      <c r="SQ9" t="s">
        <v>4757</v>
      </c>
      <c r="SR9" t="s">
        <v>1777</v>
      </c>
      <c r="SS9">
        <v>3.715757</v>
      </c>
      <c r="ST9">
        <v>1.143508</v>
      </c>
      <c r="SU9" t="s">
        <v>1773</v>
      </c>
      <c r="SV9">
        <v>2025</v>
      </c>
      <c r="SW9" t="s">
        <v>4758</v>
      </c>
      <c r="SX9" s="6">
        <v>45782</v>
      </c>
      <c r="SY9">
        <v>5</v>
      </c>
      <c r="SZ9">
        <v>185133936</v>
      </c>
      <c r="TA9">
        <v>101149</v>
      </c>
      <c r="TB9" t="s">
        <v>4759</v>
      </c>
      <c r="TE9" t="s">
        <v>154</v>
      </c>
      <c r="TF9">
        <v>1.2661089999999999</v>
      </c>
      <c r="TG9" t="s">
        <v>1777</v>
      </c>
      <c r="TH9">
        <v>2.0610919999999999</v>
      </c>
      <c r="TI9" t="s">
        <v>1768</v>
      </c>
      <c r="TJ9">
        <v>2025</v>
      </c>
      <c r="TK9" t="s">
        <v>2764</v>
      </c>
      <c r="TL9" s="6">
        <v>45895</v>
      </c>
      <c r="TM9">
        <v>5</v>
      </c>
      <c r="TN9">
        <v>273238976</v>
      </c>
      <c r="TO9">
        <v>100090</v>
      </c>
      <c r="TP9" t="s">
        <v>1891</v>
      </c>
      <c r="UY9" t="s">
        <v>2913</v>
      </c>
      <c r="UZ9" t="s">
        <v>1777</v>
      </c>
      <c r="VA9">
        <v>0.59006199999999998</v>
      </c>
      <c r="VB9">
        <v>0.53252200000000005</v>
      </c>
      <c r="VC9" t="s">
        <v>1768</v>
      </c>
      <c r="VD9">
        <v>2025</v>
      </c>
      <c r="VE9" t="s">
        <v>4525</v>
      </c>
      <c r="VF9" s="6">
        <v>45875</v>
      </c>
      <c r="VG9">
        <v>5</v>
      </c>
      <c r="VH9">
        <v>45441434.649999999</v>
      </c>
      <c r="VI9">
        <v>111270</v>
      </c>
      <c r="VJ9" t="s">
        <v>2914</v>
      </c>
      <c r="VM9" t="s">
        <v>2284</v>
      </c>
      <c r="VN9">
        <v>0.26823999999999998</v>
      </c>
      <c r="VO9" t="s">
        <v>1906</v>
      </c>
      <c r="VP9">
        <v>-2.4245362661989844E-14</v>
      </c>
      <c r="VQ9" t="s">
        <v>1789</v>
      </c>
      <c r="VR9">
        <v>2025</v>
      </c>
      <c r="VS9" t="s">
        <v>2285</v>
      </c>
      <c r="VT9" s="6">
        <v>45925</v>
      </c>
      <c r="VU9">
        <v>5</v>
      </c>
      <c r="VV9">
        <v>26796000</v>
      </c>
      <c r="VW9">
        <v>340053</v>
      </c>
      <c r="VX9" t="s">
        <v>2286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212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213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214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215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216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217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218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219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220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221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222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223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224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225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226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227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228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229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230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231</v>
      </c>
      <c r="AE2" s="3" t="s">
        <v>232</v>
      </c>
      <c r="BI2" s="3" t="s">
        <v>233</v>
      </c>
      <c r="CM2" s="3" t="s">
        <v>234</v>
      </c>
      <c r="DQ2" s="3" t="s">
        <v>235</v>
      </c>
      <c r="EU2" s="3" t="s">
        <v>236</v>
      </c>
      <c r="FY2" s="3" t="s">
        <v>237</v>
      </c>
      <c r="HC2" s="3" t="s">
        <v>238</v>
      </c>
      <c r="IG2" s="3" t="s">
        <v>239</v>
      </c>
      <c r="JK2" s="3" t="s">
        <v>240</v>
      </c>
      <c r="KO2" s="3" t="s">
        <v>241</v>
      </c>
      <c r="LS2" s="3" t="s">
        <v>242</v>
      </c>
      <c r="MW2" s="3" t="s">
        <v>243</v>
      </c>
      <c r="OA2" s="3" t="s">
        <v>78</v>
      </c>
      <c r="PE2" s="3" t="s">
        <v>244</v>
      </c>
      <c r="QI2" s="3" t="s">
        <v>236</v>
      </c>
      <c r="RM2" s="3" t="s">
        <v>245</v>
      </c>
      <c r="SQ2" s="3" t="s">
        <v>246</v>
      </c>
      <c r="TU2" s="3" t="s">
        <v>247</v>
      </c>
      <c r="UY2" s="3" t="s">
        <v>248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_xll.BDS("ICBC US Equity","SUPPLY_CHAIN_SUPPLIERS_ALL_DATA")</f>
        <v>#N/A N/A</v>
      </c>
      <c r="O5" t="str">
        <f>_xll.BDS("ICBC US Equity","SUPPLY_CHAIN_CUSTOMERS_ALL_DATA")</f>
        <v>#N/A N/A</v>
      </c>
      <c r="AE5" t="str">
        <f>_xll.BDS("HLFG US Equity","SUPPLY_CHAIN_SUPPLIERS_ALL_DATA")</f>
        <v>#N/A N/A</v>
      </c>
      <c r="AS5" t="str">
        <f>_xll.BDS("HLFG US Equity","SUPPLY_CHAIN_CUSTOMERS_ALL_DATA")</f>
        <v>#N/A N/A</v>
      </c>
      <c r="BI5" t="str">
        <f>_xll.BDS("GEO US Equity","SUPPLY_CHAIN_SUPPLIERS_ALL_DATA","cols=12;rows=1")</f>
        <v>VSEE US Equity</v>
      </c>
      <c r="BK5">
        <v>-2.4245362661989844E-14</v>
      </c>
      <c r="BL5">
        <v>-2.4245362661989844E-14</v>
      </c>
      <c r="BM5" t="s">
        <v>1789</v>
      </c>
      <c r="BN5">
        <v>2025</v>
      </c>
      <c r="BO5" t="s">
        <v>4191</v>
      </c>
      <c r="BP5" s="6">
        <v>45749</v>
      </c>
      <c r="BQ5">
        <v>1</v>
      </c>
      <c r="BR5">
        <v>-2.4245362661989844E-14</v>
      </c>
      <c r="BS5">
        <v>69780054</v>
      </c>
      <c r="BT5" t="s">
        <v>4192</v>
      </c>
      <c r="BW5" t="str">
        <f>_xll.BDS("GEO US Equity","SUPPLY_CHAIN_CUSTOMERS_ALL_DATA","cols=12;rows=5")</f>
        <v>3352Z US Equity</v>
      </c>
      <c r="BX5">
        <v>62</v>
      </c>
      <c r="BZ5">
        <v>-2.4245362661989844E-14</v>
      </c>
      <c r="CA5" t="s">
        <v>1789</v>
      </c>
      <c r="CB5">
        <v>2024</v>
      </c>
      <c r="CC5" t="s">
        <v>4237</v>
      </c>
      <c r="CD5" s="6">
        <v>45716</v>
      </c>
      <c r="CE5">
        <v>5</v>
      </c>
      <c r="CF5">
        <v>375673824</v>
      </c>
      <c r="CG5">
        <v>218252</v>
      </c>
      <c r="CH5" t="s">
        <v>1798</v>
      </c>
      <c r="CM5" t="str">
        <f>_xll.BDS("DIAN US Equity","SUPPLY_CHAIN_SUPPLIERS_ALL_DATA")</f>
        <v>#N/A N/A</v>
      </c>
      <c r="DA5" t="str">
        <f>_xll.BDS("DIAN US Equity","SUPPLY_CHAIN_CUSTOMERS_ALL_DATA")</f>
        <v>#N/A N/A</v>
      </c>
      <c r="DQ5" t="str">
        <f>_xll.BDS("1339658D US Equity","SUPPLY_CHAIN_SUPPLIERS_ALL_DATA")</f>
        <v>#N/A N/A</v>
      </c>
      <c r="EE5" t="str">
        <f>_xll.BDS("1339658D US Equity","SUPPLY_CHAIN_CUSTOMERS_ALL_DATA")</f>
        <v>#N/A N/A</v>
      </c>
      <c r="EU5" t="str">
        <f>_xll.BDS("BVH US Equity","SUPPLY_CHAIN_SUPPLIERS_ALL_DATA","cols=12;rows=1")</f>
        <v>ECL US Equity</v>
      </c>
      <c r="EW5">
        <v>-2.4245362661989844E-14</v>
      </c>
      <c r="EX5">
        <v>-2.4245362661989844E-14</v>
      </c>
      <c r="EY5" t="s">
        <v>1768</v>
      </c>
      <c r="EZ5">
        <v>2023</v>
      </c>
      <c r="FA5" t="s">
        <v>1952</v>
      </c>
      <c r="FB5" s="6">
        <v>45183</v>
      </c>
      <c r="FC5">
        <v>1</v>
      </c>
      <c r="FD5">
        <v>-2.4245362661989844E-14</v>
      </c>
      <c r="FE5">
        <v>100499</v>
      </c>
      <c r="FF5" t="s">
        <v>1953</v>
      </c>
      <c r="FI5" t="str">
        <f>_xll.BDS("BVH US Equity","SUPPLY_CHAIN_CUSTOMERS_ALL_DATA")</f>
        <v>#N/A N/A</v>
      </c>
      <c r="FY5" t="str">
        <f>_xll.BDS("INDB US Equity","SUPPLY_CHAIN_SUPPLIERS_ALL_DATA")</f>
        <v>#N/A N/A</v>
      </c>
      <c r="GM5" t="str">
        <f>_xll.BDS("INDB US Equity","SUPPLY_CHAIN_CUSTOMERS_ALL_DATA")</f>
        <v>#N/A N/A</v>
      </c>
      <c r="HC5" t="str">
        <f>_xll.BDS("SRR US Equity","SUPPLY_CHAIN_SUPPLIERS_ALL_DATA")</f>
        <v>#N/A N/A</v>
      </c>
      <c r="HQ5" t="str">
        <f>_xll.BDS("SRR US Equity","SUPPLY_CHAIN_CUSTOMERS_ALL_DATA")</f>
        <v>#N/A N/A</v>
      </c>
      <c r="IG5" t="str">
        <f>_xll.BDS("ALAB US Equity","SUPPLY_CHAIN_SUPPLIERS_ALL_DATA","cols=12;rows=5")</f>
        <v>AMKR US Equity</v>
      </c>
      <c r="IH5" t="s">
        <v>1777</v>
      </c>
      <c r="II5">
        <v>3.4271999999999997E-2</v>
      </c>
      <c r="IJ5">
        <v>1.243492</v>
      </c>
      <c r="IK5" t="s">
        <v>1773</v>
      </c>
      <c r="IL5">
        <v>2025</v>
      </c>
      <c r="IM5" t="s">
        <v>2632</v>
      </c>
      <c r="IN5" s="6">
        <v>46035</v>
      </c>
      <c r="IO5">
        <v>5</v>
      </c>
      <c r="IP5">
        <v>680974</v>
      </c>
      <c r="IQ5">
        <v>302680</v>
      </c>
      <c r="IR5" t="s">
        <v>2633</v>
      </c>
      <c r="IU5" t="str">
        <f>_xll.BDS("ALAB US Equity","SUPPLY_CHAIN_CUSTOMERS_ALL_DATA","cols=12;rows=5")</f>
        <v>AMZN US Equity</v>
      </c>
      <c r="IV5">
        <v>24</v>
      </c>
      <c r="IW5" t="s">
        <v>1906</v>
      </c>
      <c r="IX5">
        <v>0.143125</v>
      </c>
      <c r="IY5" t="s">
        <v>1768</v>
      </c>
      <c r="IZ5">
        <v>2025</v>
      </c>
      <c r="JA5" t="s">
        <v>3712</v>
      </c>
      <c r="JB5" s="6">
        <v>45877</v>
      </c>
      <c r="JC5">
        <v>5</v>
      </c>
      <c r="JD5">
        <v>46062000</v>
      </c>
      <c r="JE5">
        <v>216952</v>
      </c>
      <c r="JF5" t="s">
        <v>1815</v>
      </c>
      <c r="JK5" t="str">
        <f>_xll.BDS("RBNC US Equity","SUPPLY_CHAIN_SUPPLIERS_ALL_DATA")</f>
        <v>#N/A N/A</v>
      </c>
      <c r="JY5" t="str">
        <f>_xll.BDS("RBNC US Equity","SUPPLY_CHAIN_CUSTOMERS_ALL_DATA")</f>
        <v>#N/A N/A</v>
      </c>
      <c r="KO5" t="str">
        <f>_xll.BDS("MBHIQ US Equity","SUPPLY_CHAIN_SUPPLIERS_ALL_DATA")</f>
        <v>#N/A N/A</v>
      </c>
      <c r="LC5" t="str">
        <f>_xll.BDS("MBHIQ US Equity","SUPPLY_CHAIN_CUSTOMERS_ALL_DATA")</f>
        <v>#N/A N/A</v>
      </c>
      <c r="LS5" t="str">
        <f>_xll.BDS("WCOEQ US Equity","SUPPLY_CHAIN_SUPPLIERS_ALL_DATA")</f>
        <v>#N/A N/A</v>
      </c>
      <c r="MG5" t="str">
        <f>_xll.BDS("WCOEQ US Equity","SUPPLY_CHAIN_CUSTOMERS_ALL_DATA")</f>
        <v>#N/A N/A</v>
      </c>
      <c r="MW5" t="str">
        <f>_xll.BDS("IMGC US Equity","SUPPLY_CHAIN_SUPPLIERS_ALL_DATA")</f>
        <v>#N/A N/A</v>
      </c>
      <c r="NK5" t="str">
        <f>_xll.BDS("IMGC US Equity","SUPPLY_CHAIN_CUSTOMERS_ALL_DATA")</f>
        <v>#N/A N/A</v>
      </c>
      <c r="OA5" t="str">
        <f>_xll.BDS("SCFS US Equity","SUPPLY_CHAIN_SUPPLIERS_ALL_DATA")</f>
        <v>#N/A N/A</v>
      </c>
      <c r="OO5" t="str">
        <f>_xll.BDS("SCFS US Equity","SUPPLY_CHAIN_CUSTOMERS_ALL_DATA")</f>
        <v>#N/A N/A</v>
      </c>
      <c r="PE5" t="str">
        <f>_xll.BDS("EFSC US Equity","SUPPLY_CHAIN_SUPPLIERS_ALL_DATA")</f>
        <v>#N/A N/A</v>
      </c>
      <c r="PS5" t="str">
        <f>_xll.BDS("EFSC US Equity","SUPPLY_CHAIN_CUSTOMERS_ALL_DATA")</f>
        <v>#N/A N/A</v>
      </c>
      <c r="QI5" t="str">
        <f>_xll.BDS("BVH US Equity","SUPPLY_CHAIN_SUPPLIERS_ALL_DATA","cols=12;rows=1")</f>
        <v>ECL US Equity</v>
      </c>
      <c r="QK5">
        <v>-2.4245362661989844E-14</v>
      </c>
      <c r="QL5">
        <v>-2.4245362661989844E-14</v>
      </c>
      <c r="QM5" t="s">
        <v>1768</v>
      </c>
      <c r="QN5">
        <v>2023</v>
      </c>
      <c r="QO5" t="s">
        <v>1952</v>
      </c>
      <c r="QP5" s="6">
        <v>45183</v>
      </c>
      <c r="QQ5">
        <v>1</v>
      </c>
      <c r="QR5">
        <v>-2.4245362661989844E-14</v>
      </c>
      <c r="QS5">
        <v>100499</v>
      </c>
      <c r="QT5" t="s">
        <v>1953</v>
      </c>
      <c r="QW5" t="str">
        <f>_xll.BDS("BVH US Equity","SUPPLY_CHAIN_CUSTOMERS_ALL_DATA")</f>
        <v>#N/A N/A</v>
      </c>
      <c r="RM5" t="str">
        <f>_xll.BDS("EVVV US Equity","SUPPLY_CHAIN_SUPPLIERS_ALL_DATA")</f>
        <v>#N/A N/A</v>
      </c>
      <c r="SA5" t="str">
        <f>_xll.BDS("EVVV US Equity","SUPPLY_CHAIN_CUSTOMERS_ALL_DATA")</f>
        <v>#N/A N/A</v>
      </c>
      <c r="SQ5" t="str">
        <f>_xll.BDS("NXTL US Equity","SUPPLY_CHAIN_SUPPLIERS_ALL_DATA")</f>
        <v>#N/A N/A</v>
      </c>
      <c r="TE5" t="str">
        <f>_xll.BDS("NXTL US Equity","SUPPLY_CHAIN_CUSTOMERS_ALL_DATA")</f>
        <v>#N/A N/A</v>
      </c>
      <c r="TU5" t="str">
        <f>_xll.BDS("BKMU US Equity","SUPPLY_CHAIN_SUPPLIERS_ALL_DATA")</f>
        <v>#N/A N/A</v>
      </c>
      <c r="UI5" t="str">
        <f>_xll.BDS("BKMU US Equity","SUPPLY_CHAIN_CUSTOMERS_ALL_DATA")</f>
        <v>#N/A N/A</v>
      </c>
      <c r="UY5" t="str">
        <f>_xll.BDS("WHLR US Equity","SUPPLY_CHAIN_SUPPLIERS_ALL_DATA")</f>
        <v>#N/A N/A</v>
      </c>
      <c r="VM5" t="str">
        <f>_xll.BDS("WHLR US Equity","SUPPLY_CHAIN_CUSTOMERS_ALL_DATA","cols=12;rows=5")</f>
        <v>AD NA Equity</v>
      </c>
      <c r="VN5">
        <v>4.0927959999999999</v>
      </c>
      <c r="VO5" t="s">
        <v>1808</v>
      </c>
      <c r="VP5">
        <v>1.8436999999999999E-2</v>
      </c>
      <c r="VQ5" t="s">
        <v>1789</v>
      </c>
      <c r="VR5">
        <v>2024</v>
      </c>
      <c r="VS5" t="s">
        <v>3533</v>
      </c>
      <c r="VT5" s="6">
        <v>45720</v>
      </c>
      <c r="VU5">
        <v>5</v>
      </c>
      <c r="VV5">
        <v>1070000</v>
      </c>
      <c r="VW5">
        <v>115643</v>
      </c>
      <c r="VX5" t="s">
        <v>1882</v>
      </c>
    </row>
    <row r="6" spans="1:600" x14ac:dyDescent="0.25">
      <c r="BW6" t="s">
        <v>4238</v>
      </c>
      <c r="BX6">
        <v>-2.4245362661989844E-14</v>
      </c>
      <c r="BZ6">
        <v>-2.4245362661989844E-14</v>
      </c>
      <c r="CA6" t="s">
        <v>1789</v>
      </c>
      <c r="CB6">
        <v>2025</v>
      </c>
      <c r="CC6" t="s">
        <v>4239</v>
      </c>
      <c r="CD6" s="6">
        <v>45736</v>
      </c>
      <c r="CE6">
        <v>5</v>
      </c>
      <c r="CF6">
        <v>-2.4245362661989844E-14</v>
      </c>
      <c r="CG6">
        <v>18782064</v>
      </c>
      <c r="CH6" t="s">
        <v>4240</v>
      </c>
      <c r="IG6" t="s">
        <v>2132</v>
      </c>
      <c r="II6">
        <v>-2.4245362661989844E-14</v>
      </c>
      <c r="IJ6">
        <v>-2.4245362661989844E-14</v>
      </c>
      <c r="IK6" t="s">
        <v>1789</v>
      </c>
      <c r="IL6">
        <v>2025</v>
      </c>
      <c r="IM6" t="s">
        <v>2634</v>
      </c>
      <c r="IN6" s="6">
        <v>46073</v>
      </c>
      <c r="IO6">
        <v>5</v>
      </c>
      <c r="IP6">
        <v>-2.4245362661989844E-14</v>
      </c>
      <c r="IQ6">
        <v>153737</v>
      </c>
      <c r="IR6" t="s">
        <v>2134</v>
      </c>
      <c r="IU6" t="s">
        <v>2126</v>
      </c>
      <c r="IV6">
        <v>13.013496</v>
      </c>
      <c r="IW6" t="s">
        <v>1777</v>
      </c>
      <c r="IX6">
        <v>0.143591</v>
      </c>
      <c r="IY6" t="s">
        <v>1768</v>
      </c>
      <c r="IZ6">
        <v>2025</v>
      </c>
      <c r="JA6" t="s">
        <v>3712</v>
      </c>
      <c r="JB6" s="6">
        <v>45877</v>
      </c>
      <c r="JC6">
        <v>5</v>
      </c>
      <c r="JD6">
        <v>24976152</v>
      </c>
      <c r="JE6">
        <v>313657</v>
      </c>
      <c r="JF6" t="s">
        <v>2128</v>
      </c>
      <c r="VM6" t="s">
        <v>3534</v>
      </c>
      <c r="VN6">
        <v>2.0052789999999998</v>
      </c>
      <c r="VO6" t="s">
        <v>1808</v>
      </c>
      <c r="VP6">
        <v>8.2459999999999999E-3</v>
      </c>
      <c r="VQ6" t="s">
        <v>1789</v>
      </c>
      <c r="VR6">
        <v>2024</v>
      </c>
      <c r="VS6" t="s">
        <v>3533</v>
      </c>
      <c r="VT6" s="6">
        <v>45720</v>
      </c>
      <c r="VU6">
        <v>5</v>
      </c>
      <c r="VV6">
        <v>524250</v>
      </c>
      <c r="VW6">
        <v>100864</v>
      </c>
      <c r="VX6" t="s">
        <v>3535</v>
      </c>
    </row>
    <row r="7" spans="1:600" x14ac:dyDescent="0.25">
      <c r="BW7" t="s">
        <v>4241</v>
      </c>
      <c r="BX7">
        <v>-2.4245362661989844E-14</v>
      </c>
      <c r="BZ7">
        <v>-2.4245362661989844E-14</v>
      </c>
      <c r="CA7" t="s">
        <v>1789</v>
      </c>
      <c r="CB7">
        <v>2024</v>
      </c>
      <c r="CC7" t="s">
        <v>4237</v>
      </c>
      <c r="CD7" s="6">
        <v>45716</v>
      </c>
      <c r="CE7">
        <v>5</v>
      </c>
      <c r="CF7">
        <v>-2.4245362661989844E-14</v>
      </c>
      <c r="CG7">
        <v>18621631</v>
      </c>
      <c r="CH7" t="s">
        <v>4242</v>
      </c>
      <c r="IG7" t="s">
        <v>2635</v>
      </c>
      <c r="II7">
        <v>-2.4245362661989844E-14</v>
      </c>
      <c r="IJ7">
        <v>-2.4245362661989844E-14</v>
      </c>
      <c r="IK7" t="s">
        <v>1789</v>
      </c>
      <c r="IL7">
        <v>2025</v>
      </c>
      <c r="IM7" t="s">
        <v>2634</v>
      </c>
      <c r="IN7" s="6">
        <v>46073</v>
      </c>
      <c r="IO7">
        <v>5</v>
      </c>
      <c r="IP7">
        <v>-2.4245362661989844E-14</v>
      </c>
      <c r="IQ7">
        <v>58244711</v>
      </c>
      <c r="IR7" t="s">
        <v>2636</v>
      </c>
      <c r="IU7" t="s">
        <v>2657</v>
      </c>
      <c r="IV7">
        <v>6.5809350000000002</v>
      </c>
      <c r="IW7" t="s">
        <v>1777</v>
      </c>
      <c r="IX7">
        <v>9.2913999999999997E-2</v>
      </c>
      <c r="IY7" t="s">
        <v>1768</v>
      </c>
      <c r="IZ7">
        <v>2025</v>
      </c>
      <c r="JA7" t="s">
        <v>3712</v>
      </c>
      <c r="JB7" s="6">
        <v>45877</v>
      </c>
      <c r="JC7">
        <v>5</v>
      </c>
      <c r="JD7">
        <v>12630459</v>
      </c>
      <c r="JE7">
        <v>330541</v>
      </c>
      <c r="JF7" t="s">
        <v>2659</v>
      </c>
      <c r="VM7" t="s">
        <v>3369</v>
      </c>
      <c r="VN7">
        <v>1.97946</v>
      </c>
      <c r="VO7" t="s">
        <v>1808</v>
      </c>
      <c r="VP7">
        <v>2.8313999999999999E-2</v>
      </c>
      <c r="VQ7" t="s">
        <v>1789</v>
      </c>
      <c r="VR7">
        <v>2024</v>
      </c>
      <c r="VS7" t="s">
        <v>3533</v>
      </c>
      <c r="VT7" s="6">
        <v>45720</v>
      </c>
      <c r="VU7">
        <v>5</v>
      </c>
      <c r="VV7">
        <v>517500</v>
      </c>
      <c r="VW7">
        <v>159765</v>
      </c>
      <c r="VX7" t="s">
        <v>3370</v>
      </c>
    </row>
    <row r="8" spans="1:600" x14ac:dyDescent="0.25">
      <c r="BW8" t="s">
        <v>4243</v>
      </c>
      <c r="BX8">
        <v>-2.4245362661989844E-14</v>
      </c>
      <c r="BZ8">
        <v>-2.4245362661989844E-14</v>
      </c>
      <c r="CA8" t="s">
        <v>1789</v>
      </c>
      <c r="CB8">
        <v>2024</v>
      </c>
      <c r="CC8" t="s">
        <v>4237</v>
      </c>
      <c r="CD8" s="6">
        <v>45716</v>
      </c>
      <c r="CE8">
        <v>5</v>
      </c>
      <c r="CF8">
        <v>-2.4245362661989844E-14</v>
      </c>
      <c r="CG8">
        <v>17712908</v>
      </c>
      <c r="CH8" t="s">
        <v>4244</v>
      </c>
      <c r="IG8" t="s">
        <v>2637</v>
      </c>
      <c r="II8">
        <v>-2.4245362661989844E-14</v>
      </c>
      <c r="IJ8">
        <v>-2.4245362661989844E-14</v>
      </c>
      <c r="IK8" t="s">
        <v>1789</v>
      </c>
      <c r="IL8">
        <v>2024</v>
      </c>
      <c r="IM8" t="s">
        <v>2638</v>
      </c>
      <c r="IN8" s="6">
        <v>45702</v>
      </c>
      <c r="IO8">
        <v>5</v>
      </c>
      <c r="IP8">
        <v>-2.4245362661989844E-14</v>
      </c>
      <c r="IQ8">
        <v>100010</v>
      </c>
      <c r="IR8" t="s">
        <v>2639</v>
      </c>
      <c r="IU8" t="s">
        <v>3713</v>
      </c>
      <c r="IV8">
        <v>6.2638559999999996</v>
      </c>
      <c r="IW8" t="s">
        <v>1777</v>
      </c>
      <c r="IX8">
        <v>5.8458000000000003E-2</v>
      </c>
      <c r="IY8" t="s">
        <v>1768</v>
      </c>
      <c r="IZ8">
        <v>2025</v>
      </c>
      <c r="JA8" t="s">
        <v>3712</v>
      </c>
      <c r="JB8" s="6">
        <v>45877</v>
      </c>
      <c r="JC8">
        <v>5</v>
      </c>
      <c r="JD8">
        <v>12021906</v>
      </c>
      <c r="JE8">
        <v>52332183</v>
      </c>
      <c r="JF8" t="s">
        <v>3714</v>
      </c>
      <c r="VM8" t="s">
        <v>3536</v>
      </c>
      <c r="VN8">
        <v>1.8637520000000001</v>
      </c>
      <c r="VO8" t="s">
        <v>1808</v>
      </c>
      <c r="VP8">
        <v>1.509145</v>
      </c>
      <c r="VQ8" t="s">
        <v>1789</v>
      </c>
      <c r="VR8">
        <v>2024</v>
      </c>
      <c r="VS8" t="s">
        <v>3533</v>
      </c>
      <c r="VT8" s="6">
        <v>45720</v>
      </c>
      <c r="VU8">
        <v>5</v>
      </c>
      <c r="VV8">
        <v>487250</v>
      </c>
      <c r="VW8">
        <v>46124194</v>
      </c>
      <c r="VX8" t="s">
        <v>3537</v>
      </c>
    </row>
    <row r="9" spans="1:600" x14ac:dyDescent="0.25">
      <c r="BW9" t="s">
        <v>4245</v>
      </c>
      <c r="BX9">
        <v>-2.4245362661989844E-14</v>
      </c>
      <c r="BZ9">
        <v>-2.4245362661989844E-14</v>
      </c>
      <c r="CA9" t="s">
        <v>1789</v>
      </c>
      <c r="CB9">
        <v>2024</v>
      </c>
      <c r="CC9" t="s">
        <v>4237</v>
      </c>
      <c r="CD9" s="6">
        <v>45716</v>
      </c>
      <c r="CE9">
        <v>5</v>
      </c>
      <c r="CF9">
        <v>-2.4245362661989844E-14</v>
      </c>
      <c r="CG9">
        <v>17712880</v>
      </c>
      <c r="CH9" t="s">
        <v>4246</v>
      </c>
      <c r="IG9" t="s">
        <v>2640</v>
      </c>
      <c r="II9">
        <v>-2.4245362661989844E-14</v>
      </c>
      <c r="IJ9">
        <v>-2.4245362661989844E-14</v>
      </c>
      <c r="IK9" t="s">
        <v>1773</v>
      </c>
      <c r="IL9">
        <v>2026</v>
      </c>
      <c r="IM9" t="s">
        <v>2641</v>
      </c>
      <c r="IN9" s="6">
        <v>46057</v>
      </c>
      <c r="IO9">
        <v>5</v>
      </c>
      <c r="IP9">
        <v>-2.4245362661989844E-14</v>
      </c>
      <c r="IQ9">
        <v>71227770</v>
      </c>
      <c r="IR9" t="s">
        <v>2642</v>
      </c>
      <c r="IU9" t="s">
        <v>2660</v>
      </c>
      <c r="IV9">
        <v>4.5987859999999996</v>
      </c>
      <c r="IW9" t="s">
        <v>1777</v>
      </c>
      <c r="IX9">
        <v>9.0897000000000006E-2</v>
      </c>
      <c r="IY9" t="s">
        <v>1768</v>
      </c>
      <c r="IZ9">
        <v>2025</v>
      </c>
      <c r="JA9" t="s">
        <v>3712</v>
      </c>
      <c r="JB9" s="6">
        <v>45877</v>
      </c>
      <c r="JC9">
        <v>5</v>
      </c>
      <c r="JD9">
        <v>8826220</v>
      </c>
      <c r="JE9">
        <v>7975354</v>
      </c>
      <c r="JF9" t="s">
        <v>2662</v>
      </c>
      <c r="VM9" t="s">
        <v>1807</v>
      </c>
      <c r="VN9">
        <v>1.6457250000000001</v>
      </c>
      <c r="VO9" t="s">
        <v>1808</v>
      </c>
      <c r="VP9">
        <v>1.5723000000000001E-2</v>
      </c>
      <c r="VQ9" t="s">
        <v>1789</v>
      </c>
      <c r="VR9">
        <v>2024</v>
      </c>
      <c r="VS9" t="s">
        <v>3533</v>
      </c>
      <c r="VT9" s="6">
        <v>45720</v>
      </c>
      <c r="VU9">
        <v>5</v>
      </c>
      <c r="VV9">
        <v>430250</v>
      </c>
      <c r="VW9">
        <v>101481</v>
      </c>
      <c r="VX9" t="s">
        <v>1810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250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251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252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253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254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255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256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257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258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259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260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261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262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263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264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265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266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267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268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269</v>
      </c>
      <c r="AE2" s="3" t="s">
        <v>270</v>
      </c>
      <c r="BI2" s="3" t="s">
        <v>78</v>
      </c>
      <c r="CM2" s="3" t="s">
        <v>271</v>
      </c>
      <c r="DQ2" s="3" t="s">
        <v>272</v>
      </c>
      <c r="EU2" s="3" t="s">
        <v>273</v>
      </c>
      <c r="FY2" s="3" t="s">
        <v>274</v>
      </c>
      <c r="HC2" s="3" t="s">
        <v>275</v>
      </c>
      <c r="IG2" s="3" t="s">
        <v>276</v>
      </c>
      <c r="JK2" s="3" t="s">
        <v>277</v>
      </c>
      <c r="KO2" s="3" t="s">
        <v>278</v>
      </c>
      <c r="LS2" s="3" t="s">
        <v>279</v>
      </c>
      <c r="MW2" s="3" t="s">
        <v>280</v>
      </c>
      <c r="OA2" s="3" t="s">
        <v>281</v>
      </c>
      <c r="PE2" s="3" t="s">
        <v>282</v>
      </c>
      <c r="QI2" s="3" t="s">
        <v>283</v>
      </c>
      <c r="RM2" s="3" t="s">
        <v>284</v>
      </c>
      <c r="SQ2" s="3" t="s">
        <v>285</v>
      </c>
      <c r="TU2" s="3" t="s">
        <v>286</v>
      </c>
      <c r="UY2" s="3" t="s">
        <v>287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_xll.BDS("HBAN US Equity","SUPPLY_CHAIN_SUPPLIERS_ALL_DATA","cols=12;rows=4")</f>
        <v>004800 KS Equity</v>
      </c>
      <c r="C5">
        <v>-2.4245362661989844E-14</v>
      </c>
      <c r="D5">
        <v>-2.4245362661989844E-14</v>
      </c>
      <c r="E5" t="s">
        <v>1894</v>
      </c>
      <c r="F5">
        <v>2025</v>
      </c>
      <c r="G5" t="s">
        <v>2043</v>
      </c>
      <c r="H5" s="6">
        <v>45974</v>
      </c>
      <c r="I5">
        <v>4</v>
      </c>
      <c r="J5">
        <v>-2.4245362661989844E-14</v>
      </c>
      <c r="K5">
        <v>118099</v>
      </c>
      <c r="L5" t="s">
        <v>1998</v>
      </c>
      <c r="O5" t="str">
        <f>_xll.BDS("HBAN US Equity","SUPPLY_CHAIN_CUSTOMERS_ALL_DATA")</f>
        <v>#N/A N/A</v>
      </c>
      <c r="AE5" t="str">
        <f>_xll.BDS("680884Q US Equity","SUPPLY_CHAIN_SUPPLIERS_ALL_DATA")</f>
        <v>#N/A N/A</v>
      </c>
      <c r="AS5" t="str">
        <f>_xll.BDS("680884Q US Equity","SUPPLY_CHAIN_CUSTOMERS_ALL_DATA")</f>
        <v>#N/A N/A</v>
      </c>
      <c r="BI5" t="str">
        <f>_xll.BDS("SCFS US Equity","SUPPLY_CHAIN_SUPPLIERS_ALL_DATA")</f>
        <v>#N/A N/A</v>
      </c>
      <c r="BW5" t="str">
        <f>_xll.BDS("SCFS US Equity","SUPPLY_CHAIN_CUSTOMERS_ALL_DATA")</f>
        <v>#N/A N/A</v>
      </c>
      <c r="CM5" t="str">
        <f>_xll.BDS("MAFB US Equity","SUPPLY_CHAIN_SUPPLIERS_ALL_DATA")</f>
        <v>#N/A N/A</v>
      </c>
      <c r="DA5" t="str">
        <f>_xll.BDS("MAFB US Equity","SUPPLY_CHAIN_CUSTOMERS_ALL_DATA")</f>
        <v>#N/A N/A</v>
      </c>
      <c r="DQ5" t="str">
        <f>_xll.BDS("MAR US Equity","SUPPLY_CHAIN_SUPPLIERS_ALL_DATA","cols=12;rows=5")</f>
        <v>ORCL US Equity</v>
      </c>
      <c r="DR5" t="s">
        <v>1777</v>
      </c>
      <c r="DS5">
        <v>8.7483000000000005E-2</v>
      </c>
      <c r="DT5">
        <v>0.27725</v>
      </c>
      <c r="DU5" t="s">
        <v>1785</v>
      </c>
      <c r="DV5">
        <v>2025</v>
      </c>
      <c r="DW5" t="s">
        <v>2095</v>
      </c>
      <c r="DX5" s="6">
        <v>45848</v>
      </c>
      <c r="DY5">
        <v>5</v>
      </c>
      <c r="DZ5">
        <v>13912421</v>
      </c>
      <c r="EA5">
        <v>101752</v>
      </c>
      <c r="EB5" t="s">
        <v>2096</v>
      </c>
      <c r="EE5" t="str">
        <f>_xll.BDS("MAR US Equity","SUPPLY_CHAIN_CUSTOMERS_ALL_DATA","cols=12;rows=5")</f>
        <v>139480 KS Equity</v>
      </c>
      <c r="EF5">
        <v>2.4112000000000001E-2</v>
      </c>
      <c r="EG5" t="s">
        <v>1808</v>
      </c>
      <c r="EH5">
        <v>0.119986</v>
      </c>
      <c r="EI5" t="s">
        <v>1894</v>
      </c>
      <c r="EJ5">
        <v>2025</v>
      </c>
      <c r="EK5" t="s">
        <v>3984</v>
      </c>
      <c r="EL5" s="6">
        <v>45975</v>
      </c>
      <c r="EM5">
        <v>5</v>
      </c>
      <c r="EN5">
        <v>1559707.12</v>
      </c>
      <c r="EO5">
        <v>278509</v>
      </c>
      <c r="EP5" t="s">
        <v>3985</v>
      </c>
      <c r="EU5" t="str">
        <f>_xll.BDS("GBBK US Equity","SUPPLY_CHAIN_SUPPLIERS_ALL_DATA")</f>
        <v>#N/A N/A</v>
      </c>
      <c r="FI5" t="str">
        <f>_xll.BDS("GBBK US Equity","SUPPLY_CHAIN_CUSTOMERS_ALL_DATA")</f>
        <v>#N/A N/A</v>
      </c>
      <c r="FY5" t="str">
        <f>_xll.BDS("VIAV US Equity","SUPPLY_CHAIN_SUPPLIERS_ALL_DATA","cols=12;rows=5")</f>
        <v>TCS IN Equity</v>
      </c>
      <c r="FZ5" t="s">
        <v>1808</v>
      </c>
      <c r="GA5">
        <v>5.8825000000000002E-2</v>
      </c>
      <c r="GB5">
        <v>3.4862989999999998</v>
      </c>
      <c r="GC5" t="s">
        <v>1773</v>
      </c>
      <c r="GD5">
        <v>2026</v>
      </c>
      <c r="GE5" t="s">
        <v>3082</v>
      </c>
      <c r="GF5" s="6">
        <v>46058</v>
      </c>
      <c r="GG5">
        <v>5</v>
      </c>
      <c r="GH5">
        <v>4429338.2300000004</v>
      </c>
      <c r="GI5">
        <v>7259059</v>
      </c>
      <c r="GJ5" t="s">
        <v>3083</v>
      </c>
      <c r="GM5" t="str">
        <f>_xll.BDS("VIAV US Equity","SUPPLY_CHAIN_CUSTOMERS_ALL_DATA","cols=12;rows=5")</f>
        <v>582647Z SW Equity</v>
      </c>
      <c r="GN5">
        <v>14.345955</v>
      </c>
      <c r="GP5">
        <v>-2.4245362661989844E-14</v>
      </c>
      <c r="GQ5" t="s">
        <v>1785</v>
      </c>
      <c r="GR5">
        <v>2025</v>
      </c>
      <c r="GS5" t="s">
        <v>2122</v>
      </c>
      <c r="GT5" s="6">
        <v>45894</v>
      </c>
      <c r="GU5">
        <v>5</v>
      </c>
      <c r="GV5">
        <v>41675000</v>
      </c>
      <c r="GW5">
        <v>9020850</v>
      </c>
      <c r="GX5" t="s">
        <v>4719</v>
      </c>
      <c r="HC5" t="str">
        <f>_xll.BDS("DCAI US Equity","SUPPLY_CHAIN_SUPPLIERS_ALL_DATA")</f>
        <v>#N/A N/A</v>
      </c>
      <c r="HQ5" t="str">
        <f>_xll.BDS("DCAI US Equity","SUPPLY_CHAIN_CUSTOMERS_ALL_DATA")</f>
        <v>#N/A N/A</v>
      </c>
      <c r="IG5" t="str">
        <f>_xll.BDS("COB US Equity","SUPPLY_CHAIN_SUPPLIERS_ALL_DATA")</f>
        <v>#N/A N/A</v>
      </c>
      <c r="IU5" t="str">
        <f>_xll.BDS("COB US Equity","SUPPLY_CHAIN_CUSTOMERS_ALL_DATA")</f>
        <v>#N/A N/A</v>
      </c>
      <c r="JK5" t="str">
        <f>_xll.BDS("RITA US Equity","SUPPLY_CHAIN_SUPPLIERS_ALL_DATA")</f>
        <v>#N/A N/A</v>
      </c>
      <c r="JY5" t="str">
        <f>_xll.BDS("RITA US Equity","SUPPLY_CHAIN_CUSTOMERS_ALL_DATA")</f>
        <v>#N/A N/A</v>
      </c>
      <c r="KO5" t="str">
        <f>_xll.BDS("MDT US Equity","SUPPLY_CHAIN_SUPPLIERS_ALL_DATA","cols=12;rows=5")</f>
        <v>FLEX US Equity</v>
      </c>
      <c r="KP5" t="s">
        <v>1777</v>
      </c>
      <c r="KQ5">
        <v>1.2190190000000001</v>
      </c>
      <c r="KR5">
        <v>2.8758149999999998</v>
      </c>
      <c r="KS5" t="s">
        <v>1773</v>
      </c>
      <c r="KT5">
        <v>2025</v>
      </c>
      <c r="KU5" t="s">
        <v>2136</v>
      </c>
      <c r="KV5" s="6">
        <v>45763</v>
      </c>
      <c r="KW5">
        <v>5</v>
      </c>
      <c r="KX5">
        <v>79918888</v>
      </c>
      <c r="KY5">
        <v>136547</v>
      </c>
      <c r="KZ5" t="s">
        <v>2137</v>
      </c>
      <c r="LC5" t="str">
        <f>_xll.BDS("MDT US Equity","SUPPLY_CHAIN_CUSTOMERS_ALL_DATA","cols=12;rows=5")</f>
        <v>4104 TT Equity</v>
      </c>
      <c r="LD5">
        <v>0.20070099999999999</v>
      </c>
      <c r="LE5" t="s">
        <v>1777</v>
      </c>
      <c r="LF5">
        <v>32.397697000000001</v>
      </c>
      <c r="LG5" t="s">
        <v>1789</v>
      </c>
      <c r="LH5">
        <v>2024</v>
      </c>
      <c r="LI5" t="s">
        <v>3344</v>
      </c>
      <c r="LJ5" s="6">
        <v>45814</v>
      </c>
      <c r="LK5">
        <v>5</v>
      </c>
      <c r="LL5">
        <v>17028014.890000001</v>
      </c>
      <c r="LM5">
        <v>7324380</v>
      </c>
      <c r="LN5" t="s">
        <v>3345</v>
      </c>
      <c r="LS5" t="str">
        <f>_xll.BDS("MPB US Equity","SUPPLY_CHAIN_SUPPLIERS_ALL_DATA")</f>
        <v>#N/A N/A</v>
      </c>
      <c r="MG5" t="str">
        <f>_xll.BDS("MPB US Equity","SUPPLY_CHAIN_CUSTOMERS_ALL_DATA")</f>
        <v>#N/A N/A</v>
      </c>
      <c r="MW5" t="str">
        <f>_xll.BDS("BEAS US Equity","SUPPLY_CHAIN_SUPPLIERS_ALL_DATA")</f>
        <v>#N/A N/A</v>
      </c>
      <c r="NK5" t="str">
        <f>_xll.BDS("BEAS US Equity","SUPPLY_CHAIN_CUSTOMERS_ALL_DATA")</f>
        <v>#N/A N/A</v>
      </c>
      <c r="OA5" t="str">
        <f>_xll.BDS("NBBC US Equity","SUPPLY_CHAIN_SUPPLIERS_ALL_DATA")</f>
        <v>#N/A N/A</v>
      </c>
      <c r="OO5" t="str">
        <f>_xll.BDS("NBBC US Equity","SUPPLY_CHAIN_CUSTOMERS_ALL_DATA")</f>
        <v>#N/A N/A</v>
      </c>
      <c r="PE5" t="str">
        <f>_xll.BDS("1978022D US Equity","SUPPLY_CHAIN_SUPPLIERS_ALL_DATA")</f>
        <v>#N/A N/A</v>
      </c>
      <c r="PS5" t="str">
        <f>_xll.BDS("1978022D US Equity","SUPPLY_CHAIN_CUSTOMERS_ALL_DATA")</f>
        <v>#N/A N/A</v>
      </c>
      <c r="QI5" t="str">
        <f>_xll.BDS("SGYPQ US Equity","SUPPLY_CHAIN_SUPPLIERS_ALL_DATA")</f>
        <v>#N/A N/A</v>
      </c>
      <c r="QW5" t="str">
        <f>_xll.BDS("SGYPQ US Equity","SUPPLY_CHAIN_CUSTOMERS_ALL_DATA")</f>
        <v>#N/A N/A</v>
      </c>
      <c r="RM5" t="str">
        <f>_xll.BDS("AIMC US Equity","SUPPLY_CHAIN_SUPPLIERS_ALL_DATA","cols=12;rows=5")</f>
        <v>AEP US Equity</v>
      </c>
      <c r="RO5">
        <v>-2.4245362661989844E-14</v>
      </c>
      <c r="RP5">
        <v>-2.4245362661989844E-14</v>
      </c>
      <c r="RQ5" t="s">
        <v>1789</v>
      </c>
      <c r="RR5">
        <v>2021</v>
      </c>
      <c r="RS5" t="s">
        <v>1919</v>
      </c>
      <c r="RT5" s="6">
        <v>44693</v>
      </c>
      <c r="RU5">
        <v>5</v>
      </c>
      <c r="RV5">
        <v>-2.4245362661989844E-14</v>
      </c>
      <c r="RW5">
        <v>100060</v>
      </c>
      <c r="RX5" t="s">
        <v>1920</v>
      </c>
      <c r="SA5" t="str">
        <f>_xll.BDS("AIMC US Equity","SUPPLY_CHAIN_CUSTOMERS_ALL_DATA","cols=12;rows=5")</f>
        <v>6215 TT Equity</v>
      </c>
      <c r="SB5">
        <v>-2.4245362661989844E-14</v>
      </c>
      <c r="SD5">
        <v>-2.4245362661989844E-14</v>
      </c>
      <c r="SE5" t="s">
        <v>1789</v>
      </c>
      <c r="SF5">
        <v>2021</v>
      </c>
      <c r="SG5" t="s">
        <v>4808</v>
      </c>
      <c r="SH5" s="6">
        <v>44714</v>
      </c>
      <c r="SI5">
        <v>5</v>
      </c>
      <c r="SJ5">
        <v>-2.4245362661989844E-14</v>
      </c>
      <c r="SK5">
        <v>7941962</v>
      </c>
      <c r="SL5" t="s">
        <v>4809</v>
      </c>
      <c r="SQ5" t="str">
        <f>_xll.BDS("MMM US Equity","SUPPLY_CHAIN_SUPPLIERS_ALL_DATA","cols=12;rows=5")</f>
        <v>BAS GR Equity</v>
      </c>
      <c r="SR5" t="s">
        <v>1777</v>
      </c>
      <c r="SS5">
        <v>0.33530700000000002</v>
      </c>
      <c r="ST5">
        <v>1.4804090000000001</v>
      </c>
      <c r="SU5" t="s">
        <v>1773</v>
      </c>
      <c r="SV5">
        <v>2025</v>
      </c>
      <c r="SW5" t="s">
        <v>4073</v>
      </c>
      <c r="SX5" s="6">
        <v>46003</v>
      </c>
      <c r="SY5">
        <v>5</v>
      </c>
      <c r="SZ5">
        <v>56147606.340000004</v>
      </c>
      <c r="TA5">
        <v>115694</v>
      </c>
      <c r="TB5" t="s">
        <v>4074</v>
      </c>
      <c r="TE5" t="str">
        <f>_xll.BDS("MMM US Equity","SUPPLY_CHAIN_CUSTOMERS_ALL_DATA","cols=12;rows=5")</f>
        <v>SOLV US Equity</v>
      </c>
      <c r="TF5">
        <v>2.5625290000000001</v>
      </c>
      <c r="TG5" t="s">
        <v>1777</v>
      </c>
      <c r="TH5">
        <v>17.377731000000001</v>
      </c>
      <c r="TI5" t="s">
        <v>1773</v>
      </c>
      <c r="TJ5">
        <v>2025</v>
      </c>
      <c r="TK5" t="s">
        <v>3256</v>
      </c>
      <c r="TL5" s="6">
        <v>45967</v>
      </c>
      <c r="TM5">
        <v>5</v>
      </c>
      <c r="TN5">
        <v>167000000</v>
      </c>
      <c r="TO5">
        <v>70456033</v>
      </c>
      <c r="TP5" t="s">
        <v>3257</v>
      </c>
      <c r="TU5" t="str">
        <f>_xll.BDS("ADP US Equity","SUPPLY_CHAIN_SUPPLIERS_ALL_DATA","cols=12;rows=5")</f>
        <v>CUZ US Equity</v>
      </c>
      <c r="TV5" t="s">
        <v>1808</v>
      </c>
      <c r="TW5">
        <v>0.81494</v>
      </c>
      <c r="TX5">
        <v>0.19314200000000001</v>
      </c>
      <c r="TY5" t="s">
        <v>1789</v>
      </c>
      <c r="TZ5">
        <v>2025</v>
      </c>
      <c r="UA5" t="s">
        <v>2421</v>
      </c>
      <c r="UB5" s="6">
        <v>46058</v>
      </c>
      <c r="UC5">
        <v>5</v>
      </c>
      <c r="UD5">
        <v>2024751</v>
      </c>
      <c r="UE5">
        <v>106045</v>
      </c>
      <c r="UF5" t="s">
        <v>2422</v>
      </c>
      <c r="UI5" t="str">
        <f>_xll.BDS("ADP US Equity","SUPPLY_CHAIN_CUSTOMERS_ALL_DATA","cols=12;rows=2")</f>
        <v>SGE LN Equity</v>
      </c>
      <c r="UJ5">
        <v>-2.4245362661989844E-14</v>
      </c>
      <c r="UL5">
        <v>-2.4245362661989844E-14</v>
      </c>
      <c r="UM5" t="s">
        <v>1789</v>
      </c>
      <c r="UN5">
        <v>2022</v>
      </c>
      <c r="UO5" t="s">
        <v>2173</v>
      </c>
      <c r="UP5" s="6">
        <v>44722</v>
      </c>
      <c r="UQ5">
        <v>2</v>
      </c>
      <c r="UR5">
        <v>-2.4245362661989844E-14</v>
      </c>
      <c r="US5">
        <v>112380</v>
      </c>
      <c r="UT5" t="s">
        <v>2174</v>
      </c>
      <c r="UY5" t="str">
        <f>_xll.BDS("DAR US Equity","SUPPLY_CHAIN_SUPPLIERS_ALL_DATA","cols=12;rows=5")</f>
        <v>1337172D IT Equity</v>
      </c>
      <c r="VA5">
        <v>-2.4245362661989844E-14</v>
      </c>
      <c r="VB5">
        <v>-2.4245362661989844E-14</v>
      </c>
      <c r="VC5" t="s">
        <v>1789</v>
      </c>
      <c r="VD5">
        <v>2026</v>
      </c>
      <c r="VE5" t="s">
        <v>4353</v>
      </c>
      <c r="VF5" s="6">
        <v>46044</v>
      </c>
      <c r="VG5">
        <v>5</v>
      </c>
      <c r="VH5">
        <v>-2.4245362661989844E-14</v>
      </c>
      <c r="VI5">
        <v>47921879</v>
      </c>
      <c r="VJ5" t="s">
        <v>4354</v>
      </c>
      <c r="VM5" t="str">
        <f>_xll.BDS("DAR US Equity","SUPPLY_CHAIN_CUSTOMERS_ALL_DATA","cols=12;rows=5")</f>
        <v>VLO US Equity</v>
      </c>
      <c r="VN5">
        <v>22</v>
      </c>
      <c r="VO5" t="s">
        <v>1777</v>
      </c>
      <c r="VP5">
        <v>1.2306760000000001</v>
      </c>
      <c r="VQ5" t="s">
        <v>1773</v>
      </c>
      <c r="VR5">
        <v>2025</v>
      </c>
      <c r="VS5" t="s">
        <v>2261</v>
      </c>
      <c r="VT5" s="6">
        <v>45966</v>
      </c>
      <c r="VU5">
        <v>5</v>
      </c>
      <c r="VV5">
        <v>344072512</v>
      </c>
      <c r="VW5">
        <v>225906</v>
      </c>
      <c r="VX5" t="s">
        <v>2232</v>
      </c>
    </row>
    <row r="6" spans="1:600" x14ac:dyDescent="0.25">
      <c r="A6" t="s">
        <v>1963</v>
      </c>
      <c r="C6">
        <v>-2.4245362661989844E-14</v>
      </c>
      <c r="D6">
        <v>-2.4245362661989844E-14</v>
      </c>
      <c r="E6" t="s">
        <v>1789</v>
      </c>
      <c r="F6">
        <v>2023</v>
      </c>
      <c r="G6" t="s">
        <v>1964</v>
      </c>
      <c r="H6" s="6">
        <v>45337</v>
      </c>
      <c r="I6">
        <v>4</v>
      </c>
      <c r="J6">
        <v>-2.4245362661989844E-14</v>
      </c>
      <c r="K6">
        <v>46177523</v>
      </c>
      <c r="L6" t="s">
        <v>1965</v>
      </c>
      <c r="DQ6" t="s">
        <v>2699</v>
      </c>
      <c r="DR6" t="s">
        <v>1777</v>
      </c>
      <c r="DS6">
        <v>0.68104399999999998</v>
      </c>
      <c r="DT6">
        <v>0.22925799999999999</v>
      </c>
      <c r="DU6" t="s">
        <v>1768</v>
      </c>
      <c r="DV6">
        <v>2025</v>
      </c>
      <c r="DW6" t="s">
        <v>2700</v>
      </c>
      <c r="DX6" s="6">
        <v>45910</v>
      </c>
      <c r="DY6">
        <v>5</v>
      </c>
      <c r="DZ6">
        <v>11921256.359999999</v>
      </c>
      <c r="EA6">
        <v>18686622</v>
      </c>
      <c r="EB6" t="s">
        <v>2701</v>
      </c>
      <c r="EE6" t="s">
        <v>3986</v>
      </c>
      <c r="EF6">
        <v>1.5410000000000001E-3</v>
      </c>
      <c r="EG6" t="s">
        <v>1808</v>
      </c>
      <c r="EH6">
        <v>0.207978</v>
      </c>
      <c r="EI6" t="s">
        <v>1773</v>
      </c>
      <c r="EJ6">
        <v>2025</v>
      </c>
      <c r="EK6" t="s">
        <v>3987</v>
      </c>
      <c r="EL6" s="6">
        <v>45953</v>
      </c>
      <c r="EM6">
        <v>5</v>
      </c>
      <c r="EN6">
        <v>100000</v>
      </c>
      <c r="EO6">
        <v>39614024</v>
      </c>
      <c r="EP6" t="s">
        <v>3988</v>
      </c>
      <c r="FY6" t="s">
        <v>3432</v>
      </c>
      <c r="FZ6" t="s">
        <v>1777</v>
      </c>
      <c r="GA6">
        <v>7.7144000000000004E-2</v>
      </c>
      <c r="GB6">
        <v>0.39272200000000002</v>
      </c>
      <c r="GC6" t="s">
        <v>1781</v>
      </c>
      <c r="GD6">
        <v>2025</v>
      </c>
      <c r="GE6" t="s">
        <v>3433</v>
      </c>
      <c r="GF6" s="6">
        <v>45793</v>
      </c>
      <c r="GG6">
        <v>5</v>
      </c>
      <c r="GH6">
        <v>487368</v>
      </c>
      <c r="GI6">
        <v>102417</v>
      </c>
      <c r="GJ6" t="s">
        <v>3434</v>
      </c>
      <c r="GM6" t="s">
        <v>1767</v>
      </c>
      <c r="GN6">
        <v>3.4109419999999999</v>
      </c>
      <c r="GO6" t="s">
        <v>1777</v>
      </c>
      <c r="GP6">
        <v>1.9692000000000001E-2</v>
      </c>
      <c r="GQ6" t="s">
        <v>1785</v>
      </c>
      <c r="GR6">
        <v>2025</v>
      </c>
      <c r="GS6" t="s">
        <v>2122</v>
      </c>
      <c r="GT6" s="6">
        <v>45894</v>
      </c>
      <c r="GU6">
        <v>5</v>
      </c>
      <c r="GV6">
        <v>9908787</v>
      </c>
      <c r="GW6">
        <v>101695</v>
      </c>
      <c r="GX6" t="s">
        <v>1770</v>
      </c>
      <c r="KO6" t="s">
        <v>3572</v>
      </c>
      <c r="KP6" t="s">
        <v>1777</v>
      </c>
      <c r="KQ6">
        <v>2.3008839999999999</v>
      </c>
      <c r="KR6">
        <v>1.9882420000000001</v>
      </c>
      <c r="KS6" t="s">
        <v>1785</v>
      </c>
      <c r="KT6">
        <v>2024</v>
      </c>
      <c r="KU6" t="s">
        <v>3573</v>
      </c>
      <c r="KV6" s="6">
        <v>45694</v>
      </c>
      <c r="KW6">
        <v>5</v>
      </c>
      <c r="KX6">
        <v>58573604</v>
      </c>
      <c r="KY6">
        <v>349266</v>
      </c>
      <c r="KZ6" t="s">
        <v>3574</v>
      </c>
      <c r="LC6" t="s">
        <v>3346</v>
      </c>
      <c r="LD6">
        <v>-2.4245362661989844E-14</v>
      </c>
      <c r="LF6">
        <v>-2.4245362661989844E-14</v>
      </c>
      <c r="LG6" t="s">
        <v>1789</v>
      </c>
      <c r="LH6">
        <v>2021</v>
      </c>
      <c r="LI6" t="s">
        <v>3347</v>
      </c>
      <c r="LJ6" s="6">
        <v>44676</v>
      </c>
      <c r="LK6">
        <v>5</v>
      </c>
      <c r="LL6">
        <v>-2.4245362661989844E-14</v>
      </c>
      <c r="LM6">
        <v>24598477</v>
      </c>
      <c r="LN6" t="s">
        <v>3348</v>
      </c>
      <c r="RM6" t="s">
        <v>816</v>
      </c>
      <c r="RO6">
        <v>-2.4245362661989844E-14</v>
      </c>
      <c r="RP6">
        <v>-2.4245362661989844E-14</v>
      </c>
      <c r="RQ6" t="s">
        <v>1789</v>
      </c>
      <c r="RR6">
        <v>2021</v>
      </c>
      <c r="RS6" t="s">
        <v>2069</v>
      </c>
      <c r="RT6" s="6">
        <v>44693</v>
      </c>
      <c r="RU6">
        <v>5</v>
      </c>
      <c r="RV6">
        <v>-2.4245362661989844E-14</v>
      </c>
      <c r="RW6">
        <v>100193</v>
      </c>
      <c r="RX6" t="s">
        <v>2070</v>
      </c>
      <c r="SA6" t="s">
        <v>4810</v>
      </c>
      <c r="SB6">
        <v>-2.4245362661989844E-14</v>
      </c>
      <c r="SD6">
        <v>-2.4245362661989844E-14</v>
      </c>
      <c r="SE6" t="s">
        <v>1789</v>
      </c>
      <c r="SF6">
        <v>2022</v>
      </c>
      <c r="SG6" t="s">
        <v>4811</v>
      </c>
      <c r="SH6" s="6">
        <v>44987</v>
      </c>
      <c r="SI6">
        <v>5</v>
      </c>
      <c r="SJ6">
        <v>-2.4245362661989844E-14</v>
      </c>
      <c r="SK6">
        <v>100181</v>
      </c>
      <c r="SL6" t="s">
        <v>4812</v>
      </c>
      <c r="SQ6" t="s">
        <v>2626</v>
      </c>
      <c r="SR6" t="s">
        <v>1808</v>
      </c>
      <c r="SS6">
        <v>1.0797129999999999</v>
      </c>
      <c r="ST6">
        <v>4.7981389999999999</v>
      </c>
      <c r="SU6" t="s">
        <v>1768</v>
      </c>
      <c r="SV6">
        <v>2026</v>
      </c>
      <c r="SW6" t="s">
        <v>2627</v>
      </c>
      <c r="SX6" s="6">
        <v>45986</v>
      </c>
      <c r="SY6">
        <v>5</v>
      </c>
      <c r="SZ6">
        <v>39360690.32</v>
      </c>
      <c r="TA6">
        <v>995671</v>
      </c>
      <c r="TB6" t="s">
        <v>2628</v>
      </c>
      <c r="TE6" t="s">
        <v>1958</v>
      </c>
      <c r="TF6">
        <v>1.126824</v>
      </c>
      <c r="TG6" t="s">
        <v>1777</v>
      </c>
      <c r="TH6">
        <v>0.57245599999999996</v>
      </c>
      <c r="TI6" t="s">
        <v>1773</v>
      </c>
      <c r="TJ6">
        <v>2024</v>
      </c>
      <c r="TK6" t="s">
        <v>1959</v>
      </c>
      <c r="TL6" s="6">
        <v>45727</v>
      </c>
      <c r="TM6">
        <v>5</v>
      </c>
      <c r="TN6">
        <v>70945001.510000005</v>
      </c>
      <c r="TO6">
        <v>7583418</v>
      </c>
      <c r="TP6" t="s">
        <v>1960</v>
      </c>
      <c r="TU6" t="s">
        <v>3061</v>
      </c>
      <c r="TV6" t="s">
        <v>1808</v>
      </c>
      <c r="TW6">
        <v>1.6</v>
      </c>
      <c r="TX6">
        <v>0.166076</v>
      </c>
      <c r="TY6" t="s">
        <v>1768</v>
      </c>
      <c r="TZ6">
        <v>2025</v>
      </c>
      <c r="UA6" t="s">
        <v>3062</v>
      </c>
      <c r="UB6" s="6">
        <v>45868</v>
      </c>
      <c r="UC6">
        <v>5</v>
      </c>
      <c r="UD6">
        <v>1831984</v>
      </c>
      <c r="UE6">
        <v>15671511</v>
      </c>
      <c r="UF6" t="s">
        <v>3063</v>
      </c>
      <c r="UI6" t="s">
        <v>2175</v>
      </c>
      <c r="UJ6">
        <v>-2.4245362661989844E-14</v>
      </c>
      <c r="UL6">
        <v>-2.4245362661989844E-14</v>
      </c>
      <c r="UM6" t="s">
        <v>1789</v>
      </c>
      <c r="UN6">
        <v>2025</v>
      </c>
      <c r="UO6" t="s">
        <v>2176</v>
      </c>
      <c r="UP6" s="6">
        <v>45727</v>
      </c>
      <c r="UQ6">
        <v>2</v>
      </c>
      <c r="UR6">
        <v>-2.4245362661989844E-14</v>
      </c>
      <c r="US6">
        <v>14184925</v>
      </c>
      <c r="UT6" t="s">
        <v>2177</v>
      </c>
      <c r="UY6" t="s">
        <v>3651</v>
      </c>
      <c r="VA6">
        <v>-2.4245362661989844E-14</v>
      </c>
      <c r="VB6">
        <v>-2.4245362661989844E-14</v>
      </c>
      <c r="VC6" t="s">
        <v>1789</v>
      </c>
      <c r="VD6">
        <v>2022</v>
      </c>
      <c r="VE6" t="s">
        <v>3652</v>
      </c>
      <c r="VF6" s="6">
        <v>44693</v>
      </c>
      <c r="VG6">
        <v>5</v>
      </c>
      <c r="VH6">
        <v>-2.4245362661989844E-14</v>
      </c>
      <c r="VI6">
        <v>114991</v>
      </c>
      <c r="VJ6" t="s">
        <v>3653</v>
      </c>
      <c r="VM6" t="s">
        <v>2954</v>
      </c>
      <c r="VN6">
        <v>20</v>
      </c>
      <c r="VP6">
        <v>-2.4245362661989844E-14</v>
      </c>
      <c r="VQ6" t="s">
        <v>1768</v>
      </c>
      <c r="VR6">
        <v>2025</v>
      </c>
      <c r="VS6" t="s">
        <v>2955</v>
      </c>
      <c r="VT6" s="6">
        <v>45875</v>
      </c>
      <c r="VU6">
        <v>5</v>
      </c>
      <c r="VV6">
        <v>291500000</v>
      </c>
      <c r="VW6">
        <v>24239848</v>
      </c>
      <c r="VX6" t="s">
        <v>2956</v>
      </c>
    </row>
    <row r="7" spans="1:600" x14ac:dyDescent="0.25">
      <c r="A7" t="s">
        <v>2044</v>
      </c>
      <c r="C7">
        <v>-2.4245362661989844E-14</v>
      </c>
      <c r="D7">
        <v>-2.4245362661989844E-14</v>
      </c>
      <c r="E7" t="s">
        <v>1894</v>
      </c>
      <c r="F7">
        <v>2023</v>
      </c>
      <c r="G7" t="s">
        <v>2045</v>
      </c>
      <c r="H7" s="6">
        <v>45245</v>
      </c>
      <c r="I7">
        <v>4</v>
      </c>
      <c r="J7">
        <v>-2.4245362661989844E-14</v>
      </c>
      <c r="K7">
        <v>103882</v>
      </c>
      <c r="L7" t="s">
        <v>2046</v>
      </c>
      <c r="DQ7" t="s">
        <v>1951</v>
      </c>
      <c r="DR7" t="s">
        <v>1777</v>
      </c>
      <c r="DS7">
        <v>0.16560800000000001</v>
      </c>
      <c r="DT7">
        <v>0.116713</v>
      </c>
      <c r="DU7" t="s">
        <v>1785</v>
      </c>
      <c r="DV7">
        <v>2025</v>
      </c>
      <c r="DW7" t="s">
        <v>2361</v>
      </c>
      <c r="DX7" s="6">
        <v>46071</v>
      </c>
      <c r="DY7">
        <v>5</v>
      </c>
      <c r="DZ7">
        <v>6517254</v>
      </c>
      <c r="EA7">
        <v>100499</v>
      </c>
      <c r="EB7" t="s">
        <v>1953</v>
      </c>
      <c r="EE7" t="s">
        <v>3989</v>
      </c>
      <c r="EF7">
        <v>-2.4245362661989844E-14</v>
      </c>
      <c r="EH7">
        <v>-2.4245362661989844E-14</v>
      </c>
      <c r="EI7" t="s">
        <v>1894</v>
      </c>
      <c r="EJ7">
        <v>2025</v>
      </c>
      <c r="EK7" t="s">
        <v>3990</v>
      </c>
      <c r="EL7" s="6">
        <v>45975</v>
      </c>
      <c r="EM7">
        <v>5</v>
      </c>
      <c r="EN7">
        <v>-2.4245362661989844E-14</v>
      </c>
      <c r="EO7">
        <v>129412</v>
      </c>
      <c r="EP7" t="s">
        <v>3991</v>
      </c>
      <c r="FY7" t="s">
        <v>3460</v>
      </c>
      <c r="FZ7" t="s">
        <v>1777</v>
      </c>
      <c r="GA7">
        <v>1.5336000000000001E-2</v>
      </c>
      <c r="GB7">
        <v>6.4000000000000005E-4</v>
      </c>
      <c r="GC7" t="s">
        <v>1785</v>
      </c>
      <c r="GD7">
        <v>2025</v>
      </c>
      <c r="GE7" t="s">
        <v>3461</v>
      </c>
      <c r="GF7" s="6">
        <v>45984</v>
      </c>
      <c r="GG7">
        <v>5</v>
      </c>
      <c r="GH7">
        <v>777.3</v>
      </c>
      <c r="GI7">
        <v>31895721</v>
      </c>
      <c r="GJ7" t="s">
        <v>3462</v>
      </c>
      <c r="GM7" t="s">
        <v>1911</v>
      </c>
      <c r="GN7">
        <v>3.3635120000000001</v>
      </c>
      <c r="GO7" t="s">
        <v>1906</v>
      </c>
      <c r="GP7">
        <v>0.192884</v>
      </c>
      <c r="GQ7" t="s">
        <v>1785</v>
      </c>
      <c r="GR7">
        <v>2025</v>
      </c>
      <c r="GS7" t="s">
        <v>2122</v>
      </c>
      <c r="GT7" s="6">
        <v>45894</v>
      </c>
      <c r="GU7">
        <v>5</v>
      </c>
      <c r="GV7">
        <v>9771002</v>
      </c>
      <c r="GW7">
        <v>101376</v>
      </c>
      <c r="GX7" t="s">
        <v>1912</v>
      </c>
      <c r="KO7" t="s">
        <v>2423</v>
      </c>
      <c r="KP7" t="s">
        <v>1777</v>
      </c>
      <c r="KQ7">
        <v>0.23526900000000001</v>
      </c>
      <c r="KR7">
        <v>0.58521900000000004</v>
      </c>
      <c r="KS7" t="s">
        <v>1773</v>
      </c>
      <c r="KT7">
        <v>2025</v>
      </c>
      <c r="KU7" t="s">
        <v>2424</v>
      </c>
      <c r="KV7" s="6">
        <v>45867</v>
      </c>
      <c r="KW7">
        <v>5</v>
      </c>
      <c r="KX7">
        <v>18416856</v>
      </c>
      <c r="KY7">
        <v>117092</v>
      </c>
      <c r="KZ7" t="s">
        <v>2425</v>
      </c>
      <c r="LC7" t="s">
        <v>3349</v>
      </c>
      <c r="LD7">
        <v>-2.4245362661989844E-14</v>
      </c>
      <c r="LF7">
        <v>-2.4245362661989844E-14</v>
      </c>
      <c r="LG7" t="s">
        <v>1789</v>
      </c>
      <c r="LH7">
        <v>2023</v>
      </c>
      <c r="LI7" t="s">
        <v>3350</v>
      </c>
      <c r="LJ7" s="6">
        <v>45135</v>
      </c>
      <c r="LK7">
        <v>5</v>
      </c>
      <c r="LL7">
        <v>-2.4245362661989844E-14</v>
      </c>
      <c r="LM7">
        <v>103017</v>
      </c>
      <c r="LN7" t="s">
        <v>3351</v>
      </c>
      <c r="RM7" t="s">
        <v>2109</v>
      </c>
      <c r="RO7">
        <v>-2.4245362661989844E-14</v>
      </c>
      <c r="RP7">
        <v>-2.4245362661989844E-14</v>
      </c>
      <c r="RQ7" t="s">
        <v>1789</v>
      </c>
      <c r="RR7">
        <v>2021</v>
      </c>
      <c r="RS7" t="s">
        <v>2110</v>
      </c>
      <c r="RT7" s="6">
        <v>44693</v>
      </c>
      <c r="RU7">
        <v>5</v>
      </c>
      <c r="RV7">
        <v>-2.4245362661989844E-14</v>
      </c>
      <c r="RW7">
        <v>964326</v>
      </c>
      <c r="RX7" t="s">
        <v>2111</v>
      </c>
      <c r="SA7" t="s">
        <v>397</v>
      </c>
      <c r="SB7">
        <v>-2.4245362661989844E-14</v>
      </c>
      <c r="SD7">
        <v>-2.4245362661989844E-14</v>
      </c>
      <c r="SE7" t="s">
        <v>1789</v>
      </c>
      <c r="SF7">
        <v>2022</v>
      </c>
      <c r="SG7" t="s">
        <v>4811</v>
      </c>
      <c r="SH7" s="6">
        <v>44987</v>
      </c>
      <c r="SI7">
        <v>5</v>
      </c>
      <c r="SJ7">
        <v>-2.4245362661989844E-14</v>
      </c>
      <c r="SK7">
        <v>100438</v>
      </c>
      <c r="SL7" t="s">
        <v>2905</v>
      </c>
      <c r="SQ7" t="s">
        <v>3055</v>
      </c>
      <c r="SR7" t="s">
        <v>1777</v>
      </c>
      <c r="SS7">
        <v>1.506183</v>
      </c>
      <c r="ST7">
        <v>0.77730100000000002</v>
      </c>
      <c r="SU7" t="s">
        <v>1785</v>
      </c>
      <c r="SV7">
        <v>2025</v>
      </c>
      <c r="SW7" t="s">
        <v>3056</v>
      </c>
      <c r="SX7" s="6">
        <v>46076</v>
      </c>
      <c r="SY7">
        <v>5</v>
      </c>
      <c r="SZ7">
        <v>31675028</v>
      </c>
      <c r="TA7">
        <v>187274</v>
      </c>
      <c r="TB7" t="s">
        <v>3057</v>
      </c>
      <c r="TE7" t="s">
        <v>3258</v>
      </c>
      <c r="TF7">
        <v>0.63659900000000003</v>
      </c>
      <c r="TG7" t="s">
        <v>1777</v>
      </c>
      <c r="TH7">
        <v>35.711070999999997</v>
      </c>
      <c r="TI7" t="s">
        <v>1789</v>
      </c>
      <c r="TJ7">
        <v>2025</v>
      </c>
      <c r="TK7" t="s">
        <v>3259</v>
      </c>
      <c r="TL7" s="6">
        <v>45873</v>
      </c>
      <c r="TM7">
        <v>5</v>
      </c>
      <c r="TN7">
        <v>39409704.109999999</v>
      </c>
      <c r="TO7">
        <v>183000</v>
      </c>
      <c r="TP7" t="s">
        <v>3260</v>
      </c>
      <c r="TU7" t="s">
        <v>4452</v>
      </c>
      <c r="TV7" t="s">
        <v>1808</v>
      </c>
      <c r="TW7">
        <v>2</v>
      </c>
      <c r="TX7">
        <v>7.1676000000000004E-2</v>
      </c>
      <c r="TY7" t="s">
        <v>1768</v>
      </c>
      <c r="TZ7">
        <v>2025</v>
      </c>
      <c r="UA7" t="s">
        <v>4453</v>
      </c>
      <c r="UB7" s="6">
        <v>45875</v>
      </c>
      <c r="UC7">
        <v>5</v>
      </c>
      <c r="UD7">
        <v>790660</v>
      </c>
      <c r="UE7">
        <v>8159946</v>
      </c>
      <c r="UF7" t="s">
        <v>4454</v>
      </c>
      <c r="UY7" t="s">
        <v>2084</v>
      </c>
      <c r="VA7">
        <v>-2.4245362661989844E-14</v>
      </c>
      <c r="VB7">
        <v>-2.4245362661989844E-14</v>
      </c>
      <c r="VC7" t="s">
        <v>1789</v>
      </c>
      <c r="VD7">
        <v>2021</v>
      </c>
      <c r="VE7" t="s">
        <v>2085</v>
      </c>
      <c r="VF7" s="6">
        <v>44693</v>
      </c>
      <c r="VG7">
        <v>5</v>
      </c>
      <c r="VH7">
        <v>-2.4245362661989844E-14</v>
      </c>
      <c r="VI7">
        <v>313098</v>
      </c>
      <c r="VJ7" t="s">
        <v>2086</v>
      </c>
      <c r="VM7" t="s">
        <v>2957</v>
      </c>
      <c r="VN7">
        <v>-2.4245362661989844E-14</v>
      </c>
      <c r="VP7">
        <v>-2.4245362661989844E-14</v>
      </c>
      <c r="VQ7" t="s">
        <v>1789</v>
      </c>
      <c r="VR7">
        <v>2023</v>
      </c>
      <c r="VS7" t="s">
        <v>2958</v>
      </c>
      <c r="VT7" s="6">
        <v>45366</v>
      </c>
      <c r="VU7">
        <v>5</v>
      </c>
      <c r="VV7">
        <v>-2.4245362661989844E-14</v>
      </c>
      <c r="VW7">
        <v>866061</v>
      </c>
      <c r="VX7" t="s">
        <v>2959</v>
      </c>
    </row>
    <row r="8" spans="1:600" x14ac:dyDescent="0.25">
      <c r="A8" t="s">
        <v>2047</v>
      </c>
      <c r="C8">
        <v>-2.4245362661989844E-14</v>
      </c>
      <c r="D8">
        <v>-2.4245362661989844E-14</v>
      </c>
      <c r="E8" t="s">
        <v>1781</v>
      </c>
      <c r="F8">
        <v>2023</v>
      </c>
      <c r="G8" t="s">
        <v>2048</v>
      </c>
      <c r="H8" s="6">
        <v>45057</v>
      </c>
      <c r="I8">
        <v>4</v>
      </c>
      <c r="J8">
        <v>-2.4245362661989844E-14</v>
      </c>
      <c r="K8">
        <v>173249</v>
      </c>
      <c r="L8" t="s">
        <v>2049</v>
      </c>
      <c r="DQ8" t="s">
        <v>2770</v>
      </c>
      <c r="DR8" t="s">
        <v>1777</v>
      </c>
      <c r="DS8">
        <v>5.337383</v>
      </c>
      <c r="DT8">
        <v>5.1877E-2</v>
      </c>
      <c r="DU8" t="s">
        <v>1785</v>
      </c>
      <c r="DV8">
        <v>2025</v>
      </c>
      <c r="DW8" t="s">
        <v>2771</v>
      </c>
      <c r="DX8" s="6">
        <v>45862</v>
      </c>
      <c r="DY8">
        <v>5</v>
      </c>
      <c r="DZ8">
        <v>2603202</v>
      </c>
      <c r="EA8">
        <v>103234</v>
      </c>
      <c r="EB8" t="s">
        <v>2772</v>
      </c>
      <c r="EE8" t="s">
        <v>3992</v>
      </c>
      <c r="EF8">
        <v>-2.4245362661989844E-14</v>
      </c>
      <c r="EH8">
        <v>-2.4245362661989844E-14</v>
      </c>
      <c r="EI8" t="s">
        <v>1894</v>
      </c>
      <c r="EJ8">
        <v>2025</v>
      </c>
      <c r="EK8" t="s">
        <v>3993</v>
      </c>
      <c r="EL8" s="6">
        <v>45974</v>
      </c>
      <c r="EM8">
        <v>5</v>
      </c>
      <c r="EN8">
        <v>-2.4245362661989844E-14</v>
      </c>
      <c r="EO8">
        <v>129350</v>
      </c>
      <c r="EP8" t="s">
        <v>3994</v>
      </c>
      <c r="FY8" t="s">
        <v>3463</v>
      </c>
      <c r="GA8">
        <v>-2.4245362661989844E-14</v>
      </c>
      <c r="GB8">
        <v>-2.4245362661989844E-14</v>
      </c>
      <c r="GC8" t="s">
        <v>1789</v>
      </c>
      <c r="GD8">
        <v>2026</v>
      </c>
      <c r="GE8" t="s">
        <v>3464</v>
      </c>
      <c r="GF8" s="6">
        <v>46042</v>
      </c>
      <c r="GG8">
        <v>5</v>
      </c>
      <c r="GH8">
        <v>-2.4245362661989844E-14</v>
      </c>
      <c r="GI8">
        <v>69341782</v>
      </c>
      <c r="GJ8" t="s">
        <v>3465</v>
      </c>
      <c r="GM8" t="s">
        <v>919</v>
      </c>
      <c r="GN8">
        <v>2.8136109999999999</v>
      </c>
      <c r="GO8" t="s">
        <v>1777</v>
      </c>
      <c r="GP8">
        <v>0.16223799999999999</v>
      </c>
      <c r="GQ8" t="s">
        <v>1785</v>
      </c>
      <c r="GR8">
        <v>2025</v>
      </c>
      <c r="GS8" t="s">
        <v>2122</v>
      </c>
      <c r="GT8" s="6">
        <v>45894</v>
      </c>
      <c r="GU8">
        <v>5</v>
      </c>
      <c r="GV8">
        <v>8173540</v>
      </c>
      <c r="GW8">
        <v>69423747</v>
      </c>
      <c r="GX8" t="s">
        <v>2300</v>
      </c>
      <c r="KO8" t="s">
        <v>3575</v>
      </c>
      <c r="KP8" t="s">
        <v>1777</v>
      </c>
      <c r="KQ8">
        <v>1.69564</v>
      </c>
      <c r="KR8">
        <v>0.41697800000000002</v>
      </c>
      <c r="KS8" t="s">
        <v>1773</v>
      </c>
      <c r="KT8">
        <v>2025</v>
      </c>
      <c r="KU8" t="s">
        <v>3576</v>
      </c>
      <c r="KV8" s="6">
        <v>46001</v>
      </c>
      <c r="KW8">
        <v>5</v>
      </c>
      <c r="KX8">
        <v>12763693</v>
      </c>
      <c r="KY8">
        <v>1182195</v>
      </c>
      <c r="KZ8" t="s">
        <v>3577</v>
      </c>
      <c r="LC8" t="s">
        <v>3352</v>
      </c>
      <c r="LD8">
        <v>-2.4245362661989844E-14</v>
      </c>
      <c r="LF8">
        <v>-2.4245362661989844E-14</v>
      </c>
      <c r="LG8" t="s">
        <v>1789</v>
      </c>
      <c r="LH8">
        <v>2022</v>
      </c>
      <c r="LI8" t="s">
        <v>3353</v>
      </c>
      <c r="LJ8" s="6">
        <v>44887</v>
      </c>
      <c r="LK8">
        <v>5</v>
      </c>
      <c r="LL8">
        <v>-2.4245362661989844E-14</v>
      </c>
      <c r="LM8">
        <v>104917</v>
      </c>
      <c r="LN8" t="s">
        <v>3354</v>
      </c>
      <c r="RM8" t="s">
        <v>1923</v>
      </c>
      <c r="RO8">
        <v>-2.4245362661989844E-14</v>
      </c>
      <c r="RP8">
        <v>-2.4245362661989844E-14</v>
      </c>
      <c r="RQ8" t="s">
        <v>1789</v>
      </c>
      <c r="RR8">
        <v>2021</v>
      </c>
      <c r="RS8" t="s">
        <v>1924</v>
      </c>
      <c r="RT8" s="6">
        <v>44693</v>
      </c>
      <c r="RU8">
        <v>5</v>
      </c>
      <c r="RV8">
        <v>-2.4245362661989844E-14</v>
      </c>
      <c r="RW8">
        <v>100481</v>
      </c>
      <c r="RX8" t="s">
        <v>1925</v>
      </c>
      <c r="SA8" t="s">
        <v>4813</v>
      </c>
      <c r="SB8">
        <v>-2.4245362661989844E-14</v>
      </c>
      <c r="SD8">
        <v>-2.4245362661989844E-14</v>
      </c>
      <c r="SE8" t="s">
        <v>1789</v>
      </c>
      <c r="SF8">
        <v>2022</v>
      </c>
      <c r="SG8" t="s">
        <v>4811</v>
      </c>
      <c r="SH8" s="6">
        <v>44987</v>
      </c>
      <c r="SI8">
        <v>5</v>
      </c>
      <c r="SJ8">
        <v>-2.4245362661989844E-14</v>
      </c>
      <c r="SK8">
        <v>100649</v>
      </c>
      <c r="SL8" t="s">
        <v>4814</v>
      </c>
      <c r="SQ8" t="s">
        <v>3255</v>
      </c>
      <c r="SR8" t="s">
        <v>1777</v>
      </c>
      <c r="SS8">
        <v>1.0496179999999999</v>
      </c>
      <c r="ST8">
        <v>0.58016900000000005</v>
      </c>
      <c r="SU8" t="s">
        <v>1773</v>
      </c>
      <c r="SV8">
        <v>2025</v>
      </c>
      <c r="SW8" t="s">
        <v>3256</v>
      </c>
      <c r="SX8" s="6">
        <v>45967</v>
      </c>
      <c r="SY8">
        <v>5</v>
      </c>
      <c r="SZ8">
        <v>22000000</v>
      </c>
      <c r="TA8">
        <v>70456033</v>
      </c>
      <c r="TB8" t="s">
        <v>3257</v>
      </c>
      <c r="TE8" t="s">
        <v>1047</v>
      </c>
      <c r="TF8">
        <v>0.62480800000000003</v>
      </c>
      <c r="TG8" t="s">
        <v>1777</v>
      </c>
      <c r="TH8">
        <v>0.15015999999999999</v>
      </c>
      <c r="TI8" t="s">
        <v>1768</v>
      </c>
      <c r="TJ8">
        <v>2025</v>
      </c>
      <c r="TK8" t="s">
        <v>3261</v>
      </c>
      <c r="TL8" s="6">
        <v>45857</v>
      </c>
      <c r="TM8">
        <v>5</v>
      </c>
      <c r="TN8">
        <v>39637820</v>
      </c>
      <c r="TO8">
        <v>100743</v>
      </c>
      <c r="TP8" t="s">
        <v>1813</v>
      </c>
      <c r="TU8" t="s">
        <v>4455</v>
      </c>
      <c r="TV8" t="s">
        <v>1808</v>
      </c>
      <c r="TW8">
        <v>1.4</v>
      </c>
      <c r="TX8">
        <v>3.3172E-2</v>
      </c>
      <c r="TY8" t="s">
        <v>1789</v>
      </c>
      <c r="TZ8">
        <v>2024</v>
      </c>
      <c r="UA8" t="s">
        <v>4456</v>
      </c>
      <c r="UB8" s="6">
        <v>45734</v>
      </c>
      <c r="UC8">
        <v>5</v>
      </c>
      <c r="UD8">
        <v>324266.19</v>
      </c>
      <c r="UE8">
        <v>32162827</v>
      </c>
      <c r="UF8" t="s">
        <v>4457</v>
      </c>
      <c r="UY8" t="s">
        <v>1918</v>
      </c>
      <c r="VA8">
        <v>-2.4245362661989844E-14</v>
      </c>
      <c r="VB8">
        <v>-2.4245362661989844E-14</v>
      </c>
      <c r="VC8" t="s">
        <v>1789</v>
      </c>
      <c r="VD8">
        <v>2021</v>
      </c>
      <c r="VE8" t="s">
        <v>1919</v>
      </c>
      <c r="VF8" s="6">
        <v>44693</v>
      </c>
      <c r="VG8">
        <v>5</v>
      </c>
      <c r="VH8">
        <v>-2.4245362661989844E-14</v>
      </c>
      <c r="VI8">
        <v>100060</v>
      </c>
      <c r="VJ8" t="s">
        <v>1920</v>
      </c>
      <c r="VM8" t="s">
        <v>2960</v>
      </c>
      <c r="VN8">
        <v>-2.4245362661989844E-14</v>
      </c>
      <c r="VP8">
        <v>-2.4245362661989844E-14</v>
      </c>
      <c r="VQ8" t="s">
        <v>1789</v>
      </c>
      <c r="VR8">
        <v>2023</v>
      </c>
      <c r="VS8" t="s">
        <v>2961</v>
      </c>
      <c r="VT8" s="6">
        <v>44971</v>
      </c>
      <c r="VU8">
        <v>5</v>
      </c>
      <c r="VV8">
        <v>-2.4245362661989844E-14</v>
      </c>
      <c r="VW8">
        <v>70905972</v>
      </c>
      <c r="VX8" t="s">
        <v>2962</v>
      </c>
    </row>
    <row r="9" spans="1:600" x14ac:dyDescent="0.25">
      <c r="DQ9" t="s">
        <v>2773</v>
      </c>
      <c r="DR9" t="s">
        <v>1777</v>
      </c>
      <c r="DS9">
        <v>3.6235360000000001</v>
      </c>
      <c r="DT9">
        <v>5.0234000000000001E-2</v>
      </c>
      <c r="DU9" t="s">
        <v>1773</v>
      </c>
      <c r="DV9">
        <v>2025</v>
      </c>
      <c r="DW9" t="s">
        <v>2774</v>
      </c>
      <c r="DX9" s="6">
        <v>45975</v>
      </c>
      <c r="DY9">
        <v>5</v>
      </c>
      <c r="DZ9">
        <v>2544375</v>
      </c>
      <c r="EA9">
        <v>32635084</v>
      </c>
      <c r="EB9" t="s">
        <v>2775</v>
      </c>
      <c r="EE9" t="s">
        <v>3995</v>
      </c>
      <c r="EF9">
        <v>-2.4245362661989844E-14</v>
      </c>
      <c r="EH9">
        <v>-2.4245362661989844E-14</v>
      </c>
      <c r="EI9" t="s">
        <v>1894</v>
      </c>
      <c r="EJ9">
        <v>2025</v>
      </c>
      <c r="EK9" t="s">
        <v>3996</v>
      </c>
      <c r="EL9" s="6">
        <v>45975</v>
      </c>
      <c r="EM9">
        <v>5</v>
      </c>
      <c r="EN9">
        <v>-2.4245362661989844E-14</v>
      </c>
      <c r="EO9">
        <v>1456301</v>
      </c>
      <c r="EP9" t="s">
        <v>3997</v>
      </c>
      <c r="FY9" t="s">
        <v>3466</v>
      </c>
      <c r="GA9">
        <v>-2.4245362661989844E-14</v>
      </c>
      <c r="GB9">
        <v>-2.4245362661989844E-14</v>
      </c>
      <c r="GC9" t="s">
        <v>1789</v>
      </c>
      <c r="GD9">
        <v>2021</v>
      </c>
      <c r="GE9" t="s">
        <v>3467</v>
      </c>
      <c r="GF9" s="6">
        <v>44693</v>
      </c>
      <c r="GG9">
        <v>5</v>
      </c>
      <c r="GH9">
        <v>-2.4245362661989844E-14</v>
      </c>
      <c r="GI9">
        <v>54282724</v>
      </c>
      <c r="GJ9" t="s">
        <v>3468</v>
      </c>
      <c r="GM9" t="s">
        <v>3374</v>
      </c>
      <c r="GN9">
        <v>2.2803619999999998</v>
      </c>
      <c r="GO9" t="s">
        <v>1777</v>
      </c>
      <c r="GP9">
        <v>0.22684099999999999</v>
      </c>
      <c r="GQ9" t="s">
        <v>1785</v>
      </c>
      <c r="GR9">
        <v>2025</v>
      </c>
      <c r="GS9" t="s">
        <v>2122</v>
      </c>
      <c r="GT9" s="6">
        <v>45894</v>
      </c>
      <c r="GU9">
        <v>5</v>
      </c>
      <c r="GV9">
        <v>6624452</v>
      </c>
      <c r="GW9">
        <v>115790</v>
      </c>
      <c r="GX9" t="s">
        <v>3375</v>
      </c>
      <c r="KO9" t="s">
        <v>3578</v>
      </c>
      <c r="KP9" t="s">
        <v>1777</v>
      </c>
      <c r="KQ9">
        <v>1.749268</v>
      </c>
      <c r="KR9">
        <v>0.29281299999999999</v>
      </c>
      <c r="KS9" t="s">
        <v>1768</v>
      </c>
      <c r="KT9">
        <v>2025</v>
      </c>
      <c r="KU9" t="s">
        <v>3579</v>
      </c>
      <c r="KV9" s="6">
        <v>45867</v>
      </c>
      <c r="KW9">
        <v>5</v>
      </c>
      <c r="KX9">
        <v>9701879.8399999999</v>
      </c>
      <c r="KY9">
        <v>157487</v>
      </c>
      <c r="KZ9" t="s">
        <v>3580</v>
      </c>
      <c r="LC9" t="s">
        <v>2192</v>
      </c>
      <c r="LD9">
        <v>-2.4245362661989844E-14</v>
      </c>
      <c r="LF9">
        <v>-2.4245362661989844E-14</v>
      </c>
      <c r="LG9" t="s">
        <v>1789</v>
      </c>
      <c r="LH9">
        <v>2025</v>
      </c>
      <c r="LI9" t="s">
        <v>2193</v>
      </c>
      <c r="LJ9" s="6">
        <v>45834</v>
      </c>
      <c r="LK9">
        <v>5</v>
      </c>
      <c r="LL9">
        <v>-2.4245362661989844E-14</v>
      </c>
      <c r="LM9">
        <v>11745327</v>
      </c>
      <c r="LN9" t="s">
        <v>2194</v>
      </c>
      <c r="RM9" t="s">
        <v>3657</v>
      </c>
      <c r="RO9">
        <v>-2.4245362661989844E-14</v>
      </c>
      <c r="RP9">
        <v>-2.4245362661989844E-14</v>
      </c>
      <c r="RQ9" t="s">
        <v>1789</v>
      </c>
      <c r="RR9">
        <v>2021</v>
      </c>
      <c r="RS9" t="s">
        <v>3658</v>
      </c>
      <c r="RT9" s="6">
        <v>44693</v>
      </c>
      <c r="RU9">
        <v>5</v>
      </c>
      <c r="RV9">
        <v>-2.4245362661989844E-14</v>
      </c>
      <c r="RW9">
        <v>101315</v>
      </c>
      <c r="RX9" t="s">
        <v>3659</v>
      </c>
      <c r="SA9" t="s">
        <v>4815</v>
      </c>
      <c r="SB9">
        <v>-2.4245362661989844E-14</v>
      </c>
      <c r="SD9">
        <v>-2.4245362661989844E-14</v>
      </c>
      <c r="SE9" t="s">
        <v>1789</v>
      </c>
      <c r="SF9">
        <v>2022</v>
      </c>
      <c r="SG9" t="s">
        <v>4811</v>
      </c>
      <c r="SH9" s="6">
        <v>44987</v>
      </c>
      <c r="SI9">
        <v>5</v>
      </c>
      <c r="SJ9">
        <v>-2.4245362661989844E-14</v>
      </c>
      <c r="SK9">
        <v>100673</v>
      </c>
      <c r="SL9" t="s">
        <v>4816</v>
      </c>
      <c r="SQ9" t="s">
        <v>4075</v>
      </c>
      <c r="SR9" t="s">
        <v>1777</v>
      </c>
      <c r="SS9">
        <v>0.25306400000000001</v>
      </c>
      <c r="ST9">
        <v>0.29688500000000001</v>
      </c>
      <c r="SU9" t="s">
        <v>1768</v>
      </c>
      <c r="SV9">
        <v>2026</v>
      </c>
      <c r="SW9" t="s">
        <v>4076</v>
      </c>
      <c r="SX9" s="6">
        <v>45999</v>
      </c>
      <c r="SY9">
        <v>5</v>
      </c>
      <c r="SZ9">
        <v>11262296.42</v>
      </c>
      <c r="TA9">
        <v>114713</v>
      </c>
      <c r="TB9" t="s">
        <v>4077</v>
      </c>
      <c r="TE9" t="s">
        <v>2132</v>
      </c>
      <c r="TF9">
        <v>0.47400900000000001</v>
      </c>
      <c r="TG9" t="s">
        <v>1777</v>
      </c>
      <c r="TH9">
        <v>0.23968300000000001</v>
      </c>
      <c r="TI9" t="s">
        <v>1768</v>
      </c>
      <c r="TJ9">
        <v>2025</v>
      </c>
      <c r="TK9" t="s">
        <v>3261</v>
      </c>
      <c r="TL9" s="6">
        <v>45857</v>
      </c>
      <c r="TM9">
        <v>5</v>
      </c>
      <c r="TN9">
        <v>30071132</v>
      </c>
      <c r="TO9">
        <v>153737</v>
      </c>
      <c r="TP9" t="s">
        <v>2134</v>
      </c>
      <c r="TU9" t="s">
        <v>4458</v>
      </c>
      <c r="TW9">
        <v>-2.4245362661989844E-14</v>
      </c>
      <c r="TX9">
        <v>-2.4245362661989844E-14</v>
      </c>
      <c r="TY9" t="s">
        <v>1789</v>
      </c>
      <c r="TZ9">
        <v>2022</v>
      </c>
      <c r="UA9" t="s">
        <v>3458</v>
      </c>
      <c r="UB9" s="6">
        <v>44693</v>
      </c>
      <c r="UC9">
        <v>5</v>
      </c>
      <c r="UD9">
        <v>-2.4245362661989844E-14</v>
      </c>
      <c r="UE9">
        <v>42802932</v>
      </c>
      <c r="UF9" t="s">
        <v>4459</v>
      </c>
      <c r="UY9" t="s">
        <v>1992</v>
      </c>
      <c r="VA9">
        <v>-2.4245362661989844E-14</v>
      </c>
      <c r="VB9">
        <v>-2.4245362661989844E-14</v>
      </c>
      <c r="VC9" t="s">
        <v>1789</v>
      </c>
      <c r="VD9">
        <v>2021</v>
      </c>
      <c r="VE9" t="s">
        <v>1993</v>
      </c>
      <c r="VF9" s="6">
        <v>44693</v>
      </c>
      <c r="VG9">
        <v>5</v>
      </c>
      <c r="VH9">
        <v>-2.4245362661989844E-14</v>
      </c>
      <c r="VI9">
        <v>101690</v>
      </c>
      <c r="VJ9" t="s">
        <v>1994</v>
      </c>
      <c r="VM9" t="s">
        <v>2963</v>
      </c>
      <c r="VN9">
        <v>-2.4245362661989844E-14</v>
      </c>
      <c r="VP9">
        <v>-2.4245362661989844E-14</v>
      </c>
      <c r="VQ9" t="s">
        <v>1789</v>
      </c>
      <c r="VR9">
        <v>2023</v>
      </c>
      <c r="VS9" t="s">
        <v>2961</v>
      </c>
      <c r="VT9" s="6">
        <v>44978</v>
      </c>
      <c r="VU9">
        <v>5</v>
      </c>
      <c r="VV9">
        <v>-2.4245362661989844E-14</v>
      </c>
      <c r="VW9">
        <v>7570992</v>
      </c>
      <c r="VX9" t="s">
        <v>2964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289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290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291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292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293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294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295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296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297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298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299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300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301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302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303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304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305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306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307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308</v>
      </c>
      <c r="AE2" s="3" t="s">
        <v>309</v>
      </c>
      <c r="BI2" s="3" t="s">
        <v>310</v>
      </c>
      <c r="CM2" s="3" t="s">
        <v>311</v>
      </c>
      <c r="DQ2" s="3" t="s">
        <v>312</v>
      </c>
      <c r="EU2" s="3" t="s">
        <v>313</v>
      </c>
      <c r="FY2" s="3" t="s">
        <v>314</v>
      </c>
      <c r="HC2" s="3" t="s">
        <v>315</v>
      </c>
      <c r="IG2" s="3" t="s">
        <v>316</v>
      </c>
      <c r="JK2" s="3" t="s">
        <v>317</v>
      </c>
      <c r="KO2" s="3" t="s">
        <v>318</v>
      </c>
      <c r="LS2" s="3" t="s">
        <v>319</v>
      </c>
      <c r="MW2" s="3" t="s">
        <v>163</v>
      </c>
      <c r="OA2" s="3" t="s">
        <v>320</v>
      </c>
      <c r="PE2" s="3" t="s">
        <v>321</v>
      </c>
      <c r="QI2" s="3" t="s">
        <v>322</v>
      </c>
      <c r="RM2" s="3" t="s">
        <v>323</v>
      </c>
      <c r="SQ2" s="3" t="s">
        <v>324</v>
      </c>
      <c r="TU2" s="3" t="s">
        <v>325</v>
      </c>
      <c r="UY2" s="3" t="s">
        <v>326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_xll.BDS("MSCC US Equity","SUPPLY_CHAIN_SUPPLIERS_ALL_DATA","cols=12;rows=1")</f>
        <v>FE US Equity</v>
      </c>
      <c r="C5">
        <v>-2.4245362661989844E-14</v>
      </c>
      <c r="D5">
        <v>-2.4245362661989844E-14</v>
      </c>
      <c r="E5" t="s">
        <v>1789</v>
      </c>
      <c r="F5">
        <v>2021</v>
      </c>
      <c r="G5" t="s">
        <v>1927</v>
      </c>
      <c r="H5" s="6">
        <v>44693</v>
      </c>
      <c r="I5">
        <v>1</v>
      </c>
      <c r="J5">
        <v>-2.4245362661989844E-14</v>
      </c>
      <c r="K5">
        <v>302916</v>
      </c>
      <c r="L5" t="s">
        <v>1928</v>
      </c>
      <c r="O5" t="str">
        <f>_xll.BDS("MSCC US Equity","SUPPLY_CHAIN_CUSTOMERS_ALL_DATA")</f>
        <v>#N/A N/A</v>
      </c>
      <c r="AE5" t="str">
        <f>_xll.BDS("CY US Equity","SUPPLY_CHAIN_SUPPLIERS_ALL_DATA")</f>
        <v>#N/A N/A</v>
      </c>
      <c r="AS5" t="str">
        <f>_xll.BDS("CY US Equity","SUPPLY_CHAIN_CUSTOMERS_ALL_DATA")</f>
        <v>#N/A N/A</v>
      </c>
      <c r="BI5" t="str">
        <f>_xll.BDS("DLX US Equity","SUPPLY_CHAIN_SUPPLIERS_ALL_DATA","cols=12;rows=5")</f>
        <v>FSP US Equity</v>
      </c>
      <c r="BJ5" t="s">
        <v>1808</v>
      </c>
      <c r="BK5">
        <v>2.5172490000000001</v>
      </c>
      <c r="BL5">
        <v>0.33255600000000002</v>
      </c>
      <c r="BM5" t="s">
        <v>1789</v>
      </c>
      <c r="BN5">
        <v>2024</v>
      </c>
      <c r="BO5" t="s">
        <v>2390</v>
      </c>
      <c r="BP5" s="6">
        <v>45699</v>
      </c>
      <c r="BQ5">
        <v>5</v>
      </c>
      <c r="BR5">
        <v>755879.5</v>
      </c>
      <c r="BS5">
        <v>1749265</v>
      </c>
      <c r="BT5" t="s">
        <v>2391</v>
      </c>
      <c r="BW5" t="str">
        <f>_xll.BDS("DLX US Equity","SUPPLY_CHAIN_CUSTOMERS_ALL_DATA","cols=12;rows=5")</f>
        <v>3554968Z US Equity</v>
      </c>
      <c r="BX5">
        <v>-2.4245362661989844E-14</v>
      </c>
      <c r="BZ5">
        <v>-2.4245362661989844E-14</v>
      </c>
      <c r="CA5" t="s">
        <v>1789</v>
      </c>
      <c r="CB5">
        <v>2022</v>
      </c>
      <c r="CC5" t="s">
        <v>4182</v>
      </c>
      <c r="CD5" s="6">
        <v>44748</v>
      </c>
      <c r="CE5">
        <v>5</v>
      </c>
      <c r="CF5">
        <v>-2.4245362661989844E-14</v>
      </c>
      <c r="CG5">
        <v>18238696</v>
      </c>
      <c r="CH5" t="s">
        <v>4183</v>
      </c>
      <c r="CM5" t="str">
        <f>_xll.BDS("QKKAQ US Equity","SUPPLY_CHAIN_SUPPLIERS_ALL_DATA")</f>
        <v>#N/A N/A</v>
      </c>
      <c r="DA5" t="str">
        <f>_xll.BDS("QKKAQ US Equity","SUPPLY_CHAIN_CUSTOMERS_ALL_DATA")</f>
        <v>#N/A N/A</v>
      </c>
      <c r="DQ5" t="str">
        <f>_xll.BDS("HYSL US Equity","SUPPLY_CHAIN_SUPPLIERS_ALL_DATA")</f>
        <v>#N/A N/A</v>
      </c>
      <c r="EE5" t="str">
        <f>_xll.BDS("HYSL US Equity","SUPPLY_CHAIN_CUSTOMERS_ALL_DATA")</f>
        <v>#N/A N/A</v>
      </c>
      <c r="EU5" t="str">
        <f>_xll.BDS("CDNS US Equity","SUPPLY_CHAIN_SUPPLIERS_ALL_DATA","cols=12;rows=5")</f>
        <v>JBL US Equity</v>
      </c>
      <c r="EV5" t="s">
        <v>1777</v>
      </c>
      <c r="EW5">
        <v>8.6149999999999994E-3</v>
      </c>
      <c r="EX5">
        <v>0.36618000000000001</v>
      </c>
      <c r="EY5" t="s">
        <v>1773</v>
      </c>
      <c r="EZ5">
        <v>2025</v>
      </c>
      <c r="FA5" t="s">
        <v>2424</v>
      </c>
      <c r="FB5" s="6">
        <v>45867</v>
      </c>
      <c r="FC5">
        <v>5</v>
      </c>
      <c r="FD5">
        <v>674382</v>
      </c>
      <c r="FE5">
        <v>117092</v>
      </c>
      <c r="FF5" t="s">
        <v>2425</v>
      </c>
      <c r="FI5" t="str">
        <f>_xll.BDS("CDNS US Equity","SUPPLY_CHAIN_CUSTOMERS_ALL_DATA","cols=12;rows=5")</f>
        <v>IBM US Equity</v>
      </c>
      <c r="FJ5">
        <v>0.89326300000000003</v>
      </c>
      <c r="FK5" t="s">
        <v>1777</v>
      </c>
      <c r="FL5">
        <v>0.17047000000000001</v>
      </c>
      <c r="FM5" t="s">
        <v>1781</v>
      </c>
      <c r="FN5">
        <v>2025</v>
      </c>
      <c r="FO5" t="s">
        <v>2093</v>
      </c>
      <c r="FP5" s="6">
        <v>45797</v>
      </c>
      <c r="FQ5">
        <v>5</v>
      </c>
      <c r="FR5">
        <v>11097597</v>
      </c>
      <c r="FS5">
        <v>100801</v>
      </c>
      <c r="FT5" t="s">
        <v>1800</v>
      </c>
      <c r="FY5" t="str">
        <f>_xll.BDS("GDT US Equity","SUPPLY_CHAIN_SUPPLIERS_ALL_DATA")</f>
        <v>#N/A N/A</v>
      </c>
      <c r="GM5" t="str">
        <f>_xll.BDS("GDT US Equity","SUPPLY_CHAIN_CUSTOMERS_ALL_DATA")</f>
        <v>#N/A N/A</v>
      </c>
      <c r="HC5" t="str">
        <f>_xll.BDS("AVY US Equity","SUPPLY_CHAIN_SUPPLIERS_ALL_DATA","cols=12;rows=5")</f>
        <v>TCS IN Equity</v>
      </c>
      <c r="HD5" t="s">
        <v>1808</v>
      </c>
      <c r="HE5">
        <v>0.111127</v>
      </c>
      <c r="HF5">
        <v>2.790524</v>
      </c>
      <c r="HG5" t="s">
        <v>1773</v>
      </c>
      <c r="HH5">
        <v>2026</v>
      </c>
      <c r="HI5" t="s">
        <v>3082</v>
      </c>
      <c r="HJ5" s="6">
        <v>46058</v>
      </c>
      <c r="HK5">
        <v>5</v>
      </c>
      <c r="HL5">
        <v>8367515.1799999997</v>
      </c>
      <c r="HM5">
        <v>7259059</v>
      </c>
      <c r="HN5" t="s">
        <v>3083</v>
      </c>
      <c r="HQ5" t="str">
        <f>_xll.BDS("AVY US Equity","SUPPLY_CHAIN_CUSTOMERS_ALL_DATA","cols=12;rows=5")</f>
        <v>ARW US Equity</v>
      </c>
      <c r="HR5">
        <v>0.69883700000000004</v>
      </c>
      <c r="HS5" t="s">
        <v>1777</v>
      </c>
      <c r="HT5">
        <v>0.25326100000000001</v>
      </c>
      <c r="HU5" t="s">
        <v>1781</v>
      </c>
      <c r="HV5">
        <v>2025</v>
      </c>
      <c r="HW5" t="s">
        <v>1870</v>
      </c>
      <c r="HX5" s="6">
        <v>45784</v>
      </c>
      <c r="HY5">
        <v>5</v>
      </c>
      <c r="HZ5">
        <v>15297028</v>
      </c>
      <c r="IA5">
        <v>100115</v>
      </c>
      <c r="IB5" t="s">
        <v>1871</v>
      </c>
      <c r="IG5" t="str">
        <f>_xll.BDS("ACCL US Equity","SUPPLY_CHAIN_SUPPLIERS_ALL_DATA","cols=12;rows=2")</f>
        <v>3343935Z HK Equity</v>
      </c>
      <c r="IH5" t="s">
        <v>1777</v>
      </c>
      <c r="II5">
        <v>-2.4245362661989844E-14</v>
      </c>
      <c r="IJ5">
        <v>36.099997999999999</v>
      </c>
      <c r="IK5" t="s">
        <v>1789</v>
      </c>
      <c r="IL5">
        <v>2024</v>
      </c>
      <c r="IM5" t="s">
        <v>2730</v>
      </c>
      <c r="IN5" s="6">
        <v>45891</v>
      </c>
      <c r="IO5">
        <v>2</v>
      </c>
      <c r="IP5">
        <v>203216</v>
      </c>
      <c r="IQ5">
        <v>231514</v>
      </c>
      <c r="IR5" t="s">
        <v>2731</v>
      </c>
      <c r="IU5" t="str">
        <f>_xll.BDS("ACCL US Equity","SUPPLY_CHAIN_CUSTOMERS_ALL_DATA")</f>
        <v>#N/A N/A</v>
      </c>
      <c r="JK5" t="str">
        <f>_xll.BDS("DWSN US Equity","SUPPLY_CHAIN_SUPPLIERS_ALL_DATA")</f>
        <v>#N/A N/A</v>
      </c>
      <c r="JY5" t="str">
        <f>_xll.BDS("DWSN US Equity","SUPPLY_CHAIN_CUSTOMERS_ALL_DATA")</f>
        <v>#N/A N/A</v>
      </c>
      <c r="KO5" t="str">
        <f>_xll.BDS("GEOKQ US Equity","SUPPLY_CHAIN_SUPPLIERS_ALL_DATA")</f>
        <v>#N/A N/A</v>
      </c>
      <c r="LC5" t="str">
        <f>_xll.BDS("GEOKQ US Equity","SUPPLY_CHAIN_CUSTOMERS_ALL_DATA")</f>
        <v>#N/A N/A</v>
      </c>
      <c r="LS5" t="str">
        <f>_xll.BDS("CAR US Equity","SUPPLY_CHAIN_SUPPLIERS_ALL_DATA","cols=12;rows=5")</f>
        <v>VRRM US Equity</v>
      </c>
      <c r="LT5" t="s">
        <v>1777</v>
      </c>
      <c r="LU5">
        <v>13.5</v>
      </c>
      <c r="LV5">
        <v>1.973611</v>
      </c>
      <c r="LW5" t="s">
        <v>1789</v>
      </c>
      <c r="LX5">
        <v>2024</v>
      </c>
      <c r="LY5" t="s">
        <v>2722</v>
      </c>
      <c r="LZ5" s="6">
        <v>45715</v>
      </c>
      <c r="MA5">
        <v>5</v>
      </c>
      <c r="MB5">
        <v>29673236</v>
      </c>
      <c r="MC5">
        <v>51985055</v>
      </c>
      <c r="MD5" t="s">
        <v>2723</v>
      </c>
      <c r="MG5" t="str">
        <f>_xll.BDS("CAR US Equity","SUPPLY_CHAIN_CUSTOMERS_ALL_DATA","cols=12;rows=5")</f>
        <v>EIH IN Equity</v>
      </c>
      <c r="MH5">
        <v>1.306E-2</v>
      </c>
      <c r="MI5" t="s">
        <v>1777</v>
      </c>
      <c r="MJ5">
        <v>0.69246200000000002</v>
      </c>
      <c r="MK5" t="s">
        <v>1789</v>
      </c>
      <c r="ML5">
        <v>2025</v>
      </c>
      <c r="MM5" t="s">
        <v>3777</v>
      </c>
      <c r="MN5" s="6">
        <v>45850</v>
      </c>
      <c r="MO5">
        <v>5</v>
      </c>
      <c r="MP5">
        <v>381034.1</v>
      </c>
      <c r="MQ5">
        <v>162657</v>
      </c>
      <c r="MR5" t="s">
        <v>3778</v>
      </c>
      <c r="MW5" t="str">
        <f>_xll.BDS("FNB US Equity","SUPPLY_CHAIN_SUPPLIERS_ALL_DATA","cols=12;rows=1")</f>
        <v>HY US Equity</v>
      </c>
      <c r="MY5">
        <v>-2.4245362661989844E-14</v>
      </c>
      <c r="MZ5">
        <v>-2.4245362661989844E-14</v>
      </c>
      <c r="NA5" t="s">
        <v>1789</v>
      </c>
      <c r="NB5">
        <v>2024</v>
      </c>
      <c r="NC5" t="s">
        <v>2269</v>
      </c>
      <c r="ND5" s="6">
        <v>45427</v>
      </c>
      <c r="NE5">
        <v>1</v>
      </c>
      <c r="NF5">
        <v>-2.4245362661989844E-14</v>
      </c>
      <c r="NG5">
        <v>159242</v>
      </c>
      <c r="NH5" t="s">
        <v>2270</v>
      </c>
      <c r="NK5" t="str">
        <f>_xll.BDS("FNB US Equity","SUPPLY_CHAIN_CUSTOMERS_ALL_DATA")</f>
        <v>#N/A N/A</v>
      </c>
      <c r="OA5" t="str">
        <f>_xll.BDS("764144Q US Equity","SUPPLY_CHAIN_SUPPLIERS_ALL_DATA")</f>
        <v>#N/A N/A</v>
      </c>
      <c r="OO5" t="str">
        <f>_xll.BDS("764144Q US Equity","SUPPLY_CHAIN_CUSTOMERS_ALL_DATA")</f>
        <v>#N/A N/A</v>
      </c>
      <c r="PE5" t="str">
        <f>_xll.BDS("CPNLQ US Equity","SUPPLY_CHAIN_SUPPLIERS_ALL_DATA")</f>
        <v>#N/A N/A</v>
      </c>
      <c r="PS5" t="str">
        <f>_xll.BDS("CPNLQ US Equity","SUPPLY_CHAIN_CUSTOMERS_ALL_DATA")</f>
        <v>#N/A N/A</v>
      </c>
      <c r="QI5" t="str">
        <f>_xll.BDS("534689Q US Equity","SUPPLY_CHAIN_SUPPLIERS_ALL_DATA")</f>
        <v>#N/A N/A</v>
      </c>
      <c r="QW5" t="str">
        <f>_xll.BDS("534689Q US Equity","SUPPLY_CHAIN_CUSTOMERS_ALL_DATA")</f>
        <v>#N/A N/A</v>
      </c>
      <c r="RM5" t="str">
        <f>_xll.BDS("UCB US Equity","SUPPLY_CHAIN_SUPPLIERS_ALL_DATA","cols=12;rows=1")</f>
        <v>3764228Z US Equity</v>
      </c>
      <c r="RO5">
        <v>-2.4245362661989844E-14</v>
      </c>
      <c r="RP5">
        <v>-2.4245362661989844E-14</v>
      </c>
      <c r="RQ5" t="s">
        <v>1789</v>
      </c>
      <c r="RR5">
        <v>2024</v>
      </c>
      <c r="RS5" t="s">
        <v>1892</v>
      </c>
      <c r="RT5" s="6">
        <v>45520</v>
      </c>
      <c r="RU5">
        <v>1</v>
      </c>
      <c r="RV5">
        <v>-2.4245362661989844E-14</v>
      </c>
      <c r="RW5">
        <v>20340995</v>
      </c>
      <c r="RX5" t="s">
        <v>1893</v>
      </c>
      <c r="SA5" t="str">
        <f>_xll.BDS("UCB US Equity","SUPPLY_CHAIN_CUSTOMERS_ALL_DATA")</f>
        <v>#N/A N/A</v>
      </c>
      <c r="SQ5" t="str">
        <f>_xll.BDS("9895616Q US Equity","SUPPLY_CHAIN_SUPPLIERS_ALL_DATA")</f>
        <v>#N/A N/A</v>
      </c>
      <c r="TE5" t="str">
        <f>_xll.BDS("9895616Q US Equity","SUPPLY_CHAIN_CUSTOMERS_ALL_DATA")</f>
        <v>#N/A N/A</v>
      </c>
      <c r="TU5" t="str">
        <f>_xll.BDS("UB US Equity","SUPPLY_CHAIN_SUPPLIERS_ALL_DATA")</f>
        <v>#N/A N/A</v>
      </c>
      <c r="UI5" t="str">
        <f>_xll.BDS("UB US Equity","SUPPLY_CHAIN_CUSTOMERS_ALL_DATA")</f>
        <v>#N/A N/A</v>
      </c>
      <c r="UY5" t="str">
        <f>_xll.BDS("9990253D US Equity","SUPPLY_CHAIN_SUPPLIERS_ALL_DATA","cols=12;rows=1")</f>
        <v>FE US Equity</v>
      </c>
      <c r="VA5">
        <v>-2.4245362661989844E-14</v>
      </c>
      <c r="VB5">
        <v>-2.4245362661989844E-14</v>
      </c>
      <c r="VC5" t="s">
        <v>1789</v>
      </c>
      <c r="VD5">
        <v>2021</v>
      </c>
      <c r="VE5" t="s">
        <v>1927</v>
      </c>
      <c r="VF5" s="6">
        <v>44693</v>
      </c>
      <c r="VG5">
        <v>1</v>
      </c>
      <c r="VH5">
        <v>-2.4245362661989844E-14</v>
      </c>
      <c r="VI5">
        <v>302916</v>
      </c>
      <c r="VJ5" t="s">
        <v>1928</v>
      </c>
      <c r="VM5" t="str">
        <f>_xll.BDS("9990253D US Equity","SUPPLY_CHAIN_CUSTOMERS_ALL_DATA","cols=12;rows=5")</f>
        <v>0065069D US Equity</v>
      </c>
      <c r="VN5">
        <v>-2.4245362661989844E-14</v>
      </c>
      <c r="VP5">
        <v>-2.4245362661989844E-14</v>
      </c>
      <c r="VQ5" t="s">
        <v>1789</v>
      </c>
      <c r="VR5">
        <v>2021</v>
      </c>
      <c r="VS5" t="s">
        <v>4247</v>
      </c>
      <c r="VT5" s="6">
        <v>44650</v>
      </c>
      <c r="VU5">
        <v>5</v>
      </c>
      <c r="VV5">
        <v>-2.4245362661989844E-14</v>
      </c>
      <c r="VW5">
        <v>28515817</v>
      </c>
      <c r="VX5" t="s">
        <v>4248</v>
      </c>
    </row>
    <row r="6" spans="1:600" x14ac:dyDescent="0.25">
      <c r="BI6" t="s">
        <v>816</v>
      </c>
      <c r="BK6">
        <v>-2.4245362661989844E-14</v>
      </c>
      <c r="BL6">
        <v>-2.4245362661989844E-14</v>
      </c>
      <c r="BM6" t="s">
        <v>1789</v>
      </c>
      <c r="BN6">
        <v>2021</v>
      </c>
      <c r="BO6" t="s">
        <v>2069</v>
      </c>
      <c r="BP6" s="6">
        <v>44693</v>
      </c>
      <c r="BQ6">
        <v>5</v>
      </c>
      <c r="BR6">
        <v>-2.4245362661989844E-14</v>
      </c>
      <c r="BS6">
        <v>100193</v>
      </c>
      <c r="BT6" t="s">
        <v>2070</v>
      </c>
      <c r="BW6" t="s">
        <v>4184</v>
      </c>
      <c r="BX6">
        <v>-2.4245362661989844E-14</v>
      </c>
      <c r="BZ6">
        <v>-2.4245362661989844E-14</v>
      </c>
      <c r="CA6" t="s">
        <v>1773</v>
      </c>
      <c r="CB6">
        <v>2023</v>
      </c>
      <c r="CC6" t="s">
        <v>2586</v>
      </c>
      <c r="CD6" s="6">
        <v>45265</v>
      </c>
      <c r="CE6">
        <v>5</v>
      </c>
      <c r="CF6">
        <v>-2.4245362661989844E-14</v>
      </c>
      <c r="CG6">
        <v>9135059</v>
      </c>
      <c r="CH6" t="s">
        <v>4185</v>
      </c>
      <c r="EU6" t="s">
        <v>3441</v>
      </c>
      <c r="EV6" t="s">
        <v>1777</v>
      </c>
      <c r="EW6">
        <v>0.47023999999999999</v>
      </c>
      <c r="EX6">
        <v>1.5184E-2</v>
      </c>
      <c r="EY6" t="s">
        <v>1768</v>
      </c>
      <c r="EZ6">
        <v>2026</v>
      </c>
      <c r="FA6" t="s">
        <v>3442</v>
      </c>
      <c r="FB6" s="6">
        <v>45979</v>
      </c>
      <c r="FC6">
        <v>5</v>
      </c>
      <c r="FD6">
        <v>27664</v>
      </c>
      <c r="FE6">
        <v>8819707</v>
      </c>
      <c r="FF6" t="s">
        <v>3443</v>
      </c>
      <c r="FI6" t="s">
        <v>1958</v>
      </c>
      <c r="FJ6">
        <v>0.111944</v>
      </c>
      <c r="FK6" t="s">
        <v>1808</v>
      </c>
      <c r="FL6">
        <v>4.2687000000000003E-2</v>
      </c>
      <c r="FM6" t="s">
        <v>1773</v>
      </c>
      <c r="FN6">
        <v>2024</v>
      </c>
      <c r="FO6" t="s">
        <v>1959</v>
      </c>
      <c r="FP6" s="6">
        <v>45727</v>
      </c>
      <c r="FQ6">
        <v>5</v>
      </c>
      <c r="FR6">
        <v>1361123.17</v>
      </c>
      <c r="FS6">
        <v>7583418</v>
      </c>
      <c r="FT6" t="s">
        <v>1960</v>
      </c>
      <c r="HC6" t="s">
        <v>4856</v>
      </c>
      <c r="HD6" t="s">
        <v>1777</v>
      </c>
      <c r="HE6">
        <v>0.119312</v>
      </c>
      <c r="HF6">
        <v>0.117197</v>
      </c>
      <c r="HG6" t="s">
        <v>1768</v>
      </c>
      <c r="HH6">
        <v>2025</v>
      </c>
      <c r="HI6" t="s">
        <v>4857</v>
      </c>
      <c r="HJ6" s="6">
        <v>45944</v>
      </c>
      <c r="HK6">
        <v>5</v>
      </c>
      <c r="HL6">
        <v>1910470.67</v>
      </c>
      <c r="HM6">
        <v>156126</v>
      </c>
      <c r="HN6" t="s">
        <v>4858</v>
      </c>
      <c r="HQ6" t="s">
        <v>1864</v>
      </c>
      <c r="HR6">
        <v>0.40942800000000001</v>
      </c>
      <c r="HS6" t="s">
        <v>1777</v>
      </c>
      <c r="HT6">
        <v>0.219831</v>
      </c>
      <c r="HU6" t="s">
        <v>1781</v>
      </c>
      <c r="HV6">
        <v>2025</v>
      </c>
      <c r="HW6" t="s">
        <v>1865</v>
      </c>
      <c r="HX6" s="6">
        <v>45820</v>
      </c>
      <c r="HY6">
        <v>5</v>
      </c>
      <c r="HZ6">
        <v>8962070</v>
      </c>
      <c r="IA6">
        <v>12129192</v>
      </c>
      <c r="IB6" t="s">
        <v>1866</v>
      </c>
      <c r="IG6" t="s">
        <v>2732</v>
      </c>
      <c r="IH6" t="s">
        <v>1777</v>
      </c>
      <c r="II6">
        <v>-2.4245362661989844E-14</v>
      </c>
      <c r="IJ6">
        <v>26.700001</v>
      </c>
      <c r="IK6" t="s">
        <v>1789</v>
      </c>
      <c r="IL6">
        <v>2024</v>
      </c>
      <c r="IM6" t="s">
        <v>2730</v>
      </c>
      <c r="IN6" s="6">
        <v>45891</v>
      </c>
      <c r="IO6">
        <v>2</v>
      </c>
      <c r="IP6">
        <v>150301</v>
      </c>
      <c r="IQ6">
        <v>46754873</v>
      </c>
      <c r="IR6" t="s">
        <v>2733</v>
      </c>
      <c r="LS6" t="s">
        <v>2724</v>
      </c>
      <c r="LT6" t="s">
        <v>1777</v>
      </c>
      <c r="LU6">
        <v>0.38619700000000001</v>
      </c>
      <c r="LV6">
        <v>0.47442000000000001</v>
      </c>
      <c r="LW6" t="s">
        <v>1768</v>
      </c>
      <c r="LX6">
        <v>2025</v>
      </c>
      <c r="LY6" t="s">
        <v>2725</v>
      </c>
      <c r="LZ6" s="6">
        <v>45952</v>
      </c>
      <c r="MA6">
        <v>5</v>
      </c>
      <c r="MB6">
        <v>7236754.0099999998</v>
      </c>
      <c r="MC6">
        <v>27639867</v>
      </c>
      <c r="MD6" t="s">
        <v>2726</v>
      </c>
      <c r="MG6" t="s">
        <v>3779</v>
      </c>
      <c r="MH6">
        <v>-2.4245362661989844E-14</v>
      </c>
      <c r="MJ6">
        <v>-2.4245362661989844E-14</v>
      </c>
      <c r="MK6" t="s">
        <v>1996</v>
      </c>
      <c r="ML6">
        <v>2024</v>
      </c>
      <c r="MM6" t="s">
        <v>3780</v>
      </c>
      <c r="MN6" s="6">
        <v>45518</v>
      </c>
      <c r="MO6">
        <v>5</v>
      </c>
      <c r="MP6">
        <v>-2.4245362661989844E-14</v>
      </c>
      <c r="MQ6">
        <v>130119</v>
      </c>
      <c r="MR6" t="s">
        <v>3781</v>
      </c>
      <c r="VM6" t="s">
        <v>4249</v>
      </c>
      <c r="VN6">
        <v>-2.4245362661989844E-14</v>
      </c>
      <c r="VP6">
        <v>-2.4245362661989844E-14</v>
      </c>
      <c r="VQ6" t="s">
        <v>1789</v>
      </c>
      <c r="VR6">
        <v>2021</v>
      </c>
      <c r="VS6" t="s">
        <v>4247</v>
      </c>
      <c r="VT6" s="6">
        <v>44650</v>
      </c>
      <c r="VU6">
        <v>5</v>
      </c>
      <c r="VV6">
        <v>-2.4245362661989844E-14</v>
      </c>
      <c r="VW6">
        <v>908570</v>
      </c>
      <c r="VX6" t="s">
        <v>4250</v>
      </c>
    </row>
    <row r="7" spans="1:600" x14ac:dyDescent="0.25">
      <c r="BI7" t="s">
        <v>925</v>
      </c>
      <c r="BK7">
        <v>-2.4245362661989844E-14</v>
      </c>
      <c r="BL7">
        <v>-2.4245362661989844E-14</v>
      </c>
      <c r="BM7" t="s">
        <v>1789</v>
      </c>
      <c r="BN7">
        <v>2021</v>
      </c>
      <c r="BO7" t="s">
        <v>2071</v>
      </c>
      <c r="BP7" s="6">
        <v>44693</v>
      </c>
      <c r="BQ7">
        <v>5</v>
      </c>
      <c r="BR7">
        <v>-2.4245362661989844E-14</v>
      </c>
      <c r="BS7">
        <v>100760</v>
      </c>
      <c r="BT7" t="s">
        <v>2072</v>
      </c>
      <c r="BW7" t="s">
        <v>4186</v>
      </c>
      <c r="BX7">
        <v>-2.4245362661989844E-14</v>
      </c>
      <c r="BZ7">
        <v>-2.4245362661989844E-14</v>
      </c>
      <c r="CA7" t="s">
        <v>1789</v>
      </c>
      <c r="CB7">
        <v>2025</v>
      </c>
      <c r="CC7" t="s">
        <v>4182</v>
      </c>
      <c r="CD7" s="6">
        <v>45932</v>
      </c>
      <c r="CE7">
        <v>5</v>
      </c>
      <c r="CF7">
        <v>-2.4245362661989844E-14</v>
      </c>
      <c r="CG7">
        <v>9084806</v>
      </c>
      <c r="CH7" t="s">
        <v>4187</v>
      </c>
      <c r="EU7" t="s">
        <v>539</v>
      </c>
      <c r="EV7" t="s">
        <v>1777</v>
      </c>
      <c r="EW7">
        <v>1.81E-3</v>
      </c>
      <c r="EX7">
        <v>3.0500000000000002E-3</v>
      </c>
      <c r="EY7" t="s">
        <v>1785</v>
      </c>
      <c r="EZ7">
        <v>2025</v>
      </c>
      <c r="FA7" t="s">
        <v>3099</v>
      </c>
      <c r="FB7" s="6">
        <v>46018</v>
      </c>
      <c r="FC7">
        <v>5</v>
      </c>
      <c r="FD7">
        <v>5557</v>
      </c>
      <c r="FE7">
        <v>916504</v>
      </c>
      <c r="FF7" t="s">
        <v>3444</v>
      </c>
      <c r="FI7" t="s">
        <v>2132</v>
      </c>
      <c r="FJ7">
        <v>-2.4245362661989844E-14</v>
      </c>
      <c r="FL7">
        <v>-2.4245362661989844E-14</v>
      </c>
      <c r="FM7" t="s">
        <v>1789</v>
      </c>
      <c r="FN7">
        <v>2023</v>
      </c>
      <c r="FO7" t="s">
        <v>3309</v>
      </c>
      <c r="FP7" s="6">
        <v>45219</v>
      </c>
      <c r="FQ7">
        <v>5</v>
      </c>
      <c r="FR7">
        <v>-2.4245362661989844E-14</v>
      </c>
      <c r="FS7">
        <v>153737</v>
      </c>
      <c r="FT7" t="s">
        <v>2134</v>
      </c>
      <c r="HC7" t="s">
        <v>4859</v>
      </c>
      <c r="HD7" t="s">
        <v>1777</v>
      </c>
      <c r="HE7">
        <v>3.1308999999999997E-2</v>
      </c>
      <c r="HF7">
        <v>4.1846000000000001E-2</v>
      </c>
      <c r="HG7" t="s">
        <v>1768</v>
      </c>
      <c r="HH7">
        <v>2025</v>
      </c>
      <c r="HI7" t="s">
        <v>4860</v>
      </c>
      <c r="HJ7" s="6">
        <v>45916</v>
      </c>
      <c r="HK7">
        <v>5</v>
      </c>
      <c r="HL7">
        <v>651227</v>
      </c>
      <c r="HM7">
        <v>7359873</v>
      </c>
      <c r="HN7" t="s">
        <v>4861</v>
      </c>
      <c r="HQ7" t="s">
        <v>2965</v>
      </c>
      <c r="HR7">
        <v>0.197519</v>
      </c>
      <c r="HS7" t="s">
        <v>1777</v>
      </c>
      <c r="HT7">
        <v>29.056087000000002</v>
      </c>
      <c r="HU7" t="s">
        <v>2183</v>
      </c>
      <c r="HV7">
        <v>2025</v>
      </c>
      <c r="HW7" t="s">
        <v>2966</v>
      </c>
      <c r="HX7" s="6">
        <v>46003</v>
      </c>
      <c r="HY7">
        <v>5</v>
      </c>
      <c r="HZ7">
        <v>4308298.7300000004</v>
      </c>
      <c r="IA7">
        <v>72716415</v>
      </c>
      <c r="IB7" t="s">
        <v>2967</v>
      </c>
      <c r="LS7" t="s">
        <v>2019</v>
      </c>
      <c r="LT7" t="s">
        <v>1906</v>
      </c>
      <c r="LU7">
        <v>0.254056</v>
      </c>
      <c r="LV7">
        <v>0.26785799999999998</v>
      </c>
      <c r="LW7" t="s">
        <v>1785</v>
      </c>
      <c r="LX7">
        <v>2024</v>
      </c>
      <c r="LY7" t="s">
        <v>2020</v>
      </c>
      <c r="LZ7" s="6">
        <v>45770</v>
      </c>
      <c r="MA7">
        <v>5</v>
      </c>
      <c r="MB7">
        <v>4756853.6399999997</v>
      </c>
      <c r="MC7">
        <v>186659</v>
      </c>
      <c r="MD7" t="s">
        <v>2021</v>
      </c>
      <c r="MG7" t="s">
        <v>3782</v>
      </c>
      <c r="MH7">
        <v>-2.4245362661989844E-14</v>
      </c>
      <c r="MJ7">
        <v>-2.4245362661989844E-14</v>
      </c>
      <c r="MK7" t="s">
        <v>1996</v>
      </c>
      <c r="ML7">
        <v>2024</v>
      </c>
      <c r="MM7" t="s">
        <v>3783</v>
      </c>
      <c r="MN7" s="6">
        <v>45518</v>
      </c>
      <c r="MO7">
        <v>5</v>
      </c>
      <c r="MP7">
        <v>-2.4245362661989844E-14</v>
      </c>
      <c r="MQ7">
        <v>227699</v>
      </c>
      <c r="MR7" t="s">
        <v>3784</v>
      </c>
      <c r="VM7" t="s">
        <v>4251</v>
      </c>
      <c r="VN7">
        <v>-2.4245362661989844E-14</v>
      </c>
      <c r="VP7">
        <v>-2.4245362661989844E-14</v>
      </c>
      <c r="VQ7" t="s">
        <v>1789</v>
      </c>
      <c r="VR7">
        <v>2021</v>
      </c>
      <c r="VS7" t="s">
        <v>4247</v>
      </c>
      <c r="VT7" s="6">
        <v>44650</v>
      </c>
      <c r="VU7">
        <v>5</v>
      </c>
      <c r="VV7">
        <v>-2.4245362661989844E-14</v>
      </c>
      <c r="VW7">
        <v>7334430</v>
      </c>
      <c r="VX7" t="s">
        <v>4252</v>
      </c>
    </row>
    <row r="8" spans="1:600" x14ac:dyDescent="0.25">
      <c r="BI8" t="s">
        <v>3657</v>
      </c>
      <c r="BK8">
        <v>-2.4245362661989844E-14</v>
      </c>
      <c r="BL8">
        <v>-2.4245362661989844E-14</v>
      </c>
      <c r="BM8" t="s">
        <v>1789</v>
      </c>
      <c r="BN8">
        <v>2021</v>
      </c>
      <c r="BO8" t="s">
        <v>3658</v>
      </c>
      <c r="BP8" s="6">
        <v>44693</v>
      </c>
      <c r="BQ8">
        <v>5</v>
      </c>
      <c r="BR8">
        <v>-2.4245362661989844E-14</v>
      </c>
      <c r="BS8">
        <v>101315</v>
      </c>
      <c r="BT8" t="s">
        <v>3659</v>
      </c>
      <c r="BW8" t="s">
        <v>119</v>
      </c>
      <c r="BX8">
        <v>-2.4245362661989844E-14</v>
      </c>
      <c r="BZ8">
        <v>-2.4245362661989844E-14</v>
      </c>
      <c r="CA8" t="s">
        <v>1773</v>
      </c>
      <c r="CB8">
        <v>2023</v>
      </c>
      <c r="CC8" t="s">
        <v>2586</v>
      </c>
      <c r="CD8" s="6">
        <v>45265</v>
      </c>
      <c r="CE8">
        <v>5</v>
      </c>
      <c r="CF8">
        <v>-2.4245362661989844E-14</v>
      </c>
      <c r="CG8">
        <v>104046</v>
      </c>
      <c r="CH8" t="s">
        <v>4188</v>
      </c>
      <c r="EU8" t="s">
        <v>3445</v>
      </c>
      <c r="EW8">
        <v>-2.4245362661989844E-14</v>
      </c>
      <c r="EX8">
        <v>-2.4245362661989844E-14</v>
      </c>
      <c r="EY8" t="s">
        <v>1894</v>
      </c>
      <c r="EZ8">
        <v>2025</v>
      </c>
      <c r="FA8" t="s">
        <v>3446</v>
      </c>
      <c r="FB8" s="6">
        <v>45975</v>
      </c>
      <c r="FC8">
        <v>5</v>
      </c>
      <c r="FD8">
        <v>-2.4245362661989844E-14</v>
      </c>
      <c r="FE8">
        <v>69599645</v>
      </c>
      <c r="FF8" t="s">
        <v>3447</v>
      </c>
      <c r="FI8" t="s">
        <v>3310</v>
      </c>
      <c r="FJ8">
        <v>-2.4245362661989844E-14</v>
      </c>
      <c r="FL8">
        <v>-2.4245362661989844E-14</v>
      </c>
      <c r="FM8" t="s">
        <v>1789</v>
      </c>
      <c r="FN8">
        <v>2024</v>
      </c>
      <c r="FO8" t="s">
        <v>3311</v>
      </c>
      <c r="FP8" s="6">
        <v>45755</v>
      </c>
      <c r="FQ8">
        <v>5</v>
      </c>
      <c r="FR8">
        <v>-2.4245362661989844E-14</v>
      </c>
      <c r="FS8">
        <v>7940946</v>
      </c>
      <c r="FT8" t="s">
        <v>3312</v>
      </c>
      <c r="HC8" t="s">
        <v>2019</v>
      </c>
      <c r="HD8" t="s">
        <v>1906</v>
      </c>
      <c r="HE8">
        <v>1.5535E-2</v>
      </c>
      <c r="HF8">
        <v>0.48993999999999999</v>
      </c>
      <c r="HG8" t="s">
        <v>1768</v>
      </c>
      <c r="HH8">
        <v>2025</v>
      </c>
      <c r="HI8" t="s">
        <v>2020</v>
      </c>
      <c r="HJ8" s="6">
        <v>45922</v>
      </c>
      <c r="HK8">
        <v>5</v>
      </c>
      <c r="HL8">
        <v>267890.59000000003</v>
      </c>
      <c r="HM8">
        <v>186659</v>
      </c>
      <c r="HN8" t="s">
        <v>2021</v>
      </c>
      <c r="HQ8" t="s">
        <v>2968</v>
      </c>
      <c r="HR8">
        <v>0.14557600000000001</v>
      </c>
      <c r="HS8" t="s">
        <v>1777</v>
      </c>
      <c r="HT8">
        <v>6.8236829999999999</v>
      </c>
      <c r="HU8" t="s">
        <v>1789</v>
      </c>
      <c r="HV8">
        <v>2024</v>
      </c>
      <c r="HW8" t="s">
        <v>2969</v>
      </c>
      <c r="HX8" s="6">
        <v>45805</v>
      </c>
      <c r="HY8">
        <v>5</v>
      </c>
      <c r="HZ8">
        <v>3219973.29</v>
      </c>
      <c r="IA8">
        <v>15343235</v>
      </c>
      <c r="IB8" t="s">
        <v>2970</v>
      </c>
      <c r="LS8" t="s">
        <v>2094</v>
      </c>
      <c r="LT8" t="s">
        <v>1777</v>
      </c>
      <c r="LU8">
        <v>2.1909000000000001E-2</v>
      </c>
      <c r="LV8">
        <v>0.25751600000000002</v>
      </c>
      <c r="LW8" t="s">
        <v>1785</v>
      </c>
      <c r="LX8">
        <v>2025</v>
      </c>
      <c r="LY8" t="s">
        <v>2095</v>
      </c>
      <c r="LZ8" s="6">
        <v>45848</v>
      </c>
      <c r="MA8">
        <v>5</v>
      </c>
      <c r="MB8">
        <v>3484188</v>
      </c>
      <c r="MC8">
        <v>101752</v>
      </c>
      <c r="MD8" t="s">
        <v>2096</v>
      </c>
      <c r="MG8" t="s">
        <v>3785</v>
      </c>
      <c r="MH8">
        <v>-2.4245362661989844E-14</v>
      </c>
      <c r="MJ8">
        <v>-2.4245362661989844E-14</v>
      </c>
      <c r="MK8" t="s">
        <v>1894</v>
      </c>
      <c r="ML8">
        <v>2025</v>
      </c>
      <c r="MM8" t="s">
        <v>3786</v>
      </c>
      <c r="MN8" s="6">
        <v>45975</v>
      </c>
      <c r="MO8">
        <v>5</v>
      </c>
      <c r="MP8">
        <v>-2.4245362661989844E-14</v>
      </c>
      <c r="MQ8">
        <v>9760711</v>
      </c>
      <c r="MR8" t="s">
        <v>3787</v>
      </c>
      <c r="VM8" t="s">
        <v>1797</v>
      </c>
      <c r="VN8">
        <v>-2.4245362661989844E-14</v>
      </c>
      <c r="VP8">
        <v>-2.4245362661989844E-14</v>
      </c>
      <c r="VQ8" t="s">
        <v>1789</v>
      </c>
      <c r="VR8">
        <v>2021</v>
      </c>
      <c r="VS8" t="s">
        <v>4247</v>
      </c>
      <c r="VT8" s="6">
        <v>44650</v>
      </c>
      <c r="VU8">
        <v>5</v>
      </c>
      <c r="VV8">
        <v>-2.4245362661989844E-14</v>
      </c>
      <c r="VW8">
        <v>218252</v>
      </c>
      <c r="VX8" t="s">
        <v>1798</v>
      </c>
    </row>
    <row r="9" spans="1:600" x14ac:dyDescent="0.25">
      <c r="BI9" t="s">
        <v>2076</v>
      </c>
      <c r="BK9">
        <v>-2.4245362661989844E-14</v>
      </c>
      <c r="BL9">
        <v>-2.4245362661989844E-14</v>
      </c>
      <c r="BM9" t="s">
        <v>1789</v>
      </c>
      <c r="BN9">
        <v>2021</v>
      </c>
      <c r="BO9" t="s">
        <v>2077</v>
      </c>
      <c r="BP9" s="6">
        <v>44693</v>
      </c>
      <c r="BQ9">
        <v>5</v>
      </c>
      <c r="BR9">
        <v>-2.4245362661989844E-14</v>
      </c>
      <c r="BS9">
        <v>100532</v>
      </c>
      <c r="BT9" t="s">
        <v>2078</v>
      </c>
      <c r="BW9" t="s">
        <v>4189</v>
      </c>
      <c r="BX9">
        <v>-2.4245362661989844E-14</v>
      </c>
      <c r="BZ9">
        <v>-2.4245362661989844E-14</v>
      </c>
      <c r="CA9" t="s">
        <v>1773</v>
      </c>
      <c r="CB9">
        <v>2023</v>
      </c>
      <c r="CC9" t="s">
        <v>2586</v>
      </c>
      <c r="CD9" s="6">
        <v>45265</v>
      </c>
      <c r="CE9">
        <v>5</v>
      </c>
      <c r="CF9">
        <v>-2.4245362661989844E-14</v>
      </c>
      <c r="CG9">
        <v>101193</v>
      </c>
      <c r="CH9" t="s">
        <v>4190</v>
      </c>
      <c r="EU9" t="s">
        <v>3448</v>
      </c>
      <c r="EW9">
        <v>-2.4245362661989844E-14</v>
      </c>
      <c r="EX9">
        <v>-2.4245362661989844E-14</v>
      </c>
      <c r="EY9" t="s">
        <v>2183</v>
      </c>
      <c r="EZ9">
        <v>2023</v>
      </c>
      <c r="FA9" t="s">
        <v>3449</v>
      </c>
      <c r="FB9" s="6">
        <v>45168</v>
      </c>
      <c r="FC9">
        <v>5</v>
      </c>
      <c r="FD9">
        <v>-2.4245362661989844E-14</v>
      </c>
      <c r="FE9">
        <v>130875</v>
      </c>
      <c r="FF9" t="s">
        <v>3450</v>
      </c>
      <c r="FI9" t="s">
        <v>3313</v>
      </c>
      <c r="FJ9">
        <v>-2.4245362661989844E-14</v>
      </c>
      <c r="FL9">
        <v>-2.4245362661989844E-14</v>
      </c>
      <c r="FM9" t="s">
        <v>1789</v>
      </c>
      <c r="FN9">
        <v>2021</v>
      </c>
      <c r="FO9" t="s">
        <v>3314</v>
      </c>
      <c r="FP9" s="6">
        <v>44701</v>
      </c>
      <c r="FQ9">
        <v>5</v>
      </c>
      <c r="FR9">
        <v>-2.4245362661989844E-14</v>
      </c>
      <c r="FS9">
        <v>9281579</v>
      </c>
      <c r="FT9" t="s">
        <v>3315</v>
      </c>
      <c r="HC9" t="s">
        <v>4862</v>
      </c>
      <c r="HE9">
        <v>-2.4245362661989844E-14</v>
      </c>
      <c r="HF9">
        <v>-2.4245362661989844E-14</v>
      </c>
      <c r="HG9" t="s">
        <v>2183</v>
      </c>
      <c r="HH9">
        <v>2025</v>
      </c>
      <c r="HI9" t="s">
        <v>4863</v>
      </c>
      <c r="HJ9" s="6">
        <v>45884</v>
      </c>
      <c r="HK9">
        <v>5</v>
      </c>
      <c r="HL9">
        <v>-2.4245362661989844E-14</v>
      </c>
      <c r="HM9">
        <v>21821850</v>
      </c>
      <c r="HN9" t="s">
        <v>4864</v>
      </c>
      <c r="HQ9" t="s">
        <v>2971</v>
      </c>
      <c r="HR9">
        <v>2.5704000000000001E-2</v>
      </c>
      <c r="HS9" t="s">
        <v>1777</v>
      </c>
      <c r="HT9">
        <v>9.8635E-2</v>
      </c>
      <c r="HU9" t="s">
        <v>1773</v>
      </c>
      <c r="HV9">
        <v>2025</v>
      </c>
      <c r="HW9" t="s">
        <v>2972</v>
      </c>
      <c r="HX9" s="6">
        <v>46034</v>
      </c>
      <c r="HY9">
        <v>5</v>
      </c>
      <c r="HZ9">
        <v>562637</v>
      </c>
      <c r="IA9">
        <v>313021</v>
      </c>
      <c r="IB9" t="s">
        <v>2973</v>
      </c>
      <c r="LS9" t="s">
        <v>2727</v>
      </c>
      <c r="LT9" t="s">
        <v>1777</v>
      </c>
      <c r="LU9">
        <v>3.7962999999999997E-2</v>
      </c>
      <c r="LV9">
        <v>0.117649</v>
      </c>
      <c r="LW9" t="s">
        <v>1768</v>
      </c>
      <c r="LX9">
        <v>2025</v>
      </c>
      <c r="LY9" t="s">
        <v>2728</v>
      </c>
      <c r="LZ9" s="6">
        <v>45917</v>
      </c>
      <c r="MA9">
        <v>5</v>
      </c>
      <c r="MB9">
        <v>1794964.29</v>
      </c>
      <c r="MC9">
        <v>112156</v>
      </c>
      <c r="MD9" t="s">
        <v>2729</v>
      </c>
      <c r="MG9" t="s">
        <v>3788</v>
      </c>
      <c r="MH9">
        <v>-2.4245362661989844E-14</v>
      </c>
      <c r="MJ9">
        <v>-2.4245362661989844E-14</v>
      </c>
      <c r="MK9" t="s">
        <v>1789</v>
      </c>
      <c r="ML9">
        <v>2022</v>
      </c>
      <c r="MM9" t="s">
        <v>3789</v>
      </c>
      <c r="MN9" s="6">
        <v>44973</v>
      </c>
      <c r="MO9">
        <v>5</v>
      </c>
      <c r="MP9">
        <v>-2.4245362661989844E-14</v>
      </c>
      <c r="MQ9">
        <v>11599856</v>
      </c>
      <c r="MR9" t="s">
        <v>3790</v>
      </c>
      <c r="VM9" t="s">
        <v>4253</v>
      </c>
      <c r="VN9">
        <v>-2.4245362661989844E-14</v>
      </c>
      <c r="VP9">
        <v>-2.4245362661989844E-14</v>
      </c>
      <c r="VQ9" t="s">
        <v>1789</v>
      </c>
      <c r="VR9">
        <v>2021</v>
      </c>
      <c r="VS9" t="s">
        <v>4247</v>
      </c>
      <c r="VT9" s="6">
        <v>44650</v>
      </c>
      <c r="VU9">
        <v>5</v>
      </c>
      <c r="VV9">
        <v>-2.4245362661989844E-14</v>
      </c>
      <c r="VW9">
        <v>214099</v>
      </c>
      <c r="VX9" t="s">
        <v>4254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79</v>
      </c>
      <c r="AE2" s="3" t="s">
        <v>347</v>
      </c>
      <c r="BI2" s="3" t="s">
        <v>348</v>
      </c>
      <c r="CM2" s="3" t="s">
        <v>349</v>
      </c>
      <c r="DQ2" s="3" t="s">
        <v>350</v>
      </c>
      <c r="EU2" s="3" t="s">
        <v>119</v>
      </c>
      <c r="FY2" s="3" t="s">
        <v>351</v>
      </c>
      <c r="HC2" s="3" t="s">
        <v>132</v>
      </c>
      <c r="IG2" s="3" t="s">
        <v>352</v>
      </c>
      <c r="JK2" s="3" t="s">
        <v>353</v>
      </c>
      <c r="KO2" s="3" t="s">
        <v>354</v>
      </c>
      <c r="LS2" s="3" t="s">
        <v>355</v>
      </c>
      <c r="MW2" s="3" t="s">
        <v>319</v>
      </c>
      <c r="OA2" s="3" t="s">
        <v>237</v>
      </c>
      <c r="PE2" s="3" t="s">
        <v>356</v>
      </c>
      <c r="QI2" s="3" t="s">
        <v>357</v>
      </c>
      <c r="RM2" s="3" t="s">
        <v>358</v>
      </c>
      <c r="SQ2" s="3" t="s">
        <v>359</v>
      </c>
      <c r="TU2" s="3" t="s">
        <v>360</v>
      </c>
      <c r="UY2" s="3" t="s">
        <v>361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_xll.BDS("BBT US Equity","SUPPLY_CHAIN_SUPPLIERS_ALL_DATA")</f>
        <v>#N/A N/A</v>
      </c>
      <c r="O5" t="str">
        <f>_xll.BDS("BBT US Equity","SUPPLY_CHAIN_CUSTOMERS_ALL_DATA")</f>
        <v>#N/A N/A</v>
      </c>
      <c r="AE5" t="str">
        <f>_xll.BDS("AMESQ US Equity","SUPPLY_CHAIN_SUPPLIERS_ALL_DATA")</f>
        <v>#N/A N/A</v>
      </c>
      <c r="AS5" t="str">
        <f>_xll.BDS("AMESQ US Equity","SUPPLY_CHAIN_CUSTOMERS_ALL_DATA")</f>
        <v>#N/A N/A</v>
      </c>
      <c r="BI5" t="str">
        <f>_xll.BDS("MTB US Equity","SUPPLY_CHAIN_SUPPLIERS_ALL_DATA","cols=12;rows=5")</f>
        <v>ORCL US Equity</v>
      </c>
      <c r="BJ5" t="s">
        <v>1777</v>
      </c>
      <c r="BK5">
        <v>1.9734999999999999E-2</v>
      </c>
      <c r="BL5">
        <v>0.221799</v>
      </c>
      <c r="BM5" t="s">
        <v>1785</v>
      </c>
      <c r="BN5">
        <v>2025</v>
      </c>
      <c r="BO5" t="s">
        <v>2095</v>
      </c>
      <c r="BP5" s="6">
        <v>45848</v>
      </c>
      <c r="BQ5">
        <v>5</v>
      </c>
      <c r="BR5">
        <v>3138457</v>
      </c>
      <c r="BS5">
        <v>101752</v>
      </c>
      <c r="BT5" t="s">
        <v>2096</v>
      </c>
      <c r="BW5" t="str">
        <f>_xll.BDS("MTB US Equity","SUPPLY_CHAIN_CUSTOMERS_ALL_DATA","cols=12;rows=3")</f>
        <v>2610 TT Equity</v>
      </c>
      <c r="BX5">
        <v>-2.4245362661989844E-14</v>
      </c>
      <c r="BZ5">
        <v>-2.4245362661989844E-14</v>
      </c>
      <c r="CA5" t="s">
        <v>1789</v>
      </c>
      <c r="CB5">
        <v>2024</v>
      </c>
      <c r="CC5" t="s">
        <v>4065</v>
      </c>
      <c r="CD5" s="6">
        <v>45786</v>
      </c>
      <c r="CE5">
        <v>3</v>
      </c>
      <c r="CF5">
        <v>-2.4245362661989844E-14</v>
      </c>
      <c r="CG5">
        <v>129514</v>
      </c>
      <c r="CH5" t="s">
        <v>4066</v>
      </c>
      <c r="CM5" t="str">
        <f>_xll.BDS("2847452Q US Equity","SUPPLY_CHAIN_SUPPLIERS_ALL_DATA")</f>
        <v>#N/A N/A</v>
      </c>
      <c r="DA5" t="str">
        <f>_xll.BDS("2847452Q US Equity","SUPPLY_CHAIN_CUSTOMERS_ALL_DATA")</f>
        <v>#N/A N/A</v>
      </c>
      <c r="DQ5" t="str">
        <f>_xll.BDS("TRAD US Equity","SUPPLY_CHAIN_SUPPLIERS_ALL_DATA","cols=12;rows=1")</f>
        <v>0090860D US Equity</v>
      </c>
      <c r="DS5">
        <v>-2.4245362661989844E-14</v>
      </c>
      <c r="DT5">
        <v>-2.4245362661989844E-14</v>
      </c>
      <c r="DU5" t="s">
        <v>1789</v>
      </c>
      <c r="DV5">
        <v>2023</v>
      </c>
      <c r="DW5" t="s">
        <v>2720</v>
      </c>
      <c r="DX5" s="6">
        <v>45300</v>
      </c>
      <c r="DY5">
        <v>1</v>
      </c>
      <c r="DZ5">
        <v>-2.4245362661989844E-14</v>
      </c>
      <c r="EA5">
        <v>17480025</v>
      </c>
      <c r="EB5" t="s">
        <v>2721</v>
      </c>
      <c r="EE5" t="str">
        <f>_xll.BDS("TRAD US Equity","SUPPLY_CHAIN_CUSTOMERS_ALL_DATA")</f>
        <v>#N/A N/A</v>
      </c>
      <c r="EU5" t="str">
        <f>_xll.BDS("FULT US Equity","SUPPLY_CHAIN_SUPPLIERS_ALL_DATA","cols=12;rows=2")</f>
        <v>DLX US Equity</v>
      </c>
      <c r="EW5">
        <v>-2.4245362661989844E-14</v>
      </c>
      <c r="EX5">
        <v>-2.4245362661989844E-14</v>
      </c>
      <c r="EY5" t="s">
        <v>1773</v>
      </c>
      <c r="EZ5">
        <v>2023</v>
      </c>
      <c r="FA5" t="s">
        <v>2586</v>
      </c>
      <c r="FB5" s="6">
        <v>45265</v>
      </c>
      <c r="FC5">
        <v>2</v>
      </c>
      <c r="FD5">
        <v>-2.4245362661989844E-14</v>
      </c>
      <c r="FE5">
        <v>100444</v>
      </c>
      <c r="FF5" t="s">
        <v>2587</v>
      </c>
      <c r="FI5" t="str">
        <f>_xll.BDS("FULT US Equity","SUPPLY_CHAIN_CUSTOMERS_ALL_DATA")</f>
        <v>#N/A N/A</v>
      </c>
      <c r="FY5" t="str">
        <f>_xll.BDS("0897262D US Equity","SUPPLY_CHAIN_SUPPLIERS_ALL_DATA")</f>
        <v>#N/A N/A</v>
      </c>
      <c r="GM5" t="str">
        <f>_xll.BDS("0897262D US Equity","SUPPLY_CHAIN_CUSTOMERS_ALL_DATA")</f>
        <v>#N/A N/A</v>
      </c>
      <c r="HC5" t="str">
        <f>_xll.BDS("TFC US Equity","SUPPLY_CHAIN_SUPPLIERS_ALL_DATA","cols=12;rows=5")</f>
        <v>ADBE US Equity</v>
      </c>
      <c r="HD5" t="s">
        <v>1808</v>
      </c>
      <c r="HE5">
        <v>9.3438999999999994E-2</v>
      </c>
      <c r="HF5">
        <v>0.18883900000000001</v>
      </c>
      <c r="HG5" t="s">
        <v>1768</v>
      </c>
      <c r="HH5">
        <v>2025</v>
      </c>
      <c r="HI5" t="s">
        <v>2359</v>
      </c>
      <c r="HJ5" s="6">
        <v>45838</v>
      </c>
      <c r="HK5">
        <v>5</v>
      </c>
      <c r="HL5">
        <v>5487672</v>
      </c>
      <c r="HM5">
        <v>101689</v>
      </c>
      <c r="HN5" t="s">
        <v>2360</v>
      </c>
      <c r="HQ5" t="str">
        <f>_xll.BDS("TFC US Equity","SUPPLY_CHAIN_CUSTOMERS_ALL_DATA","cols=12;rows=1")</f>
        <v>RENG IN Equity</v>
      </c>
      <c r="HR5">
        <v>-2.4245362661989844E-14</v>
      </c>
      <c r="HT5">
        <v>-2.4245362661989844E-14</v>
      </c>
      <c r="HU5" t="s">
        <v>1789</v>
      </c>
      <c r="HV5">
        <v>2025</v>
      </c>
      <c r="HW5" t="s">
        <v>2271</v>
      </c>
      <c r="HX5" s="6">
        <v>45901</v>
      </c>
      <c r="HY5">
        <v>1</v>
      </c>
      <c r="HZ5">
        <v>-2.4245362661989844E-14</v>
      </c>
      <c r="IA5">
        <v>182734</v>
      </c>
      <c r="IB5" t="s">
        <v>2272</v>
      </c>
      <c r="IG5" t="str">
        <f>_xll.BDS("540513Q US Equity","SUPPLY_CHAIN_SUPPLIERS_ALL_DATA")</f>
        <v>#N/A N/A</v>
      </c>
      <c r="IU5" t="str">
        <f>_xll.BDS("540513Q US Equity","SUPPLY_CHAIN_CUSTOMERS_ALL_DATA")</f>
        <v>#N/A N/A</v>
      </c>
      <c r="JK5" t="str">
        <f>_xll.BDS("PFS US Equity","SUPPLY_CHAIN_SUPPLIERS_ALL_DATA","cols=12;rows=2")</f>
        <v>1747628D US Equity</v>
      </c>
      <c r="JM5">
        <v>-2.4245362661989844E-14</v>
      </c>
      <c r="JN5">
        <v>-2.4245362661989844E-14</v>
      </c>
      <c r="JO5" t="s">
        <v>1789</v>
      </c>
      <c r="JP5">
        <v>2023</v>
      </c>
      <c r="JQ5" t="s">
        <v>3498</v>
      </c>
      <c r="JR5" s="6">
        <v>45181</v>
      </c>
      <c r="JS5">
        <v>2</v>
      </c>
      <c r="JT5">
        <v>-2.4245362661989844E-14</v>
      </c>
      <c r="JU5">
        <v>65868490</v>
      </c>
      <c r="JV5" t="s">
        <v>3499</v>
      </c>
      <c r="JY5" t="str">
        <f>_xll.BDS("PFS US Equity","SUPPLY_CHAIN_CUSTOMERS_ALL_DATA")</f>
        <v>#N/A N/A</v>
      </c>
      <c r="KO5" t="str">
        <f>_xll.BDS("CNOB US Equity","SUPPLY_CHAIN_SUPPLIERS_ALL_DATA","cols=12;rows=1")</f>
        <v>NCNO US Equity</v>
      </c>
      <c r="KQ5">
        <v>-2.4245362661989844E-14</v>
      </c>
      <c r="KR5">
        <v>-2.4245362661989844E-14</v>
      </c>
      <c r="KS5" t="s">
        <v>1789</v>
      </c>
      <c r="KT5">
        <v>2025</v>
      </c>
      <c r="KU5" t="s">
        <v>4281</v>
      </c>
      <c r="KV5" s="6">
        <v>45748</v>
      </c>
      <c r="KW5">
        <v>1</v>
      </c>
      <c r="KX5">
        <v>-2.4245362661989844E-14</v>
      </c>
      <c r="KY5">
        <v>69921002</v>
      </c>
      <c r="KZ5" t="s">
        <v>3242</v>
      </c>
      <c r="LC5" t="str">
        <f>_xll.BDS("CNOB US Equity","SUPPLY_CHAIN_CUSTOMERS_ALL_DATA")</f>
        <v>#N/A N/A</v>
      </c>
      <c r="LS5" t="str">
        <f>_xll.BDS("PMB US Equity","SUPPLY_CHAIN_SUPPLIERS_ALL_DATA")</f>
        <v>#N/A N/A</v>
      </c>
      <c r="MG5" t="str">
        <f>_xll.BDS("PMB US Equity","SUPPLY_CHAIN_CUSTOMERS_ALL_DATA")</f>
        <v>#N/A N/A</v>
      </c>
      <c r="MW5" t="str">
        <f>_xll.BDS("CAR US Equity","SUPPLY_CHAIN_SUPPLIERS_ALL_DATA","cols=12;rows=5")</f>
        <v>VRRM US Equity</v>
      </c>
      <c r="MX5" t="s">
        <v>1777</v>
      </c>
      <c r="MY5">
        <v>13.5</v>
      </c>
      <c r="MZ5">
        <v>1.973611</v>
      </c>
      <c r="NA5" t="s">
        <v>1789</v>
      </c>
      <c r="NB5">
        <v>2024</v>
      </c>
      <c r="NC5" t="s">
        <v>2722</v>
      </c>
      <c r="ND5" s="6">
        <v>45715</v>
      </c>
      <c r="NE5">
        <v>5</v>
      </c>
      <c r="NF5">
        <v>29673236</v>
      </c>
      <c r="NG5">
        <v>51985055</v>
      </c>
      <c r="NH5" t="s">
        <v>2723</v>
      </c>
      <c r="NK5" t="str">
        <f>_xll.BDS("CAR US Equity","SUPPLY_CHAIN_CUSTOMERS_ALL_DATA","cols=12;rows=5")</f>
        <v>EIH IN Equity</v>
      </c>
      <c r="NL5">
        <v>1.306E-2</v>
      </c>
      <c r="NM5" t="s">
        <v>1777</v>
      </c>
      <c r="NN5">
        <v>0.69246200000000002</v>
      </c>
      <c r="NO5" t="s">
        <v>1789</v>
      </c>
      <c r="NP5">
        <v>2025</v>
      </c>
      <c r="NQ5" t="s">
        <v>3777</v>
      </c>
      <c r="NR5" s="6">
        <v>45850</v>
      </c>
      <c r="NS5">
        <v>5</v>
      </c>
      <c r="NT5">
        <v>381034.1</v>
      </c>
      <c r="NU5">
        <v>162657</v>
      </c>
      <c r="NV5" t="s">
        <v>3778</v>
      </c>
      <c r="OA5" t="str">
        <f>_xll.BDS("INDB US Equity","SUPPLY_CHAIN_SUPPLIERS_ALL_DATA")</f>
        <v>#N/A N/A</v>
      </c>
      <c r="OO5" t="str">
        <f>_xll.BDS("INDB US Equity","SUPPLY_CHAIN_CUSTOMERS_ALL_DATA")</f>
        <v>#N/A N/A</v>
      </c>
      <c r="PE5" t="str">
        <f>_xll.BDS("DFODQ US Equity","SUPPLY_CHAIN_SUPPLIERS_ALL_DATA","cols=12;rows=5")</f>
        <v>AEE US Equity</v>
      </c>
      <c r="PG5">
        <v>-2.4245362661989844E-14</v>
      </c>
      <c r="PH5">
        <v>-2.4245362661989844E-14</v>
      </c>
      <c r="PI5" t="s">
        <v>1789</v>
      </c>
      <c r="PJ5">
        <v>2021</v>
      </c>
      <c r="PK5" t="s">
        <v>2085</v>
      </c>
      <c r="PL5" s="6">
        <v>44693</v>
      </c>
      <c r="PM5">
        <v>5</v>
      </c>
      <c r="PN5">
        <v>-2.4245362661989844E-14</v>
      </c>
      <c r="PO5">
        <v>313098</v>
      </c>
      <c r="PP5" t="s">
        <v>2086</v>
      </c>
      <c r="PS5" t="str">
        <f>_xll.BDS("DFODQ US Equity","SUPPLY_CHAIN_CUSTOMERS_ALL_DATA")</f>
        <v>#N/A N/A</v>
      </c>
      <c r="QI5" t="str">
        <f>_xll.BDS("0700734D US Equity","SUPPLY_CHAIN_SUPPLIERS_ALL_DATA")</f>
        <v>#N/A N/A</v>
      </c>
      <c r="QW5" t="str">
        <f>_xll.BDS("0700734D US Equity","SUPPLY_CHAIN_CUSTOMERS_ALL_DATA")</f>
        <v>#N/A N/A</v>
      </c>
      <c r="RM5" t="str">
        <f>_xll.BDS("FRST US Equity","SUPPLY_CHAIN_SUPPLIERS_ALL_DATA")</f>
        <v>#N/A N/A</v>
      </c>
      <c r="SA5" t="str">
        <f>_xll.BDS("FRST US Equity","SUPPLY_CHAIN_CUSTOMERS_ALL_DATA")</f>
        <v>#N/A N/A</v>
      </c>
      <c r="SQ5" t="str">
        <f>_xll.BDS("CATC US Equity","SUPPLY_CHAIN_SUPPLIERS_ALL_DATA")</f>
        <v>#N/A N/A</v>
      </c>
      <c r="TE5" t="str">
        <f>_xll.BDS("CATC US Equity","SUPPLY_CHAIN_CUSTOMERS_ALL_DATA")</f>
        <v>#N/A N/A</v>
      </c>
      <c r="TU5" t="str">
        <f>_xll.BDS("ONEW US Equity","SUPPLY_CHAIN_SUPPLIERS_ALL_DATA","cols=12;rows=5")</f>
        <v>0372581D US Equity</v>
      </c>
      <c r="TW5">
        <v>-2.4245362661989844E-14</v>
      </c>
      <c r="TX5">
        <v>-2.4245362661989844E-14</v>
      </c>
      <c r="TY5" t="s">
        <v>1789</v>
      </c>
      <c r="TZ5">
        <v>2025</v>
      </c>
      <c r="UA5" t="s">
        <v>3793</v>
      </c>
      <c r="UB5" s="6">
        <v>46006</v>
      </c>
      <c r="UC5">
        <v>5</v>
      </c>
      <c r="UD5">
        <v>-2.4245362661989844E-14</v>
      </c>
      <c r="UE5">
        <v>29264685</v>
      </c>
      <c r="UF5" t="s">
        <v>4542</v>
      </c>
      <c r="UI5" t="str">
        <f>_xll.BDS("ONEW US Equity","SUPPLY_CHAIN_CUSTOMERS_ALL_DATA","cols=12;rows=5")</f>
        <v>1732514D US Equity</v>
      </c>
      <c r="UJ5">
        <v>-2.4245362661989844E-14</v>
      </c>
      <c r="UL5">
        <v>-2.4245362661989844E-14</v>
      </c>
      <c r="UM5" t="s">
        <v>1789</v>
      </c>
      <c r="UN5">
        <v>2023</v>
      </c>
      <c r="UO5" t="s">
        <v>3791</v>
      </c>
      <c r="UP5" s="6">
        <v>45274</v>
      </c>
      <c r="UQ5">
        <v>5</v>
      </c>
      <c r="UR5">
        <v>-2.4245362661989844E-14</v>
      </c>
      <c r="US5">
        <v>65238439</v>
      </c>
      <c r="UT5" t="s">
        <v>3792</v>
      </c>
      <c r="UY5" t="str">
        <f>_xll.BDS("ARAY US Equity","SUPPLY_CHAIN_SUPPLIERS_ALL_DATA","cols=12;rows=5")</f>
        <v>1249424D US Equity</v>
      </c>
      <c r="VA5">
        <v>-2.4245362661989844E-14</v>
      </c>
      <c r="VB5">
        <v>-2.4245362661989844E-14</v>
      </c>
      <c r="VC5" t="s">
        <v>1789</v>
      </c>
      <c r="VD5">
        <v>2025</v>
      </c>
      <c r="VE5" t="s">
        <v>2940</v>
      </c>
      <c r="VF5" s="6">
        <v>45897</v>
      </c>
      <c r="VG5">
        <v>5</v>
      </c>
      <c r="VH5">
        <v>-2.4245362661989844E-14</v>
      </c>
      <c r="VI5">
        <v>44882049</v>
      </c>
      <c r="VJ5" t="s">
        <v>3719</v>
      </c>
      <c r="VM5" t="str">
        <f>_xll.BDS("ARAY US Equity","SUPPLY_CHAIN_CUSTOMERS_ALL_DATA","cols=12;rows=5")</f>
        <v>1763 HK Equity</v>
      </c>
      <c r="VN5">
        <v>-2.4245362661989844E-14</v>
      </c>
      <c r="VP5">
        <v>-2.4245362661989844E-14</v>
      </c>
      <c r="VQ5" t="s">
        <v>1789</v>
      </c>
      <c r="VR5">
        <v>2025</v>
      </c>
      <c r="VS5" t="s">
        <v>2940</v>
      </c>
      <c r="VT5" s="6">
        <v>45897</v>
      </c>
      <c r="VU5">
        <v>5</v>
      </c>
      <c r="VV5">
        <v>-2.4245362661989844E-14</v>
      </c>
      <c r="VW5">
        <v>36521264</v>
      </c>
      <c r="VX5" t="s">
        <v>2941</v>
      </c>
    </row>
    <row r="6" spans="1:600" x14ac:dyDescent="0.25">
      <c r="BI6" t="s">
        <v>4107</v>
      </c>
      <c r="BK6">
        <v>-2.4245362661989844E-14</v>
      </c>
      <c r="BL6">
        <v>-2.4245362661989844E-14</v>
      </c>
      <c r="BM6" t="s">
        <v>1789</v>
      </c>
      <c r="BN6">
        <v>2024</v>
      </c>
      <c r="BO6" t="s">
        <v>4108</v>
      </c>
      <c r="BP6" s="6">
        <v>45716</v>
      </c>
      <c r="BQ6">
        <v>5</v>
      </c>
      <c r="BR6">
        <v>-2.4245362661989844E-14</v>
      </c>
      <c r="BS6">
        <v>119752</v>
      </c>
      <c r="BT6" t="s">
        <v>4109</v>
      </c>
      <c r="BW6" t="s">
        <v>4067</v>
      </c>
      <c r="BX6">
        <v>-2.4245362661989844E-14</v>
      </c>
      <c r="BZ6">
        <v>-2.4245362661989844E-14</v>
      </c>
      <c r="CA6" t="s">
        <v>1789</v>
      </c>
      <c r="CB6">
        <v>2024</v>
      </c>
      <c r="CC6" t="s">
        <v>4068</v>
      </c>
      <c r="CD6" s="6">
        <v>45779</v>
      </c>
      <c r="CE6">
        <v>3</v>
      </c>
      <c r="CF6">
        <v>-2.4245362661989844E-14</v>
      </c>
      <c r="CG6">
        <v>918740</v>
      </c>
      <c r="CH6" t="s">
        <v>4069</v>
      </c>
      <c r="EU6" t="s">
        <v>2044</v>
      </c>
      <c r="EW6">
        <v>-2.4245362661989844E-14</v>
      </c>
      <c r="EX6">
        <v>-2.4245362661989844E-14</v>
      </c>
      <c r="EY6" t="s">
        <v>1894</v>
      </c>
      <c r="EZ6">
        <v>2023</v>
      </c>
      <c r="FA6" t="s">
        <v>2045</v>
      </c>
      <c r="FB6" s="6">
        <v>45245</v>
      </c>
      <c r="FC6">
        <v>2</v>
      </c>
      <c r="FD6">
        <v>-2.4245362661989844E-14</v>
      </c>
      <c r="FE6">
        <v>103882</v>
      </c>
      <c r="FF6" t="s">
        <v>2046</v>
      </c>
      <c r="HC6" t="s">
        <v>3331</v>
      </c>
      <c r="HD6" t="s">
        <v>1808</v>
      </c>
      <c r="HE6">
        <v>1.151538</v>
      </c>
      <c r="HF6">
        <v>7.7191999999999997E-2</v>
      </c>
      <c r="HG6" t="s">
        <v>1789</v>
      </c>
      <c r="HH6">
        <v>2024</v>
      </c>
      <c r="HI6" t="s">
        <v>3966</v>
      </c>
      <c r="HJ6" s="6">
        <v>45716</v>
      </c>
      <c r="HK6">
        <v>5</v>
      </c>
      <c r="HL6">
        <v>2317499</v>
      </c>
      <c r="HM6">
        <v>35300053</v>
      </c>
      <c r="HN6" t="s">
        <v>3333</v>
      </c>
      <c r="JK6" t="s">
        <v>3331</v>
      </c>
      <c r="JM6">
        <v>-2.4245362661989844E-14</v>
      </c>
      <c r="JN6">
        <v>-2.4245362661989844E-14</v>
      </c>
      <c r="JO6" t="s">
        <v>1789</v>
      </c>
      <c r="JP6">
        <v>2023</v>
      </c>
      <c r="JQ6" t="s">
        <v>3332</v>
      </c>
      <c r="JR6" s="6">
        <v>45350</v>
      </c>
      <c r="JS6">
        <v>2</v>
      </c>
      <c r="JT6">
        <v>-2.4245362661989844E-14</v>
      </c>
      <c r="JU6">
        <v>35300053</v>
      </c>
      <c r="JV6" t="s">
        <v>3333</v>
      </c>
      <c r="MW6" t="s">
        <v>2724</v>
      </c>
      <c r="MX6" t="s">
        <v>1777</v>
      </c>
      <c r="MY6">
        <v>0.38619700000000001</v>
      </c>
      <c r="MZ6">
        <v>0.47442000000000001</v>
      </c>
      <c r="NA6" t="s">
        <v>1768</v>
      </c>
      <c r="NB6">
        <v>2025</v>
      </c>
      <c r="NC6" t="s">
        <v>2725</v>
      </c>
      <c r="ND6" s="6">
        <v>45952</v>
      </c>
      <c r="NE6">
        <v>5</v>
      </c>
      <c r="NF6">
        <v>7236754.0099999998</v>
      </c>
      <c r="NG6">
        <v>27639867</v>
      </c>
      <c r="NH6" t="s">
        <v>2726</v>
      </c>
      <c r="NK6" t="s">
        <v>3779</v>
      </c>
      <c r="NL6">
        <v>-2.4245362661989844E-14</v>
      </c>
      <c r="NN6">
        <v>-2.4245362661989844E-14</v>
      </c>
      <c r="NO6" t="s">
        <v>1996</v>
      </c>
      <c r="NP6">
        <v>2024</v>
      </c>
      <c r="NQ6" t="s">
        <v>3780</v>
      </c>
      <c r="NR6" s="6">
        <v>45518</v>
      </c>
      <c r="NS6">
        <v>5</v>
      </c>
      <c r="NT6">
        <v>-2.4245362661989844E-14</v>
      </c>
      <c r="NU6">
        <v>130119</v>
      </c>
      <c r="NV6" t="s">
        <v>3781</v>
      </c>
      <c r="PE6" t="s">
        <v>1918</v>
      </c>
      <c r="PG6">
        <v>-2.4245362661989844E-14</v>
      </c>
      <c r="PH6">
        <v>-2.4245362661989844E-14</v>
      </c>
      <c r="PI6" t="s">
        <v>1789</v>
      </c>
      <c r="PJ6">
        <v>2021</v>
      </c>
      <c r="PK6" t="s">
        <v>1919</v>
      </c>
      <c r="PL6" s="6">
        <v>44693</v>
      </c>
      <c r="PM6">
        <v>5</v>
      </c>
      <c r="PN6">
        <v>-2.4245362661989844E-14</v>
      </c>
      <c r="PO6">
        <v>100060</v>
      </c>
      <c r="PP6" t="s">
        <v>1920</v>
      </c>
      <c r="TU6" t="s">
        <v>4543</v>
      </c>
      <c r="TW6">
        <v>-2.4245362661989844E-14</v>
      </c>
      <c r="TX6">
        <v>-2.4245362661989844E-14</v>
      </c>
      <c r="TY6" t="s">
        <v>1789</v>
      </c>
      <c r="TZ6">
        <v>2025</v>
      </c>
      <c r="UA6" t="s">
        <v>3793</v>
      </c>
      <c r="UB6" s="6">
        <v>46006</v>
      </c>
      <c r="UC6">
        <v>5</v>
      </c>
      <c r="UD6">
        <v>-2.4245362661989844E-14</v>
      </c>
      <c r="UE6">
        <v>17549864</v>
      </c>
      <c r="UF6" t="s">
        <v>4544</v>
      </c>
      <c r="UI6" t="s">
        <v>1814</v>
      </c>
      <c r="UJ6">
        <v>-2.4245362661989844E-14</v>
      </c>
      <c r="UL6">
        <v>-2.4245362661989844E-14</v>
      </c>
      <c r="UM6" t="s">
        <v>1789</v>
      </c>
      <c r="UN6">
        <v>2025</v>
      </c>
      <c r="UO6" t="s">
        <v>3793</v>
      </c>
      <c r="UP6" s="6">
        <v>46006</v>
      </c>
      <c r="UQ6">
        <v>5</v>
      </c>
      <c r="UR6">
        <v>-2.4245362661989844E-14</v>
      </c>
      <c r="US6">
        <v>216952</v>
      </c>
      <c r="UT6" t="s">
        <v>1815</v>
      </c>
      <c r="UY6" t="s">
        <v>3720</v>
      </c>
      <c r="VA6">
        <v>-2.4245362661989844E-14</v>
      </c>
      <c r="VB6">
        <v>-2.4245362661989844E-14</v>
      </c>
      <c r="VC6" t="s">
        <v>1789</v>
      </c>
      <c r="VD6">
        <v>2025</v>
      </c>
      <c r="VE6" t="s">
        <v>2940</v>
      </c>
      <c r="VF6" s="6">
        <v>45897</v>
      </c>
      <c r="VG6">
        <v>5</v>
      </c>
      <c r="VH6">
        <v>-2.4245362661989844E-14</v>
      </c>
      <c r="VI6">
        <v>136974</v>
      </c>
      <c r="VJ6" t="s">
        <v>3721</v>
      </c>
      <c r="VM6" t="s">
        <v>2942</v>
      </c>
      <c r="VN6">
        <v>-2.4245362661989844E-14</v>
      </c>
      <c r="VP6">
        <v>-2.4245362661989844E-14</v>
      </c>
      <c r="VQ6" t="s">
        <v>1789</v>
      </c>
      <c r="VR6">
        <v>2024</v>
      </c>
      <c r="VS6" t="s">
        <v>2943</v>
      </c>
      <c r="VT6" s="6">
        <v>45776</v>
      </c>
      <c r="VU6">
        <v>5</v>
      </c>
      <c r="VV6">
        <v>-2.4245362661989844E-14</v>
      </c>
      <c r="VW6">
        <v>16286806</v>
      </c>
      <c r="VX6" t="s">
        <v>2944</v>
      </c>
    </row>
    <row r="7" spans="1:600" x14ac:dyDescent="0.25">
      <c r="BI7" t="s">
        <v>2336</v>
      </c>
      <c r="BK7">
        <v>-2.4245362661989844E-14</v>
      </c>
      <c r="BL7">
        <v>-2.4245362661989844E-14</v>
      </c>
      <c r="BM7" t="s">
        <v>1781</v>
      </c>
      <c r="BN7">
        <v>2025</v>
      </c>
      <c r="BO7" t="s">
        <v>4110</v>
      </c>
      <c r="BP7" s="6">
        <v>45845</v>
      </c>
      <c r="BQ7">
        <v>5</v>
      </c>
      <c r="BR7">
        <v>-2.4245362661989844E-14</v>
      </c>
      <c r="BS7">
        <v>115265</v>
      </c>
      <c r="BT7" t="s">
        <v>2337</v>
      </c>
      <c r="BW7" t="s">
        <v>4070</v>
      </c>
      <c r="BX7">
        <v>-2.4245362661989844E-14</v>
      </c>
      <c r="BZ7">
        <v>-2.4245362661989844E-14</v>
      </c>
      <c r="CA7" t="s">
        <v>1789</v>
      </c>
      <c r="CB7">
        <v>2025</v>
      </c>
      <c r="CC7" t="s">
        <v>4071</v>
      </c>
      <c r="CD7" s="6">
        <v>46056</v>
      </c>
      <c r="CE7">
        <v>3</v>
      </c>
      <c r="CF7">
        <v>-2.4245362661989844E-14</v>
      </c>
      <c r="CG7">
        <v>163441</v>
      </c>
      <c r="CH7" t="s">
        <v>4072</v>
      </c>
      <c r="HC7" t="s">
        <v>2493</v>
      </c>
      <c r="HD7" t="s">
        <v>1808</v>
      </c>
      <c r="HE7">
        <v>0.492811</v>
      </c>
      <c r="HF7">
        <v>2.9784000000000001E-2</v>
      </c>
      <c r="HG7" t="s">
        <v>1781</v>
      </c>
      <c r="HH7">
        <v>2026</v>
      </c>
      <c r="HI7" t="s">
        <v>3630</v>
      </c>
      <c r="HJ7" s="6">
        <v>45898</v>
      </c>
      <c r="HK7">
        <v>5</v>
      </c>
      <c r="HL7">
        <v>889383.69</v>
      </c>
      <c r="HM7">
        <v>178651</v>
      </c>
      <c r="HN7" t="s">
        <v>2495</v>
      </c>
      <c r="MW7" t="s">
        <v>2019</v>
      </c>
      <c r="MX7" t="s">
        <v>1906</v>
      </c>
      <c r="MY7">
        <v>0.254056</v>
      </c>
      <c r="MZ7">
        <v>0.26785799999999998</v>
      </c>
      <c r="NA7" t="s">
        <v>1785</v>
      </c>
      <c r="NB7">
        <v>2024</v>
      </c>
      <c r="NC7" t="s">
        <v>2020</v>
      </c>
      <c r="ND7" s="6">
        <v>45770</v>
      </c>
      <c r="NE7">
        <v>5</v>
      </c>
      <c r="NF7">
        <v>4756853.6399999997</v>
      </c>
      <c r="NG7">
        <v>186659</v>
      </c>
      <c r="NH7" t="s">
        <v>2021</v>
      </c>
      <c r="NK7" t="s">
        <v>3782</v>
      </c>
      <c r="NL7">
        <v>-2.4245362661989844E-14</v>
      </c>
      <c r="NN7">
        <v>-2.4245362661989844E-14</v>
      </c>
      <c r="NO7" t="s">
        <v>1996</v>
      </c>
      <c r="NP7">
        <v>2024</v>
      </c>
      <c r="NQ7" t="s">
        <v>3783</v>
      </c>
      <c r="NR7" s="6">
        <v>45518</v>
      </c>
      <c r="NS7">
        <v>5</v>
      </c>
      <c r="NT7">
        <v>-2.4245362661989844E-14</v>
      </c>
      <c r="NU7">
        <v>227699</v>
      </c>
      <c r="NV7" t="s">
        <v>3784</v>
      </c>
      <c r="PE7" t="s">
        <v>816</v>
      </c>
      <c r="PG7">
        <v>-2.4245362661989844E-14</v>
      </c>
      <c r="PH7">
        <v>-2.4245362661989844E-14</v>
      </c>
      <c r="PI7" t="s">
        <v>1789</v>
      </c>
      <c r="PJ7">
        <v>2021</v>
      </c>
      <c r="PK7" t="s">
        <v>2069</v>
      </c>
      <c r="PL7" s="6">
        <v>44693</v>
      </c>
      <c r="PM7">
        <v>5</v>
      </c>
      <c r="PN7">
        <v>-2.4245362661989844E-14</v>
      </c>
      <c r="PO7">
        <v>100193</v>
      </c>
      <c r="PP7" t="s">
        <v>2070</v>
      </c>
      <c r="TU7" t="s">
        <v>4545</v>
      </c>
      <c r="TW7">
        <v>-2.4245362661989844E-14</v>
      </c>
      <c r="TX7">
        <v>-2.4245362661989844E-14</v>
      </c>
      <c r="TY7" t="s">
        <v>1789</v>
      </c>
      <c r="TZ7">
        <v>2025</v>
      </c>
      <c r="UA7" t="s">
        <v>3793</v>
      </c>
      <c r="UB7" s="6">
        <v>46006</v>
      </c>
      <c r="UC7">
        <v>5</v>
      </c>
      <c r="UD7">
        <v>-2.4245362661989844E-14</v>
      </c>
      <c r="UE7">
        <v>27407628</v>
      </c>
      <c r="UF7" t="s">
        <v>4546</v>
      </c>
      <c r="UI7" t="s">
        <v>1861</v>
      </c>
      <c r="UJ7">
        <v>-2.4245362661989844E-14</v>
      </c>
      <c r="UL7">
        <v>-2.4245362661989844E-14</v>
      </c>
      <c r="UM7" t="s">
        <v>1789</v>
      </c>
      <c r="UN7">
        <v>2025</v>
      </c>
      <c r="UO7" t="s">
        <v>3793</v>
      </c>
      <c r="UP7" s="6">
        <v>46006</v>
      </c>
      <c r="UQ7">
        <v>5</v>
      </c>
      <c r="UR7">
        <v>-2.4245362661989844E-14</v>
      </c>
      <c r="US7">
        <v>126788</v>
      </c>
      <c r="UT7" t="s">
        <v>1863</v>
      </c>
      <c r="UY7" t="s">
        <v>3722</v>
      </c>
      <c r="VA7">
        <v>-2.4245362661989844E-14</v>
      </c>
      <c r="VB7">
        <v>-2.4245362661989844E-14</v>
      </c>
      <c r="VC7" t="s">
        <v>1789</v>
      </c>
      <c r="VD7">
        <v>2025</v>
      </c>
      <c r="VE7" t="s">
        <v>2940</v>
      </c>
      <c r="VF7" s="6">
        <v>45897</v>
      </c>
      <c r="VG7">
        <v>5</v>
      </c>
      <c r="VH7">
        <v>-2.4245362661989844E-14</v>
      </c>
      <c r="VI7">
        <v>71648622</v>
      </c>
      <c r="VJ7" t="s">
        <v>3723</v>
      </c>
      <c r="VM7" t="s">
        <v>2945</v>
      </c>
      <c r="VN7">
        <v>-2.4245362661989844E-14</v>
      </c>
      <c r="VP7">
        <v>-2.4245362661989844E-14</v>
      </c>
      <c r="VQ7" t="s">
        <v>1789</v>
      </c>
      <c r="VR7">
        <v>2024</v>
      </c>
      <c r="VS7" t="s">
        <v>2946</v>
      </c>
      <c r="VT7" s="6">
        <v>45469</v>
      </c>
      <c r="VU7">
        <v>5</v>
      </c>
      <c r="VV7">
        <v>-2.4245362661989844E-14</v>
      </c>
      <c r="VW7">
        <v>198678</v>
      </c>
      <c r="VX7" t="s">
        <v>2947</v>
      </c>
    </row>
    <row r="8" spans="1:600" x14ac:dyDescent="0.25">
      <c r="BI8" t="s">
        <v>4111</v>
      </c>
      <c r="BK8">
        <v>-2.4245362661989844E-14</v>
      </c>
      <c r="BL8">
        <v>-2.4245362661989844E-14</v>
      </c>
      <c r="BM8" t="s">
        <v>1773</v>
      </c>
      <c r="BN8">
        <v>2022</v>
      </c>
      <c r="BO8" t="s">
        <v>4112</v>
      </c>
      <c r="BP8" s="6">
        <v>44866</v>
      </c>
      <c r="BQ8">
        <v>5</v>
      </c>
      <c r="BR8">
        <v>-2.4245362661989844E-14</v>
      </c>
      <c r="BS8">
        <v>67334057</v>
      </c>
      <c r="BT8" t="s">
        <v>4113</v>
      </c>
      <c r="HC8" t="s">
        <v>2839</v>
      </c>
      <c r="HE8">
        <v>0.44397199999999998</v>
      </c>
      <c r="HF8">
        <v>-2.4245362661989844E-14</v>
      </c>
      <c r="HG8" t="s">
        <v>1785</v>
      </c>
      <c r="HH8">
        <v>2024</v>
      </c>
      <c r="HI8" t="s">
        <v>3967</v>
      </c>
      <c r="HJ8" s="6">
        <v>45699</v>
      </c>
      <c r="HK8">
        <v>5</v>
      </c>
      <c r="HL8">
        <v>316250</v>
      </c>
      <c r="HM8">
        <v>10086577</v>
      </c>
      <c r="HN8" t="s">
        <v>2841</v>
      </c>
      <c r="MW8" t="s">
        <v>2094</v>
      </c>
      <c r="MX8" t="s">
        <v>1777</v>
      </c>
      <c r="MY8">
        <v>2.1909000000000001E-2</v>
      </c>
      <c r="MZ8">
        <v>0.25751600000000002</v>
      </c>
      <c r="NA8" t="s">
        <v>1785</v>
      </c>
      <c r="NB8">
        <v>2025</v>
      </c>
      <c r="NC8" t="s">
        <v>2095</v>
      </c>
      <c r="ND8" s="6">
        <v>45848</v>
      </c>
      <c r="NE8">
        <v>5</v>
      </c>
      <c r="NF8">
        <v>3484188</v>
      </c>
      <c r="NG8">
        <v>101752</v>
      </c>
      <c r="NH8" t="s">
        <v>2096</v>
      </c>
      <c r="NK8" t="s">
        <v>3785</v>
      </c>
      <c r="NL8">
        <v>-2.4245362661989844E-14</v>
      </c>
      <c r="NN8">
        <v>-2.4245362661989844E-14</v>
      </c>
      <c r="NO8" t="s">
        <v>1894</v>
      </c>
      <c r="NP8">
        <v>2025</v>
      </c>
      <c r="NQ8" t="s">
        <v>3786</v>
      </c>
      <c r="NR8" s="6">
        <v>45975</v>
      </c>
      <c r="NS8">
        <v>5</v>
      </c>
      <c r="NT8">
        <v>-2.4245362661989844E-14</v>
      </c>
      <c r="NU8">
        <v>9760711</v>
      </c>
      <c r="NV8" t="s">
        <v>3787</v>
      </c>
      <c r="PE8" t="s">
        <v>3798</v>
      </c>
      <c r="PG8">
        <v>-2.4245362661989844E-14</v>
      </c>
      <c r="PH8">
        <v>-2.4245362661989844E-14</v>
      </c>
      <c r="PI8" t="s">
        <v>1789</v>
      </c>
      <c r="PJ8">
        <v>2021</v>
      </c>
      <c r="PK8" t="s">
        <v>3799</v>
      </c>
      <c r="PL8" s="6">
        <v>44693</v>
      </c>
      <c r="PM8">
        <v>5</v>
      </c>
      <c r="PN8">
        <v>-2.4245362661989844E-14</v>
      </c>
      <c r="PO8">
        <v>100348</v>
      </c>
      <c r="PP8" t="s">
        <v>3800</v>
      </c>
      <c r="TU8" t="s">
        <v>4547</v>
      </c>
      <c r="TW8">
        <v>-2.4245362661989844E-14</v>
      </c>
      <c r="TX8">
        <v>-2.4245362661989844E-14</v>
      </c>
      <c r="TY8" t="s">
        <v>1789</v>
      </c>
      <c r="TZ8">
        <v>2025</v>
      </c>
      <c r="UA8" t="s">
        <v>3793</v>
      </c>
      <c r="UB8" s="6">
        <v>46006</v>
      </c>
      <c r="UC8">
        <v>5</v>
      </c>
      <c r="UD8">
        <v>-2.4245362661989844E-14</v>
      </c>
      <c r="UE8">
        <v>36946201</v>
      </c>
      <c r="UF8" t="s">
        <v>4548</v>
      </c>
      <c r="UI8" t="s">
        <v>3794</v>
      </c>
      <c r="UJ8">
        <v>-2.4245362661989844E-14</v>
      </c>
      <c r="UL8">
        <v>-2.4245362661989844E-14</v>
      </c>
      <c r="UM8" t="s">
        <v>1789</v>
      </c>
      <c r="UN8">
        <v>2025</v>
      </c>
      <c r="UO8" t="s">
        <v>3793</v>
      </c>
      <c r="UP8" s="6">
        <v>46006</v>
      </c>
      <c r="UQ8">
        <v>5</v>
      </c>
      <c r="UR8">
        <v>-2.4245362661989844E-14</v>
      </c>
      <c r="US8">
        <v>126414</v>
      </c>
      <c r="UT8" t="s">
        <v>3795</v>
      </c>
      <c r="UY8" t="s">
        <v>3724</v>
      </c>
      <c r="VA8">
        <v>-2.4245362661989844E-14</v>
      </c>
      <c r="VB8">
        <v>-2.4245362661989844E-14</v>
      </c>
      <c r="VC8" t="s">
        <v>1789</v>
      </c>
      <c r="VD8">
        <v>2025</v>
      </c>
      <c r="VE8" t="s">
        <v>2940</v>
      </c>
      <c r="VF8" s="6">
        <v>45897</v>
      </c>
      <c r="VG8">
        <v>5</v>
      </c>
      <c r="VH8">
        <v>-2.4245362661989844E-14</v>
      </c>
      <c r="VI8">
        <v>7277790</v>
      </c>
      <c r="VJ8" t="s">
        <v>3725</v>
      </c>
      <c r="VM8" t="s">
        <v>2948</v>
      </c>
      <c r="VN8">
        <v>-2.4245362661989844E-14</v>
      </c>
      <c r="VP8">
        <v>-2.4245362661989844E-14</v>
      </c>
      <c r="VQ8" t="s">
        <v>1789</v>
      </c>
      <c r="VR8">
        <v>2022</v>
      </c>
      <c r="VS8" t="s">
        <v>2949</v>
      </c>
      <c r="VT8" s="6">
        <v>44718</v>
      </c>
      <c r="VU8">
        <v>5</v>
      </c>
      <c r="VV8">
        <v>-2.4245362661989844E-14</v>
      </c>
      <c r="VW8">
        <v>176920</v>
      </c>
      <c r="VX8" t="s">
        <v>2950</v>
      </c>
    </row>
    <row r="9" spans="1:600" x14ac:dyDescent="0.25">
      <c r="BI9" t="s">
        <v>2010</v>
      </c>
      <c r="BK9">
        <v>-2.4245362661989844E-14</v>
      </c>
      <c r="BL9">
        <v>-2.4245362661989844E-14</v>
      </c>
      <c r="BM9" t="s">
        <v>1781</v>
      </c>
      <c r="BN9">
        <v>2025</v>
      </c>
      <c r="BO9" t="s">
        <v>4114</v>
      </c>
      <c r="BP9" s="6">
        <v>45784</v>
      </c>
      <c r="BQ9">
        <v>5</v>
      </c>
      <c r="BR9">
        <v>-2.4245362661989844E-14</v>
      </c>
      <c r="BS9">
        <v>69762655</v>
      </c>
      <c r="BT9" t="s">
        <v>2012</v>
      </c>
      <c r="HC9" t="s">
        <v>1995</v>
      </c>
      <c r="HE9">
        <v>-2.4245362661989844E-14</v>
      </c>
      <c r="HF9">
        <v>-2.4245362661989844E-14</v>
      </c>
      <c r="HG9" t="s">
        <v>1894</v>
      </c>
      <c r="HH9">
        <v>2025</v>
      </c>
      <c r="HI9" t="s">
        <v>2043</v>
      </c>
      <c r="HJ9" s="6">
        <v>45974</v>
      </c>
      <c r="HK9">
        <v>5</v>
      </c>
      <c r="HL9">
        <v>-2.4245362661989844E-14</v>
      </c>
      <c r="HM9">
        <v>118099</v>
      </c>
      <c r="HN9" t="s">
        <v>1998</v>
      </c>
      <c r="MW9" t="s">
        <v>2727</v>
      </c>
      <c r="MX9" t="s">
        <v>1777</v>
      </c>
      <c r="MY9">
        <v>3.7962999999999997E-2</v>
      </c>
      <c r="MZ9">
        <v>0.117649</v>
      </c>
      <c r="NA9" t="s">
        <v>1768</v>
      </c>
      <c r="NB9">
        <v>2025</v>
      </c>
      <c r="NC9" t="s">
        <v>2728</v>
      </c>
      <c r="ND9" s="6">
        <v>45917</v>
      </c>
      <c r="NE9">
        <v>5</v>
      </c>
      <c r="NF9">
        <v>1794964.29</v>
      </c>
      <c r="NG9">
        <v>112156</v>
      </c>
      <c r="NH9" t="s">
        <v>2729</v>
      </c>
      <c r="NK9" t="s">
        <v>3788</v>
      </c>
      <c r="NL9">
        <v>-2.4245362661989844E-14</v>
      </c>
      <c r="NN9">
        <v>-2.4245362661989844E-14</v>
      </c>
      <c r="NO9" t="s">
        <v>1789</v>
      </c>
      <c r="NP9">
        <v>2022</v>
      </c>
      <c r="NQ9" t="s">
        <v>3789</v>
      </c>
      <c r="NR9" s="6">
        <v>44973</v>
      </c>
      <c r="NS9">
        <v>5</v>
      </c>
      <c r="NT9">
        <v>-2.4245362661989844E-14</v>
      </c>
      <c r="NU9">
        <v>11599856</v>
      </c>
      <c r="NV9" t="s">
        <v>3790</v>
      </c>
      <c r="PE9" t="s">
        <v>925</v>
      </c>
      <c r="PG9">
        <v>-2.4245362661989844E-14</v>
      </c>
      <c r="PH9">
        <v>-2.4245362661989844E-14</v>
      </c>
      <c r="PI9" t="s">
        <v>1789</v>
      </c>
      <c r="PJ9">
        <v>2021</v>
      </c>
      <c r="PK9" t="s">
        <v>2071</v>
      </c>
      <c r="PL9" s="6">
        <v>44693</v>
      </c>
      <c r="PM9">
        <v>5</v>
      </c>
      <c r="PN9">
        <v>-2.4245362661989844E-14</v>
      </c>
      <c r="PO9">
        <v>100760</v>
      </c>
      <c r="PP9" t="s">
        <v>2072</v>
      </c>
      <c r="TU9" t="s">
        <v>4549</v>
      </c>
      <c r="TW9">
        <v>-2.4245362661989844E-14</v>
      </c>
      <c r="TX9">
        <v>-2.4245362661989844E-14</v>
      </c>
      <c r="TY9" t="s">
        <v>1789</v>
      </c>
      <c r="TZ9">
        <v>2025</v>
      </c>
      <c r="UA9" t="s">
        <v>3793</v>
      </c>
      <c r="UB9" s="6">
        <v>46006</v>
      </c>
      <c r="UC9">
        <v>5</v>
      </c>
      <c r="UD9">
        <v>-2.4245362661989844E-14</v>
      </c>
      <c r="UE9">
        <v>38166036</v>
      </c>
      <c r="UF9" t="s">
        <v>4550</v>
      </c>
      <c r="UI9" t="s">
        <v>1801</v>
      </c>
      <c r="UJ9">
        <v>-2.4245362661989844E-14</v>
      </c>
      <c r="UL9">
        <v>-2.4245362661989844E-14</v>
      </c>
      <c r="UM9" t="s">
        <v>1789</v>
      </c>
      <c r="UN9">
        <v>2025</v>
      </c>
      <c r="UO9" t="s">
        <v>3793</v>
      </c>
      <c r="UP9" s="6">
        <v>46006</v>
      </c>
      <c r="UQ9">
        <v>5</v>
      </c>
      <c r="UR9">
        <v>-2.4245362661989844E-14</v>
      </c>
      <c r="US9">
        <v>101616</v>
      </c>
      <c r="UT9" t="s">
        <v>1803</v>
      </c>
      <c r="UY9" t="s">
        <v>3726</v>
      </c>
      <c r="VA9">
        <v>-2.4245362661989844E-14</v>
      </c>
      <c r="VB9">
        <v>-2.4245362661989844E-14</v>
      </c>
      <c r="VC9" t="s">
        <v>1789</v>
      </c>
      <c r="VD9">
        <v>2025</v>
      </c>
      <c r="VE9" t="s">
        <v>2940</v>
      </c>
      <c r="VF9" s="6">
        <v>45897</v>
      </c>
      <c r="VG9">
        <v>5</v>
      </c>
      <c r="VH9">
        <v>-2.4245362661989844E-14</v>
      </c>
      <c r="VI9">
        <v>12111481</v>
      </c>
      <c r="VJ9" t="s">
        <v>3727</v>
      </c>
      <c r="VM9" t="s">
        <v>2951</v>
      </c>
      <c r="VN9">
        <v>-2.4245362661989844E-14</v>
      </c>
      <c r="VP9">
        <v>-2.4245362661989844E-14</v>
      </c>
      <c r="VQ9" t="s">
        <v>1768</v>
      </c>
      <c r="VR9">
        <v>2023</v>
      </c>
      <c r="VS9" t="s">
        <v>2952</v>
      </c>
      <c r="VT9" s="6">
        <v>45078</v>
      </c>
      <c r="VU9">
        <v>5</v>
      </c>
      <c r="VV9">
        <v>-2.4245362661989844E-14</v>
      </c>
      <c r="VW9">
        <v>25285671</v>
      </c>
      <c r="VX9" t="s">
        <v>2953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363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364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365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366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367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368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369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370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371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372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373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374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375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376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377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378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379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380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381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382</v>
      </c>
      <c r="AE2" s="3" t="s">
        <v>383</v>
      </c>
      <c r="BI2" s="3" t="s">
        <v>309</v>
      </c>
      <c r="CM2" s="3" t="s">
        <v>384</v>
      </c>
      <c r="DQ2" s="3" t="s">
        <v>385</v>
      </c>
      <c r="EU2" s="3" t="s">
        <v>386</v>
      </c>
      <c r="FY2" s="3" t="s">
        <v>387</v>
      </c>
      <c r="HC2" s="3" t="s">
        <v>388</v>
      </c>
      <c r="IG2" s="3" t="s">
        <v>389</v>
      </c>
      <c r="JK2" s="3" t="s">
        <v>390</v>
      </c>
      <c r="KO2" s="3" t="s">
        <v>391</v>
      </c>
      <c r="LS2" s="3" t="s">
        <v>392</v>
      </c>
      <c r="MW2" s="3" t="s">
        <v>393</v>
      </c>
      <c r="OA2" s="3" t="s">
        <v>394</v>
      </c>
      <c r="PE2" s="3" t="s">
        <v>395</v>
      </c>
      <c r="QI2" s="3" t="s">
        <v>396</v>
      </c>
      <c r="RM2" s="3" t="s">
        <v>22</v>
      </c>
      <c r="SQ2" s="3" t="s">
        <v>397</v>
      </c>
      <c r="TU2" s="3" t="s">
        <v>398</v>
      </c>
      <c r="UY2" s="3" t="s">
        <v>399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_xll.BDS("EPIC US Equity","SUPPLY_CHAIN_SUPPLIERS_ALL_DATA","cols=12;rows=1")</f>
        <v>ERC NA Equity</v>
      </c>
      <c r="C5">
        <v>-2.4245362661989844E-14</v>
      </c>
      <c r="D5">
        <v>-2.4245362661989844E-14</v>
      </c>
      <c r="E5" t="s">
        <v>1789</v>
      </c>
      <c r="F5">
        <v>2022</v>
      </c>
      <c r="G5" t="s">
        <v>2718</v>
      </c>
      <c r="H5" s="6">
        <v>44896</v>
      </c>
      <c r="I5">
        <v>1</v>
      </c>
      <c r="J5">
        <v>-2.4245362661989844E-14</v>
      </c>
      <c r="K5">
        <v>1404093</v>
      </c>
      <c r="L5" t="s">
        <v>2719</v>
      </c>
      <c r="O5" t="str">
        <f>_xll.BDS("EPIC US Equity","SUPPLY_CHAIN_CUSTOMERS_ALL_DATA","cols=12;rows=1")</f>
        <v>ERC NA Equity</v>
      </c>
      <c r="P5">
        <v>-2.4245362661989844E-14</v>
      </c>
      <c r="R5">
        <v>-2.4245362661989844E-14</v>
      </c>
      <c r="S5" t="s">
        <v>1789</v>
      </c>
      <c r="T5">
        <v>2022</v>
      </c>
      <c r="U5" t="s">
        <v>2718</v>
      </c>
      <c r="V5" s="6">
        <v>44896</v>
      </c>
      <c r="W5">
        <v>1</v>
      </c>
      <c r="X5">
        <v>-2.4245362661989844E-14</v>
      </c>
      <c r="Y5">
        <v>1404093</v>
      </c>
      <c r="Z5" t="s">
        <v>2719</v>
      </c>
      <c r="AE5" t="str">
        <f>_xll.BDS("PSTRQ US Equity","SUPPLY_CHAIN_SUPPLIERS_ALL_DATA")</f>
        <v>#N/A N/A</v>
      </c>
      <c r="AS5" t="str">
        <f>_xll.BDS("PSTRQ US Equity","SUPPLY_CHAIN_CUSTOMERS_ALL_DATA")</f>
        <v>#N/A N/A</v>
      </c>
      <c r="BI5" t="str">
        <f>_xll.BDS("CY US Equity","SUPPLY_CHAIN_SUPPLIERS_ALL_DATA")</f>
        <v>#N/A N/A</v>
      </c>
      <c r="BW5" t="str">
        <f>_xll.BDS("CY US Equity","SUPPLY_CHAIN_CUSTOMERS_ALL_DATA")</f>
        <v>#N/A N/A</v>
      </c>
      <c r="CM5" t="str">
        <f>_xll.BDS("WM US Equity","SUPPLY_CHAIN_SUPPLIERS_ALL_DATA","cols=12;rows=5")</f>
        <v>CNR CN Equity</v>
      </c>
      <c r="CN5" t="s">
        <v>1777</v>
      </c>
      <c r="CO5">
        <v>0.30433300000000002</v>
      </c>
      <c r="CP5">
        <v>0.25606899999999999</v>
      </c>
      <c r="CQ5" t="s">
        <v>1781</v>
      </c>
      <c r="CR5">
        <v>2025</v>
      </c>
      <c r="CS5" t="s">
        <v>2267</v>
      </c>
      <c r="CT5" s="6">
        <v>45849</v>
      </c>
      <c r="CU5">
        <v>5</v>
      </c>
      <c r="CV5">
        <v>9338736.1799999997</v>
      </c>
      <c r="CW5">
        <v>179551</v>
      </c>
      <c r="CX5" t="s">
        <v>2268</v>
      </c>
      <c r="DA5" t="str">
        <f>_xll.BDS("WM US Equity","SUPPLY_CHAIN_CUSTOMERS_ALL_DATA","cols=12;rows=1")</f>
        <v>FLCM US Equity</v>
      </c>
      <c r="DB5">
        <v>-2.4245362661989844E-14</v>
      </c>
      <c r="DD5">
        <v>-2.4245362661989844E-14</v>
      </c>
      <c r="DE5" t="s">
        <v>1768</v>
      </c>
      <c r="DF5">
        <v>2024</v>
      </c>
      <c r="DG5" t="s">
        <v>2981</v>
      </c>
      <c r="DH5" s="6">
        <v>45546</v>
      </c>
      <c r="DI5">
        <v>1</v>
      </c>
      <c r="DJ5">
        <v>-2.4245362661989844E-14</v>
      </c>
      <c r="DK5">
        <v>27386014</v>
      </c>
      <c r="DL5" t="s">
        <v>2982</v>
      </c>
      <c r="DQ5" t="str">
        <f>_xll.BDS("FRME US Equity","SUPPLY_CHAIN_SUPPLIERS_ALL_DATA")</f>
        <v>#N/A N/A</v>
      </c>
      <c r="EE5" t="str">
        <f>_xll.BDS("FRME US Equity","SUPPLY_CHAIN_CUSTOMERS_ALL_DATA")</f>
        <v>#N/A N/A</v>
      </c>
      <c r="EU5" t="str">
        <f>_xll.BDS("DZSIQ US Equity","SUPPLY_CHAIN_SUPPLIERS_ALL_DATA","cols=12;rows=5")</f>
        <v>039560 KS Equity</v>
      </c>
      <c r="EV5" t="s">
        <v>1777</v>
      </c>
      <c r="EW5">
        <v>0.84370599999999996</v>
      </c>
      <c r="EX5">
        <v>2.8077869999999998</v>
      </c>
      <c r="EY5" t="s">
        <v>1894</v>
      </c>
      <c r="EZ5">
        <v>2025</v>
      </c>
      <c r="FA5" t="s">
        <v>4378</v>
      </c>
      <c r="FB5" s="6">
        <v>45975</v>
      </c>
      <c r="FC5">
        <v>5</v>
      </c>
      <c r="FD5">
        <v>767499.84</v>
      </c>
      <c r="FE5">
        <v>1456359</v>
      </c>
      <c r="FF5" t="s">
        <v>3194</v>
      </c>
      <c r="FI5" t="str">
        <f>_xll.BDS("DZSIQ US Equity","SUPPLY_CHAIN_CUSTOMERS_ALL_DATA","cols=12;rows=5")</f>
        <v>039560 KS Equity</v>
      </c>
      <c r="FJ5">
        <v>0.80566400000000005</v>
      </c>
      <c r="FK5" t="s">
        <v>1777</v>
      </c>
      <c r="FL5">
        <v>0.60804100000000005</v>
      </c>
      <c r="FM5" t="s">
        <v>1789</v>
      </c>
      <c r="FN5">
        <v>2024</v>
      </c>
      <c r="FO5" t="s">
        <v>3193</v>
      </c>
      <c r="FP5" s="6">
        <v>45737</v>
      </c>
      <c r="FQ5">
        <v>5</v>
      </c>
      <c r="FR5">
        <v>279685.98</v>
      </c>
      <c r="FS5">
        <v>1456359</v>
      </c>
      <c r="FT5" t="s">
        <v>3194</v>
      </c>
      <c r="FY5" t="str">
        <f>_xll.BDS("AXE US Equity","SUPPLY_CHAIN_SUPPLIERS_ALL_DATA")</f>
        <v>#N/A N/A</v>
      </c>
      <c r="GM5" t="str">
        <f>_xll.BDS("AXE US Equity","SUPPLY_CHAIN_CUSTOMERS_ALL_DATA")</f>
        <v>#N/A N/A</v>
      </c>
      <c r="HC5" t="str">
        <f>_xll.BDS("TCF US Equity","SUPPLY_CHAIN_SUPPLIERS_ALL_DATA")</f>
        <v>#N/A N/A</v>
      </c>
      <c r="HQ5" t="str">
        <f>_xll.BDS("TCF US Equity","SUPPLY_CHAIN_CUSTOMERS_ALL_DATA")</f>
        <v>#N/A N/A</v>
      </c>
      <c r="IG5" t="str">
        <f>_xll.BDS("MSI US Equity","SUPPLY_CHAIN_SUPPLIERS_ALL_DATA","cols=12;rows=5")</f>
        <v>SANM US Equity</v>
      </c>
      <c r="IH5" t="s">
        <v>1777</v>
      </c>
      <c r="II5">
        <v>11.295623000000001</v>
      </c>
      <c r="IJ5">
        <v>18.250340999999999</v>
      </c>
      <c r="IK5" t="s">
        <v>1768</v>
      </c>
      <c r="IL5">
        <v>2025</v>
      </c>
      <c r="IM5" t="s">
        <v>2741</v>
      </c>
      <c r="IN5" s="6">
        <v>45791</v>
      </c>
      <c r="IO5">
        <v>5</v>
      </c>
      <c r="IP5">
        <v>224114192</v>
      </c>
      <c r="IQ5">
        <v>116988</v>
      </c>
      <c r="IR5" t="s">
        <v>2742</v>
      </c>
      <c r="IU5" t="str">
        <f>_xll.BDS("MSI US Equity","SUPPLY_CHAIN_CUSTOMERS_ALL_DATA","cols=12;rows=5")</f>
        <v>3352Z US Equity</v>
      </c>
      <c r="IV5">
        <v>8</v>
      </c>
      <c r="IX5">
        <v>-2.4245362661989844E-14</v>
      </c>
      <c r="IY5" t="s">
        <v>1789</v>
      </c>
      <c r="IZ5">
        <v>2025</v>
      </c>
      <c r="JA5" t="s">
        <v>3451</v>
      </c>
      <c r="JB5" s="6">
        <v>46065</v>
      </c>
      <c r="JC5">
        <v>5</v>
      </c>
      <c r="JD5">
        <v>233640000</v>
      </c>
      <c r="JE5">
        <v>218252</v>
      </c>
      <c r="JF5" t="s">
        <v>1798</v>
      </c>
      <c r="JK5" t="str">
        <f>_xll.BDS("CHZ US Equity","SUPPLY_CHAIN_SUPPLIERS_ALL_DATA")</f>
        <v>#N/A N/A</v>
      </c>
      <c r="JY5" t="str">
        <f>_xll.BDS("CHZ US Equity","SUPPLY_CHAIN_CUSTOMERS_ALL_DATA")</f>
        <v>#N/A N/A</v>
      </c>
      <c r="KO5" t="str">
        <f>_xll.BDS("ECPN US Equity","SUPPLY_CHAIN_SUPPLIERS_ALL_DATA")</f>
        <v>#N/A N/A</v>
      </c>
      <c r="LC5" t="str">
        <f>_xll.BDS("ECPN US Equity","SUPPLY_CHAIN_CUSTOMERS_ALL_DATA")</f>
        <v>#N/A N/A</v>
      </c>
      <c r="LS5" t="str">
        <f>_xll.BDS("NCF US Equity","SUPPLY_CHAIN_SUPPLIERS_ALL_DATA")</f>
        <v>#N/A N/A</v>
      </c>
      <c r="MG5" t="str">
        <f>_xll.BDS("NCF US Equity","SUPPLY_CHAIN_CUSTOMERS_ALL_DATA")</f>
        <v>#N/A N/A</v>
      </c>
      <c r="MW5" t="str">
        <f>_xll.BDS("CHDN US Equity","SUPPLY_CHAIN_SUPPLIERS_ALL_DATA","cols=12;rows=5")</f>
        <v>4952088Z US Equity</v>
      </c>
      <c r="MY5">
        <v>-2.4245362661989844E-14</v>
      </c>
      <c r="MZ5">
        <v>-2.4245362661989844E-14</v>
      </c>
      <c r="NA5" t="s">
        <v>1789</v>
      </c>
      <c r="NB5">
        <v>2023</v>
      </c>
      <c r="NC5" t="s">
        <v>4097</v>
      </c>
      <c r="ND5" s="6">
        <v>45294</v>
      </c>
      <c r="NE5">
        <v>5</v>
      </c>
      <c r="NF5">
        <v>-2.4245362661989844E-14</v>
      </c>
      <c r="NG5">
        <v>21496677</v>
      </c>
      <c r="NH5" t="s">
        <v>4098</v>
      </c>
      <c r="NK5" t="str">
        <f>_xll.BDS("CHDN US Equity","SUPPLY_CHAIN_CUSTOMERS_ALL_DATA","cols=12;rows=5")</f>
        <v>0516372D US Equity</v>
      </c>
      <c r="NL5">
        <v>-2.4245362661989844E-14</v>
      </c>
      <c r="NN5">
        <v>-2.4245362661989844E-14</v>
      </c>
      <c r="NO5" t="s">
        <v>1789</v>
      </c>
      <c r="NP5">
        <v>2022</v>
      </c>
      <c r="NQ5" t="s">
        <v>3895</v>
      </c>
      <c r="NR5" s="6">
        <v>44991</v>
      </c>
      <c r="NS5">
        <v>5</v>
      </c>
      <c r="NT5">
        <v>-2.4245362661989844E-14</v>
      </c>
      <c r="NU5">
        <v>19878364</v>
      </c>
      <c r="NV5" t="s">
        <v>3896</v>
      </c>
      <c r="OA5" t="str">
        <f>_xll.BDS("WFC US Equity","SUPPLY_CHAIN_SUPPLIERS_ALL_DATA","cols=12;rows=5")</f>
        <v>ADBE US Equity</v>
      </c>
      <c r="OB5" t="s">
        <v>1808</v>
      </c>
      <c r="OC5">
        <v>0.357321</v>
      </c>
      <c r="OD5">
        <v>0.15107200000000001</v>
      </c>
      <c r="OE5" t="s">
        <v>1768</v>
      </c>
      <c r="OF5">
        <v>2025</v>
      </c>
      <c r="OG5" t="s">
        <v>2359</v>
      </c>
      <c r="OH5" s="6">
        <v>45838</v>
      </c>
      <c r="OI5">
        <v>5</v>
      </c>
      <c r="OJ5">
        <v>20985462</v>
      </c>
      <c r="OK5">
        <v>101689</v>
      </c>
      <c r="OL5" t="s">
        <v>2360</v>
      </c>
      <c r="OO5" t="str">
        <f>_xll.BDS("WFC US Equity","SUPPLY_CHAIN_CUSTOMERS_ALL_DATA","cols=12;rows=5")</f>
        <v>CDW US Equity</v>
      </c>
      <c r="OP5">
        <v>4.1894000000000001E-2</v>
      </c>
      <c r="OQ5" t="s">
        <v>1777</v>
      </c>
      <c r="OR5">
        <v>0.304456</v>
      </c>
      <c r="OS5" t="s">
        <v>1781</v>
      </c>
      <c r="OT5">
        <v>2025</v>
      </c>
      <c r="OU5" t="s">
        <v>1865</v>
      </c>
      <c r="OV5" s="6">
        <v>45820</v>
      </c>
      <c r="OW5">
        <v>5</v>
      </c>
      <c r="OX5">
        <v>12412062</v>
      </c>
      <c r="OY5">
        <v>12129192</v>
      </c>
      <c r="OZ5" t="s">
        <v>1866</v>
      </c>
      <c r="PE5" t="str">
        <f>_xll.BDS("WLDN US Equity","SUPPLY_CHAIN_SUPPLIERS_ALL_DATA")</f>
        <v>#N/A N/A</v>
      </c>
      <c r="PS5" t="str">
        <f>_xll.BDS("WLDN US Equity","SUPPLY_CHAIN_CUSTOMERS_ALL_DATA","cols=12;rows=5")</f>
        <v>0835396D US Equity</v>
      </c>
      <c r="PT5">
        <v>-2.4245362661989844E-14</v>
      </c>
      <c r="PV5">
        <v>-2.4245362661989844E-14</v>
      </c>
      <c r="PW5" t="s">
        <v>1789</v>
      </c>
      <c r="PX5">
        <v>2023</v>
      </c>
      <c r="PY5" t="s">
        <v>3477</v>
      </c>
      <c r="PZ5" s="6">
        <v>45301</v>
      </c>
      <c r="QA5">
        <v>5</v>
      </c>
      <c r="QB5">
        <v>-2.4245362661989844E-14</v>
      </c>
      <c r="QC5">
        <v>20644620</v>
      </c>
      <c r="QD5" t="s">
        <v>3478</v>
      </c>
      <c r="QI5" t="str">
        <f>_xll.BDS("SAFE US Equity","SUPPLY_CHAIN_SUPPLIERS_ALL_DATA")</f>
        <v>#N/A N/A</v>
      </c>
      <c r="QW5" t="str">
        <f>_xll.BDS("SAFE US Equity","SUPPLY_CHAIN_CUSTOMERS_ALL_DATA")</f>
        <v>#N/A N/A</v>
      </c>
      <c r="RM5" t="str">
        <f>_xll.BDS("nan Equity","SUPPLY_CHAIN_SUPPLIERS_ALL_DATA")</f>
        <v>#N/A N/A</v>
      </c>
      <c r="SA5" t="str">
        <f>_xll.BDS("nan Equity","SUPPLY_CHAIN_CUSTOMERS_ALL_DATA")</f>
        <v>#N/A N/A</v>
      </c>
      <c r="SQ5" t="str">
        <f>_xll.BDS("DE US Equity","SUPPLY_CHAIN_SUPPLIERS_ALL_DATA","cols=12;rows=5")</f>
        <v>NVDA US Equity</v>
      </c>
      <c r="SR5" t="s">
        <v>1777</v>
      </c>
      <c r="SS5">
        <v>9.3103000000000005E-2</v>
      </c>
      <c r="ST5">
        <v>1.0100039999999999</v>
      </c>
      <c r="SU5" t="s">
        <v>1785</v>
      </c>
      <c r="SV5">
        <v>2026</v>
      </c>
      <c r="SW5" t="s">
        <v>2127</v>
      </c>
      <c r="SX5" s="6">
        <v>46087</v>
      </c>
      <c r="SY5">
        <v>5</v>
      </c>
      <c r="SZ5">
        <v>63428280</v>
      </c>
      <c r="TA5">
        <v>313657</v>
      </c>
      <c r="TB5" t="s">
        <v>2128</v>
      </c>
      <c r="TE5" t="str">
        <f>_xll.BDS("DE US Equity","SUPPLY_CHAIN_CUSTOMERS_ALL_DATA","cols=12;rows=5")</f>
        <v>LOW US Equity</v>
      </c>
      <c r="TF5">
        <v>4.4525009999999998</v>
      </c>
      <c r="TG5" t="s">
        <v>1777</v>
      </c>
      <c r="TH5">
        <v>3.3743319999999999</v>
      </c>
      <c r="TI5" t="s">
        <v>1768</v>
      </c>
      <c r="TJ5">
        <v>2026</v>
      </c>
      <c r="TK5" t="s">
        <v>1873</v>
      </c>
      <c r="TL5" s="6">
        <v>45940</v>
      </c>
      <c r="TM5">
        <v>5</v>
      </c>
      <c r="TN5">
        <v>535101568</v>
      </c>
      <c r="TO5">
        <v>100916</v>
      </c>
      <c r="TP5" t="s">
        <v>1874</v>
      </c>
      <c r="TU5" t="str">
        <f>_xll.BDS("TMAV US Equity","SUPPLY_CHAIN_SUPPLIERS_ALL_DATA")</f>
        <v>#N/A N/A</v>
      </c>
      <c r="UI5" t="str">
        <f>_xll.BDS("TMAV US Equity","SUPPLY_CHAIN_CUSTOMERS_ALL_DATA")</f>
        <v>#N/A N/A</v>
      </c>
      <c r="UY5" t="str">
        <f>_xll.BDS("PARR US Equity","SUPPLY_CHAIN_SUPPLIERS_ALL_DATA","cols=12;rows=3")</f>
        <v>CNR CN Equity</v>
      </c>
      <c r="UZ5" t="s">
        <v>1777</v>
      </c>
      <c r="VA5">
        <v>0.14164299999999999</v>
      </c>
      <c r="VB5">
        <v>0.27873500000000001</v>
      </c>
      <c r="VC5" t="s">
        <v>1781</v>
      </c>
      <c r="VD5">
        <v>2025</v>
      </c>
      <c r="VE5" t="s">
        <v>2267</v>
      </c>
      <c r="VF5" s="6">
        <v>45849</v>
      </c>
      <c r="VG5">
        <v>3</v>
      </c>
      <c r="VH5">
        <v>4346444.67</v>
      </c>
      <c r="VI5">
        <v>179551</v>
      </c>
      <c r="VJ5" t="s">
        <v>2268</v>
      </c>
      <c r="VM5" t="str">
        <f>_xll.BDS("PARR US Equity","SUPPLY_CHAIN_CUSTOMERS_ALL_DATA","cols=12;rows=1")</f>
        <v>HE US Equity</v>
      </c>
      <c r="VN5">
        <v>-2.4245362661989844E-14</v>
      </c>
      <c r="VP5">
        <v>-2.4245362661989844E-14</v>
      </c>
      <c r="VQ5" t="s">
        <v>1789</v>
      </c>
      <c r="VR5">
        <v>2024</v>
      </c>
      <c r="VS5" t="s">
        <v>4344</v>
      </c>
      <c r="VT5" s="6">
        <v>45712</v>
      </c>
      <c r="VU5">
        <v>1</v>
      </c>
      <c r="VV5">
        <v>-2.4245362661989844E-14</v>
      </c>
      <c r="VW5">
        <v>100715</v>
      </c>
      <c r="VX5" t="s">
        <v>4345</v>
      </c>
    </row>
    <row r="6" spans="1:600" x14ac:dyDescent="0.25">
      <c r="CM6" t="s">
        <v>2094</v>
      </c>
      <c r="CN6" t="s">
        <v>1777</v>
      </c>
      <c r="CO6">
        <v>5.7038999999999999E-2</v>
      </c>
      <c r="CP6">
        <v>0.248723</v>
      </c>
      <c r="CQ6" t="s">
        <v>1785</v>
      </c>
      <c r="CR6">
        <v>2025</v>
      </c>
      <c r="CS6" t="s">
        <v>2095</v>
      </c>
      <c r="CT6" s="6">
        <v>45848</v>
      </c>
      <c r="CU6">
        <v>5</v>
      </c>
      <c r="CV6">
        <v>9070912</v>
      </c>
      <c r="CW6">
        <v>101752</v>
      </c>
      <c r="CX6" t="s">
        <v>2096</v>
      </c>
      <c r="EU6" t="s">
        <v>4379</v>
      </c>
      <c r="EW6">
        <v>-2.4245362661989844E-14</v>
      </c>
      <c r="EX6">
        <v>-2.4245362661989844E-14</v>
      </c>
      <c r="EY6" t="s">
        <v>1789</v>
      </c>
      <c r="EZ6">
        <v>2024</v>
      </c>
      <c r="FA6" t="s">
        <v>4380</v>
      </c>
      <c r="FB6" s="6">
        <v>45737</v>
      </c>
      <c r="FC6">
        <v>5</v>
      </c>
      <c r="FD6">
        <v>-2.4245362661989844E-14</v>
      </c>
      <c r="FE6">
        <v>24700329</v>
      </c>
      <c r="FF6" t="s">
        <v>4381</v>
      </c>
      <c r="FI6" t="s">
        <v>2971</v>
      </c>
      <c r="FJ6">
        <v>1.093E-2</v>
      </c>
      <c r="FK6" t="s">
        <v>1777</v>
      </c>
      <c r="FL6">
        <v>7.3099999999999999E-4</v>
      </c>
      <c r="FM6" t="s">
        <v>1773</v>
      </c>
      <c r="FN6">
        <v>2025</v>
      </c>
      <c r="FO6" t="s">
        <v>2972</v>
      </c>
      <c r="FP6" s="6">
        <v>46034</v>
      </c>
      <c r="FQ6">
        <v>5</v>
      </c>
      <c r="FR6">
        <v>4170</v>
      </c>
      <c r="FS6">
        <v>313021</v>
      </c>
      <c r="FT6" t="s">
        <v>2973</v>
      </c>
      <c r="IG6" t="s">
        <v>2135</v>
      </c>
      <c r="IH6" t="s">
        <v>1777</v>
      </c>
      <c r="II6">
        <v>0.46781499999999998</v>
      </c>
      <c r="IJ6">
        <v>2.0978080000000001</v>
      </c>
      <c r="IK6" t="s">
        <v>1773</v>
      </c>
      <c r="IL6">
        <v>2025</v>
      </c>
      <c r="IM6" t="s">
        <v>2136</v>
      </c>
      <c r="IN6" s="6">
        <v>45763</v>
      </c>
      <c r="IO6">
        <v>5</v>
      </c>
      <c r="IP6">
        <v>30669952</v>
      </c>
      <c r="IQ6">
        <v>136547</v>
      </c>
      <c r="IR6" t="s">
        <v>2137</v>
      </c>
      <c r="IU6" t="s">
        <v>1902</v>
      </c>
      <c r="IV6">
        <v>2.7820800000000001</v>
      </c>
      <c r="IW6" t="s">
        <v>1777</v>
      </c>
      <c r="IX6">
        <v>0.51724400000000004</v>
      </c>
      <c r="IY6" t="s">
        <v>1785</v>
      </c>
      <c r="IZ6">
        <v>2025</v>
      </c>
      <c r="JA6" t="s">
        <v>1903</v>
      </c>
      <c r="JB6" s="6">
        <v>46056</v>
      </c>
      <c r="JC6">
        <v>5</v>
      </c>
      <c r="JD6">
        <v>83712784</v>
      </c>
      <c r="JE6">
        <v>1499717</v>
      </c>
      <c r="JF6" t="s">
        <v>1904</v>
      </c>
      <c r="MW6" t="s">
        <v>4099</v>
      </c>
      <c r="MY6">
        <v>-2.4245362661989844E-14</v>
      </c>
      <c r="MZ6">
        <v>-2.4245362661989844E-14</v>
      </c>
      <c r="NA6" t="s">
        <v>1781</v>
      </c>
      <c r="NB6">
        <v>2024</v>
      </c>
      <c r="NC6" t="s">
        <v>1921</v>
      </c>
      <c r="ND6" s="6">
        <v>45460</v>
      </c>
      <c r="NE6">
        <v>5</v>
      </c>
      <c r="NF6">
        <v>-2.4245362661989844E-14</v>
      </c>
      <c r="NG6">
        <v>18199317</v>
      </c>
      <c r="NH6" t="s">
        <v>4100</v>
      </c>
      <c r="NK6" t="s">
        <v>3897</v>
      </c>
      <c r="NL6">
        <v>-2.4245362661989844E-14</v>
      </c>
      <c r="NN6">
        <v>-2.4245362661989844E-14</v>
      </c>
      <c r="NO6" t="s">
        <v>1789</v>
      </c>
      <c r="NP6">
        <v>2022</v>
      </c>
      <c r="NQ6" t="s">
        <v>3895</v>
      </c>
      <c r="NR6" s="6">
        <v>44991</v>
      </c>
      <c r="NS6">
        <v>5</v>
      </c>
      <c r="NT6">
        <v>-2.4245362661989844E-14</v>
      </c>
      <c r="NU6">
        <v>11769440</v>
      </c>
      <c r="NV6" t="s">
        <v>3898</v>
      </c>
      <c r="OA6" t="s">
        <v>2493</v>
      </c>
      <c r="OB6" t="s">
        <v>1808</v>
      </c>
      <c r="OC6">
        <v>5.2993949999999996</v>
      </c>
      <c r="OD6">
        <v>7.1481000000000003E-2</v>
      </c>
      <c r="OE6" t="s">
        <v>1781</v>
      </c>
      <c r="OF6">
        <v>2026</v>
      </c>
      <c r="OG6" t="s">
        <v>3630</v>
      </c>
      <c r="OH6" s="6">
        <v>45898</v>
      </c>
      <c r="OI6">
        <v>5</v>
      </c>
      <c r="OJ6">
        <v>9563900.9100000001</v>
      </c>
      <c r="OK6">
        <v>178651</v>
      </c>
      <c r="OL6" t="s">
        <v>2495</v>
      </c>
      <c r="OO6" t="s">
        <v>3334</v>
      </c>
      <c r="OP6">
        <v>-2.4245362661989844E-14</v>
      </c>
      <c r="OR6">
        <v>-2.4245362661989844E-14</v>
      </c>
      <c r="OS6" t="s">
        <v>1789</v>
      </c>
      <c r="OT6">
        <v>2024</v>
      </c>
      <c r="OU6" t="s">
        <v>3335</v>
      </c>
      <c r="OV6" s="6">
        <v>45756</v>
      </c>
      <c r="OW6">
        <v>5</v>
      </c>
      <c r="OX6">
        <v>-2.4245362661989844E-14</v>
      </c>
      <c r="OY6">
        <v>23063237</v>
      </c>
      <c r="OZ6" t="s">
        <v>3336</v>
      </c>
      <c r="PS6" t="s">
        <v>3479</v>
      </c>
      <c r="PT6">
        <v>-2.4245362661989844E-14</v>
      </c>
      <c r="PV6">
        <v>-2.4245362661989844E-14</v>
      </c>
      <c r="PW6" t="s">
        <v>1789</v>
      </c>
      <c r="PX6">
        <v>2025</v>
      </c>
      <c r="PY6" t="s">
        <v>3477</v>
      </c>
      <c r="PZ6" s="6">
        <v>45839</v>
      </c>
      <c r="QA6">
        <v>5</v>
      </c>
      <c r="QB6">
        <v>-2.4245362661989844E-14</v>
      </c>
      <c r="QC6">
        <v>356086</v>
      </c>
      <c r="QD6" t="s">
        <v>3480</v>
      </c>
      <c r="SQ6" t="s">
        <v>4660</v>
      </c>
      <c r="SR6" t="s">
        <v>1777</v>
      </c>
      <c r="SS6">
        <v>2.5680269999999998</v>
      </c>
      <c r="ST6">
        <v>1.1991259999999999</v>
      </c>
      <c r="SU6" t="s">
        <v>1781</v>
      </c>
      <c r="SV6">
        <v>2025</v>
      </c>
      <c r="SW6" t="s">
        <v>4661</v>
      </c>
      <c r="SX6" s="6">
        <v>45777</v>
      </c>
      <c r="SY6">
        <v>5</v>
      </c>
      <c r="SZ6">
        <v>60400000</v>
      </c>
      <c r="TA6">
        <v>13954993</v>
      </c>
      <c r="TB6" t="s">
        <v>4662</v>
      </c>
      <c r="TE6" t="s">
        <v>4573</v>
      </c>
      <c r="TF6">
        <v>0.78303699999999998</v>
      </c>
      <c r="TG6" t="s">
        <v>1777</v>
      </c>
      <c r="TH6">
        <v>3.9047879999999999</v>
      </c>
      <c r="TI6" t="s">
        <v>1773</v>
      </c>
      <c r="TJ6">
        <v>2025</v>
      </c>
      <c r="TK6" t="s">
        <v>2904</v>
      </c>
      <c r="TL6" s="6">
        <v>45904</v>
      </c>
      <c r="TM6">
        <v>5</v>
      </c>
      <c r="TN6">
        <v>94105384</v>
      </c>
      <c r="TO6">
        <v>302887</v>
      </c>
      <c r="TP6" t="s">
        <v>4574</v>
      </c>
      <c r="UY6" t="s">
        <v>4255</v>
      </c>
      <c r="VA6">
        <v>-2.4245362661989844E-14</v>
      </c>
      <c r="VB6">
        <v>-2.4245362661989844E-14</v>
      </c>
      <c r="VC6" t="s">
        <v>1789</v>
      </c>
      <c r="VD6">
        <v>2023</v>
      </c>
      <c r="VE6" t="s">
        <v>4256</v>
      </c>
      <c r="VF6" s="6">
        <v>45343</v>
      </c>
      <c r="VG6">
        <v>3</v>
      </c>
      <c r="VH6">
        <v>-2.4245362661989844E-14</v>
      </c>
      <c r="VI6">
        <v>56648823</v>
      </c>
      <c r="VJ6" t="s">
        <v>4257</v>
      </c>
    </row>
    <row r="7" spans="1:600" x14ac:dyDescent="0.25">
      <c r="CM7" t="s">
        <v>3978</v>
      </c>
      <c r="CN7" t="s">
        <v>1906</v>
      </c>
      <c r="CO7">
        <v>0.52299499999999999</v>
      </c>
      <c r="CP7">
        <v>1.0624229999999999</v>
      </c>
      <c r="CQ7" t="s">
        <v>1768</v>
      </c>
      <c r="CR7">
        <v>2025</v>
      </c>
      <c r="CS7" t="s">
        <v>3979</v>
      </c>
      <c r="CT7" s="6">
        <v>45912</v>
      </c>
      <c r="CU7">
        <v>5</v>
      </c>
      <c r="CV7">
        <v>7776936</v>
      </c>
      <c r="CW7">
        <v>101455</v>
      </c>
      <c r="CX7" t="s">
        <v>3980</v>
      </c>
      <c r="EU7" t="s">
        <v>4382</v>
      </c>
      <c r="EW7">
        <v>-2.4245362661989844E-14</v>
      </c>
      <c r="EX7">
        <v>-2.4245362661989844E-14</v>
      </c>
      <c r="EY7" t="s">
        <v>1996</v>
      </c>
      <c r="EZ7">
        <v>2025</v>
      </c>
      <c r="FA7" t="s">
        <v>4383</v>
      </c>
      <c r="FB7" s="6">
        <v>45882</v>
      </c>
      <c r="FC7">
        <v>5</v>
      </c>
      <c r="FD7">
        <v>-2.4245362661989844E-14</v>
      </c>
      <c r="FE7">
        <v>44830823</v>
      </c>
      <c r="FF7" t="s">
        <v>4384</v>
      </c>
      <c r="FI7" t="s">
        <v>3195</v>
      </c>
      <c r="FJ7">
        <v>-2.4245362661989844E-14</v>
      </c>
      <c r="FL7">
        <v>-2.4245362661989844E-14</v>
      </c>
      <c r="FM7" t="s">
        <v>1789</v>
      </c>
      <c r="FN7">
        <v>2024</v>
      </c>
      <c r="FO7" t="s">
        <v>3196</v>
      </c>
      <c r="FP7" s="6">
        <v>45376</v>
      </c>
      <c r="FQ7">
        <v>5</v>
      </c>
      <c r="FR7">
        <v>-2.4245362661989844E-14</v>
      </c>
      <c r="FS7">
        <v>20056696</v>
      </c>
      <c r="FT7" t="s">
        <v>3197</v>
      </c>
      <c r="IG7" t="s">
        <v>2743</v>
      </c>
      <c r="IH7" t="s">
        <v>1777</v>
      </c>
      <c r="II7">
        <v>0.39923900000000001</v>
      </c>
      <c r="IJ7">
        <v>1.515544</v>
      </c>
      <c r="IK7" t="s">
        <v>1781</v>
      </c>
      <c r="IL7">
        <v>2025</v>
      </c>
      <c r="IM7" t="s">
        <v>2744</v>
      </c>
      <c r="IN7" s="6">
        <v>45866</v>
      </c>
      <c r="IO7">
        <v>5</v>
      </c>
      <c r="IP7">
        <v>18607183.170000002</v>
      </c>
      <c r="IQ7">
        <v>7359591</v>
      </c>
      <c r="IR7" t="s">
        <v>2745</v>
      </c>
      <c r="IU7" t="s">
        <v>1548</v>
      </c>
      <c r="IV7">
        <v>0.49351600000000001</v>
      </c>
      <c r="IW7" t="s">
        <v>1777</v>
      </c>
      <c r="IX7">
        <v>0.16125400000000001</v>
      </c>
      <c r="IY7" t="s">
        <v>1768</v>
      </c>
      <c r="IZ7">
        <v>2026</v>
      </c>
      <c r="JA7" t="s">
        <v>1961</v>
      </c>
      <c r="JB7" s="6">
        <v>45932</v>
      </c>
      <c r="JC7">
        <v>5</v>
      </c>
      <c r="JD7">
        <v>13645717</v>
      </c>
      <c r="JE7">
        <v>100197</v>
      </c>
      <c r="JF7" t="s">
        <v>3427</v>
      </c>
      <c r="MW7" t="s">
        <v>4101</v>
      </c>
      <c r="MY7">
        <v>-2.4245362661989844E-14</v>
      </c>
      <c r="MZ7">
        <v>-2.4245362661989844E-14</v>
      </c>
      <c r="NA7" t="s">
        <v>1781</v>
      </c>
      <c r="NB7">
        <v>2024</v>
      </c>
      <c r="NC7" t="s">
        <v>1921</v>
      </c>
      <c r="ND7" s="6">
        <v>45460</v>
      </c>
      <c r="NE7">
        <v>5</v>
      </c>
      <c r="NF7">
        <v>-2.4245362661989844E-14</v>
      </c>
      <c r="NG7">
        <v>114013</v>
      </c>
      <c r="NH7" t="s">
        <v>4102</v>
      </c>
      <c r="NK7" t="s">
        <v>3899</v>
      </c>
      <c r="NL7">
        <v>-2.4245362661989844E-14</v>
      </c>
      <c r="NN7">
        <v>-2.4245362661989844E-14</v>
      </c>
      <c r="NO7" t="s">
        <v>1789</v>
      </c>
      <c r="NP7">
        <v>2022</v>
      </c>
      <c r="NQ7" t="s">
        <v>3900</v>
      </c>
      <c r="NR7" s="6">
        <v>44916</v>
      </c>
      <c r="NS7">
        <v>5</v>
      </c>
      <c r="NT7">
        <v>-2.4245362661989844E-14</v>
      </c>
      <c r="NU7">
        <v>67147661</v>
      </c>
      <c r="NV7" t="s">
        <v>3901</v>
      </c>
      <c r="OA7" t="s">
        <v>3631</v>
      </c>
      <c r="OB7" t="s">
        <v>1808</v>
      </c>
      <c r="OC7">
        <v>0.56072500000000003</v>
      </c>
      <c r="OD7">
        <v>1.5883999999999999E-2</v>
      </c>
      <c r="OE7" t="s">
        <v>1789</v>
      </c>
      <c r="OF7">
        <v>2025</v>
      </c>
      <c r="OG7" t="s">
        <v>3632</v>
      </c>
      <c r="OH7" s="6">
        <v>46066</v>
      </c>
      <c r="OI7">
        <v>5</v>
      </c>
      <c r="OJ7">
        <v>2177750</v>
      </c>
      <c r="OK7">
        <v>126273</v>
      </c>
      <c r="OL7" t="s">
        <v>3633</v>
      </c>
      <c r="OO7" t="s">
        <v>2971</v>
      </c>
      <c r="OP7">
        <v>-2.4245362661989844E-14</v>
      </c>
      <c r="OR7">
        <v>-2.4245362661989844E-14</v>
      </c>
      <c r="OS7" t="s">
        <v>1781</v>
      </c>
      <c r="OT7">
        <v>2025</v>
      </c>
      <c r="OU7" t="s">
        <v>3174</v>
      </c>
      <c r="OV7" s="6">
        <v>45799</v>
      </c>
      <c r="OW7">
        <v>5</v>
      </c>
      <c r="OX7">
        <v>-2.4245362661989844E-14</v>
      </c>
      <c r="OY7">
        <v>313021</v>
      </c>
      <c r="OZ7" t="s">
        <v>2973</v>
      </c>
      <c r="PS7" t="s">
        <v>3481</v>
      </c>
      <c r="PT7">
        <v>-2.4245362661989844E-14</v>
      </c>
      <c r="PV7">
        <v>-2.4245362661989844E-14</v>
      </c>
      <c r="PW7" t="s">
        <v>1789</v>
      </c>
      <c r="PX7">
        <v>2024</v>
      </c>
      <c r="PY7" t="s">
        <v>3477</v>
      </c>
      <c r="PZ7" s="6">
        <v>45617</v>
      </c>
      <c r="QA7">
        <v>5</v>
      </c>
      <c r="QB7">
        <v>-2.4245362661989844E-14</v>
      </c>
      <c r="QC7">
        <v>1021087</v>
      </c>
      <c r="QD7" t="s">
        <v>3482</v>
      </c>
      <c r="SQ7" t="s">
        <v>4575</v>
      </c>
      <c r="SR7" t="s">
        <v>1777</v>
      </c>
      <c r="SS7">
        <v>2.3823439999999998</v>
      </c>
      <c r="ST7">
        <v>0.72855099999999995</v>
      </c>
      <c r="SU7" t="s">
        <v>1773</v>
      </c>
      <c r="SV7">
        <v>2025</v>
      </c>
      <c r="SW7" t="s">
        <v>2904</v>
      </c>
      <c r="SX7" s="6">
        <v>45904</v>
      </c>
      <c r="SY7">
        <v>5</v>
      </c>
      <c r="SZ7">
        <v>55151312</v>
      </c>
      <c r="TA7">
        <v>113700</v>
      </c>
      <c r="TB7" t="s">
        <v>4576</v>
      </c>
      <c r="TE7" t="s">
        <v>4575</v>
      </c>
      <c r="TF7">
        <v>0.75609499999999996</v>
      </c>
      <c r="TG7" t="s">
        <v>1777</v>
      </c>
      <c r="TH7">
        <v>5.6834300000000004</v>
      </c>
      <c r="TI7" t="s">
        <v>1773</v>
      </c>
      <c r="TJ7">
        <v>2025</v>
      </c>
      <c r="TK7" t="s">
        <v>2904</v>
      </c>
      <c r="TL7" s="6">
        <v>45904</v>
      </c>
      <c r="TM7">
        <v>5</v>
      </c>
      <c r="TN7">
        <v>90867496</v>
      </c>
      <c r="TO7">
        <v>113700</v>
      </c>
      <c r="TP7" t="s">
        <v>4576</v>
      </c>
      <c r="UY7" t="s">
        <v>3287</v>
      </c>
      <c r="VA7">
        <v>-2.4245362661989844E-14</v>
      </c>
      <c r="VB7">
        <v>-2.4245362661989844E-14</v>
      </c>
      <c r="VC7" t="s">
        <v>1789</v>
      </c>
      <c r="VD7">
        <v>2023</v>
      </c>
      <c r="VE7" t="s">
        <v>4258</v>
      </c>
      <c r="VF7" s="6">
        <v>45302</v>
      </c>
      <c r="VG7">
        <v>3</v>
      </c>
      <c r="VH7">
        <v>-2.4245362661989844E-14</v>
      </c>
      <c r="VI7">
        <v>100546</v>
      </c>
      <c r="VJ7" t="s">
        <v>3288</v>
      </c>
    </row>
    <row r="8" spans="1:600" x14ac:dyDescent="0.25">
      <c r="CM8" t="s">
        <v>2710</v>
      </c>
      <c r="CN8" t="s">
        <v>1777</v>
      </c>
      <c r="CO8">
        <v>2.5385999999999999E-2</v>
      </c>
      <c r="CP8">
        <v>1.3454000000000001E-2</v>
      </c>
      <c r="CQ8" t="s">
        <v>1785</v>
      </c>
      <c r="CR8">
        <v>2024</v>
      </c>
      <c r="CS8" t="s">
        <v>2711</v>
      </c>
      <c r="CT8" s="6">
        <v>45730</v>
      </c>
      <c r="CU8">
        <v>5</v>
      </c>
      <c r="CV8">
        <v>478529.29</v>
      </c>
      <c r="CW8">
        <v>239787</v>
      </c>
      <c r="CX8" t="s">
        <v>2712</v>
      </c>
      <c r="EU8" t="s">
        <v>4385</v>
      </c>
      <c r="EW8">
        <v>-2.4245362661989844E-14</v>
      </c>
      <c r="EX8">
        <v>-2.4245362661989844E-14</v>
      </c>
      <c r="EY8" t="s">
        <v>1894</v>
      </c>
      <c r="EZ8">
        <v>2025</v>
      </c>
      <c r="FA8" t="s">
        <v>4386</v>
      </c>
      <c r="FB8" s="6">
        <v>45975</v>
      </c>
      <c r="FC8">
        <v>5</v>
      </c>
      <c r="FD8">
        <v>-2.4245362661989844E-14</v>
      </c>
      <c r="FE8">
        <v>26163118</v>
      </c>
      <c r="FF8" t="s">
        <v>4387</v>
      </c>
      <c r="FI8" t="s">
        <v>3198</v>
      </c>
      <c r="FJ8">
        <v>-2.4245362661989844E-14</v>
      </c>
      <c r="FL8">
        <v>-2.4245362661989844E-14</v>
      </c>
      <c r="FM8" t="s">
        <v>1789</v>
      </c>
      <c r="FN8">
        <v>2023</v>
      </c>
      <c r="FO8" t="s">
        <v>3196</v>
      </c>
      <c r="FP8" s="6">
        <v>45082</v>
      </c>
      <c r="FQ8">
        <v>5</v>
      </c>
      <c r="FR8">
        <v>-2.4245362661989844E-14</v>
      </c>
      <c r="FS8">
        <v>30922177</v>
      </c>
      <c r="FT8" t="s">
        <v>3199</v>
      </c>
      <c r="IG8" t="s">
        <v>2746</v>
      </c>
      <c r="IH8" t="s">
        <v>1777</v>
      </c>
      <c r="II8">
        <v>0.52334800000000004</v>
      </c>
      <c r="IJ8">
        <v>0.67549400000000004</v>
      </c>
      <c r="IK8" t="s">
        <v>1781</v>
      </c>
      <c r="IL8">
        <v>2025</v>
      </c>
      <c r="IM8" t="s">
        <v>2747</v>
      </c>
      <c r="IN8" s="6">
        <v>45792</v>
      </c>
      <c r="IO8">
        <v>5</v>
      </c>
      <c r="IP8">
        <v>8295066</v>
      </c>
      <c r="IQ8">
        <v>15242973</v>
      </c>
      <c r="IR8" t="s">
        <v>2748</v>
      </c>
      <c r="IU8" t="s">
        <v>1864</v>
      </c>
      <c r="IV8">
        <v>0.48504599999999998</v>
      </c>
      <c r="IW8" t="s">
        <v>1777</v>
      </c>
      <c r="IX8">
        <v>0.30077399999999999</v>
      </c>
      <c r="IY8" t="s">
        <v>1781</v>
      </c>
      <c r="IZ8">
        <v>2025</v>
      </c>
      <c r="JA8" t="s">
        <v>1865</v>
      </c>
      <c r="JB8" s="6">
        <v>45820</v>
      </c>
      <c r="JC8">
        <v>5</v>
      </c>
      <c r="JD8">
        <v>12261954</v>
      </c>
      <c r="JE8">
        <v>12129192</v>
      </c>
      <c r="JF8" t="s">
        <v>1866</v>
      </c>
      <c r="MW8" t="s">
        <v>4103</v>
      </c>
      <c r="MY8">
        <v>-2.4245362661989844E-14</v>
      </c>
      <c r="MZ8">
        <v>-2.4245362661989844E-14</v>
      </c>
      <c r="NA8" t="s">
        <v>1781</v>
      </c>
      <c r="NB8">
        <v>2024</v>
      </c>
      <c r="NC8" t="s">
        <v>1921</v>
      </c>
      <c r="ND8" s="6">
        <v>45460</v>
      </c>
      <c r="NE8">
        <v>5</v>
      </c>
      <c r="NF8">
        <v>-2.4245362661989844E-14</v>
      </c>
      <c r="NG8">
        <v>1733315</v>
      </c>
      <c r="NH8" t="s">
        <v>4104</v>
      </c>
      <c r="NK8" t="s">
        <v>3902</v>
      </c>
      <c r="NL8">
        <v>-2.4245362661989844E-14</v>
      </c>
      <c r="NN8">
        <v>-2.4245362661989844E-14</v>
      </c>
      <c r="NO8" t="s">
        <v>1789</v>
      </c>
      <c r="NP8">
        <v>2022</v>
      </c>
      <c r="NQ8" t="s">
        <v>3895</v>
      </c>
      <c r="NR8" s="6">
        <v>44991</v>
      </c>
      <c r="NS8">
        <v>5</v>
      </c>
      <c r="NT8">
        <v>-2.4245362661989844E-14</v>
      </c>
      <c r="NU8">
        <v>69621973</v>
      </c>
      <c r="NV8" t="s">
        <v>3903</v>
      </c>
      <c r="OA8" t="s">
        <v>2420</v>
      </c>
      <c r="OB8" t="s">
        <v>1808</v>
      </c>
      <c r="OC8">
        <v>0.78817400000000004</v>
      </c>
      <c r="OD8">
        <v>1.4283000000000001E-2</v>
      </c>
      <c r="OE8" t="s">
        <v>1789</v>
      </c>
      <c r="OF8">
        <v>2025</v>
      </c>
      <c r="OG8" t="s">
        <v>2421</v>
      </c>
      <c r="OH8" s="6">
        <v>46058</v>
      </c>
      <c r="OI8">
        <v>5</v>
      </c>
      <c r="OJ8">
        <v>1958250</v>
      </c>
      <c r="OK8">
        <v>106045</v>
      </c>
      <c r="OL8" t="s">
        <v>2422</v>
      </c>
      <c r="OO8" t="s">
        <v>3337</v>
      </c>
      <c r="OP8">
        <v>-2.4245362661989844E-14</v>
      </c>
      <c r="OR8">
        <v>-2.4245362661989844E-14</v>
      </c>
      <c r="OS8" t="s">
        <v>1789</v>
      </c>
      <c r="OT8">
        <v>2022</v>
      </c>
      <c r="OU8" t="s">
        <v>3338</v>
      </c>
      <c r="OV8" s="6">
        <v>44986</v>
      </c>
      <c r="OW8">
        <v>5</v>
      </c>
      <c r="OX8">
        <v>-2.4245362661989844E-14</v>
      </c>
      <c r="OY8">
        <v>394590</v>
      </c>
      <c r="OZ8" t="s">
        <v>3339</v>
      </c>
      <c r="PS8" t="s">
        <v>3483</v>
      </c>
      <c r="PT8">
        <v>-2.4245362661989844E-14</v>
      </c>
      <c r="PV8">
        <v>-2.4245362661989844E-14</v>
      </c>
      <c r="PW8" t="s">
        <v>1789</v>
      </c>
      <c r="PX8">
        <v>2024</v>
      </c>
      <c r="PY8" t="s">
        <v>3484</v>
      </c>
      <c r="PZ8" s="6">
        <v>45723</v>
      </c>
      <c r="QA8">
        <v>5</v>
      </c>
      <c r="QB8">
        <v>-2.4245362661989844E-14</v>
      </c>
      <c r="QC8">
        <v>49076742</v>
      </c>
      <c r="QD8" t="s">
        <v>3485</v>
      </c>
      <c r="SQ8" t="s">
        <v>4663</v>
      </c>
      <c r="SR8" t="s">
        <v>1777</v>
      </c>
      <c r="SS8">
        <v>0.70510600000000001</v>
      </c>
      <c r="ST8">
        <v>0.68220499999999995</v>
      </c>
      <c r="SU8" t="s">
        <v>1773</v>
      </c>
      <c r="SV8">
        <v>2025</v>
      </c>
      <c r="SW8" t="s">
        <v>2904</v>
      </c>
      <c r="SX8" s="6">
        <v>45904</v>
      </c>
      <c r="SY8">
        <v>5</v>
      </c>
      <c r="SZ8">
        <v>51642920</v>
      </c>
      <c r="TA8">
        <v>113380</v>
      </c>
      <c r="TB8" t="s">
        <v>4664</v>
      </c>
      <c r="TE8" t="s">
        <v>1047</v>
      </c>
      <c r="TF8">
        <v>0.71221699999999999</v>
      </c>
      <c r="TG8" t="s">
        <v>1777</v>
      </c>
      <c r="TH8">
        <v>0.28387600000000002</v>
      </c>
      <c r="TI8" t="s">
        <v>1773</v>
      </c>
      <c r="TJ8">
        <v>2025</v>
      </c>
      <c r="TK8" t="s">
        <v>2904</v>
      </c>
      <c r="TL8" s="6">
        <v>45904</v>
      </c>
      <c r="TM8">
        <v>5</v>
      </c>
      <c r="TN8">
        <v>85594240</v>
      </c>
      <c r="TO8">
        <v>100743</v>
      </c>
      <c r="TP8" t="s">
        <v>1813</v>
      </c>
    </row>
    <row r="9" spans="1:600" x14ac:dyDescent="0.25">
      <c r="CM9" t="s">
        <v>3981</v>
      </c>
      <c r="CN9" t="s">
        <v>1777</v>
      </c>
      <c r="CO9">
        <v>6.87E-4</v>
      </c>
      <c r="CP9">
        <v>2.6999999999999999E-5</v>
      </c>
      <c r="CQ9" t="s">
        <v>1773</v>
      </c>
      <c r="CR9">
        <v>2025</v>
      </c>
      <c r="CS9" t="s">
        <v>3982</v>
      </c>
      <c r="CT9" s="6">
        <v>45819</v>
      </c>
      <c r="CU9">
        <v>5</v>
      </c>
      <c r="CV9">
        <v>1000</v>
      </c>
      <c r="CW9">
        <v>101531</v>
      </c>
      <c r="CX9" t="s">
        <v>3983</v>
      </c>
      <c r="EU9" t="s">
        <v>4388</v>
      </c>
      <c r="EW9">
        <v>-2.4245362661989844E-14</v>
      </c>
      <c r="EX9">
        <v>-2.4245362661989844E-14</v>
      </c>
      <c r="EY9" t="s">
        <v>1789</v>
      </c>
      <c r="EZ9">
        <v>2023</v>
      </c>
      <c r="FA9" t="s">
        <v>3196</v>
      </c>
      <c r="FB9" s="6">
        <v>45104</v>
      </c>
      <c r="FC9">
        <v>5</v>
      </c>
      <c r="FD9">
        <v>-2.4245362661989844E-14</v>
      </c>
      <c r="FE9">
        <v>21171665</v>
      </c>
      <c r="FF9" t="s">
        <v>4389</v>
      </c>
      <c r="FI9" t="s">
        <v>3200</v>
      </c>
      <c r="FJ9">
        <v>-2.4245362661989844E-14</v>
      </c>
      <c r="FL9">
        <v>-2.4245362661989844E-14</v>
      </c>
      <c r="FM9" t="s">
        <v>1781</v>
      </c>
      <c r="FN9">
        <v>2024</v>
      </c>
      <c r="FO9" t="s">
        <v>3201</v>
      </c>
      <c r="FP9" s="6">
        <v>45419</v>
      </c>
      <c r="FQ9">
        <v>5</v>
      </c>
      <c r="FR9">
        <v>-2.4245362661989844E-14</v>
      </c>
      <c r="FS9">
        <v>31290043</v>
      </c>
      <c r="FT9" t="s">
        <v>3202</v>
      </c>
      <c r="IG9" t="s">
        <v>2749</v>
      </c>
      <c r="IH9" t="s">
        <v>1777</v>
      </c>
      <c r="II9">
        <v>12.54</v>
      </c>
      <c r="IJ9">
        <v>0.54083499999999995</v>
      </c>
      <c r="IK9" t="s">
        <v>1894</v>
      </c>
      <c r="IL9">
        <v>2025</v>
      </c>
      <c r="IM9" t="s">
        <v>2750</v>
      </c>
      <c r="IN9" s="6">
        <v>45954</v>
      </c>
      <c r="IO9">
        <v>5</v>
      </c>
      <c r="IP9">
        <v>7432423.6699999999</v>
      </c>
      <c r="IQ9">
        <v>13138644</v>
      </c>
      <c r="IR9" t="s">
        <v>2751</v>
      </c>
      <c r="IU9" t="s">
        <v>3452</v>
      </c>
      <c r="IV9">
        <v>0.42185099999999998</v>
      </c>
      <c r="IW9" t="s">
        <v>1777</v>
      </c>
      <c r="IX9">
        <v>43.740009000000001</v>
      </c>
      <c r="IY9" t="s">
        <v>1789</v>
      </c>
      <c r="IZ9">
        <v>2024</v>
      </c>
      <c r="JA9" t="s">
        <v>3453</v>
      </c>
      <c r="JB9" s="6">
        <v>45798</v>
      </c>
      <c r="JC9">
        <v>5</v>
      </c>
      <c r="JD9">
        <v>11679674.470000001</v>
      </c>
      <c r="JE9">
        <v>812726</v>
      </c>
      <c r="JF9" t="s">
        <v>3454</v>
      </c>
      <c r="MW9" t="s">
        <v>4105</v>
      </c>
      <c r="MY9">
        <v>-2.4245362661989844E-14</v>
      </c>
      <c r="MZ9">
        <v>-2.4245362661989844E-14</v>
      </c>
      <c r="NA9" t="s">
        <v>1781</v>
      </c>
      <c r="NB9">
        <v>2024</v>
      </c>
      <c r="NC9" t="s">
        <v>1921</v>
      </c>
      <c r="ND9" s="6">
        <v>45460</v>
      </c>
      <c r="NE9">
        <v>5</v>
      </c>
      <c r="NF9">
        <v>-2.4245362661989844E-14</v>
      </c>
      <c r="NG9">
        <v>57870095</v>
      </c>
      <c r="NH9" t="s">
        <v>4106</v>
      </c>
      <c r="NK9" t="s">
        <v>3904</v>
      </c>
      <c r="NL9">
        <v>-2.4245362661989844E-14</v>
      </c>
      <c r="NN9">
        <v>-2.4245362661989844E-14</v>
      </c>
      <c r="NO9" t="s">
        <v>1789</v>
      </c>
      <c r="NP9">
        <v>2022</v>
      </c>
      <c r="NQ9" t="s">
        <v>3895</v>
      </c>
      <c r="NR9" s="6">
        <v>44991</v>
      </c>
      <c r="NS9">
        <v>5</v>
      </c>
      <c r="NT9">
        <v>-2.4245362661989844E-14</v>
      </c>
      <c r="NU9">
        <v>9531118</v>
      </c>
      <c r="NV9" t="s">
        <v>3905</v>
      </c>
      <c r="OA9" t="s">
        <v>3634</v>
      </c>
      <c r="OB9" t="s">
        <v>1808</v>
      </c>
      <c r="OC9">
        <v>0.777281</v>
      </c>
      <c r="OD9">
        <v>1.0723999999999999E-2</v>
      </c>
      <c r="OE9" t="s">
        <v>1789</v>
      </c>
      <c r="OF9">
        <v>2024</v>
      </c>
      <c r="OG9" t="s">
        <v>3635</v>
      </c>
      <c r="OH9" s="6">
        <v>45694</v>
      </c>
      <c r="OI9">
        <v>5</v>
      </c>
      <c r="OJ9">
        <v>1463750</v>
      </c>
      <c r="OK9">
        <v>106543</v>
      </c>
      <c r="OL9" t="s">
        <v>3636</v>
      </c>
      <c r="OO9" t="s">
        <v>3340</v>
      </c>
      <c r="OP9">
        <v>-2.4245362661989844E-14</v>
      </c>
      <c r="OR9">
        <v>-2.4245362661989844E-14</v>
      </c>
      <c r="OS9" t="s">
        <v>1789</v>
      </c>
      <c r="OT9">
        <v>2023</v>
      </c>
      <c r="OU9" t="s">
        <v>3341</v>
      </c>
      <c r="OV9" s="6">
        <v>45175</v>
      </c>
      <c r="OW9">
        <v>5</v>
      </c>
      <c r="OX9">
        <v>-2.4245362661989844E-14</v>
      </c>
      <c r="OY9">
        <v>100555</v>
      </c>
      <c r="OZ9" t="s">
        <v>3342</v>
      </c>
      <c r="PS9" t="s">
        <v>3486</v>
      </c>
      <c r="PT9">
        <v>-2.4245362661989844E-14</v>
      </c>
      <c r="PV9">
        <v>-2.4245362661989844E-14</v>
      </c>
      <c r="PW9" t="s">
        <v>1789</v>
      </c>
      <c r="PX9">
        <v>2024</v>
      </c>
      <c r="PY9" t="s">
        <v>3484</v>
      </c>
      <c r="PZ9" s="6">
        <v>45723</v>
      </c>
      <c r="QA9">
        <v>5</v>
      </c>
      <c r="QB9">
        <v>-2.4245362661989844E-14</v>
      </c>
      <c r="QC9">
        <v>229564</v>
      </c>
      <c r="QD9" t="s">
        <v>3487</v>
      </c>
      <c r="SQ9" t="s">
        <v>3034</v>
      </c>
      <c r="SR9" t="s">
        <v>1777</v>
      </c>
      <c r="SS9">
        <v>0.602908</v>
      </c>
      <c r="ST9">
        <v>0.64783800000000002</v>
      </c>
      <c r="SU9" t="s">
        <v>1785</v>
      </c>
      <c r="SV9">
        <v>2025</v>
      </c>
      <c r="SW9" t="s">
        <v>3488</v>
      </c>
      <c r="SX9" s="6">
        <v>46065</v>
      </c>
      <c r="SY9">
        <v>5</v>
      </c>
      <c r="SZ9">
        <v>51464228</v>
      </c>
      <c r="TA9">
        <v>100419</v>
      </c>
      <c r="TB9" t="s">
        <v>3035</v>
      </c>
      <c r="TE9" t="s">
        <v>4577</v>
      </c>
      <c r="TF9">
        <v>0.188365</v>
      </c>
      <c r="TG9" t="s">
        <v>1777</v>
      </c>
      <c r="TH9">
        <v>0.77209099999999997</v>
      </c>
      <c r="TI9" t="s">
        <v>1773</v>
      </c>
      <c r="TJ9">
        <v>2025</v>
      </c>
      <c r="TK9" t="s">
        <v>2904</v>
      </c>
      <c r="TL9" s="6">
        <v>45904</v>
      </c>
      <c r="TM9">
        <v>5</v>
      </c>
      <c r="TN9">
        <v>22637706</v>
      </c>
      <c r="TO9">
        <v>48365101</v>
      </c>
      <c r="TP9" t="s">
        <v>4578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401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402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403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404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405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406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407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408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409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410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411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412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413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414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415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416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417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418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419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158</v>
      </c>
      <c r="AE2" s="3" t="s">
        <v>309</v>
      </c>
      <c r="BI2" s="3" t="s">
        <v>420</v>
      </c>
      <c r="CM2" s="3" t="s">
        <v>25</v>
      </c>
      <c r="DQ2" s="3" t="s">
        <v>421</v>
      </c>
      <c r="EU2" s="3" t="s">
        <v>27</v>
      </c>
      <c r="FY2" s="3" t="s">
        <v>422</v>
      </c>
      <c r="HC2" s="3" t="s">
        <v>423</v>
      </c>
      <c r="IG2" s="3" t="s">
        <v>424</v>
      </c>
      <c r="JK2" s="3" t="s">
        <v>425</v>
      </c>
      <c r="KO2" s="3" t="s">
        <v>426</v>
      </c>
      <c r="LS2" s="3" t="s">
        <v>427</v>
      </c>
      <c r="MW2" s="3" t="s">
        <v>428</v>
      </c>
      <c r="OA2" s="3" t="s">
        <v>429</v>
      </c>
      <c r="PE2" s="3" t="s">
        <v>430</v>
      </c>
      <c r="QI2" s="3" t="s">
        <v>431</v>
      </c>
      <c r="RM2" s="3" t="s">
        <v>432</v>
      </c>
      <c r="SQ2" s="3" t="s">
        <v>433</v>
      </c>
      <c r="TU2" s="3" t="s">
        <v>434</v>
      </c>
      <c r="UY2" s="3" t="s">
        <v>132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_xll.BDS("VLY US Equity","SUPPLY_CHAIN_SUPPLIERS_ALL_DATA","cols=12;rows=2")</f>
        <v>VNO US Equity</v>
      </c>
      <c r="C5">
        <v>-2.4245362661989844E-14</v>
      </c>
      <c r="D5">
        <v>-2.4245362661989844E-14</v>
      </c>
      <c r="E5" t="s">
        <v>1789</v>
      </c>
      <c r="F5">
        <v>2022</v>
      </c>
      <c r="G5" t="s">
        <v>3003</v>
      </c>
      <c r="H5" s="6">
        <v>44970</v>
      </c>
      <c r="I5">
        <v>2</v>
      </c>
      <c r="J5">
        <v>-2.4245362661989844E-14</v>
      </c>
      <c r="K5">
        <v>101608</v>
      </c>
      <c r="L5" t="s">
        <v>3004</v>
      </c>
      <c r="O5" t="str">
        <f>_xll.BDS("VLY US Equity","SUPPLY_CHAIN_CUSTOMERS_ALL_DATA")</f>
        <v>#N/A N/A</v>
      </c>
      <c r="AE5" t="str">
        <f>_xll.BDS("CY US Equity","SUPPLY_CHAIN_SUPPLIERS_ALL_DATA")</f>
        <v>#N/A N/A</v>
      </c>
      <c r="AS5" t="str">
        <f>_xll.BDS("CY US Equity","SUPPLY_CHAIN_CUSTOMERS_ALL_DATA")</f>
        <v>#N/A N/A</v>
      </c>
      <c r="BI5" t="str">
        <f>_xll.BDS("OLBK US Equity","SUPPLY_CHAIN_SUPPLIERS_ALL_DATA")</f>
        <v>#N/A N/A</v>
      </c>
      <c r="BW5" t="str">
        <f>_xll.BDS("OLBK US Equity","SUPPLY_CHAIN_CUSTOMERS_ALL_DATA")</f>
        <v>#N/A N/A</v>
      </c>
      <c r="CM5" t="str">
        <f>_xll.BDS("2676187Q US Equity","SUPPLY_CHAIN_SUPPLIERS_ALL_DATA")</f>
        <v>#N/A N/A</v>
      </c>
      <c r="DA5" t="str">
        <f>_xll.BDS("2676187Q US Equity","SUPPLY_CHAIN_CUSTOMERS_ALL_DATA")</f>
        <v>#N/A N/A</v>
      </c>
      <c r="DQ5" t="str">
        <f>_xll.BDS("MTCH US Equity","SUPPLY_CHAIN_SUPPLIERS_ALL_DATA","cols=12;rows=5")</f>
        <v>053300 KS Equity</v>
      </c>
      <c r="DS5">
        <v>-2.4245362661989844E-14</v>
      </c>
      <c r="DT5">
        <v>-2.4245362661989844E-14</v>
      </c>
      <c r="DU5" t="s">
        <v>1894</v>
      </c>
      <c r="DV5">
        <v>2025</v>
      </c>
      <c r="DW5" t="s">
        <v>2156</v>
      </c>
      <c r="DX5" s="6">
        <v>45974</v>
      </c>
      <c r="DY5">
        <v>5</v>
      </c>
      <c r="DZ5">
        <v>-2.4245362661989844E-14</v>
      </c>
      <c r="EA5">
        <v>23189849</v>
      </c>
      <c r="EB5" t="s">
        <v>2157</v>
      </c>
      <c r="EE5" t="str">
        <f>_xll.BDS("MTCH US Equity","SUPPLY_CHAIN_CUSTOMERS_ALL_DATA","cols=12;rows=3")</f>
        <v>AAPL US Equity</v>
      </c>
      <c r="EF5">
        <v>-2.4245362661989844E-14</v>
      </c>
      <c r="EH5">
        <v>-2.4245362661989844E-14</v>
      </c>
      <c r="EI5" t="s">
        <v>1768</v>
      </c>
      <c r="EJ5">
        <v>2024</v>
      </c>
      <c r="EK5" t="s">
        <v>1769</v>
      </c>
      <c r="EL5" s="6">
        <v>45505</v>
      </c>
      <c r="EM5">
        <v>3</v>
      </c>
      <c r="EN5">
        <v>-2.4245362661989844E-14</v>
      </c>
      <c r="EO5">
        <v>101695</v>
      </c>
      <c r="EP5" t="s">
        <v>1770</v>
      </c>
      <c r="EU5" t="str">
        <f>_xll.BDS("NWBI US Equity","SUPPLY_CHAIN_SUPPLIERS_ALL_DATA","cols=12;rows=1")</f>
        <v>FISV US Equity</v>
      </c>
      <c r="EW5">
        <v>-2.4245362661989844E-14</v>
      </c>
      <c r="EX5">
        <v>-2.4245362661989844E-14</v>
      </c>
      <c r="EY5" t="s">
        <v>1894</v>
      </c>
      <c r="EZ5">
        <v>2023</v>
      </c>
      <c r="FA5" t="s">
        <v>2045</v>
      </c>
      <c r="FB5" s="6">
        <v>45245</v>
      </c>
      <c r="FC5">
        <v>1</v>
      </c>
      <c r="FD5">
        <v>-2.4245362661989844E-14</v>
      </c>
      <c r="FE5">
        <v>103882</v>
      </c>
      <c r="FF5" t="s">
        <v>2046</v>
      </c>
      <c r="FI5" t="str">
        <f>_xll.BDS("NWBI US Equity","SUPPLY_CHAIN_CUSTOMERS_ALL_DATA")</f>
        <v>#N/A N/A</v>
      </c>
      <c r="FY5" t="str">
        <f>_xll.BDS("3075558Q US Equity","SUPPLY_CHAIN_SUPPLIERS_ALL_DATA")</f>
        <v>#N/A N/A</v>
      </c>
      <c r="GM5" t="str">
        <f>_xll.BDS("3075558Q US Equity","SUPPLY_CHAIN_CUSTOMERS_ALL_DATA")</f>
        <v>#N/A N/A</v>
      </c>
      <c r="HC5" t="str">
        <f>_xll.BDS("BFC US Equity","SUPPLY_CHAIN_SUPPLIERS_ALL_DATA")</f>
        <v>#N/A N/A</v>
      </c>
      <c r="HQ5" t="str">
        <f>_xll.BDS("BFC US Equity","SUPPLY_CHAIN_CUSTOMERS_ALL_DATA")</f>
        <v>#N/A N/A</v>
      </c>
      <c r="IG5" t="str">
        <f>_xll.BDS("WTNY US Equity","SUPPLY_CHAIN_SUPPLIERS_ALL_DATA")</f>
        <v>#N/A N/A</v>
      </c>
      <c r="IU5" t="str">
        <f>_xll.BDS("WTNY US Equity","SUPPLY_CHAIN_CUSTOMERS_ALL_DATA")</f>
        <v>#N/A N/A</v>
      </c>
      <c r="JK5" t="str">
        <f>_xll.BDS("ZRAN US Equity","SUPPLY_CHAIN_SUPPLIERS_ALL_DATA")</f>
        <v>#N/A N/A</v>
      </c>
      <c r="JY5" t="str">
        <f>_xll.BDS("ZRAN US Equity","SUPPLY_CHAIN_CUSTOMERS_ALL_DATA")</f>
        <v>#N/A N/A</v>
      </c>
      <c r="KO5" t="str">
        <f>_xll.BDS("LBAI US Equity","SUPPLY_CHAIN_SUPPLIERS_ALL_DATA")</f>
        <v>#N/A N/A</v>
      </c>
      <c r="LC5" t="str">
        <f>_xll.BDS("LBAI US Equity","SUPPLY_CHAIN_CUSTOMERS_ALL_DATA")</f>
        <v>#N/A N/A</v>
      </c>
      <c r="LS5" t="str">
        <f>_xll.BDS("TIN US Equity","SUPPLY_CHAIN_SUPPLIERS_ALL_DATA")</f>
        <v>#N/A N/A</v>
      </c>
      <c r="MG5" t="str">
        <f>_xll.BDS("TIN US Equity","SUPPLY_CHAIN_CUSTOMERS_ALL_DATA")</f>
        <v>#N/A N/A</v>
      </c>
      <c r="MW5" t="str">
        <f>_xll.BDS("390297Q US Equity","SUPPLY_CHAIN_SUPPLIERS_ALL_DATA")</f>
        <v>#N/A N/A</v>
      </c>
      <c r="NK5" t="str">
        <f>_xll.BDS("390297Q US Equity","SUPPLY_CHAIN_CUSTOMERS_ALL_DATA")</f>
        <v>#N/A N/A</v>
      </c>
      <c r="OA5" t="str">
        <f>_xll.BDS("TDFXQ US Equity","SUPPLY_CHAIN_SUPPLIERS_ALL_DATA")</f>
        <v>#N/A N/A</v>
      </c>
      <c r="OO5" t="str">
        <f>_xll.BDS("TDFXQ US Equity","SUPPLY_CHAIN_CUSTOMERS_ALL_DATA")</f>
        <v>#N/A N/A</v>
      </c>
      <c r="PE5" t="str">
        <f>_xll.BDS("GWR US Equity","SUPPLY_CHAIN_SUPPLIERS_ALL_DATA","cols=12;rows=5")</f>
        <v>AEE US Equity</v>
      </c>
      <c r="PG5">
        <v>-2.4245362661989844E-14</v>
      </c>
      <c r="PH5">
        <v>-2.4245362661989844E-14</v>
      </c>
      <c r="PI5" t="s">
        <v>1789</v>
      </c>
      <c r="PJ5">
        <v>2021</v>
      </c>
      <c r="PK5" t="s">
        <v>2085</v>
      </c>
      <c r="PL5" s="6">
        <v>44693</v>
      </c>
      <c r="PM5">
        <v>5</v>
      </c>
      <c r="PN5">
        <v>-2.4245362661989844E-14</v>
      </c>
      <c r="PO5">
        <v>313098</v>
      </c>
      <c r="PP5" t="s">
        <v>2086</v>
      </c>
      <c r="PS5" t="str">
        <f>_xll.BDS("GWR US Equity","SUPPLY_CHAIN_CUSTOMERS_ALL_DATA","cols=12;rows=1")</f>
        <v>SDSYA US Equity</v>
      </c>
      <c r="PT5">
        <v>-2.4245362661989844E-14</v>
      </c>
      <c r="PV5">
        <v>-2.4245362661989844E-14</v>
      </c>
      <c r="PW5" t="s">
        <v>1789</v>
      </c>
      <c r="PX5">
        <v>2024</v>
      </c>
      <c r="PY5" t="s">
        <v>3371</v>
      </c>
      <c r="PZ5" s="6">
        <v>45744</v>
      </c>
      <c r="QA5">
        <v>1</v>
      </c>
      <c r="QB5">
        <v>-2.4245362661989844E-14</v>
      </c>
      <c r="QC5">
        <v>951391</v>
      </c>
      <c r="QD5" t="s">
        <v>3372</v>
      </c>
      <c r="QI5" t="str">
        <f>_xll.BDS("RSYS US Equity","SUPPLY_CHAIN_SUPPLIERS_ALL_DATA")</f>
        <v>#N/A N/A</v>
      </c>
      <c r="QW5" t="str">
        <f>_xll.BDS("RSYS US Equity","SUPPLY_CHAIN_CUSTOMERS_ALL_DATA")</f>
        <v>#N/A N/A</v>
      </c>
      <c r="RM5" t="str">
        <f>_xll.BDS("OCAI US Equity","SUPPLY_CHAIN_SUPPLIERS_ALL_DATA")</f>
        <v>#N/A N/A</v>
      </c>
      <c r="SA5" t="str">
        <f>_xll.BDS("OCAI US Equity","SUPPLY_CHAIN_CUSTOMERS_ALL_DATA")</f>
        <v>#N/A N/A</v>
      </c>
      <c r="SQ5" t="str">
        <f>_xll.BDS("355488Q US Equity","SUPPLY_CHAIN_SUPPLIERS_ALL_DATA")</f>
        <v>#N/A N/A</v>
      </c>
      <c r="TE5" t="str">
        <f>_xll.BDS("355488Q US Equity","SUPPLY_CHAIN_CUSTOMERS_ALL_DATA")</f>
        <v>#N/A N/A</v>
      </c>
      <c r="TU5" t="str">
        <f>_xll.BDS("WSO US Equity","SUPPLY_CHAIN_SUPPLIERS_ALL_DATA","cols=12;rows=5")</f>
        <v>CARR US Equity</v>
      </c>
      <c r="TV5" t="s">
        <v>1777</v>
      </c>
      <c r="TW5">
        <v>14.103251999999999</v>
      </c>
      <c r="TX5">
        <v>59.092457000000003</v>
      </c>
      <c r="TY5" t="s">
        <v>1768</v>
      </c>
      <c r="TZ5">
        <v>2025</v>
      </c>
      <c r="UA5" t="s">
        <v>3595</v>
      </c>
      <c r="UB5" s="6">
        <v>45889</v>
      </c>
      <c r="UC5">
        <v>5</v>
      </c>
      <c r="UD5">
        <v>862131776</v>
      </c>
      <c r="UE5">
        <v>67200229</v>
      </c>
      <c r="UF5" t="s">
        <v>3755</v>
      </c>
      <c r="UI5" t="str">
        <f>_xll.BDS("WSO US Equity","SUPPLY_CHAIN_CUSTOMERS_ALL_DATA","cols=12;rows=2")</f>
        <v>CARR US Equity</v>
      </c>
      <c r="UJ5">
        <v>2.0319250000000002</v>
      </c>
      <c r="UK5" t="s">
        <v>1777</v>
      </c>
      <c r="UL5">
        <v>1.0169490000000001</v>
      </c>
      <c r="UM5" t="s">
        <v>1773</v>
      </c>
      <c r="UN5">
        <v>2025</v>
      </c>
      <c r="UO5" t="s">
        <v>4366</v>
      </c>
      <c r="UP5" s="6">
        <v>45968</v>
      </c>
      <c r="UQ5">
        <v>2</v>
      </c>
      <c r="UR5">
        <v>42000000</v>
      </c>
      <c r="US5">
        <v>67200229</v>
      </c>
      <c r="UT5" t="s">
        <v>3755</v>
      </c>
      <c r="UY5" t="str">
        <f>_xll.BDS("TFC US Equity","SUPPLY_CHAIN_SUPPLIERS_ALL_DATA","cols=12;rows=5")</f>
        <v>ADBE US Equity</v>
      </c>
      <c r="UZ5" t="s">
        <v>1808</v>
      </c>
      <c r="VA5">
        <v>9.3438999999999994E-2</v>
      </c>
      <c r="VB5">
        <v>0.18883900000000001</v>
      </c>
      <c r="VC5" t="s">
        <v>1768</v>
      </c>
      <c r="VD5">
        <v>2025</v>
      </c>
      <c r="VE5" t="s">
        <v>2359</v>
      </c>
      <c r="VF5" s="6">
        <v>45838</v>
      </c>
      <c r="VG5">
        <v>5</v>
      </c>
      <c r="VH5">
        <v>5487672</v>
      </c>
      <c r="VI5">
        <v>101689</v>
      </c>
      <c r="VJ5" t="s">
        <v>2360</v>
      </c>
      <c r="VM5" t="str">
        <f>_xll.BDS("TFC US Equity","SUPPLY_CHAIN_CUSTOMERS_ALL_DATA","cols=12;rows=1")</f>
        <v>RENG IN Equity</v>
      </c>
      <c r="VN5">
        <v>-2.4245362661989844E-14</v>
      </c>
      <c r="VP5">
        <v>-2.4245362661989844E-14</v>
      </c>
      <c r="VQ5" t="s">
        <v>1789</v>
      </c>
      <c r="VR5">
        <v>2025</v>
      </c>
      <c r="VS5" t="s">
        <v>2271</v>
      </c>
      <c r="VT5" s="6">
        <v>45901</v>
      </c>
      <c r="VU5">
        <v>1</v>
      </c>
      <c r="VV5">
        <v>-2.4245362661989844E-14</v>
      </c>
      <c r="VW5">
        <v>182734</v>
      </c>
      <c r="VX5" t="s">
        <v>2272</v>
      </c>
    </row>
    <row r="6" spans="1:600" x14ac:dyDescent="0.25">
      <c r="A6" t="s">
        <v>1121</v>
      </c>
      <c r="C6">
        <v>-2.4245362661989844E-14</v>
      </c>
      <c r="D6">
        <v>-2.4245362661989844E-14</v>
      </c>
      <c r="E6" t="s">
        <v>1768</v>
      </c>
      <c r="F6">
        <v>2023</v>
      </c>
      <c r="G6" t="s">
        <v>1969</v>
      </c>
      <c r="H6" s="6">
        <v>45174</v>
      </c>
      <c r="I6">
        <v>2</v>
      </c>
      <c r="J6">
        <v>-2.4245362661989844E-14</v>
      </c>
      <c r="K6">
        <v>202476</v>
      </c>
      <c r="L6" t="s">
        <v>1970</v>
      </c>
      <c r="DQ6" t="s">
        <v>2158</v>
      </c>
      <c r="DS6">
        <v>-2.4245362661989844E-14</v>
      </c>
      <c r="DT6">
        <v>-2.4245362661989844E-14</v>
      </c>
      <c r="DU6" t="s">
        <v>1789</v>
      </c>
      <c r="DV6">
        <v>2023</v>
      </c>
      <c r="DW6" t="s">
        <v>2159</v>
      </c>
      <c r="DX6" s="6">
        <v>45373</v>
      </c>
      <c r="DY6">
        <v>5</v>
      </c>
      <c r="DZ6">
        <v>-2.4245362661989844E-14</v>
      </c>
      <c r="EA6">
        <v>1459277</v>
      </c>
      <c r="EB6" t="s">
        <v>2160</v>
      </c>
      <c r="EE6" t="s">
        <v>198</v>
      </c>
      <c r="EF6">
        <v>-2.4245362661989844E-14</v>
      </c>
      <c r="EH6">
        <v>-2.4245362661989844E-14</v>
      </c>
      <c r="EI6" t="s">
        <v>1768</v>
      </c>
      <c r="EJ6">
        <v>2024</v>
      </c>
      <c r="EK6" t="s">
        <v>1769</v>
      </c>
      <c r="EL6" s="6">
        <v>45505</v>
      </c>
      <c r="EM6">
        <v>3</v>
      </c>
      <c r="EN6">
        <v>-2.4245362661989844E-14</v>
      </c>
      <c r="EO6">
        <v>46946968</v>
      </c>
      <c r="EP6" t="s">
        <v>1771</v>
      </c>
      <c r="PE6" t="s">
        <v>1918</v>
      </c>
      <c r="PG6">
        <v>-2.4245362661989844E-14</v>
      </c>
      <c r="PH6">
        <v>-2.4245362661989844E-14</v>
      </c>
      <c r="PI6" t="s">
        <v>1789</v>
      </c>
      <c r="PJ6">
        <v>2021</v>
      </c>
      <c r="PK6" t="s">
        <v>1919</v>
      </c>
      <c r="PL6" s="6">
        <v>44693</v>
      </c>
      <c r="PM6">
        <v>5</v>
      </c>
      <c r="PN6">
        <v>-2.4245362661989844E-14</v>
      </c>
      <c r="PO6">
        <v>100060</v>
      </c>
      <c r="PP6" t="s">
        <v>1920</v>
      </c>
      <c r="TU6" t="s">
        <v>3756</v>
      </c>
      <c r="TV6" t="s">
        <v>1777</v>
      </c>
      <c r="TW6">
        <v>-2.4245362661989844E-14</v>
      </c>
      <c r="TX6">
        <v>9</v>
      </c>
      <c r="TY6" t="s">
        <v>1785</v>
      </c>
      <c r="TZ6">
        <v>2024</v>
      </c>
      <c r="UA6" t="s">
        <v>3595</v>
      </c>
      <c r="UB6" s="6">
        <v>45777</v>
      </c>
      <c r="UC6">
        <v>5</v>
      </c>
      <c r="UD6">
        <v>99131672</v>
      </c>
      <c r="UE6">
        <v>946718</v>
      </c>
      <c r="UF6" t="s">
        <v>3757</v>
      </c>
      <c r="UI6" t="s">
        <v>4367</v>
      </c>
      <c r="UJ6">
        <v>-2.4245362661989844E-14</v>
      </c>
      <c r="UL6">
        <v>-2.4245362661989844E-14</v>
      </c>
      <c r="UM6" t="s">
        <v>1789</v>
      </c>
      <c r="UN6">
        <v>2022</v>
      </c>
      <c r="UO6" t="s">
        <v>4368</v>
      </c>
      <c r="UP6" s="6">
        <v>44825</v>
      </c>
      <c r="UQ6">
        <v>2</v>
      </c>
      <c r="UR6">
        <v>-2.4245362661989844E-14</v>
      </c>
      <c r="US6">
        <v>45709005</v>
      </c>
      <c r="UT6" t="s">
        <v>4369</v>
      </c>
      <c r="UY6" t="s">
        <v>3331</v>
      </c>
      <c r="UZ6" t="s">
        <v>1808</v>
      </c>
      <c r="VA6">
        <v>1.151538</v>
      </c>
      <c r="VB6">
        <v>7.7191999999999997E-2</v>
      </c>
      <c r="VC6" t="s">
        <v>1789</v>
      </c>
      <c r="VD6">
        <v>2024</v>
      </c>
      <c r="VE6" t="s">
        <v>3966</v>
      </c>
      <c r="VF6" s="6">
        <v>45716</v>
      </c>
      <c r="VG6">
        <v>5</v>
      </c>
      <c r="VH6">
        <v>2317499</v>
      </c>
      <c r="VI6">
        <v>35300053</v>
      </c>
      <c r="VJ6" t="s">
        <v>3333</v>
      </c>
    </row>
    <row r="7" spans="1:600" x14ac:dyDescent="0.25">
      <c r="DQ7" t="s">
        <v>2161</v>
      </c>
      <c r="DS7">
        <v>-2.4245362661989844E-14</v>
      </c>
      <c r="DT7">
        <v>-2.4245362661989844E-14</v>
      </c>
      <c r="DU7" t="s">
        <v>1789</v>
      </c>
      <c r="DV7">
        <v>2022</v>
      </c>
      <c r="DW7" t="s">
        <v>2162</v>
      </c>
      <c r="DX7" s="6">
        <v>44736</v>
      </c>
      <c r="DY7">
        <v>5</v>
      </c>
      <c r="DZ7">
        <v>-2.4245362661989844E-14</v>
      </c>
      <c r="EA7">
        <v>114629</v>
      </c>
      <c r="EB7" t="s">
        <v>2163</v>
      </c>
      <c r="EE7" t="s">
        <v>1772</v>
      </c>
      <c r="EF7">
        <v>-2.4245362661989844E-14</v>
      </c>
      <c r="EH7">
        <v>-2.4245362661989844E-14</v>
      </c>
      <c r="EI7" t="s">
        <v>1773</v>
      </c>
      <c r="EJ7">
        <v>2022</v>
      </c>
      <c r="EK7" t="s">
        <v>1774</v>
      </c>
      <c r="EL7" s="6">
        <v>44870</v>
      </c>
      <c r="EM7">
        <v>3</v>
      </c>
      <c r="EN7">
        <v>-2.4245362661989844E-14</v>
      </c>
      <c r="EO7">
        <v>67335162</v>
      </c>
      <c r="EP7" t="s">
        <v>1775</v>
      </c>
      <c r="PE7" t="s">
        <v>1992</v>
      </c>
      <c r="PG7">
        <v>-2.4245362661989844E-14</v>
      </c>
      <c r="PH7">
        <v>-2.4245362661989844E-14</v>
      </c>
      <c r="PI7" t="s">
        <v>1789</v>
      </c>
      <c r="PJ7">
        <v>2021</v>
      </c>
      <c r="PK7" t="s">
        <v>1993</v>
      </c>
      <c r="PL7" s="6">
        <v>44693</v>
      </c>
      <c r="PM7">
        <v>5</v>
      </c>
      <c r="PN7">
        <v>-2.4245362661989844E-14</v>
      </c>
      <c r="PO7">
        <v>101690</v>
      </c>
      <c r="PP7" t="s">
        <v>1994</v>
      </c>
      <c r="TU7" t="s">
        <v>3758</v>
      </c>
      <c r="TV7" t="s">
        <v>1777</v>
      </c>
      <c r="TW7">
        <v>0.89171900000000004</v>
      </c>
      <c r="TX7">
        <v>3.0312990000000002</v>
      </c>
      <c r="TY7" t="s">
        <v>1768</v>
      </c>
      <c r="TZ7">
        <v>2025</v>
      </c>
      <c r="UA7" t="s">
        <v>3595</v>
      </c>
      <c r="UB7" s="6">
        <v>45889</v>
      </c>
      <c r="UC7">
        <v>5</v>
      </c>
      <c r="UD7">
        <v>44225256</v>
      </c>
      <c r="UE7">
        <v>100787</v>
      </c>
      <c r="UF7" t="s">
        <v>3759</v>
      </c>
      <c r="UY7" t="s">
        <v>2493</v>
      </c>
      <c r="UZ7" t="s">
        <v>1808</v>
      </c>
      <c r="VA7">
        <v>0.492811</v>
      </c>
      <c r="VB7">
        <v>2.9784000000000001E-2</v>
      </c>
      <c r="VC7" t="s">
        <v>1781</v>
      </c>
      <c r="VD7">
        <v>2026</v>
      </c>
      <c r="VE7" t="s">
        <v>3630</v>
      </c>
      <c r="VF7" s="6">
        <v>45898</v>
      </c>
      <c r="VG7">
        <v>5</v>
      </c>
      <c r="VH7">
        <v>889383.69</v>
      </c>
      <c r="VI7">
        <v>178651</v>
      </c>
      <c r="VJ7" t="s">
        <v>2495</v>
      </c>
    </row>
    <row r="8" spans="1:600" x14ac:dyDescent="0.25">
      <c r="DQ8" t="s">
        <v>1767</v>
      </c>
      <c r="DS8">
        <v>-2.4245362661989844E-14</v>
      </c>
      <c r="DT8">
        <v>-2.4245362661989844E-14</v>
      </c>
      <c r="DU8" t="s">
        <v>1773</v>
      </c>
      <c r="DV8">
        <v>2025</v>
      </c>
      <c r="DW8" t="s">
        <v>2164</v>
      </c>
      <c r="DX8" s="6">
        <v>45966</v>
      </c>
      <c r="DY8">
        <v>5</v>
      </c>
      <c r="DZ8">
        <v>-2.4245362661989844E-14</v>
      </c>
      <c r="EA8">
        <v>101695</v>
      </c>
      <c r="EB8" t="s">
        <v>1770</v>
      </c>
      <c r="PE8" t="s">
        <v>3762</v>
      </c>
      <c r="PG8">
        <v>-2.4245362661989844E-14</v>
      </c>
      <c r="PH8">
        <v>-2.4245362661989844E-14</v>
      </c>
      <c r="PI8" t="s">
        <v>1789</v>
      </c>
      <c r="PJ8">
        <v>2021</v>
      </c>
      <c r="PK8" t="s">
        <v>3763</v>
      </c>
      <c r="PL8" s="6">
        <v>44693</v>
      </c>
      <c r="PM8">
        <v>5</v>
      </c>
      <c r="PN8">
        <v>-2.4245362661989844E-14</v>
      </c>
      <c r="PO8">
        <v>310116</v>
      </c>
      <c r="PP8" t="s">
        <v>3764</v>
      </c>
      <c r="TU8" t="s">
        <v>958</v>
      </c>
      <c r="TV8" t="s">
        <v>1777</v>
      </c>
      <c r="TW8">
        <v>0.95568799999999998</v>
      </c>
      <c r="TX8">
        <v>2.8645339999999999</v>
      </c>
      <c r="TY8" t="s">
        <v>1773</v>
      </c>
      <c r="TZ8">
        <v>2025</v>
      </c>
      <c r="UA8" t="s">
        <v>2594</v>
      </c>
      <c r="UB8" s="6">
        <v>45881</v>
      </c>
      <c r="UC8">
        <v>5</v>
      </c>
      <c r="UD8">
        <v>41792236</v>
      </c>
      <c r="UE8">
        <v>100515</v>
      </c>
      <c r="UF8" t="s">
        <v>2595</v>
      </c>
      <c r="UY8" t="s">
        <v>2839</v>
      </c>
      <c r="VA8">
        <v>0.44397199999999998</v>
      </c>
      <c r="VB8">
        <v>-2.4245362661989844E-14</v>
      </c>
      <c r="VC8" t="s">
        <v>1785</v>
      </c>
      <c r="VD8">
        <v>2024</v>
      </c>
      <c r="VE8" t="s">
        <v>3967</v>
      </c>
      <c r="VF8" s="6">
        <v>45699</v>
      </c>
      <c r="VG8">
        <v>5</v>
      </c>
      <c r="VH8">
        <v>316250</v>
      </c>
      <c r="VI8">
        <v>10086577</v>
      </c>
      <c r="VJ8" t="s">
        <v>2841</v>
      </c>
    </row>
    <row r="9" spans="1:600" x14ac:dyDescent="0.25">
      <c r="DQ9" t="s">
        <v>2165</v>
      </c>
      <c r="DS9">
        <v>-2.4245362661989844E-14</v>
      </c>
      <c r="DT9">
        <v>-2.4245362661989844E-14</v>
      </c>
      <c r="DU9" t="s">
        <v>1789</v>
      </c>
      <c r="DV9">
        <v>2022</v>
      </c>
      <c r="DW9" t="s">
        <v>2166</v>
      </c>
      <c r="DX9" s="6">
        <v>45016</v>
      </c>
      <c r="DY9">
        <v>5</v>
      </c>
      <c r="DZ9">
        <v>-2.4245362661989844E-14</v>
      </c>
      <c r="EA9">
        <v>9840510</v>
      </c>
      <c r="EB9" t="s">
        <v>2167</v>
      </c>
      <c r="PE9" t="s">
        <v>3739</v>
      </c>
      <c r="PG9">
        <v>-2.4245362661989844E-14</v>
      </c>
      <c r="PH9">
        <v>-2.4245362661989844E-14</v>
      </c>
      <c r="PI9" t="s">
        <v>1789</v>
      </c>
      <c r="PJ9">
        <v>2021</v>
      </c>
      <c r="PK9" t="s">
        <v>3740</v>
      </c>
      <c r="PL9" s="6">
        <v>44693</v>
      </c>
      <c r="PM9">
        <v>5</v>
      </c>
      <c r="PN9">
        <v>-2.4245362661989844E-14</v>
      </c>
      <c r="PO9">
        <v>100207</v>
      </c>
      <c r="PP9" t="s">
        <v>3741</v>
      </c>
      <c r="TU9" t="s">
        <v>3760</v>
      </c>
      <c r="TV9" t="s">
        <v>1777</v>
      </c>
      <c r="TW9">
        <v>0.158833</v>
      </c>
      <c r="TX9">
        <v>1.921883</v>
      </c>
      <c r="TY9" t="s">
        <v>1768</v>
      </c>
      <c r="TZ9">
        <v>2025</v>
      </c>
      <c r="UA9" t="s">
        <v>3595</v>
      </c>
      <c r="UB9" s="6">
        <v>45889</v>
      </c>
      <c r="UC9">
        <v>5</v>
      </c>
      <c r="UD9">
        <v>28039388</v>
      </c>
      <c r="UE9">
        <v>9288162</v>
      </c>
      <c r="UF9" t="s">
        <v>3761</v>
      </c>
      <c r="UY9" t="s">
        <v>1995</v>
      </c>
      <c r="VA9">
        <v>-2.4245362661989844E-14</v>
      </c>
      <c r="VB9">
        <v>-2.4245362661989844E-14</v>
      </c>
      <c r="VC9" t="s">
        <v>1894</v>
      </c>
      <c r="VD9">
        <v>2025</v>
      </c>
      <c r="VE9" t="s">
        <v>2043</v>
      </c>
      <c r="VF9" s="6">
        <v>45974</v>
      </c>
      <c r="VG9">
        <v>5</v>
      </c>
      <c r="VH9">
        <v>-2.4245362661989844E-14</v>
      </c>
      <c r="VI9">
        <v>118099</v>
      </c>
      <c r="VJ9" t="s">
        <v>1998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436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437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438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439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440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441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442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443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444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445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446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447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448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449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450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451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452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453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454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455</v>
      </c>
      <c r="AE2" s="3" t="s">
        <v>456</v>
      </c>
      <c r="BI2" s="3" t="s">
        <v>457</v>
      </c>
      <c r="CM2" s="3" t="s">
        <v>458</v>
      </c>
      <c r="DQ2" s="3" t="s">
        <v>459</v>
      </c>
      <c r="EU2" s="3" t="s">
        <v>460</v>
      </c>
      <c r="FY2" s="3" t="s">
        <v>461</v>
      </c>
      <c r="HC2" s="3" t="s">
        <v>462</v>
      </c>
      <c r="IG2" s="3" t="s">
        <v>463</v>
      </c>
      <c r="JK2" s="3" t="s">
        <v>464</v>
      </c>
      <c r="KO2" s="3" t="s">
        <v>465</v>
      </c>
      <c r="LS2" s="3" t="s">
        <v>466</v>
      </c>
      <c r="MW2" s="3" t="s">
        <v>467</v>
      </c>
      <c r="OA2" s="3" t="s">
        <v>468</v>
      </c>
      <c r="PE2" s="3" t="s">
        <v>469</v>
      </c>
      <c r="QI2" s="3" t="s">
        <v>470</v>
      </c>
      <c r="RM2" s="3" t="s">
        <v>471</v>
      </c>
      <c r="SQ2" s="3" t="s">
        <v>80</v>
      </c>
      <c r="TU2" s="3" t="s">
        <v>472</v>
      </c>
      <c r="UY2" s="3" t="s">
        <v>473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_xll.BDS("DME US Equity","SUPPLY_CHAIN_SUPPLIERS_ALL_DATA")</f>
        <v>#N/A N/A</v>
      </c>
      <c r="O5" t="str">
        <f>_xll.BDS("DME US Equity","SUPPLY_CHAIN_CUSTOMERS_ALL_DATA")</f>
        <v>#N/A N/A</v>
      </c>
      <c r="AE5" t="str">
        <f>_xll.BDS("SNV US Equity","SUPPLY_CHAIN_SUPPLIERS_ALL_DATA","cols=12;rows=1")</f>
        <v>VYX US Equity</v>
      </c>
      <c r="AG5">
        <v>-2.4245362661989844E-14</v>
      </c>
      <c r="AH5">
        <v>-2.4245362661989844E-14</v>
      </c>
      <c r="AI5" t="s">
        <v>1768</v>
      </c>
      <c r="AJ5">
        <v>2023</v>
      </c>
      <c r="AK5" t="s">
        <v>1969</v>
      </c>
      <c r="AL5" s="6">
        <v>45174</v>
      </c>
      <c r="AM5">
        <v>1</v>
      </c>
      <c r="AN5">
        <v>-2.4245362661989844E-14</v>
      </c>
      <c r="AO5">
        <v>202476</v>
      </c>
      <c r="AP5" t="s">
        <v>1970</v>
      </c>
      <c r="AS5" t="str">
        <f>_xll.BDS("SNV US Equity","SUPPLY_CHAIN_CUSTOMERS_ALL_DATA")</f>
        <v>#N/A N/A</v>
      </c>
      <c r="BI5" t="str">
        <f>_xll.BDS("NCOG US Equity","SUPPLY_CHAIN_SUPPLIERS_ALL_DATA")</f>
        <v>#N/A N/A</v>
      </c>
      <c r="BW5" t="str">
        <f>_xll.BDS("NCOG US Equity","SUPPLY_CHAIN_CUSTOMERS_ALL_DATA")</f>
        <v>#N/A N/A</v>
      </c>
      <c r="CM5" t="str">
        <f>_xll.BDS("RESC US Equity","SUPPLY_CHAIN_SUPPLIERS_ALL_DATA")</f>
        <v>#N/A N/A</v>
      </c>
      <c r="DA5" t="str">
        <f>_xll.BDS("RESC US Equity","SUPPLY_CHAIN_CUSTOMERS_ALL_DATA")</f>
        <v>#N/A N/A</v>
      </c>
      <c r="DQ5" t="str">
        <f>_xll.BDS("IWLC US Equity","SUPPLY_CHAIN_SUPPLIERS_ALL_DATA")</f>
        <v>#N/A N/A</v>
      </c>
      <c r="EE5" t="str">
        <f>_xll.BDS("IWLC US Equity","SUPPLY_CHAIN_CUSTOMERS_ALL_DATA")</f>
        <v>#N/A N/A</v>
      </c>
      <c r="EU5" t="str">
        <f>_xll.BDS("3346Q US Equity","SUPPLY_CHAIN_SUPPLIERS_ALL_DATA")</f>
        <v>#N/A N/A</v>
      </c>
      <c r="FI5" t="str">
        <f>_xll.BDS("3346Q US Equity","SUPPLY_CHAIN_CUSTOMERS_ALL_DATA")</f>
        <v>#N/A N/A</v>
      </c>
      <c r="FY5" t="str">
        <f>_xll.BDS("BPFH US Equity","SUPPLY_CHAIN_SUPPLIERS_ALL_DATA")</f>
        <v>#N/A N/A</v>
      </c>
      <c r="GM5" t="str">
        <f>_xll.BDS("BPFH US Equity","SUPPLY_CHAIN_CUSTOMERS_ALL_DATA")</f>
        <v>#N/A N/A</v>
      </c>
      <c r="HC5" t="str">
        <f>_xll.BDS("AMCC US Equity","SUPPLY_CHAIN_SUPPLIERS_ALL_DATA")</f>
        <v>#N/A N/A</v>
      </c>
      <c r="HQ5" t="str">
        <f>_xll.BDS("AMCC US Equity","SUPPLY_CHAIN_CUSTOMERS_ALL_DATA")</f>
        <v>#N/A N/A</v>
      </c>
      <c r="IG5" t="str">
        <f>_xll.BDS("CW US Equity","SUPPLY_CHAIN_SUPPLIERS_ALL_DATA","cols=12;rows=5")</f>
        <v>MELE BB Equity</v>
      </c>
      <c r="IH5" t="s">
        <v>1777</v>
      </c>
      <c r="II5">
        <v>0.140873</v>
      </c>
      <c r="IJ5">
        <v>6.5420000000000006E-2</v>
      </c>
      <c r="IK5" t="s">
        <v>1773</v>
      </c>
      <c r="IL5">
        <v>2025</v>
      </c>
      <c r="IM5" t="s">
        <v>2922</v>
      </c>
      <c r="IN5" s="6">
        <v>45968</v>
      </c>
      <c r="IO5">
        <v>5</v>
      </c>
      <c r="IP5">
        <v>354444.5</v>
      </c>
      <c r="IQ5">
        <v>307033</v>
      </c>
      <c r="IR5" t="s">
        <v>2923</v>
      </c>
      <c r="IU5" t="str">
        <f>_xll.BDS("CW US Equity","SUPPLY_CHAIN_CUSTOMERS_ALL_DATA","cols=12;rows=5")</f>
        <v>3352Z US Equity</v>
      </c>
      <c r="IV5">
        <v>47.079582000000002</v>
      </c>
      <c r="IX5">
        <v>-2.4245362661989844E-14</v>
      </c>
      <c r="IY5" t="s">
        <v>1789</v>
      </c>
      <c r="IZ5">
        <v>2025</v>
      </c>
      <c r="JA5" t="s">
        <v>4350</v>
      </c>
      <c r="JB5" s="6">
        <v>46065</v>
      </c>
      <c r="JC5">
        <v>5</v>
      </c>
      <c r="JD5">
        <v>411754752</v>
      </c>
      <c r="JE5">
        <v>218252</v>
      </c>
      <c r="JF5" t="s">
        <v>1798</v>
      </c>
      <c r="JK5" t="str">
        <f>_xll.BDS("NAL US Equity","SUPPLY_CHAIN_SUPPLIERS_ALL_DATA")</f>
        <v>#N/A N/A</v>
      </c>
      <c r="JY5" t="str">
        <f>_xll.BDS("NAL US Equity","SUPPLY_CHAIN_CUSTOMERS_ALL_DATA")</f>
        <v>#N/A N/A</v>
      </c>
      <c r="KO5" t="str">
        <f>_xll.BDS("ODSY US Equity","SUPPLY_CHAIN_SUPPLIERS_ALL_DATA")</f>
        <v>#N/A N/A</v>
      </c>
      <c r="LC5" t="str">
        <f>_xll.BDS("ODSY US Equity","SUPPLY_CHAIN_CUSTOMERS_ALL_DATA")</f>
        <v>#N/A N/A</v>
      </c>
      <c r="LS5" t="str">
        <f>_xll.BDS("OSBC US Equity","SUPPLY_CHAIN_SUPPLIERS_ALL_DATA")</f>
        <v>#N/A N/A</v>
      </c>
      <c r="MG5" t="str">
        <f>_xll.BDS("OSBC US Equity","SUPPLY_CHAIN_CUSTOMERS_ALL_DATA")</f>
        <v>#N/A N/A</v>
      </c>
      <c r="MW5" t="str">
        <f>_xll.BDS("AON US Equity","SUPPLY_CHAIN_SUPPLIERS_ALL_DATA","cols=12;rows=5")</f>
        <v>1972 HK Equity</v>
      </c>
      <c r="MY5">
        <v>-2.4245362661989844E-14</v>
      </c>
      <c r="MZ5">
        <v>-2.4245362661989844E-14</v>
      </c>
      <c r="NA5" t="s">
        <v>1789</v>
      </c>
      <c r="NB5">
        <v>2024</v>
      </c>
      <c r="NC5" t="s">
        <v>2393</v>
      </c>
      <c r="ND5" s="6">
        <v>45755</v>
      </c>
      <c r="NE5">
        <v>5</v>
      </c>
      <c r="NF5">
        <v>-2.4245362661989844E-14</v>
      </c>
      <c r="NG5">
        <v>953675</v>
      </c>
      <c r="NH5" t="s">
        <v>2394</v>
      </c>
      <c r="NK5" t="str">
        <f>_xll.BDS("AON US Equity","SUPPLY_CHAIN_CUSTOMERS_ALL_DATA","cols=12;rows=5")</f>
        <v>FPAYQ US Equity</v>
      </c>
      <c r="NL5">
        <v>-2.4245362661989844E-14</v>
      </c>
      <c r="NN5">
        <v>-2.4245362661989844E-14</v>
      </c>
      <c r="NO5" t="s">
        <v>1773</v>
      </c>
      <c r="NP5">
        <v>2025</v>
      </c>
      <c r="NQ5" t="s">
        <v>1843</v>
      </c>
      <c r="NR5" s="6">
        <v>46013</v>
      </c>
      <c r="NS5">
        <v>5</v>
      </c>
      <c r="NT5">
        <v>-2.4245362661989844E-14</v>
      </c>
      <c r="NU5">
        <v>13730472</v>
      </c>
      <c r="NV5" t="s">
        <v>1844</v>
      </c>
      <c r="OA5" t="str">
        <f>_xll.BDS("WAI US Equity","SUPPLY_CHAIN_SUPPLIERS_ALL_DATA")</f>
        <v>#N/A N/A</v>
      </c>
      <c r="OO5" t="str">
        <f>_xll.BDS("WAI US Equity","SUPPLY_CHAIN_CUSTOMERS_ALL_DATA")</f>
        <v>#N/A N/A</v>
      </c>
      <c r="PE5" t="str">
        <f>_xll.BDS("INVA US Equity","SUPPLY_CHAIN_SUPPLIERS_ALL_DATA","cols=12;rows=5")</f>
        <v>7431Z US Equity</v>
      </c>
      <c r="PF5" t="s">
        <v>1777</v>
      </c>
      <c r="PG5">
        <v>0.24707899999999999</v>
      </c>
      <c r="PH5">
        <v>4.2896700000000001</v>
      </c>
      <c r="PI5" t="s">
        <v>1773</v>
      </c>
      <c r="PJ5">
        <v>2025</v>
      </c>
      <c r="PK5" t="s">
        <v>3469</v>
      </c>
      <c r="PL5" s="6">
        <v>45966</v>
      </c>
      <c r="PM5">
        <v>5</v>
      </c>
      <c r="PN5">
        <v>1100000</v>
      </c>
      <c r="PO5">
        <v>216143</v>
      </c>
      <c r="PP5" t="s">
        <v>3470</v>
      </c>
      <c r="PS5" t="str">
        <f>_xll.BDS("INVA US Equity","SUPPLY_CHAIN_CUSTOMERS_ALL_DATA","cols=12;rows=5")</f>
        <v>GSK LN Equity</v>
      </c>
      <c r="PT5">
        <v>55.562153000000002</v>
      </c>
      <c r="PU5" t="s">
        <v>1777</v>
      </c>
      <c r="PV5">
        <v>1.967158</v>
      </c>
      <c r="PW5" t="s">
        <v>1773</v>
      </c>
      <c r="PX5">
        <v>2025</v>
      </c>
      <c r="PY5" t="s">
        <v>3469</v>
      </c>
      <c r="PZ5" s="6">
        <v>45966</v>
      </c>
      <c r="QA5">
        <v>5</v>
      </c>
      <c r="QB5">
        <v>59896000</v>
      </c>
      <c r="QC5">
        <v>1456450</v>
      </c>
      <c r="QD5" t="s">
        <v>4665</v>
      </c>
      <c r="QI5" t="str">
        <f>_xll.BDS("TSFG US Equity","SUPPLY_CHAIN_SUPPLIERS_ALL_DATA")</f>
        <v>#N/A N/A</v>
      </c>
      <c r="QW5" t="str">
        <f>_xll.BDS("TSFG US Equity","SUPPLY_CHAIN_CUSTOMERS_ALL_DATA")</f>
        <v>#N/A N/A</v>
      </c>
      <c r="RM5" t="str">
        <f>_xll.BDS("LTWC US Equity","SUPPLY_CHAIN_SUPPLIERS_ALL_DATA")</f>
        <v>#N/A N/A</v>
      </c>
      <c r="SA5" t="str">
        <f>_xll.BDS("LTWC US Equity","SUPPLY_CHAIN_CUSTOMERS_ALL_DATA")</f>
        <v>#N/A N/A</v>
      </c>
      <c r="SQ5" t="str">
        <f>_xll.BDS("RNST US Equity","SUPPLY_CHAIN_SUPPLIERS_ALL_DATA")</f>
        <v>#N/A N/A</v>
      </c>
      <c r="TE5" t="str">
        <f>_xll.BDS("RNST US Equity","SUPPLY_CHAIN_CUSTOMERS_ALL_DATA")</f>
        <v>#N/A N/A</v>
      </c>
      <c r="TU5" t="str">
        <f>_xll.BDS("SKYW US Equity","SUPPLY_CHAIN_SUPPLIERS_ALL_DATA","cols=12;rows=5")</f>
        <v>GE US Equity</v>
      </c>
      <c r="TV5" t="s">
        <v>1777</v>
      </c>
      <c r="TW5">
        <v>0.21568000000000001</v>
      </c>
      <c r="TX5">
        <v>2.7481719999999998</v>
      </c>
      <c r="TY5" t="s">
        <v>1768</v>
      </c>
      <c r="TZ5">
        <v>2025</v>
      </c>
      <c r="UA5" t="s">
        <v>1886</v>
      </c>
      <c r="UB5" s="6">
        <v>45888</v>
      </c>
      <c r="UC5">
        <v>5</v>
      </c>
      <c r="UD5">
        <v>23774406</v>
      </c>
      <c r="UE5">
        <v>100632</v>
      </c>
      <c r="UF5" t="s">
        <v>2763</v>
      </c>
      <c r="UI5" t="str">
        <f>_xll.BDS("SKYW US Equity","SUPPLY_CHAIN_CUSTOMERS_ALL_DATA","cols=12;rows=5")</f>
        <v>AAL US Equity</v>
      </c>
      <c r="UJ5">
        <v>-2.4245362661989844E-14</v>
      </c>
      <c r="UL5">
        <v>-2.4245362661989844E-14</v>
      </c>
      <c r="UM5" t="s">
        <v>1789</v>
      </c>
      <c r="UN5">
        <v>2024</v>
      </c>
      <c r="UO5" t="s">
        <v>4326</v>
      </c>
      <c r="UP5" s="6">
        <v>45701</v>
      </c>
      <c r="UQ5">
        <v>5</v>
      </c>
      <c r="UR5">
        <v>-2.4245362661989844E-14</v>
      </c>
      <c r="US5">
        <v>100090</v>
      </c>
      <c r="UT5" t="s">
        <v>1891</v>
      </c>
      <c r="UY5" t="str">
        <f>_xll.BDS("BMTC US Equity","SUPPLY_CHAIN_SUPPLIERS_ALL_DATA")</f>
        <v>#N/A N/A</v>
      </c>
      <c r="VM5" t="str">
        <f>_xll.BDS("BMTC US Equity","SUPPLY_CHAIN_CUSTOMERS_ALL_DATA")</f>
        <v>#N/A N/A</v>
      </c>
    </row>
    <row r="6" spans="1:600" x14ac:dyDescent="0.25">
      <c r="IG6" t="s">
        <v>2116</v>
      </c>
      <c r="IH6" t="s">
        <v>1777</v>
      </c>
      <c r="II6">
        <v>2.7633999999999999E-2</v>
      </c>
      <c r="IJ6">
        <v>5.7615E-2</v>
      </c>
      <c r="IK6" t="s">
        <v>1773</v>
      </c>
      <c r="IL6">
        <v>2025</v>
      </c>
      <c r="IM6" t="s">
        <v>2117</v>
      </c>
      <c r="IN6" s="6">
        <v>45905</v>
      </c>
      <c r="IO6">
        <v>5</v>
      </c>
      <c r="IP6">
        <v>317125</v>
      </c>
      <c r="IQ6">
        <v>104365</v>
      </c>
      <c r="IR6" t="s">
        <v>2118</v>
      </c>
      <c r="IU6" t="s">
        <v>1824</v>
      </c>
      <c r="IV6">
        <v>5.3710050000000003</v>
      </c>
      <c r="IW6" t="s">
        <v>1777</v>
      </c>
      <c r="IX6">
        <v>0.231766</v>
      </c>
      <c r="IY6" t="s">
        <v>1768</v>
      </c>
      <c r="IZ6">
        <v>2025</v>
      </c>
      <c r="JA6" t="s">
        <v>2114</v>
      </c>
      <c r="JB6" s="6">
        <v>45912</v>
      </c>
      <c r="JC6">
        <v>5</v>
      </c>
      <c r="JD6">
        <v>47080940</v>
      </c>
      <c r="JE6">
        <v>100211</v>
      </c>
      <c r="JF6" t="s">
        <v>1825</v>
      </c>
      <c r="MW6" t="s">
        <v>2395</v>
      </c>
      <c r="MY6">
        <v>-2.4245362661989844E-14</v>
      </c>
      <c r="MZ6">
        <v>-2.4245362661989844E-14</v>
      </c>
      <c r="NA6" t="s">
        <v>1789</v>
      </c>
      <c r="NB6">
        <v>2023</v>
      </c>
      <c r="NC6" t="s">
        <v>2396</v>
      </c>
      <c r="ND6" s="6">
        <v>45035</v>
      </c>
      <c r="NE6">
        <v>5</v>
      </c>
      <c r="NF6">
        <v>-2.4245362661989844E-14</v>
      </c>
      <c r="NG6">
        <v>15499370</v>
      </c>
      <c r="NH6" t="s">
        <v>2397</v>
      </c>
      <c r="NK6" t="s">
        <v>2435</v>
      </c>
      <c r="NL6">
        <v>-2.4245362661989844E-14</v>
      </c>
      <c r="NN6">
        <v>-2.4245362661989844E-14</v>
      </c>
      <c r="NO6" t="s">
        <v>1996</v>
      </c>
      <c r="NP6">
        <v>2025</v>
      </c>
      <c r="NQ6" t="s">
        <v>2436</v>
      </c>
      <c r="NR6" s="6">
        <v>45868</v>
      </c>
      <c r="NS6">
        <v>5</v>
      </c>
      <c r="NT6">
        <v>-2.4245362661989844E-14</v>
      </c>
      <c r="NU6">
        <v>128411</v>
      </c>
      <c r="NV6" t="s">
        <v>2437</v>
      </c>
      <c r="PE6" t="s">
        <v>3471</v>
      </c>
      <c r="PG6">
        <v>-2.4245362661989844E-14</v>
      </c>
      <c r="PH6">
        <v>-2.4245362661989844E-14</v>
      </c>
      <c r="PI6" t="s">
        <v>1773</v>
      </c>
      <c r="PJ6">
        <v>2025</v>
      </c>
      <c r="PK6" t="s">
        <v>3469</v>
      </c>
      <c r="PL6" s="6">
        <v>45966</v>
      </c>
      <c r="PM6">
        <v>5</v>
      </c>
      <c r="PN6">
        <v>-2.4245362661989844E-14</v>
      </c>
      <c r="PO6">
        <v>934364</v>
      </c>
      <c r="PP6" t="s">
        <v>3472</v>
      </c>
      <c r="PS6" t="s">
        <v>4666</v>
      </c>
      <c r="PT6">
        <v>1.994356</v>
      </c>
      <c r="PU6" t="s">
        <v>1777</v>
      </c>
      <c r="PV6">
        <v>19.768999000000001</v>
      </c>
      <c r="PW6" t="s">
        <v>1768</v>
      </c>
      <c r="PX6">
        <v>2025</v>
      </c>
      <c r="PY6" t="s">
        <v>4667</v>
      </c>
      <c r="PZ6" s="6">
        <v>45875</v>
      </c>
      <c r="QA6">
        <v>5</v>
      </c>
      <c r="QB6">
        <v>2000000</v>
      </c>
      <c r="QC6">
        <v>67962950</v>
      </c>
      <c r="QD6" t="s">
        <v>4668</v>
      </c>
      <c r="TU6" t="s">
        <v>3699</v>
      </c>
      <c r="TV6" t="s">
        <v>1906</v>
      </c>
      <c r="TW6">
        <v>1.1559379999999999</v>
      </c>
      <c r="TX6">
        <v>10.771884999999999</v>
      </c>
      <c r="TY6" t="s">
        <v>1768</v>
      </c>
      <c r="TZ6">
        <v>2025</v>
      </c>
      <c r="UA6" t="s">
        <v>3700</v>
      </c>
      <c r="UB6" s="6">
        <v>45875</v>
      </c>
      <c r="UC6">
        <v>5</v>
      </c>
      <c r="UD6">
        <v>20952584.789999999</v>
      </c>
      <c r="UE6">
        <v>158756</v>
      </c>
      <c r="UF6" t="s">
        <v>3701</v>
      </c>
      <c r="UI6" t="s">
        <v>4327</v>
      </c>
      <c r="UJ6">
        <v>-2.4245362661989844E-14</v>
      </c>
      <c r="UL6">
        <v>-2.4245362661989844E-14</v>
      </c>
      <c r="UM6" t="s">
        <v>1789</v>
      </c>
      <c r="UN6">
        <v>2025</v>
      </c>
      <c r="UO6" t="s">
        <v>4328</v>
      </c>
      <c r="UP6" s="6">
        <v>46065</v>
      </c>
      <c r="UQ6">
        <v>5</v>
      </c>
      <c r="UR6">
        <v>-2.4245362661989844E-14</v>
      </c>
      <c r="US6">
        <v>100024</v>
      </c>
      <c r="UT6" t="s">
        <v>4329</v>
      </c>
    </row>
    <row r="7" spans="1:600" x14ac:dyDescent="0.25">
      <c r="IG7" t="s">
        <v>2924</v>
      </c>
      <c r="IH7" t="s">
        <v>1777</v>
      </c>
      <c r="II7">
        <v>3.8900000000000002E-4</v>
      </c>
      <c r="IJ7">
        <v>3.2330000000000002E-3</v>
      </c>
      <c r="IK7" t="s">
        <v>1785</v>
      </c>
      <c r="IL7">
        <v>2025</v>
      </c>
      <c r="IM7" t="s">
        <v>2925</v>
      </c>
      <c r="IN7" s="6">
        <v>46066</v>
      </c>
      <c r="IO7">
        <v>5</v>
      </c>
      <c r="IP7">
        <v>19127</v>
      </c>
      <c r="IQ7">
        <v>100668</v>
      </c>
      <c r="IR7" t="s">
        <v>2926</v>
      </c>
      <c r="IU7" t="s">
        <v>4351</v>
      </c>
      <c r="IV7">
        <v>4.0936830000000004</v>
      </c>
      <c r="IW7" t="s">
        <v>1777</v>
      </c>
      <c r="IX7">
        <v>0.323515</v>
      </c>
      <c r="IY7" t="s">
        <v>1768</v>
      </c>
      <c r="IZ7">
        <v>2025</v>
      </c>
      <c r="JA7" t="s">
        <v>2114</v>
      </c>
      <c r="JB7" s="6">
        <v>45912</v>
      </c>
      <c r="JC7">
        <v>5</v>
      </c>
      <c r="JD7">
        <v>35884244</v>
      </c>
      <c r="JE7">
        <v>100631</v>
      </c>
      <c r="JF7" t="s">
        <v>4352</v>
      </c>
      <c r="MW7" t="s">
        <v>2398</v>
      </c>
      <c r="MY7">
        <v>-2.4245362661989844E-14</v>
      </c>
      <c r="MZ7">
        <v>-2.4245362661989844E-14</v>
      </c>
      <c r="NA7" t="s">
        <v>1789</v>
      </c>
      <c r="NB7">
        <v>2023</v>
      </c>
      <c r="NC7" t="s">
        <v>2399</v>
      </c>
      <c r="ND7" s="6">
        <v>45410</v>
      </c>
      <c r="NE7">
        <v>5</v>
      </c>
      <c r="NF7">
        <v>-2.4245362661989844E-14</v>
      </c>
      <c r="NG7">
        <v>10142668</v>
      </c>
      <c r="NH7" t="s">
        <v>2400</v>
      </c>
      <c r="NK7" t="s">
        <v>2438</v>
      </c>
      <c r="NL7">
        <v>-2.4245362661989844E-14</v>
      </c>
      <c r="NN7">
        <v>-2.4245362661989844E-14</v>
      </c>
      <c r="NO7" t="s">
        <v>1789</v>
      </c>
      <c r="NP7">
        <v>2024</v>
      </c>
      <c r="NQ7" t="s">
        <v>2439</v>
      </c>
      <c r="NR7" s="6">
        <v>45759</v>
      </c>
      <c r="NS7">
        <v>5</v>
      </c>
      <c r="NT7">
        <v>-2.4245362661989844E-14</v>
      </c>
      <c r="NU7">
        <v>11934286</v>
      </c>
      <c r="NV7" t="s">
        <v>2440</v>
      </c>
      <c r="PE7" t="s">
        <v>3473</v>
      </c>
      <c r="PG7">
        <v>-2.4245362661989844E-14</v>
      </c>
      <c r="PH7">
        <v>-2.4245362661989844E-14</v>
      </c>
      <c r="PI7" t="s">
        <v>1773</v>
      </c>
      <c r="PJ7">
        <v>2025</v>
      </c>
      <c r="PK7" t="s">
        <v>3469</v>
      </c>
      <c r="PL7" s="6">
        <v>45966</v>
      </c>
      <c r="PM7">
        <v>5</v>
      </c>
      <c r="PN7">
        <v>-2.4245362661989844E-14</v>
      </c>
      <c r="PO7">
        <v>191189</v>
      </c>
      <c r="PP7" t="s">
        <v>3474</v>
      </c>
      <c r="PS7" t="s">
        <v>4669</v>
      </c>
      <c r="PT7">
        <v>0.89746000000000004</v>
      </c>
      <c r="PU7" t="s">
        <v>1777</v>
      </c>
      <c r="PV7">
        <v>2.0823689999999999</v>
      </c>
      <c r="PW7" t="s">
        <v>1768</v>
      </c>
      <c r="PX7">
        <v>2025</v>
      </c>
      <c r="PY7" t="s">
        <v>4667</v>
      </c>
      <c r="PZ7" s="6">
        <v>45875</v>
      </c>
      <c r="QA7">
        <v>5</v>
      </c>
      <c r="QB7">
        <v>900000</v>
      </c>
      <c r="QC7">
        <v>48572203</v>
      </c>
      <c r="QD7" t="s">
        <v>4670</v>
      </c>
      <c r="TU7" t="s">
        <v>2037</v>
      </c>
      <c r="TV7" t="s">
        <v>1777</v>
      </c>
      <c r="TW7">
        <v>0.27560200000000001</v>
      </c>
      <c r="TX7">
        <v>0.48708800000000002</v>
      </c>
      <c r="TY7" t="s">
        <v>1768</v>
      </c>
      <c r="TZ7">
        <v>2025</v>
      </c>
      <c r="UA7" t="s">
        <v>2038</v>
      </c>
      <c r="UB7" s="6">
        <v>45922</v>
      </c>
      <c r="UC7">
        <v>5</v>
      </c>
      <c r="UD7">
        <v>4213797</v>
      </c>
      <c r="UE7">
        <v>11937231</v>
      </c>
      <c r="UF7" t="s">
        <v>2039</v>
      </c>
      <c r="UI7" t="s">
        <v>3271</v>
      </c>
      <c r="UJ7">
        <v>-2.4245362661989844E-14</v>
      </c>
      <c r="UL7">
        <v>-2.4245362661989844E-14</v>
      </c>
      <c r="UM7" t="s">
        <v>1789</v>
      </c>
      <c r="UN7">
        <v>2025</v>
      </c>
      <c r="UO7" t="s">
        <v>4330</v>
      </c>
      <c r="UP7" s="6">
        <v>46064</v>
      </c>
      <c r="UQ7">
        <v>5</v>
      </c>
      <c r="UR7">
        <v>-2.4245362661989844E-14</v>
      </c>
      <c r="US7">
        <v>11826145</v>
      </c>
      <c r="UT7" t="s">
        <v>3272</v>
      </c>
    </row>
    <row r="8" spans="1:600" x14ac:dyDescent="0.25">
      <c r="IG8" t="s">
        <v>2927</v>
      </c>
      <c r="II8">
        <v>-2.4245362661989844E-14</v>
      </c>
      <c r="IJ8">
        <v>-2.4245362661989844E-14</v>
      </c>
      <c r="IK8" t="s">
        <v>1789</v>
      </c>
      <c r="IL8">
        <v>2022</v>
      </c>
      <c r="IM8" t="s">
        <v>2928</v>
      </c>
      <c r="IN8" s="6">
        <v>44819</v>
      </c>
      <c r="IO8">
        <v>5</v>
      </c>
      <c r="IP8">
        <v>-2.4245362661989844E-14</v>
      </c>
      <c r="IQ8">
        <v>51823450</v>
      </c>
      <c r="IR8" t="s">
        <v>2929</v>
      </c>
      <c r="IU8" t="s">
        <v>1887</v>
      </c>
      <c r="IV8">
        <v>3.5794600000000001</v>
      </c>
      <c r="IW8" t="s">
        <v>1777</v>
      </c>
      <c r="IX8">
        <v>0.20200499999999999</v>
      </c>
      <c r="IY8" t="s">
        <v>1768</v>
      </c>
      <c r="IZ8">
        <v>2025</v>
      </c>
      <c r="JA8" t="s">
        <v>2114</v>
      </c>
      <c r="JB8" s="6">
        <v>45912</v>
      </c>
      <c r="JC8">
        <v>5</v>
      </c>
      <c r="JD8">
        <v>31376688</v>
      </c>
      <c r="JE8">
        <v>876285</v>
      </c>
      <c r="JF8" t="s">
        <v>1888</v>
      </c>
      <c r="MW8" t="s">
        <v>2401</v>
      </c>
      <c r="MY8">
        <v>-2.4245362661989844E-14</v>
      </c>
      <c r="MZ8">
        <v>-2.4245362661989844E-14</v>
      </c>
      <c r="NA8" t="s">
        <v>1789</v>
      </c>
      <c r="NB8">
        <v>2024</v>
      </c>
      <c r="NC8" t="s">
        <v>2402</v>
      </c>
      <c r="ND8" s="6">
        <v>45777</v>
      </c>
      <c r="NE8">
        <v>5</v>
      </c>
      <c r="NF8">
        <v>-2.4245362661989844E-14</v>
      </c>
      <c r="NG8">
        <v>193280</v>
      </c>
      <c r="NH8" t="s">
        <v>2403</v>
      </c>
      <c r="NK8" t="s">
        <v>2441</v>
      </c>
      <c r="NL8">
        <v>-2.4245362661989844E-14</v>
      </c>
      <c r="NN8">
        <v>-2.4245362661989844E-14</v>
      </c>
      <c r="NO8" t="s">
        <v>1781</v>
      </c>
      <c r="NP8">
        <v>2025</v>
      </c>
      <c r="NQ8" t="s">
        <v>2442</v>
      </c>
      <c r="NR8" s="6">
        <v>45816</v>
      </c>
      <c r="NS8">
        <v>5</v>
      </c>
      <c r="NT8">
        <v>-2.4245362661989844E-14</v>
      </c>
      <c r="NU8">
        <v>65188390</v>
      </c>
      <c r="NV8" t="s">
        <v>2443</v>
      </c>
      <c r="PE8" t="s">
        <v>1940</v>
      </c>
      <c r="PG8">
        <v>-2.4245362661989844E-14</v>
      </c>
      <c r="PH8">
        <v>-2.4245362661989844E-14</v>
      </c>
      <c r="PI8" t="s">
        <v>1773</v>
      </c>
      <c r="PJ8">
        <v>2025</v>
      </c>
      <c r="PK8" t="s">
        <v>3469</v>
      </c>
      <c r="PL8" s="6">
        <v>45966</v>
      </c>
      <c r="PM8">
        <v>5</v>
      </c>
      <c r="PN8">
        <v>-2.4245362661989844E-14</v>
      </c>
      <c r="PO8">
        <v>111093</v>
      </c>
      <c r="PP8" t="s">
        <v>1942</v>
      </c>
      <c r="PS8" t="s">
        <v>3317</v>
      </c>
      <c r="PT8">
        <v>-2.4245362661989844E-14</v>
      </c>
      <c r="PV8">
        <v>-2.4245362661989844E-14</v>
      </c>
      <c r="PW8" t="s">
        <v>1789</v>
      </c>
      <c r="PX8">
        <v>2024</v>
      </c>
      <c r="PY8" t="s">
        <v>4671</v>
      </c>
      <c r="PZ8" s="6">
        <v>45714</v>
      </c>
      <c r="QA8">
        <v>5</v>
      </c>
      <c r="QB8">
        <v>-2.4245362661989844E-14</v>
      </c>
      <c r="QC8">
        <v>962205</v>
      </c>
      <c r="QD8" t="s">
        <v>3318</v>
      </c>
      <c r="TU8" t="s">
        <v>2116</v>
      </c>
      <c r="TV8" t="s">
        <v>1777</v>
      </c>
      <c r="TW8">
        <v>0.13839899999999999</v>
      </c>
      <c r="TX8">
        <v>0.18359200000000001</v>
      </c>
      <c r="TY8" t="s">
        <v>1773</v>
      </c>
      <c r="TZ8">
        <v>2025</v>
      </c>
      <c r="UA8" t="s">
        <v>2117</v>
      </c>
      <c r="UB8" s="6">
        <v>45905</v>
      </c>
      <c r="UC8">
        <v>5</v>
      </c>
      <c r="UD8">
        <v>1588254</v>
      </c>
      <c r="UE8">
        <v>104365</v>
      </c>
      <c r="UF8" t="s">
        <v>2118</v>
      </c>
      <c r="UI8" t="s">
        <v>4331</v>
      </c>
      <c r="UJ8">
        <v>-2.4245362661989844E-14</v>
      </c>
      <c r="UL8">
        <v>-2.4245362661989844E-14</v>
      </c>
      <c r="UM8" t="s">
        <v>1789</v>
      </c>
      <c r="UN8">
        <v>2024</v>
      </c>
      <c r="UO8" t="s">
        <v>4332</v>
      </c>
      <c r="UP8" s="6">
        <v>45737</v>
      </c>
      <c r="UQ8">
        <v>5</v>
      </c>
      <c r="UR8">
        <v>-2.4245362661989844E-14</v>
      </c>
      <c r="US8">
        <v>68784466</v>
      </c>
      <c r="UT8" t="s">
        <v>4333</v>
      </c>
    </row>
    <row r="9" spans="1:600" x14ac:dyDescent="0.25">
      <c r="IG9" t="s">
        <v>2930</v>
      </c>
      <c r="II9">
        <v>-2.4245362661989844E-14</v>
      </c>
      <c r="IJ9">
        <v>-2.4245362661989844E-14</v>
      </c>
      <c r="IK9" t="s">
        <v>1789</v>
      </c>
      <c r="IL9">
        <v>2024</v>
      </c>
      <c r="IM9" t="s">
        <v>2928</v>
      </c>
      <c r="IN9" s="6">
        <v>45630</v>
      </c>
      <c r="IO9">
        <v>5</v>
      </c>
      <c r="IP9">
        <v>-2.4245362661989844E-14</v>
      </c>
      <c r="IQ9">
        <v>59392002</v>
      </c>
      <c r="IR9" t="s">
        <v>2931</v>
      </c>
      <c r="IU9" t="s">
        <v>1821</v>
      </c>
      <c r="IV9">
        <v>2.8929900000000002</v>
      </c>
      <c r="IW9" t="s">
        <v>1777</v>
      </c>
      <c r="IX9">
        <v>0.146121</v>
      </c>
      <c r="IY9" t="s">
        <v>1768</v>
      </c>
      <c r="IZ9">
        <v>2025</v>
      </c>
      <c r="JA9" t="s">
        <v>2114</v>
      </c>
      <c r="JB9" s="6">
        <v>45912</v>
      </c>
      <c r="JC9">
        <v>5</v>
      </c>
      <c r="JD9">
        <v>25359256</v>
      </c>
      <c r="JE9">
        <v>156923</v>
      </c>
      <c r="JF9" t="s">
        <v>1822</v>
      </c>
      <c r="MW9" t="s">
        <v>2404</v>
      </c>
      <c r="MY9">
        <v>-2.4245362661989844E-14</v>
      </c>
      <c r="MZ9">
        <v>-2.4245362661989844E-14</v>
      </c>
      <c r="NA9" t="s">
        <v>1773</v>
      </c>
      <c r="NB9">
        <v>2025</v>
      </c>
      <c r="NC9" t="s">
        <v>2405</v>
      </c>
      <c r="ND9" s="6">
        <v>46015</v>
      </c>
      <c r="NE9">
        <v>5</v>
      </c>
      <c r="NF9">
        <v>-2.4245362661989844E-14</v>
      </c>
      <c r="NG9">
        <v>43560927</v>
      </c>
      <c r="NH9" t="s">
        <v>2406</v>
      </c>
      <c r="NK9" t="s">
        <v>2444</v>
      </c>
      <c r="NL9">
        <v>-2.4245362661989844E-14</v>
      </c>
      <c r="NN9">
        <v>-2.4245362661989844E-14</v>
      </c>
      <c r="NO9" t="s">
        <v>1768</v>
      </c>
      <c r="NP9">
        <v>2025</v>
      </c>
      <c r="NQ9" t="s">
        <v>2445</v>
      </c>
      <c r="NR9" s="6">
        <v>45874</v>
      </c>
      <c r="NS9">
        <v>5</v>
      </c>
      <c r="NT9">
        <v>-2.4245362661989844E-14</v>
      </c>
      <c r="NU9">
        <v>66391008</v>
      </c>
      <c r="NV9" t="s">
        <v>2446</v>
      </c>
      <c r="PE9" t="s">
        <v>3475</v>
      </c>
      <c r="PG9">
        <v>-2.4245362661989844E-14</v>
      </c>
      <c r="PH9">
        <v>-2.4245362661989844E-14</v>
      </c>
      <c r="PI9" t="s">
        <v>1773</v>
      </c>
      <c r="PJ9">
        <v>2025</v>
      </c>
      <c r="PK9" t="s">
        <v>3469</v>
      </c>
      <c r="PL9" s="6">
        <v>45966</v>
      </c>
      <c r="PM9">
        <v>5</v>
      </c>
      <c r="PN9">
        <v>-2.4245362661989844E-14</v>
      </c>
      <c r="PO9">
        <v>7119218</v>
      </c>
      <c r="PP9" t="s">
        <v>3476</v>
      </c>
      <c r="PS9" t="s">
        <v>4672</v>
      </c>
      <c r="PT9">
        <v>-2.4245362661989844E-14</v>
      </c>
      <c r="PV9">
        <v>-2.4245362661989844E-14</v>
      </c>
      <c r="PW9" t="s">
        <v>1789</v>
      </c>
      <c r="PX9">
        <v>2024</v>
      </c>
      <c r="PY9" t="s">
        <v>4671</v>
      </c>
      <c r="PZ9" s="6">
        <v>45714</v>
      </c>
      <c r="QA9">
        <v>5</v>
      </c>
      <c r="QB9">
        <v>-2.4245362661989844E-14</v>
      </c>
      <c r="QC9">
        <v>938199</v>
      </c>
      <c r="QD9" t="s">
        <v>4673</v>
      </c>
      <c r="TU9" t="s">
        <v>3702</v>
      </c>
      <c r="TV9" t="s">
        <v>1777</v>
      </c>
      <c r="TW9">
        <v>0.18884999999999999</v>
      </c>
      <c r="TX9">
        <v>0.17325199999999999</v>
      </c>
      <c r="TY9" t="s">
        <v>1781</v>
      </c>
      <c r="TZ9">
        <v>2026</v>
      </c>
      <c r="UA9" t="s">
        <v>3703</v>
      </c>
      <c r="UB9" s="6">
        <v>45891</v>
      </c>
      <c r="UC9">
        <v>5</v>
      </c>
      <c r="UD9">
        <v>1498184.53</v>
      </c>
      <c r="UE9">
        <v>108592</v>
      </c>
      <c r="UF9" t="s">
        <v>3704</v>
      </c>
      <c r="UI9" t="s">
        <v>1889</v>
      </c>
      <c r="UJ9">
        <v>-2.4245362661989844E-14</v>
      </c>
      <c r="UL9">
        <v>-2.4245362661989844E-14</v>
      </c>
      <c r="UM9" t="s">
        <v>1789</v>
      </c>
      <c r="UN9">
        <v>2025</v>
      </c>
      <c r="UO9" t="s">
        <v>4334</v>
      </c>
      <c r="UP9" s="6">
        <v>46065</v>
      </c>
      <c r="UQ9">
        <v>5</v>
      </c>
      <c r="UR9">
        <v>-2.4245362661989844E-14</v>
      </c>
      <c r="US9">
        <v>10451815</v>
      </c>
      <c r="UT9" t="s">
        <v>1890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474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475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476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477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478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479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480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481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482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483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484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485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486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487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488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489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490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491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492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493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494</v>
      </c>
      <c r="AE2" s="3" t="s">
        <v>495</v>
      </c>
      <c r="BI2" s="3" t="s">
        <v>496</v>
      </c>
      <c r="CM2" s="3" t="s">
        <v>497</v>
      </c>
      <c r="DQ2" s="3" t="s">
        <v>498</v>
      </c>
      <c r="EU2" s="3" t="s">
        <v>499</v>
      </c>
      <c r="FY2" s="3" t="s">
        <v>500</v>
      </c>
      <c r="HC2" s="3" t="s">
        <v>501</v>
      </c>
      <c r="IG2" s="3" t="s">
        <v>502</v>
      </c>
      <c r="JK2" s="3" t="s">
        <v>163</v>
      </c>
      <c r="KO2" s="3" t="s">
        <v>503</v>
      </c>
      <c r="LS2" s="3" t="s">
        <v>384</v>
      </c>
      <c r="MW2" s="3" t="s">
        <v>195</v>
      </c>
      <c r="OA2" s="3" t="s">
        <v>504</v>
      </c>
      <c r="PE2" s="3" t="s">
        <v>505</v>
      </c>
      <c r="QI2" s="3" t="s">
        <v>506</v>
      </c>
      <c r="RM2" s="3" t="s">
        <v>507</v>
      </c>
      <c r="SQ2" s="3" t="s">
        <v>79</v>
      </c>
      <c r="TU2" s="3" t="s">
        <v>390</v>
      </c>
      <c r="UY2" s="3" t="s">
        <v>508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_xll.BDS("KTO US Equity","SUPPLY_CHAIN_SUPPLIERS_ALL_DATA")</f>
        <v>#N/A N/A</v>
      </c>
      <c r="O5" t="str">
        <f>_xll.BDS("KTO US Equity","SUPPLY_CHAIN_CUSTOMERS_ALL_DATA")</f>
        <v>#N/A N/A</v>
      </c>
      <c r="AE5" t="str">
        <f>_xll.BDS("CTLT US Equity","SUPPLY_CHAIN_SUPPLIERS_ALL_DATA","cols=12;rows=5")</f>
        <v>AZTA US Equity</v>
      </c>
      <c r="AF5" t="s">
        <v>1777</v>
      </c>
      <c r="AG5">
        <v>0.33104099999999997</v>
      </c>
      <c r="AH5">
        <v>5.6592000000000003E-2</v>
      </c>
      <c r="AI5" t="s">
        <v>1773</v>
      </c>
      <c r="AJ5">
        <v>2025</v>
      </c>
      <c r="AK5" t="s">
        <v>4083</v>
      </c>
      <c r="AL5" s="6">
        <v>45980</v>
      </c>
      <c r="AM5">
        <v>5</v>
      </c>
      <c r="AN5">
        <v>476507</v>
      </c>
      <c r="AO5">
        <v>159732</v>
      </c>
      <c r="AP5" t="s">
        <v>4084</v>
      </c>
      <c r="AS5" t="str">
        <f>_xll.BDS("CTLT US Equity","SUPPLY_CHAIN_CUSTOMERS_ALL_DATA","cols=12;rows=5")</f>
        <v>NOVOB DC Equity</v>
      </c>
      <c r="AT5">
        <v>2.442088</v>
      </c>
      <c r="AU5" t="s">
        <v>2574</v>
      </c>
      <c r="AV5">
        <v>1.427775</v>
      </c>
      <c r="AW5" t="s">
        <v>1789</v>
      </c>
      <c r="AX5">
        <v>2025</v>
      </c>
      <c r="AY5" t="s">
        <v>3294</v>
      </c>
      <c r="AZ5" s="6">
        <v>46057</v>
      </c>
      <c r="BA5">
        <v>5</v>
      </c>
      <c r="BB5">
        <v>28124205.789999999</v>
      </c>
      <c r="BC5">
        <v>101095</v>
      </c>
      <c r="BD5" t="s">
        <v>1945</v>
      </c>
      <c r="BI5" t="str">
        <f>_xll.BDS("TSA US Equity","SUPPLY_CHAIN_SUPPLIERS_ALL_DATA")</f>
        <v>#N/A N/A</v>
      </c>
      <c r="BW5" t="str">
        <f>_xll.BDS("TSA US Equity","SUPPLY_CHAIN_CUSTOMERS_ALL_DATA")</f>
        <v>#N/A N/A</v>
      </c>
      <c r="CM5" t="str">
        <f>_xll.BDS("ASRT US Equity","SUPPLY_CHAIN_SUPPLIERS_ALL_DATA","cols=12;rows=5")</f>
        <v>HALO US Equity</v>
      </c>
      <c r="CN5" t="s">
        <v>1777</v>
      </c>
      <c r="CO5">
        <v>0.33819300000000002</v>
      </c>
      <c r="CP5">
        <v>8.7746890000000004</v>
      </c>
      <c r="CQ5" t="s">
        <v>1773</v>
      </c>
      <c r="CR5">
        <v>2025</v>
      </c>
      <c r="CS5" t="s">
        <v>2581</v>
      </c>
      <c r="CT5" s="6">
        <v>46050</v>
      </c>
      <c r="CU5">
        <v>5</v>
      </c>
      <c r="CV5">
        <v>1198096</v>
      </c>
      <c r="CW5">
        <v>1753841</v>
      </c>
      <c r="CX5" t="s">
        <v>2582</v>
      </c>
      <c r="DA5" t="str">
        <f>_xll.BDS("ASRT US Equity","SUPPLY_CHAIN_CUSTOMERS_ALL_DATA","cols=12;rows=5")</f>
        <v>COR US Equity</v>
      </c>
      <c r="DB5">
        <v>40</v>
      </c>
      <c r="DC5" t="s">
        <v>1777</v>
      </c>
      <c r="DD5">
        <v>1.7048000000000001E-2</v>
      </c>
      <c r="DE5" t="s">
        <v>1789</v>
      </c>
      <c r="DF5">
        <v>2024</v>
      </c>
      <c r="DG5" t="s">
        <v>2936</v>
      </c>
      <c r="DH5" s="6">
        <v>45728</v>
      </c>
      <c r="DI5">
        <v>5</v>
      </c>
      <c r="DJ5">
        <v>12496100</v>
      </c>
      <c r="DK5">
        <v>156969</v>
      </c>
      <c r="DL5" t="s">
        <v>2531</v>
      </c>
      <c r="DQ5" t="str">
        <f>_xll.BDS("INTU US Equity","SUPPLY_CHAIN_SUPPLIERS_ALL_DATA","cols=12;rows=5")</f>
        <v>EMBASSY IN Equity</v>
      </c>
      <c r="DR5" t="s">
        <v>1808</v>
      </c>
      <c r="DS5">
        <v>1.3256429999999999</v>
      </c>
      <c r="DT5">
        <v>9.8097000000000004E-2</v>
      </c>
      <c r="DU5" t="s">
        <v>1789</v>
      </c>
      <c r="DV5">
        <v>2025</v>
      </c>
      <c r="DW5" t="s">
        <v>2664</v>
      </c>
      <c r="DX5" s="6">
        <v>45817</v>
      </c>
      <c r="DY5">
        <v>5</v>
      </c>
      <c r="DZ5">
        <v>1583580.52</v>
      </c>
      <c r="EA5">
        <v>63052670</v>
      </c>
      <c r="EB5" t="s">
        <v>2665</v>
      </c>
      <c r="EE5" t="str">
        <f>_xll.BDS("INTU US Equity","SUPPLY_CHAIN_CUSTOMERS_ALL_DATA","cols=12;rows=5")</f>
        <v>SNX US Equity</v>
      </c>
      <c r="EF5">
        <v>0.41684900000000003</v>
      </c>
      <c r="EG5" t="s">
        <v>1777</v>
      </c>
      <c r="EH5">
        <v>0.100063</v>
      </c>
      <c r="EI5" t="s">
        <v>1785</v>
      </c>
      <c r="EJ5">
        <v>2025</v>
      </c>
      <c r="EK5" t="s">
        <v>1903</v>
      </c>
      <c r="EL5" s="6">
        <v>46056</v>
      </c>
      <c r="EM5">
        <v>5</v>
      </c>
      <c r="EN5">
        <v>16194586</v>
      </c>
      <c r="EO5">
        <v>1499717</v>
      </c>
      <c r="EP5" t="s">
        <v>1904</v>
      </c>
      <c r="EU5" t="str">
        <f>_xll.BDS("CNVR US Equity","SUPPLY_CHAIN_SUPPLIERS_ALL_DATA")</f>
        <v>#N/A N/A</v>
      </c>
      <c r="FI5" t="str">
        <f>_xll.BDS("CNVR US Equity","SUPPLY_CHAIN_CUSTOMERS_ALL_DATA")</f>
        <v>#N/A N/A</v>
      </c>
      <c r="FY5" t="str">
        <f>_xll.BDS("FSTR US Equity","SUPPLY_CHAIN_SUPPLIERS_ALL_DATA","cols=12;rows=5")</f>
        <v>AEP US Equity</v>
      </c>
      <c r="GA5">
        <v>-2.4245362661989844E-14</v>
      </c>
      <c r="GB5">
        <v>-2.4245362661989844E-14</v>
      </c>
      <c r="GC5" t="s">
        <v>1789</v>
      </c>
      <c r="GD5">
        <v>2021</v>
      </c>
      <c r="GE5" t="s">
        <v>1919</v>
      </c>
      <c r="GF5" s="6">
        <v>44693</v>
      </c>
      <c r="GG5">
        <v>5</v>
      </c>
      <c r="GH5">
        <v>-2.4245362661989844E-14</v>
      </c>
      <c r="GI5">
        <v>100060</v>
      </c>
      <c r="GJ5" t="s">
        <v>1920</v>
      </c>
      <c r="GM5" t="str">
        <f>_xll.BDS("FSTR US Equity","SUPPLY_CHAIN_CUSTOMERS_ALL_DATA")</f>
        <v>#N/A N/A</v>
      </c>
      <c r="HC5" t="str">
        <f>_xll.BDS("CAMPQ US Equity","SUPPLY_CHAIN_SUPPLIERS_ALL_DATA","cols=12;rows=5")</f>
        <v>0131527D US Equity</v>
      </c>
      <c r="HE5">
        <v>-2.4245362661989844E-14</v>
      </c>
      <c r="HF5">
        <v>-2.4245362661989844E-14</v>
      </c>
      <c r="HG5" t="s">
        <v>1768</v>
      </c>
      <c r="HH5">
        <v>2025</v>
      </c>
      <c r="HI5" t="s">
        <v>4488</v>
      </c>
      <c r="HJ5" s="6">
        <v>45446</v>
      </c>
      <c r="HK5">
        <v>5</v>
      </c>
      <c r="HL5">
        <v>-2.4245362661989844E-14</v>
      </c>
      <c r="HM5">
        <v>934119</v>
      </c>
      <c r="HN5" t="s">
        <v>4489</v>
      </c>
      <c r="HQ5" t="str">
        <f>_xll.BDS("CAMPQ US Equity","SUPPLY_CHAIN_CUSTOMERS_ALL_DATA","cols=12;rows=5")</f>
        <v>SNX US Equity</v>
      </c>
      <c r="HR5">
        <v>5.313015</v>
      </c>
      <c r="HS5" t="s">
        <v>1777</v>
      </c>
      <c r="HT5">
        <v>1.9245999999999999E-2</v>
      </c>
      <c r="HU5" t="s">
        <v>1785</v>
      </c>
      <c r="HV5">
        <v>2024</v>
      </c>
      <c r="HW5" t="s">
        <v>1903</v>
      </c>
      <c r="HX5" s="6">
        <v>45722</v>
      </c>
      <c r="HY5">
        <v>5</v>
      </c>
      <c r="HZ5">
        <v>2849104</v>
      </c>
      <c r="IA5">
        <v>1499717</v>
      </c>
      <c r="IB5" t="s">
        <v>1904</v>
      </c>
      <c r="IG5" t="str">
        <f>_xll.BDS("3406956Q US Equity","SUPPLY_CHAIN_SUPPLIERS_ALL_DATA")</f>
        <v>#N/A N/A</v>
      </c>
      <c r="IU5" t="str">
        <f>_xll.BDS("3406956Q US Equity","SUPPLY_CHAIN_CUSTOMERS_ALL_DATA")</f>
        <v>#N/A N/A</v>
      </c>
      <c r="JK5" t="str">
        <f>_xll.BDS("FNB US Equity","SUPPLY_CHAIN_SUPPLIERS_ALL_DATA","cols=12;rows=1")</f>
        <v>HY US Equity</v>
      </c>
      <c r="JM5">
        <v>-2.4245362661989844E-14</v>
      </c>
      <c r="JN5">
        <v>-2.4245362661989844E-14</v>
      </c>
      <c r="JO5" t="s">
        <v>1789</v>
      </c>
      <c r="JP5">
        <v>2024</v>
      </c>
      <c r="JQ5" t="s">
        <v>2269</v>
      </c>
      <c r="JR5" s="6">
        <v>45427</v>
      </c>
      <c r="JS5">
        <v>1</v>
      </c>
      <c r="JT5">
        <v>-2.4245362661989844E-14</v>
      </c>
      <c r="JU5">
        <v>159242</v>
      </c>
      <c r="JV5" t="s">
        <v>2270</v>
      </c>
      <c r="JY5" t="str">
        <f>_xll.BDS("FNB US Equity","SUPPLY_CHAIN_CUSTOMERS_ALL_DATA")</f>
        <v>#N/A N/A</v>
      </c>
      <c r="KO5" t="str">
        <f>_xll.BDS("604898Q US Equity","SUPPLY_CHAIN_SUPPLIERS_ALL_DATA")</f>
        <v>#N/A N/A</v>
      </c>
      <c r="LC5" t="str">
        <f>_xll.BDS("604898Q US Equity","SUPPLY_CHAIN_CUSTOMERS_ALL_DATA")</f>
        <v>#N/A N/A</v>
      </c>
      <c r="LS5" t="str">
        <f>_xll.BDS("WM US Equity","SUPPLY_CHAIN_SUPPLIERS_ALL_DATA","cols=12;rows=5")</f>
        <v>CNR CN Equity</v>
      </c>
      <c r="LT5" t="s">
        <v>1777</v>
      </c>
      <c r="LU5">
        <v>0.30433300000000002</v>
      </c>
      <c r="LV5">
        <v>0.25606899999999999</v>
      </c>
      <c r="LW5" t="s">
        <v>1781</v>
      </c>
      <c r="LX5">
        <v>2025</v>
      </c>
      <c r="LY5" t="s">
        <v>2267</v>
      </c>
      <c r="LZ5" s="6">
        <v>45849</v>
      </c>
      <c r="MA5">
        <v>5</v>
      </c>
      <c r="MB5">
        <v>9338736.1799999997</v>
      </c>
      <c r="MC5">
        <v>179551</v>
      </c>
      <c r="MD5" t="s">
        <v>2268</v>
      </c>
      <c r="MG5" t="str">
        <f>_xll.BDS("WM US Equity","SUPPLY_CHAIN_CUSTOMERS_ALL_DATA","cols=12;rows=1")</f>
        <v>FLCM US Equity</v>
      </c>
      <c r="MH5">
        <v>-2.4245362661989844E-14</v>
      </c>
      <c r="MJ5">
        <v>-2.4245362661989844E-14</v>
      </c>
      <c r="MK5" t="s">
        <v>1768</v>
      </c>
      <c r="ML5">
        <v>2024</v>
      </c>
      <c r="MM5" t="s">
        <v>2981</v>
      </c>
      <c r="MN5" s="6">
        <v>45546</v>
      </c>
      <c r="MO5">
        <v>1</v>
      </c>
      <c r="MP5">
        <v>-2.4245362661989844E-14</v>
      </c>
      <c r="MQ5">
        <v>27386014</v>
      </c>
      <c r="MR5" t="s">
        <v>2982</v>
      </c>
      <c r="MW5" t="str">
        <f>_xll.BDS("2185054D US Equity","SUPPLY_CHAIN_SUPPLIERS_ALL_DATA")</f>
        <v>#N/A N/A</v>
      </c>
      <c r="NK5" t="str">
        <f>_xll.BDS("2185054D US Equity","SUPPLY_CHAIN_CUSTOMERS_ALL_DATA")</f>
        <v>#N/A N/A</v>
      </c>
      <c r="OA5" t="str">
        <f>_xll.BDS("PSTB US Equity","SUPPLY_CHAIN_SUPPLIERS_ALL_DATA")</f>
        <v>#N/A N/A</v>
      </c>
      <c r="OO5" t="str">
        <f>_xll.BDS("PSTB US Equity","SUPPLY_CHAIN_CUSTOMERS_ALL_DATA")</f>
        <v>#N/A N/A</v>
      </c>
      <c r="PE5" t="str">
        <f>_xll.BDS("VIAS US Equity","SUPPLY_CHAIN_SUPPLIERS_ALL_DATA")</f>
        <v>#N/A N/A</v>
      </c>
      <c r="PS5" t="str">
        <f>_xll.BDS("VIAS US Equity","SUPPLY_CHAIN_CUSTOMERS_ALL_DATA")</f>
        <v>#N/A N/A</v>
      </c>
      <c r="QI5" t="str">
        <f>_xll.BDS("WNEB US Equity","SUPPLY_CHAIN_SUPPLIERS_ALL_DATA")</f>
        <v>#N/A N/A</v>
      </c>
      <c r="QW5" t="str">
        <f>_xll.BDS("WNEB US Equity","SUPPLY_CHAIN_CUSTOMERS_ALL_DATA")</f>
        <v>#N/A N/A</v>
      </c>
      <c r="RM5" t="str">
        <f>_xll.BDS("CALX US Equity","SUPPLY_CHAIN_SUPPLIERS_ALL_DATA","cols=12;rows=5")</f>
        <v>JBL US Equity</v>
      </c>
      <c r="RN5" t="s">
        <v>1777</v>
      </c>
      <c r="RO5">
        <v>5.5100000000000001E-3</v>
      </c>
      <c r="RP5">
        <v>0.40849999999999997</v>
      </c>
      <c r="RQ5" t="s">
        <v>1773</v>
      </c>
      <c r="RR5">
        <v>2025</v>
      </c>
      <c r="RS5" t="s">
        <v>2424</v>
      </c>
      <c r="RT5" s="6">
        <v>45867</v>
      </c>
      <c r="RU5">
        <v>5</v>
      </c>
      <c r="RV5">
        <v>431323</v>
      </c>
      <c r="RW5">
        <v>117092</v>
      </c>
      <c r="RX5" t="s">
        <v>2425</v>
      </c>
      <c r="SA5" t="str">
        <f>_xll.BDS("CALX US Equity","SUPPLY_CHAIN_CUSTOMERS_ALL_DATA","cols=12;rows=5")</f>
        <v>0035808D US Equity</v>
      </c>
      <c r="SB5">
        <v>-2.4245362661989844E-14</v>
      </c>
      <c r="SD5">
        <v>-2.4245362661989844E-14</v>
      </c>
      <c r="SE5" t="s">
        <v>1789</v>
      </c>
      <c r="SF5">
        <v>2023</v>
      </c>
      <c r="SG5" t="s">
        <v>4674</v>
      </c>
      <c r="SH5" s="6">
        <v>45217</v>
      </c>
      <c r="SI5">
        <v>5</v>
      </c>
      <c r="SJ5">
        <v>-2.4245362661989844E-14</v>
      </c>
      <c r="SK5">
        <v>926971</v>
      </c>
      <c r="SL5" t="s">
        <v>4675</v>
      </c>
      <c r="SQ5" t="str">
        <f>_xll.BDS("BBT US Equity","SUPPLY_CHAIN_SUPPLIERS_ALL_DATA")</f>
        <v>#N/A N/A</v>
      </c>
      <c r="TE5" t="str">
        <f>_xll.BDS("BBT US Equity","SUPPLY_CHAIN_CUSTOMERS_ALL_DATA")</f>
        <v>#N/A N/A</v>
      </c>
      <c r="TU5" t="str">
        <f>_xll.BDS("CHZ US Equity","SUPPLY_CHAIN_SUPPLIERS_ALL_DATA")</f>
        <v>#N/A N/A</v>
      </c>
      <c r="UI5" t="str">
        <f>_xll.BDS("CHZ US Equity","SUPPLY_CHAIN_CUSTOMERS_ALL_DATA")</f>
        <v>#N/A N/A</v>
      </c>
      <c r="UY5" t="str">
        <f>_xll.BDS("CSTR US Equity","SUPPLY_CHAIN_SUPPLIERS_ALL_DATA")</f>
        <v>#N/A N/A</v>
      </c>
      <c r="VM5" t="str">
        <f>_xll.BDS("CSTR US Equity","SUPPLY_CHAIN_CUSTOMERS_ALL_DATA")</f>
        <v>#N/A N/A</v>
      </c>
    </row>
    <row r="6" spans="1:600" x14ac:dyDescent="0.25">
      <c r="AE6" t="s">
        <v>4085</v>
      </c>
      <c r="AF6" t="s">
        <v>1777</v>
      </c>
      <c r="AG6">
        <v>0.15486900000000001</v>
      </c>
      <c r="AH6">
        <v>7.6569999999999997E-3</v>
      </c>
      <c r="AI6" t="s">
        <v>1773</v>
      </c>
      <c r="AJ6">
        <v>2025</v>
      </c>
      <c r="AK6" t="s">
        <v>4086</v>
      </c>
      <c r="AL6" s="6">
        <v>46041</v>
      </c>
      <c r="AM6">
        <v>5</v>
      </c>
      <c r="AN6">
        <v>64472</v>
      </c>
      <c r="AO6">
        <v>69205882</v>
      </c>
      <c r="AP6" t="s">
        <v>4087</v>
      </c>
      <c r="AS6" t="s">
        <v>3295</v>
      </c>
      <c r="AT6">
        <v>-2.4245362661989844E-14</v>
      </c>
      <c r="AV6">
        <v>-2.4245362661989844E-14</v>
      </c>
      <c r="AW6" t="s">
        <v>1996</v>
      </c>
      <c r="AX6">
        <v>2025</v>
      </c>
      <c r="AY6" t="s">
        <v>3296</v>
      </c>
      <c r="AZ6" s="6">
        <v>45883</v>
      </c>
      <c r="BA6">
        <v>5</v>
      </c>
      <c r="BB6">
        <v>-2.4245362661989844E-14</v>
      </c>
      <c r="BC6">
        <v>129491</v>
      </c>
      <c r="BD6" t="s">
        <v>3297</v>
      </c>
      <c r="CM6" t="s">
        <v>3637</v>
      </c>
      <c r="CN6" t="s">
        <v>2574</v>
      </c>
      <c r="CO6">
        <v>1.9799999999999999E-4</v>
      </c>
      <c r="CP6">
        <v>5.4654000000000001E-2</v>
      </c>
      <c r="CQ6" t="s">
        <v>1773</v>
      </c>
      <c r="CR6">
        <v>2025</v>
      </c>
      <c r="CS6" t="s">
        <v>3638</v>
      </c>
      <c r="CT6" s="6">
        <v>46018</v>
      </c>
      <c r="CU6">
        <v>5</v>
      </c>
      <c r="CV6">
        <v>207</v>
      </c>
      <c r="CW6">
        <v>69325080</v>
      </c>
      <c r="CX6" t="s">
        <v>3639</v>
      </c>
      <c r="DA6" t="s">
        <v>2527</v>
      </c>
      <c r="DB6">
        <v>30</v>
      </c>
      <c r="DC6" t="s">
        <v>1777</v>
      </c>
      <c r="DD6">
        <v>1.1315E-2</v>
      </c>
      <c r="DE6" t="s">
        <v>1789</v>
      </c>
      <c r="DF6">
        <v>2024</v>
      </c>
      <c r="DG6" t="s">
        <v>2936</v>
      </c>
      <c r="DH6" s="6">
        <v>45728</v>
      </c>
      <c r="DI6">
        <v>5</v>
      </c>
      <c r="DJ6">
        <v>9372075</v>
      </c>
      <c r="DK6">
        <v>154936</v>
      </c>
      <c r="DL6" t="s">
        <v>2528</v>
      </c>
      <c r="DQ6" t="s">
        <v>2666</v>
      </c>
      <c r="DR6" t="s">
        <v>1777</v>
      </c>
      <c r="DS6">
        <v>0.14291699999999999</v>
      </c>
      <c r="DT6">
        <v>0.121508</v>
      </c>
      <c r="DU6" t="s">
        <v>1781</v>
      </c>
      <c r="DV6">
        <v>2025</v>
      </c>
      <c r="DW6" t="s">
        <v>2667</v>
      </c>
      <c r="DX6" s="6">
        <v>45834</v>
      </c>
      <c r="DY6">
        <v>5</v>
      </c>
      <c r="DZ6">
        <v>1450806</v>
      </c>
      <c r="EA6">
        <v>393374</v>
      </c>
      <c r="EB6" t="s">
        <v>2668</v>
      </c>
      <c r="EE6" t="s">
        <v>2971</v>
      </c>
      <c r="EF6">
        <v>4.1230000000000003E-2</v>
      </c>
      <c r="EG6" t="s">
        <v>1777</v>
      </c>
      <c r="EH6">
        <v>0.280804</v>
      </c>
      <c r="EI6" t="s">
        <v>1773</v>
      </c>
      <c r="EJ6">
        <v>2025</v>
      </c>
      <c r="EK6" t="s">
        <v>2972</v>
      </c>
      <c r="EL6" s="6">
        <v>46034</v>
      </c>
      <c r="EM6">
        <v>5</v>
      </c>
      <c r="EN6">
        <v>1601771</v>
      </c>
      <c r="EO6">
        <v>313021</v>
      </c>
      <c r="EP6" t="s">
        <v>2973</v>
      </c>
      <c r="FY6" t="s">
        <v>3736</v>
      </c>
      <c r="GA6">
        <v>-2.4245362661989844E-14</v>
      </c>
      <c r="GB6">
        <v>-2.4245362661989844E-14</v>
      </c>
      <c r="GC6" t="s">
        <v>1789</v>
      </c>
      <c r="GD6">
        <v>2021</v>
      </c>
      <c r="GE6" t="s">
        <v>3737</v>
      </c>
      <c r="GF6" s="6">
        <v>44693</v>
      </c>
      <c r="GG6">
        <v>5</v>
      </c>
      <c r="GH6">
        <v>-2.4245362661989844E-14</v>
      </c>
      <c r="GI6">
        <v>101625</v>
      </c>
      <c r="GJ6" t="s">
        <v>3738</v>
      </c>
      <c r="HC6" t="s">
        <v>4490</v>
      </c>
      <c r="HE6">
        <v>-2.4245362661989844E-14</v>
      </c>
      <c r="HF6">
        <v>-2.4245362661989844E-14</v>
      </c>
      <c r="HG6" t="s">
        <v>1768</v>
      </c>
      <c r="HH6">
        <v>2025</v>
      </c>
      <c r="HI6" t="s">
        <v>4488</v>
      </c>
      <c r="HJ6" s="6">
        <v>45446</v>
      </c>
      <c r="HK6">
        <v>5</v>
      </c>
      <c r="HL6">
        <v>-2.4245362661989844E-14</v>
      </c>
      <c r="HM6">
        <v>39705683</v>
      </c>
      <c r="HN6" t="s">
        <v>4491</v>
      </c>
      <c r="HQ6" t="s">
        <v>4295</v>
      </c>
      <c r="HR6">
        <v>-2.4245362661989844E-14</v>
      </c>
      <c r="HT6">
        <v>-2.4245362661989844E-14</v>
      </c>
      <c r="HU6" t="s">
        <v>1789</v>
      </c>
      <c r="HV6">
        <v>2023</v>
      </c>
      <c r="HW6" t="s">
        <v>4296</v>
      </c>
      <c r="HX6" s="6">
        <v>45045</v>
      </c>
      <c r="HY6">
        <v>5</v>
      </c>
      <c r="HZ6">
        <v>-2.4245362661989844E-14</v>
      </c>
      <c r="IA6">
        <v>26903361</v>
      </c>
      <c r="IB6" t="s">
        <v>4297</v>
      </c>
      <c r="LS6" t="s">
        <v>2094</v>
      </c>
      <c r="LT6" t="s">
        <v>1777</v>
      </c>
      <c r="LU6">
        <v>5.7038999999999999E-2</v>
      </c>
      <c r="LV6">
        <v>0.248723</v>
      </c>
      <c r="LW6" t="s">
        <v>1785</v>
      </c>
      <c r="LX6">
        <v>2025</v>
      </c>
      <c r="LY6" t="s">
        <v>2095</v>
      </c>
      <c r="LZ6" s="6">
        <v>45848</v>
      </c>
      <c r="MA6">
        <v>5</v>
      </c>
      <c r="MB6">
        <v>9070912</v>
      </c>
      <c r="MC6">
        <v>101752</v>
      </c>
      <c r="MD6" t="s">
        <v>2096</v>
      </c>
      <c r="RM6" t="s">
        <v>4485</v>
      </c>
      <c r="RN6" t="s">
        <v>1777</v>
      </c>
      <c r="RO6">
        <v>4.8725999999999998E-2</v>
      </c>
      <c r="RP6">
        <v>0.26153999999999999</v>
      </c>
      <c r="RQ6" t="s">
        <v>1768</v>
      </c>
      <c r="RR6">
        <v>2026</v>
      </c>
      <c r="RS6" t="s">
        <v>4486</v>
      </c>
      <c r="RT6" s="6">
        <v>46036</v>
      </c>
      <c r="RU6">
        <v>5</v>
      </c>
      <c r="RV6">
        <v>296657</v>
      </c>
      <c r="RW6">
        <v>194585</v>
      </c>
      <c r="RX6" t="s">
        <v>4487</v>
      </c>
      <c r="SA6" t="s">
        <v>4676</v>
      </c>
      <c r="SB6">
        <v>-2.4245362661989844E-14</v>
      </c>
      <c r="SD6">
        <v>-2.4245362661989844E-14</v>
      </c>
      <c r="SE6" t="s">
        <v>1789</v>
      </c>
      <c r="SF6">
        <v>2024</v>
      </c>
      <c r="SG6" t="s">
        <v>4677</v>
      </c>
      <c r="SH6" s="6">
        <v>45709</v>
      </c>
      <c r="SI6">
        <v>5</v>
      </c>
      <c r="SJ6">
        <v>-2.4245362661989844E-14</v>
      </c>
      <c r="SK6">
        <v>26868301</v>
      </c>
      <c r="SL6" t="s">
        <v>4678</v>
      </c>
    </row>
    <row r="7" spans="1:600" x14ac:dyDescent="0.25">
      <c r="AE7" t="s">
        <v>4088</v>
      </c>
      <c r="AG7">
        <v>-2.4245362661989844E-14</v>
      </c>
      <c r="AH7">
        <v>-2.4245362661989844E-14</v>
      </c>
      <c r="AI7" t="s">
        <v>1789</v>
      </c>
      <c r="AJ7">
        <v>2022</v>
      </c>
      <c r="AK7" t="s">
        <v>4089</v>
      </c>
      <c r="AL7" s="6">
        <v>44938</v>
      </c>
      <c r="AM7">
        <v>5</v>
      </c>
      <c r="AN7">
        <v>-2.4245362661989844E-14</v>
      </c>
      <c r="AO7">
        <v>64335366</v>
      </c>
      <c r="AP7" t="s">
        <v>4090</v>
      </c>
      <c r="AS7" t="s">
        <v>3298</v>
      </c>
      <c r="AT7">
        <v>-2.4245362661989844E-14</v>
      </c>
      <c r="AV7">
        <v>-2.4245362661989844E-14</v>
      </c>
      <c r="AW7" t="s">
        <v>1773</v>
      </c>
      <c r="AX7">
        <v>2023</v>
      </c>
      <c r="AY7" t="s">
        <v>3299</v>
      </c>
      <c r="AZ7" s="6">
        <v>45065</v>
      </c>
      <c r="BA7">
        <v>5</v>
      </c>
      <c r="BB7">
        <v>-2.4245362661989844E-14</v>
      </c>
      <c r="BC7">
        <v>25611178</v>
      </c>
      <c r="BD7" t="s">
        <v>3300</v>
      </c>
      <c r="CM7" t="s">
        <v>3640</v>
      </c>
      <c r="CO7">
        <v>-2.4245362661989844E-14</v>
      </c>
      <c r="CP7">
        <v>-2.4245362661989844E-14</v>
      </c>
      <c r="CQ7" t="s">
        <v>1789</v>
      </c>
      <c r="CR7">
        <v>2021</v>
      </c>
      <c r="CS7" t="s">
        <v>3641</v>
      </c>
      <c r="CT7" s="6">
        <v>44630</v>
      </c>
      <c r="CU7">
        <v>5</v>
      </c>
      <c r="CV7">
        <v>-2.4245362661989844E-14</v>
      </c>
      <c r="CW7">
        <v>196127</v>
      </c>
      <c r="CX7" t="s">
        <v>3642</v>
      </c>
      <c r="DA7" t="s">
        <v>2933</v>
      </c>
      <c r="DB7">
        <v>8</v>
      </c>
      <c r="DC7" t="s">
        <v>1777</v>
      </c>
      <c r="DD7">
        <v>4.6600000000000001E-3</v>
      </c>
      <c r="DE7" t="s">
        <v>1789</v>
      </c>
      <c r="DF7">
        <v>2024</v>
      </c>
      <c r="DG7" t="s">
        <v>2936</v>
      </c>
      <c r="DH7" s="6">
        <v>45728</v>
      </c>
      <c r="DI7">
        <v>5</v>
      </c>
      <c r="DJ7">
        <v>2499220</v>
      </c>
      <c r="DK7">
        <v>102782</v>
      </c>
      <c r="DL7" t="s">
        <v>2934</v>
      </c>
      <c r="DQ7" t="s">
        <v>2669</v>
      </c>
      <c r="DR7" t="s">
        <v>1777</v>
      </c>
      <c r="DS7">
        <v>7.3709999999999999E-3</v>
      </c>
      <c r="DT7">
        <v>9.8589999999999997E-3</v>
      </c>
      <c r="DU7" t="s">
        <v>1773</v>
      </c>
      <c r="DV7">
        <v>2025</v>
      </c>
      <c r="DW7" t="s">
        <v>2670</v>
      </c>
      <c r="DX7" s="6">
        <v>46042</v>
      </c>
      <c r="DY7">
        <v>5</v>
      </c>
      <c r="DZ7">
        <v>87058</v>
      </c>
      <c r="EA7">
        <v>16555266</v>
      </c>
      <c r="EB7" t="s">
        <v>2671</v>
      </c>
      <c r="EE7" t="s">
        <v>1864</v>
      </c>
      <c r="EF7">
        <v>3.1623999999999999E-2</v>
      </c>
      <c r="EG7" t="s">
        <v>1777</v>
      </c>
      <c r="EH7">
        <v>6.0149000000000001E-2</v>
      </c>
      <c r="EI7" t="s">
        <v>1781</v>
      </c>
      <c r="EJ7">
        <v>2025</v>
      </c>
      <c r="EK7" t="s">
        <v>1865</v>
      </c>
      <c r="EL7" s="6">
        <v>45820</v>
      </c>
      <c r="EM7">
        <v>5</v>
      </c>
      <c r="EN7">
        <v>2452154</v>
      </c>
      <c r="EO7">
        <v>12129192</v>
      </c>
      <c r="EP7" t="s">
        <v>1866</v>
      </c>
      <c r="FY7" t="s">
        <v>3739</v>
      </c>
      <c r="GA7">
        <v>-2.4245362661989844E-14</v>
      </c>
      <c r="GB7">
        <v>-2.4245362661989844E-14</v>
      </c>
      <c r="GC7" t="s">
        <v>1789</v>
      </c>
      <c r="GD7">
        <v>2021</v>
      </c>
      <c r="GE7" t="s">
        <v>3740</v>
      </c>
      <c r="GF7" s="6">
        <v>44693</v>
      </c>
      <c r="GG7">
        <v>5</v>
      </c>
      <c r="GH7">
        <v>-2.4245362661989844E-14</v>
      </c>
      <c r="GI7">
        <v>100207</v>
      </c>
      <c r="GJ7" t="s">
        <v>3741</v>
      </c>
      <c r="HC7" t="s">
        <v>4492</v>
      </c>
      <c r="HE7">
        <v>-2.4245362661989844E-14</v>
      </c>
      <c r="HF7">
        <v>-2.4245362661989844E-14</v>
      </c>
      <c r="HG7" t="s">
        <v>1768</v>
      </c>
      <c r="HH7">
        <v>2025</v>
      </c>
      <c r="HI7" t="s">
        <v>4488</v>
      </c>
      <c r="HJ7" s="6">
        <v>45446</v>
      </c>
      <c r="HK7">
        <v>5</v>
      </c>
      <c r="HL7">
        <v>-2.4245362661989844E-14</v>
      </c>
      <c r="HM7">
        <v>15129726</v>
      </c>
      <c r="HN7" t="s">
        <v>4493</v>
      </c>
      <c r="HQ7" t="s">
        <v>4298</v>
      </c>
      <c r="HR7">
        <v>-2.4245362661989844E-14</v>
      </c>
      <c r="HT7">
        <v>-2.4245362661989844E-14</v>
      </c>
      <c r="HU7" t="s">
        <v>1768</v>
      </c>
      <c r="HV7">
        <v>2024</v>
      </c>
      <c r="HW7" t="s">
        <v>4299</v>
      </c>
      <c r="HX7" s="6">
        <v>45223</v>
      </c>
      <c r="HY7">
        <v>5</v>
      </c>
      <c r="HZ7">
        <v>-2.4245362661989844E-14</v>
      </c>
      <c r="IA7">
        <v>26875121</v>
      </c>
      <c r="IB7" t="s">
        <v>4300</v>
      </c>
      <c r="LS7" t="s">
        <v>3978</v>
      </c>
      <c r="LT7" t="s">
        <v>1906</v>
      </c>
      <c r="LU7">
        <v>0.52299499999999999</v>
      </c>
      <c r="LV7">
        <v>1.0624229999999999</v>
      </c>
      <c r="LW7" t="s">
        <v>1768</v>
      </c>
      <c r="LX7">
        <v>2025</v>
      </c>
      <c r="LY7" t="s">
        <v>3979</v>
      </c>
      <c r="LZ7" s="6">
        <v>45912</v>
      </c>
      <c r="MA7">
        <v>5</v>
      </c>
      <c r="MB7">
        <v>7776936</v>
      </c>
      <c r="MC7">
        <v>101455</v>
      </c>
      <c r="MD7" t="s">
        <v>3980</v>
      </c>
      <c r="RM7" t="s">
        <v>2094</v>
      </c>
      <c r="RN7" t="s">
        <v>1777</v>
      </c>
      <c r="RO7">
        <v>1.6999999999999999E-3</v>
      </c>
      <c r="RP7">
        <v>0.27718599999999999</v>
      </c>
      <c r="RQ7" t="s">
        <v>1785</v>
      </c>
      <c r="RR7">
        <v>2025</v>
      </c>
      <c r="RS7" t="s">
        <v>2095</v>
      </c>
      <c r="RT7" s="6">
        <v>45848</v>
      </c>
      <c r="RU7">
        <v>5</v>
      </c>
      <c r="RV7">
        <v>270351</v>
      </c>
      <c r="RW7">
        <v>101752</v>
      </c>
      <c r="RX7" t="s">
        <v>2096</v>
      </c>
      <c r="SA7" t="s">
        <v>4679</v>
      </c>
      <c r="SB7">
        <v>-2.4245362661989844E-14</v>
      </c>
      <c r="SD7">
        <v>-2.4245362661989844E-14</v>
      </c>
      <c r="SE7" t="s">
        <v>1789</v>
      </c>
      <c r="SF7">
        <v>2023</v>
      </c>
      <c r="SG7" t="s">
        <v>4674</v>
      </c>
      <c r="SH7" s="6">
        <v>45217</v>
      </c>
      <c r="SI7">
        <v>5</v>
      </c>
      <c r="SJ7">
        <v>-2.4245362661989844E-14</v>
      </c>
      <c r="SK7">
        <v>26901121</v>
      </c>
      <c r="SL7" t="s">
        <v>4680</v>
      </c>
    </row>
    <row r="8" spans="1:600" x14ac:dyDescent="0.25">
      <c r="AE8" t="s">
        <v>4091</v>
      </c>
      <c r="AG8">
        <v>-2.4245362661989844E-14</v>
      </c>
      <c r="AH8">
        <v>-2.4245362661989844E-14</v>
      </c>
      <c r="AI8" t="s">
        <v>1789</v>
      </c>
      <c r="AJ8">
        <v>2022</v>
      </c>
      <c r="AK8" t="s">
        <v>4092</v>
      </c>
      <c r="AL8" s="6">
        <v>44693</v>
      </c>
      <c r="AM8">
        <v>5</v>
      </c>
      <c r="AN8">
        <v>-2.4245362661989844E-14</v>
      </c>
      <c r="AO8">
        <v>113413</v>
      </c>
      <c r="AP8" t="s">
        <v>4093</v>
      </c>
      <c r="AS8" t="s">
        <v>3301</v>
      </c>
      <c r="AT8">
        <v>-2.4245362661989844E-14</v>
      </c>
      <c r="AV8">
        <v>-2.4245362661989844E-14</v>
      </c>
      <c r="AW8" t="s">
        <v>1789</v>
      </c>
      <c r="AX8">
        <v>2022</v>
      </c>
      <c r="AY8" t="s">
        <v>3302</v>
      </c>
      <c r="AZ8" s="6">
        <v>45072</v>
      </c>
      <c r="BA8">
        <v>5</v>
      </c>
      <c r="BB8">
        <v>-2.4245362661989844E-14</v>
      </c>
      <c r="BC8">
        <v>48684653</v>
      </c>
      <c r="BD8" t="s">
        <v>3303</v>
      </c>
      <c r="CM8" t="s">
        <v>3643</v>
      </c>
      <c r="CO8">
        <v>-2.4245362661989844E-14</v>
      </c>
      <c r="CP8">
        <v>-2.4245362661989844E-14</v>
      </c>
      <c r="CQ8" t="s">
        <v>1789</v>
      </c>
      <c r="CR8">
        <v>2021</v>
      </c>
      <c r="CS8" t="s">
        <v>3644</v>
      </c>
      <c r="CT8" s="6">
        <v>44693</v>
      </c>
      <c r="CU8">
        <v>5</v>
      </c>
      <c r="CV8">
        <v>-2.4245362661989844E-14</v>
      </c>
      <c r="CW8">
        <v>101139</v>
      </c>
      <c r="CX8" t="s">
        <v>3645</v>
      </c>
      <c r="DA8" t="s">
        <v>2534</v>
      </c>
      <c r="DB8">
        <v>-2.4245362661989844E-14</v>
      </c>
      <c r="DD8">
        <v>-2.4245362661989844E-14</v>
      </c>
      <c r="DE8" t="s">
        <v>1768</v>
      </c>
      <c r="DF8">
        <v>2025</v>
      </c>
      <c r="DG8" t="s">
        <v>2937</v>
      </c>
      <c r="DH8" s="6">
        <v>45846</v>
      </c>
      <c r="DI8">
        <v>5</v>
      </c>
      <c r="DJ8">
        <v>-2.4245362661989844E-14</v>
      </c>
      <c r="DK8">
        <v>60401289</v>
      </c>
      <c r="DL8" t="s">
        <v>2535</v>
      </c>
      <c r="DQ8" t="s">
        <v>2672</v>
      </c>
      <c r="DS8">
        <v>-2.4245362661989844E-14</v>
      </c>
      <c r="DT8">
        <v>-2.4245362661989844E-14</v>
      </c>
      <c r="DU8" t="s">
        <v>1789</v>
      </c>
      <c r="DV8">
        <v>2023</v>
      </c>
      <c r="DW8" t="s">
        <v>2673</v>
      </c>
      <c r="DX8" s="6">
        <v>45181</v>
      </c>
      <c r="DY8">
        <v>5</v>
      </c>
      <c r="DZ8">
        <v>-2.4245362661989844E-14</v>
      </c>
      <c r="EA8">
        <v>17613018</v>
      </c>
      <c r="EB8" t="s">
        <v>2674</v>
      </c>
      <c r="EE8" t="s">
        <v>1767</v>
      </c>
      <c r="EF8">
        <v>-2.4245362661989844E-14</v>
      </c>
      <c r="EH8">
        <v>-2.4245362661989844E-14</v>
      </c>
      <c r="EI8" t="s">
        <v>1789</v>
      </c>
      <c r="EJ8">
        <v>2025</v>
      </c>
      <c r="EK8" t="s">
        <v>3457</v>
      </c>
      <c r="EL8" s="6">
        <v>45903</v>
      </c>
      <c r="EM8">
        <v>5</v>
      </c>
      <c r="EN8">
        <v>-2.4245362661989844E-14</v>
      </c>
      <c r="EO8">
        <v>101695</v>
      </c>
      <c r="EP8" t="s">
        <v>1770</v>
      </c>
      <c r="FY8" t="s">
        <v>925</v>
      </c>
      <c r="GA8">
        <v>-2.4245362661989844E-14</v>
      </c>
      <c r="GB8">
        <v>-2.4245362661989844E-14</v>
      </c>
      <c r="GC8" t="s">
        <v>1789</v>
      </c>
      <c r="GD8">
        <v>2021</v>
      </c>
      <c r="GE8" t="s">
        <v>2071</v>
      </c>
      <c r="GF8" s="6">
        <v>44693</v>
      </c>
      <c r="GG8">
        <v>5</v>
      </c>
      <c r="GH8">
        <v>-2.4245362661989844E-14</v>
      </c>
      <c r="GI8">
        <v>100760</v>
      </c>
      <c r="GJ8" t="s">
        <v>2072</v>
      </c>
      <c r="HC8" t="s">
        <v>4494</v>
      </c>
      <c r="HE8">
        <v>-2.4245362661989844E-14</v>
      </c>
      <c r="HF8">
        <v>-2.4245362661989844E-14</v>
      </c>
      <c r="HG8" t="s">
        <v>1768</v>
      </c>
      <c r="HH8">
        <v>2025</v>
      </c>
      <c r="HI8" t="s">
        <v>4488</v>
      </c>
      <c r="HJ8" s="6">
        <v>45446</v>
      </c>
      <c r="HK8">
        <v>5</v>
      </c>
      <c r="HL8">
        <v>-2.4245362661989844E-14</v>
      </c>
      <c r="HM8">
        <v>7974770</v>
      </c>
      <c r="HN8" t="s">
        <v>4495</v>
      </c>
      <c r="HQ8" t="s">
        <v>4301</v>
      </c>
      <c r="HR8">
        <v>-2.4245362661989844E-14</v>
      </c>
      <c r="HT8">
        <v>-2.4245362661989844E-14</v>
      </c>
      <c r="HU8" t="s">
        <v>1768</v>
      </c>
      <c r="HV8">
        <v>2024</v>
      </c>
      <c r="HW8" t="s">
        <v>4299</v>
      </c>
      <c r="HX8" s="6">
        <v>45223</v>
      </c>
      <c r="HY8">
        <v>5</v>
      </c>
      <c r="HZ8">
        <v>-2.4245362661989844E-14</v>
      </c>
      <c r="IA8">
        <v>36101527</v>
      </c>
      <c r="IB8" t="s">
        <v>4302</v>
      </c>
      <c r="LS8" t="s">
        <v>2710</v>
      </c>
      <c r="LT8" t="s">
        <v>1777</v>
      </c>
      <c r="LU8">
        <v>2.5385999999999999E-2</v>
      </c>
      <c r="LV8">
        <v>1.3454000000000001E-2</v>
      </c>
      <c r="LW8" t="s">
        <v>1785</v>
      </c>
      <c r="LX8">
        <v>2024</v>
      </c>
      <c r="LY8" t="s">
        <v>2711</v>
      </c>
      <c r="LZ8" s="6">
        <v>45730</v>
      </c>
      <c r="MA8">
        <v>5</v>
      </c>
      <c r="MB8">
        <v>478529.29</v>
      </c>
      <c r="MC8">
        <v>239787</v>
      </c>
      <c r="MD8" t="s">
        <v>2712</v>
      </c>
      <c r="RM8" t="s">
        <v>4629</v>
      </c>
      <c r="RO8">
        <v>-2.4245362661989844E-14</v>
      </c>
      <c r="RP8">
        <v>-2.4245362661989844E-14</v>
      </c>
      <c r="RQ8" t="s">
        <v>1789</v>
      </c>
      <c r="RR8">
        <v>2022</v>
      </c>
      <c r="RS8" t="s">
        <v>4630</v>
      </c>
      <c r="RT8" s="6">
        <v>44978</v>
      </c>
      <c r="RU8">
        <v>5</v>
      </c>
      <c r="RV8">
        <v>-2.4245362661989844E-14</v>
      </c>
      <c r="RW8">
        <v>20069433</v>
      </c>
      <c r="RX8" t="s">
        <v>4631</v>
      </c>
      <c r="SA8" t="s">
        <v>4681</v>
      </c>
      <c r="SB8">
        <v>-2.4245362661989844E-14</v>
      </c>
      <c r="SD8">
        <v>-2.4245362661989844E-14</v>
      </c>
      <c r="SE8" t="s">
        <v>1789</v>
      </c>
      <c r="SF8">
        <v>2023</v>
      </c>
      <c r="SG8" t="s">
        <v>4674</v>
      </c>
      <c r="SH8" s="6">
        <v>45223</v>
      </c>
      <c r="SI8">
        <v>5</v>
      </c>
      <c r="SJ8">
        <v>-2.4245362661989844E-14</v>
      </c>
      <c r="SK8">
        <v>27252568</v>
      </c>
      <c r="SL8" t="s">
        <v>4682</v>
      </c>
    </row>
    <row r="9" spans="1:600" x14ac:dyDescent="0.25">
      <c r="AE9" t="s">
        <v>4094</v>
      </c>
      <c r="AG9">
        <v>-2.4245362661989844E-14</v>
      </c>
      <c r="AH9">
        <v>-2.4245362661989844E-14</v>
      </c>
      <c r="AI9" t="s">
        <v>1789</v>
      </c>
      <c r="AJ9">
        <v>2022</v>
      </c>
      <c r="AK9" t="s">
        <v>4095</v>
      </c>
      <c r="AL9" s="6">
        <v>44693</v>
      </c>
      <c r="AM9">
        <v>5</v>
      </c>
      <c r="AN9">
        <v>-2.4245362661989844E-14</v>
      </c>
      <c r="AO9">
        <v>113896</v>
      </c>
      <c r="AP9" t="s">
        <v>4096</v>
      </c>
      <c r="AS9" t="s">
        <v>3304</v>
      </c>
      <c r="AT9">
        <v>-2.4245362661989844E-14</v>
      </c>
      <c r="AV9">
        <v>-2.4245362661989844E-14</v>
      </c>
      <c r="AW9" t="s">
        <v>1789</v>
      </c>
      <c r="AX9">
        <v>2025</v>
      </c>
      <c r="AY9" t="s">
        <v>3305</v>
      </c>
      <c r="AZ9" s="6">
        <v>45894</v>
      </c>
      <c r="BA9">
        <v>5</v>
      </c>
      <c r="BB9">
        <v>-2.4245362661989844E-14</v>
      </c>
      <c r="BC9">
        <v>13057220</v>
      </c>
      <c r="BD9" t="s">
        <v>3306</v>
      </c>
      <c r="CM9" t="s">
        <v>3646</v>
      </c>
      <c r="CO9">
        <v>-2.4245362661989844E-14</v>
      </c>
      <c r="CP9">
        <v>-2.4245362661989844E-14</v>
      </c>
      <c r="CQ9" t="s">
        <v>1789</v>
      </c>
      <c r="CR9">
        <v>2021</v>
      </c>
      <c r="CS9" t="s">
        <v>3647</v>
      </c>
      <c r="CT9" s="6">
        <v>45107</v>
      </c>
      <c r="CU9">
        <v>5</v>
      </c>
      <c r="CV9">
        <v>-2.4245362661989844E-14</v>
      </c>
      <c r="CW9">
        <v>104348</v>
      </c>
      <c r="CX9" t="s">
        <v>3648</v>
      </c>
      <c r="DA9" t="s">
        <v>2938</v>
      </c>
      <c r="DB9">
        <v>-2.4245362661989844E-14</v>
      </c>
      <c r="DD9">
        <v>-2.4245362661989844E-14</v>
      </c>
      <c r="DE9" t="s">
        <v>1789</v>
      </c>
      <c r="DF9">
        <v>2024</v>
      </c>
      <c r="DG9" t="s">
        <v>2936</v>
      </c>
      <c r="DH9" s="6">
        <v>45728</v>
      </c>
      <c r="DI9">
        <v>5</v>
      </c>
      <c r="DJ9">
        <v>-2.4245362661989844E-14</v>
      </c>
      <c r="DK9">
        <v>23367123</v>
      </c>
      <c r="DL9" t="s">
        <v>2939</v>
      </c>
      <c r="DQ9" t="s">
        <v>2675</v>
      </c>
      <c r="DS9">
        <v>-2.4245362661989844E-14</v>
      </c>
      <c r="DT9">
        <v>-2.4245362661989844E-14</v>
      </c>
      <c r="DU9" t="s">
        <v>1789</v>
      </c>
      <c r="DV9">
        <v>2023</v>
      </c>
      <c r="DW9" t="s">
        <v>2676</v>
      </c>
      <c r="DX9" s="6">
        <v>45195</v>
      </c>
      <c r="DY9">
        <v>5</v>
      </c>
      <c r="DZ9">
        <v>-2.4245362661989844E-14</v>
      </c>
      <c r="EA9">
        <v>54341795</v>
      </c>
      <c r="EB9" t="s">
        <v>2677</v>
      </c>
      <c r="EE9" t="s">
        <v>286</v>
      </c>
      <c r="EF9">
        <v>-2.4245362661989844E-14</v>
      </c>
      <c r="EH9">
        <v>-2.4245362661989844E-14</v>
      </c>
      <c r="EI9" t="s">
        <v>1789</v>
      </c>
      <c r="EJ9">
        <v>2023</v>
      </c>
      <c r="EK9" t="s">
        <v>3458</v>
      </c>
      <c r="EL9" s="6">
        <v>45049</v>
      </c>
      <c r="EM9">
        <v>5</v>
      </c>
      <c r="EN9">
        <v>-2.4245362661989844E-14</v>
      </c>
      <c r="EO9">
        <v>100137</v>
      </c>
      <c r="EP9" t="s">
        <v>3459</v>
      </c>
      <c r="FY9" t="s">
        <v>2073</v>
      </c>
      <c r="GA9">
        <v>-2.4245362661989844E-14</v>
      </c>
      <c r="GB9">
        <v>-2.4245362661989844E-14</v>
      </c>
      <c r="GC9" t="s">
        <v>1789</v>
      </c>
      <c r="GD9">
        <v>2021</v>
      </c>
      <c r="GE9" t="s">
        <v>2074</v>
      </c>
      <c r="GF9" s="6">
        <v>44693</v>
      </c>
      <c r="GG9">
        <v>5</v>
      </c>
      <c r="GH9">
        <v>-2.4245362661989844E-14</v>
      </c>
      <c r="GI9">
        <v>100466</v>
      </c>
      <c r="GJ9" t="s">
        <v>2075</v>
      </c>
      <c r="HC9" t="s">
        <v>4496</v>
      </c>
      <c r="HE9">
        <v>-2.4245362661989844E-14</v>
      </c>
      <c r="HF9">
        <v>-2.4245362661989844E-14</v>
      </c>
      <c r="HG9" t="s">
        <v>1768</v>
      </c>
      <c r="HH9">
        <v>2025</v>
      </c>
      <c r="HI9" t="s">
        <v>4488</v>
      </c>
      <c r="HJ9" s="6">
        <v>45446</v>
      </c>
      <c r="HK9">
        <v>5</v>
      </c>
      <c r="HL9">
        <v>-2.4245362661989844E-14</v>
      </c>
      <c r="HM9">
        <v>20813566</v>
      </c>
      <c r="HN9" t="s">
        <v>4497</v>
      </c>
      <c r="HQ9" t="s">
        <v>4303</v>
      </c>
      <c r="HR9">
        <v>-2.4245362661989844E-14</v>
      </c>
      <c r="HT9">
        <v>-2.4245362661989844E-14</v>
      </c>
      <c r="HU9" t="s">
        <v>1768</v>
      </c>
      <c r="HV9">
        <v>2024</v>
      </c>
      <c r="HW9" t="s">
        <v>4299</v>
      </c>
      <c r="HX9" s="6">
        <v>45223</v>
      </c>
      <c r="HY9">
        <v>5</v>
      </c>
      <c r="HZ9">
        <v>-2.4245362661989844E-14</v>
      </c>
      <c r="IA9">
        <v>36594652</v>
      </c>
      <c r="IB9" t="s">
        <v>4304</v>
      </c>
      <c r="LS9" t="s">
        <v>3981</v>
      </c>
      <c r="LT9" t="s">
        <v>1777</v>
      </c>
      <c r="LU9">
        <v>6.87E-4</v>
      </c>
      <c r="LV9">
        <v>2.6999999999999999E-5</v>
      </c>
      <c r="LW9" t="s">
        <v>1773</v>
      </c>
      <c r="LX9">
        <v>2025</v>
      </c>
      <c r="LY9" t="s">
        <v>3982</v>
      </c>
      <c r="LZ9" s="6">
        <v>45819</v>
      </c>
      <c r="MA9">
        <v>5</v>
      </c>
      <c r="MB9">
        <v>1000</v>
      </c>
      <c r="MC9">
        <v>101531</v>
      </c>
      <c r="MD9" t="s">
        <v>3983</v>
      </c>
      <c r="RM9" t="s">
        <v>4632</v>
      </c>
      <c r="RO9">
        <v>-2.4245362661989844E-14</v>
      </c>
      <c r="RP9">
        <v>-2.4245362661989844E-14</v>
      </c>
      <c r="RQ9" t="s">
        <v>1789</v>
      </c>
      <c r="RR9">
        <v>2023</v>
      </c>
      <c r="RS9" t="s">
        <v>4633</v>
      </c>
      <c r="RT9" s="6">
        <v>45345</v>
      </c>
      <c r="RU9">
        <v>5</v>
      </c>
      <c r="RV9">
        <v>-2.4245362661989844E-14</v>
      </c>
      <c r="RW9">
        <v>40866195</v>
      </c>
      <c r="RX9" t="s">
        <v>4634</v>
      </c>
      <c r="SA9" t="s">
        <v>4683</v>
      </c>
      <c r="SB9">
        <v>-2.4245362661989844E-14</v>
      </c>
      <c r="SD9">
        <v>-2.4245362661989844E-14</v>
      </c>
      <c r="SE9" t="s">
        <v>1789</v>
      </c>
      <c r="SF9">
        <v>2025</v>
      </c>
      <c r="SG9" t="s">
        <v>4674</v>
      </c>
      <c r="SH9" s="6">
        <v>45776</v>
      </c>
      <c r="SI9">
        <v>5</v>
      </c>
      <c r="SJ9">
        <v>-2.4245362661989844E-14</v>
      </c>
      <c r="SK9">
        <v>26736561</v>
      </c>
      <c r="SL9" t="s">
        <v>4684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510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511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512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513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514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515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516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517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518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519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520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521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522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523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524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525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526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527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528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529</v>
      </c>
      <c r="AE2" s="3" t="s">
        <v>79</v>
      </c>
      <c r="BI2" s="3" t="s">
        <v>25</v>
      </c>
      <c r="CM2" s="3" t="s">
        <v>530</v>
      </c>
      <c r="DQ2" s="3" t="s">
        <v>531</v>
      </c>
      <c r="EU2" s="3" t="s">
        <v>532</v>
      </c>
      <c r="FY2" s="3" t="s">
        <v>533</v>
      </c>
      <c r="HC2" s="3" t="s">
        <v>385</v>
      </c>
      <c r="IG2" s="3" t="s">
        <v>534</v>
      </c>
      <c r="JK2" s="3" t="s">
        <v>319</v>
      </c>
      <c r="KO2" s="3" t="s">
        <v>535</v>
      </c>
      <c r="LS2" s="3" t="s">
        <v>536</v>
      </c>
      <c r="MW2" s="3" t="s">
        <v>537</v>
      </c>
      <c r="OA2" s="3" t="s">
        <v>29</v>
      </c>
      <c r="PE2" s="3" t="s">
        <v>538</v>
      </c>
      <c r="QI2" s="3" t="s">
        <v>539</v>
      </c>
      <c r="RM2" s="3" t="s">
        <v>540</v>
      </c>
      <c r="SQ2" s="3" t="s">
        <v>541</v>
      </c>
      <c r="TU2" s="3" t="s">
        <v>542</v>
      </c>
      <c r="UY2" s="3" t="s">
        <v>118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_xll.BDS("3867693Z US Equity","SUPPLY_CHAIN_SUPPLIERS_ALL_DATA")</f>
        <v>#N/A N/A</v>
      </c>
      <c r="O5" t="str">
        <f>_xll.BDS("3867693Z US Equity","SUPPLY_CHAIN_CUSTOMERS_ALL_DATA")</f>
        <v>#N/A N/A</v>
      </c>
      <c r="AE5" t="str">
        <f>_xll.BDS("BBT US Equity","SUPPLY_CHAIN_SUPPLIERS_ALL_DATA")</f>
        <v>#N/A N/A</v>
      </c>
      <c r="AS5" t="str">
        <f>_xll.BDS("BBT US Equity","SUPPLY_CHAIN_CUSTOMERS_ALL_DATA")</f>
        <v>#N/A N/A</v>
      </c>
      <c r="BI5" t="str">
        <f>_xll.BDS("2676187Q US Equity","SUPPLY_CHAIN_SUPPLIERS_ALL_DATA")</f>
        <v>#N/A N/A</v>
      </c>
      <c r="BW5" t="str">
        <f>_xll.BDS("2676187Q US Equity","SUPPLY_CHAIN_CUSTOMERS_ALL_DATA")</f>
        <v>#N/A N/A</v>
      </c>
      <c r="CM5" t="str">
        <f>_xll.BDS("TWGP US Equity","SUPPLY_CHAIN_SUPPLIERS_ALL_DATA")</f>
        <v>#N/A N/A</v>
      </c>
      <c r="DA5" t="str">
        <f>_xll.BDS("TWGP US Equity","SUPPLY_CHAIN_CUSTOMERS_ALL_DATA")</f>
        <v>#N/A N/A</v>
      </c>
      <c r="DQ5" t="str">
        <f>_xll.BDS("LVLT US Equity","SUPPLY_CHAIN_SUPPLIERS_ALL_DATA")</f>
        <v>#N/A N/A</v>
      </c>
      <c r="EE5" t="str">
        <f>_xll.BDS("LVLT US Equity","SUPPLY_CHAIN_CUSTOMERS_ALL_DATA")</f>
        <v>#N/A N/A</v>
      </c>
      <c r="EU5" t="str">
        <f>_xll.BDS("DTSI US Equity","SUPPLY_CHAIN_SUPPLIERS_ALL_DATA")</f>
        <v>#N/A N/A</v>
      </c>
      <c r="FI5" t="str">
        <f>_xll.BDS("DTSI US Equity","SUPPLY_CHAIN_CUSTOMERS_ALL_DATA")</f>
        <v>#N/A N/A</v>
      </c>
      <c r="FY5" t="str">
        <f>_xll.BDS("SYMM US Equity","SUPPLY_CHAIN_SUPPLIERS_ALL_DATA")</f>
        <v>#N/A N/A</v>
      </c>
      <c r="GM5" t="str">
        <f>_xll.BDS("SYMM US Equity","SUPPLY_CHAIN_CUSTOMERS_ALL_DATA")</f>
        <v>#N/A N/A</v>
      </c>
      <c r="HC5" t="str">
        <f>_xll.BDS("FRME US Equity","SUPPLY_CHAIN_SUPPLIERS_ALL_DATA")</f>
        <v>#N/A N/A</v>
      </c>
      <c r="HQ5" t="str">
        <f>_xll.BDS("FRME US Equity","SUPPLY_CHAIN_CUSTOMERS_ALL_DATA")</f>
        <v>#N/A N/A</v>
      </c>
      <c r="IG5" t="str">
        <f>_xll.BDS("DVD US Equity","SUPPLY_CHAIN_SUPPLIERS_ALL_DATA")</f>
        <v>#N/A N/A</v>
      </c>
      <c r="IU5" t="str">
        <f>_xll.BDS("DVD US Equity","SUPPLY_CHAIN_CUSTOMERS_ALL_DATA")</f>
        <v>#N/A N/A</v>
      </c>
      <c r="JK5" t="str">
        <f>_xll.BDS("CAR US Equity","SUPPLY_CHAIN_SUPPLIERS_ALL_DATA","cols=12;rows=5")</f>
        <v>VRRM US Equity</v>
      </c>
      <c r="JL5" t="s">
        <v>1777</v>
      </c>
      <c r="JM5">
        <v>13.5</v>
      </c>
      <c r="JN5">
        <v>1.973611</v>
      </c>
      <c r="JO5" t="s">
        <v>1789</v>
      </c>
      <c r="JP5">
        <v>2024</v>
      </c>
      <c r="JQ5" t="s">
        <v>2722</v>
      </c>
      <c r="JR5" s="6">
        <v>45715</v>
      </c>
      <c r="JS5">
        <v>5</v>
      </c>
      <c r="JT5">
        <v>29673236</v>
      </c>
      <c r="JU5">
        <v>51985055</v>
      </c>
      <c r="JV5" t="s">
        <v>2723</v>
      </c>
      <c r="JY5" t="str">
        <f>_xll.BDS("CAR US Equity","SUPPLY_CHAIN_CUSTOMERS_ALL_DATA","cols=12;rows=5")</f>
        <v>EIH IN Equity</v>
      </c>
      <c r="JZ5">
        <v>1.306E-2</v>
      </c>
      <c r="KA5" t="s">
        <v>1777</v>
      </c>
      <c r="KB5">
        <v>0.69246200000000002</v>
      </c>
      <c r="KC5" t="s">
        <v>1789</v>
      </c>
      <c r="KD5">
        <v>2025</v>
      </c>
      <c r="KE5" t="s">
        <v>3777</v>
      </c>
      <c r="KF5" s="6">
        <v>45850</v>
      </c>
      <c r="KG5">
        <v>5</v>
      </c>
      <c r="KH5">
        <v>381034.1</v>
      </c>
      <c r="KI5">
        <v>162657</v>
      </c>
      <c r="KJ5" t="s">
        <v>3778</v>
      </c>
      <c r="KO5" t="str">
        <f>_xll.BDS("9876549D US Equity","SUPPLY_CHAIN_SUPPLIERS_ALL_DATA")</f>
        <v>#N/A N/A</v>
      </c>
      <c r="LC5" t="str">
        <f>_xll.BDS("9876549D US Equity","SUPPLY_CHAIN_CUSTOMERS_ALL_DATA")</f>
        <v>#N/A N/A</v>
      </c>
      <c r="LS5" t="str">
        <f>_xll.BDS("PPBI US Equity","SUPPLY_CHAIN_SUPPLIERS_ALL_DATA","cols=12;rows=1")</f>
        <v>MUST SP Equity</v>
      </c>
      <c r="LU5">
        <v>-2.4245362661989844E-14</v>
      </c>
      <c r="LV5">
        <v>-2.4245362661989844E-14</v>
      </c>
      <c r="LW5" t="s">
        <v>1789</v>
      </c>
      <c r="LX5">
        <v>2024</v>
      </c>
      <c r="LY5" t="s">
        <v>3017</v>
      </c>
      <c r="LZ5" s="6">
        <v>45762</v>
      </c>
      <c r="MA5">
        <v>1</v>
      </c>
      <c r="MB5">
        <v>-2.4245362661989844E-14</v>
      </c>
      <c r="MC5">
        <v>46286147</v>
      </c>
      <c r="MD5" t="s">
        <v>3018</v>
      </c>
      <c r="MG5" t="str">
        <f>_xll.BDS("PPBI US Equity","SUPPLY_CHAIN_CUSTOMERS_ALL_DATA")</f>
        <v>#N/A N/A</v>
      </c>
      <c r="MW5" t="str">
        <f>_xll.BDS("RAMP US Equity","SUPPLY_CHAIN_SUPPLIERS_ALL_DATA","cols=12;rows=5")</f>
        <v>GOOGL US Equity</v>
      </c>
      <c r="MY5">
        <v>-2.4245362661989844E-14</v>
      </c>
      <c r="MZ5">
        <v>-2.4245362661989844E-14</v>
      </c>
      <c r="NA5" t="s">
        <v>1789</v>
      </c>
      <c r="NB5">
        <v>2025</v>
      </c>
      <c r="NC5" t="s">
        <v>3887</v>
      </c>
      <c r="ND5" s="6">
        <v>45798</v>
      </c>
      <c r="NE5">
        <v>5</v>
      </c>
      <c r="NF5">
        <v>-2.4245362661989844E-14</v>
      </c>
      <c r="NG5">
        <v>46946968</v>
      </c>
      <c r="NH5" t="s">
        <v>1771</v>
      </c>
      <c r="NK5" t="str">
        <f>_xll.BDS("RAMP US Equity","SUPPLY_CHAIN_CUSTOMERS_ALL_DATA","cols=12;rows=5")</f>
        <v>AD NA Equity</v>
      </c>
      <c r="NL5">
        <v>5.7471000000000001E-2</v>
      </c>
      <c r="NM5" t="s">
        <v>1906</v>
      </c>
      <c r="NN5">
        <v>1.5980000000000001E-2</v>
      </c>
      <c r="NO5" t="s">
        <v>1768</v>
      </c>
      <c r="NP5">
        <v>2025</v>
      </c>
      <c r="NQ5" t="s">
        <v>3954</v>
      </c>
      <c r="NR5" s="6">
        <v>45887</v>
      </c>
      <c r="NS5">
        <v>5</v>
      </c>
      <c r="NT5">
        <v>111851.05</v>
      </c>
      <c r="NU5">
        <v>115643</v>
      </c>
      <c r="NV5" t="s">
        <v>1882</v>
      </c>
      <c r="OA5" t="str">
        <f>_xll.BDS("1916526D US Equity","SUPPLY_CHAIN_SUPPLIERS_ALL_DATA")</f>
        <v>#N/A N/A</v>
      </c>
      <c r="OO5" t="str">
        <f>_xll.BDS("1916526D US Equity","SUPPLY_CHAIN_CUSTOMERS_ALL_DATA")</f>
        <v>#N/A N/A</v>
      </c>
      <c r="PE5" t="str">
        <f>_xll.BDS("LEN US Equity","SUPPLY_CHAIN_SUPPLIERS_ALL_DATA","cols=12;rows=5")</f>
        <v>WLK US Equity</v>
      </c>
      <c r="PF5" t="s">
        <v>1777</v>
      </c>
      <c r="PG5">
        <v>5.5694879999999998</v>
      </c>
      <c r="PH5">
        <v>2.3995069999999998</v>
      </c>
      <c r="PI5" t="s">
        <v>1768</v>
      </c>
      <c r="PJ5">
        <v>2025</v>
      </c>
      <c r="PK5" t="s">
        <v>4831</v>
      </c>
      <c r="PL5" s="6">
        <v>45922</v>
      </c>
      <c r="PM5">
        <v>5</v>
      </c>
      <c r="PN5">
        <v>164466976</v>
      </c>
      <c r="PO5">
        <v>7785692</v>
      </c>
      <c r="PP5" t="s">
        <v>4832</v>
      </c>
      <c r="PS5" t="str">
        <f>_xll.BDS("LEN US Equity","SUPPLY_CHAIN_CUSTOMERS_ALL_DATA")</f>
        <v>#N/A N/A</v>
      </c>
      <c r="QI5" t="str">
        <f>_xll.BDS("DLB US Equity","SUPPLY_CHAIN_SUPPLIERS_ALL_DATA","cols=12;rows=5")</f>
        <v>QCOM US Equity</v>
      </c>
      <c r="QJ5" t="s">
        <v>1777</v>
      </c>
      <c r="QK5">
        <v>1.7880000000000001E-3</v>
      </c>
      <c r="QL5">
        <v>0.50990100000000005</v>
      </c>
      <c r="QM5" t="s">
        <v>1785</v>
      </c>
      <c r="QN5">
        <v>2025</v>
      </c>
      <c r="QO5" t="s">
        <v>4865</v>
      </c>
      <c r="QP5" s="6">
        <v>46034</v>
      </c>
      <c r="QQ5">
        <v>5</v>
      </c>
      <c r="QR5">
        <v>201508</v>
      </c>
      <c r="QS5">
        <v>106370</v>
      </c>
      <c r="QT5" t="s">
        <v>3015</v>
      </c>
      <c r="QW5" t="str">
        <f>_xll.BDS("DLB US Equity","SUPPLY_CHAIN_CUSTOMERS_ALL_DATA","cols=12;rows=5")</f>
        <v>AAPL US Equity</v>
      </c>
      <c r="QX5">
        <v>5.7295090000000002</v>
      </c>
      <c r="QY5" t="s">
        <v>1777</v>
      </c>
      <c r="QZ5">
        <v>3.2501000000000002E-2</v>
      </c>
      <c r="RA5" t="s">
        <v>1785</v>
      </c>
      <c r="RB5">
        <v>2025</v>
      </c>
      <c r="RC5" t="s">
        <v>3099</v>
      </c>
      <c r="RD5" s="6">
        <v>46018</v>
      </c>
      <c r="RE5">
        <v>5</v>
      </c>
      <c r="RF5">
        <v>17590968</v>
      </c>
      <c r="RG5">
        <v>101695</v>
      </c>
      <c r="RH5" t="s">
        <v>1770</v>
      </c>
      <c r="RM5" t="str">
        <f>_xll.BDS("78651Q US Equity","SUPPLY_CHAIN_SUPPLIERS_ALL_DATA")</f>
        <v>#N/A N/A</v>
      </c>
      <c r="SA5" t="str">
        <f>_xll.BDS("78651Q US Equity","SUPPLY_CHAIN_CUSTOMERS_ALL_DATA")</f>
        <v>#N/A N/A</v>
      </c>
      <c r="SQ5" t="str">
        <f>_xll.BDS("1495787D US Equity","SUPPLY_CHAIN_SUPPLIERS_ALL_DATA")</f>
        <v>#N/A N/A</v>
      </c>
      <c r="TE5" t="str">
        <f>_xll.BDS("1495787D US Equity","SUPPLY_CHAIN_CUSTOMERS_ALL_DATA")</f>
        <v>#N/A N/A</v>
      </c>
      <c r="TU5" t="str">
        <f>_xll.BDS("RARE US Equity","SUPPLY_CHAIN_SUPPLIERS_ALL_DATA","cols=12;rows=5")</f>
        <v>DHC US Equity</v>
      </c>
      <c r="TV5" t="s">
        <v>1808</v>
      </c>
      <c r="TW5">
        <v>0.20776700000000001</v>
      </c>
      <c r="TX5">
        <v>0.96607699999999996</v>
      </c>
      <c r="TY5" t="s">
        <v>1789</v>
      </c>
      <c r="TZ5">
        <v>2024</v>
      </c>
      <c r="UA5" t="s">
        <v>3263</v>
      </c>
      <c r="UB5" s="6">
        <v>45713</v>
      </c>
      <c r="UC5">
        <v>5</v>
      </c>
      <c r="UD5">
        <v>776750</v>
      </c>
      <c r="UE5">
        <v>386356</v>
      </c>
      <c r="UF5" t="s">
        <v>3264</v>
      </c>
      <c r="UI5" t="str">
        <f>_xll.BDS("RARE US Equity","SUPPLY_CHAIN_CUSTOMERS_ALL_DATA","cols=12;rows=5")</f>
        <v>4151 JP Equity</v>
      </c>
      <c r="UJ5">
        <v>45</v>
      </c>
      <c r="UK5" t="s">
        <v>2574</v>
      </c>
      <c r="UL5">
        <v>44.740929000000001</v>
      </c>
      <c r="UM5" t="s">
        <v>1789</v>
      </c>
      <c r="UN5">
        <v>2025</v>
      </c>
      <c r="UO5" t="s">
        <v>4339</v>
      </c>
      <c r="UP5" s="6">
        <v>46071</v>
      </c>
      <c r="UQ5">
        <v>5</v>
      </c>
      <c r="UR5">
        <v>75712496</v>
      </c>
      <c r="US5">
        <v>114053</v>
      </c>
      <c r="UT5" t="s">
        <v>4568</v>
      </c>
      <c r="UY5" t="str">
        <f>_xll.BDS("SBLUQ US Equity","SUPPLY_CHAIN_SUPPLIERS_ALL_DATA")</f>
        <v>#N/A N/A</v>
      </c>
      <c r="VM5" t="str">
        <f>_xll.BDS("SBLUQ US Equity","SUPPLY_CHAIN_CUSTOMERS_ALL_DATA")</f>
        <v>#N/A N/A</v>
      </c>
    </row>
    <row r="6" spans="1:600" x14ac:dyDescent="0.25">
      <c r="JK6" t="s">
        <v>2724</v>
      </c>
      <c r="JL6" t="s">
        <v>1777</v>
      </c>
      <c r="JM6">
        <v>0.38619700000000001</v>
      </c>
      <c r="JN6">
        <v>0.47442000000000001</v>
      </c>
      <c r="JO6" t="s">
        <v>1768</v>
      </c>
      <c r="JP6">
        <v>2025</v>
      </c>
      <c r="JQ6" t="s">
        <v>2725</v>
      </c>
      <c r="JR6" s="6">
        <v>45952</v>
      </c>
      <c r="JS6">
        <v>5</v>
      </c>
      <c r="JT6">
        <v>7236754.0099999998</v>
      </c>
      <c r="JU6">
        <v>27639867</v>
      </c>
      <c r="JV6" t="s">
        <v>2726</v>
      </c>
      <c r="JY6" t="s">
        <v>3779</v>
      </c>
      <c r="JZ6">
        <v>-2.4245362661989844E-14</v>
      </c>
      <c r="KB6">
        <v>-2.4245362661989844E-14</v>
      </c>
      <c r="KC6" t="s">
        <v>1996</v>
      </c>
      <c r="KD6">
        <v>2024</v>
      </c>
      <c r="KE6" t="s">
        <v>3780</v>
      </c>
      <c r="KF6" s="6">
        <v>45518</v>
      </c>
      <c r="KG6">
        <v>5</v>
      </c>
      <c r="KH6">
        <v>-2.4245362661989844E-14</v>
      </c>
      <c r="KI6">
        <v>130119</v>
      </c>
      <c r="KJ6" t="s">
        <v>3781</v>
      </c>
      <c r="MW6" t="s">
        <v>3888</v>
      </c>
      <c r="MY6">
        <v>-2.4245362661989844E-14</v>
      </c>
      <c r="MZ6">
        <v>-2.4245362661989844E-14</v>
      </c>
      <c r="NA6" t="s">
        <v>1781</v>
      </c>
      <c r="NB6">
        <v>2026</v>
      </c>
      <c r="NC6" t="s">
        <v>3889</v>
      </c>
      <c r="ND6" s="6">
        <v>45798</v>
      </c>
      <c r="NE6">
        <v>5</v>
      </c>
      <c r="NF6">
        <v>-2.4245362661989844E-14</v>
      </c>
      <c r="NG6">
        <v>42870442</v>
      </c>
      <c r="NH6" t="s">
        <v>3890</v>
      </c>
      <c r="NK6" t="s">
        <v>3955</v>
      </c>
      <c r="NL6">
        <v>-2.4245362661989844E-14</v>
      </c>
      <c r="NN6">
        <v>-2.4245362661989844E-14</v>
      </c>
      <c r="NO6" t="s">
        <v>1789</v>
      </c>
      <c r="NP6">
        <v>2023</v>
      </c>
      <c r="NQ6" t="s">
        <v>3956</v>
      </c>
      <c r="NR6" s="6">
        <v>45189</v>
      </c>
      <c r="NS6">
        <v>5</v>
      </c>
      <c r="NT6">
        <v>-2.4245362661989844E-14</v>
      </c>
      <c r="NU6">
        <v>41486191</v>
      </c>
      <c r="NV6" t="s">
        <v>3957</v>
      </c>
      <c r="PE6" t="s">
        <v>4833</v>
      </c>
      <c r="PF6" t="s">
        <v>1777</v>
      </c>
      <c r="PG6">
        <v>2.5511309999999998</v>
      </c>
      <c r="PH6">
        <v>0.23505599999999999</v>
      </c>
      <c r="PI6" t="s">
        <v>1773</v>
      </c>
      <c r="PJ6">
        <v>2025</v>
      </c>
      <c r="PK6" t="s">
        <v>4834</v>
      </c>
      <c r="PL6" s="6">
        <v>45975</v>
      </c>
      <c r="PM6">
        <v>5</v>
      </c>
      <c r="PN6">
        <v>16914000</v>
      </c>
      <c r="PO6">
        <v>100915</v>
      </c>
      <c r="PP6" t="s">
        <v>4835</v>
      </c>
      <c r="QI6" t="s">
        <v>4866</v>
      </c>
      <c r="QK6">
        <v>-2.4245362661989844E-14</v>
      </c>
      <c r="QL6">
        <v>-2.4245362661989844E-14</v>
      </c>
      <c r="QM6" t="s">
        <v>2183</v>
      </c>
      <c r="QN6">
        <v>2025</v>
      </c>
      <c r="QO6" t="s">
        <v>4867</v>
      </c>
      <c r="QP6" s="6">
        <v>45894</v>
      </c>
      <c r="QQ6">
        <v>5</v>
      </c>
      <c r="QR6">
        <v>-2.4245362661989844E-14</v>
      </c>
      <c r="QS6">
        <v>20368058</v>
      </c>
      <c r="QT6" t="s">
        <v>4868</v>
      </c>
      <c r="QW6" t="s">
        <v>1909</v>
      </c>
      <c r="QX6">
        <v>4.3345149999999997</v>
      </c>
      <c r="QY6" t="s">
        <v>1777</v>
      </c>
      <c r="QZ6">
        <v>3.5104999999999997E-2</v>
      </c>
      <c r="RA6" t="s">
        <v>1785</v>
      </c>
      <c r="RB6">
        <v>2025</v>
      </c>
      <c r="RC6" t="s">
        <v>3099</v>
      </c>
      <c r="RD6" s="6">
        <v>46018</v>
      </c>
      <c r="RE6">
        <v>5</v>
      </c>
      <c r="RF6">
        <v>13308001</v>
      </c>
      <c r="RG6">
        <v>117929</v>
      </c>
      <c r="RH6" t="s">
        <v>1910</v>
      </c>
      <c r="TU6" t="s">
        <v>4085</v>
      </c>
      <c r="TV6" t="s">
        <v>1777</v>
      </c>
      <c r="TW6">
        <v>0.112805</v>
      </c>
      <c r="TX6">
        <v>0.167771</v>
      </c>
      <c r="TY6" t="s">
        <v>1773</v>
      </c>
      <c r="TZ6">
        <v>2025</v>
      </c>
      <c r="UA6" t="s">
        <v>4086</v>
      </c>
      <c r="UB6" s="6">
        <v>46041</v>
      </c>
      <c r="UC6">
        <v>5</v>
      </c>
      <c r="UD6">
        <v>46961</v>
      </c>
      <c r="UE6">
        <v>69205882</v>
      </c>
      <c r="UF6" t="s">
        <v>4087</v>
      </c>
      <c r="UI6" t="s">
        <v>2534</v>
      </c>
      <c r="UJ6">
        <v>8.9173449999999992</v>
      </c>
      <c r="UK6" t="s">
        <v>1777</v>
      </c>
      <c r="UL6">
        <v>2.2505000000000001E-2</v>
      </c>
      <c r="UM6" t="s">
        <v>1773</v>
      </c>
      <c r="UN6">
        <v>2025</v>
      </c>
      <c r="UO6" t="s">
        <v>4569</v>
      </c>
      <c r="UP6" s="6">
        <v>45986</v>
      </c>
      <c r="UQ6">
        <v>5</v>
      </c>
      <c r="UR6">
        <v>14261777</v>
      </c>
      <c r="US6">
        <v>60401289</v>
      </c>
      <c r="UT6" t="s">
        <v>2535</v>
      </c>
    </row>
    <row r="7" spans="1:600" x14ac:dyDescent="0.25">
      <c r="JK7" t="s">
        <v>2019</v>
      </c>
      <c r="JL7" t="s">
        <v>1906</v>
      </c>
      <c r="JM7">
        <v>0.254056</v>
      </c>
      <c r="JN7">
        <v>0.26785799999999998</v>
      </c>
      <c r="JO7" t="s">
        <v>1785</v>
      </c>
      <c r="JP7">
        <v>2024</v>
      </c>
      <c r="JQ7" t="s">
        <v>2020</v>
      </c>
      <c r="JR7" s="6">
        <v>45770</v>
      </c>
      <c r="JS7">
        <v>5</v>
      </c>
      <c r="JT7">
        <v>4756853.6399999997</v>
      </c>
      <c r="JU7">
        <v>186659</v>
      </c>
      <c r="JV7" t="s">
        <v>2021</v>
      </c>
      <c r="JY7" t="s">
        <v>3782</v>
      </c>
      <c r="JZ7">
        <v>-2.4245362661989844E-14</v>
      </c>
      <c r="KB7">
        <v>-2.4245362661989844E-14</v>
      </c>
      <c r="KC7" t="s">
        <v>1996</v>
      </c>
      <c r="KD7">
        <v>2024</v>
      </c>
      <c r="KE7" t="s">
        <v>3783</v>
      </c>
      <c r="KF7" s="6">
        <v>45518</v>
      </c>
      <c r="KG7">
        <v>5</v>
      </c>
      <c r="KH7">
        <v>-2.4245362661989844E-14</v>
      </c>
      <c r="KI7">
        <v>227699</v>
      </c>
      <c r="KJ7" t="s">
        <v>3784</v>
      </c>
      <c r="MW7" t="s">
        <v>2126</v>
      </c>
      <c r="MY7">
        <v>-2.4245362661989844E-14</v>
      </c>
      <c r="MZ7">
        <v>-2.4245362661989844E-14</v>
      </c>
      <c r="NA7" t="s">
        <v>1789</v>
      </c>
      <c r="NB7">
        <v>2024</v>
      </c>
      <c r="NC7" t="s">
        <v>3891</v>
      </c>
      <c r="ND7" s="6">
        <v>45405</v>
      </c>
      <c r="NE7">
        <v>5</v>
      </c>
      <c r="NF7">
        <v>-2.4245362661989844E-14</v>
      </c>
      <c r="NG7">
        <v>313657</v>
      </c>
      <c r="NH7" t="s">
        <v>2128</v>
      </c>
      <c r="NK7" t="s">
        <v>3958</v>
      </c>
      <c r="NL7">
        <v>-2.4245362661989844E-14</v>
      </c>
      <c r="NN7">
        <v>-2.4245362661989844E-14</v>
      </c>
      <c r="NO7" t="s">
        <v>1773</v>
      </c>
      <c r="NP7">
        <v>2025</v>
      </c>
      <c r="NQ7" t="s">
        <v>3959</v>
      </c>
      <c r="NR7" s="6">
        <v>45971</v>
      </c>
      <c r="NS7">
        <v>5</v>
      </c>
      <c r="NT7">
        <v>-2.4245362661989844E-14</v>
      </c>
      <c r="NU7">
        <v>39234675</v>
      </c>
      <c r="NV7" t="s">
        <v>3960</v>
      </c>
      <c r="PE7" t="s">
        <v>4836</v>
      </c>
      <c r="PF7" t="s">
        <v>1777</v>
      </c>
      <c r="PG7">
        <v>1.204777</v>
      </c>
      <c r="PH7">
        <v>0.211507</v>
      </c>
      <c r="PI7" t="s">
        <v>1768</v>
      </c>
      <c r="PJ7">
        <v>2025</v>
      </c>
      <c r="PK7" t="s">
        <v>4837</v>
      </c>
      <c r="PL7" s="6">
        <v>45876</v>
      </c>
      <c r="PM7">
        <v>5</v>
      </c>
      <c r="PN7">
        <v>14497082</v>
      </c>
      <c r="PO7">
        <v>23071317</v>
      </c>
      <c r="PP7" t="s">
        <v>4838</v>
      </c>
      <c r="QI7" t="s">
        <v>4869</v>
      </c>
      <c r="QK7">
        <v>-2.4245362661989844E-14</v>
      </c>
      <c r="QL7">
        <v>-2.4245362661989844E-14</v>
      </c>
      <c r="QM7" t="s">
        <v>1789</v>
      </c>
      <c r="QN7">
        <v>2023</v>
      </c>
      <c r="QO7" t="s">
        <v>4870</v>
      </c>
      <c r="QP7" s="6">
        <v>45188</v>
      </c>
      <c r="QQ7">
        <v>5</v>
      </c>
      <c r="QR7">
        <v>-2.4245362661989844E-14</v>
      </c>
      <c r="QS7">
        <v>18616031</v>
      </c>
      <c r="QT7" t="s">
        <v>4871</v>
      </c>
      <c r="QW7" t="s">
        <v>3100</v>
      </c>
      <c r="QX7">
        <v>3.4661849999999998</v>
      </c>
      <c r="QY7" t="s">
        <v>1777</v>
      </c>
      <c r="QZ7">
        <v>7.4706999999999996E-2</v>
      </c>
      <c r="RA7" t="s">
        <v>1785</v>
      </c>
      <c r="RB7">
        <v>2025</v>
      </c>
      <c r="RC7" t="s">
        <v>3099</v>
      </c>
      <c r="RD7" s="6">
        <v>46018</v>
      </c>
      <c r="RE7">
        <v>5</v>
      </c>
      <c r="RF7">
        <v>10642020</v>
      </c>
      <c r="RG7">
        <v>101365</v>
      </c>
      <c r="RH7" t="s">
        <v>3101</v>
      </c>
      <c r="TU7" t="s">
        <v>4335</v>
      </c>
      <c r="TW7">
        <v>-2.4245362661989844E-14</v>
      </c>
      <c r="TX7">
        <v>-2.4245362661989844E-14</v>
      </c>
      <c r="TY7" t="s">
        <v>1789</v>
      </c>
      <c r="TZ7">
        <v>2024</v>
      </c>
      <c r="UA7" t="s">
        <v>4336</v>
      </c>
      <c r="UB7" s="6">
        <v>45707</v>
      </c>
      <c r="UC7">
        <v>5</v>
      </c>
      <c r="UD7">
        <v>-2.4245362661989844E-14</v>
      </c>
      <c r="UE7">
        <v>954751</v>
      </c>
      <c r="UF7" t="s">
        <v>4337</v>
      </c>
      <c r="UI7" t="s">
        <v>2532</v>
      </c>
      <c r="UJ7">
        <v>3.6462059999999998</v>
      </c>
      <c r="UK7" t="s">
        <v>1777</v>
      </c>
      <c r="UL7">
        <v>6.5469999999999999E-3</v>
      </c>
      <c r="UM7" t="s">
        <v>1773</v>
      </c>
      <c r="UN7">
        <v>2025</v>
      </c>
      <c r="UO7" t="s">
        <v>4569</v>
      </c>
      <c r="UP7" s="6">
        <v>45986</v>
      </c>
      <c r="UQ7">
        <v>5</v>
      </c>
      <c r="UR7">
        <v>5831487</v>
      </c>
      <c r="US7">
        <v>100976</v>
      </c>
      <c r="UT7" t="s">
        <v>2533</v>
      </c>
    </row>
    <row r="8" spans="1:600" x14ac:dyDescent="0.25">
      <c r="JK8" t="s">
        <v>2094</v>
      </c>
      <c r="JL8" t="s">
        <v>1777</v>
      </c>
      <c r="JM8">
        <v>2.1909000000000001E-2</v>
      </c>
      <c r="JN8">
        <v>0.25751600000000002</v>
      </c>
      <c r="JO8" t="s">
        <v>1785</v>
      </c>
      <c r="JP8">
        <v>2025</v>
      </c>
      <c r="JQ8" t="s">
        <v>2095</v>
      </c>
      <c r="JR8" s="6">
        <v>45848</v>
      </c>
      <c r="JS8">
        <v>5</v>
      </c>
      <c r="JT8">
        <v>3484188</v>
      </c>
      <c r="JU8">
        <v>101752</v>
      </c>
      <c r="JV8" t="s">
        <v>2096</v>
      </c>
      <c r="JY8" t="s">
        <v>3785</v>
      </c>
      <c r="JZ8">
        <v>-2.4245362661989844E-14</v>
      </c>
      <c r="KB8">
        <v>-2.4245362661989844E-14</v>
      </c>
      <c r="KC8" t="s">
        <v>1894</v>
      </c>
      <c r="KD8">
        <v>2025</v>
      </c>
      <c r="KE8" t="s">
        <v>3786</v>
      </c>
      <c r="KF8" s="6">
        <v>45975</v>
      </c>
      <c r="KG8">
        <v>5</v>
      </c>
      <c r="KH8">
        <v>-2.4245362661989844E-14</v>
      </c>
      <c r="KI8">
        <v>9760711</v>
      </c>
      <c r="KJ8" t="s">
        <v>3787</v>
      </c>
      <c r="MW8" t="s">
        <v>1814</v>
      </c>
      <c r="MY8">
        <v>-2.4245362661989844E-14</v>
      </c>
      <c r="MZ8">
        <v>-2.4245362661989844E-14</v>
      </c>
      <c r="NA8" t="s">
        <v>1789</v>
      </c>
      <c r="NB8">
        <v>2025</v>
      </c>
      <c r="NC8" t="s">
        <v>3887</v>
      </c>
      <c r="ND8" s="6">
        <v>45798</v>
      </c>
      <c r="NE8">
        <v>5</v>
      </c>
      <c r="NF8">
        <v>-2.4245362661989844E-14</v>
      </c>
      <c r="NG8">
        <v>216952</v>
      </c>
      <c r="NH8" t="s">
        <v>1815</v>
      </c>
      <c r="NK8" t="s">
        <v>3961</v>
      </c>
      <c r="NL8">
        <v>-2.4245362661989844E-14</v>
      </c>
      <c r="NN8">
        <v>-2.4245362661989844E-14</v>
      </c>
      <c r="NO8" t="s">
        <v>1789</v>
      </c>
      <c r="NP8">
        <v>2023</v>
      </c>
      <c r="NQ8" t="s">
        <v>3956</v>
      </c>
      <c r="NR8" s="6">
        <v>45208</v>
      </c>
      <c r="NS8">
        <v>5</v>
      </c>
      <c r="NT8">
        <v>-2.4245362661989844E-14</v>
      </c>
      <c r="NU8">
        <v>340388</v>
      </c>
      <c r="NV8" t="s">
        <v>3962</v>
      </c>
      <c r="PE8" t="s">
        <v>4839</v>
      </c>
      <c r="PF8" t="s">
        <v>1777</v>
      </c>
      <c r="PG8">
        <v>2.3476379999999999</v>
      </c>
      <c r="PH8">
        <v>0.23334099999999999</v>
      </c>
      <c r="PI8" t="s">
        <v>1768</v>
      </c>
      <c r="PJ8">
        <v>2025</v>
      </c>
      <c r="PK8" t="s">
        <v>4840</v>
      </c>
      <c r="PL8" s="6">
        <v>45826</v>
      </c>
      <c r="PM8">
        <v>5</v>
      </c>
      <c r="PN8">
        <v>14361582</v>
      </c>
      <c r="PO8">
        <v>104778</v>
      </c>
      <c r="PP8" t="s">
        <v>4841</v>
      </c>
      <c r="QI8" t="s">
        <v>4872</v>
      </c>
      <c r="QK8">
        <v>-2.4245362661989844E-14</v>
      </c>
      <c r="QL8">
        <v>-2.4245362661989844E-14</v>
      </c>
      <c r="QM8" t="s">
        <v>1789</v>
      </c>
      <c r="QN8">
        <v>2023</v>
      </c>
      <c r="QO8" t="s">
        <v>4873</v>
      </c>
      <c r="QP8" s="6">
        <v>45306</v>
      </c>
      <c r="QQ8">
        <v>5</v>
      </c>
      <c r="QR8">
        <v>-2.4245362661989844E-14</v>
      </c>
      <c r="QS8">
        <v>61431397</v>
      </c>
      <c r="QT8" t="s">
        <v>4874</v>
      </c>
      <c r="QW8" t="s">
        <v>2129</v>
      </c>
      <c r="QX8">
        <v>2.8294570000000001</v>
      </c>
      <c r="QY8" t="s">
        <v>1777</v>
      </c>
      <c r="QZ8">
        <v>1.3485E-2</v>
      </c>
      <c r="RA8" t="s">
        <v>1785</v>
      </c>
      <c r="RB8">
        <v>2025</v>
      </c>
      <c r="RC8" t="s">
        <v>3099</v>
      </c>
      <c r="RD8" s="6">
        <v>46018</v>
      </c>
      <c r="RE8">
        <v>5</v>
      </c>
      <c r="RF8">
        <v>8687112</v>
      </c>
      <c r="RG8">
        <v>119133</v>
      </c>
      <c r="RH8" t="s">
        <v>2131</v>
      </c>
      <c r="TU8" t="s">
        <v>4338</v>
      </c>
      <c r="TW8">
        <v>-2.4245362661989844E-14</v>
      </c>
      <c r="TX8">
        <v>-2.4245362661989844E-14</v>
      </c>
      <c r="TY8" t="s">
        <v>1789</v>
      </c>
      <c r="TZ8">
        <v>2025</v>
      </c>
      <c r="UA8" t="s">
        <v>4339</v>
      </c>
      <c r="UB8" s="6">
        <v>46071</v>
      </c>
      <c r="UC8">
        <v>5</v>
      </c>
      <c r="UD8">
        <v>-2.4245362661989844E-14</v>
      </c>
      <c r="UE8">
        <v>62671694</v>
      </c>
      <c r="UF8" t="s">
        <v>4340</v>
      </c>
      <c r="UI8" t="s">
        <v>1451</v>
      </c>
      <c r="UJ8">
        <v>1.9870490000000001</v>
      </c>
      <c r="UK8" t="s">
        <v>1777</v>
      </c>
      <c r="UL8">
        <v>3.4350000000000001E-3</v>
      </c>
      <c r="UM8" t="s">
        <v>1773</v>
      </c>
      <c r="UN8">
        <v>2025</v>
      </c>
      <c r="UO8" t="s">
        <v>4569</v>
      </c>
      <c r="UP8" s="6">
        <v>45986</v>
      </c>
      <c r="UQ8">
        <v>5</v>
      </c>
      <c r="UR8">
        <v>3177947</v>
      </c>
      <c r="US8">
        <v>101548</v>
      </c>
      <c r="UT8" t="s">
        <v>2536</v>
      </c>
    </row>
    <row r="9" spans="1:600" x14ac:dyDescent="0.25">
      <c r="JK9" t="s">
        <v>2727</v>
      </c>
      <c r="JL9" t="s">
        <v>1777</v>
      </c>
      <c r="JM9">
        <v>3.7962999999999997E-2</v>
      </c>
      <c r="JN9">
        <v>0.117649</v>
      </c>
      <c r="JO9" t="s">
        <v>1768</v>
      </c>
      <c r="JP9">
        <v>2025</v>
      </c>
      <c r="JQ9" t="s">
        <v>2728</v>
      </c>
      <c r="JR9" s="6">
        <v>45917</v>
      </c>
      <c r="JS9">
        <v>5</v>
      </c>
      <c r="JT9">
        <v>1794964.29</v>
      </c>
      <c r="JU9">
        <v>112156</v>
      </c>
      <c r="JV9" t="s">
        <v>2729</v>
      </c>
      <c r="JY9" t="s">
        <v>3788</v>
      </c>
      <c r="JZ9">
        <v>-2.4245362661989844E-14</v>
      </c>
      <c r="KB9">
        <v>-2.4245362661989844E-14</v>
      </c>
      <c r="KC9" t="s">
        <v>1789</v>
      </c>
      <c r="KD9">
        <v>2022</v>
      </c>
      <c r="KE9" t="s">
        <v>3789</v>
      </c>
      <c r="KF9" s="6">
        <v>44973</v>
      </c>
      <c r="KG9">
        <v>5</v>
      </c>
      <c r="KH9">
        <v>-2.4245362661989844E-14</v>
      </c>
      <c r="KI9">
        <v>11599856</v>
      </c>
      <c r="KJ9" t="s">
        <v>3790</v>
      </c>
      <c r="MW9" t="s">
        <v>3892</v>
      </c>
      <c r="MY9">
        <v>-2.4245362661989844E-14</v>
      </c>
      <c r="MZ9">
        <v>-2.4245362661989844E-14</v>
      </c>
      <c r="NA9" t="s">
        <v>1789</v>
      </c>
      <c r="NB9">
        <v>2022</v>
      </c>
      <c r="NC9" t="s">
        <v>3893</v>
      </c>
      <c r="ND9" s="6">
        <v>45049</v>
      </c>
      <c r="NE9">
        <v>5</v>
      </c>
      <c r="NF9">
        <v>-2.4245362661989844E-14</v>
      </c>
      <c r="NG9">
        <v>20498755</v>
      </c>
      <c r="NH9" t="s">
        <v>3894</v>
      </c>
      <c r="NK9" t="s">
        <v>3963</v>
      </c>
      <c r="NL9">
        <v>-2.4245362661989844E-14</v>
      </c>
      <c r="NN9">
        <v>-2.4245362661989844E-14</v>
      </c>
      <c r="NO9" t="s">
        <v>1781</v>
      </c>
      <c r="NP9">
        <v>2024</v>
      </c>
      <c r="NQ9" t="s">
        <v>3964</v>
      </c>
      <c r="NR9" s="6">
        <v>45790</v>
      </c>
      <c r="NS9">
        <v>5</v>
      </c>
      <c r="NT9">
        <v>-2.4245362661989844E-14</v>
      </c>
      <c r="NU9">
        <v>27514034</v>
      </c>
      <c r="NV9" t="s">
        <v>3965</v>
      </c>
      <c r="PE9" t="s">
        <v>4842</v>
      </c>
      <c r="PF9" t="s">
        <v>1777</v>
      </c>
      <c r="PG9">
        <v>2.1295009999999999</v>
      </c>
      <c r="PH9">
        <v>0.19090599999999999</v>
      </c>
      <c r="PI9" t="s">
        <v>1768</v>
      </c>
      <c r="PJ9">
        <v>2025</v>
      </c>
      <c r="PK9" t="s">
        <v>4843</v>
      </c>
      <c r="PL9" s="6">
        <v>45912</v>
      </c>
      <c r="PM9">
        <v>5</v>
      </c>
      <c r="PN9">
        <v>13085102</v>
      </c>
      <c r="PO9">
        <v>104534</v>
      </c>
      <c r="PP9" t="s">
        <v>4844</v>
      </c>
      <c r="QI9" t="s">
        <v>4875</v>
      </c>
      <c r="QK9">
        <v>-2.4245362661989844E-14</v>
      </c>
      <c r="QL9">
        <v>-2.4245362661989844E-14</v>
      </c>
      <c r="QM9" t="s">
        <v>1773</v>
      </c>
      <c r="QN9">
        <v>2025</v>
      </c>
      <c r="QO9" t="s">
        <v>4876</v>
      </c>
      <c r="QP9" s="6">
        <v>45978</v>
      </c>
      <c r="QQ9">
        <v>5</v>
      </c>
      <c r="QR9">
        <v>-2.4245362661989844E-14</v>
      </c>
      <c r="QS9">
        <v>19068988</v>
      </c>
      <c r="QT9" t="s">
        <v>4877</v>
      </c>
      <c r="QW9" t="s">
        <v>3102</v>
      </c>
      <c r="QX9">
        <v>2.7621410000000002</v>
      </c>
      <c r="QY9" t="s">
        <v>1777</v>
      </c>
      <c r="QZ9">
        <v>0.137574</v>
      </c>
      <c r="RA9" t="s">
        <v>1785</v>
      </c>
      <c r="RB9">
        <v>2025</v>
      </c>
      <c r="RC9" t="s">
        <v>3099</v>
      </c>
      <c r="RD9" s="6">
        <v>46018</v>
      </c>
      <c r="RE9">
        <v>5</v>
      </c>
      <c r="RF9">
        <v>8480436</v>
      </c>
      <c r="RG9">
        <v>870321</v>
      </c>
      <c r="RH9" t="s">
        <v>3103</v>
      </c>
      <c r="TU9" t="s">
        <v>4341</v>
      </c>
      <c r="TW9">
        <v>-2.4245362661989844E-14</v>
      </c>
      <c r="TX9">
        <v>-2.4245362661989844E-14</v>
      </c>
      <c r="TY9" t="s">
        <v>1789</v>
      </c>
      <c r="TZ9">
        <v>2023</v>
      </c>
      <c r="UA9" t="s">
        <v>4342</v>
      </c>
      <c r="UB9" s="6">
        <v>45278</v>
      </c>
      <c r="UC9">
        <v>5</v>
      </c>
      <c r="UD9">
        <v>-2.4245362661989844E-14</v>
      </c>
      <c r="UE9">
        <v>69509148</v>
      </c>
      <c r="UF9" t="s">
        <v>4343</v>
      </c>
      <c r="UI9" t="s">
        <v>4570</v>
      </c>
      <c r="UJ9">
        <v>-2.4245362661989844E-14</v>
      </c>
      <c r="UL9">
        <v>-2.4245362661989844E-14</v>
      </c>
      <c r="UM9" t="s">
        <v>1789</v>
      </c>
      <c r="UN9">
        <v>2025</v>
      </c>
      <c r="UO9" t="s">
        <v>4571</v>
      </c>
      <c r="UP9" s="6">
        <v>45828</v>
      </c>
      <c r="UQ9">
        <v>5</v>
      </c>
      <c r="UR9">
        <v>-2.4245362661989844E-14</v>
      </c>
      <c r="US9">
        <v>9996376</v>
      </c>
      <c r="UT9" t="s">
        <v>4572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544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545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546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547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548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549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550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551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552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553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554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555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556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557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558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559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560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561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562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563</v>
      </c>
      <c r="AE2" s="3" t="s">
        <v>21</v>
      </c>
      <c r="BI2" s="3" t="s">
        <v>564</v>
      </c>
      <c r="CM2" s="3" t="s">
        <v>565</v>
      </c>
      <c r="DQ2" s="3" t="s">
        <v>566</v>
      </c>
      <c r="EU2" s="3" t="s">
        <v>567</v>
      </c>
      <c r="FY2" s="3" t="s">
        <v>568</v>
      </c>
      <c r="HC2" s="3" t="s">
        <v>569</v>
      </c>
      <c r="IG2" s="3" t="s">
        <v>570</v>
      </c>
      <c r="JK2" s="3" t="s">
        <v>571</v>
      </c>
      <c r="KO2" s="3" t="s">
        <v>572</v>
      </c>
      <c r="LS2" s="3" t="s">
        <v>573</v>
      </c>
      <c r="MW2" s="3" t="s">
        <v>574</v>
      </c>
      <c r="OA2" s="3" t="s">
        <v>394</v>
      </c>
      <c r="PE2" s="3" t="s">
        <v>575</v>
      </c>
      <c r="QI2" s="3" t="s">
        <v>576</v>
      </c>
      <c r="RM2" s="3" t="s">
        <v>577</v>
      </c>
      <c r="SQ2" s="3" t="s">
        <v>578</v>
      </c>
      <c r="TU2" s="3" t="s">
        <v>579</v>
      </c>
      <c r="UY2" s="3" t="s">
        <v>580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_xll.BDS("MSFG US Equity","SUPPLY_CHAIN_SUPPLIERS_ALL_DATA")</f>
        <v>#N/A N/A</v>
      </c>
      <c r="O5" t="str">
        <f>_xll.BDS("MSFG US Equity","SUPPLY_CHAIN_CUSTOMERS_ALL_DATA")</f>
        <v>#N/A N/A</v>
      </c>
      <c r="AE5" t="str">
        <f>_xll.BDS("NPBC US Equity","SUPPLY_CHAIN_SUPPLIERS_ALL_DATA")</f>
        <v>#N/A N/A</v>
      </c>
      <c r="AS5" t="str">
        <f>_xll.BDS("NPBC US Equity","SUPPLY_CHAIN_CUSTOMERS_ALL_DATA")</f>
        <v>#N/A N/A</v>
      </c>
      <c r="BI5" t="str">
        <f>_xll.BDS("SBMC US Equity","SUPPLY_CHAIN_SUPPLIERS_ALL_DATA")</f>
        <v>#N/A N/A</v>
      </c>
      <c r="BW5" t="str">
        <f>_xll.BDS("SBMC US Equity","SUPPLY_CHAIN_CUSTOMERS_ALL_DATA")</f>
        <v>#N/A N/A</v>
      </c>
      <c r="CM5" t="str">
        <f>_xll.BDS("TTI US Equity","SUPPLY_CHAIN_SUPPLIERS_ALL_DATA","cols=12;rows=5")</f>
        <v>002196 CH Equity</v>
      </c>
      <c r="CO5">
        <v>-2.4245362661989844E-14</v>
      </c>
      <c r="CP5">
        <v>-2.4245362661989844E-14</v>
      </c>
      <c r="CQ5" t="s">
        <v>1789</v>
      </c>
      <c r="CR5">
        <v>2022</v>
      </c>
      <c r="CS5" t="s">
        <v>3455</v>
      </c>
      <c r="CT5" s="6">
        <v>45044</v>
      </c>
      <c r="CU5">
        <v>5</v>
      </c>
      <c r="CV5">
        <v>-2.4245362661989844E-14</v>
      </c>
      <c r="CW5">
        <v>13390124</v>
      </c>
      <c r="CX5" t="s">
        <v>3456</v>
      </c>
      <c r="DA5" t="str">
        <f>_xll.BDS("TTI US Equity","SUPPLY_CHAIN_CUSTOMERS_ALL_DATA","cols=12;rows=1")</f>
        <v>EOSE US Equity</v>
      </c>
      <c r="DB5">
        <v>-2.4245362661989844E-14</v>
      </c>
      <c r="DD5">
        <v>-2.4245362661989844E-14</v>
      </c>
      <c r="DE5" t="s">
        <v>1789</v>
      </c>
      <c r="DF5">
        <v>2024</v>
      </c>
      <c r="DG5" t="s">
        <v>2979</v>
      </c>
      <c r="DH5" s="6">
        <v>45713</v>
      </c>
      <c r="DI5">
        <v>1</v>
      </c>
      <c r="DJ5">
        <v>-2.4245362661989844E-14</v>
      </c>
      <c r="DK5">
        <v>67797868</v>
      </c>
      <c r="DL5" t="s">
        <v>2980</v>
      </c>
      <c r="DQ5" t="str">
        <f>_xll.BDS("PALM US Equity","SUPPLY_CHAIN_SUPPLIERS_ALL_DATA")</f>
        <v>#N/A N/A</v>
      </c>
      <c r="EE5" t="str">
        <f>_xll.BDS("PALM US Equity","SUPPLY_CHAIN_CUSTOMERS_ALL_DATA")</f>
        <v>#N/A N/A</v>
      </c>
      <c r="EU5" t="str">
        <f>_xll.BDS("RJETQ US Equity","SUPPLY_CHAIN_SUPPLIERS_ALL_DATA","cols=12;rows=5")</f>
        <v>EMBJ3 BZ Equity</v>
      </c>
      <c r="EW5">
        <v>3.4</v>
      </c>
      <c r="EX5">
        <v>-2.4245362661989844E-14</v>
      </c>
      <c r="EY5" t="s">
        <v>1768</v>
      </c>
      <c r="EZ5">
        <v>2025</v>
      </c>
      <c r="FA5" t="s">
        <v>3700</v>
      </c>
      <c r="FB5" s="6">
        <v>45875</v>
      </c>
      <c r="FC5">
        <v>5</v>
      </c>
      <c r="FD5">
        <v>61628554.75</v>
      </c>
      <c r="FE5">
        <v>158756</v>
      </c>
      <c r="FF5" t="s">
        <v>3701</v>
      </c>
      <c r="FI5" t="str">
        <f>_xll.BDS("RJETQ US Equity","SUPPLY_CHAIN_CUSTOMERS_ALL_DATA","cols=12;rows=2")</f>
        <v>AAL US Equity</v>
      </c>
      <c r="FJ5">
        <v>-2.4245362661989844E-14</v>
      </c>
      <c r="FK5" t="s">
        <v>1777</v>
      </c>
      <c r="FL5">
        <v>1.3072379999999999</v>
      </c>
      <c r="FM5" t="s">
        <v>1773</v>
      </c>
      <c r="FN5">
        <v>2025</v>
      </c>
      <c r="FO5" t="s">
        <v>2765</v>
      </c>
      <c r="FP5" s="6">
        <v>45953</v>
      </c>
      <c r="FQ5">
        <v>2</v>
      </c>
      <c r="FR5">
        <v>177000000</v>
      </c>
      <c r="FS5">
        <v>100090</v>
      </c>
      <c r="FT5" t="s">
        <v>1891</v>
      </c>
      <c r="FY5" t="str">
        <f>_xll.BDS("FVB US Equity","SUPPLY_CHAIN_SUPPLIERS_ALL_DATA")</f>
        <v>#N/A N/A</v>
      </c>
      <c r="GM5" t="str">
        <f>_xll.BDS("FVB US Equity","SUPPLY_CHAIN_CUSTOMERS_ALL_DATA")</f>
        <v>#N/A N/A</v>
      </c>
      <c r="HC5" t="str">
        <f>_xll.BDS("SFSW US Equity","SUPPLY_CHAIN_SUPPLIERS_ALL_DATA")</f>
        <v>#N/A N/A</v>
      </c>
      <c r="HQ5" t="str">
        <f>_xll.BDS("SFSW US Equity","SUPPLY_CHAIN_CUSTOMERS_ALL_DATA")</f>
        <v>#N/A N/A</v>
      </c>
      <c r="IG5" t="str">
        <f>_xll.BDS("ITW US Equity","SUPPLY_CHAIN_SUPPLIERS_ALL_DATA","cols=12;rows=5")</f>
        <v>179 HK Equity</v>
      </c>
      <c r="IH5" t="s">
        <v>1777</v>
      </c>
      <c r="II5">
        <v>6.5320000000000003E-2</v>
      </c>
      <c r="IJ5">
        <v>2.7040999999999999E-2</v>
      </c>
      <c r="IK5" t="s">
        <v>1768</v>
      </c>
      <c r="IL5">
        <v>2026</v>
      </c>
      <c r="IM5" t="s">
        <v>2014</v>
      </c>
      <c r="IN5" s="6">
        <v>46044</v>
      </c>
      <c r="IO5">
        <v>5</v>
      </c>
      <c r="IP5">
        <v>598816</v>
      </c>
      <c r="IQ5">
        <v>116426</v>
      </c>
      <c r="IR5" t="s">
        <v>2015</v>
      </c>
      <c r="IU5" t="str">
        <f>_xll.BDS("ITW US Equity","SUPPLY_CHAIN_CUSTOMERS_ALL_DATA","cols=12;rows=5")</f>
        <v>TSCO US Equity</v>
      </c>
      <c r="IV5">
        <v>1.765717</v>
      </c>
      <c r="IW5" t="s">
        <v>1777</v>
      </c>
      <c r="IX5">
        <v>2.5065909999999998</v>
      </c>
      <c r="IY5" t="s">
        <v>1768</v>
      </c>
      <c r="IZ5">
        <v>2025</v>
      </c>
      <c r="JA5" t="s">
        <v>1862</v>
      </c>
      <c r="JB5" s="6">
        <v>45917</v>
      </c>
      <c r="JC5">
        <v>5</v>
      </c>
      <c r="JD5">
        <v>70178408</v>
      </c>
      <c r="JE5">
        <v>126788</v>
      </c>
      <c r="JF5" t="s">
        <v>1863</v>
      </c>
      <c r="JK5" t="str">
        <f>_xll.BDS("CIVB US Equity","SUPPLY_CHAIN_SUPPLIERS_ALL_DATA")</f>
        <v>#N/A N/A</v>
      </c>
      <c r="JY5" t="str">
        <f>_xll.BDS("CIVB US Equity","SUPPLY_CHAIN_CUSTOMERS_ALL_DATA")</f>
        <v>#N/A N/A</v>
      </c>
      <c r="KO5" t="str">
        <f>_xll.BDS("EZPW US Equity","SUPPLY_CHAIN_SUPPLIERS_ALL_DATA","cols=12;rows=1")</f>
        <v>NCNO US Equity</v>
      </c>
      <c r="KQ5">
        <v>-2.4245362661989844E-14</v>
      </c>
      <c r="KR5">
        <v>-2.4245362661989844E-14</v>
      </c>
      <c r="KS5" t="s">
        <v>1789</v>
      </c>
      <c r="KT5">
        <v>2023</v>
      </c>
      <c r="KU5" t="s">
        <v>4135</v>
      </c>
      <c r="KV5" s="6">
        <v>44964</v>
      </c>
      <c r="KW5">
        <v>1</v>
      </c>
      <c r="KX5">
        <v>-2.4245362661989844E-14</v>
      </c>
      <c r="KY5">
        <v>69921002</v>
      </c>
      <c r="KZ5" t="s">
        <v>3242</v>
      </c>
      <c r="LC5" t="str">
        <f>_xll.BDS("EZPW US Equity","SUPPLY_CHAIN_CUSTOMERS_ALL_DATA","cols=12;rows=2")</f>
        <v>ICHB MM Equity</v>
      </c>
      <c r="LD5">
        <v>-2.4245362661989844E-14</v>
      </c>
      <c r="LF5">
        <v>-2.4245362661989844E-14</v>
      </c>
      <c r="LG5" t="s">
        <v>1996</v>
      </c>
      <c r="LH5">
        <v>2025</v>
      </c>
      <c r="LI5" t="s">
        <v>4080</v>
      </c>
      <c r="LJ5" s="6">
        <v>45863</v>
      </c>
      <c r="LK5">
        <v>2</v>
      </c>
      <c r="LL5">
        <v>-2.4245362661989844E-14</v>
      </c>
      <c r="LM5">
        <v>158156</v>
      </c>
      <c r="LN5" t="s">
        <v>4081</v>
      </c>
      <c r="LS5" t="str">
        <f>_xll.BDS("JNJ US Equity","SUPPLY_CHAIN_SUPPLIERS_ALL_DATA","cols=12;rows=5")</f>
        <v>GMAB DC Equity</v>
      </c>
      <c r="LT5" t="s">
        <v>2574</v>
      </c>
      <c r="LU5">
        <v>66.998047</v>
      </c>
      <c r="LV5">
        <v>11.040321</v>
      </c>
      <c r="LW5" t="s">
        <v>1789</v>
      </c>
      <c r="LX5">
        <v>2024</v>
      </c>
      <c r="LY5" t="s">
        <v>2575</v>
      </c>
      <c r="LZ5" s="6">
        <v>45701</v>
      </c>
      <c r="MA5">
        <v>5</v>
      </c>
      <c r="MB5">
        <v>522920364.22000003</v>
      </c>
      <c r="MC5">
        <v>1405715</v>
      </c>
      <c r="MD5" t="s">
        <v>2576</v>
      </c>
      <c r="MG5" t="str">
        <f>_xll.BDS("JNJ US Equity","SUPPLY_CHAIN_CUSTOMERS_ALL_DATA","cols=12;rows=5")</f>
        <v>MCK US Equity</v>
      </c>
      <c r="MH5">
        <v>20.476745999999999</v>
      </c>
      <c r="MI5" t="s">
        <v>1777</v>
      </c>
      <c r="MJ5">
        <v>6.636412</v>
      </c>
      <c r="MK5" t="s">
        <v>1773</v>
      </c>
      <c r="ML5">
        <v>2025</v>
      </c>
      <c r="MM5" t="s">
        <v>2932</v>
      </c>
      <c r="MN5" s="6">
        <v>46018</v>
      </c>
      <c r="MO5">
        <v>5</v>
      </c>
      <c r="MP5">
        <v>4912985600</v>
      </c>
      <c r="MQ5">
        <v>154936</v>
      </c>
      <c r="MR5" t="s">
        <v>2528</v>
      </c>
      <c r="MW5" t="str">
        <f>_xll.BDS("AXP US Equity","SUPPLY_CHAIN_SUPPLIERS_ALL_DATA","cols=12;rows=5")</f>
        <v>ADBE US Equity</v>
      </c>
      <c r="MX5" t="s">
        <v>1808</v>
      </c>
      <c r="MY5">
        <v>0.32120500000000002</v>
      </c>
      <c r="MZ5">
        <v>0.15107200000000001</v>
      </c>
      <c r="NA5" t="s">
        <v>1768</v>
      </c>
      <c r="NB5">
        <v>2025</v>
      </c>
      <c r="NC5" t="s">
        <v>2359</v>
      </c>
      <c r="ND5" s="6">
        <v>45838</v>
      </c>
      <c r="NE5">
        <v>5</v>
      </c>
      <c r="NF5">
        <v>18864370</v>
      </c>
      <c r="NG5">
        <v>101689</v>
      </c>
      <c r="NH5" t="s">
        <v>2360</v>
      </c>
      <c r="NK5" t="str">
        <f>_xll.BDS("AXP US Equity","SUPPLY_CHAIN_CUSTOMERS_ALL_DATA","cols=12;rows=5")</f>
        <v>8206440Z LN Equity</v>
      </c>
      <c r="NL5">
        <v>0.12788099999999999</v>
      </c>
      <c r="NM5" t="s">
        <v>1906</v>
      </c>
      <c r="NN5">
        <v>-2.4245362661989844E-14</v>
      </c>
      <c r="NO5" t="s">
        <v>1789</v>
      </c>
      <c r="NP5">
        <v>2025</v>
      </c>
      <c r="NQ5" t="s">
        <v>2285</v>
      </c>
      <c r="NR5" s="6">
        <v>45925</v>
      </c>
      <c r="NS5">
        <v>5</v>
      </c>
      <c r="NT5">
        <v>24244000</v>
      </c>
      <c r="NU5">
        <v>340053</v>
      </c>
      <c r="NV5" t="s">
        <v>2286</v>
      </c>
      <c r="OA5" t="str">
        <f>_xll.BDS("WFC US Equity","SUPPLY_CHAIN_SUPPLIERS_ALL_DATA","cols=12;rows=5")</f>
        <v>ADBE US Equity</v>
      </c>
      <c r="OB5" t="s">
        <v>1808</v>
      </c>
      <c r="OC5">
        <v>0.357321</v>
      </c>
      <c r="OD5">
        <v>0.15107200000000001</v>
      </c>
      <c r="OE5" t="s">
        <v>1768</v>
      </c>
      <c r="OF5">
        <v>2025</v>
      </c>
      <c r="OG5" t="s">
        <v>2359</v>
      </c>
      <c r="OH5" s="6">
        <v>45838</v>
      </c>
      <c r="OI5">
        <v>5</v>
      </c>
      <c r="OJ5">
        <v>20985462</v>
      </c>
      <c r="OK5">
        <v>101689</v>
      </c>
      <c r="OL5" t="s">
        <v>2360</v>
      </c>
      <c r="OO5" t="str">
        <f>_xll.BDS("WFC US Equity","SUPPLY_CHAIN_CUSTOMERS_ALL_DATA","cols=12;rows=5")</f>
        <v>CDW US Equity</v>
      </c>
      <c r="OP5">
        <v>4.1894000000000001E-2</v>
      </c>
      <c r="OQ5" t="s">
        <v>1777</v>
      </c>
      <c r="OR5">
        <v>0.304456</v>
      </c>
      <c r="OS5" t="s">
        <v>1781</v>
      </c>
      <c r="OT5">
        <v>2025</v>
      </c>
      <c r="OU5" t="s">
        <v>1865</v>
      </c>
      <c r="OV5" s="6">
        <v>45820</v>
      </c>
      <c r="OW5">
        <v>5</v>
      </c>
      <c r="OX5">
        <v>12412062</v>
      </c>
      <c r="OY5">
        <v>12129192</v>
      </c>
      <c r="OZ5" t="s">
        <v>1866</v>
      </c>
      <c r="PE5" t="str">
        <f>_xll.BDS("PRGY US Equity","SUPPLY_CHAIN_SUPPLIERS_ALL_DATA")</f>
        <v>#N/A N/A</v>
      </c>
      <c r="PS5" t="str">
        <f>_xll.BDS("PRGY US Equity","SUPPLY_CHAIN_CUSTOMERS_ALL_DATA")</f>
        <v>#N/A N/A</v>
      </c>
      <c r="QI5" t="str">
        <f>_xll.BDS("AZZ US Equity","SUPPLY_CHAIN_SUPPLIERS_ALL_DATA","cols=12;rows=5")</f>
        <v>010120 KS Equity</v>
      </c>
      <c r="QK5">
        <v>-2.4245362661989844E-14</v>
      </c>
      <c r="QL5">
        <v>-2.4245362661989844E-14</v>
      </c>
      <c r="QM5" t="s">
        <v>1894</v>
      </c>
      <c r="QN5">
        <v>2025</v>
      </c>
      <c r="QO5" t="s">
        <v>4723</v>
      </c>
      <c r="QP5" s="6">
        <v>45975</v>
      </c>
      <c r="QQ5">
        <v>5</v>
      </c>
      <c r="QR5">
        <v>-2.4245362661989844E-14</v>
      </c>
      <c r="QS5">
        <v>178818</v>
      </c>
      <c r="QT5" t="s">
        <v>4724</v>
      </c>
      <c r="QW5" t="str">
        <f>_xll.BDS("AZZ US Equity","SUPPLY_CHAIN_CUSTOMERS_ALL_DATA","cols=12;rows=5")</f>
        <v>TT US Equity</v>
      </c>
      <c r="QX5">
        <v>0.16157199999999999</v>
      </c>
      <c r="QY5" t="s">
        <v>1777</v>
      </c>
      <c r="QZ5">
        <v>2.1375999999999999E-2</v>
      </c>
      <c r="RA5" t="s">
        <v>1768</v>
      </c>
      <c r="RB5">
        <v>2025</v>
      </c>
      <c r="RC5" t="s">
        <v>4530</v>
      </c>
      <c r="RD5" s="6">
        <v>45870</v>
      </c>
      <c r="RE5">
        <v>5</v>
      </c>
      <c r="RF5">
        <v>681771</v>
      </c>
      <c r="RG5">
        <v>100787</v>
      </c>
      <c r="RH5" t="s">
        <v>3759</v>
      </c>
      <c r="RM5" t="str">
        <f>_xll.BDS("ONB US Equity","SUPPLY_CHAIN_SUPPLIERS_ALL_DATA","cols=12;rows=3")</f>
        <v>FCPT US Equity</v>
      </c>
      <c r="RO5">
        <v>-2.4245362661989844E-14</v>
      </c>
      <c r="RP5">
        <v>-2.4245362661989844E-14</v>
      </c>
      <c r="RQ5" t="s">
        <v>1789</v>
      </c>
      <c r="RR5">
        <v>2023</v>
      </c>
      <c r="RS5" t="s">
        <v>1964</v>
      </c>
      <c r="RT5" s="6">
        <v>45337</v>
      </c>
      <c r="RU5">
        <v>3</v>
      </c>
      <c r="RV5">
        <v>-2.4245362661989844E-14</v>
      </c>
      <c r="RW5">
        <v>46177523</v>
      </c>
      <c r="RX5" t="s">
        <v>1965</v>
      </c>
      <c r="SA5" t="str">
        <f>_xll.BDS("ONB US Equity","SUPPLY_CHAIN_CUSTOMERS_ALL_DATA")</f>
        <v>#N/A N/A</v>
      </c>
      <c r="SQ5" t="str">
        <f>_xll.BDS("1837572D US Equity","SUPPLY_CHAIN_SUPPLIERS_ALL_DATA")</f>
        <v>#N/A N/A</v>
      </c>
      <c r="TE5" t="str">
        <f>_xll.BDS("1837572D US Equity","SUPPLY_CHAIN_CUSTOMERS_ALL_DATA")</f>
        <v>#N/A N/A</v>
      </c>
      <c r="TU5" t="str">
        <f>_xll.BDS("EMUS US Equity","SUPPLY_CHAIN_SUPPLIERS_ALL_DATA")</f>
        <v>#N/A N/A</v>
      </c>
      <c r="UI5" t="str">
        <f>_xll.BDS("EMUS US Equity","SUPPLY_CHAIN_CUSTOMERS_ALL_DATA")</f>
        <v>#N/A N/A</v>
      </c>
      <c r="UY5" t="str">
        <f>_xll.BDS("AXS US Equity","SUPPLY_CHAIN_SUPPLIERS_ALL_DATA")</f>
        <v>#N/A N/A</v>
      </c>
      <c r="VM5" t="str">
        <f>_xll.BDS("AXS US Equity","SUPPLY_CHAIN_CUSTOMERS_ALL_DATA")</f>
        <v>#N/A N/A</v>
      </c>
    </row>
    <row r="6" spans="1:600" x14ac:dyDescent="0.25">
      <c r="CM6" t="s">
        <v>2084</v>
      </c>
      <c r="CO6">
        <v>-2.4245362661989844E-14</v>
      </c>
      <c r="CP6">
        <v>-2.4245362661989844E-14</v>
      </c>
      <c r="CQ6" t="s">
        <v>1789</v>
      </c>
      <c r="CR6">
        <v>2021</v>
      </c>
      <c r="CS6" t="s">
        <v>2085</v>
      </c>
      <c r="CT6" s="6">
        <v>44693</v>
      </c>
      <c r="CU6">
        <v>5</v>
      </c>
      <c r="CV6">
        <v>-2.4245362661989844E-14</v>
      </c>
      <c r="CW6">
        <v>313098</v>
      </c>
      <c r="CX6" t="s">
        <v>2086</v>
      </c>
      <c r="EU6" t="s">
        <v>3586</v>
      </c>
      <c r="EW6">
        <v>-2.4245362661989844E-14</v>
      </c>
      <c r="EX6">
        <v>-2.4245362661989844E-14</v>
      </c>
      <c r="EY6" t="s">
        <v>1773</v>
      </c>
      <c r="EZ6">
        <v>2025</v>
      </c>
      <c r="FA6" t="s">
        <v>4825</v>
      </c>
      <c r="FB6" s="6">
        <v>45785</v>
      </c>
      <c r="FC6">
        <v>5</v>
      </c>
      <c r="FD6">
        <v>-2.4245362661989844E-14</v>
      </c>
      <c r="FE6">
        <v>100001</v>
      </c>
      <c r="FF6" t="s">
        <v>3588</v>
      </c>
      <c r="FI6" t="s">
        <v>1889</v>
      </c>
      <c r="FJ6">
        <v>-2.4245362661989844E-14</v>
      </c>
      <c r="FL6">
        <v>-2.4245362661989844E-14</v>
      </c>
      <c r="FM6" t="s">
        <v>1773</v>
      </c>
      <c r="FN6">
        <v>2025</v>
      </c>
      <c r="FO6" t="s">
        <v>4628</v>
      </c>
      <c r="FP6" s="6">
        <v>45946</v>
      </c>
      <c r="FQ6">
        <v>2</v>
      </c>
      <c r="FR6">
        <v>-2.4245362661989844E-14</v>
      </c>
      <c r="FS6">
        <v>10451815</v>
      </c>
      <c r="FT6" t="s">
        <v>1890</v>
      </c>
      <c r="IG6" t="s">
        <v>2016</v>
      </c>
      <c r="IH6" t="s">
        <v>1777</v>
      </c>
      <c r="II6">
        <v>1.0368839999999999</v>
      </c>
      <c r="IJ6">
        <v>1.9713000000000001E-2</v>
      </c>
      <c r="IK6" t="s">
        <v>1894</v>
      </c>
      <c r="IL6">
        <v>2025</v>
      </c>
      <c r="IM6" t="s">
        <v>2017</v>
      </c>
      <c r="IN6" s="6">
        <v>45975</v>
      </c>
      <c r="IO6">
        <v>5</v>
      </c>
      <c r="IP6">
        <v>438049.33</v>
      </c>
      <c r="IQ6">
        <v>7994346</v>
      </c>
      <c r="IR6" t="s">
        <v>2018</v>
      </c>
      <c r="IU6" t="s">
        <v>1864</v>
      </c>
      <c r="IV6">
        <v>0.121521</v>
      </c>
      <c r="IW6" t="s">
        <v>1777</v>
      </c>
      <c r="IX6">
        <v>0.11847199999999999</v>
      </c>
      <c r="IY6" t="s">
        <v>1781</v>
      </c>
      <c r="IZ6">
        <v>2025</v>
      </c>
      <c r="JA6" t="s">
        <v>1865</v>
      </c>
      <c r="JB6" s="6">
        <v>45820</v>
      </c>
      <c r="JC6">
        <v>5</v>
      </c>
      <c r="JD6">
        <v>4829866</v>
      </c>
      <c r="JE6">
        <v>12129192</v>
      </c>
      <c r="JF6" t="s">
        <v>1866</v>
      </c>
      <c r="LC6" t="s">
        <v>3240</v>
      </c>
      <c r="LD6">
        <v>-2.4245362661989844E-14</v>
      </c>
      <c r="LF6">
        <v>-2.4245362661989844E-14</v>
      </c>
      <c r="LG6" t="s">
        <v>1789</v>
      </c>
      <c r="LH6">
        <v>2024</v>
      </c>
      <c r="LI6" t="s">
        <v>4082</v>
      </c>
      <c r="LJ6" s="6">
        <v>45378</v>
      </c>
      <c r="LK6">
        <v>2</v>
      </c>
      <c r="LL6">
        <v>-2.4245362661989844E-14</v>
      </c>
      <c r="LM6">
        <v>69921002</v>
      </c>
      <c r="LN6" t="s">
        <v>3242</v>
      </c>
      <c r="LS6" t="s">
        <v>2423</v>
      </c>
      <c r="LT6" t="s">
        <v>1777</v>
      </c>
      <c r="LU6">
        <v>6.6266720000000001</v>
      </c>
      <c r="LV6">
        <v>6.8004179999999996</v>
      </c>
      <c r="LW6" t="s">
        <v>1773</v>
      </c>
      <c r="LX6">
        <v>2025</v>
      </c>
      <c r="LY6" t="s">
        <v>2424</v>
      </c>
      <c r="LZ6" s="6">
        <v>45867</v>
      </c>
      <c r="MA6">
        <v>5</v>
      </c>
      <c r="MB6">
        <v>518735872</v>
      </c>
      <c r="MC6">
        <v>117092</v>
      </c>
      <c r="MD6" t="s">
        <v>2425</v>
      </c>
      <c r="MG6" t="s">
        <v>2529</v>
      </c>
      <c r="MH6">
        <v>15.549336</v>
      </c>
      <c r="MI6" t="s">
        <v>1777</v>
      </c>
      <c r="MJ6">
        <v>4.6186980000000002</v>
      </c>
      <c r="MK6" t="s">
        <v>1773</v>
      </c>
      <c r="ML6">
        <v>2025</v>
      </c>
      <c r="MM6" t="s">
        <v>2932</v>
      </c>
      <c r="MN6" s="6">
        <v>46018</v>
      </c>
      <c r="MO6">
        <v>5</v>
      </c>
      <c r="MP6">
        <v>3730752256</v>
      </c>
      <c r="MQ6">
        <v>156969</v>
      </c>
      <c r="MR6" t="s">
        <v>2531</v>
      </c>
      <c r="MW6" t="s">
        <v>686</v>
      </c>
      <c r="MX6" t="s">
        <v>1808</v>
      </c>
      <c r="MY6">
        <v>0.46759099999999998</v>
      </c>
      <c r="MZ6">
        <v>1.7811E-2</v>
      </c>
      <c r="NA6" t="s">
        <v>1781</v>
      </c>
      <c r="NB6">
        <v>2025</v>
      </c>
      <c r="NC6" t="s">
        <v>2330</v>
      </c>
      <c r="ND6" s="6">
        <v>45855</v>
      </c>
      <c r="NE6">
        <v>5</v>
      </c>
      <c r="NF6">
        <v>2224017</v>
      </c>
      <c r="NG6">
        <v>171977</v>
      </c>
      <c r="NH6" t="s">
        <v>2698</v>
      </c>
      <c r="NK6" t="s">
        <v>3861</v>
      </c>
      <c r="NL6">
        <v>-2.4245362661989844E-14</v>
      </c>
      <c r="NN6">
        <v>-2.4245362661989844E-14</v>
      </c>
      <c r="NO6" t="s">
        <v>1789</v>
      </c>
      <c r="NP6">
        <v>2022</v>
      </c>
      <c r="NQ6" t="s">
        <v>3862</v>
      </c>
      <c r="NR6" s="6">
        <v>44827</v>
      </c>
      <c r="NS6">
        <v>5</v>
      </c>
      <c r="NT6">
        <v>-2.4245362661989844E-14</v>
      </c>
      <c r="NU6">
        <v>57293770</v>
      </c>
      <c r="NV6" t="s">
        <v>3863</v>
      </c>
      <c r="OA6" t="s">
        <v>2493</v>
      </c>
      <c r="OB6" t="s">
        <v>1808</v>
      </c>
      <c r="OC6">
        <v>5.2993949999999996</v>
      </c>
      <c r="OD6">
        <v>7.1481000000000003E-2</v>
      </c>
      <c r="OE6" t="s">
        <v>1781</v>
      </c>
      <c r="OF6">
        <v>2026</v>
      </c>
      <c r="OG6" t="s">
        <v>3630</v>
      </c>
      <c r="OH6" s="6">
        <v>45898</v>
      </c>
      <c r="OI6">
        <v>5</v>
      </c>
      <c r="OJ6">
        <v>9563900.9100000001</v>
      </c>
      <c r="OK6">
        <v>178651</v>
      </c>
      <c r="OL6" t="s">
        <v>2495</v>
      </c>
      <c r="OO6" t="s">
        <v>3334</v>
      </c>
      <c r="OP6">
        <v>-2.4245362661989844E-14</v>
      </c>
      <c r="OR6">
        <v>-2.4245362661989844E-14</v>
      </c>
      <c r="OS6" t="s">
        <v>1789</v>
      </c>
      <c r="OT6">
        <v>2024</v>
      </c>
      <c r="OU6" t="s">
        <v>3335</v>
      </c>
      <c r="OV6" s="6">
        <v>45756</v>
      </c>
      <c r="OW6">
        <v>5</v>
      </c>
      <c r="OX6">
        <v>-2.4245362661989844E-14</v>
      </c>
      <c r="OY6">
        <v>23063237</v>
      </c>
      <c r="OZ6" t="s">
        <v>3336</v>
      </c>
      <c r="QI6" t="s">
        <v>2084</v>
      </c>
      <c r="QK6">
        <v>-2.4245362661989844E-14</v>
      </c>
      <c r="QL6">
        <v>-2.4245362661989844E-14</v>
      </c>
      <c r="QM6" t="s">
        <v>1789</v>
      </c>
      <c r="QN6">
        <v>2021</v>
      </c>
      <c r="QO6" t="s">
        <v>2085</v>
      </c>
      <c r="QP6" s="6">
        <v>44693</v>
      </c>
      <c r="QQ6">
        <v>5</v>
      </c>
      <c r="QR6">
        <v>-2.4245362661989844E-14</v>
      </c>
      <c r="QS6">
        <v>313098</v>
      </c>
      <c r="QT6" t="s">
        <v>2086</v>
      </c>
      <c r="QW6" t="s">
        <v>4531</v>
      </c>
      <c r="QX6">
        <v>-2.4245362661989844E-14</v>
      </c>
      <c r="QZ6">
        <v>-2.4245362661989844E-14</v>
      </c>
      <c r="RA6" t="s">
        <v>1789</v>
      </c>
      <c r="RB6">
        <v>2023</v>
      </c>
      <c r="RC6" t="s">
        <v>4532</v>
      </c>
      <c r="RD6" s="6">
        <v>45120</v>
      </c>
      <c r="RE6">
        <v>5</v>
      </c>
      <c r="RF6">
        <v>-2.4245362661989844E-14</v>
      </c>
      <c r="RG6">
        <v>19998565</v>
      </c>
      <c r="RH6" t="s">
        <v>4533</v>
      </c>
      <c r="RM6" t="s">
        <v>1966</v>
      </c>
      <c r="RO6">
        <v>-2.4245362661989844E-14</v>
      </c>
      <c r="RP6">
        <v>-2.4245362661989844E-14</v>
      </c>
      <c r="RQ6" t="s">
        <v>1781</v>
      </c>
      <c r="RR6">
        <v>2023</v>
      </c>
      <c r="RS6" t="s">
        <v>1967</v>
      </c>
      <c r="RT6" s="6">
        <v>45020</v>
      </c>
      <c r="RU6">
        <v>3</v>
      </c>
      <c r="RV6">
        <v>-2.4245362661989844E-14</v>
      </c>
      <c r="RW6">
        <v>106252</v>
      </c>
      <c r="RX6" t="s">
        <v>1968</v>
      </c>
    </row>
    <row r="7" spans="1:600" x14ac:dyDescent="0.25">
      <c r="CM7" t="s">
        <v>1918</v>
      </c>
      <c r="CO7">
        <v>-2.4245362661989844E-14</v>
      </c>
      <c r="CP7">
        <v>-2.4245362661989844E-14</v>
      </c>
      <c r="CQ7" t="s">
        <v>1789</v>
      </c>
      <c r="CR7">
        <v>2021</v>
      </c>
      <c r="CS7" t="s">
        <v>1919</v>
      </c>
      <c r="CT7" s="6">
        <v>44693</v>
      </c>
      <c r="CU7">
        <v>5</v>
      </c>
      <c r="CV7">
        <v>-2.4245362661989844E-14</v>
      </c>
      <c r="CW7">
        <v>100060</v>
      </c>
      <c r="CX7" t="s">
        <v>1920</v>
      </c>
      <c r="EU7" t="s">
        <v>921</v>
      </c>
      <c r="EW7">
        <v>-2.4245362661989844E-14</v>
      </c>
      <c r="EX7">
        <v>-2.4245362661989844E-14</v>
      </c>
      <c r="EY7" t="s">
        <v>1789</v>
      </c>
      <c r="EZ7">
        <v>2023</v>
      </c>
      <c r="FA7" t="s">
        <v>4826</v>
      </c>
      <c r="FB7" s="6">
        <v>45098</v>
      </c>
      <c r="FC7">
        <v>5</v>
      </c>
      <c r="FD7">
        <v>-2.4245362661989844E-14</v>
      </c>
      <c r="FE7">
        <v>100632</v>
      </c>
      <c r="FF7" t="s">
        <v>2763</v>
      </c>
      <c r="IG7" t="s">
        <v>2019</v>
      </c>
      <c r="IH7" t="s">
        <v>1906</v>
      </c>
      <c r="II7">
        <v>2.2953000000000001E-2</v>
      </c>
      <c r="IJ7">
        <v>0.34573199999999998</v>
      </c>
      <c r="IK7" t="s">
        <v>1768</v>
      </c>
      <c r="IL7">
        <v>2025</v>
      </c>
      <c r="IM7" t="s">
        <v>2020</v>
      </c>
      <c r="IN7" s="6">
        <v>45922</v>
      </c>
      <c r="IO7">
        <v>5</v>
      </c>
      <c r="IP7">
        <v>395808.42</v>
      </c>
      <c r="IQ7">
        <v>186659</v>
      </c>
      <c r="IR7" t="s">
        <v>2021</v>
      </c>
      <c r="IU7" t="s">
        <v>1867</v>
      </c>
      <c r="IV7">
        <v>8.0078999999999997E-2</v>
      </c>
      <c r="IW7" t="s">
        <v>1777</v>
      </c>
      <c r="IX7">
        <v>5.1369999999999999E-2</v>
      </c>
      <c r="IY7" t="s">
        <v>1768</v>
      </c>
      <c r="IZ7">
        <v>2025</v>
      </c>
      <c r="JA7" t="s">
        <v>1868</v>
      </c>
      <c r="JB7" s="6">
        <v>45943</v>
      </c>
      <c r="JC7">
        <v>5</v>
      </c>
      <c r="JD7">
        <v>3182731</v>
      </c>
      <c r="JE7">
        <v>101754</v>
      </c>
      <c r="JF7" t="s">
        <v>1869</v>
      </c>
      <c r="LS7" t="s">
        <v>2577</v>
      </c>
      <c r="LT7" t="s">
        <v>1777</v>
      </c>
      <c r="LU7">
        <v>1.3419449999999999</v>
      </c>
      <c r="LV7">
        <v>2.7987500000000001</v>
      </c>
      <c r="LW7" t="s">
        <v>1785</v>
      </c>
      <c r="LX7">
        <v>2025</v>
      </c>
      <c r="LY7" t="s">
        <v>2578</v>
      </c>
      <c r="LZ7" s="6">
        <v>46077</v>
      </c>
      <c r="MA7">
        <v>5</v>
      </c>
      <c r="MB7">
        <v>223004416</v>
      </c>
      <c r="MC7">
        <v>28046509</v>
      </c>
      <c r="MD7" t="s">
        <v>2579</v>
      </c>
      <c r="MG7" t="s">
        <v>2933</v>
      </c>
      <c r="MH7">
        <v>12.373919000000001</v>
      </c>
      <c r="MI7" t="s">
        <v>1777</v>
      </c>
      <c r="MJ7">
        <v>4.81257</v>
      </c>
      <c r="MK7" t="s">
        <v>1773</v>
      </c>
      <c r="ML7">
        <v>2025</v>
      </c>
      <c r="MM7" t="s">
        <v>2932</v>
      </c>
      <c r="MN7" s="6">
        <v>46018</v>
      </c>
      <c r="MO7">
        <v>5</v>
      </c>
      <c r="MP7">
        <v>2968874496</v>
      </c>
      <c r="MQ7">
        <v>102782</v>
      </c>
      <c r="MR7" t="s">
        <v>2934</v>
      </c>
      <c r="MW7" t="s">
        <v>2699</v>
      </c>
      <c r="MX7" t="s">
        <v>1777</v>
      </c>
      <c r="MY7">
        <v>8.9721999999999996E-2</v>
      </c>
      <c r="MZ7">
        <v>1.2179000000000001E-2</v>
      </c>
      <c r="NA7" t="s">
        <v>1768</v>
      </c>
      <c r="NB7">
        <v>2025</v>
      </c>
      <c r="NC7" t="s">
        <v>2700</v>
      </c>
      <c r="ND7" s="6">
        <v>45910</v>
      </c>
      <c r="NE7">
        <v>5</v>
      </c>
      <c r="NF7">
        <v>1570528.27</v>
      </c>
      <c r="NG7">
        <v>18686622</v>
      </c>
      <c r="NH7" t="s">
        <v>2701</v>
      </c>
      <c r="NK7" t="s">
        <v>3864</v>
      </c>
      <c r="NL7">
        <v>-2.4245362661989844E-14</v>
      </c>
      <c r="NN7">
        <v>-2.4245362661989844E-14</v>
      </c>
      <c r="NO7" t="s">
        <v>1789</v>
      </c>
      <c r="NP7">
        <v>2024</v>
      </c>
      <c r="NQ7" t="s">
        <v>3865</v>
      </c>
      <c r="NR7" s="6">
        <v>45772</v>
      </c>
      <c r="NS7">
        <v>5</v>
      </c>
      <c r="NT7">
        <v>-2.4245362661989844E-14</v>
      </c>
      <c r="NU7">
        <v>38114240</v>
      </c>
      <c r="NV7" t="s">
        <v>3866</v>
      </c>
      <c r="OA7" t="s">
        <v>3631</v>
      </c>
      <c r="OB7" t="s">
        <v>1808</v>
      </c>
      <c r="OC7">
        <v>0.56072500000000003</v>
      </c>
      <c r="OD7">
        <v>1.5883999999999999E-2</v>
      </c>
      <c r="OE7" t="s">
        <v>1789</v>
      </c>
      <c r="OF7">
        <v>2025</v>
      </c>
      <c r="OG7" t="s">
        <v>3632</v>
      </c>
      <c r="OH7" s="6">
        <v>46066</v>
      </c>
      <c r="OI7">
        <v>5</v>
      </c>
      <c r="OJ7">
        <v>2177750</v>
      </c>
      <c r="OK7">
        <v>126273</v>
      </c>
      <c r="OL7" t="s">
        <v>3633</v>
      </c>
      <c r="OO7" t="s">
        <v>2971</v>
      </c>
      <c r="OP7">
        <v>-2.4245362661989844E-14</v>
      </c>
      <c r="OR7">
        <v>-2.4245362661989844E-14</v>
      </c>
      <c r="OS7" t="s">
        <v>1781</v>
      </c>
      <c r="OT7">
        <v>2025</v>
      </c>
      <c r="OU7" t="s">
        <v>3174</v>
      </c>
      <c r="OV7" s="6">
        <v>45799</v>
      </c>
      <c r="OW7">
        <v>5</v>
      </c>
      <c r="OX7">
        <v>-2.4245362661989844E-14</v>
      </c>
      <c r="OY7">
        <v>313021</v>
      </c>
      <c r="OZ7" t="s">
        <v>2973</v>
      </c>
      <c r="QI7" t="s">
        <v>1918</v>
      </c>
      <c r="QK7">
        <v>-2.4245362661989844E-14</v>
      </c>
      <c r="QL7">
        <v>-2.4245362661989844E-14</v>
      </c>
      <c r="QM7" t="s">
        <v>1789</v>
      </c>
      <c r="QN7">
        <v>2021</v>
      </c>
      <c r="QO7" t="s">
        <v>1919</v>
      </c>
      <c r="QP7" s="6">
        <v>44693</v>
      </c>
      <c r="QQ7">
        <v>5</v>
      </c>
      <c r="QR7">
        <v>-2.4245362661989844E-14</v>
      </c>
      <c r="QS7">
        <v>100060</v>
      </c>
      <c r="QT7" t="s">
        <v>1920</v>
      </c>
      <c r="QW7" t="s">
        <v>4534</v>
      </c>
      <c r="QX7">
        <v>-2.4245362661989844E-14</v>
      </c>
      <c r="QZ7">
        <v>-2.4245362661989844E-14</v>
      </c>
      <c r="RA7" t="s">
        <v>1789</v>
      </c>
      <c r="RB7">
        <v>2023</v>
      </c>
      <c r="RC7" t="s">
        <v>4532</v>
      </c>
      <c r="RD7" s="6">
        <v>45120</v>
      </c>
      <c r="RE7">
        <v>5</v>
      </c>
      <c r="RF7">
        <v>-2.4245362661989844E-14</v>
      </c>
      <c r="RG7">
        <v>7649574</v>
      </c>
      <c r="RH7" t="s">
        <v>4535</v>
      </c>
      <c r="RM7" t="s">
        <v>1121</v>
      </c>
      <c r="RO7">
        <v>-2.4245362661989844E-14</v>
      </c>
      <c r="RP7">
        <v>-2.4245362661989844E-14</v>
      </c>
      <c r="RQ7" t="s">
        <v>1768</v>
      </c>
      <c r="RR7">
        <v>2023</v>
      </c>
      <c r="RS7" t="s">
        <v>1969</v>
      </c>
      <c r="RT7" s="6">
        <v>45174</v>
      </c>
      <c r="RU7">
        <v>3</v>
      </c>
      <c r="RV7">
        <v>-2.4245362661989844E-14</v>
      </c>
      <c r="RW7">
        <v>202476</v>
      </c>
      <c r="RX7" t="s">
        <v>1970</v>
      </c>
    </row>
    <row r="8" spans="1:600" x14ac:dyDescent="0.25">
      <c r="CM8" t="s">
        <v>816</v>
      </c>
      <c r="CO8">
        <v>-2.4245362661989844E-14</v>
      </c>
      <c r="CP8">
        <v>-2.4245362661989844E-14</v>
      </c>
      <c r="CQ8" t="s">
        <v>1789</v>
      </c>
      <c r="CR8">
        <v>2021</v>
      </c>
      <c r="CS8" t="s">
        <v>2069</v>
      </c>
      <c r="CT8" s="6">
        <v>44693</v>
      </c>
      <c r="CU8">
        <v>5</v>
      </c>
      <c r="CV8">
        <v>-2.4245362661989844E-14</v>
      </c>
      <c r="CW8">
        <v>100193</v>
      </c>
      <c r="CX8" t="s">
        <v>2070</v>
      </c>
      <c r="EU8" t="s">
        <v>4827</v>
      </c>
      <c r="EW8">
        <v>-2.4245362661989844E-14</v>
      </c>
      <c r="EX8">
        <v>-2.4245362661989844E-14</v>
      </c>
      <c r="EY8" t="s">
        <v>1789</v>
      </c>
      <c r="EZ8">
        <v>2024</v>
      </c>
      <c r="FA8" t="s">
        <v>4828</v>
      </c>
      <c r="FB8" s="6">
        <v>45398</v>
      </c>
      <c r="FC8">
        <v>5</v>
      </c>
      <c r="FD8">
        <v>-2.4245362661989844E-14</v>
      </c>
      <c r="FE8">
        <v>44970757</v>
      </c>
      <c r="FF8" t="s">
        <v>4829</v>
      </c>
      <c r="IG8" t="s">
        <v>2022</v>
      </c>
      <c r="IH8" t="s">
        <v>1777</v>
      </c>
      <c r="II8">
        <v>0.181979</v>
      </c>
      <c r="IJ8">
        <v>8.0459999999999993E-3</v>
      </c>
      <c r="IK8" t="s">
        <v>1768</v>
      </c>
      <c r="IL8">
        <v>2026</v>
      </c>
      <c r="IM8" t="s">
        <v>2023</v>
      </c>
      <c r="IN8" s="6">
        <v>46056</v>
      </c>
      <c r="IO8">
        <v>5</v>
      </c>
      <c r="IP8">
        <v>170799.32</v>
      </c>
      <c r="IQ8">
        <v>8061855</v>
      </c>
      <c r="IR8" t="s">
        <v>2024</v>
      </c>
      <c r="IU8" t="s">
        <v>165</v>
      </c>
      <c r="IV8">
        <v>5.5352999999999999E-2</v>
      </c>
      <c r="IW8" t="s">
        <v>1777</v>
      </c>
      <c r="IX8">
        <v>3.6423999999999998E-2</v>
      </c>
      <c r="IY8" t="s">
        <v>1781</v>
      </c>
      <c r="IZ8">
        <v>2025</v>
      </c>
      <c r="JA8" t="s">
        <v>1870</v>
      </c>
      <c r="JB8" s="6">
        <v>45784</v>
      </c>
      <c r="JC8">
        <v>5</v>
      </c>
      <c r="JD8">
        <v>2200019</v>
      </c>
      <c r="JE8">
        <v>100115</v>
      </c>
      <c r="JF8" t="s">
        <v>1871</v>
      </c>
      <c r="LS8" t="s">
        <v>2580</v>
      </c>
      <c r="LT8" t="s">
        <v>1777</v>
      </c>
      <c r="LU8">
        <v>49.056618</v>
      </c>
      <c r="LV8">
        <v>2.3797060000000001</v>
      </c>
      <c r="LW8" t="s">
        <v>1773</v>
      </c>
      <c r="LX8">
        <v>2025</v>
      </c>
      <c r="LY8" t="s">
        <v>2581</v>
      </c>
      <c r="LZ8" s="6">
        <v>46050</v>
      </c>
      <c r="MA8">
        <v>5</v>
      </c>
      <c r="MB8">
        <v>173789936</v>
      </c>
      <c r="MC8">
        <v>1753841</v>
      </c>
      <c r="MD8" t="s">
        <v>2582</v>
      </c>
      <c r="MG8" t="s">
        <v>2534</v>
      </c>
      <c r="MH8">
        <v>2.966253</v>
      </c>
      <c r="MI8" t="s">
        <v>1777</v>
      </c>
      <c r="MJ8">
        <v>1.12304</v>
      </c>
      <c r="MK8" t="s">
        <v>1773</v>
      </c>
      <c r="ML8">
        <v>2025</v>
      </c>
      <c r="MM8" t="s">
        <v>2932</v>
      </c>
      <c r="MN8" s="6">
        <v>46018</v>
      </c>
      <c r="MO8">
        <v>5</v>
      </c>
      <c r="MP8">
        <v>711693056</v>
      </c>
      <c r="MQ8">
        <v>60401289</v>
      </c>
      <c r="MR8" t="s">
        <v>2535</v>
      </c>
      <c r="MW8" t="s">
        <v>2702</v>
      </c>
      <c r="MX8" t="s">
        <v>1808</v>
      </c>
      <c r="MY8">
        <v>12.430016</v>
      </c>
      <c r="MZ8">
        <v>4.9849999999999998E-3</v>
      </c>
      <c r="NA8" t="s">
        <v>1789</v>
      </c>
      <c r="NB8">
        <v>2024</v>
      </c>
      <c r="NC8" t="s">
        <v>2703</v>
      </c>
      <c r="ND8" s="6">
        <v>45744</v>
      </c>
      <c r="NE8">
        <v>5</v>
      </c>
      <c r="NF8">
        <v>597183.17000000004</v>
      </c>
      <c r="NG8">
        <v>30757740</v>
      </c>
      <c r="NH8" t="s">
        <v>2704</v>
      </c>
      <c r="NK8" t="s">
        <v>3867</v>
      </c>
      <c r="NL8">
        <v>-2.4245362661989844E-14</v>
      </c>
      <c r="NN8">
        <v>-2.4245362661989844E-14</v>
      </c>
      <c r="NO8" t="s">
        <v>1789</v>
      </c>
      <c r="NP8">
        <v>2024</v>
      </c>
      <c r="NQ8" t="s">
        <v>3868</v>
      </c>
      <c r="NR8" s="6">
        <v>45761</v>
      </c>
      <c r="NS8">
        <v>5</v>
      </c>
      <c r="NT8">
        <v>-2.4245362661989844E-14</v>
      </c>
      <c r="NU8">
        <v>45811457</v>
      </c>
      <c r="NV8" t="s">
        <v>3869</v>
      </c>
      <c r="OA8" t="s">
        <v>2420</v>
      </c>
      <c r="OB8" t="s">
        <v>1808</v>
      </c>
      <c r="OC8">
        <v>0.78817400000000004</v>
      </c>
      <c r="OD8">
        <v>1.4283000000000001E-2</v>
      </c>
      <c r="OE8" t="s">
        <v>1789</v>
      </c>
      <c r="OF8">
        <v>2025</v>
      </c>
      <c r="OG8" t="s">
        <v>2421</v>
      </c>
      <c r="OH8" s="6">
        <v>46058</v>
      </c>
      <c r="OI8">
        <v>5</v>
      </c>
      <c r="OJ8">
        <v>1958250</v>
      </c>
      <c r="OK8">
        <v>106045</v>
      </c>
      <c r="OL8" t="s">
        <v>2422</v>
      </c>
      <c r="OO8" t="s">
        <v>3337</v>
      </c>
      <c r="OP8">
        <v>-2.4245362661989844E-14</v>
      </c>
      <c r="OR8">
        <v>-2.4245362661989844E-14</v>
      </c>
      <c r="OS8" t="s">
        <v>1789</v>
      </c>
      <c r="OT8">
        <v>2022</v>
      </c>
      <c r="OU8" t="s">
        <v>3338</v>
      </c>
      <c r="OV8" s="6">
        <v>44986</v>
      </c>
      <c r="OW8">
        <v>5</v>
      </c>
      <c r="OX8">
        <v>-2.4245362661989844E-14</v>
      </c>
      <c r="OY8">
        <v>394590</v>
      </c>
      <c r="OZ8" t="s">
        <v>3339</v>
      </c>
      <c r="QI8" t="s">
        <v>816</v>
      </c>
      <c r="QK8">
        <v>-2.4245362661989844E-14</v>
      </c>
      <c r="QL8">
        <v>-2.4245362661989844E-14</v>
      </c>
      <c r="QM8" t="s">
        <v>1789</v>
      </c>
      <c r="QN8">
        <v>2021</v>
      </c>
      <c r="QO8" t="s">
        <v>2069</v>
      </c>
      <c r="QP8" s="6">
        <v>44693</v>
      </c>
      <c r="QQ8">
        <v>5</v>
      </c>
      <c r="QR8">
        <v>-2.4245362661989844E-14</v>
      </c>
      <c r="QS8">
        <v>100193</v>
      </c>
      <c r="QT8" t="s">
        <v>2070</v>
      </c>
      <c r="QW8" t="s">
        <v>4536</v>
      </c>
      <c r="QX8">
        <v>-2.4245362661989844E-14</v>
      </c>
      <c r="QZ8">
        <v>-2.4245362661989844E-14</v>
      </c>
      <c r="RA8" t="s">
        <v>1789</v>
      </c>
      <c r="RB8">
        <v>2023</v>
      </c>
      <c r="RC8" t="s">
        <v>4532</v>
      </c>
      <c r="RD8" s="6">
        <v>45120</v>
      </c>
      <c r="RE8">
        <v>5</v>
      </c>
      <c r="RF8">
        <v>-2.4245362661989844E-14</v>
      </c>
      <c r="RG8">
        <v>7581038</v>
      </c>
      <c r="RH8" t="s">
        <v>4537</v>
      </c>
    </row>
    <row r="9" spans="1:600" x14ac:dyDescent="0.25">
      <c r="CM9" t="s">
        <v>925</v>
      </c>
      <c r="CO9">
        <v>-2.4245362661989844E-14</v>
      </c>
      <c r="CP9">
        <v>-2.4245362661989844E-14</v>
      </c>
      <c r="CQ9" t="s">
        <v>1789</v>
      </c>
      <c r="CR9">
        <v>2021</v>
      </c>
      <c r="CS9" t="s">
        <v>2071</v>
      </c>
      <c r="CT9" s="6">
        <v>44693</v>
      </c>
      <c r="CU9">
        <v>5</v>
      </c>
      <c r="CV9">
        <v>-2.4245362661989844E-14</v>
      </c>
      <c r="CW9">
        <v>100760</v>
      </c>
      <c r="CX9" t="s">
        <v>2072</v>
      </c>
      <c r="EU9" t="s">
        <v>2028</v>
      </c>
      <c r="EW9">
        <v>-2.4245362661989844E-14</v>
      </c>
      <c r="EX9">
        <v>-2.4245362661989844E-14</v>
      </c>
      <c r="EY9" t="s">
        <v>1789</v>
      </c>
      <c r="EZ9">
        <v>2025</v>
      </c>
      <c r="FA9" t="s">
        <v>4830</v>
      </c>
      <c r="FB9" s="6">
        <v>45771</v>
      </c>
      <c r="FC9">
        <v>5</v>
      </c>
      <c r="FD9">
        <v>-2.4245362661989844E-14</v>
      </c>
      <c r="FE9">
        <v>115519</v>
      </c>
      <c r="FF9" t="s">
        <v>2030</v>
      </c>
      <c r="IG9" t="s">
        <v>2025</v>
      </c>
      <c r="IH9" t="s">
        <v>1777</v>
      </c>
      <c r="II9">
        <v>0.146649</v>
      </c>
      <c r="IJ9">
        <v>6.999E-3</v>
      </c>
      <c r="IK9" t="s">
        <v>1781</v>
      </c>
      <c r="IL9">
        <v>2025</v>
      </c>
      <c r="IM9" t="s">
        <v>2026</v>
      </c>
      <c r="IN9" s="6">
        <v>45814</v>
      </c>
      <c r="IO9">
        <v>5</v>
      </c>
      <c r="IP9">
        <v>154990</v>
      </c>
      <c r="IQ9">
        <v>136312</v>
      </c>
      <c r="IR9" t="s">
        <v>2027</v>
      </c>
      <c r="IU9" t="s">
        <v>1872</v>
      </c>
      <c r="IV9">
        <v>4.3901000000000003E-2</v>
      </c>
      <c r="IW9" t="s">
        <v>1777</v>
      </c>
      <c r="IX9">
        <v>1.1003000000000001E-2</v>
      </c>
      <c r="IY9" t="s">
        <v>1768</v>
      </c>
      <c r="IZ9">
        <v>2026</v>
      </c>
      <c r="JA9" t="s">
        <v>1873</v>
      </c>
      <c r="JB9" s="6">
        <v>45940</v>
      </c>
      <c r="JC9">
        <v>5</v>
      </c>
      <c r="JD9">
        <v>1744856</v>
      </c>
      <c r="JE9">
        <v>100916</v>
      </c>
      <c r="JF9" t="s">
        <v>1874</v>
      </c>
      <c r="LS9" t="s">
        <v>2583</v>
      </c>
      <c r="LT9" t="s">
        <v>1777</v>
      </c>
      <c r="LU9">
        <v>1.017503</v>
      </c>
      <c r="LV9">
        <v>1.621964</v>
      </c>
      <c r="LW9" t="s">
        <v>1768</v>
      </c>
      <c r="LX9">
        <v>2025</v>
      </c>
      <c r="LY9" t="s">
        <v>2584</v>
      </c>
      <c r="LZ9" s="6">
        <v>45929</v>
      </c>
      <c r="MA9">
        <v>5</v>
      </c>
      <c r="MB9">
        <v>123835292.08</v>
      </c>
      <c r="MC9">
        <v>115679</v>
      </c>
      <c r="MD9" t="s">
        <v>2585</v>
      </c>
      <c r="MG9" t="s">
        <v>1776</v>
      </c>
      <c r="MH9">
        <v>2.108371</v>
      </c>
      <c r="MI9" t="s">
        <v>1777</v>
      </c>
      <c r="MJ9">
        <v>2.5571009999999998</v>
      </c>
      <c r="MK9" t="s">
        <v>1768</v>
      </c>
      <c r="ML9">
        <v>2025</v>
      </c>
      <c r="MM9" t="s">
        <v>1778</v>
      </c>
      <c r="MN9" s="6">
        <v>45919</v>
      </c>
      <c r="MO9">
        <v>5</v>
      </c>
      <c r="MP9">
        <v>501043244.87</v>
      </c>
      <c r="MQ9">
        <v>115268</v>
      </c>
      <c r="MR9" t="s">
        <v>1779</v>
      </c>
      <c r="MW9" t="s">
        <v>2705</v>
      </c>
      <c r="MY9">
        <v>-2.4245362661989844E-14</v>
      </c>
      <c r="MZ9">
        <v>-2.4245362661989844E-14</v>
      </c>
      <c r="NA9" t="s">
        <v>2183</v>
      </c>
      <c r="NB9">
        <v>2025</v>
      </c>
      <c r="NC9" t="s">
        <v>2706</v>
      </c>
      <c r="ND9" s="6">
        <v>45894</v>
      </c>
      <c r="NE9">
        <v>5</v>
      </c>
      <c r="NF9">
        <v>-2.4245362661989844E-14</v>
      </c>
      <c r="NG9">
        <v>1456451</v>
      </c>
      <c r="NH9" t="s">
        <v>2707</v>
      </c>
      <c r="NK9" t="s">
        <v>3870</v>
      </c>
      <c r="NL9">
        <v>-2.4245362661989844E-14</v>
      </c>
      <c r="NN9">
        <v>-2.4245362661989844E-14</v>
      </c>
      <c r="NO9" t="s">
        <v>1789</v>
      </c>
      <c r="NP9">
        <v>2024</v>
      </c>
      <c r="NQ9" t="s">
        <v>3871</v>
      </c>
      <c r="NR9" s="6">
        <v>45719</v>
      </c>
      <c r="NS9">
        <v>5</v>
      </c>
      <c r="NT9">
        <v>-2.4245362661989844E-14</v>
      </c>
      <c r="NU9">
        <v>34968231</v>
      </c>
      <c r="NV9" t="s">
        <v>3872</v>
      </c>
      <c r="OA9" t="s">
        <v>3634</v>
      </c>
      <c r="OB9" t="s">
        <v>1808</v>
      </c>
      <c r="OC9">
        <v>0.777281</v>
      </c>
      <c r="OD9">
        <v>1.0723999999999999E-2</v>
      </c>
      <c r="OE9" t="s">
        <v>1789</v>
      </c>
      <c r="OF9">
        <v>2024</v>
      </c>
      <c r="OG9" t="s">
        <v>3635</v>
      </c>
      <c r="OH9" s="6">
        <v>45694</v>
      </c>
      <c r="OI9">
        <v>5</v>
      </c>
      <c r="OJ9">
        <v>1463750</v>
      </c>
      <c r="OK9">
        <v>106543</v>
      </c>
      <c r="OL9" t="s">
        <v>3636</v>
      </c>
      <c r="OO9" t="s">
        <v>3340</v>
      </c>
      <c r="OP9">
        <v>-2.4245362661989844E-14</v>
      </c>
      <c r="OR9">
        <v>-2.4245362661989844E-14</v>
      </c>
      <c r="OS9" t="s">
        <v>1789</v>
      </c>
      <c r="OT9">
        <v>2023</v>
      </c>
      <c r="OU9" t="s">
        <v>3341</v>
      </c>
      <c r="OV9" s="6">
        <v>45175</v>
      </c>
      <c r="OW9">
        <v>5</v>
      </c>
      <c r="OX9">
        <v>-2.4245362661989844E-14</v>
      </c>
      <c r="OY9">
        <v>100555</v>
      </c>
      <c r="OZ9" t="s">
        <v>3342</v>
      </c>
      <c r="QI9" t="s">
        <v>925</v>
      </c>
      <c r="QK9">
        <v>-2.4245362661989844E-14</v>
      </c>
      <c r="QL9">
        <v>-2.4245362661989844E-14</v>
      </c>
      <c r="QM9" t="s">
        <v>1789</v>
      </c>
      <c r="QN9">
        <v>2021</v>
      </c>
      <c r="QO9" t="s">
        <v>2071</v>
      </c>
      <c r="QP9" s="6">
        <v>44693</v>
      </c>
      <c r="QQ9">
        <v>5</v>
      </c>
      <c r="QR9">
        <v>-2.4245362661989844E-14</v>
      </c>
      <c r="QS9">
        <v>100760</v>
      </c>
      <c r="QT9" t="s">
        <v>2072</v>
      </c>
      <c r="QW9" t="s">
        <v>4538</v>
      </c>
      <c r="QX9">
        <v>-2.4245362661989844E-14</v>
      </c>
      <c r="QZ9">
        <v>-2.4245362661989844E-14</v>
      </c>
      <c r="RA9" t="s">
        <v>1789</v>
      </c>
      <c r="RB9">
        <v>2023</v>
      </c>
      <c r="RC9" t="s">
        <v>4532</v>
      </c>
      <c r="RD9" s="6">
        <v>45120</v>
      </c>
      <c r="RE9">
        <v>5</v>
      </c>
      <c r="RF9">
        <v>-2.4245362661989844E-14</v>
      </c>
      <c r="RG9">
        <v>1716937</v>
      </c>
      <c r="RH9" t="s">
        <v>4539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581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582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583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584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585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586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587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588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589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590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591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592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593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594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595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596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597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598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599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600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601</v>
      </c>
      <c r="AE2" s="3" t="s">
        <v>602</v>
      </c>
      <c r="BI2" s="3" t="s">
        <v>603</v>
      </c>
      <c r="CM2" s="3" t="s">
        <v>604</v>
      </c>
      <c r="DQ2" s="3" t="s">
        <v>605</v>
      </c>
      <c r="EU2" s="3" t="s">
        <v>31</v>
      </c>
      <c r="FY2" s="3" t="s">
        <v>606</v>
      </c>
      <c r="HC2" s="3" t="s">
        <v>285</v>
      </c>
      <c r="IG2" s="3" t="s">
        <v>607</v>
      </c>
      <c r="JK2" s="3" t="s">
        <v>608</v>
      </c>
      <c r="KO2" s="3" t="s">
        <v>609</v>
      </c>
      <c r="LS2" s="3" t="s">
        <v>610</v>
      </c>
      <c r="MW2" s="3" t="s">
        <v>611</v>
      </c>
      <c r="OA2" s="3" t="s">
        <v>612</v>
      </c>
      <c r="PE2" s="3" t="s">
        <v>613</v>
      </c>
      <c r="QI2" s="3" t="s">
        <v>614</v>
      </c>
      <c r="RM2" s="3" t="s">
        <v>615</v>
      </c>
      <c r="SQ2" s="3" t="s">
        <v>616</v>
      </c>
      <c r="TU2" s="3" t="s">
        <v>617</v>
      </c>
      <c r="UY2" s="3" t="s">
        <v>618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_xll.BDS("CFR US Equity","SUPPLY_CHAIN_SUPPLIERS_ALL_DATA","cols=12;rows=4")</f>
        <v>INFO IN Equity</v>
      </c>
      <c r="B5" t="s">
        <v>1808</v>
      </c>
      <c r="C5">
        <v>0.140711</v>
      </c>
      <c r="D5">
        <v>1.91015</v>
      </c>
      <c r="E5" t="s">
        <v>1785</v>
      </c>
      <c r="F5">
        <v>2025</v>
      </c>
      <c r="G5" t="s">
        <v>2355</v>
      </c>
      <c r="H5" s="6">
        <v>45810</v>
      </c>
      <c r="I5">
        <v>4</v>
      </c>
      <c r="J5">
        <v>6650110.3899999997</v>
      </c>
      <c r="K5">
        <v>174545</v>
      </c>
      <c r="L5" t="s">
        <v>2356</v>
      </c>
      <c r="O5" t="str">
        <f>_xll.BDS("CFR US Equity","SUPPLY_CHAIN_CUSTOMERS_ALL_DATA")</f>
        <v>#N/A N/A</v>
      </c>
      <c r="AE5" t="str">
        <f>_xll.BDS("CBKN US Equity","SUPPLY_CHAIN_SUPPLIERS_ALL_DATA")</f>
        <v>#N/A N/A</v>
      </c>
      <c r="AS5" t="str">
        <f>_xll.BDS("CBKN US Equity","SUPPLY_CHAIN_CUSTOMERS_ALL_DATA")</f>
        <v>#N/A N/A</v>
      </c>
      <c r="BI5" t="str">
        <f>_xll.BDS("PRIM US Equity","SUPPLY_CHAIN_SUPPLIERS_ALL_DATA","cols=12;rows=5")</f>
        <v>TEL US Equity</v>
      </c>
      <c r="BJ5" t="s">
        <v>1777</v>
      </c>
      <c r="BK5">
        <v>8.7753999999999999E-2</v>
      </c>
      <c r="BL5">
        <v>0.23982800000000001</v>
      </c>
      <c r="BM5" t="s">
        <v>1773</v>
      </c>
      <c r="BN5">
        <v>2025</v>
      </c>
      <c r="BO5" t="s">
        <v>3873</v>
      </c>
      <c r="BP5" s="6">
        <v>45953</v>
      </c>
      <c r="BQ5">
        <v>5</v>
      </c>
      <c r="BR5">
        <v>3978766</v>
      </c>
      <c r="BS5">
        <v>71564675</v>
      </c>
      <c r="BT5" t="s">
        <v>3874</v>
      </c>
      <c r="BW5" t="str">
        <f>_xll.BDS("PRIM US Equity","SUPPLY_CHAIN_CUSTOMERS_ALL_DATA","cols=12;rows=5")</f>
        <v>XOM US Equity</v>
      </c>
      <c r="BX5">
        <v>4.7822560000000003</v>
      </c>
      <c r="BY5" t="s">
        <v>1777</v>
      </c>
      <c r="BZ5">
        <v>0.109167</v>
      </c>
      <c r="CA5" t="s">
        <v>1781</v>
      </c>
      <c r="CB5">
        <v>2025</v>
      </c>
      <c r="CC5" t="s">
        <v>1979</v>
      </c>
      <c r="CD5" s="6">
        <v>45863</v>
      </c>
      <c r="CE5">
        <v>5</v>
      </c>
      <c r="CF5">
        <v>78816936</v>
      </c>
      <c r="CG5">
        <v>100546</v>
      </c>
      <c r="CH5" t="s">
        <v>3288</v>
      </c>
      <c r="CM5" t="str">
        <f>_xll.BDS("2348717Q US Equity","SUPPLY_CHAIN_SUPPLIERS_ALL_DATA")</f>
        <v>#N/A N/A</v>
      </c>
      <c r="DA5" t="str">
        <f>_xll.BDS("2348717Q US Equity","SUPPLY_CHAIN_CUSTOMERS_ALL_DATA")</f>
        <v>#N/A N/A</v>
      </c>
      <c r="DQ5" t="str">
        <f>_xll.BDS("UALAQ US Equity","SUPPLY_CHAIN_SUPPLIERS_ALL_DATA")</f>
        <v>#N/A N/A</v>
      </c>
      <c r="EE5" t="str">
        <f>_xll.BDS("UALAQ US Equity","SUPPLY_CHAIN_CUSTOMERS_ALL_DATA")</f>
        <v>#N/A N/A</v>
      </c>
      <c r="EU5" t="str">
        <f>_xll.BDS("NUAN US Equity","SUPPLY_CHAIN_SUPPLIERS_ALL_DATA")</f>
        <v>#N/A N/A</v>
      </c>
      <c r="FI5" t="str">
        <f>_xll.BDS("NUAN US Equity","SUPPLY_CHAIN_CUSTOMERS_ALL_DATA")</f>
        <v>#N/A N/A</v>
      </c>
      <c r="FY5" t="str">
        <f>_xll.BDS("OMC US Equity","SUPPLY_CHAIN_SUPPLIERS_ALL_DATA","cols=12;rows=5")</f>
        <v>TTD US Equity</v>
      </c>
      <c r="FZ5" t="s">
        <v>1808</v>
      </c>
      <c r="GA5">
        <v>0.33854099999999998</v>
      </c>
      <c r="GB5">
        <v>1.3788769999999999</v>
      </c>
      <c r="GC5" t="s">
        <v>1785</v>
      </c>
      <c r="GD5">
        <v>2024</v>
      </c>
      <c r="GE5" t="s">
        <v>4431</v>
      </c>
      <c r="GF5" s="6">
        <v>45882</v>
      </c>
      <c r="GG5">
        <v>5</v>
      </c>
      <c r="GH5">
        <v>2349607</v>
      </c>
      <c r="GI5">
        <v>39234675</v>
      </c>
      <c r="GJ5" t="s">
        <v>3960</v>
      </c>
      <c r="GM5" t="str">
        <f>_xll.BDS("OMC US Equity","SUPPLY_CHAIN_CUSTOMERS_ALL_DATA","cols=12;rows=5")</f>
        <v>1012751D US Equity</v>
      </c>
      <c r="GN5">
        <v>-2.4245362661989844E-14</v>
      </c>
      <c r="GP5">
        <v>-2.4245362661989844E-14</v>
      </c>
      <c r="GQ5" t="s">
        <v>1768</v>
      </c>
      <c r="GR5">
        <v>2024</v>
      </c>
      <c r="GS5" t="s">
        <v>4282</v>
      </c>
      <c r="GT5" s="6">
        <v>45431</v>
      </c>
      <c r="GU5">
        <v>5</v>
      </c>
      <c r="GV5">
        <v>-2.4245362661989844E-14</v>
      </c>
      <c r="GW5">
        <v>41029171</v>
      </c>
      <c r="GX5" t="s">
        <v>4283</v>
      </c>
      <c r="HC5" t="str">
        <f>_xll.BDS("MMM US Equity","SUPPLY_CHAIN_SUPPLIERS_ALL_DATA","cols=12;rows=5")</f>
        <v>BAS GR Equity</v>
      </c>
      <c r="HD5" t="s">
        <v>1777</v>
      </c>
      <c r="HE5">
        <v>0.33530700000000002</v>
      </c>
      <c r="HF5">
        <v>1.4804090000000001</v>
      </c>
      <c r="HG5" t="s">
        <v>1773</v>
      </c>
      <c r="HH5">
        <v>2025</v>
      </c>
      <c r="HI5" t="s">
        <v>4073</v>
      </c>
      <c r="HJ5" s="6">
        <v>46003</v>
      </c>
      <c r="HK5">
        <v>5</v>
      </c>
      <c r="HL5">
        <v>56147606.340000004</v>
      </c>
      <c r="HM5">
        <v>115694</v>
      </c>
      <c r="HN5" t="s">
        <v>4074</v>
      </c>
      <c r="HQ5" t="str">
        <f>_xll.BDS("MMM US Equity","SUPPLY_CHAIN_CUSTOMERS_ALL_DATA","cols=12;rows=5")</f>
        <v>SOLV US Equity</v>
      </c>
      <c r="HR5">
        <v>2.5625290000000001</v>
      </c>
      <c r="HS5" t="s">
        <v>1777</v>
      </c>
      <c r="HT5">
        <v>17.377731000000001</v>
      </c>
      <c r="HU5" t="s">
        <v>1773</v>
      </c>
      <c r="HV5">
        <v>2025</v>
      </c>
      <c r="HW5" t="s">
        <v>3256</v>
      </c>
      <c r="HX5" s="6">
        <v>45967</v>
      </c>
      <c r="HY5">
        <v>5</v>
      </c>
      <c r="HZ5">
        <v>167000000</v>
      </c>
      <c r="IA5">
        <v>70456033</v>
      </c>
      <c r="IB5" t="s">
        <v>3257</v>
      </c>
      <c r="IG5" t="str">
        <f>_xll.BDS("BBOX US Equity","SUPPLY_CHAIN_SUPPLIERS_ALL_DATA")</f>
        <v>#N/A N/A</v>
      </c>
      <c r="IU5" t="str">
        <f>_xll.BDS("BBOX US Equity","SUPPLY_CHAIN_CUSTOMERS_ALL_DATA")</f>
        <v>#N/A N/A</v>
      </c>
      <c r="JK5" t="str">
        <f>_xll.BDS("9876544D US Equity","SUPPLY_CHAIN_SUPPLIERS_ALL_DATA")</f>
        <v>#N/A N/A</v>
      </c>
      <c r="JY5" t="str">
        <f>_xll.BDS("9876544D US Equity","SUPPLY_CHAIN_CUSTOMERS_ALL_DATA")</f>
        <v>#N/A N/A</v>
      </c>
      <c r="KO5" t="str">
        <f>_xll.BDS("CUNO US Equity","SUPPLY_CHAIN_SUPPLIERS_ALL_DATA")</f>
        <v>#N/A N/A</v>
      </c>
      <c r="LC5" t="str">
        <f>_xll.BDS("CUNO US Equity","SUPPLY_CHAIN_CUSTOMERS_ALL_DATA")</f>
        <v>#N/A N/A</v>
      </c>
      <c r="LS5" t="str">
        <f>_xll.BDS("PEBO US Equity","SUPPLY_CHAIN_SUPPLIERS_ALL_DATA")</f>
        <v>#N/A N/A</v>
      </c>
      <c r="MG5" t="str">
        <f>_xll.BDS("PEBO US Equity","SUPPLY_CHAIN_CUSTOMERS_ALL_DATA")</f>
        <v>#N/A N/A</v>
      </c>
      <c r="MW5" t="str">
        <f>_xll.BDS("WEB US Equity","SUPPLY_CHAIN_SUPPLIERS_ALL_DATA","cols=12;rows=2")</f>
        <v>TIG LN Equity</v>
      </c>
      <c r="MY5">
        <v>-2.4245362661989844E-14</v>
      </c>
      <c r="MZ5">
        <v>-2.4245362661989844E-14</v>
      </c>
      <c r="NA5" t="s">
        <v>1773</v>
      </c>
      <c r="NB5">
        <v>2024</v>
      </c>
      <c r="NC5" t="s">
        <v>3616</v>
      </c>
      <c r="ND5" s="6">
        <v>45606</v>
      </c>
      <c r="NE5">
        <v>2</v>
      </c>
      <c r="NF5">
        <v>-2.4245362661989844E-14</v>
      </c>
      <c r="NG5">
        <v>36479305</v>
      </c>
      <c r="NH5" t="s">
        <v>3617</v>
      </c>
      <c r="NK5" t="str">
        <f>_xll.BDS("WEB US Equity","SUPPLY_CHAIN_CUSTOMERS_ALL_DATA")</f>
        <v>#N/A N/A</v>
      </c>
      <c r="OA5" t="str">
        <f>_xll.BDS("FCF US Equity","SUPPLY_CHAIN_SUPPLIERS_ALL_DATA")</f>
        <v>#N/A N/A</v>
      </c>
      <c r="OO5" t="str">
        <f>_xll.BDS("FCF US Equity","SUPPLY_CHAIN_CUSTOMERS_ALL_DATA")</f>
        <v>#N/A N/A</v>
      </c>
      <c r="PE5" t="str">
        <f>_xll.BDS("GZBX US Equity","SUPPLY_CHAIN_SUPPLIERS_ALL_DATA")</f>
        <v>#N/A N/A</v>
      </c>
      <c r="PS5" t="str">
        <f>_xll.BDS("GZBX US Equity","SUPPLY_CHAIN_CUSTOMERS_ALL_DATA")</f>
        <v>#N/A N/A</v>
      </c>
      <c r="QI5" t="str">
        <f>_xll.BDS("DVINQ US Equity","SUPPLY_CHAIN_SUPPLIERS_ALL_DATA")</f>
        <v>#N/A N/A</v>
      </c>
      <c r="QW5" t="str">
        <f>_xll.BDS("DVINQ US Equity","SUPPLY_CHAIN_CUSTOMERS_ALL_DATA")</f>
        <v>#N/A N/A</v>
      </c>
      <c r="RM5" t="str">
        <f>_xll.BDS("KLXE US Equity","SUPPLY_CHAIN_SUPPLIERS_ALL_DATA","cols=12;rows=1")</f>
        <v>HTG LN Equity</v>
      </c>
      <c r="RO5">
        <v>-2.4245362661989844E-14</v>
      </c>
      <c r="RP5">
        <v>-2.4245362661989844E-14</v>
      </c>
      <c r="RQ5" t="s">
        <v>2183</v>
      </c>
      <c r="RR5">
        <v>2023</v>
      </c>
      <c r="RS5" t="s">
        <v>2696</v>
      </c>
      <c r="RT5" s="6">
        <v>45182</v>
      </c>
      <c r="RU5">
        <v>1</v>
      </c>
      <c r="RV5">
        <v>-2.4245362661989844E-14</v>
      </c>
      <c r="RW5">
        <v>111764</v>
      </c>
      <c r="RX5" t="s">
        <v>2697</v>
      </c>
      <c r="SA5" t="str">
        <f>_xll.BDS("KLXE US Equity","SUPPLY_CHAIN_CUSTOMERS_ALL_DATA","cols=12;rows=5")</f>
        <v>3668565Z US Equity</v>
      </c>
      <c r="SB5">
        <v>-2.4245362661989844E-14</v>
      </c>
      <c r="SD5">
        <v>-2.4245362661989844E-14</v>
      </c>
      <c r="SE5" t="s">
        <v>1773</v>
      </c>
      <c r="SF5">
        <v>2025</v>
      </c>
      <c r="SG5" t="s">
        <v>4471</v>
      </c>
      <c r="SH5" s="6">
        <v>45994</v>
      </c>
      <c r="SI5">
        <v>5</v>
      </c>
      <c r="SJ5">
        <v>-2.4245362661989844E-14</v>
      </c>
      <c r="SK5">
        <v>17666478</v>
      </c>
      <c r="SL5" t="s">
        <v>4472</v>
      </c>
      <c r="SQ5" t="str">
        <f>_xll.BDS("VGR US Equity","SUPPLY_CHAIN_SUPPLIERS_ALL_DATA","cols=12;rows=4")</f>
        <v>AEP US Equity</v>
      </c>
      <c r="SS5">
        <v>-2.4245362661989844E-14</v>
      </c>
      <c r="ST5">
        <v>-2.4245362661989844E-14</v>
      </c>
      <c r="SU5" t="s">
        <v>1789</v>
      </c>
      <c r="SV5">
        <v>2021</v>
      </c>
      <c r="SW5" t="s">
        <v>1919</v>
      </c>
      <c r="SX5" s="6">
        <v>44693</v>
      </c>
      <c r="SY5">
        <v>4</v>
      </c>
      <c r="SZ5">
        <v>-2.4245362661989844E-14</v>
      </c>
      <c r="TA5">
        <v>100060</v>
      </c>
      <c r="TB5" t="s">
        <v>1920</v>
      </c>
      <c r="TE5" t="str">
        <f>_xll.BDS("VGR US Equity","SUPPLY_CHAIN_CUSTOMERS_ALL_DATA","cols=12;rows=2")</f>
        <v>AVOL SW Equity</v>
      </c>
      <c r="TF5">
        <v>-2.4245362661989844E-14</v>
      </c>
      <c r="TH5">
        <v>-2.4245362661989844E-14</v>
      </c>
      <c r="TI5" t="s">
        <v>1789</v>
      </c>
      <c r="TJ5">
        <v>2023</v>
      </c>
      <c r="TK5" t="s">
        <v>3715</v>
      </c>
      <c r="TL5" s="6">
        <v>45358</v>
      </c>
      <c r="TM5">
        <v>2</v>
      </c>
      <c r="TN5">
        <v>-2.4245362661989844E-14</v>
      </c>
      <c r="TO5">
        <v>8710768</v>
      </c>
      <c r="TP5" t="s">
        <v>1794</v>
      </c>
      <c r="TU5" t="str">
        <f>_xll.BDS("MSCS US Equity","SUPPLY_CHAIN_SUPPLIERS_ALL_DATA")</f>
        <v>#N/A N/A</v>
      </c>
      <c r="UI5" t="str">
        <f>_xll.BDS("MSCS US Equity","SUPPLY_CHAIN_CUSTOMERS_ALL_DATA")</f>
        <v>#N/A N/A</v>
      </c>
      <c r="UY5" t="str">
        <f>_xll.BDS("CBCGQ US Equity","SUPPLY_CHAIN_SUPPLIERS_ALL_DATA")</f>
        <v>#N/A N/A</v>
      </c>
      <c r="VM5" t="str">
        <f>_xll.BDS("CBCGQ US Equity","SUPPLY_CHAIN_CUSTOMERS_ALL_DATA")</f>
        <v>#N/A N/A</v>
      </c>
    </row>
    <row r="6" spans="1:600" x14ac:dyDescent="0.25">
      <c r="A6" t="s">
        <v>2836</v>
      </c>
      <c r="B6" t="s">
        <v>1808</v>
      </c>
      <c r="C6">
        <v>1.2710490000000001</v>
      </c>
      <c r="D6">
        <v>0.15052699999999999</v>
      </c>
      <c r="E6" t="s">
        <v>1789</v>
      </c>
      <c r="F6">
        <v>2024</v>
      </c>
      <c r="G6" t="s">
        <v>2837</v>
      </c>
      <c r="H6" s="6">
        <v>45733</v>
      </c>
      <c r="I6">
        <v>4</v>
      </c>
      <c r="J6">
        <v>490250</v>
      </c>
      <c r="K6">
        <v>9012118</v>
      </c>
      <c r="L6" t="s">
        <v>2838</v>
      </c>
      <c r="BI6" t="s">
        <v>3875</v>
      </c>
      <c r="BK6">
        <v>-2.4245362661989844E-14</v>
      </c>
      <c r="BL6">
        <v>-2.4245362661989844E-14</v>
      </c>
      <c r="BM6" t="s">
        <v>1789</v>
      </c>
      <c r="BN6">
        <v>2024</v>
      </c>
      <c r="BO6" t="s">
        <v>3876</v>
      </c>
      <c r="BP6" s="6">
        <v>45364</v>
      </c>
      <c r="BQ6">
        <v>5</v>
      </c>
      <c r="BR6">
        <v>-2.4245362661989844E-14</v>
      </c>
      <c r="BS6">
        <v>70145721</v>
      </c>
      <c r="BT6" t="s">
        <v>3877</v>
      </c>
      <c r="BW6" t="s">
        <v>3619</v>
      </c>
      <c r="BX6">
        <v>4.7074870000000004</v>
      </c>
      <c r="BY6" t="s">
        <v>1777</v>
      </c>
      <c r="BZ6">
        <v>0.56672500000000003</v>
      </c>
      <c r="CA6" t="s">
        <v>1781</v>
      </c>
      <c r="CB6">
        <v>2025</v>
      </c>
      <c r="CC6" t="s">
        <v>1979</v>
      </c>
      <c r="CD6" s="6">
        <v>45863</v>
      </c>
      <c r="CE6">
        <v>5</v>
      </c>
      <c r="CF6">
        <v>77584656</v>
      </c>
      <c r="CG6">
        <v>348091</v>
      </c>
      <c r="CH6" t="s">
        <v>3620</v>
      </c>
      <c r="FY6" t="s">
        <v>2358</v>
      </c>
      <c r="FZ6" t="s">
        <v>1808</v>
      </c>
      <c r="GA6">
        <v>4.5490000000000001E-3</v>
      </c>
      <c r="GB6">
        <v>0.226601</v>
      </c>
      <c r="GC6" t="s">
        <v>1768</v>
      </c>
      <c r="GD6">
        <v>2025</v>
      </c>
      <c r="GE6" t="s">
        <v>2359</v>
      </c>
      <c r="GF6" s="6">
        <v>45838</v>
      </c>
      <c r="GG6">
        <v>5</v>
      </c>
      <c r="GH6">
        <v>267163</v>
      </c>
      <c r="GI6">
        <v>101689</v>
      </c>
      <c r="GJ6" t="s">
        <v>2360</v>
      </c>
      <c r="GM6" t="s">
        <v>4284</v>
      </c>
      <c r="GN6">
        <v>-2.4245362661989844E-14</v>
      </c>
      <c r="GP6">
        <v>-2.4245362661989844E-14</v>
      </c>
      <c r="GQ6" t="s">
        <v>1789</v>
      </c>
      <c r="GR6">
        <v>2024</v>
      </c>
      <c r="GS6" t="s">
        <v>4285</v>
      </c>
      <c r="GT6" s="6">
        <v>45456</v>
      </c>
      <c r="GU6">
        <v>5</v>
      </c>
      <c r="GV6">
        <v>-2.4245362661989844E-14</v>
      </c>
      <c r="GW6">
        <v>386346</v>
      </c>
      <c r="GX6" t="s">
        <v>4286</v>
      </c>
      <c r="HC6" t="s">
        <v>2626</v>
      </c>
      <c r="HD6" t="s">
        <v>1808</v>
      </c>
      <c r="HE6">
        <v>1.0797129999999999</v>
      </c>
      <c r="HF6">
        <v>4.7981389999999999</v>
      </c>
      <c r="HG6" t="s">
        <v>1768</v>
      </c>
      <c r="HH6">
        <v>2026</v>
      </c>
      <c r="HI6" t="s">
        <v>2627</v>
      </c>
      <c r="HJ6" s="6">
        <v>45986</v>
      </c>
      <c r="HK6">
        <v>5</v>
      </c>
      <c r="HL6">
        <v>39360690.32</v>
      </c>
      <c r="HM6">
        <v>995671</v>
      </c>
      <c r="HN6" t="s">
        <v>2628</v>
      </c>
      <c r="HQ6" t="s">
        <v>1958</v>
      </c>
      <c r="HR6">
        <v>1.126824</v>
      </c>
      <c r="HS6" t="s">
        <v>1777</v>
      </c>
      <c r="HT6">
        <v>0.57245599999999996</v>
      </c>
      <c r="HU6" t="s">
        <v>1773</v>
      </c>
      <c r="HV6">
        <v>2024</v>
      </c>
      <c r="HW6" t="s">
        <v>1959</v>
      </c>
      <c r="HX6" s="6">
        <v>45727</v>
      </c>
      <c r="HY6">
        <v>5</v>
      </c>
      <c r="HZ6">
        <v>70945001.510000005</v>
      </c>
      <c r="IA6">
        <v>7583418</v>
      </c>
      <c r="IB6" t="s">
        <v>1960</v>
      </c>
      <c r="MW6" t="s">
        <v>3002</v>
      </c>
      <c r="MY6">
        <v>-2.4245362661989844E-14</v>
      </c>
      <c r="MZ6">
        <v>-2.4245362661989844E-14</v>
      </c>
      <c r="NA6" t="s">
        <v>1789</v>
      </c>
      <c r="NB6">
        <v>2023</v>
      </c>
      <c r="NC6" t="s">
        <v>3618</v>
      </c>
      <c r="ND6" s="6">
        <v>45335</v>
      </c>
      <c r="NE6">
        <v>2</v>
      </c>
      <c r="NF6">
        <v>-2.4245362661989844E-14</v>
      </c>
      <c r="NG6">
        <v>101608</v>
      </c>
      <c r="NH6" t="s">
        <v>3004</v>
      </c>
      <c r="SA6" t="s">
        <v>4473</v>
      </c>
      <c r="SB6">
        <v>-2.4245362661989844E-14</v>
      </c>
      <c r="SD6">
        <v>-2.4245362661989844E-14</v>
      </c>
      <c r="SE6" t="s">
        <v>1773</v>
      </c>
      <c r="SF6">
        <v>2025</v>
      </c>
      <c r="SG6" t="s">
        <v>4471</v>
      </c>
      <c r="SH6" s="6">
        <v>45994</v>
      </c>
      <c r="SI6">
        <v>5</v>
      </c>
      <c r="SJ6">
        <v>-2.4245362661989844E-14</v>
      </c>
      <c r="SK6">
        <v>69402470</v>
      </c>
      <c r="SL6" t="s">
        <v>4474</v>
      </c>
      <c r="SQ6" t="s">
        <v>1923</v>
      </c>
      <c r="SS6">
        <v>-2.4245362661989844E-14</v>
      </c>
      <c r="ST6">
        <v>-2.4245362661989844E-14</v>
      </c>
      <c r="SU6" t="s">
        <v>1789</v>
      </c>
      <c r="SV6">
        <v>2021</v>
      </c>
      <c r="SW6" t="s">
        <v>1924</v>
      </c>
      <c r="SX6" s="6">
        <v>44693</v>
      </c>
      <c r="SY6">
        <v>4</v>
      </c>
      <c r="SZ6">
        <v>-2.4245362661989844E-14</v>
      </c>
      <c r="TA6">
        <v>100481</v>
      </c>
      <c r="TB6" t="s">
        <v>1925</v>
      </c>
      <c r="TE6" t="s">
        <v>3716</v>
      </c>
      <c r="TF6">
        <v>-2.4245362661989844E-14</v>
      </c>
      <c r="TH6">
        <v>-2.4245362661989844E-14</v>
      </c>
      <c r="TI6" t="s">
        <v>1789</v>
      </c>
      <c r="TJ6">
        <v>2023</v>
      </c>
      <c r="TK6" t="s">
        <v>3717</v>
      </c>
      <c r="TL6" s="6">
        <v>45338</v>
      </c>
      <c r="TM6">
        <v>2</v>
      </c>
      <c r="TN6">
        <v>-2.4245362661989844E-14</v>
      </c>
      <c r="TO6">
        <v>69871159</v>
      </c>
      <c r="TP6" t="s">
        <v>3718</v>
      </c>
    </row>
    <row r="7" spans="1:600" x14ac:dyDescent="0.25">
      <c r="A7" t="s">
        <v>2839</v>
      </c>
      <c r="C7">
        <v>-2.4245362661989844E-14</v>
      </c>
      <c r="D7">
        <v>-2.4245362661989844E-14</v>
      </c>
      <c r="E7" t="s">
        <v>1789</v>
      </c>
      <c r="F7">
        <v>2022</v>
      </c>
      <c r="G7" t="s">
        <v>2840</v>
      </c>
      <c r="H7" s="6">
        <v>44971</v>
      </c>
      <c r="I7">
        <v>4</v>
      </c>
      <c r="J7">
        <v>-2.4245362661989844E-14</v>
      </c>
      <c r="K7">
        <v>10086577</v>
      </c>
      <c r="L7" t="s">
        <v>2841</v>
      </c>
      <c r="BI7" t="s">
        <v>3878</v>
      </c>
      <c r="BK7">
        <v>-2.4245362661989844E-14</v>
      </c>
      <c r="BL7">
        <v>-2.4245362661989844E-14</v>
      </c>
      <c r="BM7" t="s">
        <v>1768</v>
      </c>
      <c r="BN7">
        <v>2025</v>
      </c>
      <c r="BO7" t="s">
        <v>3879</v>
      </c>
      <c r="BP7" s="6">
        <v>45874</v>
      </c>
      <c r="BQ7">
        <v>5</v>
      </c>
      <c r="BR7">
        <v>-2.4245362661989844E-14</v>
      </c>
      <c r="BS7">
        <v>54246485</v>
      </c>
      <c r="BT7" t="s">
        <v>3880</v>
      </c>
      <c r="BW7" t="s">
        <v>1517</v>
      </c>
      <c r="BX7">
        <v>4.1193600000000004</v>
      </c>
      <c r="BY7" t="s">
        <v>1777</v>
      </c>
      <c r="BZ7">
        <v>0.25783</v>
      </c>
      <c r="CA7" t="s">
        <v>1781</v>
      </c>
      <c r="CB7">
        <v>2025</v>
      </c>
      <c r="CC7" t="s">
        <v>1979</v>
      </c>
      <c r="CD7" s="6">
        <v>45863</v>
      </c>
      <c r="CE7">
        <v>5</v>
      </c>
      <c r="CF7">
        <v>67891664</v>
      </c>
      <c r="CG7">
        <v>225906</v>
      </c>
      <c r="CH7" t="s">
        <v>2232</v>
      </c>
      <c r="FY7" t="s">
        <v>2155</v>
      </c>
      <c r="GA7">
        <v>-2.4245362661989844E-14</v>
      </c>
      <c r="GB7">
        <v>-2.4245362661989844E-14</v>
      </c>
      <c r="GC7" t="s">
        <v>1894</v>
      </c>
      <c r="GD7">
        <v>2023</v>
      </c>
      <c r="GE7" t="s">
        <v>4432</v>
      </c>
      <c r="GF7" s="6">
        <v>45244</v>
      </c>
      <c r="GG7">
        <v>5</v>
      </c>
      <c r="GH7">
        <v>-2.4245362661989844E-14</v>
      </c>
      <c r="GI7">
        <v>23189849</v>
      </c>
      <c r="GJ7" t="s">
        <v>2157</v>
      </c>
      <c r="GM7" t="s">
        <v>4287</v>
      </c>
      <c r="GN7">
        <v>-2.4245362661989844E-14</v>
      </c>
      <c r="GP7">
        <v>-2.4245362661989844E-14</v>
      </c>
      <c r="GQ7" t="s">
        <v>1789</v>
      </c>
      <c r="GR7">
        <v>2022</v>
      </c>
      <c r="GS7" t="s">
        <v>4288</v>
      </c>
      <c r="GT7" s="6">
        <v>44733</v>
      </c>
      <c r="GU7">
        <v>5</v>
      </c>
      <c r="GV7">
        <v>-2.4245362661989844E-14</v>
      </c>
      <c r="GW7">
        <v>101712</v>
      </c>
      <c r="GX7" t="s">
        <v>4289</v>
      </c>
      <c r="HC7" t="s">
        <v>3055</v>
      </c>
      <c r="HD7" t="s">
        <v>1777</v>
      </c>
      <c r="HE7">
        <v>1.506183</v>
      </c>
      <c r="HF7">
        <v>0.77730100000000002</v>
      </c>
      <c r="HG7" t="s">
        <v>1785</v>
      </c>
      <c r="HH7">
        <v>2025</v>
      </c>
      <c r="HI7" t="s">
        <v>3056</v>
      </c>
      <c r="HJ7" s="6">
        <v>46076</v>
      </c>
      <c r="HK7">
        <v>5</v>
      </c>
      <c r="HL7">
        <v>31675028</v>
      </c>
      <c r="HM7">
        <v>187274</v>
      </c>
      <c r="HN7" t="s">
        <v>3057</v>
      </c>
      <c r="HQ7" t="s">
        <v>3258</v>
      </c>
      <c r="HR7">
        <v>0.63659900000000003</v>
      </c>
      <c r="HS7" t="s">
        <v>1777</v>
      </c>
      <c r="HT7">
        <v>35.711070999999997</v>
      </c>
      <c r="HU7" t="s">
        <v>1789</v>
      </c>
      <c r="HV7">
        <v>2025</v>
      </c>
      <c r="HW7" t="s">
        <v>3259</v>
      </c>
      <c r="HX7" s="6">
        <v>45873</v>
      </c>
      <c r="HY7">
        <v>5</v>
      </c>
      <c r="HZ7">
        <v>39409704.109999999</v>
      </c>
      <c r="IA7">
        <v>183000</v>
      </c>
      <c r="IB7" t="s">
        <v>3260</v>
      </c>
      <c r="SA7" t="s">
        <v>4475</v>
      </c>
      <c r="SB7">
        <v>-2.4245362661989844E-14</v>
      </c>
      <c r="SD7">
        <v>-2.4245362661989844E-14</v>
      </c>
      <c r="SE7" t="s">
        <v>1773</v>
      </c>
      <c r="SF7">
        <v>2025</v>
      </c>
      <c r="SG7" t="s">
        <v>4471</v>
      </c>
      <c r="SH7" s="6">
        <v>45994</v>
      </c>
      <c r="SI7">
        <v>5</v>
      </c>
      <c r="SJ7">
        <v>-2.4245362661989844E-14</v>
      </c>
      <c r="SK7">
        <v>25569984</v>
      </c>
      <c r="SL7" t="s">
        <v>4476</v>
      </c>
      <c r="SQ7" t="s">
        <v>2087</v>
      </c>
      <c r="SS7">
        <v>-2.4245362661989844E-14</v>
      </c>
      <c r="ST7">
        <v>-2.4245362661989844E-14</v>
      </c>
      <c r="SU7" t="s">
        <v>1789</v>
      </c>
      <c r="SV7">
        <v>2021</v>
      </c>
      <c r="SW7" t="s">
        <v>2088</v>
      </c>
      <c r="SX7" s="6">
        <v>44693</v>
      </c>
      <c r="SY7">
        <v>4</v>
      </c>
      <c r="SZ7">
        <v>-2.4245362661989844E-14</v>
      </c>
      <c r="TA7">
        <v>100382</v>
      </c>
      <c r="TB7" t="s">
        <v>2089</v>
      </c>
    </row>
    <row r="8" spans="1:600" x14ac:dyDescent="0.25">
      <c r="A8" t="s">
        <v>2842</v>
      </c>
      <c r="C8">
        <v>-2.4245362661989844E-14</v>
      </c>
      <c r="D8">
        <v>-2.4245362661989844E-14</v>
      </c>
      <c r="E8" t="s">
        <v>1768</v>
      </c>
      <c r="F8">
        <v>2026</v>
      </c>
      <c r="G8" t="s">
        <v>2843</v>
      </c>
      <c r="H8" s="6">
        <v>46058</v>
      </c>
      <c r="I8">
        <v>4</v>
      </c>
      <c r="J8">
        <v>-2.4245362661989844E-14</v>
      </c>
      <c r="K8">
        <v>171398</v>
      </c>
      <c r="L8" t="s">
        <v>2844</v>
      </c>
      <c r="BI8" t="s">
        <v>3881</v>
      </c>
      <c r="BK8">
        <v>-2.4245362661989844E-14</v>
      </c>
      <c r="BL8">
        <v>-2.4245362661989844E-14</v>
      </c>
      <c r="BM8" t="s">
        <v>1789</v>
      </c>
      <c r="BN8">
        <v>2022</v>
      </c>
      <c r="BO8" t="s">
        <v>3882</v>
      </c>
      <c r="BP8" s="6">
        <v>44819</v>
      </c>
      <c r="BQ8">
        <v>5</v>
      </c>
      <c r="BR8">
        <v>-2.4245362661989844E-14</v>
      </c>
      <c r="BS8">
        <v>65166973</v>
      </c>
      <c r="BT8" t="s">
        <v>3883</v>
      </c>
      <c r="BW8" t="s">
        <v>3621</v>
      </c>
      <c r="BX8">
        <v>3.9334570000000002</v>
      </c>
      <c r="BY8" t="s">
        <v>1777</v>
      </c>
      <c r="BZ8">
        <v>1.0558730000000001</v>
      </c>
      <c r="CA8" t="s">
        <v>1781</v>
      </c>
      <c r="CB8">
        <v>2025</v>
      </c>
      <c r="CC8" t="s">
        <v>1979</v>
      </c>
      <c r="CD8" s="6">
        <v>45863</v>
      </c>
      <c r="CE8">
        <v>5</v>
      </c>
      <c r="CF8">
        <v>64827776</v>
      </c>
      <c r="CG8">
        <v>115230</v>
      </c>
      <c r="CH8" t="s">
        <v>3622</v>
      </c>
      <c r="FY8" t="s">
        <v>1958</v>
      </c>
      <c r="GA8">
        <v>-2.4245362661989844E-14</v>
      </c>
      <c r="GB8">
        <v>-2.4245362661989844E-14</v>
      </c>
      <c r="GC8" t="s">
        <v>1789</v>
      </c>
      <c r="GD8">
        <v>2022</v>
      </c>
      <c r="GE8" t="s">
        <v>4433</v>
      </c>
      <c r="GF8" s="6">
        <v>44656</v>
      </c>
      <c r="GG8">
        <v>5</v>
      </c>
      <c r="GH8">
        <v>-2.4245362661989844E-14</v>
      </c>
      <c r="GI8">
        <v>7583418</v>
      </c>
      <c r="GJ8" t="s">
        <v>1960</v>
      </c>
      <c r="GM8" t="s">
        <v>4290</v>
      </c>
      <c r="GN8">
        <v>-2.4245362661989844E-14</v>
      </c>
      <c r="GP8">
        <v>-2.4245362661989844E-14</v>
      </c>
      <c r="GQ8" t="s">
        <v>1789</v>
      </c>
      <c r="GR8">
        <v>2022</v>
      </c>
      <c r="GS8" t="s">
        <v>4291</v>
      </c>
      <c r="GT8" s="6">
        <v>44908</v>
      </c>
      <c r="GU8">
        <v>5</v>
      </c>
      <c r="GV8">
        <v>-2.4245362661989844E-14</v>
      </c>
      <c r="GW8">
        <v>111680</v>
      </c>
      <c r="GX8" t="s">
        <v>4292</v>
      </c>
      <c r="HC8" t="s">
        <v>3255</v>
      </c>
      <c r="HD8" t="s">
        <v>1777</v>
      </c>
      <c r="HE8">
        <v>1.0496179999999999</v>
      </c>
      <c r="HF8">
        <v>0.58016900000000005</v>
      </c>
      <c r="HG8" t="s">
        <v>1773</v>
      </c>
      <c r="HH8">
        <v>2025</v>
      </c>
      <c r="HI8" t="s">
        <v>3256</v>
      </c>
      <c r="HJ8" s="6">
        <v>45967</v>
      </c>
      <c r="HK8">
        <v>5</v>
      </c>
      <c r="HL8">
        <v>22000000</v>
      </c>
      <c r="HM8">
        <v>70456033</v>
      </c>
      <c r="HN8" t="s">
        <v>3257</v>
      </c>
      <c r="HQ8" t="s">
        <v>1047</v>
      </c>
      <c r="HR8">
        <v>0.62480800000000003</v>
      </c>
      <c r="HS8" t="s">
        <v>1777</v>
      </c>
      <c r="HT8">
        <v>0.15015999999999999</v>
      </c>
      <c r="HU8" t="s">
        <v>1768</v>
      </c>
      <c r="HV8">
        <v>2025</v>
      </c>
      <c r="HW8" t="s">
        <v>3261</v>
      </c>
      <c r="HX8" s="6">
        <v>45857</v>
      </c>
      <c r="HY8">
        <v>5</v>
      </c>
      <c r="HZ8">
        <v>39637820</v>
      </c>
      <c r="IA8">
        <v>100743</v>
      </c>
      <c r="IB8" t="s">
        <v>1813</v>
      </c>
      <c r="SA8" t="s">
        <v>4477</v>
      </c>
      <c r="SB8">
        <v>-2.4245362661989844E-14</v>
      </c>
      <c r="SD8">
        <v>-2.4245362661989844E-14</v>
      </c>
      <c r="SE8" t="s">
        <v>1773</v>
      </c>
      <c r="SF8">
        <v>2025</v>
      </c>
      <c r="SG8" t="s">
        <v>4471</v>
      </c>
      <c r="SH8" s="6">
        <v>45994</v>
      </c>
      <c r="SI8">
        <v>5</v>
      </c>
      <c r="SJ8">
        <v>-2.4245362661989844E-14</v>
      </c>
      <c r="SK8">
        <v>359648</v>
      </c>
      <c r="SL8" t="s">
        <v>4478</v>
      </c>
      <c r="SQ8" t="s">
        <v>1559</v>
      </c>
      <c r="SS8">
        <v>-2.4245362661989844E-14</v>
      </c>
      <c r="ST8">
        <v>-2.4245362661989844E-14</v>
      </c>
      <c r="SU8" t="s">
        <v>1789</v>
      </c>
      <c r="SV8">
        <v>2021</v>
      </c>
      <c r="SW8" t="s">
        <v>1829</v>
      </c>
      <c r="SX8" s="6">
        <v>44693</v>
      </c>
      <c r="SY8">
        <v>4</v>
      </c>
      <c r="SZ8">
        <v>-2.4245362661989844E-14</v>
      </c>
      <c r="TA8">
        <v>100607</v>
      </c>
      <c r="TB8" t="s">
        <v>3552</v>
      </c>
    </row>
    <row r="9" spans="1:600" x14ac:dyDescent="0.25">
      <c r="BI9" t="s">
        <v>3884</v>
      </c>
      <c r="BK9">
        <v>-2.4245362661989844E-14</v>
      </c>
      <c r="BL9">
        <v>-2.4245362661989844E-14</v>
      </c>
      <c r="BM9" t="s">
        <v>1781</v>
      </c>
      <c r="BN9">
        <v>2025</v>
      </c>
      <c r="BO9" t="s">
        <v>3885</v>
      </c>
      <c r="BP9" s="6">
        <v>45471</v>
      </c>
      <c r="BQ9">
        <v>5</v>
      </c>
      <c r="BR9">
        <v>-2.4245362661989844E-14</v>
      </c>
      <c r="BS9">
        <v>45718450</v>
      </c>
      <c r="BT9" t="s">
        <v>3886</v>
      </c>
      <c r="BW9" t="s">
        <v>1923</v>
      </c>
      <c r="BX9">
        <v>3.4728490000000001</v>
      </c>
      <c r="BY9" t="s">
        <v>1777</v>
      </c>
      <c r="BZ9">
        <v>2.314454</v>
      </c>
      <c r="CA9" t="s">
        <v>1781</v>
      </c>
      <c r="CB9">
        <v>2025</v>
      </c>
      <c r="CC9" t="s">
        <v>1979</v>
      </c>
      <c r="CD9" s="6">
        <v>45863</v>
      </c>
      <c r="CE9">
        <v>5</v>
      </c>
      <c r="CF9">
        <v>57236440</v>
      </c>
      <c r="CG9">
        <v>100481</v>
      </c>
      <c r="CH9" t="s">
        <v>1925</v>
      </c>
      <c r="FY9" t="s">
        <v>4434</v>
      </c>
      <c r="GA9">
        <v>-2.4245362661989844E-14</v>
      </c>
      <c r="GB9">
        <v>-2.4245362661989844E-14</v>
      </c>
      <c r="GC9" t="s">
        <v>2183</v>
      </c>
      <c r="GD9">
        <v>2022</v>
      </c>
      <c r="GE9" t="s">
        <v>4435</v>
      </c>
      <c r="GF9" s="6">
        <v>44785</v>
      </c>
      <c r="GG9">
        <v>5</v>
      </c>
      <c r="GH9">
        <v>-2.4245362661989844E-14</v>
      </c>
      <c r="GI9">
        <v>153672</v>
      </c>
      <c r="GJ9" t="s">
        <v>4436</v>
      </c>
      <c r="GM9" t="s">
        <v>4293</v>
      </c>
      <c r="GN9">
        <v>-2.4245362661989844E-14</v>
      </c>
      <c r="GP9">
        <v>-2.4245362661989844E-14</v>
      </c>
      <c r="GQ9" t="s">
        <v>1789</v>
      </c>
      <c r="GR9">
        <v>2022</v>
      </c>
      <c r="GS9" t="s">
        <v>4288</v>
      </c>
      <c r="GT9" s="6">
        <v>44733</v>
      </c>
      <c r="GU9">
        <v>5</v>
      </c>
      <c r="GV9">
        <v>-2.4245362661989844E-14</v>
      </c>
      <c r="GW9">
        <v>60854400</v>
      </c>
      <c r="GX9" t="s">
        <v>4294</v>
      </c>
      <c r="HC9" t="s">
        <v>4075</v>
      </c>
      <c r="HD9" t="s">
        <v>1777</v>
      </c>
      <c r="HE9">
        <v>0.25306400000000001</v>
      </c>
      <c r="HF9">
        <v>0.29688500000000001</v>
      </c>
      <c r="HG9" t="s">
        <v>1768</v>
      </c>
      <c r="HH9">
        <v>2026</v>
      </c>
      <c r="HI9" t="s">
        <v>4076</v>
      </c>
      <c r="HJ9" s="6">
        <v>45999</v>
      </c>
      <c r="HK9">
        <v>5</v>
      </c>
      <c r="HL9">
        <v>11262296.42</v>
      </c>
      <c r="HM9">
        <v>114713</v>
      </c>
      <c r="HN9" t="s">
        <v>4077</v>
      </c>
      <c r="HQ9" t="s">
        <v>2132</v>
      </c>
      <c r="HR9">
        <v>0.47400900000000001</v>
      </c>
      <c r="HS9" t="s">
        <v>1777</v>
      </c>
      <c r="HT9">
        <v>0.23968300000000001</v>
      </c>
      <c r="HU9" t="s">
        <v>1768</v>
      </c>
      <c r="HV9">
        <v>2025</v>
      </c>
      <c r="HW9" t="s">
        <v>3261</v>
      </c>
      <c r="HX9" s="6">
        <v>45857</v>
      </c>
      <c r="HY9">
        <v>5</v>
      </c>
      <c r="HZ9">
        <v>30071132</v>
      </c>
      <c r="IA9">
        <v>153737</v>
      </c>
      <c r="IB9" t="s">
        <v>2134</v>
      </c>
      <c r="SA9" t="s">
        <v>2200</v>
      </c>
      <c r="SB9">
        <v>-2.4245362661989844E-14</v>
      </c>
      <c r="SD9">
        <v>-2.4245362661989844E-14</v>
      </c>
      <c r="SE9" t="s">
        <v>1773</v>
      </c>
      <c r="SF9">
        <v>2025</v>
      </c>
      <c r="SG9" t="s">
        <v>4471</v>
      </c>
      <c r="SH9" s="6">
        <v>45994</v>
      </c>
      <c r="SI9">
        <v>5</v>
      </c>
      <c r="SJ9">
        <v>-2.4245362661989844E-14</v>
      </c>
      <c r="SK9">
        <v>101174</v>
      </c>
      <c r="SL9" t="s">
        <v>2202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620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621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622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623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624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625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626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627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628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629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630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631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632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633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634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635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636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637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638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278</v>
      </c>
      <c r="AE2" s="3" t="s">
        <v>639</v>
      </c>
      <c r="BI2" s="3" t="s">
        <v>640</v>
      </c>
      <c r="CM2" s="3" t="s">
        <v>641</v>
      </c>
      <c r="DQ2" s="3" t="s">
        <v>163</v>
      </c>
      <c r="EU2" s="3" t="s">
        <v>642</v>
      </c>
      <c r="FY2" s="3" t="s">
        <v>22</v>
      </c>
      <c r="HC2" s="3" t="s">
        <v>643</v>
      </c>
      <c r="IG2" s="3" t="s">
        <v>644</v>
      </c>
      <c r="JK2" s="3" t="s">
        <v>22</v>
      </c>
      <c r="KO2" s="3" t="s">
        <v>645</v>
      </c>
      <c r="LS2" s="3" t="s">
        <v>646</v>
      </c>
      <c r="MW2" s="3" t="s">
        <v>231</v>
      </c>
      <c r="OA2" s="3" t="s">
        <v>647</v>
      </c>
      <c r="PE2" s="3" t="s">
        <v>31</v>
      </c>
      <c r="QI2" s="3" t="s">
        <v>648</v>
      </c>
      <c r="RM2" s="3" t="s">
        <v>649</v>
      </c>
      <c r="SQ2" s="3" t="s">
        <v>650</v>
      </c>
      <c r="TU2" s="3" t="s">
        <v>34</v>
      </c>
      <c r="UY2" s="3" t="s">
        <v>651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_xll.BDS("MDT US Equity","SUPPLY_CHAIN_SUPPLIERS_ALL_DATA","cols=12;rows=5")</f>
        <v>FLEX US Equity</v>
      </c>
      <c r="B5" t="s">
        <v>1777</v>
      </c>
      <c r="C5">
        <v>1.2190190000000001</v>
      </c>
      <c r="D5">
        <v>2.8758149999999998</v>
      </c>
      <c r="E5" t="s">
        <v>1773</v>
      </c>
      <c r="F5">
        <v>2025</v>
      </c>
      <c r="G5" t="s">
        <v>2136</v>
      </c>
      <c r="H5" s="6">
        <v>45763</v>
      </c>
      <c r="I5">
        <v>5</v>
      </c>
      <c r="J5">
        <v>79918888</v>
      </c>
      <c r="K5">
        <v>136547</v>
      </c>
      <c r="L5" t="s">
        <v>2137</v>
      </c>
      <c r="O5" t="str">
        <f>_xll.BDS("MDT US Equity","SUPPLY_CHAIN_CUSTOMERS_ALL_DATA","cols=12;rows=5")</f>
        <v>4104 TT Equity</v>
      </c>
      <c r="P5">
        <v>0.20070099999999999</v>
      </c>
      <c r="Q5" t="s">
        <v>1777</v>
      </c>
      <c r="R5">
        <v>32.397697000000001</v>
      </c>
      <c r="S5" t="s">
        <v>1789</v>
      </c>
      <c r="T5">
        <v>2024</v>
      </c>
      <c r="U5" t="s">
        <v>3344</v>
      </c>
      <c r="V5" s="6">
        <v>45814</v>
      </c>
      <c r="W5">
        <v>5</v>
      </c>
      <c r="X5">
        <v>17028014.890000001</v>
      </c>
      <c r="Y5">
        <v>7324380</v>
      </c>
      <c r="Z5" t="s">
        <v>3345</v>
      </c>
      <c r="AE5" t="str">
        <f>_xll.BDS("VATE US Equity","SUPPLY_CHAIN_SUPPLIERS_ALL_DATA","cols=12;rows=3")</f>
        <v>000963 CH Equity</v>
      </c>
      <c r="AF5" t="s">
        <v>1777</v>
      </c>
      <c r="AG5">
        <v>1.2234999999999999E-2</v>
      </c>
      <c r="AH5">
        <v>9.0795000000000001E-2</v>
      </c>
      <c r="AI5" t="s">
        <v>2183</v>
      </c>
      <c r="AJ5">
        <v>2025</v>
      </c>
      <c r="AK5" t="s">
        <v>3854</v>
      </c>
      <c r="AL5" s="6">
        <v>45889</v>
      </c>
      <c r="AM5">
        <v>3</v>
      </c>
      <c r="AN5">
        <v>182838.7</v>
      </c>
      <c r="AO5">
        <v>876516</v>
      </c>
      <c r="AP5" t="s">
        <v>3290</v>
      </c>
      <c r="AS5" t="str">
        <f>_xll.BDS("VATE US Equity","SUPPLY_CHAIN_CUSTOMERS_ALL_DATA","cols=12;rows=2")</f>
        <v>000963 CH Equity</v>
      </c>
      <c r="AT5">
        <v>-2.4245362661989844E-14</v>
      </c>
      <c r="AV5">
        <v>-2.4245362661989844E-14</v>
      </c>
      <c r="AW5" t="s">
        <v>1789</v>
      </c>
      <c r="AX5">
        <v>2023</v>
      </c>
      <c r="AY5" t="s">
        <v>3289</v>
      </c>
      <c r="AZ5" s="6">
        <v>45399</v>
      </c>
      <c r="BA5">
        <v>2</v>
      </c>
      <c r="BB5">
        <v>-2.4245362661989844E-14</v>
      </c>
      <c r="BC5">
        <v>876516</v>
      </c>
      <c r="BD5" t="s">
        <v>3290</v>
      </c>
      <c r="BI5" t="str">
        <f>_xll.BDS("1850874D US Equity","SUPPLY_CHAIN_SUPPLIERS_ALL_DATA")</f>
        <v>#N/A N/A</v>
      </c>
      <c r="BW5" t="str">
        <f>_xll.BDS("1850874D US Equity","SUPPLY_CHAIN_CUSTOMERS_ALL_DATA")</f>
        <v>#N/A N/A</v>
      </c>
      <c r="CM5" t="str">
        <f>_xll.BDS("NCOM US Equity","SUPPLY_CHAIN_SUPPLIERS_ALL_DATA")</f>
        <v>#N/A N/A</v>
      </c>
      <c r="DA5" t="str">
        <f>_xll.BDS("NCOM US Equity","SUPPLY_CHAIN_CUSTOMERS_ALL_DATA")</f>
        <v>#N/A N/A</v>
      </c>
      <c r="DQ5" t="str">
        <f>_xll.BDS("FNB US Equity","SUPPLY_CHAIN_SUPPLIERS_ALL_DATA","cols=12;rows=1")</f>
        <v>HY US Equity</v>
      </c>
      <c r="DS5">
        <v>-2.4245362661989844E-14</v>
      </c>
      <c r="DT5">
        <v>-2.4245362661989844E-14</v>
      </c>
      <c r="DU5" t="s">
        <v>1789</v>
      </c>
      <c r="DV5">
        <v>2024</v>
      </c>
      <c r="DW5" t="s">
        <v>2269</v>
      </c>
      <c r="DX5" s="6">
        <v>45427</v>
      </c>
      <c r="DY5">
        <v>1</v>
      </c>
      <c r="DZ5">
        <v>-2.4245362661989844E-14</v>
      </c>
      <c r="EA5">
        <v>159242</v>
      </c>
      <c r="EB5" t="s">
        <v>2270</v>
      </c>
      <c r="EE5" t="str">
        <f>_xll.BDS("FNB US Equity","SUPPLY_CHAIN_CUSTOMERS_ALL_DATA")</f>
        <v>#N/A N/A</v>
      </c>
      <c r="EU5" t="str">
        <f>_xll.BDS("TRMK US Equity","SUPPLY_CHAIN_SUPPLIERS_ALL_DATA","cols=12;rows=1")</f>
        <v>1514239D US Equity</v>
      </c>
      <c r="EW5">
        <v>-2.4245362661989844E-14</v>
      </c>
      <c r="EX5">
        <v>-2.4245362661989844E-14</v>
      </c>
      <c r="EY5" t="s">
        <v>1789</v>
      </c>
      <c r="EZ5">
        <v>2025</v>
      </c>
      <c r="FA5" t="s">
        <v>4616</v>
      </c>
      <c r="FB5" s="6">
        <v>46036</v>
      </c>
      <c r="FC5">
        <v>1</v>
      </c>
      <c r="FD5">
        <v>-2.4245362661989844E-14</v>
      </c>
      <c r="FE5">
        <v>53911736</v>
      </c>
      <c r="FF5" t="s">
        <v>4617</v>
      </c>
      <c r="FI5" t="str">
        <f>_xll.BDS("TRMK US Equity","SUPPLY_CHAIN_CUSTOMERS_ALL_DATA")</f>
        <v>#N/A N/A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_xll.BDS("753397Q US Equity","SUPPLY_CHAIN_SUPPLIERS_ALL_DATA")</f>
        <v>#N/A N/A</v>
      </c>
      <c r="HQ5" t="str">
        <f>_xll.BDS("753397Q US Equity","SUPPLY_CHAIN_CUSTOMERS_ALL_DATA")</f>
        <v>#N/A N/A</v>
      </c>
      <c r="IG5" t="str">
        <f>_xll.BDS("724273Q US Equity","SUPPLY_CHAIN_SUPPLIERS_ALL_DATA")</f>
        <v>#N/A N/A</v>
      </c>
      <c r="IU5" t="str">
        <f>_xll.BDS("724273Q US Equity","SUPPLY_CHAIN_CUSTOMERS_ALL_DATA")</f>
        <v>#N/A N/A</v>
      </c>
      <c r="JK5" t="str">
        <f>_xll.BDS("nan Equity","SUPPLY_CHAIN_SUPPLIERS_ALL_DATA")</f>
        <v>#N/A N/A</v>
      </c>
      <c r="JY5" t="str">
        <f>_xll.BDS("nan Equity","SUPPLY_CHAIN_CUSTOMERS_ALL_DATA")</f>
        <v>#N/A N/A</v>
      </c>
      <c r="KO5" t="str">
        <f>_xll.BDS("CVG US Equity","SUPPLY_CHAIN_SUPPLIERS_ALL_DATA")</f>
        <v>#N/A N/A</v>
      </c>
      <c r="LC5" t="str">
        <f>_xll.BDS("CVG US Equity","SUPPLY_CHAIN_CUSTOMERS_ALL_DATA")</f>
        <v>#N/A N/A</v>
      </c>
      <c r="LS5" t="str">
        <f>_xll.BDS("SNPS US Equity","SUPPLY_CHAIN_SUPPLIERS_ALL_DATA","cols=12;rows=5")</f>
        <v>000660 KS Equity</v>
      </c>
      <c r="LT5" t="s">
        <v>1777</v>
      </c>
      <c r="LU5">
        <v>6.9986999999999994E-2</v>
      </c>
      <c r="LV5">
        <v>3.195624</v>
      </c>
      <c r="LW5" t="s">
        <v>1785</v>
      </c>
      <c r="LX5">
        <v>2024</v>
      </c>
      <c r="LY5" t="s">
        <v>4049</v>
      </c>
      <c r="LZ5" s="6">
        <v>45805</v>
      </c>
      <c r="MA5">
        <v>5</v>
      </c>
      <c r="MB5">
        <v>8835872.8200000003</v>
      </c>
      <c r="MC5">
        <v>193974</v>
      </c>
      <c r="MD5" t="s">
        <v>3143</v>
      </c>
      <c r="MG5" t="str">
        <f>_xll.BDS("SNPS US Equity","SUPPLY_CHAIN_CUSTOMERS_ALL_DATA","cols=12;rows=5")</f>
        <v>2454 TT Equity</v>
      </c>
      <c r="MH5">
        <v>3.6540590000000002</v>
      </c>
      <c r="MI5" t="s">
        <v>1777</v>
      </c>
      <c r="MJ5">
        <v>2.4199099999999998</v>
      </c>
      <c r="MK5" t="s">
        <v>1781</v>
      </c>
      <c r="ML5">
        <v>2025</v>
      </c>
      <c r="MM5" t="s">
        <v>2744</v>
      </c>
      <c r="MN5" s="6">
        <v>45866</v>
      </c>
      <c r="MO5">
        <v>5</v>
      </c>
      <c r="MP5">
        <v>58486037.799999997</v>
      </c>
      <c r="MQ5">
        <v>7359591</v>
      </c>
      <c r="MR5" t="s">
        <v>2745</v>
      </c>
      <c r="MW5" t="str">
        <f>_xll.BDS("ICBC US Equity","SUPPLY_CHAIN_SUPPLIERS_ALL_DATA")</f>
        <v>#N/A N/A</v>
      </c>
      <c r="NK5" t="str">
        <f>_xll.BDS("ICBC US Equity","SUPPLY_CHAIN_CUSTOMERS_ALL_DATA")</f>
        <v>#N/A N/A</v>
      </c>
      <c r="OA5" t="str">
        <f>_xll.BDS("CB US Equity","SUPPLY_CHAIN_SUPPLIERS_ALL_DATA","cols=12;rows=5")</f>
        <v>049480 KS Equity</v>
      </c>
      <c r="OC5">
        <v>-2.4245362661989844E-14</v>
      </c>
      <c r="OD5">
        <v>-2.4245362661989844E-14</v>
      </c>
      <c r="OE5" t="s">
        <v>1894</v>
      </c>
      <c r="OF5">
        <v>2025</v>
      </c>
      <c r="OG5" t="s">
        <v>3502</v>
      </c>
      <c r="OH5" s="6">
        <v>45975</v>
      </c>
      <c r="OI5">
        <v>5</v>
      </c>
      <c r="OJ5">
        <v>-2.4245362661989844E-14</v>
      </c>
      <c r="OK5">
        <v>7120437</v>
      </c>
      <c r="OL5" t="s">
        <v>3503</v>
      </c>
      <c r="OO5" t="str">
        <f>_xll.BDS("CB US Equity","SUPPLY_CHAIN_CUSTOMERS_ALL_DATA","cols=12;rows=1")</f>
        <v>NSP US Equity</v>
      </c>
      <c r="OP5">
        <v>-2.4245362661989844E-14</v>
      </c>
      <c r="OR5">
        <v>-2.4245362661989844E-14</v>
      </c>
      <c r="OS5" t="s">
        <v>1789</v>
      </c>
      <c r="OT5">
        <v>2025</v>
      </c>
      <c r="OU5" t="s">
        <v>4854</v>
      </c>
      <c r="OV5" s="6">
        <v>46064</v>
      </c>
      <c r="OW5">
        <v>1</v>
      </c>
      <c r="OX5">
        <v>-2.4245362661989844E-14</v>
      </c>
      <c r="OY5">
        <v>201622</v>
      </c>
      <c r="OZ5" t="s">
        <v>4855</v>
      </c>
      <c r="PE5" t="str">
        <f>_xll.BDS("NUAN US Equity","SUPPLY_CHAIN_SUPPLIERS_ALL_DATA")</f>
        <v>#N/A N/A</v>
      </c>
      <c r="PS5" t="str">
        <f>_xll.BDS("NUAN US Equity","SUPPLY_CHAIN_CUSTOMERS_ALL_DATA")</f>
        <v>#N/A N/A</v>
      </c>
      <c r="QI5" t="str">
        <f>_xll.BDS("3588Q US Equity","SUPPLY_CHAIN_SUPPLIERS_ALL_DATA")</f>
        <v>#N/A N/A</v>
      </c>
      <c r="QW5" t="str">
        <f>_xll.BDS("3588Q US Equity","SUPPLY_CHAIN_CUSTOMERS_ALL_DATA")</f>
        <v>#N/A N/A</v>
      </c>
      <c r="RM5" t="str">
        <f>_xll.BDS("AVTA US Equity","SUPPLY_CHAIN_SUPPLIERS_ALL_DATA","cols=12;rows=2")</f>
        <v>LMRT SP Equity</v>
      </c>
      <c r="RO5">
        <v>-2.4245362661989844E-14</v>
      </c>
      <c r="RP5">
        <v>-2.4245362661989844E-14</v>
      </c>
      <c r="RQ5" t="s">
        <v>1789</v>
      </c>
      <c r="RR5">
        <v>2022</v>
      </c>
      <c r="RS5" t="s">
        <v>4466</v>
      </c>
      <c r="RT5" s="6">
        <v>45019</v>
      </c>
      <c r="RU5">
        <v>2</v>
      </c>
      <c r="RV5">
        <v>-2.4245362661989844E-14</v>
      </c>
      <c r="RW5">
        <v>13393358</v>
      </c>
      <c r="RX5" t="s">
        <v>4467</v>
      </c>
      <c r="SA5" t="str">
        <f>_xll.BDS("AVTA US Equity","SUPPLY_CHAIN_CUSTOMERS_ALL_DATA")</f>
        <v>#N/A N/A</v>
      </c>
      <c r="SQ5" t="str">
        <f>_xll.BDS("MYR US Equity","SUPPLY_CHAIN_SUPPLIERS_ALL_DATA")</f>
        <v>#N/A N/A</v>
      </c>
      <c r="TE5" t="str">
        <f>_xll.BDS("MYR US Equity","SUPPLY_CHAIN_CUSTOMERS_ALL_DATA")</f>
        <v>#N/A N/A</v>
      </c>
      <c r="TU5" t="str">
        <f>_xll.BDS("1894768D US Equity","SUPPLY_CHAIN_SUPPLIERS_ALL_DATA")</f>
        <v>#N/A N/A</v>
      </c>
      <c r="UI5" t="str">
        <f>_xll.BDS("1894768D US Equity","SUPPLY_CHAIN_CUSTOMERS_ALL_DATA","cols=12;rows=1")</f>
        <v>AWTC MK Equity</v>
      </c>
      <c r="UJ5">
        <v>-2.4245362661989844E-14</v>
      </c>
      <c r="UL5">
        <v>-2.4245362661989844E-14</v>
      </c>
      <c r="UM5" t="s">
        <v>1789</v>
      </c>
      <c r="UN5">
        <v>2023</v>
      </c>
      <c r="UO5" t="s">
        <v>4151</v>
      </c>
      <c r="UP5" s="6">
        <v>45224</v>
      </c>
      <c r="UQ5">
        <v>1</v>
      </c>
      <c r="UR5">
        <v>-2.4245362661989844E-14</v>
      </c>
      <c r="US5">
        <v>25746653</v>
      </c>
      <c r="UT5" t="s">
        <v>4152</v>
      </c>
      <c r="UY5" t="str">
        <f>_xll.BDS("MCF US Equity","SUPPLY_CHAIN_SUPPLIERS_ALL_DATA")</f>
        <v>#N/A N/A</v>
      </c>
      <c r="VM5" t="str">
        <f>_xll.BDS("MCF US Equity","SUPPLY_CHAIN_CUSTOMERS_ALL_DATA")</f>
        <v>#N/A N/A</v>
      </c>
    </row>
    <row r="6" spans="1:600" x14ac:dyDescent="0.25">
      <c r="A6" t="s">
        <v>3572</v>
      </c>
      <c r="B6" t="s">
        <v>1777</v>
      </c>
      <c r="C6">
        <v>2.3008839999999999</v>
      </c>
      <c r="D6">
        <v>1.9882420000000001</v>
      </c>
      <c r="E6" t="s">
        <v>1785</v>
      </c>
      <c r="F6">
        <v>2024</v>
      </c>
      <c r="G6" t="s">
        <v>3573</v>
      </c>
      <c r="H6" s="6">
        <v>45694</v>
      </c>
      <c r="I6">
        <v>5</v>
      </c>
      <c r="J6">
        <v>58573604</v>
      </c>
      <c r="K6">
        <v>349266</v>
      </c>
      <c r="L6" t="s">
        <v>3574</v>
      </c>
      <c r="O6" t="s">
        <v>3346</v>
      </c>
      <c r="P6">
        <v>-2.4245362661989844E-14</v>
      </c>
      <c r="R6">
        <v>-2.4245362661989844E-14</v>
      </c>
      <c r="S6" t="s">
        <v>1789</v>
      </c>
      <c r="T6">
        <v>2021</v>
      </c>
      <c r="U6" t="s">
        <v>3347</v>
      </c>
      <c r="V6" s="6">
        <v>44676</v>
      </c>
      <c r="W6">
        <v>5</v>
      </c>
      <c r="X6">
        <v>-2.4245362661989844E-14</v>
      </c>
      <c r="Y6">
        <v>24598477</v>
      </c>
      <c r="Z6" t="s">
        <v>3348</v>
      </c>
      <c r="AE6" t="s">
        <v>3855</v>
      </c>
      <c r="AG6">
        <v>-2.4245362661989844E-14</v>
      </c>
      <c r="AH6">
        <v>-2.4245362661989844E-14</v>
      </c>
      <c r="AI6" t="s">
        <v>1785</v>
      </c>
      <c r="AJ6">
        <v>2024</v>
      </c>
      <c r="AK6" t="s">
        <v>3856</v>
      </c>
      <c r="AL6" s="6">
        <v>45703</v>
      </c>
      <c r="AM6">
        <v>3</v>
      </c>
      <c r="AN6">
        <v>-2.4245362661989844E-14</v>
      </c>
      <c r="AO6">
        <v>71740192</v>
      </c>
      <c r="AP6" t="s">
        <v>3857</v>
      </c>
      <c r="AS6" t="s">
        <v>3291</v>
      </c>
      <c r="AT6">
        <v>-2.4245362661989844E-14</v>
      </c>
      <c r="AV6">
        <v>-2.4245362661989844E-14</v>
      </c>
      <c r="AW6" t="s">
        <v>1789</v>
      </c>
      <c r="AX6">
        <v>2021</v>
      </c>
      <c r="AY6" t="s">
        <v>3292</v>
      </c>
      <c r="AZ6" s="6">
        <v>44636</v>
      </c>
      <c r="BA6">
        <v>2</v>
      </c>
      <c r="BB6">
        <v>-2.4245362661989844E-14</v>
      </c>
      <c r="BC6">
        <v>1179753</v>
      </c>
      <c r="BD6" t="s">
        <v>3293</v>
      </c>
      <c r="LS6" t="s">
        <v>4050</v>
      </c>
      <c r="LT6" t="s">
        <v>1808</v>
      </c>
      <c r="LU6">
        <v>1.3923300000000001</v>
      </c>
      <c r="LV6">
        <v>0.75693999999999995</v>
      </c>
      <c r="LW6" t="s">
        <v>1789</v>
      </c>
      <c r="LX6">
        <v>2025</v>
      </c>
      <c r="LY6" t="s">
        <v>4051</v>
      </c>
      <c r="LZ6" s="6">
        <v>46064</v>
      </c>
      <c r="MA6">
        <v>5</v>
      </c>
      <c r="MB6">
        <v>3873000</v>
      </c>
      <c r="MC6">
        <v>202222</v>
      </c>
      <c r="MD6" t="s">
        <v>4052</v>
      </c>
      <c r="MG6" t="s">
        <v>2915</v>
      </c>
      <c r="MH6">
        <v>0.13498599999999999</v>
      </c>
      <c r="MI6" t="s">
        <v>1777</v>
      </c>
      <c r="MJ6">
        <v>1.9434E-2</v>
      </c>
      <c r="MK6" t="s">
        <v>1768</v>
      </c>
      <c r="ML6">
        <v>2025</v>
      </c>
      <c r="MM6" t="s">
        <v>2916</v>
      </c>
      <c r="MN6" s="6">
        <v>45876</v>
      </c>
      <c r="MO6">
        <v>5</v>
      </c>
      <c r="MP6">
        <v>2165531</v>
      </c>
      <c r="MQ6">
        <v>100285</v>
      </c>
      <c r="MR6" t="s">
        <v>2917</v>
      </c>
      <c r="OA6" t="s">
        <v>3504</v>
      </c>
      <c r="OC6">
        <v>-2.4245362661989844E-14</v>
      </c>
      <c r="OD6">
        <v>-2.4245362661989844E-14</v>
      </c>
      <c r="OE6" t="s">
        <v>1789</v>
      </c>
      <c r="OF6">
        <v>2023</v>
      </c>
      <c r="OG6" t="s">
        <v>3505</v>
      </c>
      <c r="OH6" s="6">
        <v>45369</v>
      </c>
      <c r="OI6">
        <v>5</v>
      </c>
      <c r="OJ6">
        <v>-2.4245362661989844E-14</v>
      </c>
      <c r="OK6">
        <v>47667620</v>
      </c>
      <c r="OL6" t="s">
        <v>3506</v>
      </c>
      <c r="RM6" t="s">
        <v>4468</v>
      </c>
      <c r="RO6">
        <v>-2.4245362661989844E-14</v>
      </c>
      <c r="RP6">
        <v>-2.4245362661989844E-14</v>
      </c>
      <c r="RQ6" t="s">
        <v>1789</v>
      </c>
      <c r="RR6">
        <v>2022</v>
      </c>
      <c r="RS6" t="s">
        <v>4469</v>
      </c>
      <c r="RT6" s="6">
        <v>44868</v>
      </c>
      <c r="RU6">
        <v>2</v>
      </c>
      <c r="RV6">
        <v>-2.4245362661989844E-14</v>
      </c>
      <c r="RW6">
        <v>154432</v>
      </c>
      <c r="RX6" t="s">
        <v>4470</v>
      </c>
    </row>
    <row r="7" spans="1:600" x14ac:dyDescent="0.25">
      <c r="A7" t="s">
        <v>2423</v>
      </c>
      <c r="B7" t="s">
        <v>1777</v>
      </c>
      <c r="C7">
        <v>0.23526900000000001</v>
      </c>
      <c r="D7">
        <v>0.58521900000000004</v>
      </c>
      <c r="E7" t="s">
        <v>1773</v>
      </c>
      <c r="F7">
        <v>2025</v>
      </c>
      <c r="G7" t="s">
        <v>2424</v>
      </c>
      <c r="H7" s="6">
        <v>45867</v>
      </c>
      <c r="I7">
        <v>5</v>
      </c>
      <c r="J7">
        <v>18416856</v>
      </c>
      <c r="K7">
        <v>117092</v>
      </c>
      <c r="L7" t="s">
        <v>2425</v>
      </c>
      <c r="O7" t="s">
        <v>3349</v>
      </c>
      <c r="P7">
        <v>-2.4245362661989844E-14</v>
      </c>
      <c r="R7">
        <v>-2.4245362661989844E-14</v>
      </c>
      <c r="S7" t="s">
        <v>1789</v>
      </c>
      <c r="T7">
        <v>2023</v>
      </c>
      <c r="U7" t="s">
        <v>3350</v>
      </c>
      <c r="V7" s="6">
        <v>45135</v>
      </c>
      <c r="W7">
        <v>5</v>
      </c>
      <c r="X7">
        <v>-2.4245362661989844E-14</v>
      </c>
      <c r="Y7">
        <v>103017</v>
      </c>
      <c r="Z7" t="s">
        <v>3351</v>
      </c>
      <c r="AE7" t="s">
        <v>3858</v>
      </c>
      <c r="AG7">
        <v>-2.4245362661989844E-14</v>
      </c>
      <c r="AH7">
        <v>-2.4245362661989844E-14</v>
      </c>
      <c r="AI7" t="s">
        <v>1789</v>
      </c>
      <c r="AJ7">
        <v>2024</v>
      </c>
      <c r="AK7" t="s">
        <v>3859</v>
      </c>
      <c r="AL7" s="6">
        <v>45455</v>
      </c>
      <c r="AM7">
        <v>3</v>
      </c>
      <c r="AN7">
        <v>-2.4245362661989844E-14</v>
      </c>
      <c r="AO7">
        <v>823666</v>
      </c>
      <c r="AP7" t="s">
        <v>3860</v>
      </c>
      <c r="LS7" t="s">
        <v>2126</v>
      </c>
      <c r="LT7" t="s">
        <v>1777</v>
      </c>
      <c r="LU7">
        <v>3.5019999999999999E-3</v>
      </c>
      <c r="LV7">
        <v>0.37431399999999998</v>
      </c>
      <c r="LW7" t="s">
        <v>1785</v>
      </c>
      <c r="LX7">
        <v>2026</v>
      </c>
      <c r="LY7" t="s">
        <v>2127</v>
      </c>
      <c r="LZ7" s="6">
        <v>46087</v>
      </c>
      <c r="MA7">
        <v>5</v>
      </c>
      <c r="MB7">
        <v>2385808</v>
      </c>
      <c r="MC7">
        <v>313657</v>
      </c>
      <c r="MD7" t="s">
        <v>2128</v>
      </c>
      <c r="MG7" t="s">
        <v>165</v>
      </c>
      <c r="MH7">
        <v>0.11786099999999999</v>
      </c>
      <c r="MI7" t="s">
        <v>1777</v>
      </c>
      <c r="MJ7">
        <v>2.8398E-2</v>
      </c>
      <c r="MK7" t="s">
        <v>1781</v>
      </c>
      <c r="ML7">
        <v>2025</v>
      </c>
      <c r="MM7" t="s">
        <v>1870</v>
      </c>
      <c r="MN7" s="6">
        <v>45784</v>
      </c>
      <c r="MO7">
        <v>5</v>
      </c>
      <c r="MP7">
        <v>1715246</v>
      </c>
      <c r="MQ7">
        <v>100115</v>
      </c>
      <c r="MR7" t="s">
        <v>1871</v>
      </c>
      <c r="OA7" t="s">
        <v>3507</v>
      </c>
      <c r="OC7">
        <v>-2.4245362661989844E-14</v>
      </c>
      <c r="OD7">
        <v>-2.4245362661989844E-14</v>
      </c>
      <c r="OE7" t="s">
        <v>1894</v>
      </c>
      <c r="OF7">
        <v>2025</v>
      </c>
      <c r="OG7" t="s">
        <v>3508</v>
      </c>
      <c r="OH7" s="6">
        <v>45975</v>
      </c>
      <c r="OI7">
        <v>5</v>
      </c>
      <c r="OJ7">
        <v>-2.4245362661989844E-14</v>
      </c>
      <c r="OK7">
        <v>62710836</v>
      </c>
      <c r="OL7" t="s">
        <v>3509</v>
      </c>
    </row>
    <row r="8" spans="1:600" x14ac:dyDescent="0.25">
      <c r="A8" t="s">
        <v>3575</v>
      </c>
      <c r="B8" t="s">
        <v>1777</v>
      </c>
      <c r="C8">
        <v>1.69564</v>
      </c>
      <c r="D8">
        <v>0.41697800000000002</v>
      </c>
      <c r="E8" t="s">
        <v>1773</v>
      </c>
      <c r="F8">
        <v>2025</v>
      </c>
      <c r="G8" t="s">
        <v>3576</v>
      </c>
      <c r="H8" s="6">
        <v>46001</v>
      </c>
      <c r="I8">
        <v>5</v>
      </c>
      <c r="J8">
        <v>12763693</v>
      </c>
      <c r="K8">
        <v>1182195</v>
      </c>
      <c r="L8" t="s">
        <v>3577</v>
      </c>
      <c r="O8" t="s">
        <v>3352</v>
      </c>
      <c r="P8">
        <v>-2.4245362661989844E-14</v>
      </c>
      <c r="R8">
        <v>-2.4245362661989844E-14</v>
      </c>
      <c r="S8" t="s">
        <v>1789</v>
      </c>
      <c r="T8">
        <v>2022</v>
      </c>
      <c r="U8" t="s">
        <v>3353</v>
      </c>
      <c r="V8" s="6">
        <v>44887</v>
      </c>
      <c r="W8">
        <v>5</v>
      </c>
      <c r="X8">
        <v>-2.4245362661989844E-14</v>
      </c>
      <c r="Y8">
        <v>104917</v>
      </c>
      <c r="Z8" t="s">
        <v>3354</v>
      </c>
      <c r="LS8" t="s">
        <v>1905</v>
      </c>
      <c r="LT8" t="s">
        <v>1777</v>
      </c>
      <c r="LU8">
        <v>1.08E-3</v>
      </c>
      <c r="LV8">
        <v>0.237701</v>
      </c>
      <c r="LW8" t="s">
        <v>1773</v>
      </c>
      <c r="LX8">
        <v>2025</v>
      </c>
      <c r="LY8" t="s">
        <v>2357</v>
      </c>
      <c r="LZ8" s="6">
        <v>45843</v>
      </c>
      <c r="MA8">
        <v>5</v>
      </c>
      <c r="MB8">
        <v>756713</v>
      </c>
      <c r="MC8">
        <v>101743</v>
      </c>
      <c r="MD8" t="s">
        <v>1908</v>
      </c>
      <c r="MG8" t="s">
        <v>2918</v>
      </c>
      <c r="MH8">
        <v>4.9280999999999998E-2</v>
      </c>
      <c r="MI8" t="s">
        <v>1777</v>
      </c>
      <c r="MJ8">
        <v>0.59355500000000005</v>
      </c>
      <c r="MK8" t="s">
        <v>1781</v>
      </c>
      <c r="ML8">
        <v>2025</v>
      </c>
      <c r="MM8" t="s">
        <v>2919</v>
      </c>
      <c r="MN8" s="6">
        <v>45820</v>
      </c>
      <c r="MO8">
        <v>5</v>
      </c>
      <c r="MP8">
        <v>788021.54</v>
      </c>
      <c r="MQ8">
        <v>117587</v>
      </c>
      <c r="MR8" t="s">
        <v>2920</v>
      </c>
      <c r="OA8" t="s">
        <v>3510</v>
      </c>
      <c r="OC8">
        <v>-2.4245362661989844E-14</v>
      </c>
      <c r="OD8">
        <v>-2.4245362661989844E-14</v>
      </c>
      <c r="OE8" t="s">
        <v>1789</v>
      </c>
      <c r="OF8">
        <v>2024</v>
      </c>
      <c r="OG8" t="s">
        <v>3511</v>
      </c>
      <c r="OH8" s="6">
        <v>45719</v>
      </c>
      <c r="OI8">
        <v>5</v>
      </c>
      <c r="OJ8">
        <v>-2.4245362661989844E-14</v>
      </c>
      <c r="OK8">
        <v>71713725</v>
      </c>
      <c r="OL8" t="s">
        <v>3512</v>
      </c>
    </row>
    <row r="9" spans="1:600" x14ac:dyDescent="0.25">
      <c r="A9" t="s">
        <v>3578</v>
      </c>
      <c r="B9" t="s">
        <v>1777</v>
      </c>
      <c r="C9">
        <v>1.749268</v>
      </c>
      <c r="D9">
        <v>0.29281299999999999</v>
      </c>
      <c r="E9" t="s">
        <v>1768</v>
      </c>
      <c r="F9">
        <v>2025</v>
      </c>
      <c r="G9" t="s">
        <v>3579</v>
      </c>
      <c r="H9" s="6">
        <v>45867</v>
      </c>
      <c r="I9">
        <v>5</v>
      </c>
      <c r="J9">
        <v>9701879.8399999999</v>
      </c>
      <c r="K9">
        <v>157487</v>
      </c>
      <c r="L9" t="s">
        <v>3580</v>
      </c>
      <c r="O9" t="s">
        <v>2192</v>
      </c>
      <c r="P9">
        <v>-2.4245362661989844E-14</v>
      </c>
      <c r="R9">
        <v>-2.4245362661989844E-14</v>
      </c>
      <c r="S9" t="s">
        <v>1789</v>
      </c>
      <c r="T9">
        <v>2025</v>
      </c>
      <c r="U9" t="s">
        <v>2193</v>
      </c>
      <c r="V9" s="6">
        <v>45834</v>
      </c>
      <c r="W9">
        <v>5</v>
      </c>
      <c r="X9">
        <v>-2.4245362661989844E-14</v>
      </c>
      <c r="Y9">
        <v>11745327</v>
      </c>
      <c r="Z9" t="s">
        <v>2194</v>
      </c>
      <c r="LS9" t="s">
        <v>4053</v>
      </c>
      <c r="LT9" t="s">
        <v>1777</v>
      </c>
      <c r="LU9">
        <v>6.5779999999999996E-3</v>
      </c>
      <c r="LV9">
        <v>4.0340000000000003E-3</v>
      </c>
      <c r="LW9" t="s">
        <v>1785</v>
      </c>
      <c r="LX9">
        <v>2024</v>
      </c>
      <c r="LY9" t="s">
        <v>4054</v>
      </c>
      <c r="LZ9" s="6">
        <v>45750</v>
      </c>
      <c r="MA9">
        <v>5</v>
      </c>
      <c r="MB9">
        <v>10984.26</v>
      </c>
      <c r="MC9">
        <v>27395152</v>
      </c>
      <c r="MD9" t="s">
        <v>4055</v>
      </c>
      <c r="MG9" t="s">
        <v>1120</v>
      </c>
      <c r="MH9">
        <v>1.7725000000000001E-2</v>
      </c>
      <c r="MI9" t="s">
        <v>1906</v>
      </c>
      <c r="MJ9">
        <v>4.1203999999999998E-2</v>
      </c>
      <c r="MK9" t="s">
        <v>1773</v>
      </c>
      <c r="ML9">
        <v>2025</v>
      </c>
      <c r="MM9" t="s">
        <v>2526</v>
      </c>
      <c r="MN9" s="6">
        <v>46007</v>
      </c>
      <c r="MO9">
        <v>5</v>
      </c>
      <c r="MP9">
        <v>399679</v>
      </c>
      <c r="MQ9">
        <v>143027</v>
      </c>
      <c r="MR9" t="s">
        <v>2921</v>
      </c>
      <c r="OA9" t="s">
        <v>3513</v>
      </c>
      <c r="OC9">
        <v>-2.4245362661989844E-14</v>
      </c>
      <c r="OD9">
        <v>-2.4245362661989844E-14</v>
      </c>
      <c r="OE9" t="s">
        <v>1789</v>
      </c>
      <c r="OF9">
        <v>2023</v>
      </c>
      <c r="OG9" t="s">
        <v>3514</v>
      </c>
      <c r="OH9" s="6">
        <v>45414</v>
      </c>
      <c r="OI9">
        <v>5</v>
      </c>
      <c r="OJ9">
        <v>-2.4245362661989844E-14</v>
      </c>
      <c r="OK9">
        <v>41220988</v>
      </c>
      <c r="OL9" t="s">
        <v>3515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653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654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655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656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657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658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659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660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661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662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663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664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665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666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667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668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669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670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671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237</v>
      </c>
      <c r="AE2" s="3" t="s">
        <v>158</v>
      </c>
      <c r="BI2" s="3" t="s">
        <v>30</v>
      </c>
      <c r="CM2" s="3" t="s">
        <v>672</v>
      </c>
      <c r="DQ2" s="3" t="s">
        <v>470</v>
      </c>
      <c r="EU2" s="3" t="s">
        <v>673</v>
      </c>
      <c r="FY2" s="3" t="s">
        <v>674</v>
      </c>
      <c r="HC2" s="3" t="s">
        <v>675</v>
      </c>
      <c r="IG2" s="3" t="s">
        <v>676</v>
      </c>
      <c r="JK2" s="3" t="s">
        <v>677</v>
      </c>
      <c r="KO2" s="3" t="s">
        <v>678</v>
      </c>
      <c r="LS2" s="3" t="s">
        <v>679</v>
      </c>
      <c r="MW2" s="3" t="s">
        <v>680</v>
      </c>
      <c r="OA2" s="3" t="s">
        <v>681</v>
      </c>
      <c r="PE2" s="3" t="s">
        <v>682</v>
      </c>
      <c r="QI2" s="3" t="s">
        <v>683</v>
      </c>
      <c r="RM2" s="3" t="s">
        <v>684</v>
      </c>
      <c r="SQ2" s="3" t="s">
        <v>685</v>
      </c>
      <c r="TU2" s="3" t="s">
        <v>686</v>
      </c>
      <c r="UY2" s="3" t="s">
        <v>88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_xll.BDS("INDB US Equity","SUPPLY_CHAIN_SUPPLIERS_ALL_DATA")</f>
        <v>#N/A N/A</v>
      </c>
      <c r="O5" t="str">
        <f>_xll.BDS("INDB US Equity","SUPPLY_CHAIN_CUSTOMERS_ALL_DATA")</f>
        <v>#N/A N/A</v>
      </c>
      <c r="AE5" t="str">
        <f>_xll.BDS("VLY US Equity","SUPPLY_CHAIN_SUPPLIERS_ALL_DATA","cols=12;rows=2")</f>
        <v>VNO US Equity</v>
      </c>
      <c r="AG5">
        <v>-2.4245362661989844E-14</v>
      </c>
      <c r="AH5">
        <v>-2.4245362661989844E-14</v>
      </c>
      <c r="AI5" t="s">
        <v>1789</v>
      </c>
      <c r="AJ5">
        <v>2022</v>
      </c>
      <c r="AK5" t="s">
        <v>3003</v>
      </c>
      <c r="AL5" s="6">
        <v>44970</v>
      </c>
      <c r="AM5">
        <v>2</v>
      </c>
      <c r="AN5">
        <v>-2.4245362661989844E-14</v>
      </c>
      <c r="AO5">
        <v>101608</v>
      </c>
      <c r="AP5" t="s">
        <v>3004</v>
      </c>
      <c r="AS5" t="str">
        <f>_xll.BDS("VLY US Equity","SUPPLY_CHAIN_CUSTOMERS_ALL_DATA")</f>
        <v>#N/A N/A</v>
      </c>
      <c r="BI5" t="str">
        <f>_xll.BDS("OCFC US Equity","SUPPLY_CHAIN_SUPPLIERS_ALL_DATA")</f>
        <v>#N/A N/A</v>
      </c>
      <c r="BW5" t="str">
        <f>_xll.BDS("OCFC US Equity","SUPPLY_CHAIN_CUSTOMERS_ALL_DATA")</f>
        <v>#N/A N/A</v>
      </c>
      <c r="CM5" t="str">
        <f>_xll.BDS("ACIW US Equity","SUPPLY_CHAIN_SUPPLIERS_ALL_DATA","cols=12;rows=5")</f>
        <v>HPE US Equity</v>
      </c>
      <c r="CN5" t="s">
        <v>1777</v>
      </c>
      <c r="CO5">
        <v>2.9218000000000001E-2</v>
      </c>
      <c r="CP5">
        <v>1.04437</v>
      </c>
      <c r="CQ5" t="s">
        <v>1768</v>
      </c>
      <c r="CR5">
        <v>2025</v>
      </c>
      <c r="CS5" t="s">
        <v>2091</v>
      </c>
      <c r="CT5" s="6">
        <v>45846</v>
      </c>
      <c r="CU5">
        <v>5</v>
      </c>
      <c r="CV5">
        <v>2228457</v>
      </c>
      <c r="CW5">
        <v>42602315</v>
      </c>
      <c r="CX5" t="s">
        <v>2092</v>
      </c>
      <c r="DA5" t="str">
        <f>_xll.BDS("ACIW US Equity","SUPPLY_CHAIN_CUSTOMERS_ALL_DATA","cols=12;rows=5")</f>
        <v>0267572D SM Equity</v>
      </c>
      <c r="DB5">
        <v>-2.4245362661989844E-14</v>
      </c>
      <c r="DD5">
        <v>-2.4245362661989844E-14</v>
      </c>
      <c r="DE5" t="s">
        <v>1773</v>
      </c>
      <c r="DF5">
        <v>2024</v>
      </c>
      <c r="DG5" t="s">
        <v>1999</v>
      </c>
      <c r="DH5" s="6">
        <v>45608</v>
      </c>
      <c r="DI5">
        <v>5</v>
      </c>
      <c r="DJ5">
        <v>-2.4245362661989844E-14</v>
      </c>
      <c r="DK5">
        <v>17557381</v>
      </c>
      <c r="DL5" t="s">
        <v>3832</v>
      </c>
      <c r="DQ5" t="str">
        <f>_xll.BDS("TSFG US Equity","SUPPLY_CHAIN_SUPPLIERS_ALL_DATA")</f>
        <v>#N/A N/A</v>
      </c>
      <c r="EE5" t="str">
        <f>_xll.BDS("TSFG US Equity","SUPPLY_CHAIN_CUSTOMERS_ALL_DATA")</f>
        <v>#N/A N/A</v>
      </c>
      <c r="EU5" t="str">
        <f>_xll.BDS("LCRY US Equity","SUPPLY_CHAIN_SUPPLIERS_ALL_DATA")</f>
        <v>#N/A N/A</v>
      </c>
      <c r="FI5" t="str">
        <f>_xll.BDS("LCRY US Equity","SUPPLY_CHAIN_CUSTOMERS_ALL_DATA")</f>
        <v>#N/A N/A</v>
      </c>
      <c r="FY5" t="str">
        <f>_xll.BDS("2447428D US Equity","SUPPLY_CHAIN_SUPPLIERS_ALL_DATA","cols=12;rows=2")</f>
        <v>551 HK Equity</v>
      </c>
      <c r="GA5">
        <v>-2.4245362661989844E-14</v>
      </c>
      <c r="GB5">
        <v>-2.4245362661989844E-14</v>
      </c>
      <c r="GC5" t="s">
        <v>1773</v>
      </c>
      <c r="GD5">
        <v>2025</v>
      </c>
      <c r="GE5" t="s">
        <v>4851</v>
      </c>
      <c r="GF5" s="6">
        <v>45973</v>
      </c>
      <c r="GG5">
        <v>2</v>
      </c>
      <c r="GH5">
        <v>-2.4245362661989844E-14</v>
      </c>
      <c r="GI5">
        <v>116620</v>
      </c>
      <c r="GJ5" t="s">
        <v>4852</v>
      </c>
      <c r="GM5" t="str">
        <f>_xll.BDS("2447428D US Equity","SUPPLY_CHAIN_CUSTOMERS_ALL_DATA","cols=12;rows=5")</f>
        <v>ARVINDFA IN Equity</v>
      </c>
      <c r="GN5">
        <v>-2.4245362661989844E-14</v>
      </c>
      <c r="GP5">
        <v>-2.4245362661989844E-14</v>
      </c>
      <c r="GQ5" t="s">
        <v>1768</v>
      </c>
      <c r="GR5">
        <v>2024</v>
      </c>
      <c r="GS5" t="s">
        <v>4779</v>
      </c>
      <c r="GT5" s="6">
        <v>45237</v>
      </c>
      <c r="GU5">
        <v>5</v>
      </c>
      <c r="GV5">
        <v>-2.4245362661989844E-14</v>
      </c>
      <c r="GW5">
        <v>51465059</v>
      </c>
      <c r="GX5" t="s">
        <v>4780</v>
      </c>
      <c r="HC5" t="str">
        <f>_xll.BDS("OPCH US Equity","SUPPLY_CHAIN_SUPPLIERS_ALL_DATA","cols=12;rows=2")</f>
        <v>PLTR US Equity</v>
      </c>
      <c r="HD5" t="s">
        <v>1777</v>
      </c>
      <c r="HE5">
        <v>1.4859000000000001E-2</v>
      </c>
      <c r="HF5">
        <v>1.5102000000000001E-2</v>
      </c>
      <c r="HG5" t="s">
        <v>1773</v>
      </c>
      <c r="HH5">
        <v>2025</v>
      </c>
      <c r="HI5" t="s">
        <v>2670</v>
      </c>
      <c r="HJ5" s="6">
        <v>46042</v>
      </c>
      <c r="HK5">
        <v>2</v>
      </c>
      <c r="HL5">
        <v>175498</v>
      </c>
      <c r="HM5">
        <v>16555266</v>
      </c>
      <c r="HN5" t="s">
        <v>2671</v>
      </c>
      <c r="HQ5" t="str">
        <f>_xll.BDS("OPCH US Equity","SUPPLY_CHAIN_CUSTOMERS_ALL_DATA","cols=12;rows=1")</f>
        <v>9877893Z US Equity</v>
      </c>
      <c r="HR5">
        <v>-2.4245362661989844E-14</v>
      </c>
      <c r="HT5">
        <v>-2.4245362661989844E-14</v>
      </c>
      <c r="HU5" t="s">
        <v>1789</v>
      </c>
      <c r="HV5">
        <v>2024</v>
      </c>
      <c r="HW5" t="s">
        <v>2935</v>
      </c>
      <c r="HX5" s="6">
        <v>45714</v>
      </c>
      <c r="HY5">
        <v>1</v>
      </c>
      <c r="HZ5">
        <v>-2.4245362661989844E-14</v>
      </c>
      <c r="IA5">
        <v>17483390</v>
      </c>
      <c r="IB5" t="s">
        <v>1796</v>
      </c>
      <c r="IG5" t="str">
        <f>_xll.BDS("ANT US Equity","SUPPLY_CHAIN_SUPPLIERS_ALL_DATA")</f>
        <v>#N/A N/A</v>
      </c>
      <c r="IU5" t="str">
        <f>_xll.BDS("ANT US Equity","SUPPLY_CHAIN_CUSTOMERS_ALL_DATA")</f>
        <v>#N/A N/A</v>
      </c>
      <c r="JK5" t="str">
        <f>_xll.BDS("SLFI US Equity","SUPPLY_CHAIN_SUPPLIERS_ALL_DATA")</f>
        <v>#N/A N/A</v>
      </c>
      <c r="JY5" t="str">
        <f>_xll.BDS("SLFI US Equity","SUPPLY_CHAIN_CUSTOMERS_ALL_DATA")</f>
        <v>#N/A N/A</v>
      </c>
      <c r="KO5" t="str">
        <f>_xll.BDS("IGL US Equity","SUPPLY_CHAIN_SUPPLIERS_ALL_DATA")</f>
        <v>#N/A N/A</v>
      </c>
      <c r="LC5" t="str">
        <f>_xll.BDS("IGL US Equity","SUPPLY_CHAIN_CUSTOMERS_ALL_DATA")</f>
        <v>#N/A N/A</v>
      </c>
      <c r="LS5" t="str">
        <f>_xll.BDS("IBM US Equity","SUPPLY_CHAIN_SUPPLIERS_ALL_DATA","cols=12;rows=5")</f>
        <v>005930 KS Equity</v>
      </c>
      <c r="LT5" t="s">
        <v>1777</v>
      </c>
      <c r="LU5">
        <v>0.49490499999999998</v>
      </c>
      <c r="LV5">
        <v>4.1423690000000004</v>
      </c>
      <c r="LW5" t="s">
        <v>1781</v>
      </c>
      <c r="LX5">
        <v>2025</v>
      </c>
      <c r="LY5" t="s">
        <v>2093</v>
      </c>
      <c r="LZ5" s="6">
        <v>45797</v>
      </c>
      <c r="MA5">
        <v>5</v>
      </c>
      <c r="MB5">
        <v>269668224</v>
      </c>
      <c r="MC5">
        <v>117929</v>
      </c>
      <c r="MD5" t="s">
        <v>1910</v>
      </c>
      <c r="MG5" t="str">
        <f>_xll.BDS("IBM US Equity","SUPPLY_CHAIN_CUSTOMERS_ALL_DATA","cols=12;rows=5")</f>
        <v>AMZN US Equity</v>
      </c>
      <c r="MH5">
        <v>4.454224</v>
      </c>
      <c r="MI5" t="s">
        <v>1777</v>
      </c>
      <c r="MJ5">
        <v>0.84141600000000005</v>
      </c>
      <c r="MK5" t="s">
        <v>1781</v>
      </c>
      <c r="ML5">
        <v>2025</v>
      </c>
      <c r="MM5" t="s">
        <v>2093</v>
      </c>
      <c r="MN5" s="6">
        <v>45797</v>
      </c>
      <c r="MO5">
        <v>5</v>
      </c>
      <c r="MP5">
        <v>647688704</v>
      </c>
      <c r="MQ5">
        <v>216952</v>
      </c>
      <c r="MR5" t="s">
        <v>1815</v>
      </c>
      <c r="MW5" t="str">
        <f>_xll.BDS("539355Q US Equity","SUPPLY_CHAIN_SUPPLIERS_ALL_DATA")</f>
        <v>#N/A N/A</v>
      </c>
      <c r="NK5" t="str">
        <f>_xll.BDS("539355Q US Equity","SUPPLY_CHAIN_CUSTOMERS_ALL_DATA")</f>
        <v>#N/A N/A</v>
      </c>
      <c r="OA5" t="str">
        <f>_xll.BDS("UBSI US Equity","SUPPLY_CHAIN_SUPPLIERS_ALL_DATA","cols=12;rows=1")</f>
        <v>FICO US Equity</v>
      </c>
      <c r="OC5">
        <v>-2.4245362661989844E-14</v>
      </c>
      <c r="OD5">
        <v>-2.4245362661989844E-14</v>
      </c>
      <c r="OE5" t="s">
        <v>1789</v>
      </c>
      <c r="OF5">
        <v>2024</v>
      </c>
      <c r="OG5" t="s">
        <v>1933</v>
      </c>
      <c r="OH5" s="6">
        <v>45348</v>
      </c>
      <c r="OI5">
        <v>1</v>
      </c>
      <c r="OJ5">
        <v>-2.4245362661989844E-14</v>
      </c>
      <c r="OK5">
        <v>103869</v>
      </c>
      <c r="OL5" t="s">
        <v>1934</v>
      </c>
      <c r="OO5" t="str">
        <f>_xll.BDS("UBSI US Equity","SUPPLY_CHAIN_CUSTOMERS_ALL_DATA")</f>
        <v>#N/A N/A</v>
      </c>
      <c r="PE5" t="str">
        <f>_xll.BDS("HOV US Equity","SUPPLY_CHAIN_SUPPLIERS_ALL_DATA","cols=12;rows=5")</f>
        <v>WMS US Equity</v>
      </c>
      <c r="PF5" t="s">
        <v>1777</v>
      </c>
      <c r="PG5">
        <v>0.11835900000000001</v>
      </c>
      <c r="PH5">
        <v>0.17439499999999999</v>
      </c>
      <c r="PI5" t="s">
        <v>1781</v>
      </c>
      <c r="PJ5">
        <v>2026</v>
      </c>
      <c r="PK5" t="s">
        <v>4173</v>
      </c>
      <c r="PL5" s="6">
        <v>45891</v>
      </c>
      <c r="PM5">
        <v>5</v>
      </c>
      <c r="PN5">
        <v>982238</v>
      </c>
      <c r="PO5">
        <v>7799313</v>
      </c>
      <c r="PP5" t="s">
        <v>4174</v>
      </c>
      <c r="PS5" t="str">
        <f>_xll.BDS("HOV US Equity","SUPPLY_CHAIN_CUSTOMERS_ALL_DATA")</f>
        <v>#N/A N/A</v>
      </c>
      <c r="QI5" t="str">
        <f>_xll.BDS("CADE US Equity","SUPPLY_CHAIN_SUPPLIERS_ALL_DATA","cols=12;rows=3")</f>
        <v>15647Z US Equity</v>
      </c>
      <c r="QK5">
        <v>-2.4245362661989844E-14</v>
      </c>
      <c r="QL5">
        <v>-2.4245362661989844E-14</v>
      </c>
      <c r="QM5" t="s">
        <v>1789</v>
      </c>
      <c r="QN5">
        <v>2025</v>
      </c>
      <c r="QO5" t="s">
        <v>3674</v>
      </c>
      <c r="QP5" s="6">
        <v>45960</v>
      </c>
      <c r="QQ5">
        <v>3</v>
      </c>
      <c r="QR5">
        <v>-2.4245362661989844E-14</v>
      </c>
      <c r="QS5">
        <v>852237</v>
      </c>
      <c r="QT5" t="s">
        <v>3675</v>
      </c>
      <c r="QW5" t="str">
        <f>_xll.BDS("CADE US Equity","SUPPLY_CHAIN_CUSTOMERS_ALL_DATA")</f>
        <v>#N/A N/A</v>
      </c>
      <c r="RM5" t="str">
        <f>_xll.BDS("JAMS US Equity","SUPPLY_CHAIN_SUPPLIERS_ALL_DATA")</f>
        <v>#N/A N/A</v>
      </c>
      <c r="SA5" t="str">
        <f>_xll.BDS("JAMS US Equity","SUPPLY_CHAIN_CUSTOMERS_ALL_DATA")</f>
        <v>#N/A N/A</v>
      </c>
      <c r="SQ5" t="str">
        <f>_xll.BDS("ENMC US Equity","SUPPLY_CHAIN_SUPPLIERS_ALL_DATA")</f>
        <v>#N/A N/A</v>
      </c>
      <c r="TE5" t="str">
        <f>_xll.BDS("ENMC US Equity","SUPPLY_CHAIN_CUSTOMERS_ALL_DATA")</f>
        <v>#N/A N/A</v>
      </c>
      <c r="TU5" t="str">
        <f>_xll.BDS("PEGA US Equity","SUPPLY_CHAIN_SUPPLIERS_ALL_DATA","cols=12;rows=5")</f>
        <v>HCLT IN Equity</v>
      </c>
      <c r="TV5" t="s">
        <v>1808</v>
      </c>
      <c r="TW5">
        <v>0.82825099999999996</v>
      </c>
      <c r="TX5">
        <v>16.561657</v>
      </c>
      <c r="TY5" t="s">
        <v>1768</v>
      </c>
      <c r="TZ5">
        <v>2026</v>
      </c>
      <c r="UA5" t="s">
        <v>2627</v>
      </c>
      <c r="UB5" s="6">
        <v>45986</v>
      </c>
      <c r="UC5">
        <v>5</v>
      </c>
      <c r="UD5">
        <v>30193700.199999999</v>
      </c>
      <c r="UE5">
        <v>995671</v>
      </c>
      <c r="UF5" t="s">
        <v>2628</v>
      </c>
      <c r="UI5" t="str">
        <f>_xll.BDS("PEGA US Equity","SUPPLY_CHAIN_CUSTOMERS_ALL_DATA","cols=12;rows=5")</f>
        <v>ACN US Equity</v>
      </c>
      <c r="UJ5">
        <v>1.7727679999999999</v>
      </c>
      <c r="UK5" t="s">
        <v>1777</v>
      </c>
      <c r="UL5">
        <v>7.7118999999999993E-2</v>
      </c>
      <c r="UM5" t="s">
        <v>1781</v>
      </c>
      <c r="UN5">
        <v>2025</v>
      </c>
      <c r="UO5" t="s">
        <v>2330</v>
      </c>
      <c r="UP5" s="6">
        <v>45855</v>
      </c>
      <c r="UQ5">
        <v>5</v>
      </c>
      <c r="UR5">
        <v>8431870</v>
      </c>
      <c r="US5">
        <v>300787</v>
      </c>
      <c r="UT5" t="s">
        <v>2331</v>
      </c>
      <c r="UY5" t="str">
        <f>_xll.BDS("CBU US Equity","SUPPLY_CHAIN_SUPPLIERS_ALL_DATA")</f>
        <v>#N/A N/A</v>
      </c>
      <c r="VM5" t="str">
        <f>_xll.BDS("CBU US Equity","SUPPLY_CHAIN_CUSTOMERS_ALL_DATA")</f>
        <v>#N/A N/A</v>
      </c>
    </row>
    <row r="6" spans="1:600" x14ac:dyDescent="0.25">
      <c r="AE6" t="s">
        <v>1121</v>
      </c>
      <c r="AG6">
        <v>-2.4245362661989844E-14</v>
      </c>
      <c r="AH6">
        <v>-2.4245362661989844E-14</v>
      </c>
      <c r="AI6" t="s">
        <v>1768</v>
      </c>
      <c r="AJ6">
        <v>2023</v>
      </c>
      <c r="AK6" t="s">
        <v>1969</v>
      </c>
      <c r="AL6" s="6">
        <v>45174</v>
      </c>
      <c r="AM6">
        <v>2</v>
      </c>
      <c r="AN6">
        <v>-2.4245362661989844E-14</v>
      </c>
      <c r="AO6">
        <v>202476</v>
      </c>
      <c r="AP6" t="s">
        <v>1970</v>
      </c>
      <c r="CM6" t="s">
        <v>679</v>
      </c>
      <c r="CN6" t="s">
        <v>1777</v>
      </c>
      <c r="CO6">
        <v>7.4830000000000001E-3</v>
      </c>
      <c r="CP6">
        <v>0.50994200000000001</v>
      </c>
      <c r="CQ6" t="s">
        <v>1781</v>
      </c>
      <c r="CR6">
        <v>2025</v>
      </c>
      <c r="CS6" t="s">
        <v>2093</v>
      </c>
      <c r="CT6" s="6">
        <v>45797</v>
      </c>
      <c r="CU6">
        <v>5</v>
      </c>
      <c r="CV6">
        <v>1088103</v>
      </c>
      <c r="CW6">
        <v>100801</v>
      </c>
      <c r="CX6" t="s">
        <v>1800</v>
      </c>
      <c r="DA6" t="s">
        <v>3833</v>
      </c>
      <c r="DB6">
        <v>-2.4245362661989844E-14</v>
      </c>
      <c r="DD6">
        <v>-2.4245362661989844E-14</v>
      </c>
      <c r="DE6" t="s">
        <v>1773</v>
      </c>
      <c r="DF6">
        <v>2024</v>
      </c>
      <c r="DG6" t="s">
        <v>1999</v>
      </c>
      <c r="DH6" s="6">
        <v>45608</v>
      </c>
      <c r="DI6">
        <v>5</v>
      </c>
      <c r="DJ6">
        <v>-2.4245362661989844E-14</v>
      </c>
      <c r="DK6">
        <v>24781790</v>
      </c>
      <c r="DL6" t="s">
        <v>3834</v>
      </c>
      <c r="FY6" t="s">
        <v>4787</v>
      </c>
      <c r="GA6">
        <v>-2.4245362661989844E-14</v>
      </c>
      <c r="GB6">
        <v>-2.4245362661989844E-14</v>
      </c>
      <c r="GC6" t="s">
        <v>1768</v>
      </c>
      <c r="GD6">
        <v>2025</v>
      </c>
      <c r="GE6" t="s">
        <v>4853</v>
      </c>
      <c r="GF6" s="6">
        <v>45972</v>
      </c>
      <c r="GG6">
        <v>2</v>
      </c>
      <c r="GH6">
        <v>-2.4245362661989844E-14</v>
      </c>
      <c r="GI6">
        <v>181414</v>
      </c>
      <c r="GJ6" t="s">
        <v>4789</v>
      </c>
      <c r="GM6" t="s">
        <v>4781</v>
      </c>
      <c r="GN6">
        <v>-2.4245362661989844E-14</v>
      </c>
      <c r="GP6">
        <v>-2.4245362661989844E-14</v>
      </c>
      <c r="GQ6" t="s">
        <v>1789</v>
      </c>
      <c r="GR6">
        <v>2025</v>
      </c>
      <c r="GS6" t="s">
        <v>4782</v>
      </c>
      <c r="GT6" s="6">
        <v>45742</v>
      </c>
      <c r="GU6">
        <v>5</v>
      </c>
      <c r="GV6">
        <v>-2.4245362661989844E-14</v>
      </c>
      <c r="GW6">
        <v>100646</v>
      </c>
      <c r="GX6" t="s">
        <v>4783</v>
      </c>
      <c r="HC6" t="s">
        <v>4613</v>
      </c>
      <c r="HE6">
        <v>-2.4245362661989844E-14</v>
      </c>
      <c r="HF6">
        <v>-2.4245362661989844E-14</v>
      </c>
      <c r="HG6" t="s">
        <v>1789</v>
      </c>
      <c r="HH6">
        <v>2022</v>
      </c>
      <c r="HI6" t="s">
        <v>4614</v>
      </c>
      <c r="HJ6" s="6">
        <v>44985</v>
      </c>
      <c r="HK6">
        <v>2</v>
      </c>
      <c r="HL6">
        <v>-2.4245362661989844E-14</v>
      </c>
      <c r="HM6">
        <v>126803</v>
      </c>
      <c r="HN6" t="s">
        <v>4615</v>
      </c>
      <c r="LS6" t="s">
        <v>1911</v>
      </c>
      <c r="LT6" t="s">
        <v>1777</v>
      </c>
      <c r="LU6">
        <v>0.86485599999999996</v>
      </c>
      <c r="LV6">
        <v>4.0630959999999998</v>
      </c>
      <c r="LW6" t="s">
        <v>1781</v>
      </c>
      <c r="LX6">
        <v>2025</v>
      </c>
      <c r="LY6" t="s">
        <v>2093</v>
      </c>
      <c r="LZ6" s="6">
        <v>45797</v>
      </c>
      <c r="MA6">
        <v>5</v>
      </c>
      <c r="MB6">
        <v>264507552</v>
      </c>
      <c r="MC6">
        <v>101376</v>
      </c>
      <c r="MD6" t="s">
        <v>1912</v>
      </c>
      <c r="MG6" t="s">
        <v>1905</v>
      </c>
      <c r="MH6">
        <v>3.8131789999999999</v>
      </c>
      <c r="MI6" t="s">
        <v>1777</v>
      </c>
      <c r="MJ6">
        <v>2.529652</v>
      </c>
      <c r="MK6" t="s">
        <v>1781</v>
      </c>
      <c r="ML6">
        <v>2025</v>
      </c>
      <c r="MM6" t="s">
        <v>2093</v>
      </c>
      <c r="MN6" s="6">
        <v>45797</v>
      </c>
      <c r="MO6">
        <v>5</v>
      </c>
      <c r="MP6">
        <v>554474368</v>
      </c>
      <c r="MQ6">
        <v>101743</v>
      </c>
      <c r="MR6" t="s">
        <v>1908</v>
      </c>
      <c r="PE6" t="s">
        <v>4175</v>
      </c>
      <c r="PG6">
        <v>-2.4245362661989844E-14</v>
      </c>
      <c r="PH6">
        <v>-2.4245362661989844E-14</v>
      </c>
      <c r="PI6" t="s">
        <v>1789</v>
      </c>
      <c r="PJ6">
        <v>2023</v>
      </c>
      <c r="PK6" t="s">
        <v>4176</v>
      </c>
      <c r="PL6" s="6">
        <v>45337</v>
      </c>
      <c r="PM6">
        <v>5</v>
      </c>
      <c r="PN6">
        <v>-2.4245362661989844E-14</v>
      </c>
      <c r="PO6">
        <v>39815294</v>
      </c>
      <c r="PP6" t="s">
        <v>4177</v>
      </c>
      <c r="QI6" t="s">
        <v>2315</v>
      </c>
      <c r="QK6">
        <v>-2.4245362661989844E-14</v>
      </c>
      <c r="QL6">
        <v>-2.4245362661989844E-14</v>
      </c>
      <c r="QM6" t="s">
        <v>1789</v>
      </c>
      <c r="QN6">
        <v>2023</v>
      </c>
      <c r="QO6" t="s">
        <v>3676</v>
      </c>
      <c r="QP6" s="6">
        <v>45383</v>
      </c>
      <c r="QQ6">
        <v>3</v>
      </c>
      <c r="QR6">
        <v>-2.4245362661989844E-14</v>
      </c>
      <c r="QS6">
        <v>1183488</v>
      </c>
      <c r="QT6" t="s">
        <v>2317</v>
      </c>
      <c r="TU6" t="s">
        <v>2354</v>
      </c>
      <c r="TV6" t="s">
        <v>1808</v>
      </c>
      <c r="TW6">
        <v>1.0808999999999999E-2</v>
      </c>
      <c r="TX6">
        <v>0.27798200000000001</v>
      </c>
      <c r="TY6" t="s">
        <v>1768</v>
      </c>
      <c r="TZ6">
        <v>2026</v>
      </c>
      <c r="UA6" t="s">
        <v>2355</v>
      </c>
      <c r="UB6" s="6">
        <v>46022</v>
      </c>
      <c r="UC6">
        <v>5</v>
      </c>
      <c r="UD6">
        <v>506791.11</v>
      </c>
      <c r="UE6">
        <v>174545</v>
      </c>
      <c r="UF6" t="s">
        <v>2356</v>
      </c>
      <c r="UI6" t="s">
        <v>2332</v>
      </c>
      <c r="UJ6">
        <v>1.021218</v>
      </c>
      <c r="UK6" t="s">
        <v>1808</v>
      </c>
      <c r="UL6">
        <v>1.7811E-2</v>
      </c>
      <c r="UM6" t="s">
        <v>1781</v>
      </c>
      <c r="UN6">
        <v>2025</v>
      </c>
      <c r="UO6" t="s">
        <v>2330</v>
      </c>
      <c r="UP6" s="6">
        <v>45855</v>
      </c>
      <c r="UQ6">
        <v>5</v>
      </c>
      <c r="UR6">
        <v>4857250</v>
      </c>
      <c r="US6">
        <v>115649</v>
      </c>
      <c r="UT6" t="s">
        <v>2333</v>
      </c>
    </row>
    <row r="7" spans="1:600" x14ac:dyDescent="0.25">
      <c r="CM7" t="s">
        <v>2094</v>
      </c>
      <c r="CN7" t="s">
        <v>1777</v>
      </c>
      <c r="CO7">
        <v>3.7200000000000002E-3</v>
      </c>
      <c r="CP7">
        <v>0.27725100000000003</v>
      </c>
      <c r="CQ7" t="s">
        <v>1785</v>
      </c>
      <c r="CR7">
        <v>2025</v>
      </c>
      <c r="CS7" t="s">
        <v>2095</v>
      </c>
      <c r="CT7" s="6">
        <v>45848</v>
      </c>
      <c r="CU7">
        <v>5</v>
      </c>
      <c r="CV7">
        <v>591592</v>
      </c>
      <c r="CW7">
        <v>101752</v>
      </c>
      <c r="CX7" t="s">
        <v>2096</v>
      </c>
      <c r="DA7" t="s">
        <v>3835</v>
      </c>
      <c r="DB7">
        <v>-2.4245362661989844E-14</v>
      </c>
      <c r="DD7">
        <v>-2.4245362661989844E-14</v>
      </c>
      <c r="DE7" t="s">
        <v>1773</v>
      </c>
      <c r="DF7">
        <v>2024</v>
      </c>
      <c r="DG7" t="s">
        <v>1999</v>
      </c>
      <c r="DH7" s="6">
        <v>45608</v>
      </c>
      <c r="DI7">
        <v>5</v>
      </c>
      <c r="DJ7">
        <v>-2.4245362661989844E-14</v>
      </c>
      <c r="DK7">
        <v>44569911</v>
      </c>
      <c r="DL7" t="s">
        <v>3836</v>
      </c>
      <c r="GM7" t="s">
        <v>4784</v>
      </c>
      <c r="GN7">
        <v>-2.4245362661989844E-14</v>
      </c>
      <c r="GP7">
        <v>-2.4245362661989844E-14</v>
      </c>
      <c r="GQ7" t="s">
        <v>1789</v>
      </c>
      <c r="GR7">
        <v>2025</v>
      </c>
      <c r="GS7" t="s">
        <v>4785</v>
      </c>
      <c r="GT7" s="6">
        <v>45740</v>
      </c>
      <c r="GU7">
        <v>5</v>
      </c>
      <c r="GV7">
        <v>-2.4245362661989844E-14</v>
      </c>
      <c r="GW7">
        <v>104159</v>
      </c>
      <c r="GX7" t="s">
        <v>4786</v>
      </c>
      <c r="LS7" t="s">
        <v>1814</v>
      </c>
      <c r="LT7" t="s">
        <v>1777</v>
      </c>
      <c r="LU7">
        <v>0.167933</v>
      </c>
      <c r="LV7">
        <v>4.0156150000000004</v>
      </c>
      <c r="LW7" t="s">
        <v>1781</v>
      </c>
      <c r="LX7">
        <v>2025</v>
      </c>
      <c r="LY7" t="s">
        <v>2093</v>
      </c>
      <c r="LZ7" s="6">
        <v>45797</v>
      </c>
      <c r="MA7">
        <v>5</v>
      </c>
      <c r="MB7">
        <v>261416544</v>
      </c>
      <c r="MC7">
        <v>216952</v>
      </c>
      <c r="MD7" t="s">
        <v>1815</v>
      </c>
      <c r="MG7" t="s">
        <v>1909</v>
      </c>
      <c r="MH7">
        <v>3.1054590000000002</v>
      </c>
      <c r="MI7" t="s">
        <v>1777</v>
      </c>
      <c r="MJ7">
        <v>1.2857479999999999</v>
      </c>
      <c r="MK7" t="s">
        <v>1781</v>
      </c>
      <c r="ML7">
        <v>2025</v>
      </c>
      <c r="MM7" t="s">
        <v>2093</v>
      </c>
      <c r="MN7" s="6">
        <v>45797</v>
      </c>
      <c r="MO7">
        <v>5</v>
      </c>
      <c r="MP7">
        <v>451564800</v>
      </c>
      <c r="MQ7">
        <v>117929</v>
      </c>
      <c r="MR7" t="s">
        <v>1910</v>
      </c>
      <c r="PE7" t="s">
        <v>4178</v>
      </c>
      <c r="PG7">
        <v>-2.4245362661989844E-14</v>
      </c>
      <c r="PH7">
        <v>-2.4245362661989844E-14</v>
      </c>
      <c r="PI7" t="s">
        <v>1789</v>
      </c>
      <c r="PJ7">
        <v>2023</v>
      </c>
      <c r="PK7" t="s">
        <v>4176</v>
      </c>
      <c r="PL7" s="6">
        <v>45337</v>
      </c>
      <c r="PM7">
        <v>5</v>
      </c>
      <c r="PN7">
        <v>-2.4245362661989844E-14</v>
      </c>
      <c r="PO7">
        <v>54905525</v>
      </c>
      <c r="PP7" t="s">
        <v>4179</v>
      </c>
      <c r="QI7" t="s">
        <v>1121</v>
      </c>
      <c r="QK7">
        <v>-2.4245362661989844E-14</v>
      </c>
      <c r="QL7">
        <v>-2.4245362661989844E-14</v>
      </c>
      <c r="QM7" t="s">
        <v>1785</v>
      </c>
      <c r="QN7">
        <v>2023</v>
      </c>
      <c r="QO7" t="s">
        <v>3677</v>
      </c>
      <c r="QP7" s="6">
        <v>45730</v>
      </c>
      <c r="QQ7">
        <v>3</v>
      </c>
      <c r="QR7">
        <v>-2.4245362661989844E-14</v>
      </c>
      <c r="QS7">
        <v>202476</v>
      </c>
      <c r="QT7" t="s">
        <v>1970</v>
      </c>
      <c r="TU7" t="s">
        <v>4845</v>
      </c>
      <c r="TW7">
        <v>-2.4245362661989844E-14</v>
      </c>
      <c r="TX7">
        <v>-2.4245362661989844E-14</v>
      </c>
      <c r="TY7" t="s">
        <v>1789</v>
      </c>
      <c r="TZ7">
        <v>2025</v>
      </c>
      <c r="UA7" t="s">
        <v>4846</v>
      </c>
      <c r="UB7" s="6">
        <v>45695</v>
      </c>
      <c r="UC7">
        <v>5</v>
      </c>
      <c r="UD7">
        <v>-2.4245362661989844E-14</v>
      </c>
      <c r="UE7">
        <v>112244</v>
      </c>
      <c r="UF7" t="s">
        <v>4847</v>
      </c>
      <c r="UI7" t="s">
        <v>2090</v>
      </c>
      <c r="UJ7">
        <v>0.88496200000000003</v>
      </c>
      <c r="UK7" t="s">
        <v>1777</v>
      </c>
      <c r="UL7">
        <v>7.7118999999999993E-2</v>
      </c>
      <c r="UM7" t="s">
        <v>1781</v>
      </c>
      <c r="UN7">
        <v>2025</v>
      </c>
      <c r="UO7" t="s">
        <v>2330</v>
      </c>
      <c r="UP7" s="6">
        <v>45855</v>
      </c>
      <c r="UQ7">
        <v>5</v>
      </c>
      <c r="UR7">
        <v>4209171</v>
      </c>
      <c r="US7">
        <v>42602315</v>
      </c>
      <c r="UT7" t="s">
        <v>2092</v>
      </c>
    </row>
    <row r="8" spans="1:600" x14ac:dyDescent="0.25">
      <c r="CM8" t="s">
        <v>2097</v>
      </c>
      <c r="CN8" t="s">
        <v>1777</v>
      </c>
      <c r="CO8">
        <v>0.113428</v>
      </c>
      <c r="CP8">
        <v>3.8316000000000003E-2</v>
      </c>
      <c r="CQ8" t="s">
        <v>1785</v>
      </c>
      <c r="CR8">
        <v>2024</v>
      </c>
      <c r="CS8" t="s">
        <v>2098</v>
      </c>
      <c r="CT8" s="6">
        <v>45846</v>
      </c>
      <c r="CU8">
        <v>5</v>
      </c>
      <c r="CV8">
        <v>81758</v>
      </c>
      <c r="CW8">
        <v>847909</v>
      </c>
      <c r="CX8" t="s">
        <v>2099</v>
      </c>
      <c r="DA8" t="s">
        <v>3837</v>
      </c>
      <c r="DB8">
        <v>-2.4245362661989844E-14</v>
      </c>
      <c r="DD8">
        <v>-2.4245362661989844E-14</v>
      </c>
      <c r="DE8" t="s">
        <v>1789</v>
      </c>
      <c r="DF8">
        <v>2025</v>
      </c>
      <c r="DG8" t="s">
        <v>3838</v>
      </c>
      <c r="DH8" s="6">
        <v>45741</v>
      </c>
      <c r="DI8">
        <v>5</v>
      </c>
      <c r="DJ8">
        <v>-2.4245362661989844E-14</v>
      </c>
      <c r="DK8">
        <v>201989</v>
      </c>
      <c r="DL8" t="s">
        <v>3839</v>
      </c>
      <c r="GM8" t="s">
        <v>4787</v>
      </c>
      <c r="GN8">
        <v>-2.4245362661989844E-14</v>
      </c>
      <c r="GP8">
        <v>-2.4245362661989844E-14</v>
      </c>
      <c r="GQ8" t="s">
        <v>1781</v>
      </c>
      <c r="GR8">
        <v>2026</v>
      </c>
      <c r="GS8" t="s">
        <v>4788</v>
      </c>
      <c r="GT8" s="6">
        <v>45881</v>
      </c>
      <c r="GU8">
        <v>5</v>
      </c>
      <c r="GV8">
        <v>-2.4245362661989844E-14</v>
      </c>
      <c r="GW8">
        <v>181414</v>
      </c>
      <c r="GX8" t="s">
        <v>4789</v>
      </c>
      <c r="LS8" t="s">
        <v>1902</v>
      </c>
      <c r="LT8" t="s">
        <v>1777</v>
      </c>
      <c r="LU8">
        <v>0.893262</v>
      </c>
      <c r="LV8">
        <v>1.9939499999999999</v>
      </c>
      <c r="LW8" t="s">
        <v>1781</v>
      </c>
      <c r="LX8">
        <v>2025</v>
      </c>
      <c r="LY8" t="s">
        <v>2093</v>
      </c>
      <c r="LZ8" s="6">
        <v>45797</v>
      </c>
      <c r="MA8">
        <v>5</v>
      </c>
      <c r="MB8">
        <v>129806144</v>
      </c>
      <c r="MC8">
        <v>1499717</v>
      </c>
      <c r="MD8" t="s">
        <v>1904</v>
      </c>
      <c r="MG8" t="s">
        <v>165</v>
      </c>
      <c r="MH8">
        <v>0.94301500000000005</v>
      </c>
      <c r="MI8" t="s">
        <v>1777</v>
      </c>
      <c r="MJ8">
        <v>2.2702520000000002</v>
      </c>
      <c r="MK8" t="s">
        <v>1781</v>
      </c>
      <c r="ML8">
        <v>2025</v>
      </c>
      <c r="MM8" t="s">
        <v>1870</v>
      </c>
      <c r="MN8" s="6">
        <v>45784</v>
      </c>
      <c r="MO8">
        <v>5</v>
      </c>
      <c r="MP8">
        <v>137123792</v>
      </c>
      <c r="MQ8">
        <v>100115</v>
      </c>
      <c r="MR8" t="s">
        <v>1871</v>
      </c>
      <c r="PE8" t="s">
        <v>4180</v>
      </c>
      <c r="PG8">
        <v>-2.4245362661989844E-14</v>
      </c>
      <c r="PH8">
        <v>-2.4245362661989844E-14</v>
      </c>
      <c r="PI8" t="s">
        <v>1789</v>
      </c>
      <c r="PJ8">
        <v>2023</v>
      </c>
      <c r="PK8" t="s">
        <v>4176</v>
      </c>
      <c r="PL8" s="6">
        <v>45337</v>
      </c>
      <c r="PM8">
        <v>5</v>
      </c>
      <c r="PN8">
        <v>-2.4245362661989844E-14</v>
      </c>
      <c r="PO8">
        <v>7113379</v>
      </c>
      <c r="PP8" t="s">
        <v>4181</v>
      </c>
      <c r="TU8" t="s">
        <v>4848</v>
      </c>
      <c r="TW8">
        <v>-2.4245362661989844E-14</v>
      </c>
      <c r="TX8">
        <v>-2.4245362661989844E-14</v>
      </c>
      <c r="TY8" t="s">
        <v>1789</v>
      </c>
      <c r="TZ8">
        <v>2022</v>
      </c>
      <c r="UA8" t="s">
        <v>4849</v>
      </c>
      <c r="UB8" s="6">
        <v>44988</v>
      </c>
      <c r="UC8">
        <v>5</v>
      </c>
      <c r="UD8">
        <v>-2.4245362661989844E-14</v>
      </c>
      <c r="UE8">
        <v>171858</v>
      </c>
      <c r="UF8" t="s">
        <v>4850</v>
      </c>
      <c r="UI8" t="s">
        <v>2334</v>
      </c>
      <c r="UJ8">
        <v>0.86871500000000001</v>
      </c>
      <c r="UK8" t="s">
        <v>1808</v>
      </c>
      <c r="UL8">
        <v>2.6716E-2</v>
      </c>
      <c r="UM8" t="s">
        <v>1781</v>
      </c>
      <c r="UN8">
        <v>2025</v>
      </c>
      <c r="UO8" t="s">
        <v>2330</v>
      </c>
      <c r="UP8" s="6">
        <v>45855</v>
      </c>
      <c r="UQ8">
        <v>5</v>
      </c>
      <c r="UR8">
        <v>4131895</v>
      </c>
      <c r="US8">
        <v>21445200</v>
      </c>
      <c r="UT8" t="s">
        <v>2335</v>
      </c>
    </row>
    <row r="9" spans="1:600" x14ac:dyDescent="0.25">
      <c r="CM9" t="s">
        <v>2100</v>
      </c>
      <c r="CO9">
        <v>-2.4245362661989844E-14</v>
      </c>
      <c r="CP9">
        <v>-2.4245362661989844E-14</v>
      </c>
      <c r="CQ9" t="s">
        <v>1789</v>
      </c>
      <c r="CR9">
        <v>2023</v>
      </c>
      <c r="CS9" t="s">
        <v>2101</v>
      </c>
      <c r="CT9" s="6">
        <v>45351</v>
      </c>
      <c r="CU9">
        <v>5</v>
      </c>
      <c r="CV9">
        <v>-2.4245362661989844E-14</v>
      </c>
      <c r="CW9">
        <v>12409970</v>
      </c>
      <c r="CX9" t="s">
        <v>2102</v>
      </c>
      <c r="DA9" t="s">
        <v>3840</v>
      </c>
      <c r="DB9">
        <v>-2.4245362661989844E-14</v>
      </c>
      <c r="DD9">
        <v>-2.4245362661989844E-14</v>
      </c>
      <c r="DE9" t="s">
        <v>1894</v>
      </c>
      <c r="DF9">
        <v>2025</v>
      </c>
      <c r="DG9" t="s">
        <v>3841</v>
      </c>
      <c r="DH9" s="6">
        <v>45975</v>
      </c>
      <c r="DI9">
        <v>5</v>
      </c>
      <c r="DJ9">
        <v>-2.4245362661989844E-14</v>
      </c>
      <c r="DK9">
        <v>18296043</v>
      </c>
      <c r="DL9" t="s">
        <v>3842</v>
      </c>
      <c r="GM9" t="s">
        <v>4790</v>
      </c>
      <c r="GN9">
        <v>-2.4245362661989844E-14</v>
      </c>
      <c r="GP9">
        <v>-2.4245362661989844E-14</v>
      </c>
      <c r="GQ9" t="s">
        <v>1789</v>
      </c>
      <c r="GR9">
        <v>2025</v>
      </c>
      <c r="GS9" t="s">
        <v>4791</v>
      </c>
      <c r="GT9" s="6">
        <v>45891</v>
      </c>
      <c r="GU9">
        <v>5</v>
      </c>
      <c r="GV9">
        <v>-2.4245362661989844E-14</v>
      </c>
      <c r="GW9">
        <v>194968</v>
      </c>
      <c r="GX9" t="s">
        <v>4792</v>
      </c>
      <c r="LS9" t="s">
        <v>1955</v>
      </c>
      <c r="LT9" t="s">
        <v>1777</v>
      </c>
      <c r="LU9">
        <v>0.59890299999999996</v>
      </c>
      <c r="LV9">
        <v>1.729209</v>
      </c>
      <c r="LW9" t="s">
        <v>1781</v>
      </c>
      <c r="LX9">
        <v>2025</v>
      </c>
      <c r="LY9" t="s">
        <v>2093</v>
      </c>
      <c r="LZ9" s="6">
        <v>45797</v>
      </c>
      <c r="MA9">
        <v>5</v>
      </c>
      <c r="MB9">
        <v>112571504</v>
      </c>
      <c r="MC9">
        <v>130929</v>
      </c>
      <c r="MD9" t="s">
        <v>1957</v>
      </c>
      <c r="MG9" t="s">
        <v>919</v>
      </c>
      <c r="MH9">
        <v>0.76780499999999996</v>
      </c>
      <c r="MI9" t="s">
        <v>1777</v>
      </c>
      <c r="MJ9">
        <v>2.2920660000000002</v>
      </c>
      <c r="MK9" t="s">
        <v>1781</v>
      </c>
      <c r="ML9">
        <v>2025</v>
      </c>
      <c r="MM9" t="s">
        <v>2093</v>
      </c>
      <c r="MN9" s="6">
        <v>45797</v>
      </c>
      <c r="MO9">
        <v>5</v>
      </c>
      <c r="MP9">
        <v>111646528</v>
      </c>
      <c r="MQ9">
        <v>69423747</v>
      </c>
      <c r="MR9" t="s">
        <v>2300</v>
      </c>
      <c r="PE9" t="s">
        <v>3448</v>
      </c>
      <c r="PG9">
        <v>-2.4245362661989844E-14</v>
      </c>
      <c r="PH9">
        <v>-2.4245362661989844E-14</v>
      </c>
      <c r="PI9" t="s">
        <v>1789</v>
      </c>
      <c r="PJ9">
        <v>2023</v>
      </c>
      <c r="PK9" t="s">
        <v>4176</v>
      </c>
      <c r="PL9" s="6">
        <v>45337</v>
      </c>
      <c r="PM9">
        <v>5</v>
      </c>
      <c r="PN9">
        <v>-2.4245362661989844E-14</v>
      </c>
      <c r="PO9">
        <v>130875</v>
      </c>
      <c r="PP9" t="s">
        <v>3450</v>
      </c>
      <c r="TU9" t="s">
        <v>3909</v>
      </c>
      <c r="TW9">
        <v>-2.4245362661989844E-14</v>
      </c>
      <c r="TX9">
        <v>-2.4245362661989844E-14</v>
      </c>
      <c r="TY9" t="s">
        <v>1789</v>
      </c>
      <c r="TZ9">
        <v>2021</v>
      </c>
      <c r="UA9" t="s">
        <v>3910</v>
      </c>
      <c r="UB9" s="6">
        <v>44693</v>
      </c>
      <c r="UC9">
        <v>5</v>
      </c>
      <c r="UD9">
        <v>-2.4245362661989844E-14</v>
      </c>
      <c r="UE9">
        <v>107603</v>
      </c>
      <c r="UF9" t="s">
        <v>3911</v>
      </c>
      <c r="UI9" t="s">
        <v>2336</v>
      </c>
      <c r="UJ9">
        <v>0.69156799999999996</v>
      </c>
      <c r="UK9" t="s">
        <v>1777</v>
      </c>
      <c r="UL9">
        <v>7.7118999999999993E-2</v>
      </c>
      <c r="UM9" t="s">
        <v>1781</v>
      </c>
      <c r="UN9">
        <v>2025</v>
      </c>
      <c r="UO9" t="s">
        <v>2330</v>
      </c>
      <c r="UP9" s="6">
        <v>45855</v>
      </c>
      <c r="UQ9">
        <v>5</v>
      </c>
      <c r="UR9">
        <v>3289326</v>
      </c>
      <c r="US9">
        <v>115265</v>
      </c>
      <c r="UT9" t="s">
        <v>2337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687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688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689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690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691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692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693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694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695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696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697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698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699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700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701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702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703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704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705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706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707</v>
      </c>
      <c r="AE2" s="3" t="s">
        <v>708</v>
      </c>
      <c r="BI2" s="3" t="s">
        <v>132</v>
      </c>
      <c r="CM2" s="3" t="s">
        <v>709</v>
      </c>
      <c r="DQ2" s="3" t="s">
        <v>710</v>
      </c>
      <c r="EU2" s="3" t="s">
        <v>711</v>
      </c>
      <c r="FY2" s="3" t="s">
        <v>712</v>
      </c>
      <c r="HC2" s="3" t="s">
        <v>713</v>
      </c>
      <c r="IG2" s="3" t="s">
        <v>714</v>
      </c>
      <c r="JK2" s="3" t="s">
        <v>715</v>
      </c>
      <c r="KO2" s="3" t="s">
        <v>716</v>
      </c>
      <c r="LS2" s="3" t="s">
        <v>570</v>
      </c>
      <c r="MW2" s="3" t="s">
        <v>717</v>
      </c>
      <c r="OA2" s="3" t="s">
        <v>718</v>
      </c>
      <c r="PE2" s="3" t="s">
        <v>132</v>
      </c>
      <c r="QI2" s="3" t="s">
        <v>719</v>
      </c>
      <c r="RM2" s="3" t="s">
        <v>720</v>
      </c>
      <c r="SQ2" s="3" t="s">
        <v>132</v>
      </c>
      <c r="TU2" s="3" t="s">
        <v>721</v>
      </c>
      <c r="UY2" s="3" t="s">
        <v>722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_xll.BDS("RTHM LN Equity","SUPPLY_CHAIN_SUPPLIERS_ALL_DATA")</f>
        <v>#N/A N/A</v>
      </c>
      <c r="O5" t="str">
        <f>_xll.BDS("RTHM LN Equity","SUPPLY_CHAIN_CUSTOMERS_ALL_DATA")</f>
        <v>#N/A N/A</v>
      </c>
      <c r="AE5" t="str">
        <f>_xll.BDS("FMAO US Equity","SUPPLY_CHAIN_SUPPLIERS_ALL_DATA","cols=12;rows=1")</f>
        <v>MLNK US Equity</v>
      </c>
      <c r="AG5">
        <v>-2.4245362661989844E-14</v>
      </c>
      <c r="AH5">
        <v>-2.4245362661989844E-14</v>
      </c>
      <c r="AI5" t="s">
        <v>1781</v>
      </c>
      <c r="AJ5">
        <v>2023</v>
      </c>
      <c r="AK5" t="s">
        <v>3531</v>
      </c>
      <c r="AL5" s="6">
        <v>45048</v>
      </c>
      <c r="AM5">
        <v>1</v>
      </c>
      <c r="AN5">
        <v>-2.4245362661989844E-14</v>
      </c>
      <c r="AO5">
        <v>19523261</v>
      </c>
      <c r="AP5" t="s">
        <v>3532</v>
      </c>
      <c r="AS5" t="str">
        <f>_xll.BDS("FMAO US Equity","SUPPLY_CHAIN_CUSTOMERS_ALL_DATA")</f>
        <v>#N/A N/A</v>
      </c>
      <c r="BI5" t="str">
        <f>_xll.BDS("TFC US Equity","SUPPLY_CHAIN_SUPPLIERS_ALL_DATA","cols=12;rows=5")</f>
        <v>ADBE US Equity</v>
      </c>
      <c r="BJ5" t="s">
        <v>1808</v>
      </c>
      <c r="BK5">
        <v>9.3438999999999994E-2</v>
      </c>
      <c r="BL5">
        <v>0.18883900000000001</v>
      </c>
      <c r="BM5" t="s">
        <v>1768</v>
      </c>
      <c r="BN5">
        <v>2025</v>
      </c>
      <c r="BO5" t="s">
        <v>2359</v>
      </c>
      <c r="BP5" s="6">
        <v>45838</v>
      </c>
      <c r="BQ5">
        <v>5</v>
      </c>
      <c r="BR5">
        <v>5487672</v>
      </c>
      <c r="BS5">
        <v>101689</v>
      </c>
      <c r="BT5" t="s">
        <v>2360</v>
      </c>
      <c r="BW5" t="str">
        <f>_xll.BDS("TFC US Equity","SUPPLY_CHAIN_CUSTOMERS_ALL_DATA","cols=12;rows=1")</f>
        <v>RENG IN Equity</v>
      </c>
      <c r="BX5">
        <v>-2.4245362661989844E-14</v>
      </c>
      <c r="BZ5">
        <v>-2.4245362661989844E-14</v>
      </c>
      <c r="CA5" t="s">
        <v>1789</v>
      </c>
      <c r="CB5">
        <v>2025</v>
      </c>
      <c r="CC5" t="s">
        <v>2271</v>
      </c>
      <c r="CD5" s="6">
        <v>45901</v>
      </c>
      <c r="CE5">
        <v>1</v>
      </c>
      <c r="CF5">
        <v>-2.4245362661989844E-14</v>
      </c>
      <c r="CG5">
        <v>182734</v>
      </c>
      <c r="CH5" t="s">
        <v>2272</v>
      </c>
      <c r="CM5" t="str">
        <f>_xll.BDS("CPSS US Equity","SUPPLY_CHAIN_SUPPLIERS_ALL_DATA","cols=12;rows=1")</f>
        <v>MUST SP Equity</v>
      </c>
      <c r="CO5">
        <v>-2.4245362661989844E-14</v>
      </c>
      <c r="CP5">
        <v>-2.4245362661989844E-14</v>
      </c>
      <c r="CQ5" t="s">
        <v>1789</v>
      </c>
      <c r="CR5">
        <v>2024</v>
      </c>
      <c r="CS5" t="s">
        <v>3017</v>
      </c>
      <c r="CT5" s="6">
        <v>45762</v>
      </c>
      <c r="CU5">
        <v>1</v>
      </c>
      <c r="CV5">
        <v>-2.4245362661989844E-14</v>
      </c>
      <c r="CW5">
        <v>46286147</v>
      </c>
      <c r="CX5" t="s">
        <v>3018</v>
      </c>
      <c r="DA5" t="str">
        <f>_xll.BDS("CPSS US Equity","SUPPLY_CHAIN_CUSTOMERS_ALL_DATA")</f>
        <v>#N/A N/A</v>
      </c>
      <c r="DQ5" t="str">
        <f>_xll.BDS("FMBI US Equity","SUPPLY_CHAIN_SUPPLIERS_ALL_DATA")</f>
        <v>#N/A N/A</v>
      </c>
      <c r="EE5" t="str">
        <f>_xll.BDS("FMBI US Equity","SUPPLY_CHAIN_CUSTOMERS_ALL_DATA")</f>
        <v>#N/A N/A</v>
      </c>
      <c r="EU5" t="str">
        <f>_xll.BDS("TCBK US Equity","SUPPLY_CHAIN_SUPPLIERS_ALL_DATA")</f>
        <v>#N/A N/A</v>
      </c>
      <c r="FI5" t="str">
        <f>_xll.BDS("TCBK US Equity","SUPPLY_CHAIN_CUSTOMERS_ALL_DATA")</f>
        <v>#N/A N/A</v>
      </c>
      <c r="FY5" t="str">
        <f>_xll.BDS("YDKN US Equity","SUPPLY_CHAIN_SUPPLIERS_ALL_DATA")</f>
        <v>#N/A N/A</v>
      </c>
      <c r="GM5" t="str">
        <f>_xll.BDS("YDKN US Equity","SUPPLY_CHAIN_CUSTOMERS_ALL_DATA")</f>
        <v>#N/A N/A</v>
      </c>
      <c r="HC5" t="str">
        <f>_xll.BDS("FBNC US Equity","SUPPLY_CHAIN_SUPPLIERS_ALL_DATA")</f>
        <v>#N/A N/A</v>
      </c>
      <c r="HQ5" t="str">
        <f>_xll.BDS("FBNC US Equity","SUPPLY_CHAIN_CUSTOMERS_ALL_DATA")</f>
        <v>#N/A N/A</v>
      </c>
      <c r="IG5" t="str">
        <f>_xll.BDS("WIBC US Equity","SUPPLY_CHAIN_SUPPLIERS_ALL_DATA")</f>
        <v>#N/A N/A</v>
      </c>
      <c r="IU5" t="str">
        <f>_xll.BDS("WIBC US Equity","SUPPLY_CHAIN_CUSTOMERS_ALL_DATA")</f>
        <v>#N/A N/A</v>
      </c>
      <c r="JK5" t="str">
        <f>_xll.BDS("VTEQ US Equity","SUPPLY_CHAIN_SUPPLIERS_ALL_DATA")</f>
        <v>#N/A N/A</v>
      </c>
      <c r="JY5" t="str">
        <f>_xll.BDS("VTEQ US Equity","SUPPLY_CHAIN_CUSTOMERS_ALL_DATA")</f>
        <v>#N/A N/A</v>
      </c>
      <c r="KO5" t="str">
        <f>_xll.BDS("OKWHQ US Equity","SUPPLY_CHAIN_SUPPLIERS_ALL_DATA","cols=12;rows=1")</f>
        <v>PCYO US Equity</v>
      </c>
      <c r="KQ5">
        <v>36</v>
      </c>
      <c r="KR5">
        <v>-2.4245362661989844E-14</v>
      </c>
      <c r="KS5" t="s">
        <v>3592</v>
      </c>
      <c r="KT5">
        <v>2025</v>
      </c>
      <c r="KU5" t="s">
        <v>3593</v>
      </c>
      <c r="KV5" s="6">
        <v>46029</v>
      </c>
      <c r="KW5">
        <v>1</v>
      </c>
      <c r="KX5">
        <v>3288600</v>
      </c>
      <c r="KY5">
        <v>136177</v>
      </c>
      <c r="KZ5" t="s">
        <v>3594</v>
      </c>
      <c r="LC5" t="str">
        <f>_xll.BDS("OKWHQ US Equity","SUPPLY_CHAIN_CUSTOMERS_ALL_DATA")</f>
        <v>#N/A N/A</v>
      </c>
      <c r="LS5" t="str">
        <f>_xll.BDS("ITW US Equity","SUPPLY_CHAIN_SUPPLIERS_ALL_DATA","cols=12;rows=5")</f>
        <v>179 HK Equity</v>
      </c>
      <c r="LT5" t="s">
        <v>1777</v>
      </c>
      <c r="LU5">
        <v>6.5320000000000003E-2</v>
      </c>
      <c r="LV5">
        <v>2.7040999999999999E-2</v>
      </c>
      <c r="LW5" t="s">
        <v>1768</v>
      </c>
      <c r="LX5">
        <v>2026</v>
      </c>
      <c r="LY5" t="s">
        <v>2014</v>
      </c>
      <c r="LZ5" s="6">
        <v>46044</v>
      </c>
      <c r="MA5">
        <v>5</v>
      </c>
      <c r="MB5">
        <v>598816</v>
      </c>
      <c r="MC5">
        <v>116426</v>
      </c>
      <c r="MD5" t="s">
        <v>2015</v>
      </c>
      <c r="MG5" t="str">
        <f>_xll.BDS("ITW US Equity","SUPPLY_CHAIN_CUSTOMERS_ALL_DATA","cols=12;rows=5")</f>
        <v>TSCO US Equity</v>
      </c>
      <c r="MH5">
        <v>1.765717</v>
      </c>
      <c r="MI5" t="s">
        <v>1777</v>
      </c>
      <c r="MJ5">
        <v>2.5065909999999998</v>
      </c>
      <c r="MK5" t="s">
        <v>1768</v>
      </c>
      <c r="ML5">
        <v>2025</v>
      </c>
      <c r="MM5" t="s">
        <v>1862</v>
      </c>
      <c r="MN5" s="6">
        <v>45917</v>
      </c>
      <c r="MO5">
        <v>5</v>
      </c>
      <c r="MP5">
        <v>70178408</v>
      </c>
      <c r="MQ5">
        <v>126788</v>
      </c>
      <c r="MR5" t="s">
        <v>1863</v>
      </c>
      <c r="MW5" t="str">
        <f>_xll.BDS("XBKS US Equity","SUPPLY_CHAIN_SUPPLIERS_ALL_DATA")</f>
        <v>#N/A N/A</v>
      </c>
      <c r="NK5" t="str">
        <f>_xll.BDS("XBKS US Equity","SUPPLY_CHAIN_CUSTOMERS_ALL_DATA")</f>
        <v>#N/A N/A</v>
      </c>
      <c r="OA5" t="str">
        <f>_xll.BDS("UPBD US Equity","SUPPLY_CHAIN_SUPPLIERS_ALL_DATA","cols=12;rows=5")</f>
        <v>066570 KS Equity</v>
      </c>
      <c r="OB5" t="s">
        <v>1777</v>
      </c>
      <c r="OC5">
        <v>0.31305500000000003</v>
      </c>
      <c r="OD5">
        <v>8.2071670000000001</v>
      </c>
      <c r="OE5" t="s">
        <v>1773</v>
      </c>
      <c r="OF5">
        <v>2025</v>
      </c>
      <c r="OG5" t="s">
        <v>1959</v>
      </c>
      <c r="OH5" s="6">
        <v>46014</v>
      </c>
      <c r="OI5">
        <v>5</v>
      </c>
      <c r="OJ5">
        <v>49398423.189999998</v>
      </c>
      <c r="OK5">
        <v>7583418</v>
      </c>
      <c r="OL5" t="s">
        <v>1960</v>
      </c>
      <c r="OO5" t="str">
        <f>_xll.BDS("UPBD US Equity","SUPPLY_CHAIN_CUSTOMERS_ALL_DATA","cols=12;rows=1")</f>
        <v>0112951Z US Equity</v>
      </c>
      <c r="OP5">
        <v>-2.4245362661989844E-14</v>
      </c>
      <c r="OR5">
        <v>-2.4245362661989844E-14</v>
      </c>
      <c r="OS5" t="s">
        <v>1789</v>
      </c>
      <c r="OT5">
        <v>2023</v>
      </c>
      <c r="OU5" t="s">
        <v>4526</v>
      </c>
      <c r="OV5" s="6">
        <v>45034</v>
      </c>
      <c r="OW5">
        <v>1</v>
      </c>
      <c r="OX5">
        <v>-2.4245362661989844E-14</v>
      </c>
      <c r="OY5">
        <v>27254212</v>
      </c>
      <c r="OZ5" t="s">
        <v>4527</v>
      </c>
      <c r="PE5" t="str">
        <f>_xll.BDS("TFC US Equity","SUPPLY_CHAIN_SUPPLIERS_ALL_DATA","cols=12;rows=5")</f>
        <v>ADBE US Equity</v>
      </c>
      <c r="PF5" t="s">
        <v>1808</v>
      </c>
      <c r="PG5">
        <v>9.3438999999999994E-2</v>
      </c>
      <c r="PH5">
        <v>0.18883900000000001</v>
      </c>
      <c r="PI5" t="s">
        <v>1768</v>
      </c>
      <c r="PJ5">
        <v>2025</v>
      </c>
      <c r="PK5" t="s">
        <v>2359</v>
      </c>
      <c r="PL5" s="6">
        <v>45838</v>
      </c>
      <c r="PM5">
        <v>5</v>
      </c>
      <c r="PN5">
        <v>5487672</v>
      </c>
      <c r="PO5">
        <v>101689</v>
      </c>
      <c r="PP5" t="s">
        <v>2360</v>
      </c>
      <c r="PS5" t="str">
        <f>_xll.BDS("TFC US Equity","SUPPLY_CHAIN_CUSTOMERS_ALL_DATA","cols=12;rows=1")</f>
        <v>RENG IN Equity</v>
      </c>
      <c r="PT5">
        <v>-2.4245362661989844E-14</v>
      </c>
      <c r="PV5">
        <v>-2.4245362661989844E-14</v>
      </c>
      <c r="PW5" t="s">
        <v>1789</v>
      </c>
      <c r="PX5">
        <v>2025</v>
      </c>
      <c r="PY5" t="s">
        <v>2271</v>
      </c>
      <c r="PZ5" s="6">
        <v>45901</v>
      </c>
      <c r="QA5">
        <v>1</v>
      </c>
      <c r="QB5">
        <v>-2.4245362661989844E-14</v>
      </c>
      <c r="QC5">
        <v>182734</v>
      </c>
      <c r="QD5" t="s">
        <v>2272</v>
      </c>
      <c r="QI5" t="str">
        <f>_xll.BDS("PRGNQ US Equity","SUPPLY_CHAIN_SUPPLIERS_ALL_DATA")</f>
        <v>#N/A N/A</v>
      </c>
      <c r="QW5" t="str">
        <f>_xll.BDS("PRGNQ US Equity","SUPPLY_CHAIN_CUSTOMERS_ALL_DATA")</f>
        <v>#N/A N/A</v>
      </c>
      <c r="RM5" t="str">
        <f>_xll.BDS("AZA US Equity","SUPPLY_CHAIN_SUPPLIERS_ALL_DATA")</f>
        <v>#N/A N/A</v>
      </c>
      <c r="SA5" t="str">
        <f>_xll.BDS("AZA US Equity","SUPPLY_CHAIN_CUSTOMERS_ALL_DATA")</f>
        <v>#N/A N/A</v>
      </c>
      <c r="SQ5" t="str">
        <f>_xll.BDS("TFC US Equity","SUPPLY_CHAIN_SUPPLIERS_ALL_DATA","cols=12;rows=5")</f>
        <v>ADBE US Equity</v>
      </c>
      <c r="SR5" t="s">
        <v>1808</v>
      </c>
      <c r="SS5">
        <v>9.3438999999999994E-2</v>
      </c>
      <c r="ST5">
        <v>0.18883900000000001</v>
      </c>
      <c r="SU5" t="s">
        <v>1768</v>
      </c>
      <c r="SV5">
        <v>2025</v>
      </c>
      <c r="SW5" t="s">
        <v>2359</v>
      </c>
      <c r="SX5" s="6">
        <v>45838</v>
      </c>
      <c r="SY5">
        <v>5</v>
      </c>
      <c r="SZ5">
        <v>5487672</v>
      </c>
      <c r="TA5">
        <v>101689</v>
      </c>
      <c r="TB5" t="s">
        <v>2360</v>
      </c>
      <c r="TE5" t="str">
        <f>_xll.BDS("TFC US Equity","SUPPLY_CHAIN_CUSTOMERS_ALL_DATA","cols=12;rows=1")</f>
        <v>RENG IN Equity</v>
      </c>
      <c r="TF5">
        <v>-2.4245362661989844E-14</v>
      </c>
      <c r="TH5">
        <v>-2.4245362661989844E-14</v>
      </c>
      <c r="TI5" t="s">
        <v>1789</v>
      </c>
      <c r="TJ5">
        <v>2025</v>
      </c>
      <c r="TK5" t="s">
        <v>2271</v>
      </c>
      <c r="TL5" s="6">
        <v>45901</v>
      </c>
      <c r="TM5">
        <v>1</v>
      </c>
      <c r="TN5">
        <v>-2.4245362661989844E-14</v>
      </c>
      <c r="TO5">
        <v>182734</v>
      </c>
      <c r="TP5" t="s">
        <v>2272</v>
      </c>
      <c r="TU5" t="str">
        <f>_xll.BDS("TWX US Equity","SUPPLY_CHAIN_SUPPLIERS_ALL_DATA")</f>
        <v>#N/A N/A</v>
      </c>
      <c r="UI5" t="str">
        <f>_xll.BDS("TWX US Equity","SUPPLY_CHAIN_CUSTOMERS_ALL_DATA")</f>
        <v>#N/A N/A</v>
      </c>
      <c r="UY5" t="str">
        <f>_xll.BDS("RMK US Equity","SUPPLY_CHAIN_SUPPLIERS_ALL_DATA")</f>
        <v>#N/A N/A</v>
      </c>
      <c r="VM5" t="str">
        <f>_xll.BDS("RMK US Equity","SUPPLY_CHAIN_CUSTOMERS_ALL_DATA")</f>
        <v>#N/A N/A</v>
      </c>
    </row>
    <row r="6" spans="1:600" x14ac:dyDescent="0.25">
      <c r="BI6" t="s">
        <v>3331</v>
      </c>
      <c r="BJ6" t="s">
        <v>1808</v>
      </c>
      <c r="BK6">
        <v>1.151538</v>
      </c>
      <c r="BL6">
        <v>7.7191999999999997E-2</v>
      </c>
      <c r="BM6" t="s">
        <v>1789</v>
      </c>
      <c r="BN6">
        <v>2024</v>
      </c>
      <c r="BO6" t="s">
        <v>3966</v>
      </c>
      <c r="BP6" s="6">
        <v>45716</v>
      </c>
      <c r="BQ6">
        <v>5</v>
      </c>
      <c r="BR6">
        <v>2317499</v>
      </c>
      <c r="BS6">
        <v>35300053</v>
      </c>
      <c r="BT6" t="s">
        <v>3333</v>
      </c>
      <c r="LS6" t="s">
        <v>2016</v>
      </c>
      <c r="LT6" t="s">
        <v>1777</v>
      </c>
      <c r="LU6">
        <v>1.0368839999999999</v>
      </c>
      <c r="LV6">
        <v>1.9713000000000001E-2</v>
      </c>
      <c r="LW6" t="s">
        <v>1894</v>
      </c>
      <c r="LX6">
        <v>2025</v>
      </c>
      <c r="LY6" t="s">
        <v>2017</v>
      </c>
      <c r="LZ6" s="6">
        <v>45975</v>
      </c>
      <c r="MA6">
        <v>5</v>
      </c>
      <c r="MB6">
        <v>438049.33</v>
      </c>
      <c r="MC6">
        <v>7994346</v>
      </c>
      <c r="MD6" t="s">
        <v>2018</v>
      </c>
      <c r="MG6" t="s">
        <v>1864</v>
      </c>
      <c r="MH6">
        <v>0.121521</v>
      </c>
      <c r="MI6" t="s">
        <v>1777</v>
      </c>
      <c r="MJ6">
        <v>0.11847199999999999</v>
      </c>
      <c r="MK6" t="s">
        <v>1781</v>
      </c>
      <c r="ML6">
        <v>2025</v>
      </c>
      <c r="MM6" t="s">
        <v>1865</v>
      </c>
      <c r="MN6" s="6">
        <v>45820</v>
      </c>
      <c r="MO6">
        <v>5</v>
      </c>
      <c r="MP6">
        <v>4829866</v>
      </c>
      <c r="MQ6">
        <v>12129192</v>
      </c>
      <c r="MR6" t="s">
        <v>1866</v>
      </c>
      <c r="OA6" t="s">
        <v>4621</v>
      </c>
      <c r="OB6" t="s">
        <v>1777</v>
      </c>
      <c r="OC6">
        <v>0.57902799999999999</v>
      </c>
      <c r="OD6">
        <v>6.0229179999999998</v>
      </c>
      <c r="OE6" t="s">
        <v>1768</v>
      </c>
      <c r="OF6">
        <v>2025</v>
      </c>
      <c r="OG6" t="s">
        <v>4622</v>
      </c>
      <c r="OH6" s="6">
        <v>45910</v>
      </c>
      <c r="OI6">
        <v>5</v>
      </c>
      <c r="OJ6">
        <v>35305629.829999998</v>
      </c>
      <c r="OK6">
        <v>193775</v>
      </c>
      <c r="OL6" t="s">
        <v>4623</v>
      </c>
      <c r="PE6" t="s">
        <v>3331</v>
      </c>
      <c r="PF6" t="s">
        <v>1808</v>
      </c>
      <c r="PG6">
        <v>1.151538</v>
      </c>
      <c r="PH6">
        <v>7.7191999999999997E-2</v>
      </c>
      <c r="PI6" t="s">
        <v>1789</v>
      </c>
      <c r="PJ6">
        <v>2024</v>
      </c>
      <c r="PK6" t="s">
        <v>3966</v>
      </c>
      <c r="PL6" s="6">
        <v>45716</v>
      </c>
      <c r="PM6">
        <v>5</v>
      </c>
      <c r="PN6">
        <v>2317499</v>
      </c>
      <c r="PO6">
        <v>35300053</v>
      </c>
      <c r="PP6" t="s">
        <v>3333</v>
      </c>
      <c r="SQ6" t="s">
        <v>3331</v>
      </c>
      <c r="SR6" t="s">
        <v>1808</v>
      </c>
      <c r="SS6">
        <v>1.151538</v>
      </c>
      <c r="ST6">
        <v>7.7191999999999997E-2</v>
      </c>
      <c r="SU6" t="s">
        <v>1789</v>
      </c>
      <c r="SV6">
        <v>2024</v>
      </c>
      <c r="SW6" t="s">
        <v>3966</v>
      </c>
      <c r="SX6" s="6">
        <v>45716</v>
      </c>
      <c r="SY6">
        <v>5</v>
      </c>
      <c r="SZ6">
        <v>2317499</v>
      </c>
      <c r="TA6">
        <v>35300053</v>
      </c>
      <c r="TB6" t="s">
        <v>3333</v>
      </c>
    </row>
    <row r="7" spans="1:600" x14ac:dyDescent="0.25">
      <c r="BI7" t="s">
        <v>2493</v>
      </c>
      <c r="BJ7" t="s">
        <v>1808</v>
      </c>
      <c r="BK7">
        <v>0.492811</v>
      </c>
      <c r="BL7">
        <v>2.9784000000000001E-2</v>
      </c>
      <c r="BM7" t="s">
        <v>1781</v>
      </c>
      <c r="BN7">
        <v>2026</v>
      </c>
      <c r="BO7" t="s">
        <v>3630</v>
      </c>
      <c r="BP7" s="6">
        <v>45898</v>
      </c>
      <c r="BQ7">
        <v>5</v>
      </c>
      <c r="BR7">
        <v>889383.69</v>
      </c>
      <c r="BS7">
        <v>178651</v>
      </c>
      <c r="BT7" t="s">
        <v>2495</v>
      </c>
      <c r="LS7" t="s">
        <v>2019</v>
      </c>
      <c r="LT7" t="s">
        <v>1906</v>
      </c>
      <c r="LU7">
        <v>2.2953000000000001E-2</v>
      </c>
      <c r="LV7">
        <v>0.34573199999999998</v>
      </c>
      <c r="LW7" t="s">
        <v>1768</v>
      </c>
      <c r="LX7">
        <v>2025</v>
      </c>
      <c r="LY7" t="s">
        <v>2020</v>
      </c>
      <c r="LZ7" s="6">
        <v>45922</v>
      </c>
      <c r="MA7">
        <v>5</v>
      </c>
      <c r="MB7">
        <v>395808.42</v>
      </c>
      <c r="MC7">
        <v>186659</v>
      </c>
      <c r="MD7" t="s">
        <v>2021</v>
      </c>
      <c r="MG7" t="s">
        <v>1867</v>
      </c>
      <c r="MH7">
        <v>8.0078999999999997E-2</v>
      </c>
      <c r="MI7" t="s">
        <v>1777</v>
      </c>
      <c r="MJ7">
        <v>5.1369999999999999E-2</v>
      </c>
      <c r="MK7" t="s">
        <v>1768</v>
      </c>
      <c r="ML7">
        <v>2025</v>
      </c>
      <c r="MM7" t="s">
        <v>1868</v>
      </c>
      <c r="MN7" s="6">
        <v>45943</v>
      </c>
      <c r="MO7">
        <v>5</v>
      </c>
      <c r="MP7">
        <v>3182731</v>
      </c>
      <c r="MQ7">
        <v>101754</v>
      </c>
      <c r="MR7" t="s">
        <v>1869</v>
      </c>
      <c r="OA7" t="s">
        <v>3100</v>
      </c>
      <c r="OB7" t="s">
        <v>1777</v>
      </c>
      <c r="OC7">
        <v>3.2333000000000001E-2</v>
      </c>
      <c r="OD7">
        <v>1.1327039999999999</v>
      </c>
      <c r="OE7" t="s">
        <v>1768</v>
      </c>
      <c r="OF7">
        <v>2026</v>
      </c>
      <c r="OG7" t="s">
        <v>4624</v>
      </c>
      <c r="OH7" s="6">
        <v>46049</v>
      </c>
      <c r="OI7">
        <v>5</v>
      </c>
      <c r="OJ7">
        <v>6817492</v>
      </c>
      <c r="OK7">
        <v>101365</v>
      </c>
      <c r="OL7" t="s">
        <v>3101</v>
      </c>
      <c r="PE7" t="s">
        <v>2493</v>
      </c>
      <c r="PF7" t="s">
        <v>1808</v>
      </c>
      <c r="PG7">
        <v>0.492811</v>
      </c>
      <c r="PH7">
        <v>2.9784000000000001E-2</v>
      </c>
      <c r="PI7" t="s">
        <v>1781</v>
      </c>
      <c r="PJ7">
        <v>2026</v>
      </c>
      <c r="PK7" t="s">
        <v>3630</v>
      </c>
      <c r="PL7" s="6">
        <v>45898</v>
      </c>
      <c r="PM7">
        <v>5</v>
      </c>
      <c r="PN7">
        <v>889383.69</v>
      </c>
      <c r="PO7">
        <v>178651</v>
      </c>
      <c r="PP7" t="s">
        <v>2495</v>
      </c>
      <c r="SQ7" t="s">
        <v>2493</v>
      </c>
      <c r="SR7" t="s">
        <v>1808</v>
      </c>
      <c r="SS7">
        <v>0.492811</v>
      </c>
      <c r="ST7">
        <v>2.9784000000000001E-2</v>
      </c>
      <c r="SU7" t="s">
        <v>1781</v>
      </c>
      <c r="SV7">
        <v>2026</v>
      </c>
      <c r="SW7" t="s">
        <v>3630</v>
      </c>
      <c r="SX7" s="6">
        <v>45898</v>
      </c>
      <c r="SY7">
        <v>5</v>
      </c>
      <c r="SZ7">
        <v>889383.69</v>
      </c>
      <c r="TA7">
        <v>178651</v>
      </c>
      <c r="TB7" t="s">
        <v>2495</v>
      </c>
    </row>
    <row r="8" spans="1:600" x14ac:dyDescent="0.25">
      <c r="BI8" t="s">
        <v>2839</v>
      </c>
      <c r="BK8">
        <v>0.44397199999999998</v>
      </c>
      <c r="BL8">
        <v>-2.4245362661989844E-14</v>
      </c>
      <c r="BM8" t="s">
        <v>1785</v>
      </c>
      <c r="BN8">
        <v>2024</v>
      </c>
      <c r="BO8" t="s">
        <v>3967</v>
      </c>
      <c r="BP8" s="6">
        <v>45699</v>
      </c>
      <c r="BQ8">
        <v>5</v>
      </c>
      <c r="BR8">
        <v>316250</v>
      </c>
      <c r="BS8">
        <v>10086577</v>
      </c>
      <c r="BT8" t="s">
        <v>2841</v>
      </c>
      <c r="LS8" t="s">
        <v>2022</v>
      </c>
      <c r="LT8" t="s">
        <v>1777</v>
      </c>
      <c r="LU8">
        <v>0.181979</v>
      </c>
      <c r="LV8">
        <v>8.0459999999999993E-3</v>
      </c>
      <c r="LW8" t="s">
        <v>1768</v>
      </c>
      <c r="LX8">
        <v>2026</v>
      </c>
      <c r="LY8" t="s">
        <v>2023</v>
      </c>
      <c r="LZ8" s="6">
        <v>46056</v>
      </c>
      <c r="MA8">
        <v>5</v>
      </c>
      <c r="MB8">
        <v>170799.32</v>
      </c>
      <c r="MC8">
        <v>8061855</v>
      </c>
      <c r="MD8" t="s">
        <v>2024</v>
      </c>
      <c r="MG8" t="s">
        <v>165</v>
      </c>
      <c r="MH8">
        <v>5.5352999999999999E-2</v>
      </c>
      <c r="MI8" t="s">
        <v>1777</v>
      </c>
      <c r="MJ8">
        <v>3.6423999999999998E-2</v>
      </c>
      <c r="MK8" t="s">
        <v>1781</v>
      </c>
      <c r="ML8">
        <v>2025</v>
      </c>
      <c r="MM8" t="s">
        <v>1870</v>
      </c>
      <c r="MN8" s="6">
        <v>45784</v>
      </c>
      <c r="MO8">
        <v>5</v>
      </c>
      <c r="MP8">
        <v>2200019</v>
      </c>
      <c r="MQ8">
        <v>100115</v>
      </c>
      <c r="MR8" t="s">
        <v>1871</v>
      </c>
      <c r="OA8" t="s">
        <v>4625</v>
      </c>
      <c r="OB8" t="s">
        <v>1777</v>
      </c>
      <c r="OC8">
        <v>2.3578999999999999E-2</v>
      </c>
      <c r="OD8">
        <v>0.13633799999999999</v>
      </c>
      <c r="OE8" t="s">
        <v>1781</v>
      </c>
      <c r="OF8">
        <v>2025</v>
      </c>
      <c r="OG8" t="s">
        <v>4626</v>
      </c>
      <c r="OH8" s="6">
        <v>45849</v>
      </c>
      <c r="OI8">
        <v>5</v>
      </c>
      <c r="OJ8">
        <v>853796</v>
      </c>
      <c r="OK8">
        <v>101655</v>
      </c>
      <c r="OL8" t="s">
        <v>4627</v>
      </c>
      <c r="PE8" t="s">
        <v>2839</v>
      </c>
      <c r="PG8">
        <v>0.44397199999999998</v>
      </c>
      <c r="PH8">
        <v>-2.4245362661989844E-14</v>
      </c>
      <c r="PI8" t="s">
        <v>1785</v>
      </c>
      <c r="PJ8">
        <v>2024</v>
      </c>
      <c r="PK8" t="s">
        <v>3967</v>
      </c>
      <c r="PL8" s="6">
        <v>45699</v>
      </c>
      <c r="PM8">
        <v>5</v>
      </c>
      <c r="PN8">
        <v>316250</v>
      </c>
      <c r="PO8">
        <v>10086577</v>
      </c>
      <c r="PP8" t="s">
        <v>2841</v>
      </c>
      <c r="SQ8" t="s">
        <v>2839</v>
      </c>
      <c r="SS8">
        <v>0.44397199999999998</v>
      </c>
      <c r="ST8">
        <v>-2.4245362661989844E-14</v>
      </c>
      <c r="SU8" t="s">
        <v>1785</v>
      </c>
      <c r="SV8">
        <v>2024</v>
      </c>
      <c r="SW8" t="s">
        <v>3967</v>
      </c>
      <c r="SX8" s="6">
        <v>45699</v>
      </c>
      <c r="SY8">
        <v>5</v>
      </c>
      <c r="SZ8">
        <v>316250</v>
      </c>
      <c r="TA8">
        <v>10086577</v>
      </c>
      <c r="TB8" t="s">
        <v>2841</v>
      </c>
    </row>
    <row r="9" spans="1:600" x14ac:dyDescent="0.25">
      <c r="BI9" t="s">
        <v>1995</v>
      </c>
      <c r="BK9">
        <v>-2.4245362661989844E-14</v>
      </c>
      <c r="BL9">
        <v>-2.4245362661989844E-14</v>
      </c>
      <c r="BM9" t="s">
        <v>1894</v>
      </c>
      <c r="BN9">
        <v>2025</v>
      </c>
      <c r="BO9" t="s">
        <v>2043</v>
      </c>
      <c r="BP9" s="6">
        <v>45974</v>
      </c>
      <c r="BQ9">
        <v>5</v>
      </c>
      <c r="BR9">
        <v>-2.4245362661989844E-14</v>
      </c>
      <c r="BS9">
        <v>118099</v>
      </c>
      <c r="BT9" t="s">
        <v>1998</v>
      </c>
      <c r="LS9" t="s">
        <v>2025</v>
      </c>
      <c r="LT9" t="s">
        <v>1777</v>
      </c>
      <c r="LU9">
        <v>0.146649</v>
      </c>
      <c r="LV9">
        <v>6.999E-3</v>
      </c>
      <c r="LW9" t="s">
        <v>1781</v>
      </c>
      <c r="LX9">
        <v>2025</v>
      </c>
      <c r="LY9" t="s">
        <v>2026</v>
      </c>
      <c r="LZ9" s="6">
        <v>45814</v>
      </c>
      <c r="MA9">
        <v>5</v>
      </c>
      <c r="MB9">
        <v>154990</v>
      </c>
      <c r="MC9">
        <v>136312</v>
      </c>
      <c r="MD9" t="s">
        <v>2027</v>
      </c>
      <c r="MG9" t="s">
        <v>1872</v>
      </c>
      <c r="MH9">
        <v>4.3901000000000003E-2</v>
      </c>
      <c r="MI9" t="s">
        <v>1777</v>
      </c>
      <c r="MJ9">
        <v>1.1003000000000001E-2</v>
      </c>
      <c r="MK9" t="s">
        <v>1768</v>
      </c>
      <c r="ML9">
        <v>2026</v>
      </c>
      <c r="MM9" t="s">
        <v>1873</v>
      </c>
      <c r="MN9" s="6">
        <v>45940</v>
      </c>
      <c r="MO9">
        <v>5</v>
      </c>
      <c r="MP9">
        <v>1744856</v>
      </c>
      <c r="MQ9">
        <v>100916</v>
      </c>
      <c r="MR9" t="s">
        <v>1874</v>
      </c>
      <c r="OA9" t="s">
        <v>4416</v>
      </c>
      <c r="OB9" t="s">
        <v>1777</v>
      </c>
      <c r="OC9">
        <v>8.1049999999999994E-3</v>
      </c>
      <c r="OD9">
        <v>3.3024999999999999E-2</v>
      </c>
      <c r="OE9" t="s">
        <v>1773</v>
      </c>
      <c r="OF9">
        <v>2025</v>
      </c>
      <c r="OG9" t="s">
        <v>4417</v>
      </c>
      <c r="OH9" s="6">
        <v>45974</v>
      </c>
      <c r="OI9">
        <v>5</v>
      </c>
      <c r="OJ9">
        <v>198826.32</v>
      </c>
      <c r="OK9">
        <v>193571</v>
      </c>
      <c r="OL9" t="s">
        <v>4418</v>
      </c>
      <c r="PE9" t="s">
        <v>1995</v>
      </c>
      <c r="PG9">
        <v>-2.4245362661989844E-14</v>
      </c>
      <c r="PH9">
        <v>-2.4245362661989844E-14</v>
      </c>
      <c r="PI9" t="s">
        <v>1894</v>
      </c>
      <c r="PJ9">
        <v>2025</v>
      </c>
      <c r="PK9" t="s">
        <v>2043</v>
      </c>
      <c r="PL9" s="6">
        <v>45974</v>
      </c>
      <c r="PM9">
        <v>5</v>
      </c>
      <c r="PN9">
        <v>-2.4245362661989844E-14</v>
      </c>
      <c r="PO9">
        <v>118099</v>
      </c>
      <c r="PP9" t="s">
        <v>1998</v>
      </c>
      <c r="SQ9" t="s">
        <v>1995</v>
      </c>
      <c r="SS9">
        <v>-2.4245362661989844E-14</v>
      </c>
      <c r="ST9">
        <v>-2.4245362661989844E-14</v>
      </c>
      <c r="SU9" t="s">
        <v>1894</v>
      </c>
      <c r="SV9">
        <v>2025</v>
      </c>
      <c r="SW9" t="s">
        <v>2043</v>
      </c>
      <c r="SX9" s="6">
        <v>45974</v>
      </c>
      <c r="SY9">
        <v>5</v>
      </c>
      <c r="SZ9">
        <v>-2.4245362661989844E-14</v>
      </c>
      <c r="TA9">
        <v>118099</v>
      </c>
      <c r="TB9" t="s">
        <v>1998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724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725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726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727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728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729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730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731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732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733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734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735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736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737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738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739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740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741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742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743</v>
      </c>
      <c r="AE2" s="3" t="s">
        <v>744</v>
      </c>
      <c r="BI2" s="3" t="s">
        <v>426</v>
      </c>
      <c r="CM2" s="3" t="s">
        <v>613</v>
      </c>
      <c r="DQ2" s="3" t="s">
        <v>745</v>
      </c>
      <c r="EU2" s="3" t="s">
        <v>746</v>
      </c>
      <c r="FY2" s="3" t="s">
        <v>747</v>
      </c>
      <c r="HC2" s="3" t="s">
        <v>748</v>
      </c>
      <c r="IG2" s="3" t="s">
        <v>672</v>
      </c>
      <c r="JK2" s="3" t="s">
        <v>749</v>
      </c>
      <c r="KO2" s="3" t="s">
        <v>578</v>
      </c>
      <c r="LS2" s="3" t="s">
        <v>750</v>
      </c>
      <c r="MW2" s="3" t="s">
        <v>751</v>
      </c>
      <c r="OA2" s="3" t="s">
        <v>717</v>
      </c>
      <c r="PE2" s="3" t="s">
        <v>752</v>
      </c>
      <c r="QI2" s="3" t="s">
        <v>753</v>
      </c>
      <c r="RM2" s="3" t="s">
        <v>754</v>
      </c>
      <c r="SQ2" s="3" t="s">
        <v>316</v>
      </c>
      <c r="TU2" s="3" t="s">
        <v>755</v>
      </c>
      <c r="UY2" s="3" t="s">
        <v>120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_xll.BDS("EGP US Equity","SUPPLY_CHAIN_SUPPLIERS_ALL_DATA")</f>
        <v>#N/A N/A</v>
      </c>
      <c r="O5" t="str">
        <f>_xll.BDS("EGP US Equity","SUPPLY_CHAIN_CUSTOMERS_ALL_DATA","cols=12;rows=5")</f>
        <v>AMZN US Equity</v>
      </c>
      <c r="P5">
        <v>1.5945050000000001</v>
      </c>
      <c r="Q5" t="s">
        <v>1808</v>
      </c>
      <c r="R5">
        <v>1.8471999999999999E-2</v>
      </c>
      <c r="S5" t="s">
        <v>1789</v>
      </c>
      <c r="T5">
        <v>2024</v>
      </c>
      <c r="U5" t="s">
        <v>4141</v>
      </c>
      <c r="V5" s="6">
        <v>45694</v>
      </c>
      <c r="W5">
        <v>5</v>
      </c>
      <c r="X5">
        <v>2552140</v>
      </c>
      <c r="Y5">
        <v>216952</v>
      </c>
      <c r="Z5" t="s">
        <v>1815</v>
      </c>
      <c r="AE5" t="str">
        <f>_xll.BDS("EMN US Equity","SUPPLY_CHAIN_SUPPLIERS_ALL_DATA","cols=12;rows=5")</f>
        <v>AI FP Equity</v>
      </c>
      <c r="AF5" t="s">
        <v>1777</v>
      </c>
      <c r="AG5">
        <v>0.110859</v>
      </c>
      <c r="AH5">
        <v>0.48419400000000001</v>
      </c>
      <c r="AI5" t="s">
        <v>1768</v>
      </c>
      <c r="AJ5">
        <v>2025</v>
      </c>
      <c r="AK5" t="s">
        <v>3686</v>
      </c>
      <c r="AL5" s="6">
        <v>45910</v>
      </c>
      <c r="AM5">
        <v>5</v>
      </c>
      <c r="AN5">
        <v>8620046.4000000004</v>
      </c>
      <c r="AO5">
        <v>115230</v>
      </c>
      <c r="AP5" t="s">
        <v>3622</v>
      </c>
      <c r="AS5" t="str">
        <f>_xll.BDS("EMN US Equity","SUPPLY_CHAIN_CUSTOMERS_ALL_DATA","cols=12;rows=5")</f>
        <v>JNJ US Equity</v>
      </c>
      <c r="AT5">
        <v>2.321053</v>
      </c>
      <c r="AU5" t="s">
        <v>1777</v>
      </c>
      <c r="AV5">
        <v>0.69984400000000002</v>
      </c>
      <c r="AW5" t="s">
        <v>1773</v>
      </c>
      <c r="AX5">
        <v>2025</v>
      </c>
      <c r="AY5" t="s">
        <v>2465</v>
      </c>
      <c r="AZ5" s="6">
        <v>46018</v>
      </c>
      <c r="BA5">
        <v>5</v>
      </c>
      <c r="BB5">
        <v>51109588</v>
      </c>
      <c r="BC5">
        <v>100828</v>
      </c>
      <c r="BD5" t="s">
        <v>3829</v>
      </c>
      <c r="BI5" t="str">
        <f>_xll.BDS("LBAI US Equity","SUPPLY_CHAIN_SUPPLIERS_ALL_DATA")</f>
        <v>#N/A N/A</v>
      </c>
      <c r="BW5" t="str">
        <f>_xll.BDS("LBAI US Equity","SUPPLY_CHAIN_CUSTOMERS_ALL_DATA")</f>
        <v>#N/A N/A</v>
      </c>
      <c r="CM5" t="str">
        <f>_xll.BDS("GZBX US Equity","SUPPLY_CHAIN_SUPPLIERS_ALL_DATA")</f>
        <v>#N/A N/A</v>
      </c>
      <c r="DA5" t="str">
        <f>_xll.BDS("GZBX US Equity","SUPPLY_CHAIN_CUSTOMERS_ALL_DATA")</f>
        <v>#N/A N/A</v>
      </c>
      <c r="DQ5" t="str">
        <f>_xll.BDS("GLDB US Equity","SUPPLY_CHAIN_SUPPLIERS_ALL_DATA")</f>
        <v>#N/A N/A</v>
      </c>
      <c r="EE5" t="str">
        <f>_xll.BDS("GLDB US Equity","SUPPLY_CHAIN_CUSTOMERS_ALL_DATA")</f>
        <v>#N/A N/A</v>
      </c>
      <c r="EU5" t="str">
        <f>_xll.BDS("FLS US Equity","SUPPLY_CHAIN_SUPPLIERS_ALL_DATA","cols=12;rows=5")</f>
        <v>PTC US Equity</v>
      </c>
      <c r="EV5" t="s">
        <v>1777</v>
      </c>
      <c r="EW5">
        <v>0.13831299999999999</v>
      </c>
      <c r="EX5">
        <v>0.112715</v>
      </c>
      <c r="EY5" t="s">
        <v>1768</v>
      </c>
      <c r="EZ5">
        <v>2025</v>
      </c>
      <c r="FA5" t="s">
        <v>2430</v>
      </c>
      <c r="FB5" s="6">
        <v>45833</v>
      </c>
      <c r="FC5">
        <v>5</v>
      </c>
      <c r="FD5">
        <v>880177</v>
      </c>
      <c r="FE5">
        <v>106173</v>
      </c>
      <c r="FF5" t="s">
        <v>2431</v>
      </c>
      <c r="FI5" t="str">
        <f>_xll.BDS("FLS US Equity","SUPPLY_CHAIN_CUSTOMERS_ALL_DATA","cols=12;rows=5")</f>
        <v>ARAMCO AB Equity</v>
      </c>
      <c r="FJ5">
        <v>4.8160369999999997</v>
      </c>
      <c r="FK5" t="s">
        <v>1906</v>
      </c>
      <c r="FL5">
        <v>0.44601499999999999</v>
      </c>
      <c r="FM5" t="s">
        <v>1773</v>
      </c>
      <c r="FN5">
        <v>2025</v>
      </c>
      <c r="FO5" t="s">
        <v>3278</v>
      </c>
      <c r="FP5" s="6">
        <v>45959</v>
      </c>
      <c r="FQ5">
        <v>5</v>
      </c>
      <c r="FR5">
        <v>54876408</v>
      </c>
      <c r="FS5">
        <v>948637</v>
      </c>
      <c r="FT5" t="s">
        <v>3279</v>
      </c>
      <c r="FY5" t="str">
        <f>_xll.BDS("EXE US Equity","SUPPLY_CHAIN_SUPPLIERS_ALL_DATA","cols=12;rows=5")</f>
        <v>PRIM US Equity</v>
      </c>
      <c r="FZ5" t="s">
        <v>1777</v>
      </c>
      <c r="GA5">
        <v>1.7344569999999999</v>
      </c>
      <c r="GB5">
        <v>1.9459360000000001</v>
      </c>
      <c r="GC5" t="s">
        <v>1781</v>
      </c>
      <c r="GD5">
        <v>2025</v>
      </c>
      <c r="GE5" t="s">
        <v>1979</v>
      </c>
      <c r="GF5" s="6">
        <v>45863</v>
      </c>
      <c r="GG5">
        <v>5</v>
      </c>
      <c r="GH5">
        <v>28585794</v>
      </c>
      <c r="GI5">
        <v>10832677</v>
      </c>
      <c r="GJ5" t="s">
        <v>1980</v>
      </c>
      <c r="GM5" t="str">
        <f>_xll.BDS("EXE US Equity","SUPPLY_CHAIN_CUSTOMERS_ALL_DATA","cols=12;rows=3")</f>
        <v>37895Z CY Equity</v>
      </c>
      <c r="GN5">
        <v>-2.4245362661989844E-14</v>
      </c>
      <c r="GP5">
        <v>-2.4245362661989844E-14</v>
      </c>
      <c r="GQ5" t="s">
        <v>1789</v>
      </c>
      <c r="GR5">
        <v>2023</v>
      </c>
      <c r="GS5" t="s">
        <v>4540</v>
      </c>
      <c r="GT5" s="6">
        <v>45343</v>
      </c>
      <c r="GU5">
        <v>3</v>
      </c>
      <c r="GV5">
        <v>-2.4245362661989844E-14</v>
      </c>
      <c r="GW5">
        <v>27049163</v>
      </c>
      <c r="GX5" t="s">
        <v>4541</v>
      </c>
      <c r="HC5" t="str">
        <f>_xll.BDS("DRS US Equity","SUPPLY_CHAIN_SUPPLIERS_ALL_DATA")</f>
        <v>#N/A N/A</v>
      </c>
      <c r="HQ5" t="str">
        <f>_xll.BDS("DRS US Equity","SUPPLY_CHAIN_CUSTOMERS_ALL_DATA","cols=12;rows=5")</f>
        <v>3352Z US Equity</v>
      </c>
      <c r="HR5">
        <v>81</v>
      </c>
      <c r="HT5">
        <v>-2.4245362661989844E-14</v>
      </c>
      <c r="HU5" t="s">
        <v>1773</v>
      </c>
      <c r="HV5">
        <v>2025</v>
      </c>
      <c r="HW5" t="s">
        <v>2911</v>
      </c>
      <c r="HX5" s="6">
        <v>45959</v>
      </c>
      <c r="HY5">
        <v>5</v>
      </c>
      <c r="HZ5">
        <v>777600000</v>
      </c>
      <c r="IA5">
        <v>218252</v>
      </c>
      <c r="IB5" t="s">
        <v>1798</v>
      </c>
      <c r="IG5" t="str">
        <f>_xll.BDS("ACIW US Equity","SUPPLY_CHAIN_SUPPLIERS_ALL_DATA","cols=12;rows=5")</f>
        <v>HPE US Equity</v>
      </c>
      <c r="IH5" t="s">
        <v>1777</v>
      </c>
      <c r="II5">
        <v>2.9218000000000001E-2</v>
      </c>
      <c r="IJ5">
        <v>1.04437</v>
      </c>
      <c r="IK5" t="s">
        <v>1768</v>
      </c>
      <c r="IL5">
        <v>2025</v>
      </c>
      <c r="IM5" t="s">
        <v>2091</v>
      </c>
      <c r="IN5" s="6">
        <v>45846</v>
      </c>
      <c r="IO5">
        <v>5</v>
      </c>
      <c r="IP5">
        <v>2228457</v>
      </c>
      <c r="IQ5">
        <v>42602315</v>
      </c>
      <c r="IR5" t="s">
        <v>2092</v>
      </c>
      <c r="IU5" t="str">
        <f>_xll.BDS("ACIW US Equity","SUPPLY_CHAIN_CUSTOMERS_ALL_DATA","cols=12;rows=5")</f>
        <v>0267572D SM Equity</v>
      </c>
      <c r="IV5">
        <v>-2.4245362661989844E-14</v>
      </c>
      <c r="IX5">
        <v>-2.4245362661989844E-14</v>
      </c>
      <c r="IY5" t="s">
        <v>1773</v>
      </c>
      <c r="IZ5">
        <v>2024</v>
      </c>
      <c r="JA5" t="s">
        <v>1999</v>
      </c>
      <c r="JB5" s="6">
        <v>45608</v>
      </c>
      <c r="JC5">
        <v>5</v>
      </c>
      <c r="JD5">
        <v>-2.4245362661989844E-14</v>
      </c>
      <c r="JE5">
        <v>17557381</v>
      </c>
      <c r="JF5" t="s">
        <v>3832</v>
      </c>
      <c r="JK5" t="str">
        <f>_xll.BDS("OPLK US Equity","SUPPLY_CHAIN_SUPPLIERS_ALL_DATA")</f>
        <v>#N/A N/A</v>
      </c>
      <c r="JY5" t="str">
        <f>_xll.BDS("OPLK US Equity","SUPPLY_CHAIN_CUSTOMERS_ALL_DATA")</f>
        <v>#N/A N/A</v>
      </c>
      <c r="KO5" t="str">
        <f>_xll.BDS("1837572D US Equity","SUPPLY_CHAIN_SUPPLIERS_ALL_DATA")</f>
        <v>#N/A N/A</v>
      </c>
      <c r="LC5" t="str">
        <f>_xll.BDS("1837572D US Equity","SUPPLY_CHAIN_CUSTOMERS_ALL_DATA")</f>
        <v>#N/A N/A</v>
      </c>
      <c r="LS5" t="str">
        <f>_xll.BDS("GBCI US Equity","SUPPLY_CHAIN_SUPPLIERS_ALL_DATA","cols=12;rows=1")</f>
        <v>VYX US Equity</v>
      </c>
      <c r="LU5">
        <v>-2.4245362661989844E-14</v>
      </c>
      <c r="LV5">
        <v>-2.4245362661989844E-14</v>
      </c>
      <c r="LW5" t="s">
        <v>1768</v>
      </c>
      <c r="LX5">
        <v>2023</v>
      </c>
      <c r="LY5" t="s">
        <v>1969</v>
      </c>
      <c r="LZ5" s="6">
        <v>45173</v>
      </c>
      <c r="MA5">
        <v>1</v>
      </c>
      <c r="MB5">
        <v>-2.4245362661989844E-14</v>
      </c>
      <c r="MC5">
        <v>202476</v>
      </c>
      <c r="MD5" t="s">
        <v>1970</v>
      </c>
      <c r="MG5" t="str">
        <f>_xll.BDS("GBCI US Equity","SUPPLY_CHAIN_CUSTOMERS_ALL_DATA")</f>
        <v>#N/A N/A</v>
      </c>
      <c r="MW5" t="str">
        <f>_xll.BDS("HRBT US Equity","SUPPLY_CHAIN_SUPPLIERS_ALL_DATA")</f>
        <v>#N/A N/A</v>
      </c>
      <c r="NK5" t="str">
        <f>_xll.BDS("HRBT US Equity","SUPPLY_CHAIN_CUSTOMERS_ALL_DATA")</f>
        <v>#N/A N/A</v>
      </c>
      <c r="OA5" t="str">
        <f>_xll.BDS("XBKS US Equity","SUPPLY_CHAIN_SUPPLIERS_ALL_DATA")</f>
        <v>#N/A N/A</v>
      </c>
      <c r="OO5" t="str">
        <f>_xll.BDS("XBKS US Equity","SUPPLY_CHAIN_CUSTOMERS_ALL_DATA")</f>
        <v>#N/A N/A</v>
      </c>
      <c r="PE5" t="str">
        <f>_xll.BDS("USB US Equity","SUPPLY_CHAIN_SUPPLIERS_ALL_DATA","cols=12;rows=5")</f>
        <v>INFO IN Equity</v>
      </c>
      <c r="PF5" t="s">
        <v>1808</v>
      </c>
      <c r="PG5">
        <v>1.3519060000000001</v>
      </c>
      <c r="PH5">
        <v>1.509646</v>
      </c>
      <c r="PI5" t="s">
        <v>1768</v>
      </c>
      <c r="PJ5">
        <v>2026</v>
      </c>
      <c r="PK5" t="s">
        <v>2355</v>
      </c>
      <c r="PL5" s="6">
        <v>46022</v>
      </c>
      <c r="PM5">
        <v>5</v>
      </c>
      <c r="PN5">
        <v>63385504.969999999</v>
      </c>
      <c r="PO5">
        <v>174545</v>
      </c>
      <c r="PP5" t="s">
        <v>2356</v>
      </c>
      <c r="PS5" t="str">
        <f>_xll.BDS("USB US Equity","SUPPLY_CHAIN_CUSTOMERS_ALL_DATA","cols=12;rows=2")</f>
        <v>FISV US Equity</v>
      </c>
      <c r="PT5">
        <v>-2.4245362661989844E-14</v>
      </c>
      <c r="PV5">
        <v>-2.4245362661989844E-14</v>
      </c>
      <c r="PW5" t="s">
        <v>1789</v>
      </c>
      <c r="PX5">
        <v>2023</v>
      </c>
      <c r="PY5" t="s">
        <v>2338</v>
      </c>
      <c r="PZ5" s="6">
        <v>45344</v>
      </c>
      <c r="QA5">
        <v>2</v>
      </c>
      <c r="QB5">
        <v>-2.4245362661989844E-14</v>
      </c>
      <c r="QC5">
        <v>103882</v>
      </c>
      <c r="QD5" t="s">
        <v>2046</v>
      </c>
      <c r="QI5" t="str">
        <f>_xll.BDS("CARO US Equity","SUPPLY_CHAIN_SUPPLIERS_ALL_DATA")</f>
        <v>#N/A N/A</v>
      </c>
      <c r="QW5" t="str">
        <f>_xll.BDS("CARO US Equity","SUPPLY_CHAIN_CUSTOMERS_ALL_DATA")</f>
        <v>#N/A N/A</v>
      </c>
      <c r="RM5" t="str">
        <f>_xll.BDS("TPTH US Equity","SUPPLY_CHAIN_SUPPLIERS_ALL_DATA")</f>
        <v>#N/A N/A</v>
      </c>
      <c r="SA5" t="str">
        <f>_xll.BDS("TPTH US Equity","SUPPLY_CHAIN_CUSTOMERS_ALL_DATA")</f>
        <v>#N/A N/A</v>
      </c>
      <c r="SQ5" t="str">
        <f>_xll.BDS("ACCL US Equity","SUPPLY_CHAIN_SUPPLIERS_ALL_DATA","cols=12;rows=2")</f>
        <v>3343935Z HK Equity</v>
      </c>
      <c r="SR5" t="s">
        <v>1777</v>
      </c>
      <c r="SS5">
        <v>-2.4245362661989844E-14</v>
      </c>
      <c r="ST5">
        <v>36.099997999999999</v>
      </c>
      <c r="SU5" t="s">
        <v>1789</v>
      </c>
      <c r="SV5">
        <v>2024</v>
      </c>
      <c r="SW5" t="s">
        <v>2730</v>
      </c>
      <c r="SX5" s="6">
        <v>45891</v>
      </c>
      <c r="SY5">
        <v>2</v>
      </c>
      <c r="SZ5">
        <v>203216</v>
      </c>
      <c r="TA5">
        <v>231514</v>
      </c>
      <c r="TB5" t="s">
        <v>2731</v>
      </c>
      <c r="TE5" t="str">
        <f>_xll.BDS("ACCL US Equity","SUPPLY_CHAIN_CUSTOMERS_ALL_DATA")</f>
        <v>#N/A N/A</v>
      </c>
      <c r="TU5" t="str">
        <f>_xll.BDS("1642488D US Equity","SUPPLY_CHAIN_SUPPLIERS_ALL_DATA")</f>
        <v>#N/A N/A</v>
      </c>
      <c r="UI5" t="str">
        <f>_xll.BDS("1642488D US Equity","SUPPLY_CHAIN_CUSTOMERS_ALL_DATA")</f>
        <v>#N/A N/A</v>
      </c>
      <c r="UY5" t="str">
        <f>_xll.BDS("NBTB US Equity","SUPPLY_CHAIN_SUPPLIERS_ALL_DATA","cols=12;rows=1")</f>
        <v>FRSH US Equity</v>
      </c>
      <c r="VA5">
        <v>-2.4245362661989844E-14</v>
      </c>
      <c r="VB5">
        <v>-2.4245362661989844E-14</v>
      </c>
      <c r="VC5" t="s">
        <v>1789</v>
      </c>
      <c r="VD5">
        <v>2025</v>
      </c>
      <c r="VE5" t="s">
        <v>2124</v>
      </c>
      <c r="VF5" s="6">
        <v>46063</v>
      </c>
      <c r="VG5">
        <v>1</v>
      </c>
      <c r="VH5">
        <v>-2.4245362661989844E-14</v>
      </c>
      <c r="VI5">
        <v>28498368</v>
      </c>
      <c r="VJ5" t="s">
        <v>2125</v>
      </c>
      <c r="VM5" t="str">
        <f>_xll.BDS("NBTB US Equity","SUPPLY_CHAIN_CUSTOMERS_ALL_DATA")</f>
        <v>#N/A N/A</v>
      </c>
    </row>
    <row r="6" spans="1:600" x14ac:dyDescent="0.25">
      <c r="O6" t="s">
        <v>4142</v>
      </c>
      <c r="P6">
        <v>0.69759599999999999</v>
      </c>
      <c r="R6">
        <v>-2.4245362661989844E-14</v>
      </c>
      <c r="S6" t="s">
        <v>1789</v>
      </c>
      <c r="T6">
        <v>2024</v>
      </c>
      <c r="U6" t="s">
        <v>4141</v>
      </c>
      <c r="V6" s="6">
        <v>45694</v>
      </c>
      <c r="W6">
        <v>5</v>
      </c>
      <c r="X6">
        <v>1116561.25</v>
      </c>
      <c r="Y6">
        <v>7896026</v>
      </c>
      <c r="Z6" t="s">
        <v>4143</v>
      </c>
      <c r="AE6" t="s">
        <v>3687</v>
      </c>
      <c r="AF6" t="s">
        <v>1777</v>
      </c>
      <c r="AG6">
        <v>0.23335</v>
      </c>
      <c r="AH6">
        <v>0.39701999999999998</v>
      </c>
      <c r="AI6" t="s">
        <v>1768</v>
      </c>
      <c r="AJ6">
        <v>2025</v>
      </c>
      <c r="AK6" t="s">
        <v>3688</v>
      </c>
      <c r="AL6" s="6">
        <v>45778</v>
      </c>
      <c r="AM6">
        <v>5</v>
      </c>
      <c r="AN6">
        <v>6840655</v>
      </c>
      <c r="AO6">
        <v>100019</v>
      </c>
      <c r="AP6" t="s">
        <v>3689</v>
      </c>
      <c r="AS6" t="s">
        <v>3830</v>
      </c>
      <c r="AT6">
        <v>2.0834760000000001</v>
      </c>
      <c r="AU6" t="s">
        <v>1777</v>
      </c>
      <c r="AV6">
        <v>0.33438400000000001</v>
      </c>
      <c r="AW6" t="s">
        <v>1773</v>
      </c>
      <c r="AX6">
        <v>2025</v>
      </c>
      <c r="AY6" t="s">
        <v>2465</v>
      </c>
      <c r="AZ6" s="6">
        <v>46018</v>
      </c>
      <c r="BA6">
        <v>5</v>
      </c>
      <c r="BB6">
        <v>45878144</v>
      </c>
      <c r="BC6">
        <v>112571</v>
      </c>
      <c r="BD6" t="s">
        <v>3831</v>
      </c>
      <c r="EU6" t="s">
        <v>4731</v>
      </c>
      <c r="EW6">
        <v>-2.4245362661989844E-14</v>
      </c>
      <c r="EX6">
        <v>-2.4245362661989844E-14</v>
      </c>
      <c r="EY6" t="s">
        <v>1894</v>
      </c>
      <c r="EZ6">
        <v>2025</v>
      </c>
      <c r="FA6" t="s">
        <v>4732</v>
      </c>
      <c r="FB6" s="6">
        <v>45975</v>
      </c>
      <c r="FC6">
        <v>5</v>
      </c>
      <c r="FD6">
        <v>-2.4245362661989844E-14</v>
      </c>
      <c r="FE6">
        <v>815736</v>
      </c>
      <c r="FF6" t="s">
        <v>4733</v>
      </c>
      <c r="FI6" t="s">
        <v>3280</v>
      </c>
      <c r="FJ6">
        <v>1.5451319999999999</v>
      </c>
      <c r="FK6" t="s">
        <v>1906</v>
      </c>
      <c r="FL6">
        <v>0.20391599999999999</v>
      </c>
      <c r="FM6" t="s">
        <v>1773</v>
      </c>
      <c r="FN6">
        <v>2025</v>
      </c>
      <c r="FO6" t="s">
        <v>3278</v>
      </c>
      <c r="FP6" s="6">
        <v>45959</v>
      </c>
      <c r="FQ6">
        <v>5</v>
      </c>
      <c r="FR6">
        <v>17606030</v>
      </c>
      <c r="FS6">
        <v>1404288</v>
      </c>
      <c r="FT6" t="s">
        <v>3281</v>
      </c>
      <c r="FY6" t="s">
        <v>4635</v>
      </c>
      <c r="FZ6" t="s">
        <v>1906</v>
      </c>
      <c r="GA6">
        <v>6.8882709999999996</v>
      </c>
      <c r="GB6">
        <v>4.017131</v>
      </c>
      <c r="GC6" t="s">
        <v>1768</v>
      </c>
      <c r="GD6">
        <v>2025</v>
      </c>
      <c r="GE6" t="s">
        <v>4636</v>
      </c>
      <c r="GF6" s="6">
        <v>45929</v>
      </c>
      <c r="GG6">
        <v>5</v>
      </c>
      <c r="GH6">
        <v>26392548</v>
      </c>
      <c r="GI6">
        <v>13070762</v>
      </c>
      <c r="GJ6" t="s">
        <v>4637</v>
      </c>
      <c r="GM6" t="s">
        <v>2223</v>
      </c>
      <c r="GN6">
        <v>-2.4245362661989844E-14</v>
      </c>
      <c r="GP6">
        <v>-2.4245362661989844E-14</v>
      </c>
      <c r="GQ6" t="s">
        <v>1789</v>
      </c>
      <c r="GR6">
        <v>2023</v>
      </c>
      <c r="GS6" t="s">
        <v>4540</v>
      </c>
      <c r="GT6" s="6">
        <v>45343</v>
      </c>
      <c r="GU6">
        <v>3</v>
      </c>
      <c r="GV6">
        <v>-2.4245362661989844E-14</v>
      </c>
      <c r="GW6">
        <v>9268711</v>
      </c>
      <c r="GX6" t="s">
        <v>2225</v>
      </c>
      <c r="HQ6" t="s">
        <v>208</v>
      </c>
      <c r="HR6">
        <v>0.897366</v>
      </c>
      <c r="HS6" t="s">
        <v>1777</v>
      </c>
      <c r="HT6">
        <v>5.1166000000000003E-2</v>
      </c>
      <c r="HU6" t="s">
        <v>1768</v>
      </c>
      <c r="HV6">
        <v>2025</v>
      </c>
      <c r="HW6" t="s">
        <v>2912</v>
      </c>
      <c r="HX6" s="6">
        <v>45947</v>
      </c>
      <c r="HY6">
        <v>5</v>
      </c>
      <c r="HZ6">
        <v>8803160</v>
      </c>
      <c r="IA6">
        <v>101555</v>
      </c>
      <c r="IB6" t="s">
        <v>1823</v>
      </c>
      <c r="IG6" t="s">
        <v>679</v>
      </c>
      <c r="IH6" t="s">
        <v>1777</v>
      </c>
      <c r="II6">
        <v>7.4830000000000001E-3</v>
      </c>
      <c r="IJ6">
        <v>0.50994200000000001</v>
      </c>
      <c r="IK6" t="s">
        <v>1781</v>
      </c>
      <c r="IL6">
        <v>2025</v>
      </c>
      <c r="IM6" t="s">
        <v>2093</v>
      </c>
      <c r="IN6" s="6">
        <v>45797</v>
      </c>
      <c r="IO6">
        <v>5</v>
      </c>
      <c r="IP6">
        <v>1088103</v>
      </c>
      <c r="IQ6">
        <v>100801</v>
      </c>
      <c r="IR6" t="s">
        <v>1800</v>
      </c>
      <c r="IU6" t="s">
        <v>3833</v>
      </c>
      <c r="IV6">
        <v>-2.4245362661989844E-14</v>
      </c>
      <c r="IX6">
        <v>-2.4245362661989844E-14</v>
      </c>
      <c r="IY6" t="s">
        <v>1773</v>
      </c>
      <c r="IZ6">
        <v>2024</v>
      </c>
      <c r="JA6" t="s">
        <v>1999</v>
      </c>
      <c r="JB6" s="6">
        <v>45608</v>
      </c>
      <c r="JC6">
        <v>5</v>
      </c>
      <c r="JD6">
        <v>-2.4245362661989844E-14</v>
      </c>
      <c r="JE6">
        <v>24781790</v>
      </c>
      <c r="JF6" t="s">
        <v>3834</v>
      </c>
      <c r="PE6" t="s">
        <v>1905</v>
      </c>
      <c r="PF6" t="s">
        <v>1777</v>
      </c>
      <c r="PG6">
        <v>1.2899000000000001E-2</v>
      </c>
      <c r="PH6">
        <v>0.213559</v>
      </c>
      <c r="PI6" t="s">
        <v>1773</v>
      </c>
      <c r="PJ6">
        <v>2025</v>
      </c>
      <c r="PK6" t="s">
        <v>2357</v>
      </c>
      <c r="PL6" s="6">
        <v>45843</v>
      </c>
      <c r="PM6">
        <v>5</v>
      </c>
      <c r="PN6">
        <v>9037813</v>
      </c>
      <c r="PO6">
        <v>101743</v>
      </c>
      <c r="PP6" t="s">
        <v>1908</v>
      </c>
      <c r="PS6" t="s">
        <v>2339</v>
      </c>
      <c r="PT6">
        <v>-2.4245362661989844E-14</v>
      </c>
      <c r="PV6">
        <v>-2.4245362661989844E-14</v>
      </c>
      <c r="PW6" t="s">
        <v>1773</v>
      </c>
      <c r="PX6">
        <v>2025</v>
      </c>
      <c r="PY6" t="s">
        <v>2340</v>
      </c>
      <c r="PZ6" s="6">
        <v>45966</v>
      </c>
      <c r="QA6">
        <v>2</v>
      </c>
      <c r="QB6">
        <v>-2.4245362661989844E-14</v>
      </c>
      <c r="QC6">
        <v>38748702</v>
      </c>
      <c r="QD6" t="s">
        <v>2341</v>
      </c>
      <c r="SQ6" t="s">
        <v>2732</v>
      </c>
      <c r="SR6" t="s">
        <v>1777</v>
      </c>
      <c r="SS6">
        <v>-2.4245362661989844E-14</v>
      </c>
      <c r="ST6">
        <v>26.700001</v>
      </c>
      <c r="SU6" t="s">
        <v>1789</v>
      </c>
      <c r="SV6">
        <v>2024</v>
      </c>
      <c r="SW6" t="s">
        <v>2730</v>
      </c>
      <c r="SX6" s="6">
        <v>45891</v>
      </c>
      <c r="SY6">
        <v>2</v>
      </c>
      <c r="SZ6">
        <v>150301</v>
      </c>
      <c r="TA6">
        <v>46754873</v>
      </c>
      <c r="TB6" t="s">
        <v>2733</v>
      </c>
    </row>
    <row r="7" spans="1:600" x14ac:dyDescent="0.25">
      <c r="O7" t="s">
        <v>4144</v>
      </c>
      <c r="P7">
        <v>0.69759599999999999</v>
      </c>
      <c r="R7">
        <v>-2.4245362661989844E-14</v>
      </c>
      <c r="S7" t="s">
        <v>1789</v>
      </c>
      <c r="T7">
        <v>2024</v>
      </c>
      <c r="U7" t="s">
        <v>4141</v>
      </c>
      <c r="V7" s="6">
        <v>45694</v>
      </c>
      <c r="W7">
        <v>5</v>
      </c>
      <c r="X7">
        <v>1116561.25</v>
      </c>
      <c r="Y7">
        <v>45990414</v>
      </c>
      <c r="Z7" t="s">
        <v>4145</v>
      </c>
      <c r="AE7" t="s">
        <v>3690</v>
      </c>
      <c r="AF7" t="s">
        <v>1777</v>
      </c>
      <c r="AG7">
        <v>2.1453500000000001</v>
      </c>
      <c r="AH7">
        <v>0.15345800000000001</v>
      </c>
      <c r="AI7" t="s">
        <v>2183</v>
      </c>
      <c r="AJ7">
        <v>2025</v>
      </c>
      <c r="AK7" t="s">
        <v>3691</v>
      </c>
      <c r="AL7" s="6">
        <v>46002</v>
      </c>
      <c r="AM7">
        <v>5</v>
      </c>
      <c r="AN7">
        <v>2657961.7200000002</v>
      </c>
      <c r="AO7">
        <v>23632129</v>
      </c>
      <c r="AP7" t="s">
        <v>3692</v>
      </c>
      <c r="AS7" t="s">
        <v>1887</v>
      </c>
      <c r="AT7">
        <v>1.9821549999999999</v>
      </c>
      <c r="AU7" t="s">
        <v>1777</v>
      </c>
      <c r="AV7">
        <v>0.25070100000000001</v>
      </c>
      <c r="AW7" t="s">
        <v>1773</v>
      </c>
      <c r="AX7">
        <v>2025</v>
      </c>
      <c r="AY7" t="s">
        <v>2465</v>
      </c>
      <c r="AZ7" s="6">
        <v>46018</v>
      </c>
      <c r="BA7">
        <v>5</v>
      </c>
      <c r="BB7">
        <v>43647052</v>
      </c>
      <c r="BC7">
        <v>876285</v>
      </c>
      <c r="BD7" t="s">
        <v>1888</v>
      </c>
      <c r="EU7" t="s">
        <v>4734</v>
      </c>
      <c r="EW7">
        <v>-2.4245362661989844E-14</v>
      </c>
      <c r="EX7">
        <v>-2.4245362661989844E-14</v>
      </c>
      <c r="EY7" t="s">
        <v>2183</v>
      </c>
      <c r="EZ7">
        <v>2025</v>
      </c>
      <c r="FA7" t="s">
        <v>4735</v>
      </c>
      <c r="FB7" s="6">
        <v>45896</v>
      </c>
      <c r="FC7">
        <v>5</v>
      </c>
      <c r="FD7">
        <v>-2.4245362661989844E-14</v>
      </c>
      <c r="FE7">
        <v>21720799</v>
      </c>
      <c r="FF7" t="s">
        <v>4736</v>
      </c>
      <c r="FI7" t="s">
        <v>3282</v>
      </c>
      <c r="FJ7">
        <v>0.77946400000000005</v>
      </c>
      <c r="FK7" t="s">
        <v>1906</v>
      </c>
      <c r="FL7">
        <v>0.38708300000000001</v>
      </c>
      <c r="FM7" t="s">
        <v>1785</v>
      </c>
      <c r="FN7">
        <v>2025</v>
      </c>
      <c r="FO7" t="s">
        <v>3283</v>
      </c>
      <c r="FP7" s="6">
        <v>45890</v>
      </c>
      <c r="FQ7">
        <v>5</v>
      </c>
      <c r="FR7">
        <v>8881619</v>
      </c>
      <c r="FS7">
        <v>100232</v>
      </c>
      <c r="FT7" t="s">
        <v>3284</v>
      </c>
      <c r="FY7" t="s">
        <v>2386</v>
      </c>
      <c r="FZ7" t="s">
        <v>1777</v>
      </c>
      <c r="GA7">
        <v>0.46423900000000001</v>
      </c>
      <c r="GB7">
        <v>0.187949</v>
      </c>
      <c r="GC7" t="s">
        <v>1773</v>
      </c>
      <c r="GD7">
        <v>2025</v>
      </c>
      <c r="GE7" t="s">
        <v>2387</v>
      </c>
      <c r="GF7" s="6">
        <v>46027</v>
      </c>
      <c r="GG7">
        <v>5</v>
      </c>
      <c r="GH7">
        <v>2943275</v>
      </c>
      <c r="GI7">
        <v>36965288</v>
      </c>
      <c r="GJ7" t="s">
        <v>2388</v>
      </c>
      <c r="GM7" t="s">
        <v>1517</v>
      </c>
      <c r="GN7">
        <v>-2.4245362661989844E-14</v>
      </c>
      <c r="GP7">
        <v>-2.4245362661989844E-14</v>
      </c>
      <c r="GQ7" t="s">
        <v>1789</v>
      </c>
      <c r="GR7">
        <v>2023</v>
      </c>
      <c r="GS7" t="s">
        <v>4540</v>
      </c>
      <c r="GT7" s="6">
        <v>45343</v>
      </c>
      <c r="GU7">
        <v>3</v>
      </c>
      <c r="GV7">
        <v>-2.4245362661989844E-14</v>
      </c>
      <c r="GW7">
        <v>225906</v>
      </c>
      <c r="GX7" t="s">
        <v>2232</v>
      </c>
      <c r="HQ7" t="s">
        <v>1821</v>
      </c>
      <c r="HR7">
        <v>0.82817600000000002</v>
      </c>
      <c r="HS7" t="s">
        <v>1777</v>
      </c>
      <c r="HT7">
        <v>4.6813E-2</v>
      </c>
      <c r="HU7" t="s">
        <v>1768</v>
      </c>
      <c r="HV7">
        <v>2025</v>
      </c>
      <c r="HW7" t="s">
        <v>2912</v>
      </c>
      <c r="HX7" s="6">
        <v>45947</v>
      </c>
      <c r="HY7">
        <v>5</v>
      </c>
      <c r="HZ7">
        <v>8124407</v>
      </c>
      <c r="IA7">
        <v>156923</v>
      </c>
      <c r="IB7" t="s">
        <v>1822</v>
      </c>
      <c r="IG7" t="s">
        <v>2094</v>
      </c>
      <c r="IH7" t="s">
        <v>1777</v>
      </c>
      <c r="II7">
        <v>3.7200000000000002E-3</v>
      </c>
      <c r="IJ7">
        <v>0.27725100000000003</v>
      </c>
      <c r="IK7" t="s">
        <v>1785</v>
      </c>
      <c r="IL7">
        <v>2025</v>
      </c>
      <c r="IM7" t="s">
        <v>2095</v>
      </c>
      <c r="IN7" s="6">
        <v>45848</v>
      </c>
      <c r="IO7">
        <v>5</v>
      </c>
      <c r="IP7">
        <v>591592</v>
      </c>
      <c r="IQ7">
        <v>101752</v>
      </c>
      <c r="IR7" t="s">
        <v>2096</v>
      </c>
      <c r="IU7" t="s">
        <v>3835</v>
      </c>
      <c r="IV7">
        <v>-2.4245362661989844E-14</v>
      </c>
      <c r="IX7">
        <v>-2.4245362661989844E-14</v>
      </c>
      <c r="IY7" t="s">
        <v>1773</v>
      </c>
      <c r="IZ7">
        <v>2024</v>
      </c>
      <c r="JA7" t="s">
        <v>1999</v>
      </c>
      <c r="JB7" s="6">
        <v>45608</v>
      </c>
      <c r="JC7">
        <v>5</v>
      </c>
      <c r="JD7">
        <v>-2.4245362661989844E-14</v>
      </c>
      <c r="JE7">
        <v>44569911</v>
      </c>
      <c r="JF7" t="s">
        <v>3836</v>
      </c>
      <c r="PE7" t="s">
        <v>2358</v>
      </c>
      <c r="PF7" t="s">
        <v>1808</v>
      </c>
      <c r="PG7">
        <v>0.108861</v>
      </c>
      <c r="PH7">
        <v>0.15107300000000001</v>
      </c>
      <c r="PI7" t="s">
        <v>1768</v>
      </c>
      <c r="PJ7">
        <v>2025</v>
      </c>
      <c r="PK7" t="s">
        <v>2359</v>
      </c>
      <c r="PL7" s="6">
        <v>45838</v>
      </c>
      <c r="PM7">
        <v>5</v>
      </c>
      <c r="PN7">
        <v>6393407</v>
      </c>
      <c r="PO7">
        <v>101689</v>
      </c>
      <c r="PP7" t="s">
        <v>2360</v>
      </c>
    </row>
    <row r="8" spans="1:600" x14ac:dyDescent="0.25">
      <c r="O8" t="s">
        <v>4146</v>
      </c>
      <c r="P8">
        <v>0.69759599999999999</v>
      </c>
      <c r="R8">
        <v>-2.4245362661989844E-14</v>
      </c>
      <c r="S8" t="s">
        <v>1789</v>
      </c>
      <c r="T8">
        <v>2024</v>
      </c>
      <c r="U8" t="s">
        <v>4141</v>
      </c>
      <c r="V8" s="6">
        <v>45694</v>
      </c>
      <c r="W8">
        <v>5</v>
      </c>
      <c r="X8">
        <v>1116561.25</v>
      </c>
      <c r="Y8">
        <v>385376</v>
      </c>
      <c r="Z8" t="s">
        <v>4147</v>
      </c>
      <c r="AE8" t="s">
        <v>3693</v>
      </c>
      <c r="AF8" t="s">
        <v>1777</v>
      </c>
      <c r="AG8">
        <v>0.46399000000000001</v>
      </c>
      <c r="AH8">
        <v>6.2393999999999998E-2</v>
      </c>
      <c r="AI8" t="s">
        <v>1789</v>
      </c>
      <c r="AJ8">
        <v>2024</v>
      </c>
      <c r="AK8" t="s">
        <v>3694</v>
      </c>
      <c r="AL8" s="6">
        <v>45709</v>
      </c>
      <c r="AM8">
        <v>5</v>
      </c>
      <c r="AN8">
        <v>1106249.5</v>
      </c>
      <c r="AO8">
        <v>102469</v>
      </c>
      <c r="AP8" t="s">
        <v>3695</v>
      </c>
      <c r="AS8" t="s">
        <v>2228</v>
      </c>
      <c r="AT8">
        <v>1.490785</v>
      </c>
      <c r="AU8" t="s">
        <v>1777</v>
      </c>
      <c r="AV8">
        <v>0.31898799999999999</v>
      </c>
      <c r="AW8" t="s">
        <v>1773</v>
      </c>
      <c r="AX8">
        <v>2025</v>
      </c>
      <c r="AY8" t="s">
        <v>2465</v>
      </c>
      <c r="AZ8" s="6">
        <v>46018</v>
      </c>
      <c r="BA8">
        <v>5</v>
      </c>
      <c r="BB8">
        <v>32827086</v>
      </c>
      <c r="BC8">
        <v>101215</v>
      </c>
      <c r="BD8" t="s">
        <v>2229</v>
      </c>
      <c r="EU8" t="s">
        <v>4737</v>
      </c>
      <c r="EW8">
        <v>-2.4245362661989844E-14</v>
      </c>
      <c r="EX8">
        <v>-2.4245362661989844E-14</v>
      </c>
      <c r="EY8" t="s">
        <v>1768</v>
      </c>
      <c r="EZ8">
        <v>2025</v>
      </c>
      <c r="FA8" t="s">
        <v>4738</v>
      </c>
      <c r="FB8" s="6">
        <v>45898</v>
      </c>
      <c r="FC8">
        <v>5</v>
      </c>
      <c r="FD8">
        <v>-2.4245362661989844E-14</v>
      </c>
      <c r="FE8">
        <v>17610290</v>
      </c>
      <c r="FF8" t="s">
        <v>4739</v>
      </c>
      <c r="FI8" t="s">
        <v>3285</v>
      </c>
      <c r="FJ8">
        <v>0.69022300000000003</v>
      </c>
      <c r="FK8" t="s">
        <v>1906</v>
      </c>
      <c r="FL8">
        <v>0.39363100000000001</v>
      </c>
      <c r="FM8" t="s">
        <v>1773</v>
      </c>
      <c r="FN8">
        <v>2025</v>
      </c>
      <c r="FO8" t="s">
        <v>3278</v>
      </c>
      <c r="FP8" s="6">
        <v>45959</v>
      </c>
      <c r="FQ8">
        <v>5</v>
      </c>
      <c r="FR8">
        <v>7864756</v>
      </c>
      <c r="FS8">
        <v>101106</v>
      </c>
      <c r="FT8" t="s">
        <v>3286</v>
      </c>
      <c r="FY8" t="s">
        <v>4638</v>
      </c>
      <c r="GA8">
        <v>-2.4245362661989844E-14</v>
      </c>
      <c r="GB8">
        <v>-2.4245362661989844E-14</v>
      </c>
      <c r="GC8" t="s">
        <v>1789</v>
      </c>
      <c r="GD8">
        <v>2023</v>
      </c>
      <c r="GE8" t="s">
        <v>4540</v>
      </c>
      <c r="GF8" s="6">
        <v>45343</v>
      </c>
      <c r="GG8">
        <v>5</v>
      </c>
      <c r="GH8">
        <v>-2.4245362661989844E-14</v>
      </c>
      <c r="GI8">
        <v>50563862</v>
      </c>
      <c r="GJ8" t="s">
        <v>4639</v>
      </c>
      <c r="HQ8" t="s">
        <v>210</v>
      </c>
      <c r="HR8">
        <v>0.67119499999999999</v>
      </c>
      <c r="HS8" t="s">
        <v>1777</v>
      </c>
      <c r="HT8">
        <v>8.0615000000000006E-2</v>
      </c>
      <c r="HU8" t="s">
        <v>1768</v>
      </c>
      <c r="HV8">
        <v>2025</v>
      </c>
      <c r="HW8" t="s">
        <v>2912</v>
      </c>
      <c r="HX8" s="6">
        <v>45947</v>
      </c>
      <c r="HY8">
        <v>5</v>
      </c>
      <c r="HZ8">
        <v>6584423</v>
      </c>
      <c r="IA8">
        <v>101090</v>
      </c>
      <c r="IB8" t="s">
        <v>1820</v>
      </c>
      <c r="IG8" t="s">
        <v>2097</v>
      </c>
      <c r="IH8" t="s">
        <v>1777</v>
      </c>
      <c r="II8">
        <v>0.113428</v>
      </c>
      <c r="IJ8">
        <v>3.8316000000000003E-2</v>
      </c>
      <c r="IK8" t="s">
        <v>1785</v>
      </c>
      <c r="IL8">
        <v>2024</v>
      </c>
      <c r="IM8" t="s">
        <v>2098</v>
      </c>
      <c r="IN8" s="6">
        <v>45846</v>
      </c>
      <c r="IO8">
        <v>5</v>
      </c>
      <c r="IP8">
        <v>81758</v>
      </c>
      <c r="IQ8">
        <v>847909</v>
      </c>
      <c r="IR8" t="s">
        <v>2099</v>
      </c>
      <c r="IU8" t="s">
        <v>3837</v>
      </c>
      <c r="IV8">
        <v>-2.4245362661989844E-14</v>
      </c>
      <c r="IX8">
        <v>-2.4245362661989844E-14</v>
      </c>
      <c r="IY8" t="s">
        <v>1789</v>
      </c>
      <c r="IZ8">
        <v>2025</v>
      </c>
      <c r="JA8" t="s">
        <v>3838</v>
      </c>
      <c r="JB8" s="6">
        <v>45741</v>
      </c>
      <c r="JC8">
        <v>5</v>
      </c>
      <c r="JD8">
        <v>-2.4245362661989844E-14</v>
      </c>
      <c r="JE8">
        <v>201989</v>
      </c>
      <c r="JF8" t="s">
        <v>3839</v>
      </c>
      <c r="PE8" t="s">
        <v>1951</v>
      </c>
      <c r="PF8" t="s">
        <v>1777</v>
      </c>
      <c r="PG8">
        <v>0.124473</v>
      </c>
      <c r="PH8">
        <v>0.116713</v>
      </c>
      <c r="PI8" t="s">
        <v>1785</v>
      </c>
      <c r="PJ8">
        <v>2025</v>
      </c>
      <c r="PK8" t="s">
        <v>2361</v>
      </c>
      <c r="PL8" s="6">
        <v>46071</v>
      </c>
      <c r="PM8">
        <v>5</v>
      </c>
      <c r="PN8">
        <v>4898448</v>
      </c>
      <c r="PO8">
        <v>100499</v>
      </c>
      <c r="PP8" t="s">
        <v>1953</v>
      </c>
    </row>
    <row r="9" spans="1:600" x14ac:dyDescent="0.25">
      <c r="O9" t="s">
        <v>4148</v>
      </c>
      <c r="P9">
        <v>0.69759599999999999</v>
      </c>
      <c r="Q9" t="s">
        <v>1808</v>
      </c>
      <c r="R9">
        <v>0.11457100000000001</v>
      </c>
      <c r="S9" t="s">
        <v>1789</v>
      </c>
      <c r="T9">
        <v>2024</v>
      </c>
      <c r="U9" t="s">
        <v>4141</v>
      </c>
      <c r="V9" s="6">
        <v>45694</v>
      </c>
      <c r="W9">
        <v>5</v>
      </c>
      <c r="X9">
        <v>1116561.75</v>
      </c>
      <c r="Y9">
        <v>120115</v>
      </c>
      <c r="Z9" t="s">
        <v>4149</v>
      </c>
      <c r="AE9" t="s">
        <v>2734</v>
      </c>
      <c r="AF9" t="s">
        <v>1777</v>
      </c>
      <c r="AG9">
        <v>2.4084999999999999E-2</v>
      </c>
      <c r="AH9">
        <v>4.8836999999999998E-2</v>
      </c>
      <c r="AI9" t="s">
        <v>1773</v>
      </c>
      <c r="AJ9">
        <v>2025</v>
      </c>
      <c r="AK9" t="s">
        <v>2735</v>
      </c>
      <c r="AL9" s="6">
        <v>45993</v>
      </c>
      <c r="AM9">
        <v>5</v>
      </c>
      <c r="AN9">
        <v>863929</v>
      </c>
      <c r="AO9">
        <v>100415</v>
      </c>
      <c r="AP9" t="s">
        <v>2736</v>
      </c>
      <c r="AS9" t="s">
        <v>785</v>
      </c>
      <c r="AT9">
        <v>1.3051170000000001</v>
      </c>
      <c r="AU9" t="s">
        <v>1777</v>
      </c>
      <c r="AV9">
        <v>0.246114</v>
      </c>
      <c r="AW9" t="s">
        <v>1773</v>
      </c>
      <c r="AX9">
        <v>2025</v>
      </c>
      <c r="AY9" t="s">
        <v>2465</v>
      </c>
      <c r="AZ9" s="6">
        <v>46018</v>
      </c>
      <c r="BA9">
        <v>5</v>
      </c>
      <c r="BB9">
        <v>28738676</v>
      </c>
      <c r="BC9">
        <v>100732</v>
      </c>
      <c r="BD9" t="s">
        <v>1962</v>
      </c>
      <c r="EU9" t="s">
        <v>4740</v>
      </c>
      <c r="EW9">
        <v>-2.4245362661989844E-14</v>
      </c>
      <c r="EX9">
        <v>-2.4245362661989844E-14</v>
      </c>
      <c r="EY9" t="s">
        <v>1789</v>
      </c>
      <c r="EZ9">
        <v>2022</v>
      </c>
      <c r="FA9" t="s">
        <v>4741</v>
      </c>
      <c r="FB9" s="6">
        <v>44693</v>
      </c>
      <c r="FC9">
        <v>5</v>
      </c>
      <c r="FD9">
        <v>-2.4245362661989844E-14</v>
      </c>
      <c r="FE9">
        <v>114958</v>
      </c>
      <c r="FF9" t="s">
        <v>4742</v>
      </c>
      <c r="FI9" t="s">
        <v>3287</v>
      </c>
      <c r="FJ9">
        <v>0.58602200000000004</v>
      </c>
      <c r="FK9" t="s">
        <v>1906</v>
      </c>
      <c r="FL9">
        <v>0.10989</v>
      </c>
      <c r="FM9" t="s">
        <v>1773</v>
      </c>
      <c r="FN9">
        <v>2025</v>
      </c>
      <c r="FO9" t="s">
        <v>3278</v>
      </c>
      <c r="FP9" s="6">
        <v>45959</v>
      </c>
      <c r="FQ9">
        <v>5</v>
      </c>
      <c r="FR9">
        <v>6677436</v>
      </c>
      <c r="FS9">
        <v>100546</v>
      </c>
      <c r="FT9" t="s">
        <v>3288</v>
      </c>
      <c r="FY9" t="s">
        <v>4640</v>
      </c>
      <c r="GA9">
        <v>-2.4245362661989844E-14</v>
      </c>
      <c r="GB9">
        <v>-2.4245362661989844E-14</v>
      </c>
      <c r="GC9" t="s">
        <v>1789</v>
      </c>
      <c r="GD9">
        <v>2026</v>
      </c>
      <c r="GE9" t="s">
        <v>4641</v>
      </c>
      <c r="GF9" s="6">
        <v>46077</v>
      </c>
      <c r="GG9">
        <v>5</v>
      </c>
      <c r="GH9">
        <v>-2.4245362661989844E-14</v>
      </c>
      <c r="GI9">
        <v>71762443</v>
      </c>
      <c r="GJ9" t="s">
        <v>4642</v>
      </c>
      <c r="HQ9" t="s">
        <v>2913</v>
      </c>
      <c r="HR9">
        <v>0.48005300000000001</v>
      </c>
      <c r="HS9" t="s">
        <v>1777</v>
      </c>
      <c r="HT9">
        <v>7.3125999999999997E-2</v>
      </c>
      <c r="HU9" t="s">
        <v>1768</v>
      </c>
      <c r="HV9">
        <v>2025</v>
      </c>
      <c r="HW9" t="s">
        <v>2912</v>
      </c>
      <c r="HX9" s="6">
        <v>45947</v>
      </c>
      <c r="HY9">
        <v>5</v>
      </c>
      <c r="HZ9">
        <v>4709320</v>
      </c>
      <c r="IA9">
        <v>111270</v>
      </c>
      <c r="IB9" t="s">
        <v>2914</v>
      </c>
      <c r="IG9" t="s">
        <v>2100</v>
      </c>
      <c r="II9">
        <v>-2.4245362661989844E-14</v>
      </c>
      <c r="IJ9">
        <v>-2.4245362661989844E-14</v>
      </c>
      <c r="IK9" t="s">
        <v>1789</v>
      </c>
      <c r="IL9">
        <v>2023</v>
      </c>
      <c r="IM9" t="s">
        <v>2101</v>
      </c>
      <c r="IN9" s="6">
        <v>45351</v>
      </c>
      <c r="IO9">
        <v>5</v>
      </c>
      <c r="IP9">
        <v>-2.4245362661989844E-14</v>
      </c>
      <c r="IQ9">
        <v>12409970</v>
      </c>
      <c r="IR9" t="s">
        <v>2102</v>
      </c>
      <c r="IU9" t="s">
        <v>3840</v>
      </c>
      <c r="IV9">
        <v>-2.4245362661989844E-14</v>
      </c>
      <c r="IX9">
        <v>-2.4245362661989844E-14</v>
      </c>
      <c r="IY9" t="s">
        <v>1894</v>
      </c>
      <c r="IZ9">
        <v>2025</v>
      </c>
      <c r="JA9" t="s">
        <v>3841</v>
      </c>
      <c r="JB9" s="6">
        <v>45975</v>
      </c>
      <c r="JC9">
        <v>5</v>
      </c>
      <c r="JD9">
        <v>-2.4245362661989844E-14</v>
      </c>
      <c r="JE9">
        <v>18296043</v>
      </c>
      <c r="JF9" t="s">
        <v>3842</v>
      </c>
      <c r="PE9" t="s">
        <v>2362</v>
      </c>
      <c r="PF9" t="s">
        <v>1808</v>
      </c>
      <c r="PG9">
        <v>2.7852589999999999</v>
      </c>
      <c r="PH9">
        <v>9.2419000000000001E-2</v>
      </c>
      <c r="PI9" t="s">
        <v>1789</v>
      </c>
      <c r="PJ9">
        <v>2024</v>
      </c>
      <c r="PK9" t="s">
        <v>2363</v>
      </c>
      <c r="PL9" s="6">
        <v>45702</v>
      </c>
      <c r="PM9">
        <v>5</v>
      </c>
      <c r="PN9">
        <v>3971250</v>
      </c>
      <c r="PO9">
        <v>225922</v>
      </c>
      <c r="PP9" t="s">
        <v>2364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757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758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759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760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761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762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763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764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765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766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767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768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769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770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771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772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773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774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775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776</v>
      </c>
      <c r="AE2" s="3" t="s">
        <v>308</v>
      </c>
      <c r="BI2" s="3" t="s">
        <v>777</v>
      </c>
      <c r="CM2" s="3" t="s">
        <v>778</v>
      </c>
      <c r="DQ2" s="3" t="s">
        <v>779</v>
      </c>
      <c r="EU2" s="3" t="s">
        <v>780</v>
      </c>
      <c r="FY2" s="3" t="s">
        <v>781</v>
      </c>
      <c r="HC2" s="3" t="s">
        <v>782</v>
      </c>
      <c r="IG2" s="3" t="s">
        <v>783</v>
      </c>
      <c r="JK2" s="3" t="s">
        <v>784</v>
      </c>
      <c r="KO2" s="3" t="s">
        <v>389</v>
      </c>
      <c r="LS2" s="3" t="s">
        <v>457</v>
      </c>
      <c r="MW2" s="3" t="s">
        <v>785</v>
      </c>
      <c r="OA2" s="3" t="s">
        <v>786</v>
      </c>
      <c r="PE2" s="3" t="s">
        <v>787</v>
      </c>
      <c r="QI2" s="3" t="s">
        <v>271</v>
      </c>
      <c r="RM2" s="3" t="s">
        <v>788</v>
      </c>
      <c r="SQ2" s="3" t="s">
        <v>789</v>
      </c>
      <c r="TU2" s="3" t="s">
        <v>790</v>
      </c>
      <c r="UY2" s="3" t="s">
        <v>791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_xll.BDS("AMNB US Equity","SUPPLY_CHAIN_SUPPLIERS_ALL_DATA")</f>
        <v>#N/A N/A</v>
      </c>
      <c r="O5" t="str">
        <f>_xll.BDS("AMNB US Equity","SUPPLY_CHAIN_CUSTOMERS_ALL_DATA")</f>
        <v>#N/A N/A</v>
      </c>
      <c r="AE5" t="str">
        <f>_xll.BDS("MSCC US Equity","SUPPLY_CHAIN_SUPPLIERS_ALL_DATA","cols=12;rows=1")</f>
        <v>FE US Equity</v>
      </c>
      <c r="AG5">
        <v>-2.4245362661989844E-14</v>
      </c>
      <c r="AH5">
        <v>-2.4245362661989844E-14</v>
      </c>
      <c r="AI5" t="s">
        <v>1789</v>
      </c>
      <c r="AJ5">
        <v>2021</v>
      </c>
      <c r="AK5" t="s">
        <v>1927</v>
      </c>
      <c r="AL5" s="6">
        <v>44693</v>
      </c>
      <c r="AM5">
        <v>1</v>
      </c>
      <c r="AN5">
        <v>-2.4245362661989844E-14</v>
      </c>
      <c r="AO5">
        <v>302916</v>
      </c>
      <c r="AP5" t="s">
        <v>1928</v>
      </c>
      <c r="AS5" t="str">
        <f>_xll.BDS("MSCC US Equity","SUPPLY_CHAIN_CUSTOMERS_ALL_DATA")</f>
        <v>#N/A N/A</v>
      </c>
      <c r="BI5" t="str">
        <f>_xll.BDS("GME US Equity","SUPPLY_CHAIN_SUPPLIERS_ALL_DATA","cols=12;rows=5")</f>
        <v>6758 JP Equity</v>
      </c>
      <c r="BJ5" t="s">
        <v>1777</v>
      </c>
      <c r="BK5">
        <v>0.56064899999999995</v>
      </c>
      <c r="BL5">
        <v>14.761501000000001</v>
      </c>
      <c r="BM5" t="s">
        <v>1768</v>
      </c>
      <c r="BN5">
        <v>2026</v>
      </c>
      <c r="BO5" t="s">
        <v>4805</v>
      </c>
      <c r="BP5" s="6">
        <v>45926</v>
      </c>
      <c r="BQ5">
        <v>5</v>
      </c>
      <c r="BR5">
        <v>101721504</v>
      </c>
      <c r="BS5">
        <v>101365</v>
      </c>
      <c r="BT5" t="s">
        <v>3101</v>
      </c>
      <c r="BW5" t="str">
        <f>_xll.BDS("GME US Equity","SUPPLY_CHAIN_CUSTOMERS_ALL_DATA","cols=12;rows=1")</f>
        <v>1918839D AU Equity</v>
      </c>
      <c r="BX5">
        <v>-2.4245362661989844E-14</v>
      </c>
      <c r="BZ5">
        <v>-2.4245362661989844E-14</v>
      </c>
      <c r="CA5" t="s">
        <v>1773</v>
      </c>
      <c r="CB5">
        <v>2024</v>
      </c>
      <c r="CC5" t="s">
        <v>4394</v>
      </c>
      <c r="CD5" s="6">
        <v>45266</v>
      </c>
      <c r="CE5">
        <v>1</v>
      </c>
      <c r="CF5">
        <v>-2.4245362661989844E-14</v>
      </c>
      <c r="CG5">
        <v>69735168</v>
      </c>
      <c r="CH5" t="s">
        <v>4395</v>
      </c>
      <c r="CM5" t="str">
        <f>_xll.BDS("0544801D US Equity","SUPPLY_CHAIN_SUPPLIERS_ALL_DATA")</f>
        <v>#N/A N/A</v>
      </c>
      <c r="DA5" t="str">
        <f>_xll.BDS("0544801D US Equity","SUPPLY_CHAIN_CUSTOMERS_ALL_DATA")</f>
        <v>#N/A N/A</v>
      </c>
      <c r="DQ5" t="str">
        <f>_xll.BDS("2119228Q US Equity","SUPPLY_CHAIN_SUPPLIERS_ALL_DATA")</f>
        <v>#N/A N/A</v>
      </c>
      <c r="EE5" t="str">
        <f>_xll.BDS("2119228Q US Equity","SUPPLY_CHAIN_CUSTOMERS_ALL_DATA")</f>
        <v>#N/A N/A</v>
      </c>
      <c r="EU5" t="str">
        <f>_xll.BDS("1436225D US Equity","SUPPLY_CHAIN_SUPPLIERS_ALL_DATA")</f>
        <v>#N/A N/A</v>
      </c>
      <c r="FI5" t="str">
        <f>_xll.BDS("1436225D US Equity","SUPPLY_CHAIN_CUSTOMERS_ALL_DATA")</f>
        <v>#N/A N/A</v>
      </c>
      <c r="FY5" t="str">
        <f>_xll.BDS("FMNB US Equity","SUPPLY_CHAIN_SUPPLIERS_ALL_DATA")</f>
        <v>#N/A N/A</v>
      </c>
      <c r="GM5" t="str">
        <f>_xll.BDS("FMNB US Equity","SUPPLY_CHAIN_CUSTOMERS_ALL_DATA")</f>
        <v>#N/A N/A</v>
      </c>
      <c r="HC5" t="str">
        <f>_xll.BDS("HLYW US Equity","SUPPLY_CHAIN_SUPPLIERS_ALL_DATA")</f>
        <v>#N/A N/A</v>
      </c>
      <c r="HQ5" t="str">
        <f>_xll.BDS("HLYW US Equity","SUPPLY_CHAIN_CUSTOMERS_ALL_DATA")</f>
        <v>#N/A N/A</v>
      </c>
      <c r="IG5" t="str">
        <f>_xll.BDS("HBNC US Equity","SUPPLY_CHAIN_SUPPLIERS_ALL_DATA")</f>
        <v>#N/A N/A</v>
      </c>
      <c r="IU5" t="str">
        <f>_xll.BDS("HBNC US Equity","SUPPLY_CHAIN_CUSTOMERS_ALL_DATA")</f>
        <v>#N/A N/A</v>
      </c>
      <c r="JK5" t="str">
        <f>_xll.BDS("538087Q US Equity","SUPPLY_CHAIN_SUPPLIERS_ALL_DATA")</f>
        <v>#N/A N/A</v>
      </c>
      <c r="JY5" t="str">
        <f>_xll.BDS("538087Q US Equity","SUPPLY_CHAIN_CUSTOMERS_ALL_DATA")</f>
        <v>#N/A N/A</v>
      </c>
      <c r="KO5" t="str">
        <f>_xll.BDS("MSI US Equity","SUPPLY_CHAIN_SUPPLIERS_ALL_DATA","cols=12;rows=5")</f>
        <v>SANM US Equity</v>
      </c>
      <c r="KP5" t="s">
        <v>1777</v>
      </c>
      <c r="KQ5">
        <v>11.295623000000001</v>
      </c>
      <c r="KR5">
        <v>18.250340999999999</v>
      </c>
      <c r="KS5" t="s">
        <v>1768</v>
      </c>
      <c r="KT5">
        <v>2025</v>
      </c>
      <c r="KU5" t="s">
        <v>2741</v>
      </c>
      <c r="KV5" s="6">
        <v>45791</v>
      </c>
      <c r="KW5">
        <v>5</v>
      </c>
      <c r="KX5">
        <v>224114192</v>
      </c>
      <c r="KY5">
        <v>116988</v>
      </c>
      <c r="KZ5" t="s">
        <v>2742</v>
      </c>
      <c r="LC5" t="str">
        <f>_xll.BDS("MSI US Equity","SUPPLY_CHAIN_CUSTOMERS_ALL_DATA","cols=12;rows=5")</f>
        <v>3352Z US Equity</v>
      </c>
      <c r="LD5">
        <v>8</v>
      </c>
      <c r="LF5">
        <v>-2.4245362661989844E-14</v>
      </c>
      <c r="LG5" t="s">
        <v>1789</v>
      </c>
      <c r="LH5">
        <v>2025</v>
      </c>
      <c r="LI5" t="s">
        <v>3451</v>
      </c>
      <c r="LJ5" s="6">
        <v>46065</v>
      </c>
      <c r="LK5">
        <v>5</v>
      </c>
      <c r="LL5">
        <v>233640000</v>
      </c>
      <c r="LM5">
        <v>218252</v>
      </c>
      <c r="LN5" t="s">
        <v>1798</v>
      </c>
      <c r="LS5" t="str">
        <f>_xll.BDS("NCOG US Equity","SUPPLY_CHAIN_SUPPLIERS_ALL_DATA")</f>
        <v>#N/A N/A</v>
      </c>
      <c r="MG5" t="str">
        <f>_xll.BDS("NCOG US Equity","SUPPLY_CHAIN_CUSTOMERS_ALL_DATA")</f>
        <v>#N/A N/A</v>
      </c>
      <c r="MW5" t="str">
        <f>_xll.BDS("HPQ US Equity","SUPPLY_CHAIN_SUPPLIERS_ALL_DATA","cols=12;rows=5")</f>
        <v>2356 TT Equity</v>
      </c>
      <c r="MX5" t="s">
        <v>1777</v>
      </c>
      <c r="MY5">
        <v>36.343342</v>
      </c>
      <c r="MZ5">
        <v>18.051394999999999</v>
      </c>
      <c r="NA5" t="s">
        <v>1773</v>
      </c>
      <c r="NB5">
        <v>2025</v>
      </c>
      <c r="NC5" t="s">
        <v>2653</v>
      </c>
      <c r="ND5" s="6">
        <v>46035</v>
      </c>
      <c r="NE5">
        <v>5</v>
      </c>
      <c r="NF5">
        <v>2141270971.6500001</v>
      </c>
      <c r="NG5">
        <v>193712</v>
      </c>
      <c r="NH5" t="s">
        <v>2654</v>
      </c>
      <c r="NK5" t="str">
        <f>_xll.BDS("HPQ US Equity","SUPPLY_CHAIN_CUSTOMERS_ALL_DATA","cols=12;rows=5")</f>
        <v>SNX US Equity</v>
      </c>
      <c r="NL5">
        <v>12</v>
      </c>
      <c r="NM5" t="s">
        <v>1777</v>
      </c>
      <c r="NN5">
        <v>11.690618000000001</v>
      </c>
      <c r="NO5" t="s">
        <v>1789</v>
      </c>
      <c r="NP5">
        <v>2025</v>
      </c>
      <c r="NQ5" t="s">
        <v>4775</v>
      </c>
      <c r="NR5" s="6">
        <v>46001</v>
      </c>
      <c r="NS5">
        <v>5</v>
      </c>
      <c r="NT5">
        <v>1658850048</v>
      </c>
      <c r="NU5">
        <v>1499717</v>
      </c>
      <c r="NV5" t="s">
        <v>1904</v>
      </c>
      <c r="OA5" t="str">
        <f>_xll.BDS("JAS US Equity","SUPPLY_CHAIN_SUPPLIERS_ALL_DATA","cols=12;rows=5")</f>
        <v>KIM US Equity</v>
      </c>
      <c r="OC5">
        <v>0.427145</v>
      </c>
      <c r="OD5">
        <v>-2.4245362661989844E-14</v>
      </c>
      <c r="OE5" t="s">
        <v>1789</v>
      </c>
      <c r="OF5">
        <v>2024</v>
      </c>
      <c r="OG5" t="s">
        <v>1809</v>
      </c>
      <c r="OH5" s="6">
        <v>45695</v>
      </c>
      <c r="OI5">
        <v>5</v>
      </c>
      <c r="OJ5">
        <v>2175250</v>
      </c>
      <c r="OK5">
        <v>70771731</v>
      </c>
      <c r="OL5" t="s">
        <v>3561</v>
      </c>
      <c r="OO5" t="str">
        <f>_xll.BDS("JAS US Equity","SUPPLY_CHAIN_CUSTOMERS_ALL_DATA")</f>
        <v>#N/A N/A</v>
      </c>
      <c r="PE5" t="str">
        <f>_xll.BDS("TRN US Equity","SUPPLY_CHAIN_SUPPLIERS_ALL_DATA","cols=12;rows=5")</f>
        <v>WAB US Equity</v>
      </c>
      <c r="PF5" t="s">
        <v>1777</v>
      </c>
      <c r="PG5">
        <v>0.42311900000000002</v>
      </c>
      <c r="PH5">
        <v>3.0712449999999998</v>
      </c>
      <c r="PI5" t="s">
        <v>1773</v>
      </c>
      <c r="PJ5">
        <v>2025</v>
      </c>
      <c r="PK5" t="s">
        <v>2687</v>
      </c>
      <c r="PL5" s="6">
        <v>45952</v>
      </c>
      <c r="PM5">
        <v>5</v>
      </c>
      <c r="PN5">
        <v>11449600</v>
      </c>
      <c r="PO5">
        <v>171010</v>
      </c>
      <c r="PP5" t="s">
        <v>2688</v>
      </c>
      <c r="PS5" t="str">
        <f>_xll.BDS("TRN US Equity","SUPPLY_CHAIN_CUSTOMERS_ALL_DATA","cols=12;rows=5")</f>
        <v>SHEL LN Equity</v>
      </c>
      <c r="PT5">
        <v>3.3514210000000002</v>
      </c>
      <c r="PU5" t="s">
        <v>1906</v>
      </c>
      <c r="PV5">
        <v>0.311282</v>
      </c>
      <c r="PW5" t="s">
        <v>1768</v>
      </c>
      <c r="PX5">
        <v>2025</v>
      </c>
      <c r="PY5" t="s">
        <v>2224</v>
      </c>
      <c r="PZ5" s="6">
        <v>45883</v>
      </c>
      <c r="QA5">
        <v>5</v>
      </c>
      <c r="QB5">
        <v>16964892</v>
      </c>
      <c r="QC5">
        <v>9268711</v>
      </c>
      <c r="QD5" t="s">
        <v>2225</v>
      </c>
      <c r="QI5" t="str">
        <f>_xll.BDS("MAFB US Equity","SUPPLY_CHAIN_SUPPLIERS_ALL_DATA")</f>
        <v>#N/A N/A</v>
      </c>
      <c r="QW5" t="str">
        <f>_xll.BDS("MAFB US Equity","SUPPLY_CHAIN_CUSTOMERS_ALL_DATA")</f>
        <v>#N/A N/A</v>
      </c>
      <c r="RM5" t="str">
        <f>_xll.BDS("HC US Equity","SUPPLY_CHAIN_SUPPLIERS_ALL_DATA")</f>
        <v>#N/A N/A</v>
      </c>
      <c r="SA5" t="str">
        <f>_xll.BDS("HC US Equity","SUPPLY_CHAIN_CUSTOMERS_ALL_DATA")</f>
        <v>#N/A N/A</v>
      </c>
      <c r="SQ5" t="str">
        <f>_xll.BDS("PBCT US Equity","SUPPLY_CHAIN_SUPPLIERS_ALL_DATA")</f>
        <v>#N/A N/A</v>
      </c>
      <c r="TE5" t="str">
        <f>_xll.BDS("PBCT US Equity","SUPPLY_CHAIN_CUSTOMERS_ALL_DATA")</f>
        <v>#N/A N/A</v>
      </c>
      <c r="TU5" t="str">
        <f>_xll.BDS("FFIC US Equity","SUPPLY_CHAIN_SUPPLIERS_ALL_DATA")</f>
        <v>#N/A N/A</v>
      </c>
      <c r="UI5" t="str">
        <f>_xll.BDS("FFIC US Equity","SUPPLY_CHAIN_CUSTOMERS_ALL_DATA")</f>
        <v>#N/A N/A</v>
      </c>
      <c r="UY5" t="str">
        <f>_xll.BDS("WAFD US Equity","SUPPLY_CHAIN_SUPPLIERS_ALL_DATA","cols=12;rows=2")</f>
        <v>ORCL US Equity</v>
      </c>
      <c r="UZ5" t="s">
        <v>1777</v>
      </c>
      <c r="VA5">
        <v>1.828E-3</v>
      </c>
      <c r="VB5">
        <v>0.27730700000000003</v>
      </c>
      <c r="VC5" t="s">
        <v>1785</v>
      </c>
      <c r="VD5">
        <v>2025</v>
      </c>
      <c r="VE5" t="s">
        <v>2095</v>
      </c>
      <c r="VF5" s="6">
        <v>45848</v>
      </c>
      <c r="VG5">
        <v>2</v>
      </c>
      <c r="VH5">
        <v>290707</v>
      </c>
      <c r="VI5">
        <v>101752</v>
      </c>
      <c r="VJ5" t="s">
        <v>2096</v>
      </c>
      <c r="VM5" t="str">
        <f>_xll.BDS("WAFD US Equity","SUPPLY_CHAIN_CUSTOMERS_ALL_DATA")</f>
        <v>#N/A N/A</v>
      </c>
    </row>
    <row r="6" spans="1:600" x14ac:dyDescent="0.25">
      <c r="BI6" t="s">
        <v>3802</v>
      </c>
      <c r="BJ6" t="s">
        <v>1777</v>
      </c>
      <c r="BK6">
        <v>3.205978</v>
      </c>
      <c r="BL6">
        <v>9.7945170000000008</v>
      </c>
      <c r="BM6" t="s">
        <v>1768</v>
      </c>
      <c r="BN6">
        <v>2026</v>
      </c>
      <c r="BO6" t="s">
        <v>4805</v>
      </c>
      <c r="BP6" s="6">
        <v>45926</v>
      </c>
      <c r="BQ6">
        <v>5</v>
      </c>
      <c r="BR6">
        <v>67494016</v>
      </c>
      <c r="BS6">
        <v>114322</v>
      </c>
      <c r="BT6" t="s">
        <v>3804</v>
      </c>
      <c r="KO6" t="s">
        <v>2135</v>
      </c>
      <c r="KP6" t="s">
        <v>1777</v>
      </c>
      <c r="KQ6">
        <v>0.46781499999999998</v>
      </c>
      <c r="KR6">
        <v>2.0978080000000001</v>
      </c>
      <c r="KS6" t="s">
        <v>1773</v>
      </c>
      <c r="KT6">
        <v>2025</v>
      </c>
      <c r="KU6" t="s">
        <v>2136</v>
      </c>
      <c r="KV6" s="6">
        <v>45763</v>
      </c>
      <c r="KW6">
        <v>5</v>
      </c>
      <c r="KX6">
        <v>30669952</v>
      </c>
      <c r="KY6">
        <v>136547</v>
      </c>
      <c r="KZ6" t="s">
        <v>2137</v>
      </c>
      <c r="LC6" t="s">
        <v>1902</v>
      </c>
      <c r="LD6">
        <v>2.7820800000000001</v>
      </c>
      <c r="LE6" t="s">
        <v>1777</v>
      </c>
      <c r="LF6">
        <v>0.51724400000000004</v>
      </c>
      <c r="LG6" t="s">
        <v>1785</v>
      </c>
      <c r="LH6">
        <v>2025</v>
      </c>
      <c r="LI6" t="s">
        <v>1903</v>
      </c>
      <c r="LJ6" s="6">
        <v>46056</v>
      </c>
      <c r="LK6">
        <v>5</v>
      </c>
      <c r="LL6">
        <v>83712784</v>
      </c>
      <c r="LM6">
        <v>1499717</v>
      </c>
      <c r="LN6" t="s">
        <v>1904</v>
      </c>
      <c r="MW6" t="s">
        <v>887</v>
      </c>
      <c r="MX6" t="s">
        <v>1777</v>
      </c>
      <c r="MY6">
        <v>12.003353000000001</v>
      </c>
      <c r="MZ6">
        <v>14.056165999999999</v>
      </c>
      <c r="NA6" t="s">
        <v>1785</v>
      </c>
      <c r="NB6">
        <v>2025</v>
      </c>
      <c r="NC6" t="s">
        <v>2655</v>
      </c>
      <c r="ND6" s="6">
        <v>46048</v>
      </c>
      <c r="NE6">
        <v>5</v>
      </c>
      <c r="NF6">
        <v>1641338496</v>
      </c>
      <c r="NG6">
        <v>101729</v>
      </c>
      <c r="NH6" t="s">
        <v>2656</v>
      </c>
      <c r="NK6" t="s">
        <v>1548</v>
      </c>
      <c r="NL6">
        <v>1.5894710000000001</v>
      </c>
      <c r="NM6" t="s">
        <v>1777</v>
      </c>
      <c r="NN6">
        <v>2.6168589999999998</v>
      </c>
      <c r="NO6" t="s">
        <v>1768</v>
      </c>
      <c r="NP6">
        <v>2026</v>
      </c>
      <c r="NQ6" t="s">
        <v>1961</v>
      </c>
      <c r="NR6" s="6">
        <v>45932</v>
      </c>
      <c r="NS6">
        <v>5</v>
      </c>
      <c r="NT6">
        <v>221445152</v>
      </c>
      <c r="NU6">
        <v>100197</v>
      </c>
      <c r="NV6" t="s">
        <v>3427</v>
      </c>
      <c r="OA6" t="s">
        <v>3528</v>
      </c>
      <c r="OC6">
        <v>0.41988599999999998</v>
      </c>
      <c r="OD6">
        <v>-2.4245362661989844E-14</v>
      </c>
      <c r="OE6" t="s">
        <v>1789</v>
      </c>
      <c r="OF6">
        <v>2024</v>
      </c>
      <c r="OG6" t="s">
        <v>3529</v>
      </c>
      <c r="OH6" s="6">
        <v>45698</v>
      </c>
      <c r="OI6">
        <v>5</v>
      </c>
      <c r="OJ6">
        <v>1370750</v>
      </c>
      <c r="OK6">
        <v>24112045</v>
      </c>
      <c r="OL6" t="s">
        <v>3530</v>
      </c>
      <c r="PE6" t="s">
        <v>4460</v>
      </c>
      <c r="PF6" t="s">
        <v>1777</v>
      </c>
      <c r="PG6">
        <v>3.7252E-2</v>
      </c>
      <c r="PH6">
        <v>0.26722800000000002</v>
      </c>
      <c r="PI6" t="s">
        <v>1768</v>
      </c>
      <c r="PJ6">
        <v>2025</v>
      </c>
      <c r="PK6" t="s">
        <v>4461</v>
      </c>
      <c r="PL6" s="6">
        <v>45881</v>
      </c>
      <c r="PM6">
        <v>5</v>
      </c>
      <c r="PN6">
        <v>995892.27</v>
      </c>
      <c r="PO6">
        <v>118008</v>
      </c>
      <c r="PP6" t="s">
        <v>4462</v>
      </c>
      <c r="PS6" t="s">
        <v>2226</v>
      </c>
      <c r="PT6">
        <v>2.8754689999999998</v>
      </c>
      <c r="PU6" t="s">
        <v>1906</v>
      </c>
      <c r="PV6">
        <v>2.0793750000000002</v>
      </c>
      <c r="PW6" t="s">
        <v>1768</v>
      </c>
      <c r="PX6">
        <v>2025</v>
      </c>
      <c r="PY6" t="s">
        <v>2224</v>
      </c>
      <c r="PZ6" s="6">
        <v>45883</v>
      </c>
      <c r="QA6">
        <v>5</v>
      </c>
      <c r="QB6">
        <v>14555624</v>
      </c>
      <c r="QC6">
        <v>48365107</v>
      </c>
      <c r="QD6" t="s">
        <v>2227</v>
      </c>
      <c r="UY6" t="s">
        <v>2044</v>
      </c>
      <c r="VA6">
        <v>-2.4245362661989844E-14</v>
      </c>
      <c r="VB6">
        <v>-2.4245362661989844E-14</v>
      </c>
      <c r="VC6" t="s">
        <v>1781</v>
      </c>
      <c r="VD6">
        <v>2025</v>
      </c>
      <c r="VE6" t="s">
        <v>4305</v>
      </c>
      <c r="VF6" s="6">
        <v>45771</v>
      </c>
      <c r="VG6">
        <v>2</v>
      </c>
      <c r="VH6">
        <v>-2.4245362661989844E-14</v>
      </c>
      <c r="VI6">
        <v>103882</v>
      </c>
      <c r="VJ6" t="s">
        <v>2046</v>
      </c>
    </row>
    <row r="7" spans="1:600" x14ac:dyDescent="0.25">
      <c r="BI7" t="s">
        <v>4806</v>
      </c>
      <c r="BJ7" t="s">
        <v>1777</v>
      </c>
      <c r="BK7">
        <v>1.3470869999999999</v>
      </c>
      <c r="BL7">
        <v>4.7776519999999998</v>
      </c>
      <c r="BM7" t="s">
        <v>1768</v>
      </c>
      <c r="BN7">
        <v>2026</v>
      </c>
      <c r="BO7" t="s">
        <v>4805</v>
      </c>
      <c r="BP7" s="6">
        <v>45926</v>
      </c>
      <c r="BQ7">
        <v>5</v>
      </c>
      <c r="BR7">
        <v>32922800</v>
      </c>
      <c r="BS7">
        <v>69512787</v>
      </c>
      <c r="BT7" t="s">
        <v>4807</v>
      </c>
      <c r="KO7" t="s">
        <v>2743</v>
      </c>
      <c r="KP7" t="s">
        <v>1777</v>
      </c>
      <c r="KQ7">
        <v>0.39923900000000001</v>
      </c>
      <c r="KR7">
        <v>1.515544</v>
      </c>
      <c r="KS7" t="s">
        <v>1781</v>
      </c>
      <c r="KT7">
        <v>2025</v>
      </c>
      <c r="KU7" t="s">
        <v>2744</v>
      </c>
      <c r="KV7" s="6">
        <v>45866</v>
      </c>
      <c r="KW7">
        <v>5</v>
      </c>
      <c r="KX7">
        <v>18607183.170000002</v>
      </c>
      <c r="KY7">
        <v>7359591</v>
      </c>
      <c r="KZ7" t="s">
        <v>2745</v>
      </c>
      <c r="LC7" t="s">
        <v>1548</v>
      </c>
      <c r="LD7">
        <v>0.49351600000000001</v>
      </c>
      <c r="LE7" t="s">
        <v>1777</v>
      </c>
      <c r="LF7">
        <v>0.16125400000000001</v>
      </c>
      <c r="LG7" t="s">
        <v>1768</v>
      </c>
      <c r="LH7">
        <v>2026</v>
      </c>
      <c r="LI7" t="s">
        <v>1961</v>
      </c>
      <c r="LJ7" s="6">
        <v>45932</v>
      </c>
      <c r="LK7">
        <v>5</v>
      </c>
      <c r="LL7">
        <v>13645717</v>
      </c>
      <c r="LM7">
        <v>100197</v>
      </c>
      <c r="LN7" t="s">
        <v>3427</v>
      </c>
      <c r="MW7" t="s">
        <v>2657</v>
      </c>
      <c r="MX7" t="s">
        <v>1777</v>
      </c>
      <c r="MY7">
        <v>6.8536460000000003</v>
      </c>
      <c r="MZ7">
        <v>9.6768190000000001</v>
      </c>
      <c r="NA7" t="s">
        <v>1781</v>
      </c>
      <c r="NB7">
        <v>2025</v>
      </c>
      <c r="NC7" t="s">
        <v>2658</v>
      </c>
      <c r="ND7" s="6">
        <v>45812</v>
      </c>
      <c r="NE7">
        <v>5</v>
      </c>
      <c r="NF7">
        <v>1011895282.72</v>
      </c>
      <c r="NG7">
        <v>330541</v>
      </c>
      <c r="NH7" t="s">
        <v>2659</v>
      </c>
      <c r="NK7" t="s">
        <v>4776</v>
      </c>
      <c r="NL7">
        <v>1.3641749999999999</v>
      </c>
      <c r="NM7" t="s">
        <v>1777</v>
      </c>
      <c r="NN7">
        <v>0.69426200000000005</v>
      </c>
      <c r="NO7" t="s">
        <v>1781</v>
      </c>
      <c r="NP7">
        <v>2025</v>
      </c>
      <c r="NQ7" t="s">
        <v>4777</v>
      </c>
      <c r="NR7" s="6">
        <v>45797</v>
      </c>
      <c r="NS7">
        <v>5</v>
      </c>
      <c r="NT7">
        <v>183924678.06999999</v>
      </c>
      <c r="NU7">
        <v>223340</v>
      </c>
      <c r="NV7" t="s">
        <v>4778</v>
      </c>
      <c r="OA7" t="s">
        <v>4643</v>
      </c>
      <c r="OC7">
        <v>0.68905099999999997</v>
      </c>
      <c r="OD7">
        <v>-2.4245362661989844E-14</v>
      </c>
      <c r="OE7" t="s">
        <v>1789</v>
      </c>
      <c r="OF7">
        <v>2024</v>
      </c>
      <c r="OG7" t="s">
        <v>4644</v>
      </c>
      <c r="OH7" s="6">
        <v>45708</v>
      </c>
      <c r="OI7">
        <v>5</v>
      </c>
      <c r="OJ7">
        <v>214500</v>
      </c>
      <c r="OK7">
        <v>69243428</v>
      </c>
      <c r="OL7" t="s">
        <v>4645</v>
      </c>
      <c r="PE7" t="s">
        <v>2669</v>
      </c>
      <c r="PF7" t="s">
        <v>1777</v>
      </c>
      <c r="PG7">
        <v>3.9979999999999998E-3</v>
      </c>
      <c r="PH7">
        <v>1.5101E-2</v>
      </c>
      <c r="PI7" t="s">
        <v>1773</v>
      </c>
      <c r="PJ7">
        <v>2025</v>
      </c>
      <c r="PK7" t="s">
        <v>2670</v>
      </c>
      <c r="PL7" s="6">
        <v>46042</v>
      </c>
      <c r="PM7">
        <v>5</v>
      </c>
      <c r="PN7">
        <v>47220</v>
      </c>
      <c r="PO7">
        <v>16555266</v>
      </c>
      <c r="PP7" t="s">
        <v>2671</v>
      </c>
      <c r="PS7" t="s">
        <v>2228</v>
      </c>
      <c r="PT7">
        <v>2.3449650000000002</v>
      </c>
      <c r="PU7" t="s">
        <v>1906</v>
      </c>
      <c r="PV7">
        <v>1.2584379999999999</v>
      </c>
      <c r="PW7" t="s">
        <v>1768</v>
      </c>
      <c r="PX7">
        <v>2025</v>
      </c>
      <c r="PY7" t="s">
        <v>2224</v>
      </c>
      <c r="PZ7" s="6">
        <v>45883</v>
      </c>
      <c r="QA7">
        <v>5</v>
      </c>
      <c r="QB7">
        <v>11870213</v>
      </c>
      <c r="QC7">
        <v>101215</v>
      </c>
      <c r="QD7" t="s">
        <v>2229</v>
      </c>
    </row>
    <row r="8" spans="1:600" x14ac:dyDescent="0.25">
      <c r="BI8" t="s">
        <v>4621</v>
      </c>
      <c r="BJ8" t="s">
        <v>1777</v>
      </c>
      <c r="BK8">
        <v>0.53199200000000002</v>
      </c>
      <c r="BL8">
        <v>4.7124160000000002</v>
      </c>
      <c r="BM8" t="s">
        <v>1768</v>
      </c>
      <c r="BN8">
        <v>2026</v>
      </c>
      <c r="BO8" t="s">
        <v>4805</v>
      </c>
      <c r="BP8" s="6">
        <v>45926</v>
      </c>
      <c r="BQ8">
        <v>5</v>
      </c>
      <c r="BR8">
        <v>32473260</v>
      </c>
      <c r="BS8">
        <v>193775</v>
      </c>
      <c r="BT8" t="s">
        <v>4623</v>
      </c>
      <c r="KO8" t="s">
        <v>2746</v>
      </c>
      <c r="KP8" t="s">
        <v>1777</v>
      </c>
      <c r="KQ8">
        <v>0.52334800000000004</v>
      </c>
      <c r="KR8">
        <v>0.67549400000000004</v>
      </c>
      <c r="KS8" t="s">
        <v>1781</v>
      </c>
      <c r="KT8">
        <v>2025</v>
      </c>
      <c r="KU8" t="s">
        <v>2747</v>
      </c>
      <c r="KV8" s="6">
        <v>45792</v>
      </c>
      <c r="KW8">
        <v>5</v>
      </c>
      <c r="KX8">
        <v>8295066</v>
      </c>
      <c r="KY8">
        <v>15242973</v>
      </c>
      <c r="KZ8" t="s">
        <v>2748</v>
      </c>
      <c r="LC8" t="s">
        <v>1864</v>
      </c>
      <c r="LD8">
        <v>0.48504599999999998</v>
      </c>
      <c r="LE8" t="s">
        <v>1777</v>
      </c>
      <c r="LF8">
        <v>0.30077399999999999</v>
      </c>
      <c r="LG8" t="s">
        <v>1781</v>
      </c>
      <c r="LH8">
        <v>2025</v>
      </c>
      <c r="LI8" t="s">
        <v>1865</v>
      </c>
      <c r="LJ8" s="6">
        <v>45820</v>
      </c>
      <c r="LK8">
        <v>5</v>
      </c>
      <c r="LL8">
        <v>12261954</v>
      </c>
      <c r="LM8">
        <v>12129192</v>
      </c>
      <c r="LN8" t="s">
        <v>1866</v>
      </c>
      <c r="MW8" t="s">
        <v>2660</v>
      </c>
      <c r="MX8" t="s">
        <v>1777</v>
      </c>
      <c r="MY8">
        <v>4.2738360000000002</v>
      </c>
      <c r="MZ8">
        <v>6.6693020000000001</v>
      </c>
      <c r="NA8" t="s">
        <v>1773</v>
      </c>
      <c r="NB8">
        <v>2025</v>
      </c>
      <c r="NC8" t="s">
        <v>2661</v>
      </c>
      <c r="ND8" s="6">
        <v>46087</v>
      </c>
      <c r="NE8">
        <v>5</v>
      </c>
      <c r="NF8">
        <v>811049598.16999996</v>
      </c>
      <c r="NG8">
        <v>7975354</v>
      </c>
      <c r="NH8" t="s">
        <v>2662</v>
      </c>
      <c r="NK8" t="s">
        <v>1864</v>
      </c>
      <c r="NL8">
        <v>0.59423499999999996</v>
      </c>
      <c r="NM8" t="s">
        <v>1777</v>
      </c>
      <c r="NN8">
        <v>1.9269499999999999</v>
      </c>
      <c r="NO8" t="s">
        <v>1781</v>
      </c>
      <c r="NP8">
        <v>2025</v>
      </c>
      <c r="NQ8" t="s">
        <v>1865</v>
      </c>
      <c r="NR8" s="6">
        <v>45820</v>
      </c>
      <c r="NS8">
        <v>5</v>
      </c>
      <c r="NT8">
        <v>78557896</v>
      </c>
      <c r="NU8">
        <v>12129192</v>
      </c>
      <c r="NV8" t="s">
        <v>1866</v>
      </c>
      <c r="OA8" t="s">
        <v>4009</v>
      </c>
      <c r="OC8">
        <v>0.26597799999999999</v>
      </c>
      <c r="OD8">
        <v>-2.4245362661989844E-14</v>
      </c>
      <c r="OE8" t="s">
        <v>1789</v>
      </c>
      <c r="OF8">
        <v>2024</v>
      </c>
      <c r="OG8" t="s">
        <v>4646</v>
      </c>
      <c r="OH8" s="6">
        <v>45715</v>
      </c>
      <c r="OI8">
        <v>5</v>
      </c>
      <c r="OJ8">
        <v>184500</v>
      </c>
      <c r="OK8">
        <v>116906</v>
      </c>
      <c r="OL8" t="s">
        <v>4011</v>
      </c>
      <c r="PE8" t="s">
        <v>4463</v>
      </c>
      <c r="PG8">
        <v>-2.4245362661989844E-14</v>
      </c>
      <c r="PH8">
        <v>-2.4245362661989844E-14</v>
      </c>
      <c r="PI8" t="s">
        <v>2183</v>
      </c>
      <c r="PJ8">
        <v>2024</v>
      </c>
      <c r="PK8" t="s">
        <v>4464</v>
      </c>
      <c r="PL8" s="6">
        <v>45513</v>
      </c>
      <c r="PM8">
        <v>5</v>
      </c>
      <c r="PN8">
        <v>-2.4245362661989844E-14</v>
      </c>
      <c r="PO8">
        <v>8855595</v>
      </c>
      <c r="PP8" t="s">
        <v>4465</v>
      </c>
      <c r="PS8" t="s">
        <v>2230</v>
      </c>
      <c r="PT8">
        <v>1.9904569999999999</v>
      </c>
      <c r="PU8" t="s">
        <v>1906</v>
      </c>
      <c r="PV8">
        <v>4.1587490000000003</v>
      </c>
      <c r="PW8" t="s">
        <v>1768</v>
      </c>
      <c r="PX8">
        <v>2025</v>
      </c>
      <c r="PY8" t="s">
        <v>2224</v>
      </c>
      <c r="PZ8" s="6">
        <v>45883</v>
      </c>
      <c r="QA8">
        <v>5</v>
      </c>
      <c r="QB8">
        <v>10075693</v>
      </c>
      <c r="QC8">
        <v>117341</v>
      </c>
      <c r="QD8" t="s">
        <v>2231</v>
      </c>
    </row>
    <row r="9" spans="1:600" x14ac:dyDescent="0.25">
      <c r="BI9" t="s">
        <v>785</v>
      </c>
      <c r="BJ9" t="s">
        <v>1777</v>
      </c>
      <c r="BK9">
        <v>0.19225600000000001</v>
      </c>
      <c r="BL9">
        <v>3.8869739999999999</v>
      </c>
      <c r="BM9" t="s">
        <v>1768</v>
      </c>
      <c r="BN9">
        <v>2026</v>
      </c>
      <c r="BO9" t="s">
        <v>4805</v>
      </c>
      <c r="BP9" s="6">
        <v>45926</v>
      </c>
      <c r="BQ9">
        <v>5</v>
      </c>
      <c r="BR9">
        <v>26785138</v>
      </c>
      <c r="BS9">
        <v>100732</v>
      </c>
      <c r="BT9" t="s">
        <v>1962</v>
      </c>
      <c r="KO9" t="s">
        <v>2749</v>
      </c>
      <c r="KP9" t="s">
        <v>1777</v>
      </c>
      <c r="KQ9">
        <v>12.54</v>
      </c>
      <c r="KR9">
        <v>0.54083499999999995</v>
      </c>
      <c r="KS9" t="s">
        <v>1894</v>
      </c>
      <c r="KT9">
        <v>2025</v>
      </c>
      <c r="KU9" t="s">
        <v>2750</v>
      </c>
      <c r="KV9" s="6">
        <v>45954</v>
      </c>
      <c r="KW9">
        <v>5</v>
      </c>
      <c r="KX9">
        <v>7432423.6699999999</v>
      </c>
      <c r="KY9">
        <v>13138644</v>
      </c>
      <c r="KZ9" t="s">
        <v>2751</v>
      </c>
      <c r="LC9" t="s">
        <v>3452</v>
      </c>
      <c r="LD9">
        <v>0.42185099999999998</v>
      </c>
      <c r="LE9" t="s">
        <v>1777</v>
      </c>
      <c r="LF9">
        <v>43.740009000000001</v>
      </c>
      <c r="LG9" t="s">
        <v>1789</v>
      </c>
      <c r="LH9">
        <v>2024</v>
      </c>
      <c r="LI9" t="s">
        <v>3453</v>
      </c>
      <c r="LJ9" s="6">
        <v>45798</v>
      </c>
      <c r="LK9">
        <v>5</v>
      </c>
      <c r="LL9">
        <v>11679674.470000001</v>
      </c>
      <c r="LM9">
        <v>812726</v>
      </c>
      <c r="LN9" t="s">
        <v>3454</v>
      </c>
      <c r="MW9" t="s">
        <v>2601</v>
      </c>
      <c r="MX9" t="s">
        <v>1777</v>
      </c>
      <c r="MY9">
        <v>10.5</v>
      </c>
      <c r="MZ9">
        <v>7.349405</v>
      </c>
      <c r="NA9" t="s">
        <v>1789</v>
      </c>
      <c r="NB9">
        <v>2024</v>
      </c>
      <c r="NC9" t="s">
        <v>2663</v>
      </c>
      <c r="ND9" s="6">
        <v>45744</v>
      </c>
      <c r="NE9">
        <v>5</v>
      </c>
      <c r="NF9">
        <v>778954139.5</v>
      </c>
      <c r="NG9">
        <v>113389</v>
      </c>
      <c r="NH9" t="s">
        <v>2603</v>
      </c>
      <c r="NK9" t="s">
        <v>2447</v>
      </c>
      <c r="NL9">
        <v>0.56558799999999998</v>
      </c>
      <c r="NM9" t="s">
        <v>1777</v>
      </c>
      <c r="NN9">
        <v>3.5370110000000001</v>
      </c>
      <c r="NO9" t="s">
        <v>1768</v>
      </c>
      <c r="NP9">
        <v>2025</v>
      </c>
      <c r="NQ9" t="s">
        <v>2448</v>
      </c>
      <c r="NR9" s="6">
        <v>46008</v>
      </c>
      <c r="NS9">
        <v>5</v>
      </c>
      <c r="NT9">
        <v>82257509.170000002</v>
      </c>
      <c r="NU9">
        <v>349049</v>
      </c>
      <c r="NV9" t="s">
        <v>2449</v>
      </c>
      <c r="OA9" t="s">
        <v>4647</v>
      </c>
      <c r="OC9">
        <v>-2.4245362661989844E-14</v>
      </c>
      <c r="OD9">
        <v>-2.4245362661989844E-14</v>
      </c>
      <c r="OE9" t="s">
        <v>1773</v>
      </c>
      <c r="OF9">
        <v>2025</v>
      </c>
      <c r="OG9" t="s">
        <v>4648</v>
      </c>
      <c r="OH9" s="6">
        <v>45672</v>
      </c>
      <c r="OI9">
        <v>5</v>
      </c>
      <c r="OJ9">
        <v>-2.4245362661989844E-14</v>
      </c>
      <c r="OK9">
        <v>20148505</v>
      </c>
      <c r="OL9" t="s">
        <v>4649</v>
      </c>
      <c r="PE9" t="s">
        <v>2084</v>
      </c>
      <c r="PG9">
        <v>-2.4245362661989844E-14</v>
      </c>
      <c r="PH9">
        <v>-2.4245362661989844E-14</v>
      </c>
      <c r="PI9" t="s">
        <v>1789</v>
      </c>
      <c r="PJ9">
        <v>2021</v>
      </c>
      <c r="PK9" t="s">
        <v>2085</v>
      </c>
      <c r="PL9" s="6">
        <v>44693</v>
      </c>
      <c r="PM9">
        <v>5</v>
      </c>
      <c r="PN9">
        <v>-2.4245362661989844E-14</v>
      </c>
      <c r="PO9">
        <v>313098</v>
      </c>
      <c r="PP9" t="s">
        <v>2086</v>
      </c>
      <c r="PS9" t="s">
        <v>1517</v>
      </c>
      <c r="PT9">
        <v>1.6429560000000001</v>
      </c>
      <c r="PU9" t="s">
        <v>1906</v>
      </c>
      <c r="PV9">
        <v>2.0434009999999998</v>
      </c>
      <c r="PW9" t="s">
        <v>1768</v>
      </c>
      <c r="PX9">
        <v>2025</v>
      </c>
      <c r="PY9" t="s">
        <v>2224</v>
      </c>
      <c r="PZ9" s="6">
        <v>45883</v>
      </c>
      <c r="QA9">
        <v>5</v>
      </c>
      <c r="QB9">
        <v>8316643</v>
      </c>
      <c r="QC9">
        <v>225906</v>
      </c>
      <c r="QD9" t="s">
        <v>2232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792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793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794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795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796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797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798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799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800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801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802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803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804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805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806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807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808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809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810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811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812</v>
      </c>
      <c r="AE2" s="3" t="s">
        <v>813</v>
      </c>
      <c r="BI2" s="3" t="s">
        <v>325</v>
      </c>
      <c r="CM2" s="3" t="s">
        <v>269</v>
      </c>
      <c r="DQ2" s="3" t="s">
        <v>681</v>
      </c>
      <c r="EU2" s="3" t="s">
        <v>814</v>
      </c>
      <c r="FY2" s="3" t="s">
        <v>750</v>
      </c>
      <c r="HC2" s="3" t="s">
        <v>815</v>
      </c>
      <c r="IG2" s="3" t="s">
        <v>816</v>
      </c>
      <c r="JK2" s="3" t="s">
        <v>817</v>
      </c>
      <c r="KO2" s="3" t="s">
        <v>163</v>
      </c>
      <c r="LS2" s="3" t="s">
        <v>818</v>
      </c>
      <c r="MW2" s="3" t="s">
        <v>819</v>
      </c>
      <c r="OA2" s="3" t="s">
        <v>820</v>
      </c>
      <c r="PE2" s="3" t="s">
        <v>162</v>
      </c>
      <c r="QI2" s="3" t="s">
        <v>821</v>
      </c>
      <c r="RM2" s="3" t="s">
        <v>239</v>
      </c>
      <c r="SQ2" s="3" t="s">
        <v>822</v>
      </c>
      <c r="TU2" s="3" t="s">
        <v>823</v>
      </c>
      <c r="UY2" s="3" t="s">
        <v>824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_xll.BDS("SUPR US Equity","SUPPLY_CHAIN_SUPPLIERS_ALL_DATA")</f>
        <v>#N/A N/A</v>
      </c>
      <c r="O5" t="str">
        <f>_xll.BDS("SUPR US Equity","SUPPLY_CHAIN_CUSTOMERS_ALL_DATA")</f>
        <v>#N/A N/A</v>
      </c>
      <c r="AE5" t="str">
        <f>_xll.BDS("662053Q US Equity","SUPPLY_CHAIN_SUPPLIERS_ALL_DATA")</f>
        <v>#N/A N/A</v>
      </c>
      <c r="AS5" t="str">
        <f>_xll.BDS("662053Q US Equity","SUPPLY_CHAIN_CUSTOMERS_ALL_DATA")</f>
        <v>#N/A N/A</v>
      </c>
      <c r="BI5" t="str">
        <f>_xll.BDS("UB US Equity","SUPPLY_CHAIN_SUPPLIERS_ALL_DATA")</f>
        <v>#N/A N/A</v>
      </c>
      <c r="BW5" t="str">
        <f>_xll.BDS("UB US Equity","SUPPLY_CHAIN_CUSTOMERS_ALL_DATA")</f>
        <v>#N/A N/A</v>
      </c>
      <c r="CM5" t="str">
        <f>_xll.BDS("HBAN US Equity","SUPPLY_CHAIN_SUPPLIERS_ALL_DATA","cols=12;rows=4")</f>
        <v>004800 KS Equity</v>
      </c>
      <c r="CO5">
        <v>-2.4245362661989844E-14</v>
      </c>
      <c r="CP5">
        <v>-2.4245362661989844E-14</v>
      </c>
      <c r="CQ5" t="s">
        <v>1894</v>
      </c>
      <c r="CR5">
        <v>2025</v>
      </c>
      <c r="CS5" t="s">
        <v>2043</v>
      </c>
      <c r="CT5" s="6">
        <v>45974</v>
      </c>
      <c r="CU5">
        <v>4</v>
      </c>
      <c r="CV5">
        <v>-2.4245362661989844E-14</v>
      </c>
      <c r="CW5">
        <v>118099</v>
      </c>
      <c r="CX5" t="s">
        <v>1998</v>
      </c>
      <c r="DA5" t="str">
        <f>_xll.BDS("HBAN US Equity","SUPPLY_CHAIN_CUSTOMERS_ALL_DATA")</f>
        <v>#N/A N/A</v>
      </c>
      <c r="DQ5" t="str">
        <f>_xll.BDS("UBSI US Equity","SUPPLY_CHAIN_SUPPLIERS_ALL_DATA","cols=12;rows=1")</f>
        <v>FICO US Equity</v>
      </c>
      <c r="DS5">
        <v>-2.4245362661989844E-14</v>
      </c>
      <c r="DT5">
        <v>-2.4245362661989844E-14</v>
      </c>
      <c r="DU5" t="s">
        <v>1789</v>
      </c>
      <c r="DV5">
        <v>2024</v>
      </c>
      <c r="DW5" t="s">
        <v>1933</v>
      </c>
      <c r="DX5" s="6">
        <v>45348</v>
      </c>
      <c r="DY5">
        <v>1</v>
      </c>
      <c r="DZ5">
        <v>-2.4245362661989844E-14</v>
      </c>
      <c r="EA5">
        <v>103869</v>
      </c>
      <c r="EB5" t="s">
        <v>1934</v>
      </c>
      <c r="EE5" t="str">
        <f>_xll.BDS("UBSI US Equity","SUPPLY_CHAIN_CUSTOMERS_ALL_DATA")</f>
        <v>#N/A N/A</v>
      </c>
      <c r="EU5" t="str">
        <f>_xll.BDS("1023761D US Equity","SUPPLY_CHAIN_SUPPLIERS_ALL_DATA")</f>
        <v>#N/A N/A</v>
      </c>
      <c r="FI5" t="str">
        <f>_xll.BDS("1023761D US Equity","SUPPLY_CHAIN_CUSTOMERS_ALL_DATA")</f>
        <v>#N/A N/A</v>
      </c>
      <c r="FY5" t="str">
        <f>_xll.BDS("GBCI US Equity","SUPPLY_CHAIN_SUPPLIERS_ALL_DATA","cols=12;rows=1")</f>
        <v>VYX US Equity</v>
      </c>
      <c r="GA5">
        <v>-2.4245362661989844E-14</v>
      </c>
      <c r="GB5">
        <v>-2.4245362661989844E-14</v>
      </c>
      <c r="GC5" t="s">
        <v>1768</v>
      </c>
      <c r="GD5">
        <v>2023</v>
      </c>
      <c r="GE5" t="s">
        <v>1969</v>
      </c>
      <c r="GF5" s="6">
        <v>45173</v>
      </c>
      <c r="GG5">
        <v>1</v>
      </c>
      <c r="GH5">
        <v>-2.4245362661989844E-14</v>
      </c>
      <c r="GI5">
        <v>202476</v>
      </c>
      <c r="GJ5" t="s">
        <v>1970</v>
      </c>
      <c r="GM5" t="str">
        <f>_xll.BDS("GBCI US Equity","SUPPLY_CHAIN_CUSTOMERS_ALL_DATA")</f>
        <v>#N/A N/A</v>
      </c>
      <c r="HC5" t="str">
        <f>_xll.BDS("IBOC US Equity","SUPPLY_CHAIN_SUPPLIERS_ALL_DATA","cols=12;rows=1")</f>
        <v>CSGS US Equity</v>
      </c>
      <c r="HE5">
        <v>-2.4245362661989844E-14</v>
      </c>
      <c r="HF5">
        <v>-2.4245362661989844E-14</v>
      </c>
      <c r="HG5" t="s">
        <v>1785</v>
      </c>
      <c r="HH5">
        <v>2026</v>
      </c>
      <c r="HI5" t="s">
        <v>4610</v>
      </c>
      <c r="HJ5" s="6">
        <v>46078</v>
      </c>
      <c r="HK5">
        <v>1</v>
      </c>
      <c r="HL5">
        <v>-2.4245362661989844E-14</v>
      </c>
      <c r="HM5">
        <v>171490</v>
      </c>
      <c r="HN5" t="s">
        <v>4611</v>
      </c>
      <c r="HQ5" t="str">
        <f>_xll.BDS("IBOC US Equity","SUPPLY_CHAIN_CUSTOMERS_ALL_DATA")</f>
        <v>#N/A N/A</v>
      </c>
      <c r="IG5" t="str">
        <f>_xll.BDS("BRK/A US Equity","SUPPLY_CHAIN_SUPPLIERS_ALL_DATA","cols=12;rows=5")</f>
        <v>HSY US Equity</v>
      </c>
      <c r="IH5" t="s">
        <v>1777</v>
      </c>
      <c r="II5">
        <v>27</v>
      </c>
      <c r="IJ5">
        <v>1.2151259999999999</v>
      </c>
      <c r="IK5" t="s">
        <v>1789</v>
      </c>
      <c r="IL5">
        <v>2025</v>
      </c>
      <c r="IM5" t="s">
        <v>2678</v>
      </c>
      <c r="IN5" s="6">
        <v>46070</v>
      </c>
      <c r="IO5">
        <v>5</v>
      </c>
      <c r="IP5">
        <v>789248896</v>
      </c>
      <c r="IQ5">
        <v>100731</v>
      </c>
      <c r="IR5" t="s">
        <v>2679</v>
      </c>
      <c r="IU5" t="str">
        <f>_xll.BDS("BRK/A US Equity","SUPPLY_CHAIN_CUSTOMERS_ALL_DATA","cols=12;rows=5")</f>
        <v>WMT US Equity</v>
      </c>
      <c r="IV5">
        <v>2.1167449999999999</v>
      </c>
      <c r="IW5" t="s">
        <v>1777</v>
      </c>
      <c r="IX5">
        <v>1.7547349999999999</v>
      </c>
      <c r="IY5" t="s">
        <v>1789</v>
      </c>
      <c r="IZ5">
        <v>2024</v>
      </c>
      <c r="JA5" t="s">
        <v>4618</v>
      </c>
      <c r="JB5" s="6">
        <v>45712</v>
      </c>
      <c r="JC5">
        <v>5</v>
      </c>
      <c r="JD5">
        <v>2244977664</v>
      </c>
      <c r="JE5">
        <v>101616</v>
      </c>
      <c r="JF5" t="s">
        <v>1803</v>
      </c>
      <c r="JK5" t="str">
        <f>_xll.BDS("838969Q US Equity","SUPPLY_CHAIN_SUPPLIERS_ALL_DATA")</f>
        <v>#N/A N/A</v>
      </c>
      <c r="JY5" t="str">
        <f>_xll.BDS("838969Q US Equity","SUPPLY_CHAIN_CUSTOMERS_ALL_DATA")</f>
        <v>#N/A N/A</v>
      </c>
      <c r="KO5" t="str">
        <f>_xll.BDS("FNB US Equity","SUPPLY_CHAIN_SUPPLIERS_ALL_DATA","cols=12;rows=1")</f>
        <v>HY US Equity</v>
      </c>
      <c r="KQ5">
        <v>-2.4245362661989844E-14</v>
      </c>
      <c r="KR5">
        <v>-2.4245362661989844E-14</v>
      </c>
      <c r="KS5" t="s">
        <v>1789</v>
      </c>
      <c r="KT5">
        <v>2024</v>
      </c>
      <c r="KU5" t="s">
        <v>2269</v>
      </c>
      <c r="KV5" s="6">
        <v>45427</v>
      </c>
      <c r="KW5">
        <v>1</v>
      </c>
      <c r="KX5">
        <v>-2.4245362661989844E-14</v>
      </c>
      <c r="KY5">
        <v>159242</v>
      </c>
      <c r="KZ5" t="s">
        <v>2270</v>
      </c>
      <c r="LC5" t="str">
        <f>_xll.BDS("FNB US Equity","SUPPLY_CHAIN_CUSTOMERS_ALL_DATA")</f>
        <v>#N/A N/A</v>
      </c>
      <c r="LS5" t="str">
        <f>_xll.BDS("2860436Q US Equity","SUPPLY_CHAIN_SUPPLIERS_ALL_DATA")</f>
        <v>#N/A N/A</v>
      </c>
      <c r="MG5" t="str">
        <f>_xll.BDS("2860436Q US Equity","SUPPLY_CHAIN_CUSTOMERS_ALL_DATA")</f>
        <v>#N/A N/A</v>
      </c>
      <c r="MW5" t="str">
        <f>_xll.BDS("8277831Q US Equity","SUPPLY_CHAIN_SUPPLIERS_ALL_DATA")</f>
        <v>#N/A N/A</v>
      </c>
      <c r="NK5" t="str">
        <f>_xll.BDS("8277831Q US Equity","SUPPLY_CHAIN_CUSTOMERS_ALL_DATA")</f>
        <v>#N/A N/A</v>
      </c>
      <c r="OA5" t="str">
        <f>_xll.BDS("SPLP US Equity","SUPPLY_CHAIN_SUPPLIERS_ALL_DATA","cols=12;rows=5")</f>
        <v>1116L US Equity</v>
      </c>
      <c r="OC5">
        <v>-2.4245362661989844E-14</v>
      </c>
      <c r="OD5">
        <v>-2.4245362661989844E-14</v>
      </c>
      <c r="OE5" t="s">
        <v>1789</v>
      </c>
      <c r="OF5">
        <v>2022</v>
      </c>
      <c r="OG5" t="s">
        <v>4078</v>
      </c>
      <c r="OH5" s="6">
        <v>44655</v>
      </c>
      <c r="OI5">
        <v>5</v>
      </c>
      <c r="OJ5">
        <v>-2.4245362661989844E-14</v>
      </c>
      <c r="OK5">
        <v>391598</v>
      </c>
      <c r="OL5" t="s">
        <v>4079</v>
      </c>
      <c r="OO5" t="str">
        <f>_xll.BDS("SPLP US Equity","SUPPLY_CHAIN_CUSTOMERS_ALL_DATA","cols=12;rows=5")</f>
        <v>SNX US Equity</v>
      </c>
      <c r="OP5">
        <v>0.46906500000000001</v>
      </c>
      <c r="OQ5" t="s">
        <v>1777</v>
      </c>
      <c r="OR5">
        <v>1.4430999999999999E-2</v>
      </c>
      <c r="OS5" t="s">
        <v>1785</v>
      </c>
      <c r="OT5">
        <v>2025</v>
      </c>
      <c r="OU5" t="s">
        <v>1903</v>
      </c>
      <c r="OV5" s="6">
        <v>46056</v>
      </c>
      <c r="OW5">
        <v>5</v>
      </c>
      <c r="OX5">
        <v>2335569</v>
      </c>
      <c r="OY5">
        <v>1499717</v>
      </c>
      <c r="OZ5" t="s">
        <v>1904</v>
      </c>
      <c r="PE5" t="str">
        <f>_xll.BDS("1822785D US Equity","SUPPLY_CHAIN_SUPPLIERS_ALL_DATA")</f>
        <v>#N/A N/A</v>
      </c>
      <c r="PS5" t="str">
        <f>_xll.BDS("1822785D US Equity","SUPPLY_CHAIN_CUSTOMERS_ALL_DATA")</f>
        <v>#N/A N/A</v>
      </c>
      <c r="QI5" t="str">
        <f>_xll.BDS("BNCN US Equity","SUPPLY_CHAIN_SUPPLIERS_ALL_DATA")</f>
        <v>#N/A N/A</v>
      </c>
      <c r="QW5" t="str">
        <f>_xll.BDS("BNCN US Equity","SUPPLY_CHAIN_CUSTOMERS_ALL_DATA")</f>
        <v>#N/A N/A</v>
      </c>
      <c r="RM5" t="str">
        <f>_xll.BDS("ALAB US Equity","SUPPLY_CHAIN_SUPPLIERS_ALL_DATA","cols=12;rows=5")</f>
        <v>AMKR US Equity</v>
      </c>
      <c r="RN5" t="s">
        <v>1777</v>
      </c>
      <c r="RO5">
        <v>3.4271999999999997E-2</v>
      </c>
      <c r="RP5">
        <v>1.243492</v>
      </c>
      <c r="RQ5" t="s">
        <v>1773</v>
      </c>
      <c r="RR5">
        <v>2025</v>
      </c>
      <c r="RS5" t="s">
        <v>2632</v>
      </c>
      <c r="RT5" s="6">
        <v>46035</v>
      </c>
      <c r="RU5">
        <v>5</v>
      </c>
      <c r="RV5">
        <v>680974</v>
      </c>
      <c r="RW5">
        <v>302680</v>
      </c>
      <c r="RX5" t="s">
        <v>2633</v>
      </c>
      <c r="SA5" t="str">
        <f>_xll.BDS("ALAB US Equity","SUPPLY_CHAIN_CUSTOMERS_ALL_DATA","cols=12;rows=5")</f>
        <v>AMZN US Equity</v>
      </c>
      <c r="SB5">
        <v>24</v>
      </c>
      <c r="SC5" t="s">
        <v>1906</v>
      </c>
      <c r="SD5">
        <v>0.143125</v>
      </c>
      <c r="SE5" t="s">
        <v>1768</v>
      </c>
      <c r="SF5">
        <v>2025</v>
      </c>
      <c r="SG5" t="s">
        <v>3712</v>
      </c>
      <c r="SH5" s="6">
        <v>45877</v>
      </c>
      <c r="SI5">
        <v>5</v>
      </c>
      <c r="SJ5">
        <v>46062000</v>
      </c>
      <c r="SK5">
        <v>216952</v>
      </c>
      <c r="SL5" t="s">
        <v>1815</v>
      </c>
      <c r="SQ5" t="str">
        <f>_xll.BDS("MLI US Equity","SUPPLY_CHAIN_SUPPLIERS_ALL_DATA","cols=12;rows=5")</f>
        <v>301309 CH Equity</v>
      </c>
      <c r="SS5">
        <v>-2.4245362661989844E-14</v>
      </c>
      <c r="ST5">
        <v>-2.4245362661989844E-14</v>
      </c>
      <c r="SU5" t="s">
        <v>2183</v>
      </c>
      <c r="SV5">
        <v>2025</v>
      </c>
      <c r="SW5" t="s">
        <v>3796</v>
      </c>
      <c r="SX5" s="6">
        <v>45897</v>
      </c>
      <c r="SY5">
        <v>5</v>
      </c>
      <c r="SZ5">
        <v>-2.4245362661989844E-14</v>
      </c>
      <c r="TA5">
        <v>69631303</v>
      </c>
      <c r="TB5" t="s">
        <v>3797</v>
      </c>
      <c r="TE5" t="str">
        <f>_xll.BDS("MLI US Equity","SUPPLY_CHAIN_CUSTOMERS_ALL_DATA","cols=12;rows=2")</f>
        <v>WSO US Equity</v>
      </c>
      <c r="TF5">
        <v>0.178343</v>
      </c>
      <c r="TG5" t="s">
        <v>1777</v>
      </c>
      <c r="TH5">
        <v>0.139131</v>
      </c>
      <c r="TI5" t="s">
        <v>1768</v>
      </c>
      <c r="TJ5">
        <v>2025</v>
      </c>
      <c r="TK5" t="s">
        <v>3595</v>
      </c>
      <c r="TL5" s="6">
        <v>45889</v>
      </c>
      <c r="TM5">
        <v>2</v>
      </c>
      <c r="TN5">
        <v>2029857</v>
      </c>
      <c r="TO5">
        <v>107907</v>
      </c>
      <c r="TP5" t="s">
        <v>3596</v>
      </c>
      <c r="TU5" t="str">
        <f>_xll.BDS("KWD US Equity","SUPPLY_CHAIN_SUPPLIERS_ALL_DATA")</f>
        <v>#N/A N/A</v>
      </c>
      <c r="UI5" t="str">
        <f>_xll.BDS("KWD US Equity","SUPPLY_CHAIN_CUSTOMERS_ALL_DATA")</f>
        <v>#N/A N/A</v>
      </c>
      <c r="UY5" t="str">
        <f>_xll.BDS("ITGR US Equity","SUPPLY_CHAIN_SUPPLIERS_ALL_DATA","cols=12;rows=5")</f>
        <v>6201 JP Equity</v>
      </c>
      <c r="UZ5" t="s">
        <v>1906</v>
      </c>
      <c r="VA5">
        <v>8.0999999999999996E-4</v>
      </c>
      <c r="VB5">
        <v>0.29265099999999999</v>
      </c>
      <c r="VC5" t="s">
        <v>1768</v>
      </c>
      <c r="VD5">
        <v>2025</v>
      </c>
      <c r="VE5" t="s">
        <v>2104</v>
      </c>
      <c r="VF5" s="6">
        <v>46024</v>
      </c>
      <c r="VG5">
        <v>5</v>
      </c>
      <c r="VH5">
        <v>56565.87</v>
      </c>
      <c r="VI5">
        <v>115110</v>
      </c>
      <c r="VJ5" t="s">
        <v>2105</v>
      </c>
      <c r="VM5" t="str">
        <f>_xll.BDS("ITGR US Equity","SUPPLY_CHAIN_CUSTOMERS_ALL_DATA","cols=12;rows=4")</f>
        <v>082920 KS Equity</v>
      </c>
      <c r="VN5">
        <v>-2.4245362661989844E-14</v>
      </c>
      <c r="VP5">
        <v>-2.4245362661989844E-14</v>
      </c>
      <c r="VQ5" t="s">
        <v>1894</v>
      </c>
      <c r="VR5">
        <v>2025</v>
      </c>
      <c r="VS5" t="s">
        <v>1895</v>
      </c>
      <c r="VT5" s="6">
        <v>45973</v>
      </c>
      <c r="VU5">
        <v>4</v>
      </c>
      <c r="VV5">
        <v>-2.4245362661989844E-14</v>
      </c>
      <c r="VW5">
        <v>11162097</v>
      </c>
      <c r="VX5" t="s">
        <v>1896</v>
      </c>
    </row>
    <row r="6" spans="1:600" x14ac:dyDescent="0.25">
      <c r="CM6" t="s">
        <v>1963</v>
      </c>
      <c r="CO6">
        <v>-2.4245362661989844E-14</v>
      </c>
      <c r="CP6">
        <v>-2.4245362661989844E-14</v>
      </c>
      <c r="CQ6" t="s">
        <v>1789</v>
      </c>
      <c r="CR6">
        <v>2023</v>
      </c>
      <c r="CS6" t="s">
        <v>1964</v>
      </c>
      <c r="CT6" s="6">
        <v>45337</v>
      </c>
      <c r="CU6">
        <v>4</v>
      </c>
      <c r="CV6">
        <v>-2.4245362661989844E-14</v>
      </c>
      <c r="CW6">
        <v>46177523</v>
      </c>
      <c r="CX6" t="s">
        <v>1965</v>
      </c>
      <c r="IG6" t="s">
        <v>2680</v>
      </c>
      <c r="IH6" t="s">
        <v>1906</v>
      </c>
      <c r="II6">
        <v>6.6028770000000003</v>
      </c>
      <c r="IJ6">
        <v>5.0506979999999997</v>
      </c>
      <c r="IK6" t="s">
        <v>1768</v>
      </c>
      <c r="IL6">
        <v>2025</v>
      </c>
      <c r="IM6" t="s">
        <v>2681</v>
      </c>
      <c r="IN6" s="6">
        <v>45915</v>
      </c>
      <c r="IO6">
        <v>5</v>
      </c>
      <c r="IP6">
        <v>245362912</v>
      </c>
      <c r="IQ6">
        <v>101464</v>
      </c>
      <c r="IR6" t="s">
        <v>2682</v>
      </c>
      <c r="IU6" t="s">
        <v>2318</v>
      </c>
      <c r="IV6">
        <v>1.615089</v>
      </c>
      <c r="IW6" t="s">
        <v>1777</v>
      </c>
      <c r="IX6">
        <v>12.136977999999999</v>
      </c>
      <c r="IY6" t="s">
        <v>1789</v>
      </c>
      <c r="IZ6">
        <v>2024</v>
      </c>
      <c r="JA6" t="s">
        <v>4618</v>
      </c>
      <c r="JB6" s="6">
        <v>45712</v>
      </c>
      <c r="JC6">
        <v>5</v>
      </c>
      <c r="JD6">
        <v>1712931072</v>
      </c>
      <c r="JE6">
        <v>9917432</v>
      </c>
      <c r="JF6" t="s">
        <v>2320</v>
      </c>
      <c r="OA6" t="s">
        <v>2084</v>
      </c>
      <c r="OC6">
        <v>-2.4245362661989844E-14</v>
      </c>
      <c r="OD6">
        <v>-2.4245362661989844E-14</v>
      </c>
      <c r="OE6" t="s">
        <v>1789</v>
      </c>
      <c r="OF6">
        <v>2021</v>
      </c>
      <c r="OG6" t="s">
        <v>2085</v>
      </c>
      <c r="OH6" s="6">
        <v>44693</v>
      </c>
      <c r="OI6">
        <v>5</v>
      </c>
      <c r="OJ6">
        <v>-2.4245362661989844E-14</v>
      </c>
      <c r="OK6">
        <v>313098</v>
      </c>
      <c r="OL6" t="s">
        <v>2086</v>
      </c>
      <c r="OO6" t="s">
        <v>3167</v>
      </c>
      <c r="OP6">
        <v>-2.4245362661989844E-14</v>
      </c>
      <c r="OR6">
        <v>-2.4245362661989844E-14</v>
      </c>
      <c r="OS6" t="s">
        <v>1789</v>
      </c>
      <c r="OT6">
        <v>2024</v>
      </c>
      <c r="OU6" t="s">
        <v>3168</v>
      </c>
      <c r="OV6" s="6">
        <v>45799</v>
      </c>
      <c r="OW6">
        <v>5</v>
      </c>
      <c r="OX6">
        <v>-2.4245362661989844E-14</v>
      </c>
      <c r="OY6">
        <v>193931</v>
      </c>
      <c r="OZ6" t="s">
        <v>3169</v>
      </c>
      <c r="RM6" t="s">
        <v>2132</v>
      </c>
      <c r="RO6">
        <v>-2.4245362661989844E-14</v>
      </c>
      <c r="RP6">
        <v>-2.4245362661989844E-14</v>
      </c>
      <c r="RQ6" t="s">
        <v>1789</v>
      </c>
      <c r="RR6">
        <v>2025</v>
      </c>
      <c r="RS6" t="s">
        <v>2634</v>
      </c>
      <c r="RT6" s="6">
        <v>46073</v>
      </c>
      <c r="RU6">
        <v>5</v>
      </c>
      <c r="RV6">
        <v>-2.4245362661989844E-14</v>
      </c>
      <c r="RW6">
        <v>153737</v>
      </c>
      <c r="RX6" t="s">
        <v>2134</v>
      </c>
      <c r="SA6" t="s">
        <v>2126</v>
      </c>
      <c r="SB6">
        <v>13.013496</v>
      </c>
      <c r="SC6" t="s">
        <v>1777</v>
      </c>
      <c r="SD6">
        <v>0.143591</v>
      </c>
      <c r="SE6" t="s">
        <v>1768</v>
      </c>
      <c r="SF6">
        <v>2025</v>
      </c>
      <c r="SG6" t="s">
        <v>3712</v>
      </c>
      <c r="SH6" s="6">
        <v>45877</v>
      </c>
      <c r="SI6">
        <v>5</v>
      </c>
      <c r="SJ6">
        <v>24976152</v>
      </c>
      <c r="SK6">
        <v>313657</v>
      </c>
      <c r="SL6" t="s">
        <v>2128</v>
      </c>
      <c r="SQ6" t="s">
        <v>2084</v>
      </c>
      <c r="SS6">
        <v>-2.4245362661989844E-14</v>
      </c>
      <c r="ST6">
        <v>-2.4245362661989844E-14</v>
      </c>
      <c r="SU6" t="s">
        <v>1789</v>
      </c>
      <c r="SV6">
        <v>2021</v>
      </c>
      <c r="SW6" t="s">
        <v>2085</v>
      </c>
      <c r="SX6" s="6">
        <v>44693</v>
      </c>
      <c r="SY6">
        <v>5</v>
      </c>
      <c r="SZ6">
        <v>-2.4245362661989844E-14</v>
      </c>
      <c r="TA6">
        <v>313098</v>
      </c>
      <c r="TB6" t="s">
        <v>2086</v>
      </c>
      <c r="TE6" t="s">
        <v>3597</v>
      </c>
      <c r="TF6">
        <v>-2.4245362661989844E-14</v>
      </c>
      <c r="TH6">
        <v>-2.4245362661989844E-14</v>
      </c>
      <c r="TI6" t="s">
        <v>1768</v>
      </c>
      <c r="TJ6">
        <v>2025</v>
      </c>
      <c r="TK6" t="s">
        <v>3598</v>
      </c>
      <c r="TL6" s="6">
        <v>45818</v>
      </c>
      <c r="TM6">
        <v>2</v>
      </c>
      <c r="TN6">
        <v>-2.4245362661989844E-14</v>
      </c>
      <c r="TO6">
        <v>171397</v>
      </c>
      <c r="TP6" t="s">
        <v>3599</v>
      </c>
      <c r="UY6" t="s">
        <v>2106</v>
      </c>
      <c r="VA6">
        <v>-2.4245362661989844E-14</v>
      </c>
      <c r="VB6">
        <v>-2.4245362661989844E-14</v>
      </c>
      <c r="VC6" t="s">
        <v>1789</v>
      </c>
      <c r="VD6">
        <v>2023</v>
      </c>
      <c r="VE6" t="s">
        <v>2107</v>
      </c>
      <c r="VF6" s="6">
        <v>45174</v>
      </c>
      <c r="VG6">
        <v>5</v>
      </c>
      <c r="VH6">
        <v>-2.4245362661989844E-14</v>
      </c>
      <c r="VI6">
        <v>46624151</v>
      </c>
      <c r="VJ6" t="s">
        <v>2108</v>
      </c>
      <c r="VM6" t="s">
        <v>1897</v>
      </c>
      <c r="VN6">
        <v>-2.4245362661989844E-14</v>
      </c>
      <c r="VP6">
        <v>-2.4245362661989844E-14</v>
      </c>
      <c r="VQ6" t="s">
        <v>1789</v>
      </c>
      <c r="VR6">
        <v>2024</v>
      </c>
      <c r="VS6" t="s">
        <v>1898</v>
      </c>
      <c r="VT6" s="6">
        <v>45708</v>
      </c>
      <c r="VU6">
        <v>4</v>
      </c>
      <c r="VV6">
        <v>-2.4245362661989844E-14</v>
      </c>
      <c r="VW6">
        <v>100002</v>
      </c>
      <c r="VX6" t="s">
        <v>1899</v>
      </c>
    </row>
    <row r="7" spans="1:600" x14ac:dyDescent="0.25">
      <c r="CM7" t="s">
        <v>2044</v>
      </c>
      <c r="CO7">
        <v>-2.4245362661989844E-14</v>
      </c>
      <c r="CP7">
        <v>-2.4245362661989844E-14</v>
      </c>
      <c r="CQ7" t="s">
        <v>1894</v>
      </c>
      <c r="CR7">
        <v>2023</v>
      </c>
      <c r="CS7" t="s">
        <v>2045</v>
      </c>
      <c r="CT7" s="6">
        <v>45245</v>
      </c>
      <c r="CU7">
        <v>4</v>
      </c>
      <c r="CV7">
        <v>-2.4245362661989844E-14</v>
      </c>
      <c r="CW7">
        <v>103882</v>
      </c>
      <c r="CX7" t="s">
        <v>2046</v>
      </c>
      <c r="IG7" t="s">
        <v>2683</v>
      </c>
      <c r="IH7" t="s">
        <v>1777</v>
      </c>
      <c r="II7">
        <v>18</v>
      </c>
      <c r="IJ7">
        <v>0.28558099999999997</v>
      </c>
      <c r="IK7" t="s">
        <v>1789</v>
      </c>
      <c r="IL7">
        <v>2025</v>
      </c>
      <c r="IM7" t="s">
        <v>2684</v>
      </c>
      <c r="IN7" s="6">
        <v>46079</v>
      </c>
      <c r="IO7">
        <v>5</v>
      </c>
      <c r="IP7">
        <v>185490768</v>
      </c>
      <c r="IQ7">
        <v>103442</v>
      </c>
      <c r="IR7" t="s">
        <v>2685</v>
      </c>
      <c r="IU7" t="s">
        <v>4619</v>
      </c>
      <c r="IV7">
        <v>1.5294399999999999</v>
      </c>
      <c r="IX7">
        <v>-2.4245362661989844E-14</v>
      </c>
      <c r="IY7" t="s">
        <v>1789</v>
      </c>
      <c r="IZ7">
        <v>2024</v>
      </c>
      <c r="JA7" t="s">
        <v>4618</v>
      </c>
      <c r="JB7" s="6">
        <v>45712</v>
      </c>
      <c r="JC7">
        <v>5</v>
      </c>
      <c r="JD7">
        <v>1622093696</v>
      </c>
      <c r="JE7">
        <v>302359</v>
      </c>
      <c r="JF7" t="s">
        <v>4620</v>
      </c>
      <c r="OA7" t="s">
        <v>925</v>
      </c>
      <c r="OC7">
        <v>-2.4245362661989844E-14</v>
      </c>
      <c r="OD7">
        <v>-2.4245362661989844E-14</v>
      </c>
      <c r="OE7" t="s">
        <v>1789</v>
      </c>
      <c r="OF7">
        <v>2021</v>
      </c>
      <c r="OG7" t="s">
        <v>2071</v>
      </c>
      <c r="OH7" s="6">
        <v>44693</v>
      </c>
      <c r="OI7">
        <v>5</v>
      </c>
      <c r="OJ7">
        <v>-2.4245362661989844E-14</v>
      </c>
      <c r="OK7">
        <v>100760</v>
      </c>
      <c r="OL7" t="s">
        <v>2072</v>
      </c>
      <c r="OO7" t="s">
        <v>3170</v>
      </c>
      <c r="OP7">
        <v>-2.4245362661989844E-14</v>
      </c>
      <c r="OR7">
        <v>-2.4245362661989844E-14</v>
      </c>
      <c r="OS7" t="s">
        <v>1789</v>
      </c>
      <c r="OT7">
        <v>2022</v>
      </c>
      <c r="OU7" t="s">
        <v>3171</v>
      </c>
      <c r="OV7" s="6">
        <v>45057</v>
      </c>
      <c r="OW7">
        <v>5</v>
      </c>
      <c r="OX7">
        <v>-2.4245362661989844E-14</v>
      </c>
      <c r="OY7">
        <v>69781875</v>
      </c>
      <c r="OZ7" t="s">
        <v>3172</v>
      </c>
      <c r="RM7" t="s">
        <v>2635</v>
      </c>
      <c r="RO7">
        <v>-2.4245362661989844E-14</v>
      </c>
      <c r="RP7">
        <v>-2.4245362661989844E-14</v>
      </c>
      <c r="RQ7" t="s">
        <v>1789</v>
      </c>
      <c r="RR7">
        <v>2025</v>
      </c>
      <c r="RS7" t="s">
        <v>2634</v>
      </c>
      <c r="RT7" s="6">
        <v>46073</v>
      </c>
      <c r="RU7">
        <v>5</v>
      </c>
      <c r="RV7">
        <v>-2.4245362661989844E-14</v>
      </c>
      <c r="RW7">
        <v>58244711</v>
      </c>
      <c r="RX7" t="s">
        <v>2636</v>
      </c>
      <c r="SA7" t="s">
        <v>2657</v>
      </c>
      <c r="SB7">
        <v>6.5809350000000002</v>
      </c>
      <c r="SC7" t="s">
        <v>1777</v>
      </c>
      <c r="SD7">
        <v>9.2913999999999997E-2</v>
      </c>
      <c r="SE7" t="s">
        <v>1768</v>
      </c>
      <c r="SF7">
        <v>2025</v>
      </c>
      <c r="SG7" t="s">
        <v>3712</v>
      </c>
      <c r="SH7" s="6">
        <v>45877</v>
      </c>
      <c r="SI7">
        <v>5</v>
      </c>
      <c r="SJ7">
        <v>12630459</v>
      </c>
      <c r="SK7">
        <v>330541</v>
      </c>
      <c r="SL7" t="s">
        <v>2659</v>
      </c>
      <c r="SQ7" t="s">
        <v>1918</v>
      </c>
      <c r="SS7">
        <v>-2.4245362661989844E-14</v>
      </c>
      <c r="ST7">
        <v>-2.4245362661989844E-14</v>
      </c>
      <c r="SU7" t="s">
        <v>1789</v>
      </c>
      <c r="SV7">
        <v>2021</v>
      </c>
      <c r="SW7" t="s">
        <v>1919</v>
      </c>
      <c r="SX7" s="6">
        <v>44693</v>
      </c>
      <c r="SY7">
        <v>5</v>
      </c>
      <c r="SZ7">
        <v>-2.4245362661989844E-14</v>
      </c>
      <c r="TA7">
        <v>100060</v>
      </c>
      <c r="TB7" t="s">
        <v>1920</v>
      </c>
      <c r="UY7" t="s">
        <v>1918</v>
      </c>
      <c r="VA7">
        <v>-2.4245362661989844E-14</v>
      </c>
      <c r="VB7">
        <v>-2.4245362661989844E-14</v>
      </c>
      <c r="VC7" t="s">
        <v>1789</v>
      </c>
      <c r="VD7">
        <v>2021</v>
      </c>
      <c r="VE7" t="s">
        <v>1919</v>
      </c>
      <c r="VF7" s="6">
        <v>44693</v>
      </c>
      <c r="VG7">
        <v>5</v>
      </c>
      <c r="VH7">
        <v>-2.4245362661989844E-14</v>
      </c>
      <c r="VI7">
        <v>100060</v>
      </c>
      <c r="VJ7" t="s">
        <v>1920</v>
      </c>
      <c r="VM7" t="s">
        <v>1255</v>
      </c>
      <c r="VN7">
        <v>-2.4245362661989844E-14</v>
      </c>
      <c r="VP7">
        <v>-2.4245362661989844E-14</v>
      </c>
      <c r="VQ7" t="s">
        <v>1789</v>
      </c>
      <c r="VR7">
        <v>2024</v>
      </c>
      <c r="VS7" t="s">
        <v>1898</v>
      </c>
      <c r="VT7" s="6">
        <v>45708</v>
      </c>
      <c r="VU7">
        <v>4</v>
      </c>
      <c r="VV7">
        <v>-2.4245362661989844E-14</v>
      </c>
      <c r="VW7">
        <v>100218</v>
      </c>
      <c r="VX7" t="s">
        <v>1900</v>
      </c>
    </row>
    <row r="8" spans="1:600" x14ac:dyDescent="0.25">
      <c r="CM8" t="s">
        <v>2047</v>
      </c>
      <c r="CO8">
        <v>-2.4245362661989844E-14</v>
      </c>
      <c r="CP8">
        <v>-2.4245362661989844E-14</v>
      </c>
      <c r="CQ8" t="s">
        <v>1781</v>
      </c>
      <c r="CR8">
        <v>2023</v>
      </c>
      <c r="CS8" t="s">
        <v>2048</v>
      </c>
      <c r="CT8" s="6">
        <v>45057</v>
      </c>
      <c r="CU8">
        <v>4</v>
      </c>
      <c r="CV8">
        <v>-2.4245362661989844E-14</v>
      </c>
      <c r="CW8">
        <v>173249</v>
      </c>
      <c r="CX8" t="s">
        <v>2049</v>
      </c>
      <c r="IG8" t="s">
        <v>2686</v>
      </c>
      <c r="IH8" t="s">
        <v>1777</v>
      </c>
      <c r="II8">
        <v>4.630776</v>
      </c>
      <c r="IJ8">
        <v>0.19183800000000001</v>
      </c>
      <c r="IK8" t="s">
        <v>1773</v>
      </c>
      <c r="IL8">
        <v>2025</v>
      </c>
      <c r="IM8" t="s">
        <v>2687</v>
      </c>
      <c r="IN8" s="6">
        <v>45952</v>
      </c>
      <c r="IO8">
        <v>5</v>
      </c>
      <c r="IP8">
        <v>125308800</v>
      </c>
      <c r="IQ8">
        <v>171010</v>
      </c>
      <c r="IR8" t="s">
        <v>2688</v>
      </c>
      <c r="IU8" t="s">
        <v>1824</v>
      </c>
      <c r="IV8">
        <v>0.34598400000000001</v>
      </c>
      <c r="IW8" t="s">
        <v>1777</v>
      </c>
      <c r="IX8">
        <v>1.684086</v>
      </c>
      <c r="IY8" t="s">
        <v>1768</v>
      </c>
      <c r="IZ8">
        <v>2025</v>
      </c>
      <c r="JA8" t="s">
        <v>2625</v>
      </c>
      <c r="JB8" s="6">
        <v>45873</v>
      </c>
      <c r="JC8">
        <v>5</v>
      </c>
      <c r="JD8">
        <v>342105216</v>
      </c>
      <c r="JE8">
        <v>100211</v>
      </c>
      <c r="JF8" t="s">
        <v>1825</v>
      </c>
      <c r="OA8" t="s">
        <v>1923</v>
      </c>
      <c r="OC8">
        <v>-2.4245362661989844E-14</v>
      </c>
      <c r="OD8">
        <v>-2.4245362661989844E-14</v>
      </c>
      <c r="OE8" t="s">
        <v>1789</v>
      </c>
      <c r="OF8">
        <v>2021</v>
      </c>
      <c r="OG8" t="s">
        <v>1924</v>
      </c>
      <c r="OH8" s="6">
        <v>44693</v>
      </c>
      <c r="OI8">
        <v>5</v>
      </c>
      <c r="OJ8">
        <v>-2.4245362661989844E-14</v>
      </c>
      <c r="OK8">
        <v>100481</v>
      </c>
      <c r="OL8" t="s">
        <v>1925</v>
      </c>
      <c r="OO8" t="s">
        <v>1955</v>
      </c>
      <c r="OP8">
        <v>-2.4245362661989844E-14</v>
      </c>
      <c r="OR8">
        <v>-2.4245362661989844E-14</v>
      </c>
      <c r="OS8" t="s">
        <v>1789</v>
      </c>
      <c r="OT8">
        <v>2025</v>
      </c>
      <c r="OU8" t="s">
        <v>3173</v>
      </c>
      <c r="OV8" s="6">
        <v>45763</v>
      </c>
      <c r="OW8">
        <v>5</v>
      </c>
      <c r="OX8">
        <v>-2.4245362661989844E-14</v>
      </c>
      <c r="OY8">
        <v>130929</v>
      </c>
      <c r="OZ8" t="s">
        <v>1957</v>
      </c>
      <c r="RM8" t="s">
        <v>2637</v>
      </c>
      <c r="RO8">
        <v>-2.4245362661989844E-14</v>
      </c>
      <c r="RP8">
        <v>-2.4245362661989844E-14</v>
      </c>
      <c r="RQ8" t="s">
        <v>1789</v>
      </c>
      <c r="RR8">
        <v>2024</v>
      </c>
      <c r="RS8" t="s">
        <v>2638</v>
      </c>
      <c r="RT8" s="6">
        <v>45702</v>
      </c>
      <c r="RU8">
        <v>5</v>
      </c>
      <c r="RV8">
        <v>-2.4245362661989844E-14</v>
      </c>
      <c r="RW8">
        <v>100010</v>
      </c>
      <c r="RX8" t="s">
        <v>2639</v>
      </c>
      <c r="SA8" t="s">
        <v>3713</v>
      </c>
      <c r="SB8">
        <v>6.2638559999999996</v>
      </c>
      <c r="SC8" t="s">
        <v>1777</v>
      </c>
      <c r="SD8">
        <v>5.8458000000000003E-2</v>
      </c>
      <c r="SE8" t="s">
        <v>1768</v>
      </c>
      <c r="SF8">
        <v>2025</v>
      </c>
      <c r="SG8" t="s">
        <v>3712</v>
      </c>
      <c r="SH8" s="6">
        <v>45877</v>
      </c>
      <c r="SI8">
        <v>5</v>
      </c>
      <c r="SJ8">
        <v>12021906</v>
      </c>
      <c r="SK8">
        <v>52332183</v>
      </c>
      <c r="SL8" t="s">
        <v>3714</v>
      </c>
      <c r="SQ8" t="s">
        <v>816</v>
      </c>
      <c r="SS8">
        <v>-2.4245362661989844E-14</v>
      </c>
      <c r="ST8">
        <v>-2.4245362661989844E-14</v>
      </c>
      <c r="SU8" t="s">
        <v>1789</v>
      </c>
      <c r="SV8">
        <v>2021</v>
      </c>
      <c r="SW8" t="s">
        <v>2069</v>
      </c>
      <c r="SX8" s="6">
        <v>44693</v>
      </c>
      <c r="SY8">
        <v>5</v>
      </c>
      <c r="SZ8">
        <v>-2.4245362661989844E-14</v>
      </c>
      <c r="TA8">
        <v>100193</v>
      </c>
      <c r="TB8" t="s">
        <v>2070</v>
      </c>
      <c r="UY8" t="s">
        <v>1992</v>
      </c>
      <c r="VA8">
        <v>-2.4245362661989844E-14</v>
      </c>
      <c r="VB8">
        <v>-2.4245362661989844E-14</v>
      </c>
      <c r="VC8" t="s">
        <v>1789</v>
      </c>
      <c r="VD8">
        <v>2021</v>
      </c>
      <c r="VE8" t="s">
        <v>1993</v>
      </c>
      <c r="VF8" s="6">
        <v>44693</v>
      </c>
      <c r="VG8">
        <v>5</v>
      </c>
      <c r="VH8">
        <v>-2.4245362661989844E-14</v>
      </c>
      <c r="VI8">
        <v>101690</v>
      </c>
      <c r="VJ8" t="s">
        <v>1994</v>
      </c>
      <c r="VM8" t="s">
        <v>278</v>
      </c>
      <c r="VN8">
        <v>-2.4245362661989844E-14</v>
      </c>
      <c r="VP8">
        <v>-2.4245362661989844E-14</v>
      </c>
      <c r="VQ8" t="s">
        <v>1789</v>
      </c>
      <c r="VR8">
        <v>2024</v>
      </c>
      <c r="VS8" t="s">
        <v>1898</v>
      </c>
      <c r="VT8" s="6">
        <v>45708</v>
      </c>
      <c r="VU8">
        <v>4</v>
      </c>
      <c r="VV8">
        <v>-2.4245362661989844E-14</v>
      </c>
      <c r="VW8">
        <v>100972</v>
      </c>
      <c r="VX8" t="s">
        <v>1901</v>
      </c>
    </row>
    <row r="9" spans="1:600" x14ac:dyDescent="0.25">
      <c r="IG9" t="s">
        <v>2689</v>
      </c>
      <c r="IH9" t="s">
        <v>1906</v>
      </c>
      <c r="II9">
        <v>1.650523</v>
      </c>
      <c r="IJ9">
        <v>1.7462089999999999</v>
      </c>
      <c r="IK9" t="s">
        <v>1773</v>
      </c>
      <c r="IL9">
        <v>2025</v>
      </c>
      <c r="IM9" t="s">
        <v>2690</v>
      </c>
      <c r="IN9" s="6">
        <v>46029</v>
      </c>
      <c r="IO9">
        <v>5</v>
      </c>
      <c r="IP9">
        <v>97565313.560000002</v>
      </c>
      <c r="IQ9">
        <v>115705</v>
      </c>
      <c r="IR9" t="s">
        <v>2691</v>
      </c>
      <c r="IU9" t="s">
        <v>208</v>
      </c>
      <c r="IV9">
        <v>0.19926099999999999</v>
      </c>
      <c r="IW9" t="s">
        <v>1777</v>
      </c>
      <c r="IX9">
        <v>1.1451750000000001</v>
      </c>
      <c r="IY9" t="s">
        <v>1768</v>
      </c>
      <c r="IZ9">
        <v>2025</v>
      </c>
      <c r="JA9" t="s">
        <v>2764</v>
      </c>
      <c r="JB9" s="6">
        <v>45895</v>
      </c>
      <c r="JC9">
        <v>5</v>
      </c>
      <c r="JD9">
        <v>197027360</v>
      </c>
      <c r="JE9">
        <v>101555</v>
      </c>
      <c r="JF9" t="s">
        <v>1823</v>
      </c>
      <c r="OA9" t="s">
        <v>3657</v>
      </c>
      <c r="OC9">
        <v>-2.4245362661989844E-14</v>
      </c>
      <c r="OD9">
        <v>-2.4245362661989844E-14</v>
      </c>
      <c r="OE9" t="s">
        <v>1789</v>
      </c>
      <c r="OF9">
        <v>2021</v>
      </c>
      <c r="OG9" t="s">
        <v>3658</v>
      </c>
      <c r="OH9" s="6">
        <v>44693</v>
      </c>
      <c r="OI9">
        <v>5</v>
      </c>
      <c r="OJ9">
        <v>-2.4245362661989844E-14</v>
      </c>
      <c r="OK9">
        <v>101315</v>
      </c>
      <c r="OL9" t="s">
        <v>3659</v>
      </c>
      <c r="OO9" t="s">
        <v>2971</v>
      </c>
      <c r="OP9">
        <v>-2.4245362661989844E-14</v>
      </c>
      <c r="OR9">
        <v>-2.4245362661989844E-14</v>
      </c>
      <c r="OS9" t="s">
        <v>1781</v>
      </c>
      <c r="OT9">
        <v>2025</v>
      </c>
      <c r="OU9" t="s">
        <v>3174</v>
      </c>
      <c r="OV9" s="6">
        <v>45799</v>
      </c>
      <c r="OW9">
        <v>5</v>
      </c>
      <c r="OX9">
        <v>-2.4245362661989844E-14</v>
      </c>
      <c r="OY9">
        <v>313021</v>
      </c>
      <c r="OZ9" t="s">
        <v>2973</v>
      </c>
      <c r="RM9" t="s">
        <v>2640</v>
      </c>
      <c r="RO9">
        <v>-2.4245362661989844E-14</v>
      </c>
      <c r="RP9">
        <v>-2.4245362661989844E-14</v>
      </c>
      <c r="RQ9" t="s">
        <v>1773</v>
      </c>
      <c r="RR9">
        <v>2026</v>
      </c>
      <c r="RS9" t="s">
        <v>2641</v>
      </c>
      <c r="RT9" s="6">
        <v>46057</v>
      </c>
      <c r="RU9">
        <v>5</v>
      </c>
      <c r="RV9">
        <v>-2.4245362661989844E-14</v>
      </c>
      <c r="RW9">
        <v>71227770</v>
      </c>
      <c r="RX9" t="s">
        <v>2642</v>
      </c>
      <c r="SA9" t="s">
        <v>2660</v>
      </c>
      <c r="SB9">
        <v>4.5987859999999996</v>
      </c>
      <c r="SC9" t="s">
        <v>1777</v>
      </c>
      <c r="SD9">
        <v>9.0897000000000006E-2</v>
      </c>
      <c r="SE9" t="s">
        <v>1768</v>
      </c>
      <c r="SF9">
        <v>2025</v>
      </c>
      <c r="SG9" t="s">
        <v>3712</v>
      </c>
      <c r="SH9" s="6">
        <v>45877</v>
      </c>
      <c r="SI9">
        <v>5</v>
      </c>
      <c r="SJ9">
        <v>8826220</v>
      </c>
      <c r="SK9">
        <v>7975354</v>
      </c>
      <c r="SL9" t="s">
        <v>2662</v>
      </c>
      <c r="SQ9" t="s">
        <v>3798</v>
      </c>
      <c r="SS9">
        <v>-2.4245362661989844E-14</v>
      </c>
      <c r="ST9">
        <v>-2.4245362661989844E-14</v>
      </c>
      <c r="SU9" t="s">
        <v>1789</v>
      </c>
      <c r="SV9">
        <v>2021</v>
      </c>
      <c r="SW9" t="s">
        <v>3799</v>
      </c>
      <c r="SX9" s="6">
        <v>44693</v>
      </c>
      <c r="SY9">
        <v>5</v>
      </c>
      <c r="SZ9">
        <v>-2.4245362661989844E-14</v>
      </c>
      <c r="TA9">
        <v>100348</v>
      </c>
      <c r="TB9" t="s">
        <v>3800</v>
      </c>
      <c r="UY9" t="s">
        <v>2109</v>
      </c>
      <c r="VA9">
        <v>-2.4245362661989844E-14</v>
      </c>
      <c r="VB9">
        <v>-2.4245362661989844E-14</v>
      </c>
      <c r="VC9" t="s">
        <v>1789</v>
      </c>
      <c r="VD9">
        <v>2021</v>
      </c>
      <c r="VE9" t="s">
        <v>2110</v>
      </c>
      <c r="VF9" s="6">
        <v>44693</v>
      </c>
      <c r="VG9">
        <v>5</v>
      </c>
      <c r="VH9">
        <v>-2.4245362661989844E-14</v>
      </c>
      <c r="VI9">
        <v>964326</v>
      </c>
      <c r="VJ9" t="s">
        <v>2111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826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827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828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829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830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831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832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833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834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835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836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837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838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839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840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841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842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843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844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845</v>
      </c>
      <c r="AE2" s="3" t="s">
        <v>846</v>
      </c>
      <c r="BI2" s="3" t="s">
        <v>847</v>
      </c>
      <c r="CM2" s="3" t="s">
        <v>848</v>
      </c>
      <c r="DQ2" s="3" t="s">
        <v>75</v>
      </c>
      <c r="EU2" s="3" t="s">
        <v>849</v>
      </c>
      <c r="FY2" s="3" t="s">
        <v>850</v>
      </c>
      <c r="HC2" s="3" t="s">
        <v>851</v>
      </c>
      <c r="IG2" s="3" t="s">
        <v>852</v>
      </c>
      <c r="JK2" s="3" t="s">
        <v>821</v>
      </c>
      <c r="KO2" s="3" t="s">
        <v>853</v>
      </c>
      <c r="LS2" s="3" t="s">
        <v>854</v>
      </c>
      <c r="MW2" s="3" t="s">
        <v>855</v>
      </c>
      <c r="OA2" s="3" t="s">
        <v>470</v>
      </c>
      <c r="PE2" s="3" t="s">
        <v>856</v>
      </c>
      <c r="QI2" s="3" t="s">
        <v>857</v>
      </c>
      <c r="RM2" s="3" t="s">
        <v>858</v>
      </c>
      <c r="SQ2" s="3" t="s">
        <v>859</v>
      </c>
      <c r="TU2" s="3" t="s">
        <v>860</v>
      </c>
      <c r="UY2" s="3" t="s">
        <v>861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_xll.BDS("ZION US Equity","SUPPLY_CHAIN_SUPPLIERS_ALL_DATA","cols=12;rows=2")</f>
        <v>MUST SP Equity</v>
      </c>
      <c r="C5">
        <v>-2.4245362661989844E-14</v>
      </c>
      <c r="D5">
        <v>-2.4245362661989844E-14</v>
      </c>
      <c r="E5" t="s">
        <v>1789</v>
      </c>
      <c r="F5">
        <v>2024</v>
      </c>
      <c r="G5" t="s">
        <v>3017</v>
      </c>
      <c r="H5" s="6">
        <v>45762</v>
      </c>
      <c r="I5">
        <v>2</v>
      </c>
      <c r="J5">
        <v>-2.4245362661989844E-14</v>
      </c>
      <c r="K5">
        <v>46286147</v>
      </c>
      <c r="L5" t="s">
        <v>3018</v>
      </c>
      <c r="O5" t="str">
        <f>_xll.BDS("ZION US Equity","SUPPLY_CHAIN_CUSTOMERS_ALL_DATA")</f>
        <v>#N/A N/A</v>
      </c>
      <c r="AE5" t="str">
        <f>_xll.BDS("1255173D US Equity","SUPPLY_CHAIN_SUPPLIERS_ALL_DATA")</f>
        <v>#N/A N/A</v>
      </c>
      <c r="AS5" t="str">
        <f>_xll.BDS("1255173D US Equity","SUPPLY_CHAIN_CUSTOMERS_ALL_DATA")</f>
        <v>#N/A N/A</v>
      </c>
      <c r="BI5" t="str">
        <f>_xll.BDS("MOFG US Equity","SUPPLY_CHAIN_SUPPLIERS_ALL_DATA")</f>
        <v>#N/A N/A</v>
      </c>
      <c r="BW5" t="str">
        <f>_xll.BDS("MOFG US Equity","SUPPLY_CHAIN_CUSTOMERS_ALL_DATA")</f>
        <v>#N/A N/A</v>
      </c>
      <c r="CM5" t="str">
        <f>_xll.BDS("TSCPQ US Equity","SUPPLY_CHAIN_SUPPLIERS_ALL_DATA")</f>
        <v>#N/A N/A</v>
      </c>
      <c r="DA5" t="str">
        <f>_xll.BDS("TSCPQ US Equity","SUPPLY_CHAIN_CUSTOMERS_ALL_DATA")</f>
        <v>#N/A N/A</v>
      </c>
      <c r="DQ5" t="str">
        <f>_xll.BDS("FCBN US Equity","SUPPLY_CHAIN_SUPPLIERS_ALL_DATA")</f>
        <v>#N/A N/A</v>
      </c>
      <c r="EE5" t="str">
        <f>_xll.BDS("FCBN US Equity","SUPPLY_CHAIN_CUSTOMERS_ALL_DATA")</f>
        <v>#N/A N/A</v>
      </c>
      <c r="EU5" t="str">
        <f>_xll.BDS("ZAYO US Equity","SUPPLY_CHAIN_SUPPLIERS_ALL_DATA","cols=12;rows=5")</f>
        <v>DCREIT SP Equity</v>
      </c>
      <c r="EW5">
        <v>0.68547599999999997</v>
      </c>
      <c r="EX5">
        <v>-2.4245362661989844E-14</v>
      </c>
      <c r="EY5" t="s">
        <v>1789</v>
      </c>
      <c r="EZ5">
        <v>2024</v>
      </c>
      <c r="FA5" t="s">
        <v>4355</v>
      </c>
      <c r="FB5" s="6">
        <v>45835</v>
      </c>
      <c r="FC5">
        <v>5</v>
      </c>
      <c r="FD5">
        <v>175266</v>
      </c>
      <c r="FE5">
        <v>69837126</v>
      </c>
      <c r="FF5" t="s">
        <v>4356</v>
      </c>
      <c r="FI5" t="str">
        <f>_xll.BDS("ZAYO US Equity","SUPPLY_CHAIN_CUSTOMERS_ALL_DATA","cols=12;rows=4")</f>
        <v>CLCO LN Equity</v>
      </c>
      <c r="FJ5">
        <v>-2.4245362661989844E-14</v>
      </c>
      <c r="FL5">
        <v>-2.4245362661989844E-14</v>
      </c>
      <c r="FM5" t="s">
        <v>1789</v>
      </c>
      <c r="FN5">
        <v>2023</v>
      </c>
      <c r="FO5" t="s">
        <v>4318</v>
      </c>
      <c r="FP5" s="6">
        <v>45412</v>
      </c>
      <c r="FQ5">
        <v>4</v>
      </c>
      <c r="FR5">
        <v>-2.4245362661989844E-14</v>
      </c>
      <c r="FS5">
        <v>9307910</v>
      </c>
      <c r="FT5" t="s">
        <v>4319</v>
      </c>
      <c r="FY5" t="str">
        <f>_xll.BDS("KRNY US Equity","SUPPLY_CHAIN_SUPPLIERS_ALL_DATA","cols=12;rows=1")</f>
        <v>FISV US Equity</v>
      </c>
      <c r="GA5">
        <v>-2.4245362661989844E-14</v>
      </c>
      <c r="GB5">
        <v>-2.4245362661989844E-14</v>
      </c>
      <c r="GC5" t="s">
        <v>1789</v>
      </c>
      <c r="GD5">
        <v>2022</v>
      </c>
      <c r="GE5" t="s">
        <v>2568</v>
      </c>
      <c r="GF5" s="6">
        <v>44671</v>
      </c>
      <c r="GG5">
        <v>1</v>
      </c>
      <c r="GH5">
        <v>-2.4245362661989844E-14</v>
      </c>
      <c r="GI5">
        <v>103882</v>
      </c>
      <c r="GJ5" t="s">
        <v>2046</v>
      </c>
      <c r="GM5" t="str">
        <f>_xll.BDS("KRNY US Equity","SUPPLY_CHAIN_CUSTOMERS_ALL_DATA")</f>
        <v>#N/A N/A</v>
      </c>
      <c r="HC5" t="str">
        <f>_xll.BDS("CUNB US Equity","SUPPLY_CHAIN_SUPPLIERS_ALL_DATA")</f>
        <v>#N/A N/A</v>
      </c>
      <c r="HQ5" t="str">
        <f>_xll.BDS("CUNB US Equity","SUPPLY_CHAIN_CUSTOMERS_ALL_DATA")</f>
        <v>#N/A N/A</v>
      </c>
      <c r="IG5" t="str">
        <f>_xll.BDS("TSICQ US Equity","SUPPLY_CHAIN_SUPPLIERS_ALL_DATA")</f>
        <v>#N/A N/A</v>
      </c>
      <c r="IU5" t="str">
        <f>_xll.BDS("TSICQ US Equity","SUPPLY_CHAIN_CUSTOMERS_ALL_DATA")</f>
        <v>#N/A N/A</v>
      </c>
      <c r="JK5" t="str">
        <f>_xll.BDS("BNCN US Equity","SUPPLY_CHAIN_SUPPLIERS_ALL_DATA")</f>
        <v>#N/A N/A</v>
      </c>
      <c r="JY5" t="str">
        <f>_xll.BDS("BNCN US Equity","SUPPLY_CHAIN_CUSTOMERS_ALL_DATA")</f>
        <v>#N/A N/A</v>
      </c>
      <c r="KO5" t="str">
        <f>_xll.BDS("WSBC US Equity","SUPPLY_CHAIN_SUPPLIERS_ALL_DATA")</f>
        <v>#N/A N/A</v>
      </c>
      <c r="LC5" t="str">
        <f>_xll.BDS("WSBC US Equity","SUPPLY_CHAIN_CUSTOMERS_ALL_DATA","cols=12;rows=2")</f>
        <v>NINE CN Equity</v>
      </c>
      <c r="LD5">
        <v>-2.4245362661989844E-14</v>
      </c>
      <c r="LF5">
        <v>-2.4245362661989844E-14</v>
      </c>
      <c r="LG5" t="s">
        <v>1789</v>
      </c>
      <c r="LH5">
        <v>2023</v>
      </c>
      <c r="LI5" t="s">
        <v>2906</v>
      </c>
      <c r="LJ5" s="6">
        <v>44967</v>
      </c>
      <c r="LK5">
        <v>2</v>
      </c>
      <c r="LL5">
        <v>-2.4245362661989844E-14</v>
      </c>
      <c r="LM5">
        <v>67289203</v>
      </c>
      <c r="LN5" t="s">
        <v>2907</v>
      </c>
      <c r="LS5" t="str">
        <f>_xll.BDS("CRLL US Equity","SUPPLY_CHAIN_SUPPLIERS_ALL_DATA")</f>
        <v>#N/A N/A</v>
      </c>
      <c r="MG5" t="str">
        <f>_xll.BDS("CRLL US Equity","SUPPLY_CHAIN_CUSTOMERS_ALL_DATA")</f>
        <v>#N/A N/A</v>
      </c>
      <c r="MW5" t="str">
        <f>_xll.BDS("ITG US Equity","SUPPLY_CHAIN_SUPPLIERS_ALL_DATA")</f>
        <v>#N/A N/A</v>
      </c>
      <c r="NK5" t="str">
        <f>_xll.BDS("ITG US Equity","SUPPLY_CHAIN_CUSTOMERS_ALL_DATA")</f>
        <v>#N/A N/A</v>
      </c>
      <c r="OA5" t="str">
        <f>_xll.BDS("TSFG US Equity","SUPPLY_CHAIN_SUPPLIERS_ALL_DATA")</f>
        <v>#N/A N/A</v>
      </c>
      <c r="OO5" t="str">
        <f>_xll.BDS("TSFG US Equity","SUPPLY_CHAIN_CUSTOMERS_ALL_DATA")</f>
        <v>#N/A N/A</v>
      </c>
      <c r="PE5" t="str">
        <f>_xll.BDS("NETM US Equity","SUPPLY_CHAIN_SUPPLIERS_ALL_DATA")</f>
        <v>#N/A N/A</v>
      </c>
      <c r="PS5" t="str">
        <f>_xll.BDS("NETM US Equity","SUPPLY_CHAIN_CUSTOMERS_ALL_DATA")</f>
        <v>#N/A N/A</v>
      </c>
      <c r="QI5" t="str">
        <f>_xll.BDS("TDY US Equity","SUPPLY_CHAIN_SUPPLIERS_ALL_DATA","cols=12;rows=5")</f>
        <v>VOYG US Equity</v>
      </c>
      <c r="QJ5" t="s">
        <v>1777</v>
      </c>
      <c r="QK5">
        <v>5</v>
      </c>
      <c r="QL5">
        <v>0.21875900000000001</v>
      </c>
      <c r="QM5" t="s">
        <v>1789</v>
      </c>
      <c r="QN5">
        <v>2024</v>
      </c>
      <c r="QO5" t="s">
        <v>2112</v>
      </c>
      <c r="QP5" s="6">
        <v>45793</v>
      </c>
      <c r="QQ5">
        <v>5</v>
      </c>
      <c r="QR5">
        <v>1802250</v>
      </c>
      <c r="QS5">
        <v>66280962</v>
      </c>
      <c r="QT5" t="s">
        <v>2113</v>
      </c>
      <c r="QW5" t="str">
        <f>_xll.BDS("TDY US Equity","SUPPLY_CHAIN_CUSTOMERS_ALL_DATA","cols=12;rows=5")</f>
        <v>3352Z US Equity</v>
      </c>
      <c r="QX5">
        <v>25.5</v>
      </c>
      <c r="QZ5">
        <v>-2.4245362661989844E-14</v>
      </c>
      <c r="RA5" t="s">
        <v>1789</v>
      </c>
      <c r="RB5">
        <v>2025</v>
      </c>
      <c r="RC5" t="s">
        <v>1929</v>
      </c>
      <c r="RD5" s="6">
        <v>46073</v>
      </c>
      <c r="RE5">
        <v>5</v>
      </c>
      <c r="RF5">
        <v>389850000</v>
      </c>
      <c r="RG5">
        <v>218252</v>
      </c>
      <c r="RH5" t="s">
        <v>1798</v>
      </c>
      <c r="RM5" t="str">
        <f>_xll.BDS("1715651D US Equity","SUPPLY_CHAIN_SUPPLIERS_ALL_DATA","cols=12;rows=1")</f>
        <v>FE US Equity</v>
      </c>
      <c r="RO5">
        <v>-2.4245362661989844E-14</v>
      </c>
      <c r="RP5">
        <v>-2.4245362661989844E-14</v>
      </c>
      <c r="RQ5" t="s">
        <v>1789</v>
      </c>
      <c r="RR5">
        <v>2021</v>
      </c>
      <c r="RS5" t="s">
        <v>1927</v>
      </c>
      <c r="RT5" s="6">
        <v>44693</v>
      </c>
      <c r="RU5">
        <v>1</v>
      </c>
      <c r="RV5">
        <v>-2.4245362661989844E-14</v>
      </c>
      <c r="RW5">
        <v>302916</v>
      </c>
      <c r="RX5" t="s">
        <v>1928</v>
      </c>
      <c r="SA5" t="str">
        <f>_xll.BDS("1715651D US Equity","SUPPLY_CHAIN_CUSTOMERS_ALL_DATA")</f>
        <v>#N/A N/A</v>
      </c>
      <c r="SQ5" t="str">
        <f>_xll.BDS("KROL US Equity","SUPPLY_CHAIN_SUPPLIERS_ALL_DATA","cols=12;rows=1")</f>
        <v>COL SM Equity</v>
      </c>
      <c r="SS5">
        <v>-2.4245362661989844E-14</v>
      </c>
      <c r="ST5">
        <v>-2.4245362661989844E-14</v>
      </c>
      <c r="SU5" t="s">
        <v>1773</v>
      </c>
      <c r="SV5">
        <v>2022</v>
      </c>
      <c r="SW5" t="s">
        <v>4528</v>
      </c>
      <c r="SX5" s="6">
        <v>44881</v>
      </c>
      <c r="SY5">
        <v>1</v>
      </c>
      <c r="SZ5">
        <v>-2.4245362661989844E-14</v>
      </c>
      <c r="TA5">
        <v>127115</v>
      </c>
      <c r="TB5" t="s">
        <v>4529</v>
      </c>
      <c r="TE5" t="str">
        <f>_xll.BDS("KROL US Equity","SUPPLY_CHAIN_CUSTOMERS_ALL_DATA","cols=12;rows=1")</f>
        <v>BHILQ US Equity</v>
      </c>
      <c r="TF5">
        <v>-2.4245362661989844E-14</v>
      </c>
      <c r="TH5">
        <v>-2.4245362661989844E-14</v>
      </c>
      <c r="TI5" t="s">
        <v>1785</v>
      </c>
      <c r="TJ5">
        <v>2024</v>
      </c>
      <c r="TK5" t="s">
        <v>3268</v>
      </c>
      <c r="TL5" s="6">
        <v>45736</v>
      </c>
      <c r="TM5">
        <v>1</v>
      </c>
      <c r="TN5">
        <v>-2.4245362661989844E-14</v>
      </c>
      <c r="TO5">
        <v>69378547</v>
      </c>
      <c r="TP5" t="s">
        <v>3269</v>
      </c>
      <c r="TU5" t="str">
        <f>_xll.BDS("KNBT US Equity","SUPPLY_CHAIN_SUPPLIERS_ALL_DATA")</f>
        <v>#N/A N/A</v>
      </c>
      <c r="UI5" t="str">
        <f>_xll.BDS("KNBT US Equity","SUPPLY_CHAIN_CUSTOMERS_ALL_DATA")</f>
        <v>#N/A N/A</v>
      </c>
      <c r="UY5" t="str">
        <f>_xll.BDS("601238Q US Equity","SUPPLY_CHAIN_SUPPLIERS_ALL_DATA")</f>
        <v>#N/A N/A</v>
      </c>
      <c r="VM5" t="str">
        <f>_xll.BDS("601238Q US Equity","SUPPLY_CHAIN_CUSTOMERS_ALL_DATA")</f>
        <v>#N/A N/A</v>
      </c>
    </row>
    <row r="6" spans="1:600" x14ac:dyDescent="0.25">
      <c r="A6" t="s">
        <v>2976</v>
      </c>
      <c r="C6">
        <v>-2.4245362661989844E-14</v>
      </c>
      <c r="D6">
        <v>-2.4245362661989844E-14</v>
      </c>
      <c r="E6" t="s">
        <v>1789</v>
      </c>
      <c r="F6">
        <v>2023</v>
      </c>
      <c r="G6" t="s">
        <v>3019</v>
      </c>
      <c r="H6" s="6">
        <v>45336</v>
      </c>
      <c r="I6">
        <v>2</v>
      </c>
      <c r="J6">
        <v>-2.4245362661989844E-14</v>
      </c>
      <c r="K6">
        <v>20828779</v>
      </c>
      <c r="L6" t="s">
        <v>2978</v>
      </c>
      <c r="EU6" t="s">
        <v>4357</v>
      </c>
      <c r="EW6">
        <v>-2.4245362661989844E-14</v>
      </c>
      <c r="EX6">
        <v>-2.4245362661989844E-14</v>
      </c>
      <c r="EY6" t="s">
        <v>1773</v>
      </c>
      <c r="EZ6">
        <v>2024</v>
      </c>
      <c r="FA6" t="s">
        <v>4358</v>
      </c>
      <c r="FB6" s="6">
        <v>45569</v>
      </c>
      <c r="FC6">
        <v>5</v>
      </c>
      <c r="FD6">
        <v>-2.4245362661989844E-14</v>
      </c>
      <c r="FE6">
        <v>211040</v>
      </c>
      <c r="FF6" t="s">
        <v>4359</v>
      </c>
      <c r="FI6" t="s">
        <v>4215</v>
      </c>
      <c r="FJ6">
        <v>-2.4245362661989844E-14</v>
      </c>
      <c r="FL6">
        <v>-2.4245362661989844E-14</v>
      </c>
      <c r="FM6" t="s">
        <v>1789</v>
      </c>
      <c r="FN6">
        <v>2022</v>
      </c>
      <c r="FO6" t="s">
        <v>4216</v>
      </c>
      <c r="FP6" s="6">
        <v>44993</v>
      </c>
      <c r="FQ6">
        <v>4</v>
      </c>
      <c r="FR6">
        <v>-2.4245362661989844E-14</v>
      </c>
      <c r="FS6">
        <v>10092517</v>
      </c>
      <c r="FT6" t="s">
        <v>4217</v>
      </c>
      <c r="LC6" t="s">
        <v>2908</v>
      </c>
      <c r="LD6">
        <v>-2.4245362661989844E-14</v>
      </c>
      <c r="LF6">
        <v>-2.4245362661989844E-14</v>
      </c>
      <c r="LG6" t="s">
        <v>1789</v>
      </c>
      <c r="LH6">
        <v>2023</v>
      </c>
      <c r="LI6" t="s">
        <v>2909</v>
      </c>
      <c r="LJ6" s="6">
        <v>44991</v>
      </c>
      <c r="LK6">
        <v>2</v>
      </c>
      <c r="LL6">
        <v>-2.4245362661989844E-14</v>
      </c>
      <c r="LM6">
        <v>57471390</v>
      </c>
      <c r="LN6" t="s">
        <v>2910</v>
      </c>
      <c r="QI6" t="s">
        <v>463</v>
      </c>
      <c r="QJ6" t="s">
        <v>1777</v>
      </c>
      <c r="QK6">
        <v>0.172237</v>
      </c>
      <c r="QL6">
        <v>0.17371900000000001</v>
      </c>
      <c r="QM6" t="s">
        <v>1768</v>
      </c>
      <c r="QN6">
        <v>2025</v>
      </c>
      <c r="QO6" t="s">
        <v>2114</v>
      </c>
      <c r="QP6" s="6">
        <v>45912</v>
      </c>
      <c r="QQ6">
        <v>5</v>
      </c>
      <c r="QR6">
        <v>1509788</v>
      </c>
      <c r="QS6">
        <v>100421</v>
      </c>
      <c r="QT6" t="s">
        <v>2115</v>
      </c>
      <c r="QW6" t="s">
        <v>1824</v>
      </c>
      <c r="QX6">
        <v>1.7060219999999999</v>
      </c>
      <c r="QY6" t="s">
        <v>1777</v>
      </c>
      <c r="QZ6">
        <v>0.12712399999999999</v>
      </c>
      <c r="RA6" t="s">
        <v>1768</v>
      </c>
      <c r="RB6">
        <v>2025</v>
      </c>
      <c r="RC6" t="s">
        <v>1930</v>
      </c>
      <c r="RD6" s="6">
        <v>45874</v>
      </c>
      <c r="RE6">
        <v>5</v>
      </c>
      <c r="RF6">
        <v>25824056</v>
      </c>
      <c r="RG6">
        <v>100211</v>
      </c>
      <c r="RH6" t="s">
        <v>1825</v>
      </c>
    </row>
    <row r="7" spans="1:600" x14ac:dyDescent="0.25">
      <c r="EU7" t="s">
        <v>4360</v>
      </c>
      <c r="EW7">
        <v>-2.4245362661989844E-14</v>
      </c>
      <c r="EX7">
        <v>-2.4245362661989844E-14</v>
      </c>
      <c r="EY7" t="s">
        <v>1789</v>
      </c>
      <c r="EZ7">
        <v>2025</v>
      </c>
      <c r="FA7" t="s">
        <v>4361</v>
      </c>
      <c r="FB7" s="6">
        <v>46066</v>
      </c>
      <c r="FC7">
        <v>5</v>
      </c>
      <c r="FD7">
        <v>-2.4245362661989844E-14</v>
      </c>
      <c r="FE7">
        <v>9084002</v>
      </c>
      <c r="FF7" t="s">
        <v>4362</v>
      </c>
      <c r="FI7" t="s">
        <v>4320</v>
      </c>
      <c r="FJ7">
        <v>-2.4245362661989844E-14</v>
      </c>
      <c r="FL7">
        <v>-2.4245362661989844E-14</v>
      </c>
      <c r="FM7" t="s">
        <v>1789</v>
      </c>
      <c r="FN7">
        <v>2024</v>
      </c>
      <c r="FO7" t="s">
        <v>4321</v>
      </c>
      <c r="FP7" s="6">
        <v>45717</v>
      </c>
      <c r="FQ7">
        <v>4</v>
      </c>
      <c r="FR7">
        <v>-2.4245362661989844E-14</v>
      </c>
      <c r="FS7">
        <v>13388720</v>
      </c>
      <c r="FT7" t="s">
        <v>4322</v>
      </c>
      <c r="QI7" t="s">
        <v>2116</v>
      </c>
      <c r="QJ7" t="s">
        <v>1777</v>
      </c>
      <c r="QK7">
        <v>4.3629000000000001E-2</v>
      </c>
      <c r="QL7">
        <v>5.7609E-2</v>
      </c>
      <c r="QM7" t="s">
        <v>1773</v>
      </c>
      <c r="QN7">
        <v>2025</v>
      </c>
      <c r="QO7" t="s">
        <v>2117</v>
      </c>
      <c r="QP7" s="6">
        <v>45905</v>
      </c>
      <c r="QQ7">
        <v>5</v>
      </c>
      <c r="QR7">
        <v>500682</v>
      </c>
      <c r="QS7">
        <v>104365</v>
      </c>
      <c r="QT7" t="s">
        <v>2118</v>
      </c>
      <c r="QW7" t="s">
        <v>1887</v>
      </c>
      <c r="QX7">
        <v>1.304338</v>
      </c>
      <c r="QY7" t="s">
        <v>1777</v>
      </c>
      <c r="QZ7">
        <v>0.127112</v>
      </c>
      <c r="RA7" t="s">
        <v>1768</v>
      </c>
      <c r="RB7">
        <v>2025</v>
      </c>
      <c r="RC7" t="s">
        <v>1930</v>
      </c>
      <c r="RD7" s="6">
        <v>45874</v>
      </c>
      <c r="RE7">
        <v>5</v>
      </c>
      <c r="RF7">
        <v>19743764</v>
      </c>
      <c r="RG7">
        <v>876285</v>
      </c>
      <c r="RH7" t="s">
        <v>1888</v>
      </c>
    </row>
    <row r="8" spans="1:600" x14ac:dyDescent="0.25">
      <c r="EU8" t="s">
        <v>4363</v>
      </c>
      <c r="EW8">
        <v>-2.4245362661989844E-14</v>
      </c>
      <c r="EX8">
        <v>-2.4245362661989844E-14</v>
      </c>
      <c r="EY8" t="s">
        <v>1789</v>
      </c>
      <c r="EZ8">
        <v>2024</v>
      </c>
      <c r="FA8" t="s">
        <v>4364</v>
      </c>
      <c r="FB8" s="6">
        <v>45833</v>
      </c>
      <c r="FC8">
        <v>5</v>
      </c>
      <c r="FD8">
        <v>-2.4245362661989844E-14</v>
      </c>
      <c r="FE8">
        <v>7979475</v>
      </c>
      <c r="FF8" t="s">
        <v>4365</v>
      </c>
      <c r="FI8" t="s">
        <v>2901</v>
      </c>
      <c r="FJ8">
        <v>-2.4245362661989844E-14</v>
      </c>
      <c r="FL8">
        <v>-2.4245362661989844E-14</v>
      </c>
      <c r="FM8" t="s">
        <v>1781</v>
      </c>
      <c r="FN8">
        <v>2024</v>
      </c>
      <c r="FO8" t="s">
        <v>4323</v>
      </c>
      <c r="FP8" s="6">
        <v>45265</v>
      </c>
      <c r="FQ8">
        <v>4</v>
      </c>
      <c r="FR8">
        <v>-2.4245362661989844E-14</v>
      </c>
      <c r="FS8">
        <v>136424</v>
      </c>
      <c r="FT8" t="s">
        <v>2903</v>
      </c>
      <c r="QI8" t="s">
        <v>2119</v>
      </c>
      <c r="QJ8" t="s">
        <v>1777</v>
      </c>
      <c r="QK8">
        <v>2.3474879999999998</v>
      </c>
      <c r="QL8">
        <v>4.0696999999999997E-2</v>
      </c>
      <c r="QM8" t="s">
        <v>1768</v>
      </c>
      <c r="QN8">
        <v>2025</v>
      </c>
      <c r="QO8" t="s">
        <v>2120</v>
      </c>
      <c r="QP8" s="6">
        <v>45939</v>
      </c>
      <c r="QQ8">
        <v>5</v>
      </c>
      <c r="QR8">
        <v>353696</v>
      </c>
      <c r="QS8">
        <v>69947818</v>
      </c>
      <c r="QT8" t="s">
        <v>2121</v>
      </c>
      <c r="QW8" t="s">
        <v>1931</v>
      </c>
      <c r="QX8">
        <v>0.75061999999999995</v>
      </c>
      <c r="QY8" t="s">
        <v>1777</v>
      </c>
      <c r="QZ8">
        <v>0.28763100000000003</v>
      </c>
      <c r="RA8" t="s">
        <v>1768</v>
      </c>
      <c r="RB8">
        <v>2025</v>
      </c>
      <c r="RC8" t="s">
        <v>1930</v>
      </c>
      <c r="RD8" s="6">
        <v>45874</v>
      </c>
      <c r="RE8">
        <v>5</v>
      </c>
      <c r="RF8">
        <v>11362135</v>
      </c>
      <c r="RG8">
        <v>100710</v>
      </c>
      <c r="RH8" t="s">
        <v>1932</v>
      </c>
    </row>
    <row r="9" spans="1:600" x14ac:dyDescent="0.25">
      <c r="EU9" t="s">
        <v>3855</v>
      </c>
      <c r="EW9">
        <v>-2.4245362661989844E-14</v>
      </c>
      <c r="EX9">
        <v>-2.4245362661989844E-14</v>
      </c>
      <c r="EY9" t="s">
        <v>1785</v>
      </c>
      <c r="EZ9">
        <v>2024</v>
      </c>
      <c r="FA9" t="s">
        <v>3856</v>
      </c>
      <c r="FB9" s="6">
        <v>45703</v>
      </c>
      <c r="FC9">
        <v>5</v>
      </c>
      <c r="FD9">
        <v>-2.4245362661989844E-14</v>
      </c>
      <c r="FE9">
        <v>71740192</v>
      </c>
      <c r="FF9" t="s">
        <v>3857</v>
      </c>
      <c r="QI9" t="s">
        <v>274</v>
      </c>
      <c r="QJ9" t="s">
        <v>1777</v>
      </c>
      <c r="QK9">
        <v>6.3287999999999997E-2</v>
      </c>
      <c r="QL9">
        <v>2.1153999999999999E-2</v>
      </c>
      <c r="QM9" t="s">
        <v>1785</v>
      </c>
      <c r="QN9">
        <v>2025</v>
      </c>
      <c r="QO9" t="s">
        <v>2122</v>
      </c>
      <c r="QP9" s="6">
        <v>45894</v>
      </c>
      <c r="QQ9">
        <v>5</v>
      </c>
      <c r="QR9">
        <v>183852</v>
      </c>
      <c r="QS9">
        <v>126302</v>
      </c>
      <c r="QT9" t="s">
        <v>2123</v>
      </c>
      <c r="QW9" t="s">
        <v>165</v>
      </c>
      <c r="QX9">
        <v>0.57747899999999996</v>
      </c>
      <c r="QY9" t="s">
        <v>1777</v>
      </c>
      <c r="QZ9">
        <v>0.138623</v>
      </c>
      <c r="RA9" t="s">
        <v>1781</v>
      </c>
      <c r="RB9">
        <v>2025</v>
      </c>
      <c r="RC9" t="s">
        <v>1870</v>
      </c>
      <c r="RD9" s="6">
        <v>45784</v>
      </c>
      <c r="RE9">
        <v>5</v>
      </c>
      <c r="RF9">
        <v>8372864</v>
      </c>
      <c r="RG9">
        <v>100115</v>
      </c>
      <c r="RH9" t="s">
        <v>1871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865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866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867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868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869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870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871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872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873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874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875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876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877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878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879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880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881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882</v>
      </c>
      <c r="AE2" s="3" t="s">
        <v>883</v>
      </c>
      <c r="BI2" s="3" t="s">
        <v>119</v>
      </c>
      <c r="CM2" s="3" t="s">
        <v>120</v>
      </c>
      <c r="DQ2" s="3" t="s">
        <v>320</v>
      </c>
      <c r="EU2" s="3" t="s">
        <v>119</v>
      </c>
      <c r="FY2" s="3" t="s">
        <v>884</v>
      </c>
      <c r="HC2" s="3" t="s">
        <v>885</v>
      </c>
      <c r="IG2" s="3" t="s">
        <v>886</v>
      </c>
      <c r="JK2" s="3" t="s">
        <v>887</v>
      </c>
      <c r="KO2" s="3" t="s">
        <v>888</v>
      </c>
      <c r="LS2" s="3" t="s">
        <v>889</v>
      </c>
      <c r="MW2" s="3" t="s">
        <v>890</v>
      </c>
      <c r="OA2" s="3" t="s">
        <v>891</v>
      </c>
      <c r="PE2" s="3" t="s">
        <v>892</v>
      </c>
      <c r="QI2" s="3" t="s">
        <v>273</v>
      </c>
      <c r="RM2" s="3" t="s">
        <v>893</v>
      </c>
      <c r="SQ2" s="3" t="s">
        <v>894</v>
      </c>
      <c r="TU2" s="3" t="s">
        <v>895</v>
      </c>
      <c r="UY2" s="3" t="s">
        <v>896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_xll.BDS("UNBJ US Equity","SUPPLY_CHAIN_SUPPLIERS_ALL_DATA")</f>
        <v>#N/A N/A</v>
      </c>
      <c r="O5" t="str">
        <f>_xll.BDS("UNBJ US Equity","SUPPLY_CHAIN_CUSTOMERS_ALL_DATA")</f>
        <v>#N/A N/A</v>
      </c>
      <c r="AE5" t="str">
        <f>_xll.BDS("1431816D US Equity","SUPPLY_CHAIN_SUPPLIERS_ALL_DATA")</f>
        <v>#N/A N/A</v>
      </c>
      <c r="AS5" t="str">
        <f>_xll.BDS("1431816D US Equity","SUPPLY_CHAIN_CUSTOMERS_ALL_DATA")</f>
        <v>#N/A N/A</v>
      </c>
      <c r="BI5" t="str">
        <f>_xll.BDS("FULT US Equity","SUPPLY_CHAIN_SUPPLIERS_ALL_DATA","cols=12;rows=2")</f>
        <v>DLX US Equity</v>
      </c>
      <c r="BK5">
        <v>-2.4245362661989844E-14</v>
      </c>
      <c r="BL5">
        <v>-2.4245362661989844E-14</v>
      </c>
      <c r="BM5" t="s">
        <v>1773</v>
      </c>
      <c r="BN5">
        <v>2023</v>
      </c>
      <c r="BO5" t="s">
        <v>2586</v>
      </c>
      <c r="BP5" s="6">
        <v>45265</v>
      </c>
      <c r="BQ5">
        <v>2</v>
      </c>
      <c r="BR5">
        <v>-2.4245362661989844E-14</v>
      </c>
      <c r="BS5">
        <v>100444</v>
      </c>
      <c r="BT5" t="s">
        <v>2587</v>
      </c>
      <c r="BW5" t="str">
        <f>_xll.BDS("FULT US Equity","SUPPLY_CHAIN_CUSTOMERS_ALL_DATA")</f>
        <v>#N/A N/A</v>
      </c>
      <c r="CM5" t="str">
        <f>_xll.BDS("NBTB US Equity","SUPPLY_CHAIN_SUPPLIERS_ALL_DATA","cols=12;rows=1")</f>
        <v>FRSH US Equity</v>
      </c>
      <c r="CO5">
        <v>-2.4245362661989844E-14</v>
      </c>
      <c r="CP5">
        <v>-2.4245362661989844E-14</v>
      </c>
      <c r="CQ5" t="s">
        <v>1789</v>
      </c>
      <c r="CR5">
        <v>2025</v>
      </c>
      <c r="CS5" t="s">
        <v>2124</v>
      </c>
      <c r="CT5" s="6">
        <v>46063</v>
      </c>
      <c r="CU5">
        <v>1</v>
      </c>
      <c r="CV5">
        <v>-2.4245362661989844E-14</v>
      </c>
      <c r="CW5">
        <v>28498368</v>
      </c>
      <c r="CX5" t="s">
        <v>2125</v>
      </c>
      <c r="DA5" t="str">
        <f>_xll.BDS("NBTB US Equity","SUPPLY_CHAIN_CUSTOMERS_ALL_DATA")</f>
        <v>#N/A N/A</v>
      </c>
      <c r="DQ5" t="str">
        <f>_xll.BDS("764144Q US Equity","SUPPLY_CHAIN_SUPPLIERS_ALL_DATA")</f>
        <v>#N/A N/A</v>
      </c>
      <c r="EE5" t="str">
        <f>_xll.BDS("764144Q US Equity","SUPPLY_CHAIN_CUSTOMERS_ALL_DATA")</f>
        <v>#N/A N/A</v>
      </c>
      <c r="EU5" t="str">
        <f>_xll.BDS("FULT US Equity","SUPPLY_CHAIN_SUPPLIERS_ALL_DATA","cols=12;rows=2")</f>
        <v>DLX US Equity</v>
      </c>
      <c r="EW5">
        <v>-2.4245362661989844E-14</v>
      </c>
      <c r="EX5">
        <v>-2.4245362661989844E-14</v>
      </c>
      <c r="EY5" t="s">
        <v>1773</v>
      </c>
      <c r="EZ5">
        <v>2023</v>
      </c>
      <c r="FA5" t="s">
        <v>2586</v>
      </c>
      <c r="FB5" s="6">
        <v>45265</v>
      </c>
      <c r="FC5">
        <v>2</v>
      </c>
      <c r="FD5">
        <v>-2.4245362661989844E-14</v>
      </c>
      <c r="FE5">
        <v>100444</v>
      </c>
      <c r="FF5" t="s">
        <v>2587</v>
      </c>
      <c r="FI5" t="str">
        <f>_xll.BDS("FULT US Equity","SUPPLY_CHAIN_CUSTOMERS_ALL_DATA")</f>
        <v>#N/A N/A</v>
      </c>
      <c r="FY5" t="str">
        <f>_xll.BDS("WSFS US Equity","SUPPLY_CHAIN_SUPPLIERS_ALL_DATA","cols=12;rows=1")</f>
        <v>1748433D US Equity</v>
      </c>
      <c r="GA5">
        <v>-2.4245362661989844E-14</v>
      </c>
      <c r="GB5">
        <v>-2.4245362661989844E-14</v>
      </c>
      <c r="GC5" t="s">
        <v>1789</v>
      </c>
      <c r="GD5">
        <v>2025</v>
      </c>
      <c r="GE5" t="s">
        <v>3775</v>
      </c>
      <c r="GF5" s="6">
        <v>45974</v>
      </c>
      <c r="GG5">
        <v>1</v>
      </c>
      <c r="GH5">
        <v>-2.4245362661989844E-14</v>
      </c>
      <c r="GI5">
        <v>65899254</v>
      </c>
      <c r="GJ5" t="s">
        <v>3776</v>
      </c>
      <c r="GM5" t="str">
        <f>_xll.BDS("WSFS US Equity","SUPPLY_CHAIN_CUSTOMERS_ALL_DATA")</f>
        <v>#N/A N/A</v>
      </c>
      <c r="HC5" t="str">
        <f>_xll.BDS("TMO US Equity","SUPPLY_CHAIN_SUPPLIERS_ALL_DATA","cols=12;rows=5")</f>
        <v>EMR US Equity</v>
      </c>
      <c r="HD5" t="s">
        <v>1777</v>
      </c>
      <c r="HE5">
        <v>4.2224550000000001</v>
      </c>
      <c r="HF5">
        <v>2.8645350000000001</v>
      </c>
      <c r="HG5" t="s">
        <v>1773</v>
      </c>
      <c r="HH5">
        <v>2025</v>
      </c>
      <c r="HI5" t="s">
        <v>2594</v>
      </c>
      <c r="HJ5" s="6">
        <v>45881</v>
      </c>
      <c r="HK5">
        <v>5</v>
      </c>
      <c r="HL5">
        <v>184647952</v>
      </c>
      <c r="HM5">
        <v>100515</v>
      </c>
      <c r="HN5" t="s">
        <v>2595</v>
      </c>
      <c r="HQ5" t="str">
        <f>_xll.BDS("TMO US Equity","SUPPLY_CHAIN_CUSTOMERS_ALL_DATA","cols=12;rows=5")</f>
        <v>4195 TT Equity</v>
      </c>
      <c r="HR5">
        <v>9.7099999999999999E-3</v>
      </c>
      <c r="HS5" t="s">
        <v>1777</v>
      </c>
      <c r="HT5">
        <v>37.527434999999997</v>
      </c>
      <c r="HU5" t="s">
        <v>1789</v>
      </c>
      <c r="HV5">
        <v>2024</v>
      </c>
      <c r="HW5" t="s">
        <v>2514</v>
      </c>
      <c r="HX5" s="6">
        <v>45803</v>
      </c>
      <c r="HY5">
        <v>5</v>
      </c>
      <c r="HZ5">
        <v>1052629.3999999999</v>
      </c>
      <c r="IA5">
        <v>38166930</v>
      </c>
      <c r="IB5" t="s">
        <v>2515</v>
      </c>
      <c r="IG5" t="str">
        <f>_xll.BDS("VRSOQ US Equity","SUPPLY_CHAIN_SUPPLIERS_ALL_DATA")</f>
        <v>#N/A N/A</v>
      </c>
      <c r="IU5" t="str">
        <f>_xll.BDS("VRSOQ US Equity","SUPPLY_CHAIN_CUSTOMERS_ALL_DATA")</f>
        <v>#N/A N/A</v>
      </c>
      <c r="JK5" t="str">
        <f>_xll.BDS("INTC US Equity","SUPPLY_CHAIN_SUPPLIERS_ALL_DATA","cols=12;rows=5")</f>
        <v>ASML NA Equity</v>
      </c>
      <c r="JL5" t="s">
        <v>1906</v>
      </c>
      <c r="JM5">
        <v>9.5417889999999996</v>
      </c>
      <c r="JN5">
        <v>34.554512000000003</v>
      </c>
      <c r="JO5" t="s">
        <v>1768</v>
      </c>
      <c r="JP5">
        <v>2025</v>
      </c>
      <c r="JQ5" t="s">
        <v>4817</v>
      </c>
      <c r="JR5" s="6">
        <v>45979</v>
      </c>
      <c r="JS5">
        <v>5</v>
      </c>
      <c r="JT5">
        <v>812256358.32000005</v>
      </c>
      <c r="JU5">
        <v>163205</v>
      </c>
      <c r="JV5" t="s">
        <v>4818</v>
      </c>
      <c r="JY5" t="str">
        <f>_xll.BDS("INTC US Equity","SUPPLY_CHAIN_CUSTOMERS_ALL_DATA","cols=12;rows=5")</f>
        <v>DELL US Equity</v>
      </c>
      <c r="JZ5">
        <v>19.035398000000001</v>
      </c>
      <c r="KA5" t="s">
        <v>1777</v>
      </c>
      <c r="KB5">
        <v>12.156269</v>
      </c>
      <c r="KC5" t="s">
        <v>1785</v>
      </c>
      <c r="KD5">
        <v>2025</v>
      </c>
      <c r="KE5" t="s">
        <v>2655</v>
      </c>
      <c r="KF5" s="6">
        <v>46048</v>
      </c>
      <c r="KG5">
        <v>5</v>
      </c>
      <c r="KH5">
        <v>2602900224</v>
      </c>
      <c r="KI5">
        <v>50985605</v>
      </c>
      <c r="KJ5" t="s">
        <v>2606</v>
      </c>
      <c r="KO5" t="str">
        <f>_xll.BDS("TARRQ US Equity","SUPPLY_CHAIN_SUPPLIERS_ALL_DATA")</f>
        <v>#N/A N/A</v>
      </c>
      <c r="LC5" t="str">
        <f>_xll.BDS("TARRQ US Equity","SUPPLY_CHAIN_CUSTOMERS_ALL_DATA")</f>
        <v>#N/A N/A</v>
      </c>
      <c r="LS5" t="str">
        <f>_xll.BDS("CHCO US Equity","SUPPLY_CHAIN_SUPPLIERS_ALL_DATA")</f>
        <v>#N/A N/A</v>
      </c>
      <c r="MG5" t="str">
        <f>_xll.BDS("CHCO US Equity","SUPPLY_CHAIN_CUSTOMERS_ALL_DATA")</f>
        <v>#N/A N/A</v>
      </c>
      <c r="MW5" t="str">
        <f>_xll.BDS("8215820Q US Equity","SUPPLY_CHAIN_SUPPLIERS_ALL_DATA")</f>
        <v>#N/A N/A</v>
      </c>
      <c r="NK5" t="str">
        <f>_xll.BDS("8215820Q US Equity","SUPPLY_CHAIN_CUSTOMERS_ALL_DATA")</f>
        <v>#N/A N/A</v>
      </c>
      <c r="OA5" t="str">
        <f>_xll.BDS("FMBH US Equity","SUPPLY_CHAIN_SUPPLIERS_ALL_DATA")</f>
        <v>#N/A N/A</v>
      </c>
      <c r="OO5" t="str">
        <f>_xll.BDS("FMBH US Equity","SUPPLY_CHAIN_CUSTOMERS_ALL_DATA")</f>
        <v>#N/A N/A</v>
      </c>
      <c r="PE5" t="str">
        <f>_xll.BDS("0977894D US Equity","SUPPLY_CHAIN_SUPPLIERS_ALL_DATA")</f>
        <v>#N/A N/A</v>
      </c>
      <c r="PS5" t="str">
        <f>_xll.BDS("0977894D US Equity","SUPPLY_CHAIN_CUSTOMERS_ALL_DATA")</f>
        <v>#N/A N/A</v>
      </c>
      <c r="QI5" t="str">
        <f>_xll.BDS("GBBK US Equity","SUPPLY_CHAIN_SUPPLIERS_ALL_DATA")</f>
        <v>#N/A N/A</v>
      </c>
      <c r="QW5" t="str">
        <f>_xll.BDS("GBBK US Equity","SUPPLY_CHAIN_CUSTOMERS_ALL_DATA")</f>
        <v>#N/A N/A</v>
      </c>
      <c r="RM5" t="str">
        <f>_xll.BDS("MTTB US Equity","SUPPLY_CHAIN_SUPPLIERS_ALL_DATA")</f>
        <v>#N/A N/A</v>
      </c>
      <c r="SA5" t="str">
        <f>_xll.BDS("MTTB US Equity","SUPPLY_CHAIN_CUSTOMERS_ALL_DATA")</f>
        <v>#N/A N/A</v>
      </c>
      <c r="SQ5" t="str">
        <f>_xll.BDS("NOVL US Equity","SUPPLY_CHAIN_SUPPLIERS_ALL_DATA")</f>
        <v>#N/A N/A</v>
      </c>
      <c r="TE5" t="str">
        <f>_xll.BDS("NOVL US Equity","SUPPLY_CHAIN_CUSTOMERS_ALL_DATA")</f>
        <v>#N/A N/A</v>
      </c>
      <c r="TU5" t="str">
        <f>_xll.BDS("BOKF US Equity","SUPPLY_CHAIN_SUPPLIERS_ALL_DATA","cols=12;rows=2")</f>
        <v>BLND US Equity</v>
      </c>
      <c r="TW5">
        <v>-2.4245362661989844E-14</v>
      </c>
      <c r="TX5">
        <v>-2.4245362661989844E-14</v>
      </c>
      <c r="TY5" t="s">
        <v>1781</v>
      </c>
      <c r="TZ5">
        <v>2025</v>
      </c>
      <c r="UA5" t="s">
        <v>3660</v>
      </c>
      <c r="UB5" s="6">
        <v>45785</v>
      </c>
      <c r="UC5">
        <v>2</v>
      </c>
      <c r="UD5">
        <v>-2.4245362661989844E-14</v>
      </c>
      <c r="UE5">
        <v>42447088</v>
      </c>
      <c r="UF5" t="s">
        <v>2504</v>
      </c>
      <c r="UI5" t="str">
        <f>_xll.BDS("BOKF US Equity","SUPPLY_CHAIN_CUSTOMERS_ALL_DATA")</f>
        <v>#N/A N/A</v>
      </c>
      <c r="UY5" t="str">
        <f>_xll.BDS("COFS US Equity","SUPPLY_CHAIN_SUPPLIERS_ALL_DATA")</f>
        <v>#N/A N/A</v>
      </c>
      <c r="VM5" t="str">
        <f>_xll.BDS("COFS US Equity","SUPPLY_CHAIN_CUSTOMERS_ALL_DATA")</f>
        <v>#N/A N/A</v>
      </c>
    </row>
    <row r="6" spans="1:600" x14ac:dyDescent="0.25">
      <c r="BI6" t="s">
        <v>2044</v>
      </c>
      <c r="BK6">
        <v>-2.4245362661989844E-14</v>
      </c>
      <c r="BL6">
        <v>-2.4245362661989844E-14</v>
      </c>
      <c r="BM6" t="s">
        <v>1894</v>
      </c>
      <c r="BN6">
        <v>2023</v>
      </c>
      <c r="BO6" t="s">
        <v>2045</v>
      </c>
      <c r="BP6" s="6">
        <v>45245</v>
      </c>
      <c r="BQ6">
        <v>2</v>
      </c>
      <c r="BR6">
        <v>-2.4245362661989844E-14</v>
      </c>
      <c r="BS6">
        <v>103882</v>
      </c>
      <c r="BT6" t="s">
        <v>2046</v>
      </c>
      <c r="EU6" t="s">
        <v>2044</v>
      </c>
      <c r="EW6">
        <v>-2.4245362661989844E-14</v>
      </c>
      <c r="EX6">
        <v>-2.4245362661989844E-14</v>
      </c>
      <c r="EY6" t="s">
        <v>1894</v>
      </c>
      <c r="EZ6">
        <v>2023</v>
      </c>
      <c r="FA6" t="s">
        <v>2045</v>
      </c>
      <c r="FB6" s="6">
        <v>45245</v>
      </c>
      <c r="FC6">
        <v>2</v>
      </c>
      <c r="FD6">
        <v>-2.4245362661989844E-14</v>
      </c>
      <c r="FE6">
        <v>103882</v>
      </c>
      <c r="FF6" t="s">
        <v>2046</v>
      </c>
      <c r="HC6" t="s">
        <v>86</v>
      </c>
      <c r="HD6" t="s">
        <v>1777</v>
      </c>
      <c r="HE6">
        <v>0.39111600000000002</v>
      </c>
      <c r="HF6">
        <v>0.88908200000000004</v>
      </c>
      <c r="HG6" t="s">
        <v>1768</v>
      </c>
      <c r="HH6">
        <v>2025</v>
      </c>
      <c r="HI6" t="s">
        <v>2596</v>
      </c>
      <c r="HJ6" s="6">
        <v>45914</v>
      </c>
      <c r="HK6">
        <v>5</v>
      </c>
      <c r="HL6">
        <v>57310228</v>
      </c>
      <c r="HM6">
        <v>101166</v>
      </c>
      <c r="HN6" t="s">
        <v>2597</v>
      </c>
      <c r="HQ6" t="s">
        <v>2508</v>
      </c>
      <c r="HR6">
        <v>2.545E-3</v>
      </c>
      <c r="HS6" t="s">
        <v>1777</v>
      </c>
      <c r="HT6">
        <v>3.8306200000000001</v>
      </c>
      <c r="HU6" t="s">
        <v>1789</v>
      </c>
      <c r="HV6">
        <v>2024</v>
      </c>
      <c r="HW6" t="s">
        <v>2509</v>
      </c>
      <c r="HX6" s="6">
        <v>45819</v>
      </c>
      <c r="HY6">
        <v>5</v>
      </c>
      <c r="HZ6">
        <v>275861.17</v>
      </c>
      <c r="IA6">
        <v>15291339</v>
      </c>
      <c r="IB6" t="s">
        <v>2510</v>
      </c>
      <c r="JK6" t="s">
        <v>2132</v>
      </c>
      <c r="JL6" t="s">
        <v>1777</v>
      </c>
      <c r="JM6">
        <v>2.9053209999999998</v>
      </c>
      <c r="JN6">
        <v>8.9932630000000007</v>
      </c>
      <c r="JO6" t="s">
        <v>1785</v>
      </c>
      <c r="JP6">
        <v>2024</v>
      </c>
      <c r="JQ6" t="s">
        <v>2133</v>
      </c>
      <c r="JR6" s="6">
        <v>45741</v>
      </c>
      <c r="JS6">
        <v>5</v>
      </c>
      <c r="JT6">
        <v>779959532.52999997</v>
      </c>
      <c r="JU6">
        <v>153737</v>
      </c>
      <c r="JV6" t="s">
        <v>2134</v>
      </c>
      <c r="JY6" t="s">
        <v>785</v>
      </c>
      <c r="JZ6">
        <v>12.003353000000001</v>
      </c>
      <c r="KA6" t="s">
        <v>1777</v>
      </c>
      <c r="KB6">
        <v>14.056165999999999</v>
      </c>
      <c r="KC6" t="s">
        <v>1785</v>
      </c>
      <c r="KD6">
        <v>2025</v>
      </c>
      <c r="KE6" t="s">
        <v>2655</v>
      </c>
      <c r="KF6" s="6">
        <v>46048</v>
      </c>
      <c r="KG6">
        <v>5</v>
      </c>
      <c r="KH6">
        <v>1641338496</v>
      </c>
      <c r="KI6">
        <v>100732</v>
      </c>
      <c r="KJ6" t="s">
        <v>1962</v>
      </c>
      <c r="TU6" t="s">
        <v>3661</v>
      </c>
      <c r="TW6">
        <v>-2.4245362661989844E-14</v>
      </c>
      <c r="TX6">
        <v>-2.4245362661989844E-14</v>
      </c>
      <c r="TY6" t="s">
        <v>1781</v>
      </c>
      <c r="TZ6">
        <v>2024</v>
      </c>
      <c r="UA6" t="s">
        <v>3662</v>
      </c>
      <c r="UB6" s="6">
        <v>45432</v>
      </c>
      <c r="UC6">
        <v>2</v>
      </c>
      <c r="UD6">
        <v>-2.4245362661989844E-14</v>
      </c>
      <c r="UE6">
        <v>1750153</v>
      </c>
      <c r="UF6" t="s">
        <v>3663</v>
      </c>
    </row>
    <row r="7" spans="1:600" x14ac:dyDescent="0.25">
      <c r="HC7" t="s">
        <v>2135</v>
      </c>
      <c r="HD7" t="s">
        <v>1777</v>
      </c>
      <c r="HE7">
        <v>0.56451700000000005</v>
      </c>
      <c r="HF7">
        <v>0.57008199999999998</v>
      </c>
      <c r="HG7" t="s">
        <v>1773</v>
      </c>
      <c r="HH7">
        <v>2025</v>
      </c>
      <c r="HI7" t="s">
        <v>2136</v>
      </c>
      <c r="HJ7" s="6">
        <v>45763</v>
      </c>
      <c r="HK7">
        <v>5</v>
      </c>
      <c r="HL7">
        <v>37009736</v>
      </c>
      <c r="HM7">
        <v>136547</v>
      </c>
      <c r="HN7" t="s">
        <v>2137</v>
      </c>
      <c r="HQ7" t="s">
        <v>2516</v>
      </c>
      <c r="HR7">
        <v>8.6300000000000005E-4</v>
      </c>
      <c r="HS7" t="s">
        <v>1777</v>
      </c>
      <c r="HT7">
        <v>0.46444600000000003</v>
      </c>
      <c r="HU7" t="s">
        <v>1789</v>
      </c>
      <c r="HV7">
        <v>2024</v>
      </c>
      <c r="HW7" t="s">
        <v>2517</v>
      </c>
      <c r="HX7" s="6">
        <v>45730</v>
      </c>
      <c r="HY7">
        <v>5</v>
      </c>
      <c r="HZ7">
        <v>92615.79</v>
      </c>
      <c r="IA7">
        <v>7369845</v>
      </c>
      <c r="IB7" t="s">
        <v>2518</v>
      </c>
      <c r="JK7" t="s">
        <v>3142</v>
      </c>
      <c r="JL7" t="s">
        <v>1777</v>
      </c>
      <c r="JM7">
        <v>1.4676359999999999</v>
      </c>
      <c r="JN7">
        <v>2.8381699999999999</v>
      </c>
      <c r="JO7" t="s">
        <v>1773</v>
      </c>
      <c r="JP7">
        <v>2025</v>
      </c>
      <c r="JQ7" t="s">
        <v>4049</v>
      </c>
      <c r="JR7" s="6">
        <v>46080</v>
      </c>
      <c r="JS7">
        <v>5</v>
      </c>
      <c r="JT7">
        <v>258849259.34</v>
      </c>
      <c r="JU7">
        <v>193974</v>
      </c>
      <c r="JV7" t="s">
        <v>3143</v>
      </c>
      <c r="JY7" t="s">
        <v>1955</v>
      </c>
      <c r="JZ7">
        <v>12.001497000000001</v>
      </c>
      <c r="KA7" t="s">
        <v>1777</v>
      </c>
      <c r="KB7">
        <v>9.4830839999999998</v>
      </c>
      <c r="KC7" t="s">
        <v>1785</v>
      </c>
      <c r="KD7">
        <v>2025</v>
      </c>
      <c r="KE7" t="s">
        <v>2655</v>
      </c>
      <c r="KF7" s="6">
        <v>46048</v>
      </c>
      <c r="KG7">
        <v>5</v>
      </c>
      <c r="KH7">
        <v>1641084672</v>
      </c>
      <c r="KI7">
        <v>130929</v>
      </c>
      <c r="KJ7" t="s">
        <v>1957</v>
      </c>
    </row>
    <row r="8" spans="1:600" x14ac:dyDescent="0.25">
      <c r="HC8" t="s">
        <v>2423</v>
      </c>
      <c r="HD8" t="s">
        <v>1777</v>
      </c>
      <c r="HE8">
        <v>0.30367300000000003</v>
      </c>
      <c r="HF8">
        <v>0.37271100000000001</v>
      </c>
      <c r="HG8" t="s">
        <v>1773</v>
      </c>
      <c r="HH8">
        <v>2025</v>
      </c>
      <c r="HI8" t="s">
        <v>2424</v>
      </c>
      <c r="HJ8" s="6">
        <v>45867</v>
      </c>
      <c r="HK8">
        <v>5</v>
      </c>
      <c r="HL8">
        <v>23771522</v>
      </c>
      <c r="HM8">
        <v>117092</v>
      </c>
      <c r="HN8" t="s">
        <v>2425</v>
      </c>
      <c r="HQ8" t="s">
        <v>2519</v>
      </c>
      <c r="HR8">
        <v>-2.4245362661989844E-14</v>
      </c>
      <c r="HT8">
        <v>-2.4245362661989844E-14</v>
      </c>
      <c r="HU8" t="s">
        <v>1894</v>
      </c>
      <c r="HV8">
        <v>2025</v>
      </c>
      <c r="HW8" t="s">
        <v>2520</v>
      </c>
      <c r="HX8" s="6">
        <v>45975</v>
      </c>
      <c r="HY8">
        <v>5</v>
      </c>
      <c r="HZ8">
        <v>-2.4245362661989844E-14</v>
      </c>
      <c r="IA8">
        <v>1459457</v>
      </c>
      <c r="IB8" t="s">
        <v>2521</v>
      </c>
      <c r="JK8" t="s">
        <v>1909</v>
      </c>
      <c r="JL8" t="s">
        <v>1777</v>
      </c>
      <c r="JM8">
        <v>0.36901099999999998</v>
      </c>
      <c r="JN8">
        <v>2.1074079999999999</v>
      </c>
      <c r="JO8" t="s">
        <v>1768</v>
      </c>
      <c r="JP8">
        <v>2025</v>
      </c>
      <c r="JQ8" t="s">
        <v>3843</v>
      </c>
      <c r="JR8" s="6">
        <v>45952</v>
      </c>
      <c r="JS8">
        <v>5</v>
      </c>
      <c r="JT8">
        <v>196578595.78</v>
      </c>
      <c r="JU8">
        <v>117929</v>
      </c>
      <c r="JV8" t="s">
        <v>1910</v>
      </c>
      <c r="JY8" t="s">
        <v>2279</v>
      </c>
      <c r="JZ8">
        <v>6.9003030000000001</v>
      </c>
      <c r="KA8" t="s">
        <v>1777</v>
      </c>
      <c r="KB8">
        <v>13.993990999999999</v>
      </c>
      <c r="KC8" t="s">
        <v>1789</v>
      </c>
      <c r="KD8">
        <v>2024</v>
      </c>
      <c r="KE8" t="s">
        <v>4612</v>
      </c>
      <c r="KF8" s="6">
        <v>45786</v>
      </c>
      <c r="KG8">
        <v>5</v>
      </c>
      <c r="KH8">
        <v>924964005.08000004</v>
      </c>
      <c r="KI8">
        <v>9568853</v>
      </c>
      <c r="KJ8" t="s">
        <v>2280</v>
      </c>
    </row>
    <row r="9" spans="1:600" x14ac:dyDescent="0.25">
      <c r="HC9" t="s">
        <v>2598</v>
      </c>
      <c r="HD9" t="s">
        <v>1777</v>
      </c>
      <c r="HE9">
        <v>8.0865999999999993E-2</v>
      </c>
      <c r="HF9">
        <v>0.27508500000000002</v>
      </c>
      <c r="HG9" t="s">
        <v>1781</v>
      </c>
      <c r="HH9">
        <v>2026</v>
      </c>
      <c r="HI9" t="s">
        <v>2599</v>
      </c>
      <c r="HJ9" s="6">
        <v>45980</v>
      </c>
      <c r="HK9">
        <v>5</v>
      </c>
      <c r="HL9">
        <v>17987832</v>
      </c>
      <c r="HM9">
        <v>100554</v>
      </c>
      <c r="HN9" t="s">
        <v>2600</v>
      </c>
      <c r="HQ9" t="s">
        <v>2522</v>
      </c>
      <c r="HR9">
        <v>-2.4245362661989844E-14</v>
      </c>
      <c r="HT9">
        <v>-2.4245362661989844E-14</v>
      </c>
      <c r="HU9" t="s">
        <v>1789</v>
      </c>
      <c r="HV9">
        <v>2024</v>
      </c>
      <c r="HW9" t="s">
        <v>2523</v>
      </c>
      <c r="HX9" s="6">
        <v>45774</v>
      </c>
      <c r="HY9">
        <v>5</v>
      </c>
      <c r="HZ9">
        <v>-2.4245362661989844E-14</v>
      </c>
      <c r="IA9">
        <v>9020238</v>
      </c>
      <c r="IB9" t="s">
        <v>2524</v>
      </c>
      <c r="JK9" t="s">
        <v>1618</v>
      </c>
      <c r="JL9" t="s">
        <v>1906</v>
      </c>
      <c r="JM9">
        <v>2.5439250000000002</v>
      </c>
      <c r="JN9">
        <v>5.2326030000000001</v>
      </c>
      <c r="JO9" t="s">
        <v>1773</v>
      </c>
      <c r="JP9">
        <v>2025</v>
      </c>
      <c r="JQ9" t="s">
        <v>3140</v>
      </c>
      <c r="JR9" s="6">
        <v>45931</v>
      </c>
      <c r="JS9">
        <v>5</v>
      </c>
      <c r="JT9">
        <v>185757408</v>
      </c>
      <c r="JU9">
        <v>102032</v>
      </c>
      <c r="JV9" t="s">
        <v>4819</v>
      </c>
      <c r="JY9" t="s">
        <v>2776</v>
      </c>
      <c r="JZ9">
        <v>3.0830000000000002</v>
      </c>
      <c r="KA9" t="s">
        <v>1777</v>
      </c>
      <c r="KB9">
        <v>9.6257199999999994</v>
      </c>
      <c r="KC9" t="s">
        <v>1768</v>
      </c>
      <c r="KD9">
        <v>2025</v>
      </c>
      <c r="KE9" t="s">
        <v>2777</v>
      </c>
      <c r="KF9" s="6">
        <v>45958</v>
      </c>
      <c r="KG9">
        <v>5</v>
      </c>
      <c r="KH9">
        <v>416758099.12</v>
      </c>
      <c r="KI9">
        <v>1456094</v>
      </c>
      <c r="KJ9" t="s">
        <v>2778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897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898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899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352</v>
      </c>
      <c r="AE2" s="3" t="s">
        <v>917</v>
      </c>
      <c r="BI2" s="3" t="s">
        <v>456</v>
      </c>
      <c r="CM2" s="3" t="s">
        <v>918</v>
      </c>
      <c r="DQ2" s="3" t="s">
        <v>919</v>
      </c>
      <c r="EU2" s="3" t="s">
        <v>859</v>
      </c>
      <c r="FY2" s="3" t="s">
        <v>920</v>
      </c>
      <c r="HC2" s="3" t="s">
        <v>921</v>
      </c>
      <c r="IG2" s="3" t="s">
        <v>21</v>
      </c>
      <c r="JK2" s="3" t="s">
        <v>170</v>
      </c>
      <c r="KO2" s="3" t="s">
        <v>922</v>
      </c>
      <c r="LS2" s="3" t="s">
        <v>923</v>
      </c>
      <c r="MW2" s="3" t="s">
        <v>924</v>
      </c>
      <c r="OA2" s="3" t="s">
        <v>925</v>
      </c>
      <c r="PE2" s="3" t="s">
        <v>926</v>
      </c>
      <c r="QI2" s="3" t="s">
        <v>919</v>
      </c>
      <c r="RM2" s="3" t="s">
        <v>271</v>
      </c>
      <c r="SQ2" s="3" t="s">
        <v>88</v>
      </c>
      <c r="TU2" s="3" t="s">
        <v>927</v>
      </c>
      <c r="UY2" s="3" t="s">
        <v>928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_xll.BDS("540513Q US Equity","SUPPLY_CHAIN_SUPPLIERS_ALL_DATA")</f>
        <v>#N/A N/A</v>
      </c>
      <c r="O5" t="str">
        <f>_xll.BDS("540513Q US Equity","SUPPLY_CHAIN_CUSTOMERS_ALL_DATA")</f>
        <v>#N/A N/A</v>
      </c>
      <c r="AE5" t="str">
        <f>_xll.BDS("3520842Q US Equity","SUPPLY_CHAIN_SUPPLIERS_ALL_DATA")</f>
        <v>#N/A N/A</v>
      </c>
      <c r="AS5" t="str">
        <f>_xll.BDS("3520842Q US Equity","SUPPLY_CHAIN_CUSTOMERS_ALL_DATA")</f>
        <v>#N/A N/A</v>
      </c>
      <c r="BI5" t="str">
        <f>_xll.BDS("SNV US Equity","SUPPLY_CHAIN_SUPPLIERS_ALL_DATA","cols=12;rows=1")</f>
        <v>VYX US Equity</v>
      </c>
      <c r="BK5">
        <v>-2.4245362661989844E-14</v>
      </c>
      <c r="BL5">
        <v>-2.4245362661989844E-14</v>
      </c>
      <c r="BM5" t="s">
        <v>1768</v>
      </c>
      <c r="BN5">
        <v>2023</v>
      </c>
      <c r="BO5" t="s">
        <v>1969</v>
      </c>
      <c r="BP5" s="6">
        <v>45174</v>
      </c>
      <c r="BQ5">
        <v>1</v>
      </c>
      <c r="BR5">
        <v>-2.4245362661989844E-14</v>
      </c>
      <c r="BS5">
        <v>202476</v>
      </c>
      <c r="BT5" t="s">
        <v>1970</v>
      </c>
      <c r="BW5" t="str">
        <f>_xll.BDS("SNV US Equity","SUPPLY_CHAIN_CUSTOMERS_ALL_DATA")</f>
        <v>#N/A N/A</v>
      </c>
      <c r="CM5" t="str">
        <f>_xll.BDS("RILY US Equity","SUPPLY_CHAIN_SUPPLIERS_ALL_DATA","cols=12;rows=5")</f>
        <v>1460 TT Equity</v>
      </c>
      <c r="CO5">
        <v>-2.4245362661989844E-14</v>
      </c>
      <c r="CP5">
        <v>-2.4245362661989844E-14</v>
      </c>
      <c r="CQ5" t="s">
        <v>1781</v>
      </c>
      <c r="CR5">
        <v>2023</v>
      </c>
      <c r="CS5" t="s">
        <v>2343</v>
      </c>
      <c r="CT5" s="6">
        <v>45126</v>
      </c>
      <c r="CU5">
        <v>5</v>
      </c>
      <c r="CV5">
        <v>-2.4245362661989844E-14</v>
      </c>
      <c r="CW5">
        <v>169120</v>
      </c>
      <c r="CX5" t="s">
        <v>2344</v>
      </c>
      <c r="DA5" t="str">
        <f>_xll.BDS("RILY US Equity","SUPPLY_CHAIN_CUSTOMERS_ALL_DATA","cols=12;rows=5")</f>
        <v>CCC LN Equity</v>
      </c>
      <c r="DB5">
        <v>2.8645E-2</v>
      </c>
      <c r="DC5" t="s">
        <v>1777</v>
      </c>
      <c r="DD5">
        <v>2.4290000000000002E-3</v>
      </c>
      <c r="DE5" t="s">
        <v>1768</v>
      </c>
      <c r="DF5">
        <v>2025</v>
      </c>
      <c r="DG5" t="s">
        <v>2448</v>
      </c>
      <c r="DH5" s="6">
        <v>46008</v>
      </c>
      <c r="DI5">
        <v>5</v>
      </c>
      <c r="DJ5">
        <v>56488.74</v>
      </c>
      <c r="DK5">
        <v>349049</v>
      </c>
      <c r="DL5" t="s">
        <v>2449</v>
      </c>
      <c r="DQ5" t="str">
        <f>_xll.BDS("CSCO US Equity","SUPPLY_CHAIN_SUPPLIERS_ALL_DATA","cols=12;rows=5")</f>
        <v>NVDA US Equity</v>
      </c>
      <c r="DR5" t="s">
        <v>1777</v>
      </c>
      <c r="DS5">
        <v>0.44414500000000001</v>
      </c>
      <c r="DT5">
        <v>5.627351</v>
      </c>
      <c r="DU5" t="s">
        <v>1785</v>
      </c>
      <c r="DV5">
        <v>2026</v>
      </c>
      <c r="DW5" t="s">
        <v>2127</v>
      </c>
      <c r="DX5" s="6">
        <v>46087</v>
      </c>
      <c r="DY5">
        <v>5</v>
      </c>
      <c r="DZ5">
        <v>302582656</v>
      </c>
      <c r="EA5">
        <v>313657</v>
      </c>
      <c r="EB5" t="s">
        <v>2128</v>
      </c>
      <c r="EE5" t="str">
        <f>_xll.BDS("CSCO US Equity","SUPPLY_CHAIN_CUSTOMERS_ALL_DATA","cols=12;rows=5")</f>
        <v>SNX US Equity</v>
      </c>
      <c r="EF5">
        <v>3.3352200000000001</v>
      </c>
      <c r="EG5" t="s">
        <v>1777</v>
      </c>
      <c r="EH5">
        <v>3.067034</v>
      </c>
      <c r="EI5" t="s">
        <v>1785</v>
      </c>
      <c r="EJ5">
        <v>2025</v>
      </c>
      <c r="EK5" t="s">
        <v>1903</v>
      </c>
      <c r="EL5" s="6">
        <v>46056</v>
      </c>
      <c r="EM5">
        <v>5</v>
      </c>
      <c r="EN5">
        <v>496380736</v>
      </c>
      <c r="EO5">
        <v>1499717</v>
      </c>
      <c r="EP5" t="s">
        <v>1904</v>
      </c>
      <c r="EU5" t="str">
        <f>_xll.BDS("KROL US Equity","SUPPLY_CHAIN_SUPPLIERS_ALL_DATA","cols=12;rows=1")</f>
        <v>COL SM Equity</v>
      </c>
      <c r="EW5">
        <v>-2.4245362661989844E-14</v>
      </c>
      <c r="EX5">
        <v>-2.4245362661989844E-14</v>
      </c>
      <c r="EY5" t="s">
        <v>1773</v>
      </c>
      <c r="EZ5">
        <v>2022</v>
      </c>
      <c r="FA5" t="s">
        <v>4528</v>
      </c>
      <c r="FB5" s="6">
        <v>44881</v>
      </c>
      <c r="FC5">
        <v>1</v>
      </c>
      <c r="FD5">
        <v>-2.4245362661989844E-14</v>
      </c>
      <c r="FE5">
        <v>127115</v>
      </c>
      <c r="FF5" t="s">
        <v>4529</v>
      </c>
      <c r="FI5" t="str">
        <f>_xll.BDS("KROL US Equity","SUPPLY_CHAIN_CUSTOMERS_ALL_DATA","cols=12;rows=1")</f>
        <v>BHILQ US Equity</v>
      </c>
      <c r="FJ5">
        <v>-2.4245362661989844E-14</v>
      </c>
      <c r="FL5">
        <v>-2.4245362661989844E-14</v>
      </c>
      <c r="FM5" t="s">
        <v>1785</v>
      </c>
      <c r="FN5">
        <v>2024</v>
      </c>
      <c r="FO5" t="s">
        <v>3268</v>
      </c>
      <c r="FP5" s="6">
        <v>45736</v>
      </c>
      <c r="FQ5">
        <v>1</v>
      </c>
      <c r="FR5">
        <v>-2.4245362661989844E-14</v>
      </c>
      <c r="FS5">
        <v>69378547</v>
      </c>
      <c r="FT5" t="s">
        <v>3269</v>
      </c>
      <c r="FY5" t="str">
        <f>_xll.BDS("ERDR US Equity","SUPPLY_CHAIN_SUPPLIERS_ALL_DATA")</f>
        <v>#N/A N/A</v>
      </c>
      <c r="GM5" t="str">
        <f>_xll.BDS("ERDR US Equity","SUPPLY_CHAIN_CUSTOMERS_ALL_DATA")</f>
        <v>#N/A N/A</v>
      </c>
      <c r="HC5" t="str">
        <f>_xll.BDS("GE US Equity","SUPPLY_CHAIN_SUPPLIERS_ALL_DATA","cols=12;rows=5")</f>
        <v>SAF FP Equity</v>
      </c>
      <c r="HD5" t="s">
        <v>1777</v>
      </c>
      <c r="HE5">
        <v>7.9101749999999997</v>
      </c>
      <c r="HF5">
        <v>9.7364909999999991</v>
      </c>
      <c r="HG5" t="s">
        <v>1768</v>
      </c>
      <c r="HH5">
        <v>2025</v>
      </c>
      <c r="HI5" t="s">
        <v>2029</v>
      </c>
      <c r="HJ5" s="6">
        <v>45874</v>
      </c>
      <c r="HK5">
        <v>5</v>
      </c>
      <c r="HL5">
        <v>666294015.34000003</v>
      </c>
      <c r="HM5">
        <v>115519</v>
      </c>
      <c r="HN5" t="s">
        <v>2030</v>
      </c>
      <c r="HQ5" t="str">
        <f>_xll.BDS("GE US Equity","SUPPLY_CHAIN_CUSTOMERS_ALL_DATA","cols=12;rows=5")</f>
        <v>3352Z US Equity</v>
      </c>
      <c r="HR5">
        <v>10</v>
      </c>
      <c r="HT5">
        <v>-2.4245362661989844E-14</v>
      </c>
      <c r="HU5" t="s">
        <v>1789</v>
      </c>
      <c r="HV5">
        <v>2025</v>
      </c>
      <c r="HW5" t="s">
        <v>1885</v>
      </c>
      <c r="HX5" s="6">
        <v>46051</v>
      </c>
      <c r="HY5">
        <v>5</v>
      </c>
      <c r="HZ5">
        <v>1146375040</v>
      </c>
      <c r="IA5">
        <v>218252</v>
      </c>
      <c r="IB5" t="s">
        <v>1798</v>
      </c>
      <c r="IG5" t="str">
        <f>_xll.BDS("NPBC US Equity","SUPPLY_CHAIN_SUPPLIERS_ALL_DATA")</f>
        <v>#N/A N/A</v>
      </c>
      <c r="IU5" t="str">
        <f>_xll.BDS("NPBC US Equity","SUPPLY_CHAIN_CUSTOMERS_ALL_DATA")</f>
        <v>#N/A N/A</v>
      </c>
      <c r="JK5" t="str">
        <f>_xll.BDS("SVC US Equity","SUPPLY_CHAIN_SUPPLIERS_ALL_DATA","cols=12;rows=4")</f>
        <v>OPITQ US Equity</v>
      </c>
      <c r="JL5" t="s">
        <v>1808</v>
      </c>
      <c r="JM5">
        <v>8.2245259999999991</v>
      </c>
      <c r="JN5">
        <v>38.534247999999998</v>
      </c>
      <c r="JO5" t="s">
        <v>1768</v>
      </c>
      <c r="JP5">
        <v>2025</v>
      </c>
      <c r="JQ5" t="s">
        <v>3062</v>
      </c>
      <c r="JR5" s="6">
        <v>45868</v>
      </c>
      <c r="JS5">
        <v>4</v>
      </c>
      <c r="JT5">
        <v>9417000</v>
      </c>
      <c r="JU5">
        <v>15671511</v>
      </c>
      <c r="JV5" t="s">
        <v>3063</v>
      </c>
      <c r="JY5" t="str">
        <f>_xll.BDS("SVC US Equity","SUPPLY_CHAIN_CUSTOMERS_ALL_DATA","cols=12;rows=1")</f>
        <v>OPITQ US Equity</v>
      </c>
      <c r="JZ5">
        <v>8.8789999999999994E-2</v>
      </c>
      <c r="KA5" t="s">
        <v>1808</v>
      </c>
      <c r="KB5">
        <v>1.1887350000000001</v>
      </c>
      <c r="KC5" t="s">
        <v>1768</v>
      </c>
      <c r="KD5">
        <v>2025</v>
      </c>
      <c r="KE5" t="s">
        <v>3062</v>
      </c>
      <c r="KF5" s="6">
        <v>45868</v>
      </c>
      <c r="KG5">
        <v>1</v>
      </c>
      <c r="KH5">
        <v>447000</v>
      </c>
      <c r="KI5">
        <v>15671511</v>
      </c>
      <c r="KJ5" t="s">
        <v>3063</v>
      </c>
      <c r="KO5" t="str">
        <f>_xll.BDS("ONIT US Equity","SUPPLY_CHAIN_SUPPLIERS_ALL_DATA","cols=12;rows=2")</f>
        <v>MDC US Equity</v>
      </c>
      <c r="KP5" t="s">
        <v>1777</v>
      </c>
      <c r="KQ5">
        <v>0.40972700000000001</v>
      </c>
      <c r="KR5">
        <v>3.2498580000000001</v>
      </c>
      <c r="KS5" t="s">
        <v>1789</v>
      </c>
      <c r="KT5">
        <v>2024</v>
      </c>
      <c r="KU5" t="s">
        <v>4267</v>
      </c>
      <c r="KV5" s="6">
        <v>45699</v>
      </c>
      <c r="KW5">
        <v>2</v>
      </c>
      <c r="KX5">
        <v>5566194.5</v>
      </c>
      <c r="KY5">
        <v>100965</v>
      </c>
      <c r="KZ5" t="s">
        <v>4268</v>
      </c>
      <c r="LC5" t="str">
        <f>_xll.BDS("ONIT US Equity","SUPPLY_CHAIN_CUSTOMERS_ALL_DATA","cols=12;rows=1")</f>
        <v>MNTX US Equity</v>
      </c>
      <c r="LD5">
        <v>-2.4245362661989844E-14</v>
      </c>
      <c r="LF5">
        <v>-2.4245362661989844E-14</v>
      </c>
      <c r="LG5" t="s">
        <v>1789</v>
      </c>
      <c r="LH5">
        <v>2024</v>
      </c>
      <c r="LI5" t="s">
        <v>4161</v>
      </c>
      <c r="LJ5" s="6">
        <v>45544</v>
      </c>
      <c r="LK5">
        <v>1</v>
      </c>
      <c r="LL5">
        <v>-2.4245362661989844E-14</v>
      </c>
      <c r="LM5">
        <v>9168340</v>
      </c>
      <c r="LN5" t="s">
        <v>4162</v>
      </c>
      <c r="LS5" t="str">
        <f>_xll.BDS("82473Q US Equity","SUPPLY_CHAIN_SUPPLIERS_ALL_DATA")</f>
        <v>#N/A N/A</v>
      </c>
      <c r="MG5" t="str">
        <f>_xll.BDS("82473Q US Equity","SUPPLY_CHAIN_CUSTOMERS_ALL_DATA")</f>
        <v>#N/A N/A</v>
      </c>
      <c r="MW5" t="str">
        <f>_xll.BDS("LMNX US Equity","SUPPLY_CHAIN_SUPPLIERS_ALL_DATA")</f>
        <v>#N/A N/A</v>
      </c>
      <c r="NK5" t="str">
        <f>_xll.BDS("LMNX US Equity","SUPPLY_CHAIN_CUSTOMERS_ALL_DATA")</f>
        <v>#N/A N/A</v>
      </c>
      <c r="OA5" t="str">
        <f>_xll.BDS("CNP US Equity","SUPPLY_CHAIN_SUPPLIERS_ALL_DATA","cols=12;rows=5")</f>
        <v>PWR US Equity</v>
      </c>
      <c r="OB5" t="s">
        <v>1906</v>
      </c>
      <c r="OC5">
        <v>0.44729000000000002</v>
      </c>
      <c r="OD5">
        <v>2.7933330000000001</v>
      </c>
      <c r="OE5" t="s">
        <v>1773</v>
      </c>
      <c r="OF5">
        <v>2025</v>
      </c>
      <c r="OG5" t="s">
        <v>1971</v>
      </c>
      <c r="OH5" s="6">
        <v>45975</v>
      </c>
      <c r="OI5">
        <v>5</v>
      </c>
      <c r="OJ5">
        <v>34134524</v>
      </c>
      <c r="OK5">
        <v>305366</v>
      </c>
      <c r="OL5" t="s">
        <v>1972</v>
      </c>
      <c r="OO5" t="str">
        <f>_xll.BDS("CNP US Equity","SUPPLY_CHAIN_CUSTOMERS_ALL_DATA","cols=12;rows=5")</f>
        <v>NRG US Equity</v>
      </c>
      <c r="OP5">
        <v>13.525396000000001</v>
      </c>
      <c r="OQ5" t="s">
        <v>1777</v>
      </c>
      <c r="OR5">
        <v>4.9439630000000001</v>
      </c>
      <c r="OS5" t="s">
        <v>1789</v>
      </c>
      <c r="OT5">
        <v>2024</v>
      </c>
      <c r="OU5" t="s">
        <v>3679</v>
      </c>
      <c r="OV5" s="6">
        <v>45708</v>
      </c>
      <c r="OW5">
        <v>5</v>
      </c>
      <c r="OX5">
        <v>292250000</v>
      </c>
      <c r="OY5">
        <v>8502156</v>
      </c>
      <c r="OZ5" t="s">
        <v>3811</v>
      </c>
      <c r="PE5" t="str">
        <f>_xll.BDS("CSGP US Equity","SUPPLY_CHAIN_SUPPLIERS_ALL_DATA","cols=12;rows=5")</f>
        <v>MUST SP Equity</v>
      </c>
      <c r="PF5" t="s">
        <v>1808</v>
      </c>
      <c r="PG5">
        <v>3.4</v>
      </c>
      <c r="PH5">
        <v>0.21632799999999999</v>
      </c>
      <c r="PI5" t="s">
        <v>2183</v>
      </c>
      <c r="PJ5">
        <v>2025</v>
      </c>
      <c r="PK5" t="s">
        <v>3600</v>
      </c>
      <c r="PL5" s="6">
        <v>45883</v>
      </c>
      <c r="PM5">
        <v>5</v>
      </c>
      <c r="PN5">
        <v>1026205</v>
      </c>
      <c r="PO5">
        <v>46286147</v>
      </c>
      <c r="PP5" t="s">
        <v>3018</v>
      </c>
      <c r="PS5" t="str">
        <f>_xll.BDS("CSGP US Equity","SUPPLY_CHAIN_CUSTOMERS_ALL_DATA","cols=12;rows=3")</f>
        <v>SNX US Equity</v>
      </c>
      <c r="PT5">
        <v>6.6546999999999995E-2</v>
      </c>
      <c r="PU5" t="s">
        <v>1777</v>
      </c>
      <c r="PV5">
        <v>3.189E-3</v>
      </c>
      <c r="PW5" t="s">
        <v>1785</v>
      </c>
      <c r="PX5">
        <v>2024</v>
      </c>
      <c r="PY5" t="s">
        <v>1903</v>
      </c>
      <c r="PZ5" s="6">
        <v>45722</v>
      </c>
      <c r="QA5">
        <v>3</v>
      </c>
      <c r="QB5">
        <v>472087</v>
      </c>
      <c r="QC5">
        <v>1499717</v>
      </c>
      <c r="QD5" t="s">
        <v>1904</v>
      </c>
      <c r="QI5" t="str">
        <f>_xll.BDS("CSCO US Equity","SUPPLY_CHAIN_SUPPLIERS_ALL_DATA","cols=12;rows=5")</f>
        <v>NVDA US Equity</v>
      </c>
      <c r="QJ5" t="s">
        <v>1777</v>
      </c>
      <c r="QK5">
        <v>0.44414500000000001</v>
      </c>
      <c r="QL5">
        <v>5.627351</v>
      </c>
      <c r="QM5" t="s">
        <v>1785</v>
      </c>
      <c r="QN5">
        <v>2026</v>
      </c>
      <c r="QO5" t="s">
        <v>2127</v>
      </c>
      <c r="QP5" s="6">
        <v>46087</v>
      </c>
      <c r="QQ5">
        <v>5</v>
      </c>
      <c r="QR5">
        <v>302582656</v>
      </c>
      <c r="QS5">
        <v>313657</v>
      </c>
      <c r="QT5" t="s">
        <v>2128</v>
      </c>
      <c r="QW5" t="str">
        <f>_xll.BDS("CSCO US Equity","SUPPLY_CHAIN_CUSTOMERS_ALL_DATA","cols=12;rows=5")</f>
        <v>SNX US Equity</v>
      </c>
      <c r="QX5">
        <v>3.3352200000000001</v>
      </c>
      <c r="QY5" t="s">
        <v>1777</v>
      </c>
      <c r="QZ5">
        <v>3.067034</v>
      </c>
      <c r="RA5" t="s">
        <v>1785</v>
      </c>
      <c r="RB5">
        <v>2025</v>
      </c>
      <c r="RC5" t="s">
        <v>1903</v>
      </c>
      <c r="RD5" s="6">
        <v>46056</v>
      </c>
      <c r="RE5">
        <v>5</v>
      </c>
      <c r="RF5">
        <v>496380736</v>
      </c>
      <c r="RG5">
        <v>1499717</v>
      </c>
      <c r="RH5" t="s">
        <v>1904</v>
      </c>
      <c r="RM5" t="str">
        <f>_xll.BDS("MAFB US Equity","SUPPLY_CHAIN_SUPPLIERS_ALL_DATA")</f>
        <v>#N/A N/A</v>
      </c>
      <c r="SA5" t="str">
        <f>_xll.BDS("MAFB US Equity","SUPPLY_CHAIN_CUSTOMERS_ALL_DATA")</f>
        <v>#N/A N/A</v>
      </c>
      <c r="SQ5" t="str">
        <f>_xll.BDS("CBU US Equity","SUPPLY_CHAIN_SUPPLIERS_ALL_DATA")</f>
        <v>#N/A N/A</v>
      </c>
      <c r="TE5" t="str">
        <f>_xll.BDS("CBU US Equity","SUPPLY_CHAIN_CUSTOMERS_ALL_DATA")</f>
        <v>#N/A N/A</v>
      </c>
      <c r="TU5" t="str">
        <f>_xll.BDS("UCFC US Equity","SUPPLY_CHAIN_SUPPLIERS_ALL_DATA")</f>
        <v>#N/A N/A</v>
      </c>
      <c r="UI5" t="str">
        <f>_xll.BDS("UCFC US Equity","SUPPLY_CHAIN_CUSTOMERS_ALL_DATA")</f>
        <v>#N/A N/A</v>
      </c>
      <c r="UY5" t="str">
        <f>_xll.BDS("FSLA US Equity","SUPPLY_CHAIN_SUPPLIERS_ALL_DATA")</f>
        <v>#N/A N/A</v>
      </c>
      <c r="VM5" t="str">
        <f>_xll.BDS("FSLA US Equity","SUPPLY_CHAIN_CUSTOMERS_ALL_DATA")</f>
        <v>#N/A N/A</v>
      </c>
    </row>
    <row r="6" spans="1:600" x14ac:dyDescent="0.25">
      <c r="CM6" t="s">
        <v>2345</v>
      </c>
      <c r="CO6">
        <v>-2.4245362661989844E-14</v>
      </c>
      <c r="CP6">
        <v>-2.4245362661989844E-14</v>
      </c>
      <c r="CQ6" t="s">
        <v>1773</v>
      </c>
      <c r="CR6">
        <v>2022</v>
      </c>
      <c r="CS6" t="s">
        <v>2346</v>
      </c>
      <c r="CT6" s="6">
        <v>44910</v>
      </c>
      <c r="CU6">
        <v>5</v>
      </c>
      <c r="CV6">
        <v>-2.4245362661989844E-14</v>
      </c>
      <c r="CW6">
        <v>8073030</v>
      </c>
      <c r="CX6" t="s">
        <v>2347</v>
      </c>
      <c r="DA6" t="s">
        <v>2450</v>
      </c>
      <c r="DB6">
        <v>1.1117999999999999E-2</v>
      </c>
      <c r="DC6" t="s">
        <v>1777</v>
      </c>
      <c r="DD6">
        <v>1.9680000000000001E-3</v>
      </c>
      <c r="DE6" t="s">
        <v>1785</v>
      </c>
      <c r="DF6">
        <v>2025</v>
      </c>
      <c r="DG6" t="s">
        <v>2451</v>
      </c>
      <c r="DH6" s="6">
        <v>46091</v>
      </c>
      <c r="DI6">
        <v>5</v>
      </c>
      <c r="DJ6">
        <v>30895</v>
      </c>
      <c r="DK6">
        <v>156637</v>
      </c>
      <c r="DL6" t="s">
        <v>2452</v>
      </c>
      <c r="DQ6" t="s">
        <v>2129</v>
      </c>
      <c r="DR6" t="s">
        <v>1777</v>
      </c>
      <c r="DS6">
        <v>0.347161</v>
      </c>
      <c r="DT6">
        <v>4.1422239999999997</v>
      </c>
      <c r="DU6" t="s">
        <v>1768</v>
      </c>
      <c r="DV6">
        <v>2025</v>
      </c>
      <c r="DW6" t="s">
        <v>2130</v>
      </c>
      <c r="DX6" s="6">
        <v>45889</v>
      </c>
      <c r="DY6">
        <v>5</v>
      </c>
      <c r="DZ6">
        <v>201928052.13999999</v>
      </c>
      <c r="EA6">
        <v>119133</v>
      </c>
      <c r="EB6" t="s">
        <v>2131</v>
      </c>
      <c r="EE6" t="s">
        <v>1905</v>
      </c>
      <c r="EF6">
        <v>2.8732120000000001</v>
      </c>
      <c r="EG6" t="s">
        <v>1906</v>
      </c>
      <c r="EH6">
        <v>2.4006630000000002</v>
      </c>
      <c r="EI6" t="s">
        <v>1768</v>
      </c>
      <c r="EJ6">
        <v>2025</v>
      </c>
      <c r="EK6" t="s">
        <v>1907</v>
      </c>
      <c r="EL6" s="6">
        <v>45783</v>
      </c>
      <c r="EM6">
        <v>5</v>
      </c>
      <c r="EN6">
        <v>401991104</v>
      </c>
      <c r="EO6">
        <v>101743</v>
      </c>
      <c r="EP6" t="s">
        <v>1908</v>
      </c>
      <c r="HC6" t="s">
        <v>2031</v>
      </c>
      <c r="HD6" t="s">
        <v>1777</v>
      </c>
      <c r="HE6">
        <v>13.760432</v>
      </c>
      <c r="HF6">
        <v>4.7536569999999996</v>
      </c>
      <c r="HG6" t="s">
        <v>1768</v>
      </c>
      <c r="HH6">
        <v>2025</v>
      </c>
      <c r="HI6" t="s">
        <v>2032</v>
      </c>
      <c r="HJ6" s="6">
        <v>45937</v>
      </c>
      <c r="HK6">
        <v>5</v>
      </c>
      <c r="HL6">
        <v>325305405.77999997</v>
      </c>
      <c r="HM6">
        <v>8445936</v>
      </c>
      <c r="HN6" t="s">
        <v>2033</v>
      </c>
      <c r="HQ6" t="s">
        <v>1824</v>
      </c>
      <c r="HR6">
        <v>9.2636719999999997</v>
      </c>
      <c r="HS6" t="s">
        <v>1777</v>
      </c>
      <c r="HT6">
        <v>5.0267530000000002</v>
      </c>
      <c r="HU6" t="s">
        <v>1768</v>
      </c>
      <c r="HV6">
        <v>2025</v>
      </c>
      <c r="HW6" t="s">
        <v>1886</v>
      </c>
      <c r="HX6" s="6">
        <v>45888</v>
      </c>
      <c r="HY6">
        <v>5</v>
      </c>
      <c r="HZ6">
        <v>1021134592</v>
      </c>
      <c r="IA6">
        <v>100211</v>
      </c>
      <c r="IB6" t="s">
        <v>1825</v>
      </c>
      <c r="JK6" t="s">
        <v>2699</v>
      </c>
      <c r="JL6" t="s">
        <v>1777</v>
      </c>
      <c r="JM6">
        <v>3.6719999999999999E-3</v>
      </c>
      <c r="JN6">
        <v>0.26312200000000002</v>
      </c>
      <c r="JO6" t="s">
        <v>1768</v>
      </c>
      <c r="JP6">
        <v>2025</v>
      </c>
      <c r="JQ6" t="s">
        <v>2700</v>
      </c>
      <c r="JR6" s="6">
        <v>45910</v>
      </c>
      <c r="JS6">
        <v>4</v>
      </c>
      <c r="JT6">
        <v>64276.24</v>
      </c>
      <c r="JU6">
        <v>18686622</v>
      </c>
      <c r="JV6" t="s">
        <v>2701</v>
      </c>
      <c r="KO6" t="s">
        <v>4269</v>
      </c>
      <c r="KQ6">
        <v>-2.4245362661989844E-14</v>
      </c>
      <c r="KR6">
        <v>-2.4245362661989844E-14</v>
      </c>
      <c r="KS6" t="s">
        <v>1789</v>
      </c>
      <c r="KT6">
        <v>2025</v>
      </c>
      <c r="KU6" t="s">
        <v>4270</v>
      </c>
      <c r="KV6" s="6">
        <v>45842</v>
      </c>
      <c r="KW6">
        <v>2</v>
      </c>
      <c r="KX6">
        <v>-2.4245362661989844E-14</v>
      </c>
      <c r="KY6">
        <v>65708544</v>
      </c>
      <c r="KZ6" t="s">
        <v>4271</v>
      </c>
      <c r="OA6" t="s">
        <v>603</v>
      </c>
      <c r="OB6" t="s">
        <v>1777</v>
      </c>
      <c r="OC6">
        <v>0.607989</v>
      </c>
      <c r="OD6">
        <v>3.317993</v>
      </c>
      <c r="OE6" t="s">
        <v>1781</v>
      </c>
      <c r="OF6">
        <v>2025</v>
      </c>
      <c r="OG6" t="s">
        <v>1979</v>
      </c>
      <c r="OH6" s="6">
        <v>45863</v>
      </c>
      <c r="OI6">
        <v>5</v>
      </c>
      <c r="OJ6">
        <v>10020340</v>
      </c>
      <c r="OK6">
        <v>10832677</v>
      </c>
      <c r="OL6" t="s">
        <v>1980</v>
      </c>
      <c r="OO6" t="s">
        <v>3812</v>
      </c>
      <c r="OP6">
        <v>6.9998839999999998</v>
      </c>
      <c r="OQ6" t="s">
        <v>1777</v>
      </c>
      <c r="OR6">
        <v>8.2616409999999991</v>
      </c>
      <c r="OS6" t="s">
        <v>1789</v>
      </c>
      <c r="OT6">
        <v>2024</v>
      </c>
      <c r="OU6" t="s">
        <v>3679</v>
      </c>
      <c r="OV6" s="6">
        <v>45708</v>
      </c>
      <c r="OW6">
        <v>5</v>
      </c>
      <c r="OX6">
        <v>151250000</v>
      </c>
      <c r="OY6">
        <v>51257766</v>
      </c>
      <c r="OZ6" t="s">
        <v>3813</v>
      </c>
      <c r="PE6" t="s">
        <v>1905</v>
      </c>
      <c r="PF6" t="s">
        <v>1777</v>
      </c>
      <c r="PG6">
        <v>6.2299999999999996E-4</v>
      </c>
      <c r="PH6">
        <v>0.28474300000000002</v>
      </c>
      <c r="PI6" t="s">
        <v>1773</v>
      </c>
      <c r="PJ6">
        <v>2025</v>
      </c>
      <c r="PK6" t="s">
        <v>2357</v>
      </c>
      <c r="PL6" s="6">
        <v>45843</v>
      </c>
      <c r="PM6">
        <v>5</v>
      </c>
      <c r="PN6">
        <v>436511</v>
      </c>
      <c r="PO6">
        <v>101743</v>
      </c>
      <c r="PP6" t="s">
        <v>1908</v>
      </c>
      <c r="PS6" t="s">
        <v>2206</v>
      </c>
      <c r="PT6">
        <v>-2.4245362661989844E-14</v>
      </c>
      <c r="PV6">
        <v>-2.4245362661989844E-14</v>
      </c>
      <c r="PW6" t="s">
        <v>1789</v>
      </c>
      <c r="PX6">
        <v>2024</v>
      </c>
      <c r="PY6" t="s">
        <v>2207</v>
      </c>
      <c r="PZ6" s="6">
        <v>45566</v>
      </c>
      <c r="QA6">
        <v>3</v>
      </c>
      <c r="QB6">
        <v>-2.4245362661989844E-14</v>
      </c>
      <c r="QC6">
        <v>72748346</v>
      </c>
      <c r="QD6" t="s">
        <v>2208</v>
      </c>
      <c r="QI6" t="s">
        <v>2129</v>
      </c>
      <c r="QJ6" t="s">
        <v>1777</v>
      </c>
      <c r="QK6">
        <v>0.347161</v>
      </c>
      <c r="QL6">
        <v>4.1422239999999997</v>
      </c>
      <c r="QM6" t="s">
        <v>1768</v>
      </c>
      <c r="QN6">
        <v>2025</v>
      </c>
      <c r="QO6" t="s">
        <v>2130</v>
      </c>
      <c r="QP6" s="6">
        <v>45889</v>
      </c>
      <c r="QQ6">
        <v>5</v>
      </c>
      <c r="QR6">
        <v>201928052.13999999</v>
      </c>
      <c r="QS6">
        <v>119133</v>
      </c>
      <c r="QT6" t="s">
        <v>2131</v>
      </c>
      <c r="QW6" t="s">
        <v>1905</v>
      </c>
      <c r="QX6">
        <v>2.8732120000000001</v>
      </c>
      <c r="QY6" t="s">
        <v>1906</v>
      </c>
      <c r="QZ6">
        <v>2.4006630000000002</v>
      </c>
      <c r="RA6" t="s">
        <v>1768</v>
      </c>
      <c r="RB6">
        <v>2025</v>
      </c>
      <c r="RC6" t="s">
        <v>1907</v>
      </c>
      <c r="RD6" s="6">
        <v>45783</v>
      </c>
      <c r="RE6">
        <v>5</v>
      </c>
      <c r="RF6">
        <v>401991104</v>
      </c>
      <c r="RG6">
        <v>101743</v>
      </c>
      <c r="RH6" t="s">
        <v>1908</v>
      </c>
    </row>
    <row r="7" spans="1:600" x14ac:dyDescent="0.25">
      <c r="CM7" t="s">
        <v>198</v>
      </c>
      <c r="CO7">
        <v>-2.4245362661989844E-14</v>
      </c>
      <c r="CP7">
        <v>-2.4245362661989844E-14</v>
      </c>
      <c r="CQ7" t="s">
        <v>1789</v>
      </c>
      <c r="CR7">
        <v>2024</v>
      </c>
      <c r="CS7" t="s">
        <v>2348</v>
      </c>
      <c r="CT7" s="6">
        <v>45919</v>
      </c>
      <c r="CU7">
        <v>5</v>
      </c>
      <c r="CV7">
        <v>-2.4245362661989844E-14</v>
      </c>
      <c r="CW7">
        <v>46946968</v>
      </c>
      <c r="CX7" t="s">
        <v>1771</v>
      </c>
      <c r="DA7" t="s">
        <v>2453</v>
      </c>
      <c r="DB7">
        <v>-2.4245362661989844E-14</v>
      </c>
      <c r="DD7">
        <v>-2.4245362661989844E-14</v>
      </c>
      <c r="DE7" t="s">
        <v>1894</v>
      </c>
      <c r="DF7">
        <v>2024</v>
      </c>
      <c r="DG7" t="s">
        <v>2454</v>
      </c>
      <c r="DH7" s="6">
        <v>45610</v>
      </c>
      <c r="DI7">
        <v>5</v>
      </c>
      <c r="DJ7">
        <v>-2.4245362661989844E-14</v>
      </c>
      <c r="DK7">
        <v>24157992</v>
      </c>
      <c r="DL7" t="s">
        <v>2455</v>
      </c>
      <c r="DQ7" t="s">
        <v>2132</v>
      </c>
      <c r="DR7" t="s">
        <v>1777</v>
      </c>
      <c r="DS7">
        <v>0.664825</v>
      </c>
      <c r="DT7">
        <v>3.6327410000000002</v>
      </c>
      <c r="DU7" t="s">
        <v>1785</v>
      </c>
      <c r="DV7">
        <v>2024</v>
      </c>
      <c r="DW7" t="s">
        <v>2133</v>
      </c>
      <c r="DX7" s="6">
        <v>45741</v>
      </c>
      <c r="DY7">
        <v>5</v>
      </c>
      <c r="DZ7">
        <v>178478249.27000001</v>
      </c>
      <c r="EA7">
        <v>153737</v>
      </c>
      <c r="EB7" t="s">
        <v>2134</v>
      </c>
      <c r="EE7" t="s">
        <v>1909</v>
      </c>
      <c r="EF7">
        <v>2.64514</v>
      </c>
      <c r="EG7" t="s">
        <v>1777</v>
      </c>
      <c r="EH7">
        <v>1.094911</v>
      </c>
      <c r="EI7" t="s">
        <v>1768</v>
      </c>
      <c r="EJ7">
        <v>2025</v>
      </c>
      <c r="EK7" t="s">
        <v>1907</v>
      </c>
      <c r="EL7" s="6">
        <v>45783</v>
      </c>
      <c r="EM7">
        <v>5</v>
      </c>
      <c r="EN7">
        <v>370081536</v>
      </c>
      <c r="EO7">
        <v>117929</v>
      </c>
      <c r="EP7" t="s">
        <v>1910</v>
      </c>
      <c r="HC7" t="s">
        <v>2034</v>
      </c>
      <c r="HD7" t="s">
        <v>1777</v>
      </c>
      <c r="HE7">
        <v>11</v>
      </c>
      <c r="HF7">
        <v>3.1337429999999999</v>
      </c>
      <c r="HG7" t="s">
        <v>1789</v>
      </c>
      <c r="HH7">
        <v>2025</v>
      </c>
      <c r="HI7" t="s">
        <v>2035</v>
      </c>
      <c r="HJ7" s="6">
        <v>46065</v>
      </c>
      <c r="HK7">
        <v>5</v>
      </c>
      <c r="HL7">
        <v>226930000</v>
      </c>
      <c r="HM7">
        <v>59099358</v>
      </c>
      <c r="HN7" t="s">
        <v>2036</v>
      </c>
      <c r="HQ7" t="s">
        <v>1887</v>
      </c>
      <c r="HR7">
        <v>4.5319979999999997</v>
      </c>
      <c r="HS7" t="s">
        <v>1777</v>
      </c>
      <c r="HT7">
        <v>3.2162160000000002</v>
      </c>
      <c r="HU7" t="s">
        <v>1768</v>
      </c>
      <c r="HV7">
        <v>2025</v>
      </c>
      <c r="HW7" t="s">
        <v>1886</v>
      </c>
      <c r="HX7" s="6">
        <v>45888</v>
      </c>
      <c r="HY7">
        <v>5</v>
      </c>
      <c r="HZ7">
        <v>499562144</v>
      </c>
      <c r="IA7">
        <v>876285</v>
      </c>
      <c r="IB7" t="s">
        <v>1888</v>
      </c>
      <c r="JK7" t="s">
        <v>2339</v>
      </c>
      <c r="JL7" t="s">
        <v>1777</v>
      </c>
      <c r="JM7">
        <v>7.9469999999999992E-3</v>
      </c>
      <c r="JN7">
        <v>0.32603799999999999</v>
      </c>
      <c r="JO7" t="s">
        <v>1785</v>
      </c>
      <c r="JP7">
        <v>2024</v>
      </c>
      <c r="JQ7" t="s">
        <v>3912</v>
      </c>
      <c r="JR7" s="6">
        <v>45771</v>
      </c>
      <c r="JS7">
        <v>4</v>
      </c>
      <c r="JT7">
        <v>56799</v>
      </c>
      <c r="JU7">
        <v>38748702</v>
      </c>
      <c r="JV7" t="s">
        <v>2341</v>
      </c>
      <c r="OA7" t="s">
        <v>3678</v>
      </c>
      <c r="OC7">
        <v>-2.4245362661989844E-14</v>
      </c>
      <c r="OD7">
        <v>-2.4245362661989844E-14</v>
      </c>
      <c r="OE7" t="s">
        <v>1789</v>
      </c>
      <c r="OF7">
        <v>2024</v>
      </c>
      <c r="OG7" t="s">
        <v>3679</v>
      </c>
      <c r="OH7" s="6">
        <v>45708</v>
      </c>
      <c r="OI7">
        <v>5</v>
      </c>
      <c r="OJ7">
        <v>-2.4245362661989844E-14</v>
      </c>
      <c r="OK7">
        <v>20981546</v>
      </c>
      <c r="OL7" t="s">
        <v>3680</v>
      </c>
      <c r="OO7" t="s">
        <v>1833</v>
      </c>
      <c r="OP7">
        <v>-2.4245362661989844E-14</v>
      </c>
      <c r="OR7">
        <v>-2.4245362661989844E-14</v>
      </c>
      <c r="OS7" t="s">
        <v>1789</v>
      </c>
      <c r="OT7">
        <v>2021</v>
      </c>
      <c r="OU7" t="s">
        <v>2071</v>
      </c>
      <c r="OV7" s="6">
        <v>44693</v>
      </c>
      <c r="OW7">
        <v>5</v>
      </c>
      <c r="OX7">
        <v>-2.4245362661989844E-14</v>
      </c>
      <c r="OY7">
        <v>128990</v>
      </c>
      <c r="OZ7" t="s">
        <v>1834</v>
      </c>
      <c r="PE7" t="s">
        <v>3601</v>
      </c>
      <c r="PG7">
        <v>-2.4245362661989844E-14</v>
      </c>
      <c r="PH7">
        <v>-2.4245362661989844E-14</v>
      </c>
      <c r="PI7" t="s">
        <v>1789</v>
      </c>
      <c r="PJ7">
        <v>2023</v>
      </c>
      <c r="PK7" t="s">
        <v>3602</v>
      </c>
      <c r="PL7" s="6">
        <v>45344</v>
      </c>
      <c r="PM7">
        <v>5</v>
      </c>
      <c r="PN7">
        <v>-2.4245362661989844E-14</v>
      </c>
      <c r="PO7">
        <v>27878900</v>
      </c>
      <c r="PP7" t="s">
        <v>3603</v>
      </c>
      <c r="PS7" t="s">
        <v>2209</v>
      </c>
      <c r="PT7">
        <v>-2.4245362661989844E-14</v>
      </c>
      <c r="PV7">
        <v>-2.4245362661989844E-14</v>
      </c>
      <c r="PW7" t="s">
        <v>1789</v>
      </c>
      <c r="PX7">
        <v>2022</v>
      </c>
      <c r="PY7" t="s">
        <v>2210</v>
      </c>
      <c r="PZ7" s="6">
        <v>44985</v>
      </c>
      <c r="QA7">
        <v>3</v>
      </c>
      <c r="QB7">
        <v>-2.4245362661989844E-14</v>
      </c>
      <c r="QC7">
        <v>28340906</v>
      </c>
      <c r="QD7" t="s">
        <v>2211</v>
      </c>
      <c r="QI7" t="s">
        <v>2132</v>
      </c>
      <c r="QJ7" t="s">
        <v>1777</v>
      </c>
      <c r="QK7">
        <v>0.664825</v>
      </c>
      <c r="QL7">
        <v>3.6327410000000002</v>
      </c>
      <c r="QM7" t="s">
        <v>1785</v>
      </c>
      <c r="QN7">
        <v>2024</v>
      </c>
      <c r="QO7" t="s">
        <v>2133</v>
      </c>
      <c r="QP7" s="6">
        <v>45741</v>
      </c>
      <c r="QQ7">
        <v>5</v>
      </c>
      <c r="QR7">
        <v>178478249.27000001</v>
      </c>
      <c r="QS7">
        <v>153737</v>
      </c>
      <c r="QT7" t="s">
        <v>2134</v>
      </c>
      <c r="QW7" t="s">
        <v>1909</v>
      </c>
      <c r="QX7">
        <v>2.64514</v>
      </c>
      <c r="QY7" t="s">
        <v>1777</v>
      </c>
      <c r="QZ7">
        <v>1.094911</v>
      </c>
      <c r="RA7" t="s">
        <v>1768</v>
      </c>
      <c r="RB7">
        <v>2025</v>
      </c>
      <c r="RC7" t="s">
        <v>1907</v>
      </c>
      <c r="RD7" s="6">
        <v>45783</v>
      </c>
      <c r="RE7">
        <v>5</v>
      </c>
      <c r="RF7">
        <v>370081536</v>
      </c>
      <c r="RG7">
        <v>117929</v>
      </c>
      <c r="RH7" t="s">
        <v>1910</v>
      </c>
    </row>
    <row r="8" spans="1:600" x14ac:dyDescent="0.25">
      <c r="CM8" t="s">
        <v>2349</v>
      </c>
      <c r="CO8">
        <v>-2.4245362661989844E-14</v>
      </c>
      <c r="CP8">
        <v>-2.4245362661989844E-14</v>
      </c>
      <c r="CQ8" t="s">
        <v>1789</v>
      </c>
      <c r="CR8">
        <v>2022</v>
      </c>
      <c r="CS8" t="s">
        <v>2350</v>
      </c>
      <c r="CT8" s="6">
        <v>44986</v>
      </c>
      <c r="CU8">
        <v>5</v>
      </c>
      <c r="CV8">
        <v>-2.4245362661989844E-14</v>
      </c>
      <c r="CW8">
        <v>115413</v>
      </c>
      <c r="CX8" t="s">
        <v>2351</v>
      </c>
      <c r="DA8" t="s">
        <v>2456</v>
      </c>
      <c r="DB8">
        <v>-2.4245362661989844E-14</v>
      </c>
      <c r="DD8">
        <v>-2.4245362661989844E-14</v>
      </c>
      <c r="DE8" t="s">
        <v>1789</v>
      </c>
      <c r="DF8">
        <v>2022</v>
      </c>
      <c r="DG8" t="s">
        <v>2457</v>
      </c>
      <c r="DH8" s="6">
        <v>45014</v>
      </c>
      <c r="DI8">
        <v>5</v>
      </c>
      <c r="DJ8">
        <v>-2.4245362661989844E-14</v>
      </c>
      <c r="DK8">
        <v>10108180</v>
      </c>
      <c r="DL8" t="s">
        <v>2458</v>
      </c>
      <c r="DQ8" t="s">
        <v>2135</v>
      </c>
      <c r="DR8" t="s">
        <v>1777</v>
      </c>
      <c r="DS8">
        <v>2.6461350000000001</v>
      </c>
      <c r="DT8">
        <v>3.5549309999999998</v>
      </c>
      <c r="DU8" t="s">
        <v>1773</v>
      </c>
      <c r="DV8">
        <v>2025</v>
      </c>
      <c r="DW8" t="s">
        <v>2136</v>
      </c>
      <c r="DX8" s="6">
        <v>45763</v>
      </c>
      <c r="DY8">
        <v>5</v>
      </c>
      <c r="DZ8">
        <v>173480608</v>
      </c>
      <c r="EA8">
        <v>136547</v>
      </c>
      <c r="EB8" t="s">
        <v>2137</v>
      </c>
      <c r="EE8" t="s">
        <v>1814</v>
      </c>
      <c r="EF8">
        <v>2.5842719999999999</v>
      </c>
      <c r="EG8" t="s">
        <v>1906</v>
      </c>
      <c r="EH8">
        <v>1.4451639999999999</v>
      </c>
      <c r="EI8" t="s">
        <v>1768</v>
      </c>
      <c r="EJ8">
        <v>2025</v>
      </c>
      <c r="EK8" t="s">
        <v>1907</v>
      </c>
      <c r="EL8" s="6">
        <v>45783</v>
      </c>
      <c r="EM8">
        <v>5</v>
      </c>
      <c r="EN8">
        <v>361565504</v>
      </c>
      <c r="EO8">
        <v>216952</v>
      </c>
      <c r="EP8" t="s">
        <v>1815</v>
      </c>
      <c r="HC8" t="s">
        <v>2037</v>
      </c>
      <c r="HD8" t="s">
        <v>1777</v>
      </c>
      <c r="HE8">
        <v>8.8672269999999997</v>
      </c>
      <c r="HF8">
        <v>1.980351</v>
      </c>
      <c r="HG8" t="s">
        <v>1768</v>
      </c>
      <c r="HH8">
        <v>2025</v>
      </c>
      <c r="HI8" t="s">
        <v>2038</v>
      </c>
      <c r="HJ8" s="6">
        <v>45922</v>
      </c>
      <c r="HK8">
        <v>5</v>
      </c>
      <c r="HL8">
        <v>135574848</v>
      </c>
      <c r="HM8">
        <v>11937231</v>
      </c>
      <c r="HN8" t="s">
        <v>2039</v>
      </c>
      <c r="HQ8" t="s">
        <v>1889</v>
      </c>
      <c r="HR8">
        <v>3.2472560000000001</v>
      </c>
      <c r="HS8" t="s">
        <v>1777</v>
      </c>
      <c r="HT8">
        <v>2.573108</v>
      </c>
      <c r="HU8" t="s">
        <v>1768</v>
      </c>
      <c r="HV8">
        <v>2025</v>
      </c>
      <c r="HW8" t="s">
        <v>1886</v>
      </c>
      <c r="HX8" s="6">
        <v>45888</v>
      </c>
      <c r="HY8">
        <v>5</v>
      </c>
      <c r="HZ8">
        <v>357945024</v>
      </c>
      <c r="IA8">
        <v>10451815</v>
      </c>
      <c r="IB8" t="s">
        <v>1890</v>
      </c>
      <c r="JK8" t="s">
        <v>3913</v>
      </c>
      <c r="JM8">
        <v>-2.4245362661989844E-14</v>
      </c>
      <c r="JN8">
        <v>-2.4245362661989844E-14</v>
      </c>
      <c r="JO8" t="s">
        <v>1789</v>
      </c>
      <c r="JP8">
        <v>2023</v>
      </c>
      <c r="JQ8" t="s">
        <v>3914</v>
      </c>
      <c r="JR8" s="6">
        <v>45213</v>
      </c>
      <c r="JS8">
        <v>4</v>
      </c>
      <c r="JT8">
        <v>-2.4245362661989844E-14</v>
      </c>
      <c r="JU8">
        <v>38676291</v>
      </c>
      <c r="JV8" t="s">
        <v>3915</v>
      </c>
      <c r="OA8" t="s">
        <v>3681</v>
      </c>
      <c r="OC8">
        <v>-2.4245362661989844E-14</v>
      </c>
      <c r="OD8">
        <v>-2.4245362661989844E-14</v>
      </c>
      <c r="OE8" t="s">
        <v>1789</v>
      </c>
      <c r="OF8">
        <v>2024</v>
      </c>
      <c r="OG8" t="s">
        <v>3679</v>
      </c>
      <c r="OH8" s="6">
        <v>45708</v>
      </c>
      <c r="OI8">
        <v>5</v>
      </c>
      <c r="OJ8">
        <v>-2.4245362661989844E-14</v>
      </c>
      <c r="OK8">
        <v>17598989</v>
      </c>
      <c r="OL8" t="s">
        <v>3682</v>
      </c>
      <c r="OO8" t="s">
        <v>3814</v>
      </c>
      <c r="OP8">
        <v>-2.4245362661989844E-14</v>
      </c>
      <c r="OR8">
        <v>-2.4245362661989844E-14</v>
      </c>
      <c r="OS8" t="s">
        <v>1789</v>
      </c>
      <c r="OT8">
        <v>2021</v>
      </c>
      <c r="OU8" t="s">
        <v>2071</v>
      </c>
      <c r="OV8" s="6">
        <v>44693</v>
      </c>
      <c r="OW8">
        <v>5</v>
      </c>
      <c r="OX8">
        <v>-2.4245362661989844E-14</v>
      </c>
      <c r="OY8">
        <v>13407788</v>
      </c>
      <c r="OZ8" t="s">
        <v>3815</v>
      </c>
      <c r="PE8" t="s">
        <v>3604</v>
      </c>
      <c r="PG8">
        <v>-2.4245362661989844E-14</v>
      </c>
      <c r="PH8">
        <v>-2.4245362661989844E-14</v>
      </c>
      <c r="PI8" t="s">
        <v>1789</v>
      </c>
      <c r="PJ8">
        <v>2024</v>
      </c>
      <c r="PK8" t="s">
        <v>3605</v>
      </c>
      <c r="PL8" s="6">
        <v>45768</v>
      </c>
      <c r="PM8">
        <v>5</v>
      </c>
      <c r="PN8">
        <v>-2.4245362661989844E-14</v>
      </c>
      <c r="PO8">
        <v>69643518</v>
      </c>
      <c r="PP8" t="s">
        <v>3606</v>
      </c>
      <c r="QI8" t="s">
        <v>2135</v>
      </c>
      <c r="QJ8" t="s">
        <v>1777</v>
      </c>
      <c r="QK8">
        <v>2.6461350000000001</v>
      </c>
      <c r="QL8">
        <v>3.5549309999999998</v>
      </c>
      <c r="QM8" t="s">
        <v>1773</v>
      </c>
      <c r="QN8">
        <v>2025</v>
      </c>
      <c r="QO8" t="s">
        <v>2136</v>
      </c>
      <c r="QP8" s="6">
        <v>45763</v>
      </c>
      <c r="QQ8">
        <v>5</v>
      </c>
      <c r="QR8">
        <v>173480608</v>
      </c>
      <c r="QS8">
        <v>136547</v>
      </c>
      <c r="QT8" t="s">
        <v>2137</v>
      </c>
      <c r="QW8" t="s">
        <v>1814</v>
      </c>
      <c r="QX8">
        <v>2.5842719999999999</v>
      </c>
      <c r="QY8" t="s">
        <v>1906</v>
      </c>
      <c r="QZ8">
        <v>1.4451639999999999</v>
      </c>
      <c r="RA8" t="s">
        <v>1768</v>
      </c>
      <c r="RB8">
        <v>2025</v>
      </c>
      <c r="RC8" t="s">
        <v>1907</v>
      </c>
      <c r="RD8" s="6">
        <v>45783</v>
      </c>
      <c r="RE8">
        <v>5</v>
      </c>
      <c r="RF8">
        <v>361565504</v>
      </c>
      <c r="RG8">
        <v>216952</v>
      </c>
      <c r="RH8" t="s">
        <v>1815</v>
      </c>
    </row>
    <row r="9" spans="1:600" x14ac:dyDescent="0.25">
      <c r="CM9" t="s">
        <v>2352</v>
      </c>
      <c r="CO9">
        <v>-2.4245362661989844E-14</v>
      </c>
      <c r="CP9">
        <v>-2.4245362661989844E-14</v>
      </c>
      <c r="CQ9" t="s">
        <v>1789</v>
      </c>
      <c r="CR9">
        <v>2024</v>
      </c>
      <c r="CS9" t="s">
        <v>2348</v>
      </c>
      <c r="CT9" s="6">
        <v>45919</v>
      </c>
      <c r="CU9">
        <v>5</v>
      </c>
      <c r="CV9">
        <v>-2.4245362661989844E-14</v>
      </c>
      <c r="CW9">
        <v>11092218</v>
      </c>
      <c r="CX9" t="s">
        <v>2353</v>
      </c>
      <c r="DA9" t="s">
        <v>2459</v>
      </c>
      <c r="DB9">
        <v>-2.4245362661989844E-14</v>
      </c>
      <c r="DD9">
        <v>-2.4245362661989844E-14</v>
      </c>
      <c r="DE9" t="s">
        <v>1789</v>
      </c>
      <c r="DF9">
        <v>2025</v>
      </c>
      <c r="DG9" t="s">
        <v>2460</v>
      </c>
      <c r="DH9" s="6">
        <v>45749</v>
      </c>
      <c r="DI9">
        <v>5</v>
      </c>
      <c r="DJ9">
        <v>-2.4245362661989844E-14</v>
      </c>
      <c r="DK9">
        <v>102456</v>
      </c>
      <c r="DL9" t="s">
        <v>2461</v>
      </c>
      <c r="DQ9" t="s">
        <v>2138</v>
      </c>
      <c r="DR9" t="s">
        <v>1777</v>
      </c>
      <c r="DS9">
        <v>18.200001</v>
      </c>
      <c r="DT9">
        <v>3.1899000000000002</v>
      </c>
      <c r="DU9" t="s">
        <v>1789</v>
      </c>
      <c r="DV9">
        <v>2025</v>
      </c>
      <c r="DW9" t="s">
        <v>2139</v>
      </c>
      <c r="DX9" s="6">
        <v>45888</v>
      </c>
      <c r="DY9">
        <v>5</v>
      </c>
      <c r="DZ9">
        <v>155579376</v>
      </c>
      <c r="EA9">
        <v>9858567</v>
      </c>
      <c r="EB9" t="s">
        <v>2140</v>
      </c>
      <c r="EE9" t="s">
        <v>1911</v>
      </c>
      <c r="EF9">
        <v>1.966375</v>
      </c>
      <c r="EG9" t="s">
        <v>1906</v>
      </c>
      <c r="EH9">
        <v>5.4308940000000003</v>
      </c>
      <c r="EI9" t="s">
        <v>1768</v>
      </c>
      <c r="EJ9">
        <v>2025</v>
      </c>
      <c r="EK9" t="s">
        <v>1907</v>
      </c>
      <c r="EL9" s="6">
        <v>45783</v>
      </c>
      <c r="EM9">
        <v>5</v>
      </c>
      <c r="EN9">
        <v>275115520</v>
      </c>
      <c r="EO9">
        <v>101376</v>
      </c>
      <c r="EP9" t="s">
        <v>1912</v>
      </c>
      <c r="HC9" t="s">
        <v>2040</v>
      </c>
      <c r="HD9" t="s">
        <v>1777</v>
      </c>
      <c r="HE9">
        <v>9.9027270000000005</v>
      </c>
      <c r="HF9">
        <v>1.5774429999999999</v>
      </c>
      <c r="HG9" t="s">
        <v>1768</v>
      </c>
      <c r="HH9">
        <v>2025</v>
      </c>
      <c r="HI9" t="s">
        <v>2041</v>
      </c>
      <c r="HJ9" s="6">
        <v>45904</v>
      </c>
      <c r="HK9">
        <v>5</v>
      </c>
      <c r="HL9">
        <v>107991712</v>
      </c>
      <c r="HM9">
        <v>187877</v>
      </c>
      <c r="HN9" t="s">
        <v>2042</v>
      </c>
      <c r="HQ9" t="s">
        <v>154</v>
      </c>
      <c r="HR9">
        <v>3.0622020000000001</v>
      </c>
      <c r="HS9" t="s">
        <v>1777</v>
      </c>
      <c r="HT9">
        <v>2.546176</v>
      </c>
      <c r="HU9" t="s">
        <v>1768</v>
      </c>
      <c r="HV9">
        <v>2025</v>
      </c>
      <c r="HW9" t="s">
        <v>1886</v>
      </c>
      <c r="HX9" s="6">
        <v>45888</v>
      </c>
      <c r="HY9">
        <v>5</v>
      </c>
      <c r="HZ9">
        <v>337546528</v>
      </c>
      <c r="IA9">
        <v>100090</v>
      </c>
      <c r="IB9" t="s">
        <v>1891</v>
      </c>
      <c r="OA9" t="s">
        <v>3683</v>
      </c>
      <c r="OC9">
        <v>-2.4245362661989844E-14</v>
      </c>
      <c r="OD9">
        <v>-2.4245362661989844E-14</v>
      </c>
      <c r="OE9" t="s">
        <v>1789</v>
      </c>
      <c r="OF9">
        <v>2023</v>
      </c>
      <c r="OG9" t="s">
        <v>3684</v>
      </c>
      <c r="OH9" s="6">
        <v>45342</v>
      </c>
      <c r="OI9">
        <v>5</v>
      </c>
      <c r="OJ9">
        <v>-2.4245362661989844E-14</v>
      </c>
      <c r="OK9">
        <v>34929300</v>
      </c>
      <c r="OL9" t="s">
        <v>3685</v>
      </c>
      <c r="OO9" t="s">
        <v>3816</v>
      </c>
      <c r="OP9">
        <v>-2.4245362661989844E-14</v>
      </c>
      <c r="OR9">
        <v>-2.4245362661989844E-14</v>
      </c>
      <c r="OS9" t="s">
        <v>1789</v>
      </c>
      <c r="OT9">
        <v>2021</v>
      </c>
      <c r="OU9" t="s">
        <v>2071</v>
      </c>
      <c r="OV9" s="6">
        <v>44693</v>
      </c>
      <c r="OW9">
        <v>5</v>
      </c>
      <c r="OX9">
        <v>-2.4245362661989844E-14</v>
      </c>
      <c r="OY9">
        <v>117881</v>
      </c>
      <c r="OZ9" t="s">
        <v>3817</v>
      </c>
      <c r="PE9" t="s">
        <v>3607</v>
      </c>
      <c r="PG9">
        <v>-2.4245362661989844E-14</v>
      </c>
      <c r="PH9">
        <v>-2.4245362661989844E-14</v>
      </c>
      <c r="PI9" t="s">
        <v>1789</v>
      </c>
      <c r="PJ9">
        <v>2024</v>
      </c>
      <c r="PK9" t="s">
        <v>3608</v>
      </c>
      <c r="PL9" s="6">
        <v>45737</v>
      </c>
      <c r="PM9">
        <v>5</v>
      </c>
      <c r="PN9">
        <v>-2.4245362661989844E-14</v>
      </c>
      <c r="PO9">
        <v>9099211</v>
      </c>
      <c r="PP9" t="s">
        <v>3609</v>
      </c>
      <c r="QI9" t="s">
        <v>2138</v>
      </c>
      <c r="QJ9" t="s">
        <v>1777</v>
      </c>
      <c r="QK9">
        <v>18.200001</v>
      </c>
      <c r="QL9">
        <v>3.1899000000000002</v>
      </c>
      <c r="QM9" t="s">
        <v>1789</v>
      </c>
      <c r="QN9">
        <v>2025</v>
      </c>
      <c r="QO9" t="s">
        <v>2139</v>
      </c>
      <c r="QP9" s="6">
        <v>45888</v>
      </c>
      <c r="QQ9">
        <v>5</v>
      </c>
      <c r="QR9">
        <v>155579376</v>
      </c>
      <c r="QS9">
        <v>9858567</v>
      </c>
      <c r="QT9" t="s">
        <v>2140</v>
      </c>
      <c r="QW9" t="s">
        <v>1911</v>
      </c>
      <c r="QX9">
        <v>1.966375</v>
      </c>
      <c r="QY9" t="s">
        <v>1906</v>
      </c>
      <c r="QZ9">
        <v>5.4308940000000003</v>
      </c>
      <c r="RA9" t="s">
        <v>1768</v>
      </c>
      <c r="RB9">
        <v>2025</v>
      </c>
      <c r="RC9" t="s">
        <v>1907</v>
      </c>
      <c r="RD9" s="6">
        <v>45783</v>
      </c>
      <c r="RE9">
        <v>5</v>
      </c>
      <c r="RF9">
        <v>275115520</v>
      </c>
      <c r="RG9">
        <v>101376</v>
      </c>
      <c r="RH9" t="s">
        <v>1912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930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931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932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933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934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935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936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937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938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939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940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941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942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943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944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945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946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947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948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949</v>
      </c>
      <c r="AE2" s="3" t="s">
        <v>950</v>
      </c>
      <c r="BI2" s="3" t="s">
        <v>951</v>
      </c>
      <c r="CM2" s="3" t="s">
        <v>952</v>
      </c>
      <c r="DQ2" s="3" t="s">
        <v>953</v>
      </c>
      <c r="EU2" s="3" t="s">
        <v>954</v>
      </c>
      <c r="FY2" s="3" t="s">
        <v>22</v>
      </c>
      <c r="HC2" s="3" t="s">
        <v>955</v>
      </c>
      <c r="IG2" s="3" t="s">
        <v>22</v>
      </c>
      <c r="JK2" s="3" t="s">
        <v>120</v>
      </c>
      <c r="KO2" s="3" t="s">
        <v>601</v>
      </c>
      <c r="LS2" s="3" t="s">
        <v>956</v>
      </c>
      <c r="MW2" s="3" t="s">
        <v>957</v>
      </c>
      <c r="OA2" s="3" t="s">
        <v>779</v>
      </c>
      <c r="PE2" s="3" t="s">
        <v>958</v>
      </c>
      <c r="QI2" s="3" t="s">
        <v>959</v>
      </c>
      <c r="RM2" s="3" t="s">
        <v>960</v>
      </c>
      <c r="SQ2" s="3" t="s">
        <v>961</v>
      </c>
      <c r="TU2" s="3" t="s">
        <v>244</v>
      </c>
      <c r="UY2" s="3" t="s">
        <v>962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_xll.BDS("3482Q US Equity","SUPPLY_CHAIN_SUPPLIERS_ALL_DATA")</f>
        <v>#N/A N/A</v>
      </c>
      <c r="O5" t="str">
        <f>_xll.BDS("3482Q US Equity","SUPPLY_CHAIN_CUSTOMERS_ALL_DATA")</f>
        <v>#N/A N/A</v>
      </c>
      <c r="AE5" t="str">
        <f>_xll.BDS("1518080D US Equity","SUPPLY_CHAIN_SUPPLIERS_ALL_DATA")</f>
        <v>#N/A N/A</v>
      </c>
      <c r="AS5" t="str">
        <f>_xll.BDS("1518080D US Equity","SUPPLY_CHAIN_CUSTOMERS_ALL_DATA")</f>
        <v>#N/A N/A</v>
      </c>
      <c r="BI5" t="str">
        <f>_xll.BDS("HNH US Equity","SUPPLY_CHAIN_SUPPLIERS_ALL_DATA")</f>
        <v>#N/A N/A</v>
      </c>
      <c r="BW5" t="str">
        <f>_xll.BDS("HNH US Equity","SUPPLY_CHAIN_CUSTOMERS_ALL_DATA")</f>
        <v>#N/A N/A</v>
      </c>
      <c r="CM5" t="str">
        <f>_xll.BDS("8206908Q US Equity","SUPPLY_CHAIN_SUPPLIERS_ALL_DATA")</f>
        <v>#N/A N/A</v>
      </c>
      <c r="DA5" t="str">
        <f>_xll.BDS("8206908Q US Equity","SUPPLY_CHAIN_CUSTOMERS_ALL_DATA")</f>
        <v>#N/A N/A</v>
      </c>
      <c r="DQ5" t="str">
        <f>_xll.BDS("IIIV US Equity","SUPPLY_CHAIN_SUPPLIERS_ALL_DATA")</f>
        <v>#N/A N/A</v>
      </c>
      <c r="EE5" t="str">
        <f>_xll.BDS("IIIV US Equity","SUPPLY_CHAIN_CUSTOMERS_ALL_DATA","cols=12;rows=1")</f>
        <v>80459Z CN Equity</v>
      </c>
      <c r="EF5">
        <v>-2.4245362661989844E-14</v>
      </c>
      <c r="EH5">
        <v>-2.4245362661989844E-14</v>
      </c>
      <c r="EI5" t="s">
        <v>1789</v>
      </c>
      <c r="EJ5">
        <v>2024</v>
      </c>
      <c r="EK5" t="s">
        <v>3415</v>
      </c>
      <c r="EL5" s="6">
        <v>45645</v>
      </c>
      <c r="EM5">
        <v>1</v>
      </c>
      <c r="EN5">
        <v>-2.4245362661989844E-14</v>
      </c>
      <c r="EO5">
        <v>186291</v>
      </c>
      <c r="EP5" t="s">
        <v>3416</v>
      </c>
      <c r="EU5" t="str">
        <f>_xll.BDS("ARXX US Equity","SUPPLY_CHAIN_SUPPLIERS_ALL_DATA")</f>
        <v>#N/A N/A</v>
      </c>
      <c r="FI5" t="str">
        <f>_xll.BDS("ARXX US Equity","SUPPLY_CHAIN_CUSTOMERS_ALL_DATA","cols=12;rows=1")</f>
        <v>FEG SP Equity</v>
      </c>
      <c r="FJ5">
        <v>-2.4245362661989844E-14</v>
      </c>
      <c r="FL5">
        <v>-2.4245362661989844E-14</v>
      </c>
      <c r="FM5" t="s">
        <v>1789</v>
      </c>
      <c r="FN5">
        <v>2024</v>
      </c>
      <c r="FO5" t="s">
        <v>3307</v>
      </c>
      <c r="FP5" s="6">
        <v>45756</v>
      </c>
      <c r="FQ5">
        <v>1</v>
      </c>
      <c r="FR5">
        <v>-2.4245362661989844E-14</v>
      </c>
      <c r="FS5">
        <v>25888395</v>
      </c>
      <c r="FT5" t="s">
        <v>3308</v>
      </c>
      <c r="FY5" t="str">
        <f>_xll.BDS("nan Equity","SUPPLY_CHAIN_SUPPLIERS_ALL_DATA")</f>
        <v>#N/A N/A</v>
      </c>
      <c r="GM5" t="str">
        <f>_xll.BDS("nan Equity","SUPPLY_CHAIN_CUSTOMERS_ALL_DATA")</f>
        <v>#N/A N/A</v>
      </c>
      <c r="HC5" t="str">
        <f>_xll.BDS("STBA US Equity","SUPPLY_CHAIN_SUPPLIERS_ALL_DATA")</f>
        <v>#N/A N/A</v>
      </c>
      <c r="HQ5" t="str">
        <f>_xll.BDS("STBA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_xll.BDS("NBTB US Equity","SUPPLY_CHAIN_SUPPLIERS_ALL_DATA","cols=12;rows=1")</f>
        <v>FRSH US Equity</v>
      </c>
      <c r="JM5">
        <v>-2.4245362661989844E-14</v>
      </c>
      <c r="JN5">
        <v>-2.4245362661989844E-14</v>
      </c>
      <c r="JO5" t="s">
        <v>1789</v>
      </c>
      <c r="JP5">
        <v>2025</v>
      </c>
      <c r="JQ5" t="s">
        <v>2124</v>
      </c>
      <c r="JR5" s="6">
        <v>46063</v>
      </c>
      <c r="JS5">
        <v>1</v>
      </c>
      <c r="JT5">
        <v>-2.4245362661989844E-14</v>
      </c>
      <c r="JU5">
        <v>28498368</v>
      </c>
      <c r="JV5" t="s">
        <v>2125</v>
      </c>
      <c r="JY5" t="str">
        <f>_xll.BDS("NBTB US Equity","SUPPLY_CHAIN_CUSTOMERS_ALL_DATA")</f>
        <v>#N/A N/A</v>
      </c>
      <c r="KO5" t="str">
        <f>_xll.BDS("CFR US Equity","SUPPLY_CHAIN_SUPPLIERS_ALL_DATA","cols=12;rows=4")</f>
        <v>INFO IN Equity</v>
      </c>
      <c r="KP5" t="s">
        <v>1808</v>
      </c>
      <c r="KQ5">
        <v>0.140711</v>
      </c>
      <c r="KR5">
        <v>1.91015</v>
      </c>
      <c r="KS5" t="s">
        <v>1785</v>
      </c>
      <c r="KT5">
        <v>2025</v>
      </c>
      <c r="KU5" t="s">
        <v>2355</v>
      </c>
      <c r="KV5" s="6">
        <v>45810</v>
      </c>
      <c r="KW5">
        <v>4</v>
      </c>
      <c r="KX5">
        <v>6650110.3899999997</v>
      </c>
      <c r="KY5">
        <v>174545</v>
      </c>
      <c r="KZ5" t="s">
        <v>2356</v>
      </c>
      <c r="LC5" t="str">
        <f>_xll.BDS("CFR US Equity","SUPPLY_CHAIN_CUSTOMERS_ALL_DATA")</f>
        <v>#N/A N/A</v>
      </c>
      <c r="LS5" t="str">
        <f>_xll.BDS("STEL US Equity","SUPPLY_CHAIN_SUPPLIERS_ALL_DATA")</f>
        <v>#N/A N/A</v>
      </c>
      <c r="MG5" t="str">
        <f>_xll.BDS("STEL US Equity","SUPPLY_CHAIN_CUSTOMERS_ALL_DATA")</f>
        <v>#N/A N/A</v>
      </c>
      <c r="MW5" t="str">
        <f>_xll.BDS("IFCJ US Equity","SUPPLY_CHAIN_SUPPLIERS_ALL_DATA")</f>
        <v>#N/A N/A</v>
      </c>
      <c r="NK5" t="str">
        <f>_xll.BDS("IFCJ US Equity","SUPPLY_CHAIN_CUSTOMERS_ALL_DATA")</f>
        <v>#N/A N/A</v>
      </c>
      <c r="OA5" t="str">
        <f>_xll.BDS("2119228Q US Equity","SUPPLY_CHAIN_SUPPLIERS_ALL_DATA")</f>
        <v>#N/A N/A</v>
      </c>
      <c r="OO5" t="str">
        <f>_xll.BDS("2119228Q US Equity","SUPPLY_CHAIN_CUSTOMERS_ALL_DATA")</f>
        <v>#N/A N/A</v>
      </c>
      <c r="PE5" t="str">
        <f>_xll.BDS("EMR US Equity","SUPPLY_CHAIN_SUPPLIERS_ALL_DATA","cols=12;rows=5")</f>
        <v>JBL US Equity</v>
      </c>
      <c r="PF5" t="s">
        <v>1777</v>
      </c>
      <c r="PG5">
        <v>0.48485499999999998</v>
      </c>
      <c r="PH5">
        <v>1.7638879999999999</v>
      </c>
      <c r="PI5" t="s">
        <v>1773</v>
      </c>
      <c r="PJ5">
        <v>2025</v>
      </c>
      <c r="PK5" t="s">
        <v>2424</v>
      </c>
      <c r="PL5" s="6">
        <v>45867</v>
      </c>
      <c r="PM5">
        <v>5</v>
      </c>
      <c r="PN5">
        <v>37954448</v>
      </c>
      <c r="PO5">
        <v>117092</v>
      </c>
      <c r="PP5" t="s">
        <v>2425</v>
      </c>
      <c r="PS5" t="str">
        <f>_xll.BDS("EMR US Equity","SUPPLY_CHAIN_CUSTOMERS_ALL_DATA","cols=12;rows=5")</f>
        <v>TMO US Equity</v>
      </c>
      <c r="PT5">
        <v>4.2224550000000001</v>
      </c>
      <c r="PU5" t="s">
        <v>1777</v>
      </c>
      <c r="PV5">
        <v>2.8645350000000001</v>
      </c>
      <c r="PW5" t="s">
        <v>1773</v>
      </c>
      <c r="PX5">
        <v>2025</v>
      </c>
      <c r="PY5" t="s">
        <v>2594</v>
      </c>
      <c r="PZ5" s="6">
        <v>45881</v>
      </c>
      <c r="QA5">
        <v>5</v>
      </c>
      <c r="QB5">
        <v>184647952</v>
      </c>
      <c r="QC5">
        <v>101466</v>
      </c>
      <c r="QD5" t="s">
        <v>4498</v>
      </c>
      <c r="QI5" t="str">
        <f>_xll.BDS("56485Q US Equity","SUPPLY_CHAIN_SUPPLIERS_ALL_DATA")</f>
        <v>#N/A N/A</v>
      </c>
      <c r="QW5" t="str">
        <f>_xll.BDS("56485Q US Equity","SUPPLY_CHAIN_CUSTOMERS_ALL_DATA")</f>
        <v>#N/A N/A</v>
      </c>
      <c r="RM5" t="str">
        <f>_xll.BDS("HFWA US Equity","SUPPLY_CHAIN_SUPPLIERS_ALL_DATA")</f>
        <v>#N/A N/A</v>
      </c>
      <c r="SA5" t="str">
        <f>_xll.BDS("HFWA US Equity","SUPPLY_CHAIN_CUSTOMERS_ALL_DATA")</f>
        <v>#N/A N/A</v>
      </c>
      <c r="SQ5" t="str">
        <f>_xll.BDS("QMCO US Equity","SUPPLY_CHAIN_SUPPLIERS_ALL_DATA","cols=12;rows=5")</f>
        <v>300505 CH Equity</v>
      </c>
      <c r="SS5">
        <v>-2.4245362661989844E-14</v>
      </c>
      <c r="ST5">
        <v>-2.4245362661989844E-14</v>
      </c>
      <c r="SU5" t="s">
        <v>1789</v>
      </c>
      <c r="SV5">
        <v>2024</v>
      </c>
      <c r="SW5" t="s">
        <v>3750</v>
      </c>
      <c r="SX5" s="6">
        <v>45728</v>
      </c>
      <c r="SY5">
        <v>5</v>
      </c>
      <c r="SZ5">
        <v>-2.4245362661989844E-14</v>
      </c>
      <c r="TA5">
        <v>24458544</v>
      </c>
      <c r="TB5" t="s">
        <v>3751</v>
      </c>
      <c r="TE5" t="str">
        <f>_xll.BDS("QMCO US Equity","SUPPLY_CHAIN_CUSTOMERS_ALL_DATA","cols=12;rows=5")</f>
        <v>ARW US Equity</v>
      </c>
      <c r="TF5">
        <v>1.20241</v>
      </c>
      <c r="TG5" t="s">
        <v>1777</v>
      </c>
      <c r="TH5">
        <v>1.4442999999999999E-2</v>
      </c>
      <c r="TI5" t="s">
        <v>1781</v>
      </c>
      <c r="TJ5">
        <v>2025</v>
      </c>
      <c r="TK5" t="s">
        <v>1870</v>
      </c>
      <c r="TL5" s="6">
        <v>45784</v>
      </c>
      <c r="TM5">
        <v>5</v>
      </c>
      <c r="TN5">
        <v>872361</v>
      </c>
      <c r="TO5">
        <v>100115</v>
      </c>
      <c r="TP5" t="s">
        <v>1871</v>
      </c>
      <c r="TU5" t="str">
        <f>_xll.BDS("EFSC US Equity","SUPPLY_CHAIN_SUPPLIERS_ALL_DATA")</f>
        <v>#N/A N/A</v>
      </c>
      <c r="UI5" t="str">
        <f>_xll.BDS("EFSC US Equity","SUPPLY_CHAIN_CUSTOMERS_ALL_DATA")</f>
        <v>#N/A N/A</v>
      </c>
      <c r="UY5" t="str">
        <f>_xll.BDS("FNFG US Equity","SUPPLY_CHAIN_SUPPLIERS_ALL_DATA")</f>
        <v>#N/A N/A</v>
      </c>
      <c r="VM5" t="str">
        <f>_xll.BDS("FNFG US Equity","SUPPLY_CHAIN_CUSTOMERS_ALL_DATA")</f>
        <v>#N/A N/A</v>
      </c>
    </row>
    <row r="6" spans="1:600" x14ac:dyDescent="0.25">
      <c r="KO6" t="s">
        <v>2836</v>
      </c>
      <c r="KP6" t="s">
        <v>1808</v>
      </c>
      <c r="KQ6">
        <v>1.2710490000000001</v>
      </c>
      <c r="KR6">
        <v>0.15052699999999999</v>
      </c>
      <c r="KS6" t="s">
        <v>1789</v>
      </c>
      <c r="KT6">
        <v>2024</v>
      </c>
      <c r="KU6" t="s">
        <v>2837</v>
      </c>
      <c r="KV6" s="6">
        <v>45733</v>
      </c>
      <c r="KW6">
        <v>4</v>
      </c>
      <c r="KX6">
        <v>490250</v>
      </c>
      <c r="KY6">
        <v>9012118</v>
      </c>
      <c r="KZ6" t="s">
        <v>2838</v>
      </c>
      <c r="PE6" t="s">
        <v>2103</v>
      </c>
      <c r="PF6" t="s">
        <v>1777</v>
      </c>
      <c r="PG6">
        <v>0.26191500000000001</v>
      </c>
      <c r="PH6">
        <v>0.80558700000000005</v>
      </c>
      <c r="PI6" t="s">
        <v>1781</v>
      </c>
      <c r="PJ6">
        <v>2025</v>
      </c>
      <c r="PK6" t="s">
        <v>2594</v>
      </c>
      <c r="PL6" s="6">
        <v>45740</v>
      </c>
      <c r="PM6">
        <v>5</v>
      </c>
      <c r="PN6">
        <v>17334218</v>
      </c>
      <c r="PO6">
        <v>115110</v>
      </c>
      <c r="PP6" t="s">
        <v>2105</v>
      </c>
      <c r="PS6" t="s">
        <v>1047</v>
      </c>
      <c r="PT6">
        <v>2.5764130000000001</v>
      </c>
      <c r="PU6" t="s">
        <v>1777</v>
      </c>
      <c r="PV6">
        <v>0.42681599999999997</v>
      </c>
      <c r="PW6" t="s">
        <v>1773</v>
      </c>
      <c r="PX6">
        <v>2025</v>
      </c>
      <c r="PY6" t="s">
        <v>2594</v>
      </c>
      <c r="PZ6" s="6">
        <v>45881</v>
      </c>
      <c r="QA6">
        <v>5</v>
      </c>
      <c r="QB6">
        <v>112666544</v>
      </c>
      <c r="QC6">
        <v>100743</v>
      </c>
      <c r="QD6" t="s">
        <v>1813</v>
      </c>
      <c r="SQ6" t="s">
        <v>3752</v>
      </c>
      <c r="SS6">
        <v>-2.4245362661989844E-14</v>
      </c>
      <c r="ST6">
        <v>-2.4245362661989844E-14</v>
      </c>
      <c r="SU6" t="s">
        <v>1789</v>
      </c>
      <c r="SV6">
        <v>2022</v>
      </c>
      <c r="SW6" t="s">
        <v>3753</v>
      </c>
      <c r="SX6" s="6">
        <v>44831</v>
      </c>
      <c r="SY6">
        <v>5</v>
      </c>
      <c r="SZ6">
        <v>-2.4245362661989844E-14</v>
      </c>
      <c r="TA6">
        <v>23468877</v>
      </c>
      <c r="TB6" t="s">
        <v>3754</v>
      </c>
      <c r="TE6" t="s">
        <v>1902</v>
      </c>
      <c r="TF6">
        <v>0.55870500000000001</v>
      </c>
      <c r="TG6" t="s">
        <v>1777</v>
      </c>
      <c r="TH6">
        <v>2.1649999999999998E-3</v>
      </c>
      <c r="TI6" t="s">
        <v>1785</v>
      </c>
      <c r="TJ6">
        <v>2025</v>
      </c>
      <c r="TK6" t="s">
        <v>1903</v>
      </c>
      <c r="TL6" s="6">
        <v>46056</v>
      </c>
      <c r="TM6">
        <v>5</v>
      </c>
      <c r="TN6">
        <v>350392</v>
      </c>
      <c r="TO6">
        <v>1499717</v>
      </c>
      <c r="TP6" t="s">
        <v>1904</v>
      </c>
    </row>
    <row r="7" spans="1:600" x14ac:dyDescent="0.25">
      <c r="KO7" t="s">
        <v>2839</v>
      </c>
      <c r="KQ7">
        <v>-2.4245362661989844E-14</v>
      </c>
      <c r="KR7">
        <v>-2.4245362661989844E-14</v>
      </c>
      <c r="KS7" t="s">
        <v>1789</v>
      </c>
      <c r="KT7">
        <v>2022</v>
      </c>
      <c r="KU7" t="s">
        <v>2840</v>
      </c>
      <c r="KV7" s="6">
        <v>44971</v>
      </c>
      <c r="KW7">
        <v>4</v>
      </c>
      <c r="KX7">
        <v>-2.4245362661989844E-14</v>
      </c>
      <c r="KY7">
        <v>10086577</v>
      </c>
      <c r="KZ7" t="s">
        <v>2841</v>
      </c>
      <c r="PE7" t="s">
        <v>4606</v>
      </c>
      <c r="PF7" t="s">
        <v>1777</v>
      </c>
      <c r="PG7">
        <v>2.1447500000000002</v>
      </c>
      <c r="PH7">
        <v>0.66883300000000001</v>
      </c>
      <c r="PI7" t="s">
        <v>1773</v>
      </c>
      <c r="PJ7">
        <v>2025</v>
      </c>
      <c r="PK7" t="s">
        <v>2594</v>
      </c>
      <c r="PL7" s="6">
        <v>45881</v>
      </c>
      <c r="PM7">
        <v>5</v>
      </c>
      <c r="PN7">
        <v>14391614</v>
      </c>
      <c r="PO7">
        <v>7304202</v>
      </c>
      <c r="PP7" t="s">
        <v>4607</v>
      </c>
      <c r="PS7" t="s">
        <v>4499</v>
      </c>
      <c r="PT7">
        <v>1.2233309999999999</v>
      </c>
      <c r="PU7" t="s">
        <v>1777</v>
      </c>
      <c r="PV7">
        <v>0.77858000000000005</v>
      </c>
      <c r="PW7" t="s">
        <v>1773</v>
      </c>
      <c r="PX7">
        <v>2025</v>
      </c>
      <c r="PY7" t="s">
        <v>2594</v>
      </c>
      <c r="PZ7" s="6">
        <v>45881</v>
      </c>
      <c r="QA7">
        <v>5</v>
      </c>
      <c r="QB7">
        <v>53496264</v>
      </c>
      <c r="QC7">
        <v>9932803</v>
      </c>
      <c r="QD7" t="s">
        <v>4500</v>
      </c>
      <c r="SQ7" t="s">
        <v>3657</v>
      </c>
      <c r="SS7">
        <v>-2.4245362661989844E-14</v>
      </c>
      <c r="ST7">
        <v>-2.4245362661989844E-14</v>
      </c>
      <c r="SU7" t="s">
        <v>1789</v>
      </c>
      <c r="SV7">
        <v>2021</v>
      </c>
      <c r="SW7" t="s">
        <v>3658</v>
      </c>
      <c r="SX7" s="6">
        <v>44693</v>
      </c>
      <c r="SY7">
        <v>5</v>
      </c>
      <c r="SZ7">
        <v>-2.4245362661989844E-14</v>
      </c>
      <c r="TA7">
        <v>101315</v>
      </c>
      <c r="TB7" t="s">
        <v>3659</v>
      </c>
      <c r="TE7" t="s">
        <v>2447</v>
      </c>
      <c r="TF7">
        <v>0.160139</v>
      </c>
      <c r="TG7" t="s">
        <v>1777</v>
      </c>
      <c r="TH7">
        <v>4.2750000000000002E-3</v>
      </c>
      <c r="TI7" t="s">
        <v>1768</v>
      </c>
      <c r="TJ7">
        <v>2025</v>
      </c>
      <c r="TK7" t="s">
        <v>2448</v>
      </c>
      <c r="TL7" s="6">
        <v>46008</v>
      </c>
      <c r="TM7">
        <v>5</v>
      </c>
      <c r="TN7">
        <v>99419.91</v>
      </c>
      <c r="TO7">
        <v>349049</v>
      </c>
      <c r="TP7" t="s">
        <v>2449</v>
      </c>
    </row>
    <row r="8" spans="1:600" x14ac:dyDescent="0.25">
      <c r="KO8" t="s">
        <v>2842</v>
      </c>
      <c r="KQ8">
        <v>-2.4245362661989844E-14</v>
      </c>
      <c r="KR8">
        <v>-2.4245362661989844E-14</v>
      </c>
      <c r="KS8" t="s">
        <v>1768</v>
      </c>
      <c r="KT8">
        <v>2026</v>
      </c>
      <c r="KU8" t="s">
        <v>2843</v>
      </c>
      <c r="KV8" s="6">
        <v>46058</v>
      </c>
      <c r="KW8">
        <v>4</v>
      </c>
      <c r="KX8">
        <v>-2.4245362661989844E-14</v>
      </c>
      <c r="KY8">
        <v>171398</v>
      </c>
      <c r="KZ8" t="s">
        <v>2844</v>
      </c>
      <c r="PE8" t="s">
        <v>2996</v>
      </c>
      <c r="PF8" t="s">
        <v>1777</v>
      </c>
      <c r="PG8">
        <v>0.36666900000000002</v>
      </c>
      <c r="PH8">
        <v>0.66739899999999996</v>
      </c>
      <c r="PI8" t="s">
        <v>1773</v>
      </c>
      <c r="PJ8">
        <v>2025</v>
      </c>
      <c r="PK8" t="s">
        <v>2594</v>
      </c>
      <c r="PL8" s="6">
        <v>45881</v>
      </c>
      <c r="PM8">
        <v>5</v>
      </c>
      <c r="PN8">
        <v>14360758</v>
      </c>
      <c r="PO8">
        <v>116563</v>
      </c>
      <c r="PP8" t="s">
        <v>2998</v>
      </c>
      <c r="PS8" t="s">
        <v>4501</v>
      </c>
      <c r="PT8">
        <v>1.059528</v>
      </c>
      <c r="PU8" t="s">
        <v>1777</v>
      </c>
      <c r="PV8">
        <v>1.4451590000000001</v>
      </c>
      <c r="PW8" t="s">
        <v>1773</v>
      </c>
      <c r="PX8">
        <v>2025</v>
      </c>
      <c r="PY8" t="s">
        <v>2594</v>
      </c>
      <c r="PZ8" s="6">
        <v>45881</v>
      </c>
      <c r="QA8">
        <v>5</v>
      </c>
      <c r="QB8">
        <v>46333160</v>
      </c>
      <c r="QC8">
        <v>47183276</v>
      </c>
      <c r="QD8" t="s">
        <v>4502</v>
      </c>
      <c r="SQ8" t="s">
        <v>2126</v>
      </c>
      <c r="SS8">
        <v>-2.4245362661989844E-14</v>
      </c>
      <c r="ST8">
        <v>-2.4245362661989844E-14</v>
      </c>
      <c r="SU8" t="s">
        <v>1789</v>
      </c>
      <c r="SV8">
        <v>2022</v>
      </c>
      <c r="SW8" t="s">
        <v>3753</v>
      </c>
      <c r="SX8" s="6">
        <v>44670</v>
      </c>
      <c r="SY8">
        <v>5</v>
      </c>
      <c r="SZ8">
        <v>-2.4245362661989844E-14</v>
      </c>
      <c r="TA8">
        <v>313657</v>
      </c>
      <c r="TB8" t="s">
        <v>2128</v>
      </c>
      <c r="TE8" t="s">
        <v>2450</v>
      </c>
      <c r="TF8">
        <v>4.8999000000000001E-2</v>
      </c>
      <c r="TG8" t="s">
        <v>1777</v>
      </c>
      <c r="TH8">
        <v>2.3280000000000002E-3</v>
      </c>
      <c r="TI8" t="s">
        <v>1785</v>
      </c>
      <c r="TJ8">
        <v>2025</v>
      </c>
      <c r="TK8" t="s">
        <v>2451</v>
      </c>
      <c r="TL8" s="6">
        <v>46091</v>
      </c>
      <c r="TM8">
        <v>5</v>
      </c>
      <c r="TN8">
        <v>36547</v>
      </c>
      <c r="TO8">
        <v>156637</v>
      </c>
      <c r="TP8" t="s">
        <v>2452</v>
      </c>
    </row>
    <row r="9" spans="1:600" x14ac:dyDescent="0.25">
      <c r="PE9" t="s">
        <v>4608</v>
      </c>
      <c r="PF9" t="s">
        <v>1777</v>
      </c>
      <c r="PG9">
        <v>3.8373949999999999</v>
      </c>
      <c r="PH9">
        <v>0.65883999999999998</v>
      </c>
      <c r="PI9" t="s">
        <v>1781</v>
      </c>
      <c r="PJ9">
        <v>2025</v>
      </c>
      <c r="PK9" t="s">
        <v>2594</v>
      </c>
      <c r="PL9" s="6">
        <v>45740</v>
      </c>
      <c r="PM9">
        <v>5</v>
      </c>
      <c r="PN9">
        <v>14176590</v>
      </c>
      <c r="PO9">
        <v>21813538</v>
      </c>
      <c r="PP9" t="s">
        <v>4609</v>
      </c>
      <c r="PS9" t="s">
        <v>434</v>
      </c>
      <c r="PT9">
        <v>0.95568799999999998</v>
      </c>
      <c r="PU9" t="s">
        <v>1777</v>
      </c>
      <c r="PV9">
        <v>2.8645339999999999</v>
      </c>
      <c r="PW9" t="s">
        <v>1773</v>
      </c>
      <c r="PX9">
        <v>2025</v>
      </c>
      <c r="PY9" t="s">
        <v>2594</v>
      </c>
      <c r="PZ9" s="6">
        <v>45881</v>
      </c>
      <c r="QA9">
        <v>5</v>
      </c>
      <c r="QB9">
        <v>41792236</v>
      </c>
      <c r="QC9">
        <v>107907</v>
      </c>
      <c r="QD9" t="s">
        <v>3596</v>
      </c>
      <c r="SQ9" t="s">
        <v>3643</v>
      </c>
      <c r="SS9">
        <v>-2.4245362661989844E-14</v>
      </c>
      <c r="ST9">
        <v>-2.4245362661989844E-14</v>
      </c>
      <c r="SU9" t="s">
        <v>1789</v>
      </c>
      <c r="SV9">
        <v>2021</v>
      </c>
      <c r="SW9" t="s">
        <v>3644</v>
      </c>
      <c r="SX9" s="6">
        <v>44693</v>
      </c>
      <c r="SY9">
        <v>5</v>
      </c>
      <c r="SZ9">
        <v>-2.4245362661989844E-14</v>
      </c>
      <c r="TA9">
        <v>101139</v>
      </c>
      <c r="TB9" t="s">
        <v>3645</v>
      </c>
      <c r="TE9" t="s">
        <v>4485</v>
      </c>
      <c r="TF9">
        <v>1.8277000000000002E-2</v>
      </c>
      <c r="TG9" t="s">
        <v>1777</v>
      </c>
      <c r="TH9">
        <v>2.5660000000000001E-3</v>
      </c>
      <c r="TI9" t="s">
        <v>1768</v>
      </c>
      <c r="TJ9">
        <v>2026</v>
      </c>
      <c r="TK9" t="s">
        <v>4486</v>
      </c>
      <c r="TL9" s="6">
        <v>46036</v>
      </c>
      <c r="TM9">
        <v>5</v>
      </c>
      <c r="TN9">
        <v>11462</v>
      </c>
      <c r="TO9">
        <v>194585</v>
      </c>
      <c r="TP9" t="s">
        <v>4487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964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965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966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967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968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969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970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971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972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973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974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975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976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977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978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979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980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981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982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320</v>
      </c>
      <c r="AE2" s="3" t="s">
        <v>983</v>
      </c>
      <c r="BI2" s="3" t="s">
        <v>29</v>
      </c>
      <c r="CM2" s="3" t="s">
        <v>984</v>
      </c>
      <c r="DQ2" s="3" t="s">
        <v>985</v>
      </c>
      <c r="EU2" s="3" t="s">
        <v>986</v>
      </c>
      <c r="FY2" s="3" t="s">
        <v>987</v>
      </c>
      <c r="HC2" s="3" t="s">
        <v>988</v>
      </c>
      <c r="IG2" s="3" t="s">
        <v>989</v>
      </c>
      <c r="JK2" s="3" t="s">
        <v>990</v>
      </c>
      <c r="KO2" s="3" t="s">
        <v>991</v>
      </c>
      <c r="LS2" s="3" t="s">
        <v>853</v>
      </c>
      <c r="MW2" s="3" t="s">
        <v>710</v>
      </c>
      <c r="OA2" s="3" t="s">
        <v>992</v>
      </c>
      <c r="PE2" s="3" t="s">
        <v>921</v>
      </c>
      <c r="QI2" s="3" t="s">
        <v>993</v>
      </c>
      <c r="RM2" s="3" t="s">
        <v>921</v>
      </c>
      <c r="SQ2" s="3" t="s">
        <v>994</v>
      </c>
      <c r="TU2" s="3" t="s">
        <v>385</v>
      </c>
      <c r="UY2" s="3" t="s">
        <v>995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_xll.BDS("764144Q US Equity","SUPPLY_CHAIN_SUPPLIERS_ALL_DATA")</f>
        <v>#N/A N/A</v>
      </c>
      <c r="O5" t="str">
        <f>_xll.BDS("764144Q US Equity","SUPPLY_CHAIN_CUSTOMERS_ALL_DATA")</f>
        <v>#N/A N/A</v>
      </c>
      <c r="AE5" t="str">
        <f>_xll.BDS("3264Q US Equity","SUPPLY_CHAIN_SUPPLIERS_ALL_DATA")</f>
        <v>#N/A N/A</v>
      </c>
      <c r="AS5" t="str">
        <f>_xll.BDS("3264Q US Equity","SUPPLY_CHAIN_CUSTOMERS_ALL_DATA")</f>
        <v>#N/A N/A</v>
      </c>
      <c r="BI5" t="str">
        <f>_xll.BDS("1916526D US Equity","SUPPLY_CHAIN_SUPPLIERS_ALL_DATA")</f>
        <v>#N/A N/A</v>
      </c>
      <c r="BW5" t="str">
        <f>_xll.BDS("1916526D US Equity","SUPPLY_CHAIN_CUSTOMERS_ALL_DATA")</f>
        <v>#N/A N/A</v>
      </c>
      <c r="CM5" t="str">
        <f>_xll.BDS("696500Q US Equity","SUPPLY_CHAIN_SUPPLIERS_ALL_DATA")</f>
        <v>#N/A N/A</v>
      </c>
      <c r="DA5" t="str">
        <f>_xll.BDS("696500Q US Equity","SUPPLY_CHAIN_CUSTOMERS_ALL_DATA")</f>
        <v>#N/A N/A</v>
      </c>
      <c r="DQ5" t="str">
        <f>_xll.BDS("SPSS US Equity","SUPPLY_CHAIN_SUPPLIERS_ALL_DATA")</f>
        <v>#N/A N/A</v>
      </c>
      <c r="EE5" t="str">
        <f>_xll.BDS("SPSS US Equity","SUPPLY_CHAIN_CUSTOMERS_ALL_DATA")</f>
        <v>#N/A N/A</v>
      </c>
      <c r="EU5" t="str">
        <f>_xll.BDS("UNTC US Equity","SUPPLY_CHAIN_SUPPLIERS_ALL_DATA")</f>
        <v>#N/A N/A</v>
      </c>
      <c r="FI5" t="str">
        <f>_xll.BDS("UNTC US Equity","SUPPLY_CHAIN_CUSTOMERS_ALL_DATA","cols=12;rows=5")</f>
        <v>0006815D US Equity</v>
      </c>
      <c r="FJ5">
        <v>-2.4245362661989844E-14</v>
      </c>
      <c r="FL5">
        <v>-2.4245362661989844E-14</v>
      </c>
      <c r="FM5" t="s">
        <v>1789</v>
      </c>
      <c r="FN5">
        <v>2022</v>
      </c>
      <c r="FO5" t="s">
        <v>3930</v>
      </c>
      <c r="FP5" s="6">
        <v>45003</v>
      </c>
      <c r="FQ5">
        <v>5</v>
      </c>
      <c r="FR5">
        <v>-2.4245362661989844E-14</v>
      </c>
      <c r="FS5">
        <v>13759993</v>
      </c>
      <c r="FT5" t="s">
        <v>3931</v>
      </c>
      <c r="FY5" t="str">
        <f>_xll.BDS("GTK US Equity","SUPPLY_CHAIN_SUPPLIERS_ALL_DATA")</f>
        <v>#N/A N/A</v>
      </c>
      <c r="GM5" t="str">
        <f>_xll.BDS("GTK US Equity","SUPPLY_CHAIN_CUSTOMERS_ALL_DATA")</f>
        <v>#N/A N/A</v>
      </c>
      <c r="HC5" t="str">
        <f>_xll.BDS("1520415D US Equity","SUPPLY_CHAIN_SUPPLIERS_ALL_DATA")</f>
        <v>#N/A N/A</v>
      </c>
      <c r="HQ5" t="str">
        <f>_xll.BDS("1520415D US Equity","SUPPLY_CHAIN_CUSTOMERS_ALL_DATA")</f>
        <v>#N/A N/A</v>
      </c>
      <c r="IG5" t="str">
        <f>_xll.BDS("AEGN US Equity","SUPPLY_CHAIN_SUPPLIERS_ALL_DATA","cols=12;rows=5")</f>
        <v>AEE US Equity</v>
      </c>
      <c r="II5">
        <v>-2.4245362661989844E-14</v>
      </c>
      <c r="IJ5">
        <v>-2.4245362661989844E-14</v>
      </c>
      <c r="IK5" t="s">
        <v>1789</v>
      </c>
      <c r="IL5">
        <v>2021</v>
      </c>
      <c r="IM5" t="s">
        <v>2085</v>
      </c>
      <c r="IN5" s="6">
        <v>44693</v>
      </c>
      <c r="IO5">
        <v>5</v>
      </c>
      <c r="IP5">
        <v>-2.4245362661989844E-14</v>
      </c>
      <c r="IQ5">
        <v>313098</v>
      </c>
      <c r="IR5" t="s">
        <v>2086</v>
      </c>
      <c r="IU5" t="str">
        <f>_xll.BDS("AEGN US Equity","SUPPLY_CHAIN_CUSTOMERS_ALL_DATA")</f>
        <v>#N/A N/A</v>
      </c>
      <c r="JK5" t="str">
        <f>_xll.BDS("MRK US Equity","SUPPLY_CHAIN_SUPPLIERS_ALL_DATA","cols=12;rows=5")</f>
        <v>AZN LN Equity</v>
      </c>
      <c r="JL5" t="s">
        <v>1777</v>
      </c>
      <c r="JM5">
        <v>1.1917120000000001</v>
      </c>
      <c r="JN5">
        <v>4.272983</v>
      </c>
      <c r="JO5" t="s">
        <v>1789</v>
      </c>
      <c r="JP5">
        <v>2025</v>
      </c>
      <c r="JQ5" t="s">
        <v>4760</v>
      </c>
      <c r="JR5" s="6">
        <v>46077</v>
      </c>
      <c r="JS5">
        <v>5</v>
      </c>
      <c r="JT5">
        <v>175000000</v>
      </c>
      <c r="JU5">
        <v>111093</v>
      </c>
      <c r="JV5" t="s">
        <v>1942</v>
      </c>
      <c r="JY5" t="str">
        <f>_xll.BDS("MRK US Equity","SUPPLY_CHAIN_CUSTOMERS_ALL_DATA","cols=12;rows=5")</f>
        <v>COR US Equity</v>
      </c>
      <c r="JZ5">
        <v>9.6931790000000007</v>
      </c>
      <c r="KA5" t="s">
        <v>1777</v>
      </c>
      <c r="KB5">
        <v>2.073159</v>
      </c>
      <c r="KC5" t="s">
        <v>1773</v>
      </c>
      <c r="KD5">
        <v>2025</v>
      </c>
      <c r="KE5" t="s">
        <v>3273</v>
      </c>
      <c r="KF5" s="6">
        <v>45985</v>
      </c>
      <c r="KG5">
        <v>5</v>
      </c>
      <c r="KH5">
        <v>1674593664</v>
      </c>
      <c r="KI5">
        <v>156969</v>
      </c>
      <c r="KJ5" t="s">
        <v>2531</v>
      </c>
      <c r="KO5" t="str">
        <f>_xll.BDS("SYK US Equity","SUPPLY_CHAIN_SUPPLIERS_ALL_DATA","cols=12;rows=5")</f>
        <v>FLEX US Equity</v>
      </c>
      <c r="KP5" t="s">
        <v>1777</v>
      </c>
      <c r="KQ5">
        <v>0.99592000000000003</v>
      </c>
      <c r="KR5">
        <v>2.886495</v>
      </c>
      <c r="KS5" t="s">
        <v>1773</v>
      </c>
      <c r="KT5">
        <v>2025</v>
      </c>
      <c r="KU5" t="s">
        <v>2136</v>
      </c>
      <c r="KV5" s="6">
        <v>45763</v>
      </c>
      <c r="KW5">
        <v>5</v>
      </c>
      <c r="KX5">
        <v>65292516</v>
      </c>
      <c r="KY5">
        <v>136547</v>
      </c>
      <c r="KZ5" t="s">
        <v>2137</v>
      </c>
      <c r="LC5" t="str">
        <f>_xll.BDS("SYK US Equity","SUPPLY_CHAIN_CUSTOMERS_ALL_DATA","cols=12;rows=5")</f>
        <v>CNXN US Equity</v>
      </c>
      <c r="LD5">
        <v>4.0249999999999999E-3</v>
      </c>
      <c r="LE5" t="s">
        <v>1777</v>
      </c>
      <c r="LF5">
        <v>4.2737999999999998E-2</v>
      </c>
      <c r="LG5" t="s">
        <v>1773</v>
      </c>
      <c r="LH5">
        <v>2025</v>
      </c>
      <c r="LI5" t="s">
        <v>2972</v>
      </c>
      <c r="LJ5" s="6">
        <v>46034</v>
      </c>
      <c r="LK5">
        <v>5</v>
      </c>
      <c r="LL5">
        <v>243787</v>
      </c>
      <c r="LM5">
        <v>313021</v>
      </c>
      <c r="LN5" t="s">
        <v>2973</v>
      </c>
      <c r="LS5" t="str">
        <f>_xll.BDS("WSBC US Equity","SUPPLY_CHAIN_SUPPLIERS_ALL_DATA")</f>
        <v>#N/A N/A</v>
      </c>
      <c r="MG5" t="str">
        <f>_xll.BDS("WSBC US Equity","SUPPLY_CHAIN_CUSTOMERS_ALL_DATA","cols=12;rows=2")</f>
        <v>NINE CN Equity</v>
      </c>
      <c r="MH5">
        <v>-2.4245362661989844E-14</v>
      </c>
      <c r="MJ5">
        <v>-2.4245362661989844E-14</v>
      </c>
      <c r="MK5" t="s">
        <v>1789</v>
      </c>
      <c r="ML5">
        <v>2023</v>
      </c>
      <c r="MM5" t="s">
        <v>2906</v>
      </c>
      <c r="MN5" s="6">
        <v>44967</v>
      </c>
      <c r="MO5">
        <v>2</v>
      </c>
      <c r="MP5">
        <v>-2.4245362661989844E-14</v>
      </c>
      <c r="MQ5">
        <v>67289203</v>
      </c>
      <c r="MR5" t="s">
        <v>2907</v>
      </c>
      <c r="MW5" t="str">
        <f>_xll.BDS("FMBI US Equity","SUPPLY_CHAIN_SUPPLIERS_ALL_DATA")</f>
        <v>#N/A N/A</v>
      </c>
      <c r="NK5" t="str">
        <f>_xll.BDS("FMBI US Equity","SUPPLY_CHAIN_CUSTOMERS_ALL_DATA")</f>
        <v>#N/A N/A</v>
      </c>
      <c r="OA5" t="str">
        <f>_xll.BDS("FIBK US Equity","SUPPLY_CHAIN_SUPPLIERS_ALL_DATA","cols=12;rows=1")</f>
        <v>FISV US Equity</v>
      </c>
      <c r="OC5">
        <v>-2.4245362661989844E-14</v>
      </c>
      <c r="OD5">
        <v>-2.4245362661989844E-14</v>
      </c>
      <c r="OE5" t="s">
        <v>1894</v>
      </c>
      <c r="OF5">
        <v>2023</v>
      </c>
      <c r="OG5" t="s">
        <v>2045</v>
      </c>
      <c r="OH5" s="6">
        <v>45245</v>
      </c>
      <c r="OI5">
        <v>1</v>
      </c>
      <c r="OJ5">
        <v>-2.4245362661989844E-14</v>
      </c>
      <c r="OK5">
        <v>103882</v>
      </c>
      <c r="OL5" t="s">
        <v>2046</v>
      </c>
      <c r="OO5" t="str">
        <f>_xll.BDS("FIBK US Equity","SUPPLY_CHAIN_CUSTOMERS_ALL_DATA")</f>
        <v>#N/A N/A</v>
      </c>
      <c r="PE5" t="str">
        <f>_xll.BDS("GE US Equity","SUPPLY_CHAIN_SUPPLIERS_ALL_DATA","cols=12;rows=5")</f>
        <v>SAF FP Equity</v>
      </c>
      <c r="PF5" t="s">
        <v>1777</v>
      </c>
      <c r="PG5">
        <v>7.9101749999999997</v>
      </c>
      <c r="PH5">
        <v>9.7364909999999991</v>
      </c>
      <c r="PI5" t="s">
        <v>1768</v>
      </c>
      <c r="PJ5">
        <v>2025</v>
      </c>
      <c r="PK5" t="s">
        <v>2029</v>
      </c>
      <c r="PL5" s="6">
        <v>45874</v>
      </c>
      <c r="PM5">
        <v>5</v>
      </c>
      <c r="PN5">
        <v>666294015.34000003</v>
      </c>
      <c r="PO5">
        <v>115519</v>
      </c>
      <c r="PP5" t="s">
        <v>2030</v>
      </c>
      <c r="PS5" t="str">
        <f>_xll.BDS("GE US Equity","SUPPLY_CHAIN_CUSTOMERS_ALL_DATA","cols=12;rows=5")</f>
        <v>3352Z US Equity</v>
      </c>
      <c r="PT5">
        <v>10</v>
      </c>
      <c r="PV5">
        <v>-2.4245362661989844E-14</v>
      </c>
      <c r="PW5" t="s">
        <v>1789</v>
      </c>
      <c r="PX5">
        <v>2025</v>
      </c>
      <c r="PY5" t="s">
        <v>1885</v>
      </c>
      <c r="PZ5" s="6">
        <v>46051</v>
      </c>
      <c r="QA5">
        <v>5</v>
      </c>
      <c r="QB5">
        <v>1146375040</v>
      </c>
      <c r="QC5">
        <v>218252</v>
      </c>
      <c r="QD5" t="s">
        <v>1798</v>
      </c>
      <c r="QI5" t="str">
        <f>_xll.BDS("BRMR US Equity","SUPPLY_CHAIN_SUPPLIERS_ALL_DATA")</f>
        <v>#N/A N/A</v>
      </c>
      <c r="QW5" t="str">
        <f>_xll.BDS("BRMR US Equity","SUPPLY_CHAIN_CUSTOMERS_ALL_DATA")</f>
        <v>#N/A N/A</v>
      </c>
      <c r="RM5" t="str">
        <f>_xll.BDS("GE US Equity","SUPPLY_CHAIN_SUPPLIERS_ALL_DATA","cols=12;rows=5")</f>
        <v>SAF FP Equity</v>
      </c>
      <c r="RN5" t="s">
        <v>1777</v>
      </c>
      <c r="RO5">
        <v>7.9101749999999997</v>
      </c>
      <c r="RP5">
        <v>9.7364909999999991</v>
      </c>
      <c r="RQ5" t="s">
        <v>1768</v>
      </c>
      <c r="RR5">
        <v>2025</v>
      </c>
      <c r="RS5" t="s">
        <v>2029</v>
      </c>
      <c r="RT5" s="6">
        <v>45874</v>
      </c>
      <c r="RU5">
        <v>5</v>
      </c>
      <c r="RV5">
        <v>666294015.34000003</v>
      </c>
      <c r="RW5">
        <v>115519</v>
      </c>
      <c r="RX5" t="s">
        <v>2030</v>
      </c>
      <c r="SA5" t="str">
        <f>_xll.BDS("GE US Equity","SUPPLY_CHAIN_CUSTOMERS_ALL_DATA","cols=12;rows=5")</f>
        <v>3352Z US Equity</v>
      </c>
      <c r="SB5">
        <v>10</v>
      </c>
      <c r="SD5">
        <v>-2.4245362661989844E-14</v>
      </c>
      <c r="SE5" t="s">
        <v>1789</v>
      </c>
      <c r="SF5">
        <v>2025</v>
      </c>
      <c r="SG5" t="s">
        <v>1885</v>
      </c>
      <c r="SH5" s="6">
        <v>46051</v>
      </c>
      <c r="SI5">
        <v>5</v>
      </c>
      <c r="SJ5">
        <v>1146375040</v>
      </c>
      <c r="SK5">
        <v>218252</v>
      </c>
      <c r="SL5" t="s">
        <v>1798</v>
      </c>
      <c r="SQ5" t="str">
        <f>_xll.BDS("SIB US Equity","SUPPLY_CHAIN_SUPPLIERS_ALL_DATA")</f>
        <v>#N/A N/A</v>
      </c>
      <c r="TE5" t="str">
        <f>_xll.BDS("SIB US Equity","SUPPLY_CHAIN_CUSTOMERS_ALL_DATA")</f>
        <v>#N/A N/A</v>
      </c>
      <c r="TU5" t="str">
        <f>_xll.BDS("FRME US Equity","SUPPLY_CHAIN_SUPPLIERS_ALL_DATA")</f>
        <v>#N/A N/A</v>
      </c>
      <c r="UI5" t="str">
        <f>_xll.BDS("FRME US Equity","SUPPLY_CHAIN_CUSTOMERS_ALL_DATA")</f>
        <v>#N/A N/A</v>
      </c>
      <c r="UY5" t="str">
        <f>_xll.BDS("BORL US Equity","SUPPLY_CHAIN_SUPPLIERS_ALL_DATA")</f>
        <v>#N/A N/A</v>
      </c>
      <c r="VM5" t="str">
        <f>_xll.BDS("BORL US Equity","SUPPLY_CHAIN_CUSTOMERS_ALL_DATA")</f>
        <v>#N/A N/A</v>
      </c>
    </row>
    <row r="6" spans="1:600" x14ac:dyDescent="0.25">
      <c r="FI6" t="s">
        <v>3932</v>
      </c>
      <c r="FJ6">
        <v>-2.4245362661989844E-14</v>
      </c>
      <c r="FL6">
        <v>-2.4245362661989844E-14</v>
      </c>
      <c r="FM6" t="s">
        <v>1789</v>
      </c>
      <c r="FN6">
        <v>2023</v>
      </c>
      <c r="FO6" t="s">
        <v>3933</v>
      </c>
      <c r="FP6" s="6">
        <v>45365</v>
      </c>
      <c r="FQ6">
        <v>5</v>
      </c>
      <c r="FR6">
        <v>-2.4245362661989844E-14</v>
      </c>
      <c r="FS6">
        <v>17671846</v>
      </c>
      <c r="FT6" t="s">
        <v>3934</v>
      </c>
      <c r="IG6" t="s">
        <v>1918</v>
      </c>
      <c r="II6">
        <v>-2.4245362661989844E-14</v>
      </c>
      <c r="IJ6">
        <v>-2.4245362661989844E-14</v>
      </c>
      <c r="IK6" t="s">
        <v>1789</v>
      </c>
      <c r="IL6">
        <v>2021</v>
      </c>
      <c r="IM6" t="s">
        <v>1919</v>
      </c>
      <c r="IN6" s="6">
        <v>44693</v>
      </c>
      <c r="IO6">
        <v>5</v>
      </c>
      <c r="IP6">
        <v>-2.4245362661989844E-14</v>
      </c>
      <c r="IQ6">
        <v>100060</v>
      </c>
      <c r="IR6" t="s">
        <v>1920</v>
      </c>
      <c r="JK6" t="s">
        <v>573</v>
      </c>
      <c r="JL6" t="s">
        <v>1777</v>
      </c>
      <c r="JM6">
        <v>0.57338800000000001</v>
      </c>
      <c r="JN6">
        <v>3.5686900000000001</v>
      </c>
      <c r="JO6" t="s">
        <v>1773</v>
      </c>
      <c r="JP6">
        <v>2025</v>
      </c>
      <c r="JQ6" t="s">
        <v>2932</v>
      </c>
      <c r="JR6" s="6">
        <v>46018</v>
      </c>
      <c r="JS6">
        <v>5</v>
      </c>
      <c r="JT6">
        <v>137572976</v>
      </c>
      <c r="JU6">
        <v>100828</v>
      </c>
      <c r="JV6" t="s">
        <v>3829</v>
      </c>
      <c r="JY6" t="s">
        <v>2527</v>
      </c>
      <c r="JZ6">
        <v>9.6462509999999995</v>
      </c>
      <c r="KA6" t="s">
        <v>1777</v>
      </c>
      <c r="KB6">
        <v>2.2510729999999999</v>
      </c>
      <c r="KC6" t="s">
        <v>1773</v>
      </c>
      <c r="KD6">
        <v>2025</v>
      </c>
      <c r="KE6" t="s">
        <v>3273</v>
      </c>
      <c r="KF6" s="6">
        <v>45985</v>
      </c>
      <c r="KG6">
        <v>5</v>
      </c>
      <c r="KH6">
        <v>1666486272</v>
      </c>
      <c r="KI6">
        <v>154936</v>
      </c>
      <c r="KJ6" t="s">
        <v>2528</v>
      </c>
      <c r="KO6" t="s">
        <v>4585</v>
      </c>
      <c r="KP6" t="s">
        <v>1777</v>
      </c>
      <c r="KQ6">
        <v>21.5</v>
      </c>
      <c r="KR6">
        <v>1.4319010000000001</v>
      </c>
      <c r="KS6" t="s">
        <v>1789</v>
      </c>
      <c r="KT6">
        <v>2025</v>
      </c>
      <c r="KU6" t="s">
        <v>4599</v>
      </c>
      <c r="KV6" s="6">
        <v>46080</v>
      </c>
      <c r="KW6">
        <v>5</v>
      </c>
      <c r="KX6">
        <v>32400338</v>
      </c>
      <c r="KY6">
        <v>126764</v>
      </c>
      <c r="KZ6" t="s">
        <v>4587</v>
      </c>
      <c r="LC6" t="s">
        <v>4551</v>
      </c>
      <c r="LD6">
        <v>-2.4245362661989844E-14</v>
      </c>
      <c r="LF6">
        <v>-2.4245362661989844E-14</v>
      </c>
      <c r="LG6" t="s">
        <v>1894</v>
      </c>
      <c r="LH6">
        <v>2025</v>
      </c>
      <c r="LI6" t="s">
        <v>4552</v>
      </c>
      <c r="LJ6" s="6">
        <v>45975</v>
      </c>
      <c r="LK6">
        <v>5</v>
      </c>
      <c r="LL6">
        <v>-2.4245362661989844E-14</v>
      </c>
      <c r="LM6">
        <v>129466</v>
      </c>
      <c r="LN6" t="s">
        <v>4553</v>
      </c>
      <c r="MG6" t="s">
        <v>2908</v>
      </c>
      <c r="MH6">
        <v>-2.4245362661989844E-14</v>
      </c>
      <c r="MJ6">
        <v>-2.4245362661989844E-14</v>
      </c>
      <c r="MK6" t="s">
        <v>1789</v>
      </c>
      <c r="ML6">
        <v>2023</v>
      </c>
      <c r="MM6" t="s">
        <v>2909</v>
      </c>
      <c r="MN6" s="6">
        <v>44991</v>
      </c>
      <c r="MO6">
        <v>2</v>
      </c>
      <c r="MP6">
        <v>-2.4245362661989844E-14</v>
      </c>
      <c r="MQ6">
        <v>57471390</v>
      </c>
      <c r="MR6" t="s">
        <v>2910</v>
      </c>
      <c r="PE6" t="s">
        <v>2031</v>
      </c>
      <c r="PF6" t="s">
        <v>1777</v>
      </c>
      <c r="PG6">
        <v>13.760432</v>
      </c>
      <c r="PH6">
        <v>4.7536569999999996</v>
      </c>
      <c r="PI6" t="s">
        <v>1768</v>
      </c>
      <c r="PJ6">
        <v>2025</v>
      </c>
      <c r="PK6" t="s">
        <v>2032</v>
      </c>
      <c r="PL6" s="6">
        <v>45937</v>
      </c>
      <c r="PM6">
        <v>5</v>
      </c>
      <c r="PN6">
        <v>325305405.77999997</v>
      </c>
      <c r="PO6">
        <v>8445936</v>
      </c>
      <c r="PP6" t="s">
        <v>2033</v>
      </c>
      <c r="PS6" t="s">
        <v>1824</v>
      </c>
      <c r="PT6">
        <v>9.2636719999999997</v>
      </c>
      <c r="PU6" t="s">
        <v>1777</v>
      </c>
      <c r="PV6">
        <v>5.0267530000000002</v>
      </c>
      <c r="PW6" t="s">
        <v>1768</v>
      </c>
      <c r="PX6">
        <v>2025</v>
      </c>
      <c r="PY6" t="s">
        <v>1886</v>
      </c>
      <c r="PZ6" s="6">
        <v>45888</v>
      </c>
      <c r="QA6">
        <v>5</v>
      </c>
      <c r="QB6">
        <v>1021134592</v>
      </c>
      <c r="QC6">
        <v>100211</v>
      </c>
      <c r="QD6" t="s">
        <v>1825</v>
      </c>
      <c r="RM6" t="s">
        <v>2031</v>
      </c>
      <c r="RN6" t="s">
        <v>1777</v>
      </c>
      <c r="RO6">
        <v>13.760432</v>
      </c>
      <c r="RP6">
        <v>4.7536569999999996</v>
      </c>
      <c r="RQ6" t="s">
        <v>1768</v>
      </c>
      <c r="RR6">
        <v>2025</v>
      </c>
      <c r="RS6" t="s">
        <v>2032</v>
      </c>
      <c r="RT6" s="6">
        <v>45937</v>
      </c>
      <c r="RU6">
        <v>5</v>
      </c>
      <c r="RV6">
        <v>325305405.77999997</v>
      </c>
      <c r="RW6">
        <v>8445936</v>
      </c>
      <c r="RX6" t="s">
        <v>2033</v>
      </c>
      <c r="SA6" t="s">
        <v>1824</v>
      </c>
      <c r="SB6">
        <v>9.2636719999999997</v>
      </c>
      <c r="SC6" t="s">
        <v>1777</v>
      </c>
      <c r="SD6">
        <v>5.0267530000000002</v>
      </c>
      <c r="SE6" t="s">
        <v>1768</v>
      </c>
      <c r="SF6">
        <v>2025</v>
      </c>
      <c r="SG6" t="s">
        <v>1886</v>
      </c>
      <c r="SH6" s="6">
        <v>45888</v>
      </c>
      <c r="SI6">
        <v>5</v>
      </c>
      <c r="SJ6">
        <v>1021134592</v>
      </c>
      <c r="SK6">
        <v>100211</v>
      </c>
      <c r="SL6" t="s">
        <v>1825</v>
      </c>
    </row>
    <row r="7" spans="1:600" x14ac:dyDescent="0.25">
      <c r="FI7" t="s">
        <v>3935</v>
      </c>
      <c r="FJ7">
        <v>-2.4245362661989844E-14</v>
      </c>
      <c r="FL7">
        <v>-2.4245362661989844E-14</v>
      </c>
      <c r="FM7" t="s">
        <v>1789</v>
      </c>
      <c r="FN7">
        <v>2023</v>
      </c>
      <c r="FO7" t="s">
        <v>3933</v>
      </c>
      <c r="FP7" s="6">
        <v>45365</v>
      </c>
      <c r="FQ7">
        <v>5</v>
      </c>
      <c r="FR7">
        <v>-2.4245362661989844E-14</v>
      </c>
      <c r="FS7">
        <v>19492414</v>
      </c>
      <c r="FT7" t="s">
        <v>3936</v>
      </c>
      <c r="IG7" t="s">
        <v>925</v>
      </c>
      <c r="II7">
        <v>-2.4245362661989844E-14</v>
      </c>
      <c r="IJ7">
        <v>-2.4245362661989844E-14</v>
      </c>
      <c r="IK7" t="s">
        <v>1789</v>
      </c>
      <c r="IL7">
        <v>2021</v>
      </c>
      <c r="IM7" t="s">
        <v>2071</v>
      </c>
      <c r="IN7" s="6">
        <v>44693</v>
      </c>
      <c r="IO7">
        <v>5</v>
      </c>
      <c r="IP7">
        <v>-2.4245362661989844E-14</v>
      </c>
      <c r="IQ7">
        <v>100760</v>
      </c>
      <c r="IR7" t="s">
        <v>2072</v>
      </c>
      <c r="JK7" t="s">
        <v>3275</v>
      </c>
      <c r="JL7" t="s">
        <v>1777</v>
      </c>
      <c r="JM7">
        <v>6.0908949999999997</v>
      </c>
      <c r="JN7">
        <v>2.5669719999999998</v>
      </c>
      <c r="JO7" t="s">
        <v>1789</v>
      </c>
      <c r="JP7">
        <v>2024</v>
      </c>
      <c r="JQ7" t="s">
        <v>3276</v>
      </c>
      <c r="JR7" s="6">
        <v>45713</v>
      </c>
      <c r="JS7">
        <v>5</v>
      </c>
      <c r="JT7">
        <v>97500000</v>
      </c>
      <c r="JU7">
        <v>69483676</v>
      </c>
      <c r="JV7" t="s">
        <v>3277</v>
      </c>
      <c r="JY7" t="s">
        <v>2933</v>
      </c>
      <c r="JZ7">
        <v>7.5766629999999999</v>
      </c>
      <c r="KA7" t="s">
        <v>1777</v>
      </c>
      <c r="KB7">
        <v>2.12181</v>
      </c>
      <c r="KC7" t="s">
        <v>1773</v>
      </c>
      <c r="KD7">
        <v>2025</v>
      </c>
      <c r="KE7" t="s">
        <v>3273</v>
      </c>
      <c r="KF7" s="6">
        <v>45985</v>
      </c>
      <c r="KG7">
        <v>5</v>
      </c>
      <c r="KH7">
        <v>1308944256</v>
      </c>
      <c r="KI7">
        <v>102782</v>
      </c>
      <c r="KJ7" t="s">
        <v>2934</v>
      </c>
      <c r="KO7" t="s">
        <v>4600</v>
      </c>
      <c r="KP7" t="s">
        <v>1777</v>
      </c>
      <c r="KQ7">
        <v>3.73936</v>
      </c>
      <c r="KR7">
        <v>0.75532200000000005</v>
      </c>
      <c r="KS7" t="s">
        <v>1773</v>
      </c>
      <c r="KT7">
        <v>2025</v>
      </c>
      <c r="KU7" t="s">
        <v>4601</v>
      </c>
      <c r="KV7" s="6">
        <v>45797</v>
      </c>
      <c r="KW7">
        <v>5</v>
      </c>
      <c r="KX7">
        <v>16027925</v>
      </c>
      <c r="KY7">
        <v>21175033</v>
      </c>
      <c r="KZ7" t="s">
        <v>4602</v>
      </c>
      <c r="LC7" t="s">
        <v>4554</v>
      </c>
      <c r="LD7">
        <v>-2.4245362661989844E-14</v>
      </c>
      <c r="LF7">
        <v>-2.4245362661989844E-14</v>
      </c>
      <c r="LG7" t="s">
        <v>1894</v>
      </c>
      <c r="LH7">
        <v>2025</v>
      </c>
      <c r="LI7" t="s">
        <v>4555</v>
      </c>
      <c r="LJ7" s="6">
        <v>45975</v>
      </c>
      <c r="LK7">
        <v>5</v>
      </c>
      <c r="LL7">
        <v>-2.4245362661989844E-14</v>
      </c>
      <c r="LM7">
        <v>31351558</v>
      </c>
      <c r="LN7" t="s">
        <v>4556</v>
      </c>
      <c r="PE7" t="s">
        <v>2034</v>
      </c>
      <c r="PF7" t="s">
        <v>1777</v>
      </c>
      <c r="PG7">
        <v>11</v>
      </c>
      <c r="PH7">
        <v>3.1337429999999999</v>
      </c>
      <c r="PI7" t="s">
        <v>1789</v>
      </c>
      <c r="PJ7">
        <v>2025</v>
      </c>
      <c r="PK7" t="s">
        <v>2035</v>
      </c>
      <c r="PL7" s="6">
        <v>46065</v>
      </c>
      <c r="PM7">
        <v>5</v>
      </c>
      <c r="PN7">
        <v>226930000</v>
      </c>
      <c r="PO7">
        <v>59099358</v>
      </c>
      <c r="PP7" t="s">
        <v>2036</v>
      </c>
      <c r="PS7" t="s">
        <v>1887</v>
      </c>
      <c r="PT7">
        <v>4.5319979999999997</v>
      </c>
      <c r="PU7" t="s">
        <v>1777</v>
      </c>
      <c r="PV7">
        <v>3.2162160000000002</v>
      </c>
      <c r="PW7" t="s">
        <v>1768</v>
      </c>
      <c r="PX7">
        <v>2025</v>
      </c>
      <c r="PY7" t="s">
        <v>1886</v>
      </c>
      <c r="PZ7" s="6">
        <v>45888</v>
      </c>
      <c r="QA7">
        <v>5</v>
      </c>
      <c r="QB7">
        <v>499562144</v>
      </c>
      <c r="QC7">
        <v>876285</v>
      </c>
      <c r="QD7" t="s">
        <v>1888</v>
      </c>
      <c r="RM7" t="s">
        <v>2034</v>
      </c>
      <c r="RN7" t="s">
        <v>1777</v>
      </c>
      <c r="RO7">
        <v>11</v>
      </c>
      <c r="RP7">
        <v>3.1337429999999999</v>
      </c>
      <c r="RQ7" t="s">
        <v>1789</v>
      </c>
      <c r="RR7">
        <v>2025</v>
      </c>
      <c r="RS7" t="s">
        <v>2035</v>
      </c>
      <c r="RT7" s="6">
        <v>46065</v>
      </c>
      <c r="RU7">
        <v>5</v>
      </c>
      <c r="RV7">
        <v>226930000</v>
      </c>
      <c r="RW7">
        <v>59099358</v>
      </c>
      <c r="RX7" t="s">
        <v>2036</v>
      </c>
      <c r="SA7" t="s">
        <v>1887</v>
      </c>
      <c r="SB7">
        <v>4.5319979999999997</v>
      </c>
      <c r="SC7" t="s">
        <v>1777</v>
      </c>
      <c r="SD7">
        <v>3.2162160000000002</v>
      </c>
      <c r="SE7" t="s">
        <v>1768</v>
      </c>
      <c r="SF7">
        <v>2025</v>
      </c>
      <c r="SG7" t="s">
        <v>1886</v>
      </c>
      <c r="SH7" s="6">
        <v>45888</v>
      </c>
      <c r="SI7">
        <v>5</v>
      </c>
      <c r="SJ7">
        <v>499562144</v>
      </c>
      <c r="SK7">
        <v>876285</v>
      </c>
      <c r="SL7" t="s">
        <v>1888</v>
      </c>
    </row>
    <row r="8" spans="1:600" x14ac:dyDescent="0.25">
      <c r="FI8" t="s">
        <v>3683</v>
      </c>
      <c r="FJ8">
        <v>-2.4245362661989844E-14</v>
      </c>
      <c r="FL8">
        <v>-2.4245362661989844E-14</v>
      </c>
      <c r="FM8" t="s">
        <v>1789</v>
      </c>
      <c r="FN8">
        <v>2022</v>
      </c>
      <c r="FO8" t="s">
        <v>3930</v>
      </c>
      <c r="FP8" s="6">
        <v>45003</v>
      </c>
      <c r="FQ8">
        <v>5</v>
      </c>
      <c r="FR8">
        <v>-2.4245362661989844E-14</v>
      </c>
      <c r="FS8">
        <v>34929300</v>
      </c>
      <c r="FT8" t="s">
        <v>3685</v>
      </c>
      <c r="IG8" t="s">
        <v>3657</v>
      </c>
      <c r="II8">
        <v>-2.4245362661989844E-14</v>
      </c>
      <c r="IJ8">
        <v>-2.4245362661989844E-14</v>
      </c>
      <c r="IK8" t="s">
        <v>1789</v>
      </c>
      <c r="IL8">
        <v>2021</v>
      </c>
      <c r="IM8" t="s">
        <v>3658</v>
      </c>
      <c r="IN8" s="6">
        <v>44693</v>
      </c>
      <c r="IO8">
        <v>5</v>
      </c>
      <c r="IP8">
        <v>-2.4245362661989844E-14</v>
      </c>
      <c r="IQ8">
        <v>101315</v>
      </c>
      <c r="IR8" t="s">
        <v>3659</v>
      </c>
      <c r="JK8" t="s">
        <v>4761</v>
      </c>
      <c r="JL8" t="s">
        <v>2574</v>
      </c>
      <c r="JM8">
        <v>-2.4245362661989844E-14</v>
      </c>
      <c r="JN8">
        <v>1.9000570000000001</v>
      </c>
      <c r="JO8" t="s">
        <v>1789</v>
      </c>
      <c r="JP8">
        <v>2025</v>
      </c>
      <c r="JQ8" t="s">
        <v>4760</v>
      </c>
      <c r="JR8" s="6">
        <v>46077</v>
      </c>
      <c r="JS8">
        <v>5</v>
      </c>
      <c r="JT8">
        <v>75000000</v>
      </c>
      <c r="JU8">
        <v>71999429</v>
      </c>
      <c r="JV8" t="s">
        <v>4762</v>
      </c>
      <c r="JY8" t="s">
        <v>1946</v>
      </c>
      <c r="JZ8">
        <v>0.787219</v>
      </c>
      <c r="KA8" t="s">
        <v>1777</v>
      </c>
      <c r="KB8">
        <v>3.9592429999999998</v>
      </c>
      <c r="KC8" t="s">
        <v>1773</v>
      </c>
      <c r="KD8">
        <v>2025</v>
      </c>
      <c r="KE8" t="s">
        <v>3274</v>
      </c>
      <c r="KF8" s="6">
        <v>45966</v>
      </c>
      <c r="KG8">
        <v>5</v>
      </c>
      <c r="KH8">
        <v>136000000</v>
      </c>
      <c r="KI8">
        <v>100225</v>
      </c>
      <c r="KJ8" t="s">
        <v>1948</v>
      </c>
      <c r="KO8" t="s">
        <v>4603</v>
      </c>
      <c r="KP8" t="s">
        <v>1777</v>
      </c>
      <c r="KQ8">
        <v>0.39843600000000001</v>
      </c>
      <c r="KR8">
        <v>0.58359499999999997</v>
      </c>
      <c r="KS8" t="s">
        <v>1785</v>
      </c>
      <c r="KT8">
        <v>2025</v>
      </c>
      <c r="KU8" t="s">
        <v>4604</v>
      </c>
      <c r="KV8" s="6">
        <v>46072</v>
      </c>
      <c r="KW8">
        <v>5</v>
      </c>
      <c r="KX8">
        <v>14843609.470000001</v>
      </c>
      <c r="KY8">
        <v>70579391</v>
      </c>
      <c r="KZ8" t="s">
        <v>4605</v>
      </c>
      <c r="LC8" t="s">
        <v>4557</v>
      </c>
      <c r="LD8">
        <v>-2.4245362661989844E-14</v>
      </c>
      <c r="LF8">
        <v>-2.4245362661989844E-14</v>
      </c>
      <c r="LG8" t="s">
        <v>1789</v>
      </c>
      <c r="LH8">
        <v>2024</v>
      </c>
      <c r="LI8" t="s">
        <v>4558</v>
      </c>
      <c r="LJ8" s="6">
        <v>45785</v>
      </c>
      <c r="LK8">
        <v>5</v>
      </c>
      <c r="LL8">
        <v>-2.4245362661989844E-14</v>
      </c>
      <c r="LM8">
        <v>71626870</v>
      </c>
      <c r="LN8" t="s">
        <v>4559</v>
      </c>
      <c r="PE8" t="s">
        <v>2037</v>
      </c>
      <c r="PF8" t="s">
        <v>1777</v>
      </c>
      <c r="PG8">
        <v>8.8672269999999997</v>
      </c>
      <c r="PH8">
        <v>1.980351</v>
      </c>
      <c r="PI8" t="s">
        <v>1768</v>
      </c>
      <c r="PJ8">
        <v>2025</v>
      </c>
      <c r="PK8" t="s">
        <v>2038</v>
      </c>
      <c r="PL8" s="6">
        <v>45922</v>
      </c>
      <c r="PM8">
        <v>5</v>
      </c>
      <c r="PN8">
        <v>135574848</v>
      </c>
      <c r="PO8">
        <v>11937231</v>
      </c>
      <c r="PP8" t="s">
        <v>2039</v>
      </c>
      <c r="PS8" t="s">
        <v>1889</v>
      </c>
      <c r="PT8">
        <v>3.2472560000000001</v>
      </c>
      <c r="PU8" t="s">
        <v>1777</v>
      </c>
      <c r="PV8">
        <v>2.573108</v>
      </c>
      <c r="PW8" t="s">
        <v>1768</v>
      </c>
      <c r="PX8">
        <v>2025</v>
      </c>
      <c r="PY8" t="s">
        <v>1886</v>
      </c>
      <c r="PZ8" s="6">
        <v>45888</v>
      </c>
      <c r="QA8">
        <v>5</v>
      </c>
      <c r="QB8">
        <v>357945024</v>
      </c>
      <c r="QC8">
        <v>10451815</v>
      </c>
      <c r="QD8" t="s">
        <v>1890</v>
      </c>
      <c r="RM8" t="s">
        <v>2037</v>
      </c>
      <c r="RN8" t="s">
        <v>1777</v>
      </c>
      <c r="RO8">
        <v>8.8672269999999997</v>
      </c>
      <c r="RP8">
        <v>1.980351</v>
      </c>
      <c r="RQ8" t="s">
        <v>1768</v>
      </c>
      <c r="RR8">
        <v>2025</v>
      </c>
      <c r="RS8" t="s">
        <v>2038</v>
      </c>
      <c r="RT8" s="6">
        <v>45922</v>
      </c>
      <c r="RU8">
        <v>5</v>
      </c>
      <c r="RV8">
        <v>135574848</v>
      </c>
      <c r="RW8">
        <v>11937231</v>
      </c>
      <c r="RX8" t="s">
        <v>2039</v>
      </c>
      <c r="SA8" t="s">
        <v>1889</v>
      </c>
      <c r="SB8">
        <v>3.2472560000000001</v>
      </c>
      <c r="SC8" t="s">
        <v>1777</v>
      </c>
      <c r="SD8">
        <v>2.573108</v>
      </c>
      <c r="SE8" t="s">
        <v>1768</v>
      </c>
      <c r="SF8">
        <v>2025</v>
      </c>
      <c r="SG8" t="s">
        <v>1886</v>
      </c>
      <c r="SH8" s="6">
        <v>45888</v>
      </c>
      <c r="SI8">
        <v>5</v>
      </c>
      <c r="SJ8">
        <v>357945024</v>
      </c>
      <c r="SK8">
        <v>10451815</v>
      </c>
      <c r="SL8" t="s">
        <v>1890</v>
      </c>
    </row>
    <row r="9" spans="1:600" x14ac:dyDescent="0.25">
      <c r="FI9" t="s">
        <v>3937</v>
      </c>
      <c r="FJ9">
        <v>-2.4245362661989844E-14</v>
      </c>
      <c r="FL9">
        <v>-2.4245362661989844E-14</v>
      </c>
      <c r="FM9" t="s">
        <v>1789</v>
      </c>
      <c r="FN9">
        <v>2023</v>
      </c>
      <c r="FO9" t="s">
        <v>3933</v>
      </c>
      <c r="FP9" s="6">
        <v>45365</v>
      </c>
      <c r="FQ9">
        <v>5</v>
      </c>
      <c r="FR9">
        <v>-2.4245362661989844E-14</v>
      </c>
      <c r="FS9">
        <v>9081022</v>
      </c>
      <c r="FT9" t="s">
        <v>3938</v>
      </c>
      <c r="IG9" t="s">
        <v>2076</v>
      </c>
      <c r="II9">
        <v>-2.4245362661989844E-14</v>
      </c>
      <c r="IJ9">
        <v>-2.4245362661989844E-14</v>
      </c>
      <c r="IK9" t="s">
        <v>1789</v>
      </c>
      <c r="IL9">
        <v>2021</v>
      </c>
      <c r="IM9" t="s">
        <v>2077</v>
      </c>
      <c r="IN9" s="6">
        <v>44693</v>
      </c>
      <c r="IO9">
        <v>5</v>
      </c>
      <c r="IP9">
        <v>-2.4245362661989844E-14</v>
      </c>
      <c r="IQ9">
        <v>100532</v>
      </c>
      <c r="IR9" t="s">
        <v>2078</v>
      </c>
      <c r="JK9" t="s">
        <v>2626</v>
      </c>
      <c r="JL9" t="s">
        <v>1808</v>
      </c>
      <c r="JM9">
        <v>1.6404799999999999</v>
      </c>
      <c r="JN9">
        <v>2.2485889999999999</v>
      </c>
      <c r="JO9" t="s">
        <v>1785</v>
      </c>
      <c r="JP9">
        <v>2025</v>
      </c>
      <c r="JQ9" t="s">
        <v>2627</v>
      </c>
      <c r="JR9" s="6">
        <v>45796</v>
      </c>
      <c r="JS9">
        <v>5</v>
      </c>
      <c r="JT9">
        <v>57397160.810000002</v>
      </c>
      <c r="JU9">
        <v>995671</v>
      </c>
      <c r="JV9" t="s">
        <v>2628</v>
      </c>
      <c r="JY9" t="s">
        <v>3275</v>
      </c>
      <c r="JZ9">
        <v>0.61089599999999999</v>
      </c>
      <c r="KA9" t="s">
        <v>1777</v>
      </c>
      <c r="KB9">
        <v>14.583333</v>
      </c>
      <c r="KC9" t="s">
        <v>1789</v>
      </c>
      <c r="KD9">
        <v>2024</v>
      </c>
      <c r="KE9" t="s">
        <v>3276</v>
      </c>
      <c r="KF9" s="6">
        <v>45713</v>
      </c>
      <c r="KG9">
        <v>5</v>
      </c>
      <c r="KH9">
        <v>98000000</v>
      </c>
      <c r="KI9">
        <v>69483676</v>
      </c>
      <c r="KJ9" t="s">
        <v>3277</v>
      </c>
      <c r="KO9" t="s">
        <v>3432</v>
      </c>
      <c r="KP9" t="s">
        <v>1777</v>
      </c>
      <c r="KQ9">
        <v>1.796597</v>
      </c>
      <c r="KR9">
        <v>0.53488500000000005</v>
      </c>
      <c r="KS9" t="s">
        <v>1781</v>
      </c>
      <c r="KT9">
        <v>2025</v>
      </c>
      <c r="KU9" t="s">
        <v>3433</v>
      </c>
      <c r="KV9" s="6">
        <v>45793</v>
      </c>
      <c r="KW9">
        <v>5</v>
      </c>
      <c r="KX9">
        <v>11350253</v>
      </c>
      <c r="KY9">
        <v>102417</v>
      </c>
      <c r="KZ9" t="s">
        <v>3434</v>
      </c>
      <c r="LC9" t="s">
        <v>4560</v>
      </c>
      <c r="LD9">
        <v>-2.4245362661989844E-14</v>
      </c>
      <c r="LF9">
        <v>-2.4245362661989844E-14</v>
      </c>
      <c r="LG9" t="s">
        <v>1789</v>
      </c>
      <c r="LH9">
        <v>2022</v>
      </c>
      <c r="LI9" t="s">
        <v>4561</v>
      </c>
      <c r="LJ9" s="6">
        <v>45070</v>
      </c>
      <c r="LK9">
        <v>5</v>
      </c>
      <c r="LL9">
        <v>-2.4245362661989844E-14</v>
      </c>
      <c r="LM9">
        <v>27516715</v>
      </c>
      <c r="LN9" t="s">
        <v>4562</v>
      </c>
      <c r="PE9" t="s">
        <v>2040</v>
      </c>
      <c r="PF9" t="s">
        <v>1777</v>
      </c>
      <c r="PG9">
        <v>9.9027270000000005</v>
      </c>
      <c r="PH9">
        <v>1.5774429999999999</v>
      </c>
      <c r="PI9" t="s">
        <v>1768</v>
      </c>
      <c r="PJ9">
        <v>2025</v>
      </c>
      <c r="PK9" t="s">
        <v>2041</v>
      </c>
      <c r="PL9" s="6">
        <v>45904</v>
      </c>
      <c r="PM9">
        <v>5</v>
      </c>
      <c r="PN9">
        <v>107991712</v>
      </c>
      <c r="PO9">
        <v>187877</v>
      </c>
      <c r="PP9" t="s">
        <v>2042</v>
      </c>
      <c r="PS9" t="s">
        <v>154</v>
      </c>
      <c r="PT9">
        <v>3.0622020000000001</v>
      </c>
      <c r="PU9" t="s">
        <v>1777</v>
      </c>
      <c r="PV9">
        <v>2.546176</v>
      </c>
      <c r="PW9" t="s">
        <v>1768</v>
      </c>
      <c r="PX9">
        <v>2025</v>
      </c>
      <c r="PY9" t="s">
        <v>1886</v>
      </c>
      <c r="PZ9" s="6">
        <v>45888</v>
      </c>
      <c r="QA9">
        <v>5</v>
      </c>
      <c r="QB9">
        <v>337546528</v>
      </c>
      <c r="QC9">
        <v>100090</v>
      </c>
      <c r="QD9" t="s">
        <v>1891</v>
      </c>
      <c r="RM9" t="s">
        <v>2040</v>
      </c>
      <c r="RN9" t="s">
        <v>1777</v>
      </c>
      <c r="RO9">
        <v>9.9027270000000005</v>
      </c>
      <c r="RP9">
        <v>1.5774429999999999</v>
      </c>
      <c r="RQ9" t="s">
        <v>1768</v>
      </c>
      <c r="RR9">
        <v>2025</v>
      </c>
      <c r="RS9" t="s">
        <v>2041</v>
      </c>
      <c r="RT9" s="6">
        <v>45904</v>
      </c>
      <c r="RU9">
        <v>5</v>
      </c>
      <c r="RV9">
        <v>107991712</v>
      </c>
      <c r="RW9">
        <v>187877</v>
      </c>
      <c r="RX9" t="s">
        <v>2042</v>
      </c>
      <c r="SA9" t="s">
        <v>154</v>
      </c>
      <c r="SB9">
        <v>3.0622020000000001</v>
      </c>
      <c r="SC9" t="s">
        <v>1777</v>
      </c>
      <c r="SD9">
        <v>2.546176</v>
      </c>
      <c r="SE9" t="s">
        <v>1768</v>
      </c>
      <c r="SF9">
        <v>2025</v>
      </c>
      <c r="SG9" t="s">
        <v>1886</v>
      </c>
      <c r="SH9" s="6">
        <v>45888</v>
      </c>
      <c r="SI9">
        <v>5</v>
      </c>
      <c r="SJ9">
        <v>337546528</v>
      </c>
      <c r="SK9">
        <v>100090</v>
      </c>
      <c r="SL9" t="s">
        <v>1891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996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997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998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999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1000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1001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1002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1003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1004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1005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1006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1007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1008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1009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1010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1011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1012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1013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1014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1015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1016</v>
      </c>
      <c r="AE2" s="3" t="s">
        <v>27</v>
      </c>
      <c r="BI2" s="3" t="s">
        <v>282</v>
      </c>
      <c r="CM2" s="3" t="s">
        <v>960</v>
      </c>
      <c r="DQ2" s="3" t="s">
        <v>1017</v>
      </c>
      <c r="EU2" s="3" t="s">
        <v>1018</v>
      </c>
      <c r="FY2" s="3" t="s">
        <v>1019</v>
      </c>
      <c r="HC2" s="3" t="s">
        <v>1020</v>
      </c>
      <c r="IG2" s="3" t="s">
        <v>1021</v>
      </c>
      <c r="JK2" s="3" t="s">
        <v>234</v>
      </c>
      <c r="KO2" s="3" t="s">
        <v>1022</v>
      </c>
      <c r="LS2" s="3" t="s">
        <v>163</v>
      </c>
      <c r="MW2" s="3" t="s">
        <v>388</v>
      </c>
      <c r="OA2" s="3" t="s">
        <v>1023</v>
      </c>
      <c r="PE2" s="3" t="s">
        <v>394</v>
      </c>
      <c r="QI2" s="3" t="s">
        <v>1020</v>
      </c>
      <c r="RM2" s="3" t="s">
        <v>1024</v>
      </c>
      <c r="SQ2" s="3" t="s">
        <v>1025</v>
      </c>
      <c r="TU2" s="3" t="s">
        <v>1026</v>
      </c>
      <c r="UY2" s="3" t="s">
        <v>577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_xll.BDS("1670211D US Equity","SUPPLY_CHAIN_SUPPLIERS_ALL_DATA")</f>
        <v>#N/A N/A</v>
      </c>
      <c r="O5" t="str">
        <f>_xll.BDS("1670211D US Equity","SUPPLY_CHAIN_CUSTOMERS_ALL_DATA")</f>
        <v>#N/A N/A</v>
      </c>
      <c r="AE5" t="str">
        <f>_xll.BDS("NWBI US Equity","SUPPLY_CHAIN_SUPPLIERS_ALL_DATA","cols=12;rows=1")</f>
        <v>FISV US Equity</v>
      </c>
      <c r="AG5">
        <v>-2.4245362661989844E-14</v>
      </c>
      <c r="AH5">
        <v>-2.4245362661989844E-14</v>
      </c>
      <c r="AI5" t="s">
        <v>1894</v>
      </c>
      <c r="AJ5">
        <v>2023</v>
      </c>
      <c r="AK5" t="s">
        <v>2045</v>
      </c>
      <c r="AL5" s="6">
        <v>45245</v>
      </c>
      <c r="AM5">
        <v>1</v>
      </c>
      <c r="AN5">
        <v>-2.4245362661989844E-14</v>
      </c>
      <c r="AO5">
        <v>103882</v>
      </c>
      <c r="AP5" t="s">
        <v>2046</v>
      </c>
      <c r="AS5" t="str">
        <f>_xll.BDS("NWBI US Equity","SUPPLY_CHAIN_CUSTOMERS_ALL_DATA")</f>
        <v>#N/A N/A</v>
      </c>
      <c r="BI5" t="str">
        <f>_xll.BDS("1978022D US Equity","SUPPLY_CHAIN_SUPPLIERS_ALL_DATA")</f>
        <v>#N/A N/A</v>
      </c>
      <c r="BW5" t="str">
        <f>_xll.BDS("1978022D US Equity","SUPPLY_CHAIN_CUSTOMERS_ALL_DATA")</f>
        <v>#N/A N/A</v>
      </c>
      <c r="CM5" t="str">
        <f>_xll.BDS("HFWA US Equity","SUPPLY_CHAIN_SUPPLIERS_ALL_DATA")</f>
        <v>#N/A N/A</v>
      </c>
      <c r="DA5" t="str">
        <f>_xll.BDS("HFWA US Equity","SUPPLY_CHAIN_CUSTOMERS_ALL_DATA")</f>
        <v>#N/A N/A</v>
      </c>
      <c r="DQ5" t="str">
        <f>_xll.BDS("RCNCQ US Equity","SUPPLY_CHAIN_SUPPLIERS_ALL_DATA")</f>
        <v>#N/A N/A</v>
      </c>
      <c r="EE5" t="str">
        <f>_xll.BDS("RCNCQ US Equity","SUPPLY_CHAIN_CUSTOMERS_ALL_DATA")</f>
        <v>#N/A N/A</v>
      </c>
      <c r="EU5" t="str">
        <f>_xll.BDS("GABC US Equity","SUPPLY_CHAIN_SUPPLIERS_ALL_DATA")</f>
        <v>#N/A N/A</v>
      </c>
      <c r="FI5" t="str">
        <f>_xll.BDS("GABC US Equity","SUPPLY_CHAIN_CUSTOMERS_ALL_DATA")</f>
        <v>#N/A N/A</v>
      </c>
      <c r="FY5" t="str">
        <f>_xll.BDS("ENVA US Equity","SUPPLY_CHAIN_SUPPLIERS_ALL_DATA","cols=12;rows=1")</f>
        <v>ASCL LN Equity</v>
      </c>
      <c r="GA5">
        <v>-2.4245362661989844E-14</v>
      </c>
      <c r="GB5">
        <v>-2.4245362661989844E-14</v>
      </c>
      <c r="GC5" t="s">
        <v>1781</v>
      </c>
      <c r="GD5">
        <v>2022</v>
      </c>
      <c r="GE5" t="s">
        <v>4595</v>
      </c>
      <c r="GF5" s="6">
        <v>44734</v>
      </c>
      <c r="GG5">
        <v>1</v>
      </c>
      <c r="GH5">
        <v>-2.4245362661989844E-14</v>
      </c>
      <c r="GI5">
        <v>48621208</v>
      </c>
      <c r="GJ5" t="s">
        <v>2003</v>
      </c>
      <c r="GM5" t="str">
        <f>_xll.BDS("ENVA US Equity","SUPPLY_CHAIN_CUSTOMERS_ALL_DATA")</f>
        <v>#N/A N/A</v>
      </c>
      <c r="HC5" t="str">
        <f>_xll.BDS("TMP US Equity","SUPPLY_CHAIN_SUPPLIERS_ALL_DATA")</f>
        <v>#N/A N/A</v>
      </c>
      <c r="HQ5" t="str">
        <f>_xll.BDS("TMP US Equity","SUPPLY_CHAIN_CUSTOMERS_ALL_DATA")</f>
        <v>#N/A N/A</v>
      </c>
      <c r="IG5" t="str">
        <f>_xll.BDS("696119Q US Equity","SUPPLY_CHAIN_SUPPLIERS_ALL_DATA")</f>
        <v>#N/A N/A</v>
      </c>
      <c r="IU5" t="str">
        <f>_xll.BDS("696119Q US Equity","SUPPLY_CHAIN_CUSTOMERS_ALL_DATA")</f>
        <v>#N/A N/A</v>
      </c>
      <c r="JK5" t="str">
        <f>_xll.BDS("DIAN US Equity","SUPPLY_CHAIN_SUPPLIERS_ALL_DATA")</f>
        <v>#N/A N/A</v>
      </c>
      <c r="JY5" t="str">
        <f>_xll.BDS("DIAN US Equity","SUPPLY_CHAIN_CUSTOMERS_ALL_DATA")</f>
        <v>#N/A N/A</v>
      </c>
      <c r="KO5" t="str">
        <f>_xll.BDS("CG US Equity","SUPPLY_CHAIN_SUPPLIERS_ALL_DATA","cols=12;rows=5")</f>
        <v>SLG US Equity</v>
      </c>
      <c r="KP5" t="s">
        <v>1808</v>
      </c>
      <c r="KQ5">
        <v>2.3414929999999998</v>
      </c>
      <c r="KR5">
        <v>0.61569499999999999</v>
      </c>
      <c r="KS5" t="s">
        <v>1789</v>
      </c>
      <c r="KT5">
        <v>2024</v>
      </c>
      <c r="KU5" t="s">
        <v>4410</v>
      </c>
      <c r="KV5" s="6">
        <v>45706</v>
      </c>
      <c r="KW5">
        <v>5</v>
      </c>
      <c r="KX5">
        <v>5187999</v>
      </c>
      <c r="KY5">
        <v>231753</v>
      </c>
      <c r="KZ5" t="s">
        <v>4411</v>
      </c>
      <c r="LC5" t="str">
        <f>_xll.BDS("CG US Equity","SUPPLY_CHAIN_CUSTOMERS_ALL_DATA","cols=12;rows=5")</f>
        <v>POOL US Equity</v>
      </c>
      <c r="LD5">
        <v>8.2254889999999996</v>
      </c>
      <c r="LE5" t="s">
        <v>1777</v>
      </c>
      <c r="LF5">
        <v>12</v>
      </c>
      <c r="LG5" t="s">
        <v>1789</v>
      </c>
      <c r="LH5">
        <v>2024</v>
      </c>
      <c r="LI5" t="s">
        <v>2217</v>
      </c>
      <c r="LJ5" s="6">
        <v>45715</v>
      </c>
      <c r="LK5">
        <v>5</v>
      </c>
      <c r="LL5">
        <v>112068176</v>
      </c>
      <c r="LM5">
        <v>171077</v>
      </c>
      <c r="LN5" t="s">
        <v>2218</v>
      </c>
      <c r="LS5" t="str">
        <f>_xll.BDS("FNB US Equity","SUPPLY_CHAIN_SUPPLIERS_ALL_DATA","cols=12;rows=1")</f>
        <v>HY US Equity</v>
      </c>
      <c r="LU5">
        <v>-2.4245362661989844E-14</v>
      </c>
      <c r="LV5">
        <v>-2.4245362661989844E-14</v>
      </c>
      <c r="LW5" t="s">
        <v>1789</v>
      </c>
      <c r="LX5">
        <v>2024</v>
      </c>
      <c r="LY5" t="s">
        <v>2269</v>
      </c>
      <c r="LZ5" s="6">
        <v>45427</v>
      </c>
      <c r="MA5">
        <v>1</v>
      </c>
      <c r="MB5">
        <v>-2.4245362661989844E-14</v>
      </c>
      <c r="MC5">
        <v>159242</v>
      </c>
      <c r="MD5" t="s">
        <v>2270</v>
      </c>
      <c r="MG5" t="str">
        <f>_xll.BDS("FNB US Equity","SUPPLY_CHAIN_CUSTOMERS_ALL_DATA")</f>
        <v>#N/A N/A</v>
      </c>
      <c r="MW5" t="str">
        <f>_xll.BDS("TCF US Equity","SUPPLY_CHAIN_SUPPLIERS_ALL_DATA")</f>
        <v>#N/A N/A</v>
      </c>
      <c r="NK5" t="str">
        <f>_xll.BDS("TCF US Equity","SUPPLY_CHAIN_CUSTOMERS_ALL_DATA")</f>
        <v>#N/A N/A</v>
      </c>
      <c r="OA5" t="str">
        <f>_xll.BDS("1996074D US Equity","SUPPLY_CHAIN_SUPPLIERS_ALL_DATA")</f>
        <v>#N/A N/A</v>
      </c>
      <c r="OO5" t="str">
        <f>_xll.BDS("1996074D US Equity","SUPPLY_CHAIN_CUSTOMERS_ALL_DATA")</f>
        <v>#N/A N/A</v>
      </c>
      <c r="PE5" t="str">
        <f>_xll.BDS("WFC US Equity","SUPPLY_CHAIN_SUPPLIERS_ALL_DATA","cols=12;rows=5")</f>
        <v>ADBE US Equity</v>
      </c>
      <c r="PF5" t="s">
        <v>1808</v>
      </c>
      <c r="PG5">
        <v>0.357321</v>
      </c>
      <c r="PH5">
        <v>0.15107200000000001</v>
      </c>
      <c r="PI5" t="s">
        <v>1768</v>
      </c>
      <c r="PJ5">
        <v>2025</v>
      </c>
      <c r="PK5" t="s">
        <v>2359</v>
      </c>
      <c r="PL5" s="6">
        <v>45838</v>
      </c>
      <c r="PM5">
        <v>5</v>
      </c>
      <c r="PN5">
        <v>20985462</v>
      </c>
      <c r="PO5">
        <v>101689</v>
      </c>
      <c r="PP5" t="s">
        <v>2360</v>
      </c>
      <c r="PS5" t="str">
        <f>_xll.BDS("WFC US Equity","SUPPLY_CHAIN_CUSTOMERS_ALL_DATA","cols=12;rows=5")</f>
        <v>CDW US Equity</v>
      </c>
      <c r="PT5">
        <v>4.1894000000000001E-2</v>
      </c>
      <c r="PU5" t="s">
        <v>1777</v>
      </c>
      <c r="PV5">
        <v>0.304456</v>
      </c>
      <c r="PW5" t="s">
        <v>1781</v>
      </c>
      <c r="PX5">
        <v>2025</v>
      </c>
      <c r="PY5" t="s">
        <v>1865</v>
      </c>
      <c r="PZ5" s="6">
        <v>45820</v>
      </c>
      <c r="QA5">
        <v>5</v>
      </c>
      <c r="QB5">
        <v>12412062</v>
      </c>
      <c r="QC5">
        <v>12129192</v>
      </c>
      <c r="QD5" t="s">
        <v>1866</v>
      </c>
      <c r="QI5" t="str">
        <f>_xll.BDS("TMP US Equity","SUPPLY_CHAIN_SUPPLIERS_ALL_DATA")</f>
        <v>#N/A N/A</v>
      </c>
      <c r="QW5" t="str">
        <f>_xll.BDS("TMP US Equity","SUPPLY_CHAIN_CUSTOMERS_ALL_DATA")</f>
        <v>#N/A N/A</v>
      </c>
      <c r="RM5" t="str">
        <f>_xll.BDS("ESBF US Equity","SUPPLY_CHAIN_SUPPLIERS_ALL_DATA")</f>
        <v>#N/A N/A</v>
      </c>
      <c r="SA5" t="str">
        <f>_xll.BDS("ESBF US Equity","SUPPLY_CHAIN_CUSTOMERS_ALL_DATA")</f>
        <v>#N/A N/A</v>
      </c>
      <c r="SQ5" t="str">
        <f>_xll.BDS("CLGX US Equity","SUPPLY_CHAIN_SUPPLIERS_ALL_DATA","cols=12;rows=1")</f>
        <v>5331Z US Equity</v>
      </c>
      <c r="SS5">
        <v>-2.4245362661989844E-14</v>
      </c>
      <c r="ST5">
        <v>-2.4245362661989844E-14</v>
      </c>
      <c r="SU5" t="s">
        <v>1789</v>
      </c>
      <c r="SV5">
        <v>2024</v>
      </c>
      <c r="SW5" t="s">
        <v>2418</v>
      </c>
      <c r="SX5" s="6">
        <v>45404</v>
      </c>
      <c r="SY5">
        <v>1</v>
      </c>
      <c r="SZ5">
        <v>-2.4245362661989844E-14</v>
      </c>
      <c r="TA5">
        <v>191969</v>
      </c>
      <c r="TB5" t="s">
        <v>2419</v>
      </c>
      <c r="TE5" t="str">
        <f>_xll.BDS("CLGX US Equity","SUPPLY_CHAIN_CUSTOMERS_ALL_DATA")</f>
        <v>#N/A N/A</v>
      </c>
      <c r="TU5" t="str">
        <f>_xll.BDS("PTEN US Equity","SUPPLY_CHAIN_SUPPLIERS_ALL_DATA","cols=12;rows=5")</f>
        <v>DNOW US Equity</v>
      </c>
      <c r="TV5" t="s">
        <v>1777</v>
      </c>
      <c r="TW5">
        <v>0.181116</v>
      </c>
      <c r="TX5">
        <v>0.102577</v>
      </c>
      <c r="TY5" t="s">
        <v>1773</v>
      </c>
      <c r="TZ5">
        <v>2025</v>
      </c>
      <c r="UA5" t="s">
        <v>2387</v>
      </c>
      <c r="UB5" s="6">
        <v>46027</v>
      </c>
      <c r="UC5">
        <v>5</v>
      </c>
      <c r="UD5">
        <v>1148275</v>
      </c>
      <c r="UE5">
        <v>36965288</v>
      </c>
      <c r="UF5" t="s">
        <v>2388</v>
      </c>
      <c r="UI5" t="str">
        <f>_xll.BDS("PTEN US Equity","SUPPLY_CHAIN_CUSTOMERS_ALL_DATA","cols=12;rows=3")</f>
        <v>ARCH NO Equity</v>
      </c>
      <c r="UJ5">
        <v>-2.4245362661989844E-14</v>
      </c>
      <c r="UL5">
        <v>-2.4245362661989844E-14</v>
      </c>
      <c r="UM5" t="s">
        <v>1789</v>
      </c>
      <c r="UN5">
        <v>2025</v>
      </c>
      <c r="UO5" t="s">
        <v>2198</v>
      </c>
      <c r="UP5" s="6">
        <v>46037</v>
      </c>
      <c r="UQ5">
        <v>3</v>
      </c>
      <c r="UR5">
        <v>-2.4245362661989844E-14</v>
      </c>
      <c r="US5">
        <v>13297516</v>
      </c>
      <c r="UT5" t="s">
        <v>2199</v>
      </c>
      <c r="UY5" t="str">
        <f>_xll.BDS("ONB US Equity","SUPPLY_CHAIN_SUPPLIERS_ALL_DATA","cols=12;rows=3")</f>
        <v>FCPT US Equity</v>
      </c>
      <c r="VA5">
        <v>-2.4245362661989844E-14</v>
      </c>
      <c r="VB5">
        <v>-2.4245362661989844E-14</v>
      </c>
      <c r="VC5" t="s">
        <v>1789</v>
      </c>
      <c r="VD5">
        <v>2023</v>
      </c>
      <c r="VE5" t="s">
        <v>1964</v>
      </c>
      <c r="VF5" s="6">
        <v>45337</v>
      </c>
      <c r="VG5">
        <v>3</v>
      </c>
      <c r="VH5">
        <v>-2.4245362661989844E-14</v>
      </c>
      <c r="VI5">
        <v>46177523</v>
      </c>
      <c r="VJ5" t="s">
        <v>1965</v>
      </c>
      <c r="VM5" t="str">
        <f>_xll.BDS("ONB US Equity","SUPPLY_CHAIN_CUSTOMERS_ALL_DATA")</f>
        <v>#N/A N/A</v>
      </c>
    </row>
    <row r="6" spans="1:600" x14ac:dyDescent="0.25">
      <c r="KO6" t="s">
        <v>3634</v>
      </c>
      <c r="KP6" t="s">
        <v>1808</v>
      </c>
      <c r="KQ6">
        <v>0.89158300000000001</v>
      </c>
      <c r="KR6">
        <v>0.19925799999999999</v>
      </c>
      <c r="KS6" t="s">
        <v>1789</v>
      </c>
      <c r="KT6">
        <v>2024</v>
      </c>
      <c r="KU6" t="s">
        <v>3635</v>
      </c>
      <c r="KV6" s="6">
        <v>45694</v>
      </c>
      <c r="KW6">
        <v>5</v>
      </c>
      <c r="KX6">
        <v>1679000.25</v>
      </c>
      <c r="KY6">
        <v>106543</v>
      </c>
      <c r="KZ6" t="s">
        <v>3636</v>
      </c>
      <c r="LC6" t="s">
        <v>2219</v>
      </c>
      <c r="LD6">
        <v>0.112706</v>
      </c>
      <c r="LE6" t="s">
        <v>1777</v>
      </c>
      <c r="LF6">
        <v>3.4763000000000002E-2</v>
      </c>
      <c r="LG6" t="s">
        <v>1781</v>
      </c>
      <c r="LH6">
        <v>2025</v>
      </c>
      <c r="LI6" t="s">
        <v>2220</v>
      </c>
      <c r="LJ6" s="6">
        <v>45852</v>
      </c>
      <c r="LK6">
        <v>5</v>
      </c>
      <c r="LL6">
        <v>1103394.56</v>
      </c>
      <c r="LM6">
        <v>14866501</v>
      </c>
      <c r="LN6" t="s">
        <v>2221</v>
      </c>
      <c r="PE6" t="s">
        <v>2493</v>
      </c>
      <c r="PF6" t="s">
        <v>1808</v>
      </c>
      <c r="PG6">
        <v>5.2993949999999996</v>
      </c>
      <c r="PH6">
        <v>7.1481000000000003E-2</v>
      </c>
      <c r="PI6" t="s">
        <v>1781</v>
      </c>
      <c r="PJ6">
        <v>2026</v>
      </c>
      <c r="PK6" t="s">
        <v>3630</v>
      </c>
      <c r="PL6" s="6">
        <v>45898</v>
      </c>
      <c r="PM6">
        <v>5</v>
      </c>
      <c r="PN6">
        <v>9563900.9100000001</v>
      </c>
      <c r="PO6">
        <v>178651</v>
      </c>
      <c r="PP6" t="s">
        <v>2495</v>
      </c>
      <c r="PS6" t="s">
        <v>3334</v>
      </c>
      <c r="PT6">
        <v>-2.4245362661989844E-14</v>
      </c>
      <c r="PV6">
        <v>-2.4245362661989844E-14</v>
      </c>
      <c r="PW6" t="s">
        <v>1789</v>
      </c>
      <c r="PX6">
        <v>2024</v>
      </c>
      <c r="PY6" t="s">
        <v>3335</v>
      </c>
      <c r="PZ6" s="6">
        <v>45756</v>
      </c>
      <c r="QA6">
        <v>5</v>
      </c>
      <c r="QB6">
        <v>-2.4245362661989844E-14</v>
      </c>
      <c r="QC6">
        <v>23063237</v>
      </c>
      <c r="QD6" t="s">
        <v>3336</v>
      </c>
      <c r="TU6" t="s">
        <v>1918</v>
      </c>
      <c r="TW6">
        <v>-2.4245362661989844E-14</v>
      </c>
      <c r="TX6">
        <v>-2.4245362661989844E-14</v>
      </c>
      <c r="TY6" t="s">
        <v>1789</v>
      </c>
      <c r="TZ6">
        <v>2021</v>
      </c>
      <c r="UA6" t="s">
        <v>1919</v>
      </c>
      <c r="UB6" s="6">
        <v>44693</v>
      </c>
      <c r="UC6">
        <v>5</v>
      </c>
      <c r="UD6">
        <v>-2.4245362661989844E-14</v>
      </c>
      <c r="UE6">
        <v>100060</v>
      </c>
      <c r="UF6" t="s">
        <v>1920</v>
      </c>
      <c r="UI6" t="s">
        <v>2200</v>
      </c>
      <c r="UJ6">
        <v>-2.4245362661989844E-14</v>
      </c>
      <c r="UL6">
        <v>-2.4245362661989844E-14</v>
      </c>
      <c r="UM6" t="s">
        <v>1789</v>
      </c>
      <c r="UN6">
        <v>2022</v>
      </c>
      <c r="UO6" t="s">
        <v>2201</v>
      </c>
      <c r="UP6" s="6">
        <v>44658</v>
      </c>
      <c r="UQ6">
        <v>3</v>
      </c>
      <c r="UR6">
        <v>-2.4245362661989844E-14</v>
      </c>
      <c r="US6">
        <v>101174</v>
      </c>
      <c r="UT6" t="s">
        <v>2202</v>
      </c>
      <c r="UY6" t="s">
        <v>1966</v>
      </c>
      <c r="VA6">
        <v>-2.4245362661989844E-14</v>
      </c>
      <c r="VB6">
        <v>-2.4245362661989844E-14</v>
      </c>
      <c r="VC6" t="s">
        <v>1781</v>
      </c>
      <c r="VD6">
        <v>2023</v>
      </c>
      <c r="VE6" t="s">
        <v>1967</v>
      </c>
      <c r="VF6" s="6">
        <v>45020</v>
      </c>
      <c r="VG6">
        <v>3</v>
      </c>
      <c r="VH6">
        <v>-2.4245362661989844E-14</v>
      </c>
      <c r="VI6">
        <v>106252</v>
      </c>
      <c r="VJ6" t="s">
        <v>1968</v>
      </c>
    </row>
    <row r="7" spans="1:600" x14ac:dyDescent="0.25">
      <c r="KO7" t="s">
        <v>4412</v>
      </c>
      <c r="KP7" t="s">
        <v>1777</v>
      </c>
      <c r="KQ7">
        <v>10.91</v>
      </c>
      <c r="KR7">
        <v>0.11763700000000001</v>
      </c>
      <c r="KS7" t="s">
        <v>1789</v>
      </c>
      <c r="KT7">
        <v>2025</v>
      </c>
      <c r="KU7" t="s">
        <v>4413</v>
      </c>
      <c r="KV7" s="6">
        <v>45895</v>
      </c>
      <c r="KW7">
        <v>5</v>
      </c>
      <c r="KX7">
        <v>1168969.1100000001</v>
      </c>
      <c r="KY7">
        <v>59709175</v>
      </c>
      <c r="KZ7" t="s">
        <v>4414</v>
      </c>
      <c r="LC7" t="s">
        <v>1780</v>
      </c>
      <c r="LD7">
        <v>5.6222000000000001E-2</v>
      </c>
      <c r="LE7" t="s">
        <v>1777</v>
      </c>
      <c r="LF7">
        <v>4.2040000000000003E-3</v>
      </c>
      <c r="LG7" t="s">
        <v>1781</v>
      </c>
      <c r="LH7">
        <v>2026</v>
      </c>
      <c r="LI7" t="s">
        <v>1782</v>
      </c>
      <c r="LJ7" s="6">
        <v>45898</v>
      </c>
      <c r="LK7">
        <v>5</v>
      </c>
      <c r="LL7">
        <v>892021.61</v>
      </c>
      <c r="LM7">
        <v>112370</v>
      </c>
      <c r="LN7" t="s">
        <v>1783</v>
      </c>
      <c r="PE7" t="s">
        <v>3631</v>
      </c>
      <c r="PF7" t="s">
        <v>1808</v>
      </c>
      <c r="PG7">
        <v>0.56072500000000003</v>
      </c>
      <c r="PH7">
        <v>1.5883999999999999E-2</v>
      </c>
      <c r="PI7" t="s">
        <v>1789</v>
      </c>
      <c r="PJ7">
        <v>2025</v>
      </c>
      <c r="PK7" t="s">
        <v>3632</v>
      </c>
      <c r="PL7" s="6">
        <v>46066</v>
      </c>
      <c r="PM7">
        <v>5</v>
      </c>
      <c r="PN7">
        <v>2177750</v>
      </c>
      <c r="PO7">
        <v>126273</v>
      </c>
      <c r="PP7" t="s">
        <v>3633</v>
      </c>
      <c r="PS7" t="s">
        <v>2971</v>
      </c>
      <c r="PT7">
        <v>-2.4245362661989844E-14</v>
      </c>
      <c r="PV7">
        <v>-2.4245362661989844E-14</v>
      </c>
      <c r="PW7" t="s">
        <v>1781</v>
      </c>
      <c r="PX7">
        <v>2025</v>
      </c>
      <c r="PY7" t="s">
        <v>3174</v>
      </c>
      <c r="PZ7" s="6">
        <v>45799</v>
      </c>
      <c r="QA7">
        <v>5</v>
      </c>
      <c r="QB7">
        <v>-2.4245362661989844E-14</v>
      </c>
      <c r="QC7">
        <v>313021</v>
      </c>
      <c r="QD7" t="s">
        <v>2973</v>
      </c>
      <c r="TU7" t="s">
        <v>925</v>
      </c>
      <c r="TW7">
        <v>-2.4245362661989844E-14</v>
      </c>
      <c r="TX7">
        <v>-2.4245362661989844E-14</v>
      </c>
      <c r="TY7" t="s">
        <v>1789</v>
      </c>
      <c r="TZ7">
        <v>2021</v>
      </c>
      <c r="UA7" t="s">
        <v>2071</v>
      </c>
      <c r="UB7" s="6">
        <v>44693</v>
      </c>
      <c r="UC7">
        <v>5</v>
      </c>
      <c r="UD7">
        <v>-2.4245362661989844E-14</v>
      </c>
      <c r="UE7">
        <v>100760</v>
      </c>
      <c r="UF7" t="s">
        <v>2072</v>
      </c>
      <c r="UI7" t="s">
        <v>2203</v>
      </c>
      <c r="UJ7">
        <v>-2.4245362661989844E-14</v>
      </c>
      <c r="UL7">
        <v>-2.4245362661989844E-14</v>
      </c>
      <c r="UM7" t="s">
        <v>1789</v>
      </c>
      <c r="UN7">
        <v>2023</v>
      </c>
      <c r="UO7" t="s">
        <v>2204</v>
      </c>
      <c r="UP7" s="6">
        <v>45412</v>
      </c>
      <c r="UQ7">
        <v>3</v>
      </c>
      <c r="UR7">
        <v>-2.4245362661989844E-14</v>
      </c>
      <c r="US7">
        <v>53353279</v>
      </c>
      <c r="UT7" t="s">
        <v>2205</v>
      </c>
      <c r="UY7" t="s">
        <v>1121</v>
      </c>
      <c r="VA7">
        <v>-2.4245362661989844E-14</v>
      </c>
      <c r="VB7">
        <v>-2.4245362661989844E-14</v>
      </c>
      <c r="VC7" t="s">
        <v>1768</v>
      </c>
      <c r="VD7">
        <v>2023</v>
      </c>
      <c r="VE7" t="s">
        <v>1969</v>
      </c>
      <c r="VF7" s="6">
        <v>45174</v>
      </c>
      <c r="VG7">
        <v>3</v>
      </c>
      <c r="VH7">
        <v>-2.4245362661989844E-14</v>
      </c>
      <c r="VI7">
        <v>202476</v>
      </c>
      <c r="VJ7" t="s">
        <v>1970</v>
      </c>
    </row>
    <row r="8" spans="1:600" x14ac:dyDescent="0.25">
      <c r="KO8" t="s">
        <v>4036</v>
      </c>
      <c r="KP8" t="s">
        <v>1808</v>
      </c>
      <c r="KQ8">
        <v>1.061577</v>
      </c>
      <c r="KR8">
        <v>0.111747</v>
      </c>
      <c r="KS8" t="s">
        <v>1789</v>
      </c>
      <c r="KT8">
        <v>2024</v>
      </c>
      <c r="KU8" t="s">
        <v>4415</v>
      </c>
      <c r="KV8" s="6">
        <v>45715</v>
      </c>
      <c r="KW8">
        <v>5</v>
      </c>
      <c r="KX8">
        <v>941885.68</v>
      </c>
      <c r="KY8">
        <v>111471</v>
      </c>
      <c r="KZ8" t="s">
        <v>4038</v>
      </c>
      <c r="LC8" t="s">
        <v>2037</v>
      </c>
      <c r="LD8">
        <v>4.8826000000000001E-2</v>
      </c>
      <c r="LE8" t="s">
        <v>1808</v>
      </c>
      <c r="LF8">
        <v>0.96890200000000004</v>
      </c>
      <c r="LG8" t="s">
        <v>1789</v>
      </c>
      <c r="LH8">
        <v>2025</v>
      </c>
      <c r="LI8" t="s">
        <v>2222</v>
      </c>
      <c r="LJ8" s="6">
        <v>46079</v>
      </c>
      <c r="LK8">
        <v>5</v>
      </c>
      <c r="LL8">
        <v>599999.75</v>
      </c>
      <c r="LM8">
        <v>11937231</v>
      </c>
      <c r="LN8" t="s">
        <v>2039</v>
      </c>
      <c r="PE8" t="s">
        <v>2420</v>
      </c>
      <c r="PF8" t="s">
        <v>1808</v>
      </c>
      <c r="PG8">
        <v>0.78817400000000004</v>
      </c>
      <c r="PH8">
        <v>1.4283000000000001E-2</v>
      </c>
      <c r="PI8" t="s">
        <v>1789</v>
      </c>
      <c r="PJ8">
        <v>2025</v>
      </c>
      <c r="PK8" t="s">
        <v>2421</v>
      </c>
      <c r="PL8" s="6">
        <v>46058</v>
      </c>
      <c r="PM8">
        <v>5</v>
      </c>
      <c r="PN8">
        <v>1958250</v>
      </c>
      <c r="PO8">
        <v>106045</v>
      </c>
      <c r="PP8" t="s">
        <v>2422</v>
      </c>
      <c r="PS8" t="s">
        <v>3337</v>
      </c>
      <c r="PT8">
        <v>-2.4245362661989844E-14</v>
      </c>
      <c r="PV8">
        <v>-2.4245362661989844E-14</v>
      </c>
      <c r="PW8" t="s">
        <v>1789</v>
      </c>
      <c r="PX8">
        <v>2022</v>
      </c>
      <c r="PY8" t="s">
        <v>3338</v>
      </c>
      <c r="PZ8" s="6">
        <v>44986</v>
      </c>
      <c r="QA8">
        <v>5</v>
      </c>
      <c r="QB8">
        <v>-2.4245362661989844E-14</v>
      </c>
      <c r="QC8">
        <v>394590</v>
      </c>
      <c r="QD8" t="s">
        <v>3339</v>
      </c>
      <c r="TU8" t="s">
        <v>3765</v>
      </c>
      <c r="TW8">
        <v>-2.4245362661989844E-14</v>
      </c>
      <c r="TX8">
        <v>-2.4245362661989844E-14</v>
      </c>
      <c r="TY8" t="s">
        <v>1768</v>
      </c>
      <c r="TZ8">
        <v>2025</v>
      </c>
      <c r="UA8" t="s">
        <v>3766</v>
      </c>
      <c r="UB8" s="6">
        <v>45904</v>
      </c>
      <c r="UC8">
        <v>5</v>
      </c>
      <c r="UD8">
        <v>-2.4245362661989844E-14</v>
      </c>
      <c r="UE8">
        <v>69818423</v>
      </c>
      <c r="UF8" t="s">
        <v>3767</v>
      </c>
    </row>
    <row r="9" spans="1:600" x14ac:dyDescent="0.25">
      <c r="KO9" t="s">
        <v>4416</v>
      </c>
      <c r="KP9" t="s">
        <v>1777</v>
      </c>
      <c r="KQ9">
        <v>2.7688999999999998E-2</v>
      </c>
      <c r="KR9">
        <v>6.7176E-2</v>
      </c>
      <c r="KS9" t="s">
        <v>1773</v>
      </c>
      <c r="KT9">
        <v>2025</v>
      </c>
      <c r="KU9" t="s">
        <v>4417</v>
      </c>
      <c r="KV9" s="6">
        <v>45974</v>
      </c>
      <c r="KW9">
        <v>5</v>
      </c>
      <c r="KX9">
        <v>679247.66</v>
      </c>
      <c r="KY9">
        <v>193571</v>
      </c>
      <c r="KZ9" t="s">
        <v>4418</v>
      </c>
      <c r="LC9" t="s">
        <v>1864</v>
      </c>
      <c r="LD9">
        <v>4.4743999999999999E-2</v>
      </c>
      <c r="LE9" t="s">
        <v>1777</v>
      </c>
      <c r="LF9">
        <v>1.0747E-2</v>
      </c>
      <c r="LG9" t="s">
        <v>1781</v>
      </c>
      <c r="LH9">
        <v>2025</v>
      </c>
      <c r="LI9" t="s">
        <v>1865</v>
      </c>
      <c r="LJ9" s="6">
        <v>45820</v>
      </c>
      <c r="LK9">
        <v>5</v>
      </c>
      <c r="LL9">
        <v>438134</v>
      </c>
      <c r="LM9">
        <v>12129192</v>
      </c>
      <c r="LN9" t="s">
        <v>1866</v>
      </c>
      <c r="PE9" t="s">
        <v>3634</v>
      </c>
      <c r="PF9" t="s">
        <v>1808</v>
      </c>
      <c r="PG9">
        <v>0.777281</v>
      </c>
      <c r="PH9">
        <v>1.0723999999999999E-2</v>
      </c>
      <c r="PI9" t="s">
        <v>1789</v>
      </c>
      <c r="PJ9">
        <v>2024</v>
      </c>
      <c r="PK9" t="s">
        <v>3635</v>
      </c>
      <c r="PL9" s="6">
        <v>45694</v>
      </c>
      <c r="PM9">
        <v>5</v>
      </c>
      <c r="PN9">
        <v>1463750</v>
      </c>
      <c r="PO9">
        <v>106543</v>
      </c>
      <c r="PP9" t="s">
        <v>3636</v>
      </c>
      <c r="PS9" t="s">
        <v>3340</v>
      </c>
      <c r="PT9">
        <v>-2.4245362661989844E-14</v>
      </c>
      <c r="PV9">
        <v>-2.4245362661989844E-14</v>
      </c>
      <c r="PW9" t="s">
        <v>1789</v>
      </c>
      <c r="PX9">
        <v>2023</v>
      </c>
      <c r="PY9" t="s">
        <v>3341</v>
      </c>
      <c r="PZ9" s="6">
        <v>45175</v>
      </c>
      <c r="QA9">
        <v>5</v>
      </c>
      <c r="QB9">
        <v>-2.4245362661989844E-14</v>
      </c>
      <c r="QC9">
        <v>100555</v>
      </c>
      <c r="QD9" t="s">
        <v>3342</v>
      </c>
      <c r="TU9" t="s">
        <v>2076</v>
      </c>
      <c r="TW9">
        <v>-2.4245362661989844E-14</v>
      </c>
      <c r="TX9">
        <v>-2.4245362661989844E-14</v>
      </c>
      <c r="TY9" t="s">
        <v>1789</v>
      </c>
      <c r="TZ9">
        <v>2021</v>
      </c>
      <c r="UA9" t="s">
        <v>2077</v>
      </c>
      <c r="UB9" s="6">
        <v>44693</v>
      </c>
      <c r="UC9">
        <v>5</v>
      </c>
      <c r="UD9">
        <v>-2.4245362661989844E-14</v>
      </c>
      <c r="UE9">
        <v>100532</v>
      </c>
      <c r="UF9" t="s">
        <v>2078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1047</v>
      </c>
      <c r="AE2" s="3" t="s">
        <v>1048</v>
      </c>
      <c r="BI2" s="3" t="s">
        <v>1049</v>
      </c>
      <c r="CM2" s="3" t="s">
        <v>1050</v>
      </c>
      <c r="DQ2" s="3" t="s">
        <v>1051</v>
      </c>
      <c r="EU2" s="3" t="s">
        <v>1052</v>
      </c>
      <c r="FY2" s="3" t="s">
        <v>1053</v>
      </c>
      <c r="HC2" s="3" t="s">
        <v>1054</v>
      </c>
      <c r="IG2" s="3" t="s">
        <v>88</v>
      </c>
      <c r="JK2" s="3" t="s">
        <v>1055</v>
      </c>
      <c r="KO2" s="3" t="s">
        <v>504</v>
      </c>
      <c r="LS2" s="3" t="s">
        <v>1056</v>
      </c>
      <c r="MW2" s="3" t="s">
        <v>1057</v>
      </c>
      <c r="OA2" s="3" t="s">
        <v>1025</v>
      </c>
      <c r="PE2" s="3" t="s">
        <v>1058</v>
      </c>
      <c r="QI2" s="3" t="s">
        <v>1059</v>
      </c>
      <c r="RM2" s="3" t="s">
        <v>1060</v>
      </c>
      <c r="SQ2" s="3" t="s">
        <v>1061</v>
      </c>
      <c r="TU2" s="3" t="s">
        <v>1062</v>
      </c>
      <c r="UY2" s="3" t="s">
        <v>1063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_xll.BDS("HD US Equity","SUPPLY_CHAIN_SUPPLIERS_ALL_DATA","cols=12;rows=5")</f>
        <v>669 HK Equity</v>
      </c>
      <c r="B5" t="s">
        <v>1777</v>
      </c>
      <c r="C5">
        <v>44.370316000000003</v>
      </c>
      <c r="D5">
        <v>5.7634049999999997</v>
      </c>
      <c r="E5" t="s">
        <v>1768</v>
      </c>
      <c r="F5">
        <v>2025</v>
      </c>
      <c r="G5" t="s">
        <v>2997</v>
      </c>
      <c r="H5" s="6">
        <v>45957</v>
      </c>
      <c r="I5">
        <v>5</v>
      </c>
      <c r="J5">
        <v>1737781760</v>
      </c>
      <c r="K5">
        <v>116563</v>
      </c>
      <c r="L5" t="s">
        <v>2998</v>
      </c>
      <c r="O5" t="str">
        <f>_xll.BDS("HD US Equity","SUPPLY_CHAIN_CUSTOMERS_ALL_DATA","cols=12;rows=5")</f>
        <v>603201 CH Equity</v>
      </c>
      <c r="P5">
        <v>-2.4245362661989844E-14</v>
      </c>
      <c r="R5">
        <v>-2.4245362661989844E-14</v>
      </c>
      <c r="S5" t="s">
        <v>2183</v>
      </c>
      <c r="T5">
        <v>2025</v>
      </c>
      <c r="U5" t="s">
        <v>3404</v>
      </c>
      <c r="V5" s="6">
        <v>45894</v>
      </c>
      <c r="W5">
        <v>5</v>
      </c>
      <c r="X5">
        <v>-2.4245362661989844E-14</v>
      </c>
      <c r="Y5">
        <v>17992568</v>
      </c>
      <c r="Z5" t="s">
        <v>3405</v>
      </c>
      <c r="AE5" t="str">
        <f>_xll.BDS("2567699D US Equity","SUPPLY_CHAIN_SUPPLIERS_ALL_DATA")</f>
        <v>#N/A N/A</v>
      </c>
      <c r="AS5" t="str">
        <f>_xll.BDS("2567699D US Equity","SUPPLY_CHAIN_CUSTOMERS_ALL_DATA")</f>
        <v>#N/A N/A</v>
      </c>
      <c r="BI5" t="str">
        <f>_xll.BDS("1860560D US Equity","SUPPLY_CHAIN_SUPPLIERS_ALL_DATA")</f>
        <v>#N/A N/A</v>
      </c>
      <c r="BW5" t="str">
        <f>_xll.BDS("1860560D US Equity","SUPPLY_CHAIN_CUSTOMERS_ALL_DATA")</f>
        <v>#N/A N/A</v>
      </c>
      <c r="CM5" t="str">
        <f>_xll.BDS("STJ US Equity","SUPPLY_CHAIN_SUPPLIERS_ALL_DATA")</f>
        <v>#N/A N/A</v>
      </c>
      <c r="DA5" t="str">
        <f>_xll.BDS("STJ US Equity","SUPPLY_CHAIN_CUSTOMERS_ALL_DATA")</f>
        <v>#N/A N/A</v>
      </c>
      <c r="DQ5" t="str">
        <f>_xll.BDS("CHTRQ US Equity","SUPPLY_CHAIN_SUPPLIERS_ALL_DATA")</f>
        <v>#N/A N/A</v>
      </c>
      <c r="EE5" t="str">
        <f>_xll.BDS("CHTRQ US Equity","SUPPLY_CHAIN_CUSTOMERS_ALL_DATA")</f>
        <v>#N/A N/A</v>
      </c>
      <c r="EU5" t="str">
        <f>_xll.BDS("CGCP US Equity","SUPPLY_CHAIN_SUPPLIERS_ALL_DATA")</f>
        <v>#N/A N/A</v>
      </c>
      <c r="FI5" t="str">
        <f>_xll.BDS("CGCP US Equity","SUPPLY_CHAIN_CUSTOMERS_ALL_DATA")</f>
        <v>#N/A N/A</v>
      </c>
      <c r="FY5" t="str">
        <f>_xll.BDS("CBSH US Equity","SUPPLY_CHAIN_SUPPLIERS_ALL_DATA","cols=12;rows=2")</f>
        <v>TEMN SW Equity</v>
      </c>
      <c r="FZ5" t="s">
        <v>1777</v>
      </c>
      <c r="GA5">
        <v>3.8702E-2</v>
      </c>
      <c r="GB5">
        <v>4.0731000000000003E-2</v>
      </c>
      <c r="GC5" t="s">
        <v>1785</v>
      </c>
      <c r="GD5">
        <v>2024</v>
      </c>
      <c r="GE5" t="s">
        <v>1949</v>
      </c>
      <c r="GF5" s="6">
        <v>45709</v>
      </c>
      <c r="GG5">
        <v>2</v>
      </c>
      <c r="GH5">
        <v>96777</v>
      </c>
      <c r="GI5">
        <v>1713474</v>
      </c>
      <c r="GJ5" t="s">
        <v>1950</v>
      </c>
      <c r="GM5" t="str">
        <f>_xll.BDS("CBSH US Equity","SUPPLY_CHAIN_CUSTOMERS_ALL_DATA")</f>
        <v>#N/A N/A</v>
      </c>
      <c r="HC5" t="str">
        <f>_xll.BDS("MMSI US Equity","SUPPLY_CHAIN_SUPPLIERS_ALL_DATA","cols=12;rows=5")</f>
        <v>BRK/A US Equity</v>
      </c>
      <c r="HE5">
        <v>-2.4245362661989844E-14</v>
      </c>
      <c r="HF5">
        <v>-2.4245362661989844E-14</v>
      </c>
      <c r="HG5" t="s">
        <v>1789</v>
      </c>
      <c r="HH5">
        <v>2021</v>
      </c>
      <c r="HI5" t="s">
        <v>2069</v>
      </c>
      <c r="HJ5" s="6">
        <v>44693</v>
      </c>
      <c r="HK5">
        <v>5</v>
      </c>
      <c r="HL5">
        <v>-2.4245362661989844E-14</v>
      </c>
      <c r="HM5">
        <v>100193</v>
      </c>
      <c r="HN5" t="s">
        <v>2070</v>
      </c>
      <c r="HQ5" t="str">
        <f>_xll.BDS("MMSI US Equity","SUPPLY_CHAIN_CUSTOMERS_ALL_DATA","cols=12;rows=2")</f>
        <v>4203 JP Equity</v>
      </c>
      <c r="HR5">
        <v>-2.4245362661989844E-14</v>
      </c>
      <c r="HT5">
        <v>-2.4245362661989844E-14</v>
      </c>
      <c r="HU5" t="s">
        <v>1789</v>
      </c>
      <c r="HV5">
        <v>2022</v>
      </c>
      <c r="HW5" t="s">
        <v>2064</v>
      </c>
      <c r="HX5" s="6">
        <v>44981</v>
      </c>
      <c r="HY5">
        <v>2</v>
      </c>
      <c r="HZ5">
        <v>-2.4245362661989844E-14</v>
      </c>
      <c r="IA5">
        <v>114799</v>
      </c>
      <c r="IB5" t="s">
        <v>2065</v>
      </c>
      <c r="IG5" t="str">
        <f>_xll.BDS("CBU US Equity","SUPPLY_CHAIN_SUPPLIERS_ALL_DATA")</f>
        <v>#N/A N/A</v>
      </c>
      <c r="IU5" t="str">
        <f>_xll.BDS("CBU US Equity","SUPPLY_CHAIN_CUSTOMERS_ALL_DATA")</f>
        <v>#N/A N/A</v>
      </c>
      <c r="JK5" t="str">
        <f>_xll.BDS("2258717D US Equity","SUPPLY_CHAIN_SUPPLIERS_ALL_DATA")</f>
        <v>#N/A N/A</v>
      </c>
      <c r="JY5" t="str">
        <f>_xll.BDS("2258717D US Equity","SUPPLY_CHAIN_CUSTOMERS_ALL_DATA")</f>
        <v>#N/A N/A</v>
      </c>
      <c r="KO5" t="str">
        <f>_xll.BDS("PSTB US Equity","SUPPLY_CHAIN_SUPPLIERS_ALL_DATA")</f>
        <v>#N/A N/A</v>
      </c>
      <c r="LC5" t="str">
        <f>_xll.BDS("PSTB US Equity","SUPPLY_CHAIN_CUSTOMERS_ALL_DATA")</f>
        <v>#N/A N/A</v>
      </c>
      <c r="LS5" t="str">
        <f>_xll.BDS("ZBRA US Equity","SUPPLY_CHAIN_SUPPLIERS_ALL_DATA","cols=12;rows=5")</f>
        <v>JBL US Equity</v>
      </c>
      <c r="LT5" t="s">
        <v>1777</v>
      </c>
      <c r="LU5">
        <v>0.18775800000000001</v>
      </c>
      <c r="LV5">
        <v>2.216847</v>
      </c>
      <c r="LW5" t="s">
        <v>1773</v>
      </c>
      <c r="LX5">
        <v>2025</v>
      </c>
      <c r="LY5" t="s">
        <v>2424</v>
      </c>
      <c r="LZ5" s="6">
        <v>45867</v>
      </c>
      <c r="MA5">
        <v>5</v>
      </c>
      <c r="MB5">
        <v>14697696</v>
      </c>
      <c r="MC5">
        <v>117092</v>
      </c>
      <c r="MD5" t="s">
        <v>2425</v>
      </c>
      <c r="MG5" t="str">
        <f>_xll.BDS("ZBRA US Equity","SUPPLY_CHAIN_CUSTOMERS_ALL_DATA","cols=12;rows=5")</f>
        <v>SCSC US Equity</v>
      </c>
      <c r="MH5">
        <v>14.4</v>
      </c>
      <c r="MI5" t="s">
        <v>1777</v>
      </c>
      <c r="MJ5">
        <v>29.74663</v>
      </c>
      <c r="MK5" t="s">
        <v>1785</v>
      </c>
      <c r="ML5">
        <v>2024</v>
      </c>
      <c r="MM5" t="s">
        <v>2902</v>
      </c>
      <c r="MN5" s="6">
        <v>45769</v>
      </c>
      <c r="MO5">
        <v>5</v>
      </c>
      <c r="MP5">
        <v>192096000</v>
      </c>
      <c r="MQ5">
        <v>136424</v>
      </c>
      <c r="MR5" t="s">
        <v>2903</v>
      </c>
      <c r="MW5" t="str">
        <f>_xll.BDS("HBEK US Equity","SUPPLY_CHAIN_SUPPLIERS_ALL_DATA")</f>
        <v>#N/A N/A</v>
      </c>
      <c r="NK5" t="str">
        <f>_xll.BDS("HBEK US Equity","SUPPLY_CHAIN_CUSTOMERS_ALL_DATA")</f>
        <v>#N/A N/A</v>
      </c>
      <c r="OA5" t="str">
        <f>_xll.BDS("CLGX US Equity","SUPPLY_CHAIN_SUPPLIERS_ALL_DATA","cols=12;rows=1")</f>
        <v>5331Z US Equity</v>
      </c>
      <c r="OC5">
        <v>-2.4245362661989844E-14</v>
      </c>
      <c r="OD5">
        <v>-2.4245362661989844E-14</v>
      </c>
      <c r="OE5" t="s">
        <v>1789</v>
      </c>
      <c r="OF5">
        <v>2024</v>
      </c>
      <c r="OG5" t="s">
        <v>2418</v>
      </c>
      <c r="OH5" s="6">
        <v>45404</v>
      </c>
      <c r="OI5">
        <v>1</v>
      </c>
      <c r="OJ5">
        <v>-2.4245362661989844E-14</v>
      </c>
      <c r="OK5">
        <v>191969</v>
      </c>
      <c r="OL5" t="s">
        <v>2419</v>
      </c>
      <c r="OO5" t="str">
        <f>_xll.BDS("CLGX US Equity","SUPPLY_CHAIN_CUSTOMERS_ALL_DATA")</f>
        <v>#N/A N/A</v>
      </c>
      <c r="PE5" t="str">
        <f>_xll.BDS("0852602D US Equity","SUPPLY_CHAIN_SUPPLIERS_ALL_DATA")</f>
        <v>#N/A N/A</v>
      </c>
      <c r="PS5" t="str">
        <f>_xll.BDS("0852602D US Equity","SUPPLY_CHAIN_CUSTOMERS_ALL_DATA")</f>
        <v>#N/A N/A</v>
      </c>
      <c r="QI5" t="str">
        <f>_xll.BDS("HAIN US Equity","SUPPLY_CHAIN_SUPPLIERS_ALL_DATA","cols=12;rows=5")</f>
        <v>KDP US Equity</v>
      </c>
      <c r="QJ5" t="s">
        <v>1777</v>
      </c>
      <c r="QK5">
        <v>9.7248000000000001E-2</v>
      </c>
      <c r="QL5">
        <v>1.220845</v>
      </c>
      <c r="QM5" t="s">
        <v>1768</v>
      </c>
      <c r="QN5">
        <v>2025</v>
      </c>
      <c r="QO5" t="s">
        <v>2050</v>
      </c>
      <c r="QP5" s="6">
        <v>45908</v>
      </c>
      <c r="QQ5">
        <v>5</v>
      </c>
      <c r="QR5">
        <v>3732135</v>
      </c>
      <c r="QS5">
        <v>12271051</v>
      </c>
      <c r="QT5" t="s">
        <v>2051</v>
      </c>
      <c r="QW5" t="str">
        <f>_xll.BDS("HAIN US Equity","SUPPLY_CHAIN_CUSTOMERS_ALL_DATA","cols=12;rows=5")</f>
        <v>WMT US Equity</v>
      </c>
      <c r="QX5">
        <v>18</v>
      </c>
      <c r="QY5" t="s">
        <v>1777</v>
      </c>
      <c r="QZ5">
        <v>5.3932000000000001E-2</v>
      </c>
      <c r="RA5" t="s">
        <v>1789</v>
      </c>
      <c r="RB5">
        <v>2025</v>
      </c>
      <c r="RC5" t="s">
        <v>1875</v>
      </c>
      <c r="RD5" s="6">
        <v>45915</v>
      </c>
      <c r="RE5">
        <v>5</v>
      </c>
      <c r="RF5">
        <v>70190096</v>
      </c>
      <c r="RG5">
        <v>101616</v>
      </c>
      <c r="RH5" t="s">
        <v>1803</v>
      </c>
      <c r="RM5" t="str">
        <f>_xll.BDS("2649Q US Equity","SUPPLY_CHAIN_SUPPLIERS_ALL_DATA")</f>
        <v>#N/A N/A</v>
      </c>
      <c r="SA5" t="str">
        <f>_xll.BDS("2649Q US Equity","SUPPLY_CHAIN_CUSTOMERS_ALL_DATA")</f>
        <v>#N/A N/A</v>
      </c>
      <c r="SQ5" t="str">
        <f>_xll.BDS("MYGN US Equity","SUPPLY_CHAIN_SUPPLIERS_ALL_DATA","cols=12;rows=5")</f>
        <v>ILMN US Equity</v>
      </c>
      <c r="SR5" t="s">
        <v>1777</v>
      </c>
      <c r="SS5">
        <v>1.5684E-2</v>
      </c>
      <c r="ST5">
        <v>0.27095200000000003</v>
      </c>
      <c r="SU5" t="s">
        <v>1768</v>
      </c>
      <c r="SV5">
        <v>2025</v>
      </c>
      <c r="SW5" t="s">
        <v>3664</v>
      </c>
      <c r="SX5" s="6">
        <v>45899</v>
      </c>
      <c r="SY5">
        <v>5</v>
      </c>
      <c r="SZ5">
        <v>166094</v>
      </c>
      <c r="TA5">
        <v>393051</v>
      </c>
      <c r="TB5" t="s">
        <v>3665</v>
      </c>
      <c r="TE5" t="str">
        <f>_xll.BDS("MYGN US Equity","SUPPLY_CHAIN_CUSTOMERS_ALL_DATA","cols=12;rows=4")</f>
        <v>9877893Z US Equity</v>
      </c>
      <c r="TF5">
        <v>12</v>
      </c>
      <c r="TH5">
        <v>-2.4245362661989844E-14</v>
      </c>
      <c r="TI5" t="s">
        <v>1789</v>
      </c>
      <c r="TJ5">
        <v>2024</v>
      </c>
      <c r="TK5" t="s">
        <v>3243</v>
      </c>
      <c r="TL5" s="6">
        <v>45716</v>
      </c>
      <c r="TM5">
        <v>4</v>
      </c>
      <c r="TN5">
        <v>25128000</v>
      </c>
      <c r="TO5">
        <v>17483390</v>
      </c>
      <c r="TP5" t="s">
        <v>1796</v>
      </c>
      <c r="TU5" t="str">
        <f>_xll.BDS("SPPI US Equity","SUPPLY_CHAIN_SUPPLIERS_ALL_DATA","cols=12;rows=5")</f>
        <v>0031457D US Equity</v>
      </c>
      <c r="TW5">
        <v>-2.4245362661989844E-14</v>
      </c>
      <c r="TX5">
        <v>-2.4245362661989844E-14</v>
      </c>
      <c r="TY5" t="s">
        <v>1781</v>
      </c>
      <c r="TZ5">
        <v>2023</v>
      </c>
      <c r="UA5" t="s">
        <v>3768</v>
      </c>
      <c r="UB5" s="6">
        <v>45057</v>
      </c>
      <c r="UC5">
        <v>5</v>
      </c>
      <c r="UD5">
        <v>-2.4245362661989844E-14</v>
      </c>
      <c r="UE5">
        <v>934951</v>
      </c>
      <c r="UF5" t="s">
        <v>3667</v>
      </c>
      <c r="UI5" t="str">
        <f>_xll.BDS("SPPI US Equity","SUPPLY_CHAIN_CUSTOMERS_ALL_DATA","cols=12;rows=3")</f>
        <v>4272 JP Equity</v>
      </c>
      <c r="UJ5">
        <v>-2.4245362661989844E-14</v>
      </c>
      <c r="UL5">
        <v>-2.4245362661989844E-14</v>
      </c>
      <c r="UM5" t="s">
        <v>1789</v>
      </c>
      <c r="UN5">
        <v>2023</v>
      </c>
      <c r="UO5" t="s">
        <v>3565</v>
      </c>
      <c r="UP5" s="6">
        <v>45105</v>
      </c>
      <c r="UQ5">
        <v>3</v>
      </c>
      <c r="UR5">
        <v>-2.4245362661989844E-14</v>
      </c>
      <c r="US5">
        <v>114368</v>
      </c>
      <c r="UT5" t="s">
        <v>2068</v>
      </c>
      <c r="UY5" t="str">
        <f>_xll.BDS("IXX US Equity","SUPPLY_CHAIN_SUPPLIERS_ALL_DATA")</f>
        <v>#N/A N/A</v>
      </c>
      <c r="VM5" t="str">
        <f>_xll.BDS("IXX US Equity","SUPPLY_CHAIN_CUSTOMERS_ALL_DATA")</f>
        <v>#N/A N/A</v>
      </c>
    </row>
    <row r="6" spans="1:600" x14ac:dyDescent="0.25">
      <c r="A6" t="s">
        <v>3610</v>
      </c>
      <c r="B6" t="s">
        <v>1777</v>
      </c>
      <c r="C6">
        <v>38.349643999999998</v>
      </c>
      <c r="D6">
        <v>2.6183679999999998</v>
      </c>
      <c r="E6" t="s">
        <v>1789</v>
      </c>
      <c r="F6">
        <v>2025</v>
      </c>
      <c r="G6" t="s">
        <v>3611</v>
      </c>
      <c r="H6" s="6">
        <v>46063</v>
      </c>
      <c r="I6">
        <v>5</v>
      </c>
      <c r="J6">
        <v>725000000</v>
      </c>
      <c r="K6">
        <v>100948</v>
      </c>
      <c r="L6" t="s">
        <v>3612</v>
      </c>
      <c r="O6" t="s">
        <v>1839</v>
      </c>
      <c r="P6">
        <v>-2.4245362661989844E-14</v>
      </c>
      <c r="R6">
        <v>-2.4245362661989844E-14</v>
      </c>
      <c r="S6" t="s">
        <v>2183</v>
      </c>
      <c r="T6">
        <v>2025</v>
      </c>
      <c r="U6" t="s">
        <v>3406</v>
      </c>
      <c r="V6" s="6">
        <v>45884</v>
      </c>
      <c r="W6">
        <v>5</v>
      </c>
      <c r="X6">
        <v>-2.4245362661989844E-14</v>
      </c>
      <c r="Y6">
        <v>64444291</v>
      </c>
      <c r="Z6" t="s">
        <v>1841</v>
      </c>
      <c r="FY6" t="s">
        <v>4449</v>
      </c>
      <c r="GA6">
        <v>-2.4245362661989844E-14</v>
      </c>
      <c r="GB6">
        <v>-2.4245362661989844E-14</v>
      </c>
      <c r="GC6" t="s">
        <v>1781</v>
      </c>
      <c r="GD6">
        <v>2022</v>
      </c>
      <c r="GE6" t="s">
        <v>4450</v>
      </c>
      <c r="GF6" s="6">
        <v>44679</v>
      </c>
      <c r="GG6">
        <v>2</v>
      </c>
      <c r="GH6">
        <v>-2.4245362661989844E-14</v>
      </c>
      <c r="GI6">
        <v>9301239</v>
      </c>
      <c r="GJ6" t="s">
        <v>4451</v>
      </c>
      <c r="HC6" t="s">
        <v>925</v>
      </c>
      <c r="HE6">
        <v>-2.4245362661989844E-14</v>
      </c>
      <c r="HF6">
        <v>-2.4245362661989844E-14</v>
      </c>
      <c r="HG6" t="s">
        <v>1789</v>
      </c>
      <c r="HH6">
        <v>2021</v>
      </c>
      <c r="HI6" t="s">
        <v>2071</v>
      </c>
      <c r="HJ6" s="6">
        <v>44693</v>
      </c>
      <c r="HK6">
        <v>5</v>
      </c>
      <c r="HL6">
        <v>-2.4245362661989844E-14</v>
      </c>
      <c r="HM6">
        <v>100760</v>
      </c>
      <c r="HN6" t="s">
        <v>2072</v>
      </c>
      <c r="HQ6" t="s">
        <v>2066</v>
      </c>
      <c r="HR6">
        <v>-2.4245362661989844E-14</v>
      </c>
      <c r="HT6">
        <v>-2.4245362661989844E-14</v>
      </c>
      <c r="HU6" t="s">
        <v>1789</v>
      </c>
      <c r="HV6">
        <v>2022</v>
      </c>
      <c r="HW6" t="s">
        <v>2067</v>
      </c>
      <c r="HX6" s="6">
        <v>44740</v>
      </c>
      <c r="HY6">
        <v>2</v>
      </c>
      <c r="HZ6">
        <v>-2.4245362661989844E-14</v>
      </c>
      <c r="IA6">
        <v>114368</v>
      </c>
      <c r="IB6" t="s">
        <v>2068</v>
      </c>
      <c r="LS6" t="s">
        <v>3081</v>
      </c>
      <c r="LT6" t="s">
        <v>1808</v>
      </c>
      <c r="LU6">
        <v>0.113637</v>
      </c>
      <c r="LV6">
        <v>3.1113460000000002</v>
      </c>
      <c r="LW6" t="s">
        <v>1785</v>
      </c>
      <c r="LX6">
        <v>2025</v>
      </c>
      <c r="LY6" t="s">
        <v>3082</v>
      </c>
      <c r="LZ6" s="6">
        <v>45827</v>
      </c>
      <c r="MA6">
        <v>5</v>
      </c>
      <c r="MB6">
        <v>8461554.5099999998</v>
      </c>
      <c r="MC6">
        <v>7259059</v>
      </c>
      <c r="MD6" t="s">
        <v>3083</v>
      </c>
      <c r="MG6" t="s">
        <v>1902</v>
      </c>
      <c r="MH6">
        <v>4.6830579999999999</v>
      </c>
      <c r="MI6" t="s">
        <v>1777</v>
      </c>
      <c r="MJ6">
        <v>0.46160299999999999</v>
      </c>
      <c r="MK6" t="s">
        <v>1785</v>
      </c>
      <c r="ML6">
        <v>2024</v>
      </c>
      <c r="MM6" t="s">
        <v>2902</v>
      </c>
      <c r="MN6" s="6">
        <v>45769</v>
      </c>
      <c r="MO6">
        <v>5</v>
      </c>
      <c r="MP6">
        <v>62471992</v>
      </c>
      <c r="MQ6">
        <v>1499717</v>
      </c>
      <c r="MR6" t="s">
        <v>1904</v>
      </c>
      <c r="QI6" t="s">
        <v>2052</v>
      </c>
      <c r="QJ6" t="s">
        <v>1777</v>
      </c>
      <c r="QK6">
        <v>2.9522E-2</v>
      </c>
      <c r="QL6">
        <v>0.77918900000000002</v>
      </c>
      <c r="QM6" t="s">
        <v>1785</v>
      </c>
      <c r="QN6">
        <v>2024</v>
      </c>
      <c r="QO6" t="s">
        <v>2053</v>
      </c>
      <c r="QP6" s="6">
        <v>45723</v>
      </c>
      <c r="QQ6">
        <v>5</v>
      </c>
      <c r="QR6">
        <v>2727265.79</v>
      </c>
      <c r="QS6">
        <v>193359</v>
      </c>
      <c r="QT6" t="s">
        <v>2054</v>
      </c>
      <c r="QW6" t="s">
        <v>1876</v>
      </c>
      <c r="QX6">
        <v>4.1230320000000003</v>
      </c>
      <c r="QY6" t="s">
        <v>1777</v>
      </c>
      <c r="QZ6">
        <v>8.7944999999999995E-2</v>
      </c>
      <c r="RA6" t="s">
        <v>1781</v>
      </c>
      <c r="RB6">
        <v>2026</v>
      </c>
      <c r="RC6" t="s">
        <v>1877</v>
      </c>
      <c r="RD6" s="6">
        <v>45979</v>
      </c>
      <c r="RE6">
        <v>5</v>
      </c>
      <c r="RF6">
        <v>15167934</v>
      </c>
      <c r="RG6">
        <v>101433</v>
      </c>
      <c r="RH6" t="s">
        <v>1878</v>
      </c>
      <c r="SQ6" t="s">
        <v>3666</v>
      </c>
      <c r="SS6">
        <v>-2.4245362661989844E-14</v>
      </c>
      <c r="ST6">
        <v>-2.4245362661989844E-14</v>
      </c>
      <c r="SU6" t="s">
        <v>1789</v>
      </c>
      <c r="SV6">
        <v>2024</v>
      </c>
      <c r="SW6" t="s">
        <v>3243</v>
      </c>
      <c r="SX6" s="6">
        <v>45716</v>
      </c>
      <c r="SY6">
        <v>5</v>
      </c>
      <c r="SZ6">
        <v>-2.4245362661989844E-14</v>
      </c>
      <c r="TA6">
        <v>934951</v>
      </c>
      <c r="TB6" t="s">
        <v>3667</v>
      </c>
      <c r="TE6" t="s">
        <v>3244</v>
      </c>
      <c r="TF6">
        <v>-2.4245362661989844E-14</v>
      </c>
      <c r="TH6">
        <v>-2.4245362661989844E-14</v>
      </c>
      <c r="TI6" t="s">
        <v>1789</v>
      </c>
      <c r="TJ6">
        <v>2022</v>
      </c>
      <c r="TK6" t="s">
        <v>3245</v>
      </c>
      <c r="TL6" s="6">
        <v>45093</v>
      </c>
      <c r="TM6">
        <v>4</v>
      </c>
      <c r="TN6">
        <v>-2.4245362661989844E-14</v>
      </c>
      <c r="TO6">
        <v>48919791</v>
      </c>
      <c r="TP6" t="s">
        <v>3246</v>
      </c>
      <c r="TU6" t="s">
        <v>3769</v>
      </c>
      <c r="TW6">
        <v>-2.4245362661989844E-14</v>
      </c>
      <c r="TX6">
        <v>-2.4245362661989844E-14</v>
      </c>
      <c r="TY6" t="s">
        <v>1768</v>
      </c>
      <c r="TZ6">
        <v>2022</v>
      </c>
      <c r="UA6" t="s">
        <v>3770</v>
      </c>
      <c r="UB6" s="6">
        <v>44785</v>
      </c>
      <c r="UC6">
        <v>5</v>
      </c>
      <c r="UD6">
        <v>-2.4245362661989844E-14</v>
      </c>
      <c r="UE6">
        <v>17277872</v>
      </c>
      <c r="UF6" t="s">
        <v>3771</v>
      </c>
      <c r="UI6" t="s">
        <v>3566</v>
      </c>
      <c r="UJ6">
        <v>-2.4245362661989844E-14</v>
      </c>
      <c r="UL6">
        <v>-2.4245362661989844E-14</v>
      </c>
      <c r="UM6" t="s">
        <v>1789</v>
      </c>
      <c r="UN6">
        <v>2021</v>
      </c>
      <c r="UO6" t="s">
        <v>3567</v>
      </c>
      <c r="UP6" s="6">
        <v>44648</v>
      </c>
      <c r="UQ6">
        <v>3</v>
      </c>
      <c r="UR6">
        <v>-2.4245362661989844E-14</v>
      </c>
      <c r="US6">
        <v>70886497</v>
      </c>
      <c r="UT6" t="s">
        <v>3568</v>
      </c>
    </row>
    <row r="7" spans="1:600" x14ac:dyDescent="0.25">
      <c r="A7" t="s">
        <v>1727</v>
      </c>
      <c r="B7" t="s">
        <v>1777</v>
      </c>
      <c r="C7">
        <v>15</v>
      </c>
      <c r="D7">
        <v>2.066656</v>
      </c>
      <c r="E7" t="s">
        <v>1789</v>
      </c>
      <c r="F7">
        <v>2025</v>
      </c>
      <c r="G7" t="s">
        <v>2845</v>
      </c>
      <c r="H7" s="6">
        <v>46077</v>
      </c>
      <c r="I7">
        <v>5</v>
      </c>
      <c r="J7">
        <v>567390016</v>
      </c>
      <c r="K7">
        <v>101397</v>
      </c>
      <c r="L7" t="s">
        <v>2368</v>
      </c>
      <c r="O7" t="s">
        <v>3407</v>
      </c>
      <c r="P7">
        <v>-2.4245362661989844E-14</v>
      </c>
      <c r="R7">
        <v>-2.4245362661989844E-14</v>
      </c>
      <c r="S7" t="s">
        <v>1894</v>
      </c>
      <c r="T7">
        <v>2025</v>
      </c>
      <c r="U7" t="s">
        <v>3408</v>
      </c>
      <c r="V7" s="6">
        <v>45968</v>
      </c>
      <c r="W7">
        <v>5</v>
      </c>
      <c r="X7">
        <v>-2.4245362661989844E-14</v>
      </c>
      <c r="Y7">
        <v>197082</v>
      </c>
      <c r="Z7" t="s">
        <v>3409</v>
      </c>
      <c r="HC7" t="s">
        <v>2073</v>
      </c>
      <c r="HE7">
        <v>-2.4245362661989844E-14</v>
      </c>
      <c r="HF7">
        <v>-2.4245362661989844E-14</v>
      </c>
      <c r="HG7" t="s">
        <v>1789</v>
      </c>
      <c r="HH7">
        <v>2021</v>
      </c>
      <c r="HI7" t="s">
        <v>2074</v>
      </c>
      <c r="HJ7" s="6">
        <v>44693</v>
      </c>
      <c r="HK7">
        <v>5</v>
      </c>
      <c r="HL7">
        <v>-2.4245362661989844E-14</v>
      </c>
      <c r="HM7">
        <v>100466</v>
      </c>
      <c r="HN7" t="s">
        <v>2075</v>
      </c>
      <c r="LS7" t="s">
        <v>3084</v>
      </c>
      <c r="LT7" t="s">
        <v>1777</v>
      </c>
      <c r="LU7">
        <v>0.22129099999999999</v>
      </c>
      <c r="LV7">
        <v>0.42729499999999998</v>
      </c>
      <c r="LW7" t="s">
        <v>1781</v>
      </c>
      <c r="LX7">
        <v>2025</v>
      </c>
      <c r="LY7" t="s">
        <v>3085</v>
      </c>
      <c r="LZ7" s="6">
        <v>45847</v>
      </c>
      <c r="MA7">
        <v>5</v>
      </c>
      <c r="MB7">
        <v>2832967</v>
      </c>
      <c r="MC7">
        <v>929589</v>
      </c>
      <c r="MD7" t="s">
        <v>3086</v>
      </c>
      <c r="MG7" t="s">
        <v>1864</v>
      </c>
      <c r="MH7">
        <v>2.2377220000000002</v>
      </c>
      <c r="MI7" t="s">
        <v>1777</v>
      </c>
      <c r="MJ7">
        <v>0.74059600000000003</v>
      </c>
      <c r="MK7" t="s">
        <v>1785</v>
      </c>
      <c r="ML7">
        <v>2024</v>
      </c>
      <c r="MM7" t="s">
        <v>2902</v>
      </c>
      <c r="MN7" s="6">
        <v>45769</v>
      </c>
      <c r="MO7">
        <v>5</v>
      </c>
      <c r="MP7">
        <v>29851212</v>
      </c>
      <c r="MQ7">
        <v>12129192</v>
      </c>
      <c r="MR7" t="s">
        <v>1866</v>
      </c>
      <c r="QI7" t="s">
        <v>2055</v>
      </c>
      <c r="QJ7" t="s">
        <v>1777</v>
      </c>
      <c r="QK7">
        <v>9.2974000000000001E-2</v>
      </c>
      <c r="QL7">
        <v>6.1322000000000002E-2</v>
      </c>
      <c r="QM7" t="s">
        <v>1781</v>
      </c>
      <c r="QN7">
        <v>2025</v>
      </c>
      <c r="QO7" t="s">
        <v>2056</v>
      </c>
      <c r="QP7" s="6">
        <v>45846</v>
      </c>
      <c r="QQ7">
        <v>5</v>
      </c>
      <c r="QR7">
        <v>187462</v>
      </c>
      <c r="QS7">
        <v>107051</v>
      </c>
      <c r="QT7" t="s">
        <v>2057</v>
      </c>
      <c r="QW7" t="s">
        <v>1879</v>
      </c>
      <c r="QX7">
        <v>3.278454</v>
      </c>
      <c r="QY7" t="s">
        <v>1777</v>
      </c>
      <c r="QZ7">
        <v>0.18093100000000001</v>
      </c>
      <c r="RA7" t="s">
        <v>1781</v>
      </c>
      <c r="RB7">
        <v>2026</v>
      </c>
      <c r="RC7" t="s">
        <v>1877</v>
      </c>
      <c r="RD7" s="6">
        <v>45979</v>
      </c>
      <c r="RE7">
        <v>5</v>
      </c>
      <c r="RF7">
        <v>12060875</v>
      </c>
      <c r="RG7">
        <v>194534</v>
      </c>
      <c r="RH7" t="s">
        <v>1880</v>
      </c>
      <c r="SQ7" t="s">
        <v>3668</v>
      </c>
      <c r="SS7">
        <v>-2.4245362661989844E-14</v>
      </c>
      <c r="ST7">
        <v>-2.4245362661989844E-14</v>
      </c>
      <c r="SU7" t="s">
        <v>1789</v>
      </c>
      <c r="SV7">
        <v>2024</v>
      </c>
      <c r="SW7" t="s">
        <v>3243</v>
      </c>
      <c r="SX7" s="6">
        <v>45716</v>
      </c>
      <c r="SY7">
        <v>5</v>
      </c>
      <c r="SZ7">
        <v>-2.4245362661989844E-14</v>
      </c>
      <c r="TA7">
        <v>30180453</v>
      </c>
      <c r="TB7" t="s">
        <v>3669</v>
      </c>
      <c r="TE7" t="s">
        <v>3247</v>
      </c>
      <c r="TF7">
        <v>-2.4245362661989844E-14</v>
      </c>
      <c r="TH7">
        <v>-2.4245362661989844E-14</v>
      </c>
      <c r="TI7" t="s">
        <v>1789</v>
      </c>
      <c r="TJ7">
        <v>2024</v>
      </c>
      <c r="TK7" t="s">
        <v>3248</v>
      </c>
      <c r="TL7" s="6">
        <v>45565</v>
      </c>
      <c r="TM7">
        <v>4</v>
      </c>
      <c r="TN7">
        <v>-2.4245362661989844E-14</v>
      </c>
      <c r="TO7">
        <v>152641</v>
      </c>
      <c r="TP7" t="s">
        <v>3249</v>
      </c>
      <c r="TU7" t="s">
        <v>3772</v>
      </c>
      <c r="TW7">
        <v>-2.4245362661989844E-14</v>
      </c>
      <c r="TX7">
        <v>-2.4245362661989844E-14</v>
      </c>
      <c r="TY7" t="s">
        <v>3592</v>
      </c>
      <c r="TZ7">
        <v>2023</v>
      </c>
      <c r="UA7" t="s">
        <v>3773</v>
      </c>
      <c r="UB7" s="6">
        <v>45061</v>
      </c>
      <c r="UC7">
        <v>5</v>
      </c>
      <c r="UD7">
        <v>-2.4245362661989844E-14</v>
      </c>
      <c r="UE7">
        <v>18488695</v>
      </c>
      <c r="UF7" t="s">
        <v>3774</v>
      </c>
      <c r="UI7" t="s">
        <v>3569</v>
      </c>
      <c r="UJ7">
        <v>-2.4245362661989844E-14</v>
      </c>
      <c r="UL7">
        <v>-2.4245362661989844E-14</v>
      </c>
      <c r="UM7" t="s">
        <v>1789</v>
      </c>
      <c r="UN7">
        <v>2022</v>
      </c>
      <c r="UO7" t="s">
        <v>3570</v>
      </c>
      <c r="UP7" s="6">
        <v>44987</v>
      </c>
      <c r="UQ7">
        <v>3</v>
      </c>
      <c r="UR7">
        <v>-2.4245362661989844E-14</v>
      </c>
      <c r="US7">
        <v>102753</v>
      </c>
      <c r="UT7" t="s">
        <v>3571</v>
      </c>
    </row>
    <row r="8" spans="1:600" x14ac:dyDescent="0.25">
      <c r="A8" t="s">
        <v>1958</v>
      </c>
      <c r="B8" t="s">
        <v>1777</v>
      </c>
      <c r="C8">
        <v>2.6082209999999999</v>
      </c>
      <c r="D8">
        <v>1.4772909999999999</v>
      </c>
      <c r="E8" t="s">
        <v>1773</v>
      </c>
      <c r="F8">
        <v>2025</v>
      </c>
      <c r="G8" t="s">
        <v>1959</v>
      </c>
      <c r="H8" s="6">
        <v>46014</v>
      </c>
      <c r="I8">
        <v>5</v>
      </c>
      <c r="J8">
        <v>411563475.94999999</v>
      </c>
      <c r="K8">
        <v>7583418</v>
      </c>
      <c r="L8" t="s">
        <v>1960</v>
      </c>
      <c r="O8" t="s">
        <v>3410</v>
      </c>
      <c r="P8">
        <v>-2.4245362661989844E-14</v>
      </c>
      <c r="R8">
        <v>-2.4245362661989844E-14</v>
      </c>
      <c r="S8" t="s">
        <v>1781</v>
      </c>
      <c r="T8">
        <v>2024</v>
      </c>
      <c r="U8" t="s">
        <v>3411</v>
      </c>
      <c r="V8" s="6">
        <v>45090</v>
      </c>
      <c r="W8">
        <v>5</v>
      </c>
      <c r="X8">
        <v>-2.4245362661989844E-14</v>
      </c>
      <c r="Y8">
        <v>302751</v>
      </c>
      <c r="Z8" t="s">
        <v>3412</v>
      </c>
      <c r="HC8" t="s">
        <v>2076</v>
      </c>
      <c r="HE8">
        <v>-2.4245362661989844E-14</v>
      </c>
      <c r="HF8">
        <v>-2.4245362661989844E-14</v>
      </c>
      <c r="HG8" t="s">
        <v>1789</v>
      </c>
      <c r="HH8">
        <v>2021</v>
      </c>
      <c r="HI8" t="s">
        <v>2077</v>
      </c>
      <c r="HJ8" s="6">
        <v>44693</v>
      </c>
      <c r="HK8">
        <v>5</v>
      </c>
      <c r="HL8">
        <v>-2.4245362661989844E-14</v>
      </c>
      <c r="HM8">
        <v>100532</v>
      </c>
      <c r="HN8" t="s">
        <v>2078</v>
      </c>
      <c r="LS8" t="s">
        <v>3087</v>
      </c>
      <c r="LT8" t="s">
        <v>1777</v>
      </c>
      <c r="LU8">
        <v>6.0551000000000001E-2</v>
      </c>
      <c r="LV8">
        <v>0.28006999999999999</v>
      </c>
      <c r="LW8" t="s">
        <v>1773</v>
      </c>
      <c r="LX8">
        <v>2025</v>
      </c>
      <c r="LY8" t="s">
        <v>3088</v>
      </c>
      <c r="LZ8" s="6">
        <v>45959</v>
      </c>
      <c r="MA8">
        <v>5</v>
      </c>
      <c r="MB8">
        <v>1921283</v>
      </c>
      <c r="MC8">
        <v>11109358</v>
      </c>
      <c r="MD8" t="s">
        <v>3089</v>
      </c>
      <c r="MG8" t="s">
        <v>397</v>
      </c>
      <c r="MH8">
        <v>2.0533790000000001</v>
      </c>
      <c r="MI8" t="s">
        <v>1777</v>
      </c>
      <c r="MJ8">
        <v>0.35072900000000001</v>
      </c>
      <c r="MK8" t="s">
        <v>1773</v>
      </c>
      <c r="ML8">
        <v>2025</v>
      </c>
      <c r="MM8" t="s">
        <v>2904</v>
      </c>
      <c r="MN8" s="6">
        <v>45904</v>
      </c>
      <c r="MO8">
        <v>5</v>
      </c>
      <c r="MP8">
        <v>26550184</v>
      </c>
      <c r="MQ8">
        <v>100438</v>
      </c>
      <c r="MR8" t="s">
        <v>2905</v>
      </c>
      <c r="QI8" t="s">
        <v>2058</v>
      </c>
      <c r="QJ8" t="s">
        <v>1777</v>
      </c>
      <c r="QK8">
        <v>8.6669999999999994E-3</v>
      </c>
      <c r="QL8">
        <v>2.9950000000000001E-2</v>
      </c>
      <c r="QM8" t="s">
        <v>1768</v>
      </c>
      <c r="QN8">
        <v>2025</v>
      </c>
      <c r="QO8" t="s">
        <v>2059</v>
      </c>
      <c r="QP8" s="6">
        <v>45950</v>
      </c>
      <c r="QQ8">
        <v>5</v>
      </c>
      <c r="QR8">
        <v>86521.79</v>
      </c>
      <c r="QS8">
        <v>22262012</v>
      </c>
      <c r="QT8" t="s">
        <v>2060</v>
      </c>
      <c r="QW8" t="s">
        <v>1881</v>
      </c>
      <c r="QX8">
        <v>2.684606</v>
      </c>
      <c r="QY8" t="s">
        <v>1777</v>
      </c>
      <c r="QZ8">
        <v>5.1091999999999999E-2</v>
      </c>
      <c r="RA8" t="s">
        <v>1781</v>
      </c>
      <c r="RB8">
        <v>2026</v>
      </c>
      <c r="RC8" t="s">
        <v>1877</v>
      </c>
      <c r="RD8" s="6">
        <v>45979</v>
      </c>
      <c r="RE8">
        <v>5</v>
      </c>
      <c r="RF8">
        <v>9876209</v>
      </c>
      <c r="RG8">
        <v>115643</v>
      </c>
      <c r="RH8" t="s">
        <v>1882</v>
      </c>
      <c r="SQ8" t="s">
        <v>3670</v>
      </c>
      <c r="SS8">
        <v>-2.4245362661989844E-14</v>
      </c>
      <c r="ST8">
        <v>-2.4245362661989844E-14</v>
      </c>
      <c r="SU8" t="s">
        <v>1789</v>
      </c>
      <c r="SV8">
        <v>2024</v>
      </c>
      <c r="SW8" t="s">
        <v>3243</v>
      </c>
      <c r="SX8" s="6">
        <v>45716</v>
      </c>
      <c r="SY8">
        <v>5</v>
      </c>
      <c r="SZ8">
        <v>-2.4245362661989844E-14</v>
      </c>
      <c r="TA8">
        <v>8520084</v>
      </c>
      <c r="TB8" t="s">
        <v>3671</v>
      </c>
      <c r="TE8" t="s">
        <v>3250</v>
      </c>
      <c r="TF8">
        <v>-2.4245362661989844E-14</v>
      </c>
      <c r="TH8">
        <v>-2.4245362661989844E-14</v>
      </c>
      <c r="TI8" t="s">
        <v>1789</v>
      </c>
      <c r="TJ8">
        <v>2025</v>
      </c>
      <c r="TK8" t="s">
        <v>3251</v>
      </c>
      <c r="TL8" s="6">
        <v>46010</v>
      </c>
      <c r="TM8">
        <v>4</v>
      </c>
      <c r="TN8">
        <v>-2.4245362661989844E-14</v>
      </c>
      <c r="TO8">
        <v>815820</v>
      </c>
      <c r="TP8" t="s">
        <v>3252</v>
      </c>
      <c r="TU8" t="s">
        <v>3651</v>
      </c>
      <c r="TW8">
        <v>-2.4245362661989844E-14</v>
      </c>
      <c r="TX8">
        <v>-2.4245362661989844E-14</v>
      </c>
      <c r="TY8" t="s">
        <v>1789</v>
      </c>
      <c r="TZ8">
        <v>2022</v>
      </c>
      <c r="UA8" t="s">
        <v>3652</v>
      </c>
      <c r="UB8" s="6">
        <v>44693</v>
      </c>
      <c r="UC8">
        <v>5</v>
      </c>
      <c r="UD8">
        <v>-2.4245362661989844E-14</v>
      </c>
      <c r="UE8">
        <v>114991</v>
      </c>
      <c r="UF8" t="s">
        <v>3653</v>
      </c>
    </row>
    <row r="9" spans="1:600" x14ac:dyDescent="0.25">
      <c r="A9" t="s">
        <v>3613</v>
      </c>
      <c r="B9" t="s">
        <v>1777</v>
      </c>
      <c r="C9">
        <v>13.367844</v>
      </c>
      <c r="D9">
        <v>1.217878</v>
      </c>
      <c r="E9" t="s">
        <v>1768</v>
      </c>
      <c r="F9">
        <v>2025</v>
      </c>
      <c r="G9" t="s">
        <v>3614</v>
      </c>
      <c r="H9" s="6">
        <v>45954</v>
      </c>
      <c r="I9">
        <v>5</v>
      </c>
      <c r="J9">
        <v>367214688</v>
      </c>
      <c r="K9">
        <v>11089797</v>
      </c>
      <c r="L9" t="s">
        <v>3615</v>
      </c>
      <c r="O9" t="s">
        <v>3413</v>
      </c>
      <c r="P9">
        <v>-2.4245362661989844E-14</v>
      </c>
      <c r="R9">
        <v>-2.4245362661989844E-14</v>
      </c>
      <c r="S9" t="s">
        <v>1781</v>
      </c>
      <c r="T9">
        <v>2024</v>
      </c>
      <c r="U9" t="s">
        <v>3411</v>
      </c>
      <c r="V9" s="6">
        <v>45090</v>
      </c>
      <c r="W9">
        <v>5</v>
      </c>
      <c r="X9">
        <v>-2.4245362661989844E-14</v>
      </c>
      <c r="Y9">
        <v>36850308</v>
      </c>
      <c r="Z9" t="s">
        <v>3414</v>
      </c>
      <c r="HC9" t="s">
        <v>2079</v>
      </c>
      <c r="HE9">
        <v>-2.4245362661989844E-14</v>
      </c>
      <c r="HF9">
        <v>-2.4245362661989844E-14</v>
      </c>
      <c r="HG9" t="s">
        <v>1789</v>
      </c>
      <c r="HH9">
        <v>2021</v>
      </c>
      <c r="HI9" t="s">
        <v>2080</v>
      </c>
      <c r="HJ9" s="6">
        <v>44693</v>
      </c>
      <c r="HK9">
        <v>5</v>
      </c>
      <c r="HL9">
        <v>-2.4245362661989844E-14</v>
      </c>
      <c r="HM9">
        <v>101170</v>
      </c>
      <c r="HN9" t="s">
        <v>2081</v>
      </c>
      <c r="LS9" t="s">
        <v>1091</v>
      </c>
      <c r="LT9" t="s">
        <v>1777</v>
      </c>
      <c r="LU9">
        <v>2.4650999999999999E-2</v>
      </c>
      <c r="LV9">
        <v>5.3477999999999998E-2</v>
      </c>
      <c r="LW9" t="s">
        <v>1768</v>
      </c>
      <c r="LX9">
        <v>2025</v>
      </c>
      <c r="LY9" t="s">
        <v>2273</v>
      </c>
      <c r="LZ9" s="6">
        <v>45943</v>
      </c>
      <c r="MA9">
        <v>5</v>
      </c>
      <c r="MB9">
        <v>362049</v>
      </c>
      <c r="MC9">
        <v>358385</v>
      </c>
      <c r="MD9" t="s">
        <v>3090</v>
      </c>
      <c r="MG9" t="s">
        <v>2447</v>
      </c>
      <c r="MH9">
        <v>0.57589699999999999</v>
      </c>
      <c r="MI9" t="s">
        <v>1777</v>
      </c>
      <c r="MJ9">
        <v>0.360927</v>
      </c>
      <c r="MK9" t="s">
        <v>1785</v>
      </c>
      <c r="ML9">
        <v>2024</v>
      </c>
      <c r="MM9" t="s">
        <v>2902</v>
      </c>
      <c r="MN9" s="6">
        <v>45769</v>
      </c>
      <c r="MO9">
        <v>5</v>
      </c>
      <c r="MP9">
        <v>7682466</v>
      </c>
      <c r="MQ9">
        <v>349049</v>
      </c>
      <c r="MR9" t="s">
        <v>2449</v>
      </c>
      <c r="QI9" t="s">
        <v>2061</v>
      </c>
      <c r="QK9">
        <v>-2.4245362661989844E-14</v>
      </c>
      <c r="QL9">
        <v>-2.4245362661989844E-14</v>
      </c>
      <c r="QM9" t="s">
        <v>1789</v>
      </c>
      <c r="QN9">
        <v>2024</v>
      </c>
      <c r="QO9" t="s">
        <v>2062</v>
      </c>
      <c r="QP9" s="6">
        <v>45531</v>
      </c>
      <c r="QQ9">
        <v>5</v>
      </c>
      <c r="QR9">
        <v>-2.4245362661989844E-14</v>
      </c>
      <c r="QS9">
        <v>7191034</v>
      </c>
      <c r="QT9" t="s">
        <v>2063</v>
      </c>
      <c r="QW9" t="s">
        <v>1883</v>
      </c>
      <c r="QX9">
        <v>2.1512410000000002</v>
      </c>
      <c r="QY9" t="s">
        <v>1777</v>
      </c>
      <c r="QZ9">
        <v>0.18093100000000001</v>
      </c>
      <c r="RA9" t="s">
        <v>1781</v>
      </c>
      <c r="RB9">
        <v>2026</v>
      </c>
      <c r="RC9" t="s">
        <v>1877</v>
      </c>
      <c r="RD9" s="6">
        <v>45979</v>
      </c>
      <c r="RE9">
        <v>5</v>
      </c>
      <c r="RF9">
        <v>7914050</v>
      </c>
      <c r="RG9">
        <v>25874174</v>
      </c>
      <c r="RH9" t="s">
        <v>1884</v>
      </c>
      <c r="SQ9" t="s">
        <v>3672</v>
      </c>
      <c r="SS9">
        <v>-2.4245362661989844E-14</v>
      </c>
      <c r="ST9">
        <v>-2.4245362661989844E-14</v>
      </c>
      <c r="SU9" t="s">
        <v>1789</v>
      </c>
      <c r="SV9">
        <v>2024</v>
      </c>
      <c r="SW9" t="s">
        <v>3243</v>
      </c>
      <c r="SX9" s="6">
        <v>45716</v>
      </c>
      <c r="SY9">
        <v>5</v>
      </c>
      <c r="SZ9">
        <v>-2.4245362661989844E-14</v>
      </c>
      <c r="TA9">
        <v>69557272</v>
      </c>
      <c r="TB9" t="s">
        <v>3673</v>
      </c>
      <c r="TU9" t="s">
        <v>3657</v>
      </c>
      <c r="TW9">
        <v>-2.4245362661989844E-14</v>
      </c>
      <c r="TX9">
        <v>-2.4245362661989844E-14</v>
      </c>
      <c r="TY9" t="s">
        <v>1789</v>
      </c>
      <c r="TZ9">
        <v>2021</v>
      </c>
      <c r="UA9" t="s">
        <v>3658</v>
      </c>
      <c r="UB9" s="6">
        <v>44693</v>
      </c>
      <c r="UC9">
        <v>5</v>
      </c>
      <c r="UD9">
        <v>-2.4245362661989844E-14</v>
      </c>
      <c r="UE9">
        <v>101315</v>
      </c>
      <c r="UF9" t="s">
        <v>3659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1065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1066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1067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1068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1069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1070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1071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1072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1073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1074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1075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1076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1077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1078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1079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1080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1081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1082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1083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1084</v>
      </c>
      <c r="AE2" s="3" t="s">
        <v>163</v>
      </c>
      <c r="BI2" s="3" t="s">
        <v>1085</v>
      </c>
      <c r="CM2" s="3" t="s">
        <v>1086</v>
      </c>
      <c r="DQ2" s="3" t="s">
        <v>88</v>
      </c>
      <c r="EU2" s="3" t="s">
        <v>1087</v>
      </c>
      <c r="FY2" s="3" t="s">
        <v>1088</v>
      </c>
      <c r="HC2" s="3" t="s">
        <v>1089</v>
      </c>
      <c r="IG2" s="3" t="s">
        <v>79</v>
      </c>
      <c r="JK2" s="3" t="s">
        <v>1090</v>
      </c>
      <c r="KO2" s="3" t="s">
        <v>1091</v>
      </c>
      <c r="LS2" s="3" t="s">
        <v>1092</v>
      </c>
      <c r="MW2" s="3" t="s">
        <v>1093</v>
      </c>
      <c r="OA2" s="3" t="s">
        <v>1094</v>
      </c>
      <c r="PE2" s="3" t="s">
        <v>1095</v>
      </c>
      <c r="QI2" s="3" t="s">
        <v>713</v>
      </c>
      <c r="RM2" s="3" t="s">
        <v>577</v>
      </c>
      <c r="SQ2" s="3" t="s">
        <v>962</v>
      </c>
      <c r="TU2" s="3" t="s">
        <v>1096</v>
      </c>
      <c r="UY2" s="3" t="s">
        <v>1097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_xll.BDS("SOHO US Equity","SUPPLY_CHAIN_SUPPLIERS_ALL_DATA","cols=12;rows=1")</f>
        <v>SPG US Equity</v>
      </c>
      <c r="C5">
        <v>-2.4245362661989844E-14</v>
      </c>
      <c r="D5">
        <v>-2.4245362661989844E-14</v>
      </c>
      <c r="E5" t="s">
        <v>1789</v>
      </c>
      <c r="F5">
        <v>2024</v>
      </c>
      <c r="G5" t="s">
        <v>2623</v>
      </c>
      <c r="H5" s="6">
        <v>45709</v>
      </c>
      <c r="I5">
        <v>1</v>
      </c>
      <c r="J5">
        <v>-2.4245362661989844E-14</v>
      </c>
      <c r="K5">
        <v>126551</v>
      </c>
      <c r="L5" t="s">
        <v>2624</v>
      </c>
      <c r="O5" t="str">
        <f>_xll.BDS("SOHO US Equity","SUPPLY_CHAIN_CUSTOMERS_ALL_DATA")</f>
        <v>#N/A N/A</v>
      </c>
      <c r="AE5" t="str">
        <f>_xll.BDS("FNB US Equity","SUPPLY_CHAIN_SUPPLIERS_ALL_DATA","cols=12;rows=1")</f>
        <v>HY US Equity</v>
      </c>
      <c r="AG5">
        <v>-2.4245362661989844E-14</v>
      </c>
      <c r="AH5">
        <v>-2.4245362661989844E-14</v>
      </c>
      <c r="AI5" t="s">
        <v>1789</v>
      </c>
      <c r="AJ5">
        <v>2024</v>
      </c>
      <c r="AK5" t="s">
        <v>2269</v>
      </c>
      <c r="AL5" s="6">
        <v>45427</v>
      </c>
      <c r="AM5">
        <v>1</v>
      </c>
      <c r="AN5">
        <v>-2.4245362661989844E-14</v>
      </c>
      <c r="AO5">
        <v>159242</v>
      </c>
      <c r="AP5" t="s">
        <v>2270</v>
      </c>
      <c r="AS5" t="str">
        <f>_xll.BDS("FNB US Equity","SUPPLY_CHAIN_CUSTOMERS_ALL_DATA")</f>
        <v>#N/A N/A</v>
      </c>
      <c r="BI5" t="str">
        <f>_xll.BDS("373937Q US Equity","SUPPLY_CHAIN_SUPPLIERS_ALL_DATA")</f>
        <v>#N/A N/A</v>
      </c>
      <c r="BW5" t="str">
        <f>_xll.BDS("373937Q US Equity","SUPPLY_CHAIN_CUSTOMERS_ALL_DATA")</f>
        <v>#N/A N/A</v>
      </c>
      <c r="CM5" t="str">
        <f>_xll.BDS("ENOC US Equity","SUPPLY_CHAIN_SUPPLIERS_ALL_DATA")</f>
        <v>#N/A N/A</v>
      </c>
      <c r="DA5" t="str">
        <f>_xll.BDS("ENOC US Equity","SUPPLY_CHAIN_CUSTOMERS_ALL_DATA")</f>
        <v>#N/A N/A</v>
      </c>
      <c r="DQ5" t="str">
        <f>_xll.BDS("CBU US Equity","SUPPLY_CHAIN_SUPPLIERS_ALL_DATA")</f>
        <v>#N/A N/A</v>
      </c>
      <c r="EE5" t="str">
        <f>_xll.BDS("CBU US Equity","SUPPLY_CHAIN_CUSTOMERS_ALL_DATA")</f>
        <v>#N/A N/A</v>
      </c>
      <c r="EU5" t="str">
        <f>_xll.BDS("FINN US Equity","SUPPLY_CHAIN_SUPPLIERS_ALL_DATA","cols=12;rows=3")</f>
        <v>8247120Z US Equity</v>
      </c>
      <c r="EW5">
        <v>-2.4245362661989844E-14</v>
      </c>
      <c r="EX5">
        <v>-2.4245362661989844E-14</v>
      </c>
      <c r="EY5" t="s">
        <v>1789</v>
      </c>
      <c r="EZ5">
        <v>2025</v>
      </c>
      <c r="FA5" t="s">
        <v>4596</v>
      </c>
      <c r="FB5" s="6">
        <v>45896</v>
      </c>
      <c r="FC5">
        <v>3</v>
      </c>
      <c r="FD5">
        <v>-2.4245362661989844E-14</v>
      </c>
      <c r="FE5">
        <v>24733264</v>
      </c>
      <c r="FF5" t="s">
        <v>4597</v>
      </c>
      <c r="FI5" t="str">
        <f>_xll.BDS("FINN US Equity","SUPPLY_CHAIN_CUSTOMERS_ALL_DATA")</f>
        <v>#N/A N/A</v>
      </c>
      <c r="FY5" t="str">
        <f>_xll.BDS("FDBC US Equity","SUPPLY_CHAIN_SUPPLIERS_ALL_DATA")</f>
        <v>#N/A N/A</v>
      </c>
      <c r="GM5" t="str">
        <f>_xll.BDS("FDBC US Equity","SUPPLY_CHAIN_CUSTOMERS_ALL_DATA")</f>
        <v>#N/A N/A</v>
      </c>
      <c r="HC5" t="str">
        <f>_xll.BDS("CHD US Equity","SUPPLY_CHAIN_SUPPLIERS_ALL_DATA","cols=12;rows=5")</f>
        <v>GPK US Equity</v>
      </c>
      <c r="HD5" t="s">
        <v>1777</v>
      </c>
      <c r="HE5">
        <v>1.5644800000000001</v>
      </c>
      <c r="HF5">
        <v>3.6950820000000002</v>
      </c>
      <c r="HG5" t="s">
        <v>1785</v>
      </c>
      <c r="HH5">
        <v>2025</v>
      </c>
      <c r="HI5" t="s">
        <v>3056</v>
      </c>
      <c r="HJ5" s="6">
        <v>46076</v>
      </c>
      <c r="HK5">
        <v>5</v>
      </c>
      <c r="HL5">
        <v>32901014</v>
      </c>
      <c r="HM5">
        <v>187274</v>
      </c>
      <c r="HN5" t="s">
        <v>3057</v>
      </c>
      <c r="HQ5" t="str">
        <f>_xll.BDS("CHD US Equity","SUPPLY_CHAIN_CUSTOMERS_ALL_DATA","cols=12;rows=5")</f>
        <v>WMT US Equity</v>
      </c>
      <c r="HR5">
        <v>23</v>
      </c>
      <c r="HS5" t="s">
        <v>1777</v>
      </c>
      <c r="HT5">
        <v>0.27023999999999998</v>
      </c>
      <c r="HU5" t="s">
        <v>1789</v>
      </c>
      <c r="HV5">
        <v>2025</v>
      </c>
      <c r="HW5" t="s">
        <v>2895</v>
      </c>
      <c r="HX5" s="6">
        <v>46065</v>
      </c>
      <c r="HY5">
        <v>5</v>
      </c>
      <c r="HZ5">
        <v>356684000</v>
      </c>
      <c r="IA5">
        <v>101616</v>
      </c>
      <c r="IB5" t="s">
        <v>1803</v>
      </c>
      <c r="IG5" t="str">
        <f>_xll.BDS("BBT US Equity","SUPPLY_CHAIN_SUPPLIERS_ALL_DATA")</f>
        <v>#N/A N/A</v>
      </c>
      <c r="IU5" t="str">
        <f>_xll.BDS("BBT US Equity","SUPPLY_CHAIN_CUSTOMERS_ALL_DATA")</f>
        <v>#N/A N/A</v>
      </c>
      <c r="JK5" t="str">
        <f>_xll.BDS("MENT US Equity","SUPPLY_CHAIN_SUPPLIERS_ALL_DATA")</f>
        <v>#N/A N/A</v>
      </c>
      <c r="JY5" t="str">
        <f>_xll.BDS("MENT US Equity","SUPPLY_CHAIN_CUSTOMERS_ALL_DATA")</f>
        <v>#N/A N/A</v>
      </c>
      <c r="KO5" t="str">
        <f>_xll.BDS("ON US Equity","SUPPLY_CHAIN_SUPPLIERS_ALL_DATA","cols=12;rows=5")</f>
        <v>981 HK Equity</v>
      </c>
      <c r="KP5" t="s">
        <v>1777</v>
      </c>
      <c r="KQ5">
        <v>1.149251</v>
      </c>
      <c r="KR5">
        <v>2.2420330000000002</v>
      </c>
      <c r="KS5" t="s">
        <v>1781</v>
      </c>
      <c r="KT5">
        <v>2025</v>
      </c>
      <c r="KU5" t="s">
        <v>4503</v>
      </c>
      <c r="KV5" s="6">
        <v>45846</v>
      </c>
      <c r="KW5">
        <v>5</v>
      </c>
      <c r="KX5">
        <v>25825980</v>
      </c>
      <c r="KY5">
        <v>7039692</v>
      </c>
      <c r="KZ5" t="s">
        <v>4349</v>
      </c>
      <c r="LC5" t="str">
        <f>_xll.BDS("ON US Equity","SUPPLY_CHAIN_CUSTOMERS_ALL_DATA","cols=12;rows=5")</f>
        <v>3036 TT Equity</v>
      </c>
      <c r="LD5">
        <v>10.876538999999999</v>
      </c>
      <c r="LE5" t="s">
        <v>1777</v>
      </c>
      <c r="LF5">
        <v>1.98163</v>
      </c>
      <c r="LG5" t="s">
        <v>1768</v>
      </c>
      <c r="LH5">
        <v>2025</v>
      </c>
      <c r="LI5" t="s">
        <v>2273</v>
      </c>
      <c r="LJ5" s="6">
        <v>45943</v>
      </c>
      <c r="LK5">
        <v>5</v>
      </c>
      <c r="LL5">
        <v>159743728</v>
      </c>
      <c r="LM5">
        <v>1459396</v>
      </c>
      <c r="LN5" t="s">
        <v>2274</v>
      </c>
      <c r="LS5" t="str">
        <f>_xll.BDS("FITB US Equity","SUPPLY_CHAIN_SUPPLIERS_ALL_DATA","cols=12;rows=5")</f>
        <v>004800 KS Equity</v>
      </c>
      <c r="LU5">
        <v>-2.4245362661989844E-14</v>
      </c>
      <c r="LV5">
        <v>-2.4245362661989844E-14</v>
      </c>
      <c r="LW5" t="s">
        <v>1996</v>
      </c>
      <c r="LX5">
        <v>2025</v>
      </c>
      <c r="LY5" t="s">
        <v>1997</v>
      </c>
      <c r="LZ5" s="6">
        <v>45883</v>
      </c>
      <c r="MA5">
        <v>5</v>
      </c>
      <c r="MB5">
        <v>-2.4245362661989844E-14</v>
      </c>
      <c r="MC5">
        <v>118099</v>
      </c>
      <c r="MD5" t="s">
        <v>1998</v>
      </c>
      <c r="MG5" t="str">
        <f>_xll.BDS("FITB US Equity","SUPPLY_CHAIN_CUSTOMERS_ALL_DATA","cols=12;rows=1")</f>
        <v>USIO US Equity</v>
      </c>
      <c r="MH5">
        <v>-2.4245362661989844E-14</v>
      </c>
      <c r="MJ5">
        <v>-2.4245362661989844E-14</v>
      </c>
      <c r="MK5" t="s">
        <v>1789</v>
      </c>
      <c r="ML5">
        <v>2024</v>
      </c>
      <c r="MM5" t="s">
        <v>1854</v>
      </c>
      <c r="MN5" s="6">
        <v>45742</v>
      </c>
      <c r="MO5">
        <v>1</v>
      </c>
      <c r="MP5">
        <v>-2.4245362661989844E-14</v>
      </c>
      <c r="MQ5">
        <v>381245</v>
      </c>
      <c r="MR5" t="s">
        <v>1855</v>
      </c>
      <c r="MW5" t="str">
        <f>_xll.BDS("PNWB US Equity","SUPPLY_CHAIN_SUPPLIERS_ALL_DATA")</f>
        <v>#N/A N/A</v>
      </c>
      <c r="NK5" t="str">
        <f>_xll.BDS("PNWB US Equity","SUPPLY_CHAIN_CUSTOMERS_ALL_DATA")</f>
        <v>#N/A N/A</v>
      </c>
      <c r="OA5" t="str">
        <f>_xll.BDS("STBZ US Equity","SUPPLY_CHAIN_SUPPLIERS_ALL_DATA")</f>
        <v>#N/A N/A</v>
      </c>
      <c r="OO5" t="str">
        <f>_xll.BDS("STBZ US Equity","SUPPLY_CHAIN_CUSTOMERS_ALL_DATA")</f>
        <v>#N/A N/A</v>
      </c>
      <c r="PE5" t="str">
        <f>_xll.BDS("LAMR US Equity","SUPPLY_CHAIN_SUPPLIERS_ALL_DATA","cols=12;rows=2")</f>
        <v>CPTP US Equity</v>
      </c>
      <c r="PF5" t="s">
        <v>1808</v>
      </c>
      <c r="PG5">
        <v>21.596160999999999</v>
      </c>
      <c r="PH5">
        <v>0.34428399999999998</v>
      </c>
      <c r="PI5" t="s">
        <v>1789</v>
      </c>
      <c r="PJ5">
        <v>2024</v>
      </c>
      <c r="PK5" t="s">
        <v>3949</v>
      </c>
      <c r="PL5" s="6">
        <v>45695</v>
      </c>
      <c r="PM5">
        <v>2</v>
      </c>
      <c r="PN5">
        <v>303750</v>
      </c>
      <c r="PO5">
        <v>148353</v>
      </c>
      <c r="PP5" t="s">
        <v>3950</v>
      </c>
      <c r="PS5" t="str">
        <f>_xll.BDS("LAMR US Equity","SUPPLY_CHAIN_CUSTOMERS_ALL_DATA","cols=12;rows=2")</f>
        <v>1414936D US Equity</v>
      </c>
      <c r="PT5">
        <v>-2.4245362661989844E-14</v>
      </c>
      <c r="PV5">
        <v>-2.4245362661989844E-14</v>
      </c>
      <c r="PW5" t="s">
        <v>1773</v>
      </c>
      <c r="PX5">
        <v>2023</v>
      </c>
      <c r="PY5" t="s">
        <v>2212</v>
      </c>
      <c r="PZ5" s="6">
        <v>45224</v>
      </c>
      <c r="QA5">
        <v>2</v>
      </c>
      <c r="QB5">
        <v>-2.4245362661989844E-14</v>
      </c>
      <c r="QC5">
        <v>50234217</v>
      </c>
      <c r="QD5" t="s">
        <v>2213</v>
      </c>
      <c r="QI5" t="str">
        <f>_xll.BDS("FBNC US Equity","SUPPLY_CHAIN_SUPPLIERS_ALL_DATA")</f>
        <v>#N/A N/A</v>
      </c>
      <c r="QW5" t="str">
        <f>_xll.BDS("FBNC US Equity","SUPPLY_CHAIN_CUSTOMERS_ALL_DATA")</f>
        <v>#N/A N/A</v>
      </c>
      <c r="RM5" t="str">
        <f>_xll.BDS("ONB US Equity","SUPPLY_CHAIN_SUPPLIERS_ALL_DATA","cols=12;rows=3")</f>
        <v>FCPT US Equity</v>
      </c>
      <c r="RO5">
        <v>-2.4245362661989844E-14</v>
      </c>
      <c r="RP5">
        <v>-2.4245362661989844E-14</v>
      </c>
      <c r="RQ5" t="s">
        <v>1789</v>
      </c>
      <c r="RR5">
        <v>2023</v>
      </c>
      <c r="RS5" t="s">
        <v>1964</v>
      </c>
      <c r="RT5" s="6">
        <v>45337</v>
      </c>
      <c r="RU5">
        <v>3</v>
      </c>
      <c r="RV5">
        <v>-2.4245362661989844E-14</v>
      </c>
      <c r="RW5">
        <v>46177523</v>
      </c>
      <c r="RX5" t="s">
        <v>1965</v>
      </c>
      <c r="SA5" t="str">
        <f>_xll.BDS("ONB US Equity","SUPPLY_CHAIN_CUSTOMERS_ALL_DATA")</f>
        <v>#N/A N/A</v>
      </c>
      <c r="SQ5" t="str">
        <f>_xll.BDS("FNFG US Equity","SUPPLY_CHAIN_SUPPLIERS_ALL_DATA")</f>
        <v>#N/A N/A</v>
      </c>
      <c r="TE5" t="str">
        <f>_xll.BDS("FNFG US Equity","SUPPLY_CHAIN_CUSTOMERS_ALL_DATA")</f>
        <v>#N/A N/A</v>
      </c>
      <c r="TU5" t="str">
        <f>_xll.BDS("OAKT US Equity","SUPPLY_CHAIN_SUPPLIERS_ALL_DATA")</f>
        <v>#N/A N/A</v>
      </c>
      <c r="UI5" t="str">
        <f>_xll.BDS("OAKT US Equity","SUPPLY_CHAIN_CUSTOMERS_ALL_DATA")</f>
        <v>#N/A N/A</v>
      </c>
      <c r="UY5" t="str">
        <f>_xll.BDS("PRMW CN Equity","SUPPLY_CHAIN_SUPPLIERS_ALL_DATA","cols=12;rows=5")</f>
        <v>AEE US Equity</v>
      </c>
      <c r="VA5">
        <v>-2.4245362661989844E-14</v>
      </c>
      <c r="VB5">
        <v>-2.4245362661989844E-14</v>
      </c>
      <c r="VC5" t="s">
        <v>1789</v>
      </c>
      <c r="VD5">
        <v>2021</v>
      </c>
      <c r="VE5" t="s">
        <v>2085</v>
      </c>
      <c r="VF5" s="6">
        <v>44693</v>
      </c>
      <c r="VG5">
        <v>5</v>
      </c>
      <c r="VH5">
        <v>-2.4245362661989844E-14</v>
      </c>
      <c r="VI5">
        <v>313098</v>
      </c>
      <c r="VJ5" t="s">
        <v>2086</v>
      </c>
      <c r="VM5" t="str">
        <f>_xll.BDS("PRMW CN Equity","SUPPLY_CHAIN_CUSTOMERS_ALL_DATA","cols=12;rows=1")</f>
        <v>COST US Equity</v>
      </c>
      <c r="VN5">
        <v>-2.4245362661989844E-14</v>
      </c>
      <c r="VP5">
        <v>-2.4245362661989844E-14</v>
      </c>
      <c r="VQ5" t="s">
        <v>1789</v>
      </c>
      <c r="VR5">
        <v>2022</v>
      </c>
      <c r="VS5" t="s">
        <v>1852</v>
      </c>
      <c r="VT5" s="6">
        <v>44935</v>
      </c>
      <c r="VU5">
        <v>1</v>
      </c>
      <c r="VV5">
        <v>-2.4245362661989844E-14</v>
      </c>
      <c r="VW5">
        <v>101758</v>
      </c>
      <c r="VX5" t="s">
        <v>1853</v>
      </c>
    </row>
    <row r="6" spans="1:600" x14ac:dyDescent="0.25">
      <c r="EU6" t="s">
        <v>2604</v>
      </c>
      <c r="EW6">
        <v>-2.4245362661989844E-14</v>
      </c>
      <c r="EX6">
        <v>-2.4245362661989844E-14</v>
      </c>
      <c r="EY6" t="s">
        <v>1789</v>
      </c>
      <c r="EZ6">
        <v>2023</v>
      </c>
      <c r="FA6" t="s">
        <v>4598</v>
      </c>
      <c r="FB6" s="6">
        <v>45184</v>
      </c>
      <c r="FC6">
        <v>3</v>
      </c>
      <c r="FD6">
        <v>-2.4245362661989844E-14</v>
      </c>
      <c r="FE6">
        <v>50985605</v>
      </c>
      <c r="FF6" t="s">
        <v>2606</v>
      </c>
      <c r="HC6" t="s">
        <v>3058</v>
      </c>
      <c r="HD6" t="s">
        <v>1777</v>
      </c>
      <c r="HE6">
        <v>0.65325900000000003</v>
      </c>
      <c r="HF6">
        <v>1.1187609999999999</v>
      </c>
      <c r="HG6" t="s">
        <v>1773</v>
      </c>
      <c r="HH6">
        <v>2025</v>
      </c>
      <c r="HI6" t="s">
        <v>3059</v>
      </c>
      <c r="HJ6" s="6">
        <v>46027</v>
      </c>
      <c r="HK6">
        <v>5</v>
      </c>
      <c r="HL6">
        <v>9748470.3000000007</v>
      </c>
      <c r="HM6">
        <v>8082154</v>
      </c>
      <c r="HN6" t="s">
        <v>3060</v>
      </c>
      <c r="HQ6" t="s">
        <v>1814</v>
      </c>
      <c r="HR6">
        <v>8.9604649999999992</v>
      </c>
      <c r="HS6" t="s">
        <v>1777</v>
      </c>
      <c r="HT6">
        <v>0.16702500000000001</v>
      </c>
      <c r="HU6" t="s">
        <v>1768</v>
      </c>
      <c r="HV6">
        <v>2025</v>
      </c>
      <c r="HW6" t="s">
        <v>2896</v>
      </c>
      <c r="HX6" s="6">
        <v>45882</v>
      </c>
      <c r="HY6">
        <v>5</v>
      </c>
      <c r="HZ6">
        <v>134971488</v>
      </c>
      <c r="IA6">
        <v>216952</v>
      </c>
      <c r="IB6" t="s">
        <v>1815</v>
      </c>
      <c r="KO6" t="s">
        <v>2631</v>
      </c>
      <c r="KP6" t="s">
        <v>1777</v>
      </c>
      <c r="KQ6">
        <v>0.60310900000000001</v>
      </c>
      <c r="KR6">
        <v>1.2434970000000001</v>
      </c>
      <c r="KS6" t="s">
        <v>1773</v>
      </c>
      <c r="KT6">
        <v>2025</v>
      </c>
      <c r="KU6" t="s">
        <v>2632</v>
      </c>
      <c r="KV6" s="6">
        <v>46035</v>
      </c>
      <c r="KW6">
        <v>5</v>
      </c>
      <c r="KX6">
        <v>11983583</v>
      </c>
      <c r="KY6">
        <v>302680</v>
      </c>
      <c r="KZ6" t="s">
        <v>2633</v>
      </c>
      <c r="LC6" t="s">
        <v>165</v>
      </c>
      <c r="LD6">
        <v>9.0821310000000004</v>
      </c>
      <c r="LE6" t="s">
        <v>1777</v>
      </c>
      <c r="LF6">
        <v>1.98163</v>
      </c>
      <c r="LG6" t="s">
        <v>1768</v>
      </c>
      <c r="LH6">
        <v>2025</v>
      </c>
      <c r="LI6" t="s">
        <v>2273</v>
      </c>
      <c r="LJ6" s="6">
        <v>45943</v>
      </c>
      <c r="LK6">
        <v>5</v>
      </c>
      <c r="LL6">
        <v>133389256</v>
      </c>
      <c r="LM6">
        <v>100115</v>
      </c>
      <c r="LN6" t="s">
        <v>1871</v>
      </c>
      <c r="LS6" t="s">
        <v>672</v>
      </c>
      <c r="LU6">
        <v>-2.4245362661989844E-14</v>
      </c>
      <c r="LV6">
        <v>-2.4245362661989844E-14</v>
      </c>
      <c r="LW6" t="s">
        <v>1773</v>
      </c>
      <c r="LX6">
        <v>2024</v>
      </c>
      <c r="LY6" t="s">
        <v>1999</v>
      </c>
      <c r="LZ6" s="6">
        <v>45608</v>
      </c>
      <c r="MA6">
        <v>5</v>
      </c>
      <c r="MB6">
        <v>-2.4245362661989844E-14</v>
      </c>
      <c r="MC6">
        <v>159743</v>
      </c>
      <c r="MD6" t="s">
        <v>2000</v>
      </c>
      <c r="PE6" t="s">
        <v>3951</v>
      </c>
      <c r="PG6">
        <v>-2.4245362661989844E-14</v>
      </c>
      <c r="PH6">
        <v>-2.4245362661989844E-14</v>
      </c>
      <c r="PI6" t="s">
        <v>1789</v>
      </c>
      <c r="PJ6">
        <v>2024</v>
      </c>
      <c r="PK6" t="s">
        <v>3952</v>
      </c>
      <c r="PL6" s="6">
        <v>45741</v>
      </c>
      <c r="PM6">
        <v>2</v>
      </c>
      <c r="PN6">
        <v>-2.4245362661989844E-14</v>
      </c>
      <c r="PO6">
        <v>10097481</v>
      </c>
      <c r="PP6" t="s">
        <v>3953</v>
      </c>
      <c r="PS6" t="s">
        <v>2214</v>
      </c>
      <c r="PT6">
        <v>-2.4245362661989844E-14</v>
      </c>
      <c r="PV6">
        <v>-2.4245362661989844E-14</v>
      </c>
      <c r="PW6" t="s">
        <v>1789</v>
      </c>
      <c r="PX6">
        <v>2023</v>
      </c>
      <c r="PY6" t="s">
        <v>2215</v>
      </c>
      <c r="PZ6" s="6">
        <v>45260</v>
      </c>
      <c r="QA6">
        <v>2</v>
      </c>
      <c r="QB6">
        <v>-2.4245362661989844E-14</v>
      </c>
      <c r="QC6">
        <v>1032816</v>
      </c>
      <c r="QD6" t="s">
        <v>2216</v>
      </c>
      <c r="RM6" t="s">
        <v>1966</v>
      </c>
      <c r="RO6">
        <v>-2.4245362661989844E-14</v>
      </c>
      <c r="RP6">
        <v>-2.4245362661989844E-14</v>
      </c>
      <c r="RQ6" t="s">
        <v>1781</v>
      </c>
      <c r="RR6">
        <v>2023</v>
      </c>
      <c r="RS6" t="s">
        <v>1967</v>
      </c>
      <c r="RT6" s="6">
        <v>45020</v>
      </c>
      <c r="RU6">
        <v>3</v>
      </c>
      <c r="RV6">
        <v>-2.4245362661989844E-14</v>
      </c>
      <c r="RW6">
        <v>106252</v>
      </c>
      <c r="RX6" t="s">
        <v>1968</v>
      </c>
      <c r="UY6" t="s">
        <v>816</v>
      </c>
      <c r="VA6">
        <v>-2.4245362661989844E-14</v>
      </c>
      <c r="VB6">
        <v>-2.4245362661989844E-14</v>
      </c>
      <c r="VC6" t="s">
        <v>1789</v>
      </c>
      <c r="VD6">
        <v>2021</v>
      </c>
      <c r="VE6" t="s">
        <v>2069</v>
      </c>
      <c r="VF6" s="6">
        <v>44693</v>
      </c>
      <c r="VG6">
        <v>5</v>
      </c>
      <c r="VH6">
        <v>-2.4245362661989844E-14</v>
      </c>
      <c r="VI6">
        <v>100193</v>
      </c>
      <c r="VJ6" t="s">
        <v>2070</v>
      </c>
    </row>
    <row r="7" spans="1:600" x14ac:dyDescent="0.25">
      <c r="EU7" t="s">
        <v>1121</v>
      </c>
      <c r="EW7">
        <v>-2.4245362661989844E-14</v>
      </c>
      <c r="EX7">
        <v>-2.4245362661989844E-14</v>
      </c>
      <c r="EY7" t="s">
        <v>1768</v>
      </c>
      <c r="EZ7">
        <v>2023</v>
      </c>
      <c r="FA7" t="s">
        <v>1969</v>
      </c>
      <c r="FB7" s="6">
        <v>45173</v>
      </c>
      <c r="FC7">
        <v>3</v>
      </c>
      <c r="FD7">
        <v>-2.4245362661989844E-14</v>
      </c>
      <c r="FE7">
        <v>202476</v>
      </c>
      <c r="FF7" t="s">
        <v>1970</v>
      </c>
      <c r="HC7" t="s">
        <v>3061</v>
      </c>
      <c r="HD7" t="s">
        <v>1808</v>
      </c>
      <c r="HE7">
        <v>1.5</v>
      </c>
      <c r="HF7">
        <v>0.49141200000000002</v>
      </c>
      <c r="HG7" t="s">
        <v>1768</v>
      </c>
      <c r="HH7">
        <v>2025</v>
      </c>
      <c r="HI7" t="s">
        <v>3062</v>
      </c>
      <c r="HJ7" s="6">
        <v>45868</v>
      </c>
      <c r="HK7">
        <v>5</v>
      </c>
      <c r="HL7">
        <v>1717485</v>
      </c>
      <c r="HM7">
        <v>15671511</v>
      </c>
      <c r="HN7" t="s">
        <v>3063</v>
      </c>
      <c r="HQ7" t="s">
        <v>2532</v>
      </c>
      <c r="HR7">
        <v>7.4530940000000001</v>
      </c>
      <c r="HS7" t="s">
        <v>1777</v>
      </c>
      <c r="HT7">
        <v>0.131579</v>
      </c>
      <c r="HU7" t="s">
        <v>1768</v>
      </c>
      <c r="HV7">
        <v>2025</v>
      </c>
      <c r="HW7" t="s">
        <v>2896</v>
      </c>
      <c r="HX7" s="6">
        <v>45882</v>
      </c>
      <c r="HY7">
        <v>5</v>
      </c>
      <c r="HZ7">
        <v>112265952</v>
      </c>
      <c r="IA7">
        <v>100976</v>
      </c>
      <c r="IB7" t="s">
        <v>2533</v>
      </c>
      <c r="KO7" t="s">
        <v>4075</v>
      </c>
      <c r="KP7" t="s">
        <v>1777</v>
      </c>
      <c r="KQ7">
        <v>0.11007599999999999</v>
      </c>
      <c r="KR7">
        <v>0.50764399999999998</v>
      </c>
      <c r="KS7" t="s">
        <v>1768</v>
      </c>
      <c r="KT7">
        <v>2026</v>
      </c>
      <c r="KU7" t="s">
        <v>4076</v>
      </c>
      <c r="KV7" s="6">
        <v>45999</v>
      </c>
      <c r="KW7">
        <v>5</v>
      </c>
      <c r="KX7">
        <v>4898794.78</v>
      </c>
      <c r="KY7">
        <v>114713</v>
      </c>
      <c r="KZ7" t="s">
        <v>4077</v>
      </c>
      <c r="LC7" t="s">
        <v>2275</v>
      </c>
      <c r="LD7">
        <v>6.7787360000000003</v>
      </c>
      <c r="LE7" t="s">
        <v>1777</v>
      </c>
      <c r="LF7">
        <v>1.98163</v>
      </c>
      <c r="LG7" t="s">
        <v>1768</v>
      </c>
      <c r="LH7">
        <v>2025</v>
      </c>
      <c r="LI7" t="s">
        <v>2273</v>
      </c>
      <c r="LJ7" s="6">
        <v>45943</v>
      </c>
      <c r="LK7">
        <v>5</v>
      </c>
      <c r="LL7">
        <v>99559296</v>
      </c>
      <c r="LM7">
        <v>100142</v>
      </c>
      <c r="LN7" t="s">
        <v>2276</v>
      </c>
      <c r="LS7" t="s">
        <v>2001</v>
      </c>
      <c r="LU7">
        <v>-2.4245362661989844E-14</v>
      </c>
      <c r="LV7">
        <v>-2.4245362661989844E-14</v>
      </c>
      <c r="LW7" t="s">
        <v>1789</v>
      </c>
      <c r="LX7">
        <v>2023</v>
      </c>
      <c r="LY7" t="s">
        <v>2002</v>
      </c>
      <c r="LZ7" s="6">
        <v>45462</v>
      </c>
      <c r="MA7">
        <v>5</v>
      </c>
      <c r="MB7">
        <v>-2.4245362661989844E-14</v>
      </c>
      <c r="MC7">
        <v>48621208</v>
      </c>
      <c r="MD7" t="s">
        <v>2003</v>
      </c>
      <c r="RM7" t="s">
        <v>1121</v>
      </c>
      <c r="RO7">
        <v>-2.4245362661989844E-14</v>
      </c>
      <c r="RP7">
        <v>-2.4245362661989844E-14</v>
      </c>
      <c r="RQ7" t="s">
        <v>1768</v>
      </c>
      <c r="RR7">
        <v>2023</v>
      </c>
      <c r="RS7" t="s">
        <v>1969</v>
      </c>
      <c r="RT7" s="6">
        <v>45174</v>
      </c>
      <c r="RU7">
        <v>3</v>
      </c>
      <c r="RV7">
        <v>-2.4245362661989844E-14</v>
      </c>
      <c r="RW7">
        <v>202476</v>
      </c>
      <c r="RX7" t="s">
        <v>1970</v>
      </c>
      <c r="UY7" t="s">
        <v>925</v>
      </c>
      <c r="VA7">
        <v>-2.4245362661989844E-14</v>
      </c>
      <c r="VB7">
        <v>-2.4245362661989844E-14</v>
      </c>
      <c r="VC7" t="s">
        <v>1789</v>
      </c>
      <c r="VD7">
        <v>2021</v>
      </c>
      <c r="VE7" t="s">
        <v>2071</v>
      </c>
      <c r="VF7" s="6">
        <v>44693</v>
      </c>
      <c r="VG7">
        <v>5</v>
      </c>
      <c r="VH7">
        <v>-2.4245362661989844E-14</v>
      </c>
      <c r="VI7">
        <v>100760</v>
      </c>
      <c r="VJ7" t="s">
        <v>2072</v>
      </c>
    </row>
    <row r="8" spans="1:600" x14ac:dyDescent="0.25">
      <c r="HC8" t="s">
        <v>3064</v>
      </c>
      <c r="HE8">
        <v>-2.4245362661989844E-14</v>
      </c>
      <c r="HF8">
        <v>-2.4245362661989844E-14</v>
      </c>
      <c r="HG8" t="s">
        <v>1789</v>
      </c>
      <c r="HH8">
        <v>2024</v>
      </c>
      <c r="HI8" t="s">
        <v>3065</v>
      </c>
      <c r="HJ8" s="6">
        <v>45744</v>
      </c>
      <c r="HK8">
        <v>5</v>
      </c>
      <c r="HL8">
        <v>-2.4245362661989844E-14</v>
      </c>
      <c r="HM8">
        <v>14708945</v>
      </c>
      <c r="HN8" t="s">
        <v>3066</v>
      </c>
      <c r="HQ8" t="s">
        <v>2897</v>
      </c>
      <c r="HR8">
        <v>3.8564790000000002</v>
      </c>
      <c r="HS8" t="s">
        <v>1777</v>
      </c>
      <c r="HT8">
        <v>0.29020000000000001</v>
      </c>
      <c r="HU8" t="s">
        <v>1768</v>
      </c>
      <c r="HV8">
        <v>2025</v>
      </c>
      <c r="HW8" t="s">
        <v>2896</v>
      </c>
      <c r="HX8" s="6">
        <v>45882</v>
      </c>
      <c r="HY8">
        <v>5</v>
      </c>
      <c r="HZ8">
        <v>58090144</v>
      </c>
      <c r="IA8">
        <v>16857643</v>
      </c>
      <c r="IB8" t="s">
        <v>2898</v>
      </c>
      <c r="KO8" t="s">
        <v>4504</v>
      </c>
      <c r="KP8" t="s">
        <v>1777</v>
      </c>
      <c r="KQ8">
        <v>0.88656199999999996</v>
      </c>
      <c r="KR8">
        <v>0.361396</v>
      </c>
      <c r="KS8" t="s">
        <v>1785</v>
      </c>
      <c r="KT8">
        <v>2024</v>
      </c>
      <c r="KU8" t="s">
        <v>4505</v>
      </c>
      <c r="KV8" s="6">
        <v>45729</v>
      </c>
      <c r="KW8">
        <v>5</v>
      </c>
      <c r="KX8">
        <v>3413042.89</v>
      </c>
      <c r="KY8">
        <v>880428</v>
      </c>
      <c r="KZ8" t="s">
        <v>4506</v>
      </c>
      <c r="LC8" t="s">
        <v>2277</v>
      </c>
      <c r="LD8">
        <v>4.3691420000000001</v>
      </c>
      <c r="LE8" t="s">
        <v>1777</v>
      </c>
      <c r="LF8">
        <v>0.22909099999999999</v>
      </c>
      <c r="LG8" t="s">
        <v>1768</v>
      </c>
      <c r="LH8">
        <v>2025</v>
      </c>
      <c r="LI8" t="s">
        <v>2273</v>
      </c>
      <c r="LJ8" s="6">
        <v>45943</v>
      </c>
      <c r="LK8">
        <v>5</v>
      </c>
      <c r="LL8">
        <v>64169588</v>
      </c>
      <c r="LM8">
        <v>117621</v>
      </c>
      <c r="LN8" t="s">
        <v>2278</v>
      </c>
      <c r="LS8" t="s">
        <v>2004</v>
      </c>
      <c r="LU8">
        <v>-2.4245362661989844E-14</v>
      </c>
      <c r="LV8">
        <v>-2.4245362661989844E-14</v>
      </c>
      <c r="LW8" t="s">
        <v>1789</v>
      </c>
      <c r="LX8">
        <v>2024</v>
      </c>
      <c r="LY8" t="s">
        <v>2005</v>
      </c>
      <c r="LZ8" s="6">
        <v>45714</v>
      </c>
      <c r="MA8">
        <v>5</v>
      </c>
      <c r="MB8">
        <v>-2.4245362661989844E-14</v>
      </c>
      <c r="MC8">
        <v>100457</v>
      </c>
      <c r="MD8" t="s">
        <v>2006</v>
      </c>
      <c r="UY8" t="s">
        <v>1923</v>
      </c>
      <c r="VA8">
        <v>-2.4245362661989844E-14</v>
      </c>
      <c r="VB8">
        <v>-2.4245362661989844E-14</v>
      </c>
      <c r="VC8" t="s">
        <v>1789</v>
      </c>
      <c r="VD8">
        <v>2021</v>
      </c>
      <c r="VE8" t="s">
        <v>1924</v>
      </c>
      <c r="VF8" s="6">
        <v>44693</v>
      </c>
      <c r="VG8">
        <v>5</v>
      </c>
      <c r="VH8">
        <v>-2.4245362661989844E-14</v>
      </c>
      <c r="VI8">
        <v>100481</v>
      </c>
      <c r="VJ8" t="s">
        <v>1925</v>
      </c>
    </row>
    <row r="9" spans="1:600" x14ac:dyDescent="0.25">
      <c r="HC9" t="s">
        <v>3067</v>
      </c>
      <c r="HE9">
        <v>-2.4245362661989844E-14</v>
      </c>
      <c r="HF9">
        <v>-2.4245362661989844E-14</v>
      </c>
      <c r="HG9" t="s">
        <v>1789</v>
      </c>
      <c r="HH9">
        <v>2025</v>
      </c>
      <c r="HI9" t="s">
        <v>3068</v>
      </c>
      <c r="HJ9" s="6">
        <v>45706</v>
      </c>
      <c r="HK9">
        <v>5</v>
      </c>
      <c r="HL9">
        <v>-2.4245362661989844E-14</v>
      </c>
      <c r="HM9">
        <v>53561377</v>
      </c>
      <c r="HN9" t="s">
        <v>3069</v>
      </c>
      <c r="HQ9" t="s">
        <v>2899</v>
      </c>
      <c r="HR9">
        <v>2.7507579999999998</v>
      </c>
      <c r="HS9" t="s">
        <v>1777</v>
      </c>
      <c r="HT9">
        <v>0.12756999999999999</v>
      </c>
      <c r="HU9" t="s">
        <v>1768</v>
      </c>
      <c r="HV9">
        <v>2025</v>
      </c>
      <c r="HW9" t="s">
        <v>2896</v>
      </c>
      <c r="HX9" s="6">
        <v>45882</v>
      </c>
      <c r="HY9">
        <v>5</v>
      </c>
      <c r="HZ9">
        <v>41434668</v>
      </c>
      <c r="IA9">
        <v>101617</v>
      </c>
      <c r="IB9" t="s">
        <v>2900</v>
      </c>
      <c r="KO9" t="s">
        <v>2788</v>
      </c>
      <c r="KP9" t="s">
        <v>1906</v>
      </c>
      <c r="KQ9">
        <v>0.10218000000000001</v>
      </c>
      <c r="KR9">
        <v>4.8755769999999998</v>
      </c>
      <c r="KS9" t="s">
        <v>1768</v>
      </c>
      <c r="KT9">
        <v>2026</v>
      </c>
      <c r="KU9" t="s">
        <v>2789</v>
      </c>
      <c r="KV9" s="6">
        <v>46063</v>
      </c>
      <c r="KW9">
        <v>5</v>
      </c>
      <c r="KX9">
        <v>3369024</v>
      </c>
      <c r="KY9">
        <v>101732</v>
      </c>
      <c r="KZ9" t="s">
        <v>2790</v>
      </c>
      <c r="LC9" t="s">
        <v>2279</v>
      </c>
      <c r="LD9">
        <v>2.8023609999999999</v>
      </c>
      <c r="LE9" t="s">
        <v>1777</v>
      </c>
      <c r="LF9">
        <v>0.52624300000000002</v>
      </c>
      <c r="LG9" t="s">
        <v>1768</v>
      </c>
      <c r="LH9">
        <v>2025</v>
      </c>
      <c r="LI9" t="s">
        <v>2273</v>
      </c>
      <c r="LJ9" s="6">
        <v>45943</v>
      </c>
      <c r="LK9">
        <v>5</v>
      </c>
      <c r="LL9">
        <v>41158276</v>
      </c>
      <c r="LM9">
        <v>9568853</v>
      </c>
      <c r="LN9" t="s">
        <v>2280</v>
      </c>
      <c r="LS9" t="s">
        <v>2007</v>
      </c>
      <c r="LU9">
        <v>-2.4245362661989844E-14</v>
      </c>
      <c r="LV9">
        <v>-2.4245362661989844E-14</v>
      </c>
      <c r="LW9" t="s">
        <v>1768</v>
      </c>
      <c r="LX9">
        <v>2024</v>
      </c>
      <c r="LY9" t="s">
        <v>2008</v>
      </c>
      <c r="LZ9" s="6">
        <v>45433</v>
      </c>
      <c r="MA9">
        <v>5</v>
      </c>
      <c r="MB9">
        <v>-2.4245362661989844E-14</v>
      </c>
      <c r="MC9">
        <v>103350</v>
      </c>
      <c r="MD9" t="s">
        <v>2009</v>
      </c>
      <c r="UY9" t="s">
        <v>2087</v>
      </c>
      <c r="VA9">
        <v>-2.4245362661989844E-14</v>
      </c>
      <c r="VB9">
        <v>-2.4245362661989844E-14</v>
      </c>
      <c r="VC9" t="s">
        <v>1789</v>
      </c>
      <c r="VD9">
        <v>2021</v>
      </c>
      <c r="VE9" t="s">
        <v>2088</v>
      </c>
      <c r="VF9" s="6">
        <v>44693</v>
      </c>
      <c r="VG9">
        <v>5</v>
      </c>
      <c r="VH9">
        <v>-2.4245362661989844E-14</v>
      </c>
      <c r="VI9">
        <v>100382</v>
      </c>
      <c r="VJ9" t="s">
        <v>2089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1098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1099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1100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1101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1102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1103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1104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1105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1106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1107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1108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1109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1110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1111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1112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1113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1114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1115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1116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1117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430</v>
      </c>
      <c r="AE2" s="3" t="s">
        <v>1118</v>
      </c>
      <c r="BI2" s="3" t="s">
        <v>891</v>
      </c>
      <c r="CM2" s="3" t="s">
        <v>1119</v>
      </c>
      <c r="DQ2" s="3" t="s">
        <v>1120</v>
      </c>
      <c r="EU2" s="3" t="s">
        <v>1121</v>
      </c>
      <c r="FY2" s="3" t="s">
        <v>577</v>
      </c>
      <c r="HC2" s="3" t="s">
        <v>494</v>
      </c>
      <c r="IG2" s="3" t="s">
        <v>1122</v>
      </c>
      <c r="JK2" s="3" t="s">
        <v>1123</v>
      </c>
      <c r="KO2" s="3" t="s">
        <v>279</v>
      </c>
      <c r="LS2" s="3" t="s">
        <v>425</v>
      </c>
      <c r="MW2" s="3" t="s">
        <v>750</v>
      </c>
      <c r="OA2" s="3" t="s">
        <v>1124</v>
      </c>
      <c r="PE2" s="3" t="s">
        <v>163</v>
      </c>
      <c r="QI2" s="3" t="s">
        <v>456</v>
      </c>
      <c r="RM2" s="3" t="s">
        <v>122</v>
      </c>
      <c r="SQ2" s="3" t="s">
        <v>1125</v>
      </c>
      <c r="TU2" s="3" t="s">
        <v>846</v>
      </c>
      <c r="UY2" s="3" t="s">
        <v>1126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_xll.BDS("GWR US Equity","SUPPLY_CHAIN_SUPPLIERS_ALL_DATA","cols=12;rows=5")</f>
        <v>AEE US Equity</v>
      </c>
      <c r="C5">
        <v>-2.4245362661989844E-14</v>
      </c>
      <c r="D5">
        <v>-2.4245362661989844E-14</v>
      </c>
      <c r="E5" t="s">
        <v>1789</v>
      </c>
      <c r="F5">
        <v>2021</v>
      </c>
      <c r="G5" t="s">
        <v>2085</v>
      </c>
      <c r="H5" s="6">
        <v>44693</v>
      </c>
      <c r="I5">
        <v>5</v>
      </c>
      <c r="J5">
        <v>-2.4245362661989844E-14</v>
      </c>
      <c r="K5">
        <v>313098</v>
      </c>
      <c r="L5" t="s">
        <v>2086</v>
      </c>
      <c r="O5" t="str">
        <f>_xll.BDS("GWR US Equity","SUPPLY_CHAIN_CUSTOMERS_ALL_DATA","cols=12;rows=1")</f>
        <v>SDSYA US Equity</v>
      </c>
      <c r="P5">
        <v>-2.4245362661989844E-14</v>
      </c>
      <c r="R5">
        <v>-2.4245362661989844E-14</v>
      </c>
      <c r="S5" t="s">
        <v>1789</v>
      </c>
      <c r="T5">
        <v>2024</v>
      </c>
      <c r="U5" t="s">
        <v>3371</v>
      </c>
      <c r="V5" s="6">
        <v>45744</v>
      </c>
      <c r="W5">
        <v>1</v>
      </c>
      <c r="X5">
        <v>-2.4245362661989844E-14</v>
      </c>
      <c r="Y5">
        <v>951391</v>
      </c>
      <c r="Z5" t="s">
        <v>3372</v>
      </c>
      <c r="AE5" t="str">
        <f>_xll.BDS("1779128D US Equity","SUPPLY_CHAIN_SUPPLIERS_ALL_DATA")</f>
        <v>#N/A N/A</v>
      </c>
      <c r="AS5" t="str">
        <f>_xll.BDS("1779128D US Equity","SUPPLY_CHAIN_CUSTOMERS_ALL_DATA")</f>
        <v>#N/A N/A</v>
      </c>
      <c r="BI5" t="str">
        <f>_xll.BDS("FMBH US Equity","SUPPLY_CHAIN_SUPPLIERS_ALL_DATA")</f>
        <v>#N/A N/A</v>
      </c>
      <c r="BW5" t="str">
        <f>_xll.BDS("FMBH US Equity","SUPPLY_CHAIN_CUSTOMERS_ALL_DATA")</f>
        <v>#N/A N/A</v>
      </c>
      <c r="CM5" t="str">
        <f>_xll.BDS("MOG/A US Equity","SUPPLY_CHAIN_SUPPLIERS_ALL_DATA","cols=12;rows=5")</f>
        <v>HEI US Equity</v>
      </c>
      <c r="CN5" t="s">
        <v>1777</v>
      </c>
      <c r="CO5">
        <v>8.5037000000000001E-2</v>
      </c>
      <c r="CP5">
        <v>0.138319</v>
      </c>
      <c r="CQ5" t="s">
        <v>1773</v>
      </c>
      <c r="CR5">
        <v>2025</v>
      </c>
      <c r="CS5" t="s">
        <v>2117</v>
      </c>
      <c r="CT5" s="6">
        <v>45905</v>
      </c>
      <c r="CU5">
        <v>5</v>
      </c>
      <c r="CV5">
        <v>975877</v>
      </c>
      <c r="CW5">
        <v>104365</v>
      </c>
      <c r="CX5" t="s">
        <v>2118</v>
      </c>
      <c r="DA5" t="str">
        <f>_xll.BDS("MOG/A US Equity","SUPPLY_CHAIN_CUSTOMERS_ALL_DATA","cols=12;rows=5")</f>
        <v>3352Z US Equity</v>
      </c>
      <c r="DB5">
        <v>37.083244000000001</v>
      </c>
      <c r="DD5">
        <v>-2.4245362661989844E-14</v>
      </c>
      <c r="DE5" t="s">
        <v>1781</v>
      </c>
      <c r="DF5">
        <v>2026</v>
      </c>
      <c r="DG5" t="s">
        <v>2885</v>
      </c>
      <c r="DH5" s="6">
        <v>46052</v>
      </c>
      <c r="DI5">
        <v>5</v>
      </c>
      <c r="DJ5">
        <v>408044000</v>
      </c>
      <c r="DK5">
        <v>218252</v>
      </c>
      <c r="DL5" t="s">
        <v>1798</v>
      </c>
      <c r="DQ5" t="str">
        <f>_xll.BDS("UPS US Equity","SUPPLY_CHAIN_SUPPLIERS_ALL_DATA","cols=12;rows=5")</f>
        <v>BA US Equity</v>
      </c>
      <c r="DR5" t="s">
        <v>1906</v>
      </c>
      <c r="DS5">
        <v>0.85980599999999996</v>
      </c>
      <c r="DT5">
        <v>17.417389</v>
      </c>
      <c r="DU5" t="s">
        <v>1768</v>
      </c>
      <c r="DV5">
        <v>2025</v>
      </c>
      <c r="DW5" t="s">
        <v>2625</v>
      </c>
      <c r="DX5" s="6">
        <v>45873</v>
      </c>
      <c r="DY5">
        <v>5</v>
      </c>
      <c r="DZ5">
        <v>195597264</v>
      </c>
      <c r="EA5">
        <v>100211</v>
      </c>
      <c r="EB5" t="s">
        <v>1825</v>
      </c>
      <c r="EE5" t="str">
        <f>_xll.BDS("UPS US Equity","SUPPLY_CHAIN_CUSTOMERS_ALL_DATA","cols=12;rows=5")</f>
        <v>AMZN US Equity</v>
      </c>
      <c r="EF5">
        <v>10.6</v>
      </c>
      <c r="EG5" t="s">
        <v>1777</v>
      </c>
      <c r="EH5">
        <v>2.6368399999999999</v>
      </c>
      <c r="EI5" t="s">
        <v>1789</v>
      </c>
      <c r="EJ5">
        <v>2025</v>
      </c>
      <c r="EK5" t="s">
        <v>2525</v>
      </c>
      <c r="EL5" s="6">
        <v>46070</v>
      </c>
      <c r="EM5">
        <v>5</v>
      </c>
      <c r="EN5">
        <v>2349516544</v>
      </c>
      <c r="EO5">
        <v>216952</v>
      </c>
      <c r="EP5" t="s">
        <v>1815</v>
      </c>
      <c r="EU5" t="str">
        <f>_xll.BDS("VYX US Equity","SUPPLY_CHAIN_SUPPLIERS_ALL_DATA","cols=12;rows=5")</f>
        <v>CUZ US Equity</v>
      </c>
      <c r="EV5" t="s">
        <v>1808</v>
      </c>
      <c r="EW5">
        <v>4.2957650000000003</v>
      </c>
      <c r="EX5">
        <v>9.4242830000000009</v>
      </c>
      <c r="EY5" t="s">
        <v>1789</v>
      </c>
      <c r="EZ5">
        <v>2025</v>
      </c>
      <c r="FA5" t="s">
        <v>2421</v>
      </c>
      <c r="FB5" s="6">
        <v>46058</v>
      </c>
      <c r="FC5">
        <v>5</v>
      </c>
      <c r="FD5">
        <v>10673000</v>
      </c>
      <c r="FE5">
        <v>106045</v>
      </c>
      <c r="FF5" t="s">
        <v>2422</v>
      </c>
      <c r="FI5" t="str">
        <f>_xll.BDS("VYX US Equity","SUPPLY_CHAIN_CUSTOMERS_ALL_DATA","cols=12;rows=5")</f>
        <v>TSCO LN Equity</v>
      </c>
      <c r="FJ5">
        <v>0.20727400000000001</v>
      </c>
      <c r="FK5" t="s">
        <v>1777</v>
      </c>
      <c r="FL5">
        <v>6.3730000000000002E-3</v>
      </c>
      <c r="FM5" t="s">
        <v>1781</v>
      </c>
      <c r="FN5">
        <v>2026</v>
      </c>
      <c r="FO5" t="s">
        <v>1782</v>
      </c>
      <c r="FP5" s="6">
        <v>45898</v>
      </c>
      <c r="FQ5">
        <v>5</v>
      </c>
      <c r="FR5">
        <v>1352248.2</v>
      </c>
      <c r="FS5">
        <v>112370</v>
      </c>
      <c r="FT5" t="s">
        <v>1783</v>
      </c>
      <c r="FY5" t="str">
        <f>_xll.BDS("ONB US Equity","SUPPLY_CHAIN_SUPPLIERS_ALL_DATA","cols=12;rows=3")</f>
        <v>FCPT US Equity</v>
      </c>
      <c r="GA5">
        <v>-2.4245362661989844E-14</v>
      </c>
      <c r="GB5">
        <v>-2.4245362661989844E-14</v>
      </c>
      <c r="GC5" t="s">
        <v>1789</v>
      </c>
      <c r="GD5">
        <v>2023</v>
      </c>
      <c r="GE5" t="s">
        <v>1964</v>
      </c>
      <c r="GF5" s="6">
        <v>45337</v>
      </c>
      <c r="GG5">
        <v>3</v>
      </c>
      <c r="GH5">
        <v>-2.4245362661989844E-14</v>
      </c>
      <c r="GI5">
        <v>46177523</v>
      </c>
      <c r="GJ5" t="s">
        <v>1965</v>
      </c>
      <c r="GM5" t="str">
        <f>_xll.BDS("ONB US Equity","SUPPLY_CHAIN_CUSTOMERS_ALL_DATA")</f>
        <v>#N/A N/A</v>
      </c>
      <c r="HC5" t="str">
        <f>_xll.BDS("KTO US Equity","SUPPLY_CHAIN_SUPPLIERS_ALL_DATA")</f>
        <v>#N/A N/A</v>
      </c>
      <c r="HQ5" t="str">
        <f>_xll.BDS("KTO US Equity","SUPPLY_CHAIN_CUSTOMERS_ALL_DATA")</f>
        <v>#N/A N/A</v>
      </c>
      <c r="IG5" t="str">
        <f>_xll.BDS("CMKC US Equity","SUPPLY_CHAIN_SUPPLIERS_ALL_DATA")</f>
        <v>#N/A N/A</v>
      </c>
      <c r="IU5" t="str">
        <f>_xll.BDS("CMKC US Equity","SUPPLY_CHAIN_CUSTOMERS_ALL_DATA")</f>
        <v>#N/A N/A</v>
      </c>
      <c r="JK5" t="str">
        <f>_xll.BDS("1806854D US Equity","SUPPLY_CHAIN_SUPPLIERS_ALL_DATA")</f>
        <v>#N/A N/A</v>
      </c>
      <c r="JY5" t="str">
        <f>_xll.BDS("1806854D US Equity","SUPPLY_CHAIN_CUSTOMERS_ALL_DATA")</f>
        <v>#N/A N/A</v>
      </c>
      <c r="KO5" t="str">
        <f>_xll.BDS("MPB US Equity","SUPPLY_CHAIN_SUPPLIERS_ALL_DATA")</f>
        <v>#N/A N/A</v>
      </c>
      <c r="LC5" t="str">
        <f>_xll.BDS("MPB US Equity","SUPPLY_CHAIN_CUSTOMERS_ALL_DATA")</f>
        <v>#N/A N/A</v>
      </c>
      <c r="LS5" t="str">
        <f>_xll.BDS("ZRAN US Equity","SUPPLY_CHAIN_SUPPLIERS_ALL_DATA")</f>
        <v>#N/A N/A</v>
      </c>
      <c r="MG5" t="str">
        <f>_xll.BDS("ZRAN US Equity","SUPPLY_CHAIN_CUSTOMERS_ALL_DATA")</f>
        <v>#N/A N/A</v>
      </c>
      <c r="MW5" t="str">
        <f>_xll.BDS("GBCI US Equity","SUPPLY_CHAIN_SUPPLIERS_ALL_DATA","cols=12;rows=1")</f>
        <v>VYX US Equity</v>
      </c>
      <c r="MY5">
        <v>-2.4245362661989844E-14</v>
      </c>
      <c r="MZ5">
        <v>-2.4245362661989844E-14</v>
      </c>
      <c r="NA5" t="s">
        <v>1768</v>
      </c>
      <c r="NB5">
        <v>2023</v>
      </c>
      <c r="NC5" t="s">
        <v>1969</v>
      </c>
      <c r="ND5" s="6">
        <v>45173</v>
      </c>
      <c r="NE5">
        <v>1</v>
      </c>
      <c r="NF5">
        <v>-2.4245362661989844E-14</v>
      </c>
      <c r="NG5">
        <v>202476</v>
      </c>
      <c r="NH5" t="s">
        <v>1970</v>
      </c>
      <c r="NK5" t="str">
        <f>_xll.BDS("GBCI US Equity","SUPPLY_CHAIN_CUSTOMERS_ALL_DATA")</f>
        <v>#N/A N/A</v>
      </c>
      <c r="OA5" t="str">
        <f>_xll.BDS("USX US Equity","SUPPLY_CHAIN_SUPPLIERS_ALL_DATA","cols=12;rows=2")</f>
        <v>AUR US Equity</v>
      </c>
      <c r="OC5">
        <v>-2.4245362661989844E-14</v>
      </c>
      <c r="OD5">
        <v>-2.4245362661989844E-14</v>
      </c>
      <c r="OE5" t="s">
        <v>1789</v>
      </c>
      <c r="OF5">
        <v>2023</v>
      </c>
      <c r="OG5" t="s">
        <v>2415</v>
      </c>
      <c r="OH5" s="6">
        <v>45048</v>
      </c>
      <c r="OI5">
        <v>2</v>
      </c>
      <c r="OJ5">
        <v>-2.4245362661989844E-14</v>
      </c>
      <c r="OK5">
        <v>69451217</v>
      </c>
      <c r="OL5" t="s">
        <v>2416</v>
      </c>
      <c r="OO5" t="str">
        <f>_xll.BDS("USX US Equity","SUPPLY_CHAIN_CUSTOMERS_ALL_DATA")</f>
        <v>#N/A N/A</v>
      </c>
      <c r="PE5" t="str">
        <f>_xll.BDS("FNB US Equity","SUPPLY_CHAIN_SUPPLIERS_ALL_DATA","cols=12;rows=1")</f>
        <v>HY US Equity</v>
      </c>
      <c r="PG5">
        <v>-2.4245362661989844E-14</v>
      </c>
      <c r="PH5">
        <v>-2.4245362661989844E-14</v>
      </c>
      <c r="PI5" t="s">
        <v>1789</v>
      </c>
      <c r="PJ5">
        <v>2024</v>
      </c>
      <c r="PK5" t="s">
        <v>2269</v>
      </c>
      <c r="PL5" s="6">
        <v>45427</v>
      </c>
      <c r="PM5">
        <v>1</v>
      </c>
      <c r="PN5">
        <v>-2.4245362661989844E-14</v>
      </c>
      <c r="PO5">
        <v>159242</v>
      </c>
      <c r="PP5" t="s">
        <v>2270</v>
      </c>
      <c r="PS5" t="str">
        <f>_xll.BDS("FNB US Equity","SUPPLY_CHAIN_CUSTOMERS_ALL_DATA")</f>
        <v>#N/A N/A</v>
      </c>
      <c r="QI5" t="str">
        <f>_xll.BDS("SNV US Equity","SUPPLY_CHAIN_SUPPLIERS_ALL_DATA","cols=12;rows=1")</f>
        <v>VYX US Equity</v>
      </c>
      <c r="QK5">
        <v>-2.4245362661989844E-14</v>
      </c>
      <c r="QL5">
        <v>-2.4245362661989844E-14</v>
      </c>
      <c r="QM5" t="s">
        <v>1768</v>
      </c>
      <c r="QN5">
        <v>2023</v>
      </c>
      <c r="QO5" t="s">
        <v>1969</v>
      </c>
      <c r="QP5" s="6">
        <v>45174</v>
      </c>
      <c r="QQ5">
        <v>1</v>
      </c>
      <c r="QR5">
        <v>-2.4245362661989844E-14</v>
      </c>
      <c r="QS5">
        <v>202476</v>
      </c>
      <c r="QT5" t="s">
        <v>1970</v>
      </c>
      <c r="QW5" t="str">
        <f>_xll.BDS("SNV US Equity","SUPPLY_CHAIN_CUSTOMERS_ALL_DATA")</f>
        <v>#N/A N/A</v>
      </c>
      <c r="RM5" t="str">
        <f>_xll.BDS("NIC US Equity","SUPPLY_CHAIN_SUPPLIERS_ALL_DATA","cols=12;rows=1")</f>
        <v>VYX US Equity</v>
      </c>
      <c r="RO5">
        <v>-2.4245362661989844E-14</v>
      </c>
      <c r="RP5">
        <v>-2.4245362661989844E-14</v>
      </c>
      <c r="RQ5" t="s">
        <v>1785</v>
      </c>
      <c r="RR5">
        <v>2023</v>
      </c>
      <c r="RS5" t="s">
        <v>3677</v>
      </c>
      <c r="RT5" s="6">
        <v>45730</v>
      </c>
      <c r="RU5">
        <v>1</v>
      </c>
      <c r="RV5">
        <v>-2.4245362661989844E-14</v>
      </c>
      <c r="RW5">
        <v>202476</v>
      </c>
      <c r="RX5" t="s">
        <v>1970</v>
      </c>
      <c r="SA5" t="str">
        <f>_xll.BDS("NIC US Equity","SUPPLY_CHAIN_CUSTOMERS_ALL_DATA")</f>
        <v>#N/A N/A</v>
      </c>
      <c r="SQ5" t="str">
        <f>_xll.BDS("IBKC US Equity","SUPPLY_CHAIN_SUPPLIERS_ALL_DATA")</f>
        <v>#N/A N/A</v>
      </c>
      <c r="TE5" t="str">
        <f>_xll.BDS("IBKC US Equity","SUPPLY_CHAIN_CUSTOMERS_ALL_DATA")</f>
        <v>#N/A N/A</v>
      </c>
      <c r="TU5" t="str">
        <f>_xll.BDS("1255173D US Equity","SUPPLY_CHAIN_SUPPLIERS_ALL_DATA")</f>
        <v>#N/A N/A</v>
      </c>
      <c r="UI5" t="str">
        <f>_xll.BDS("1255173D US Equity","SUPPLY_CHAIN_CUSTOMERS_ALL_DATA")</f>
        <v>#N/A N/A</v>
      </c>
      <c r="UY5" t="str">
        <f>_xll.BDS("UNP US Equity","SUPPLY_CHAIN_SUPPLIERS_ALL_DATA","cols=12;rows=5")</f>
        <v>WAB US Equity</v>
      </c>
      <c r="UZ5" t="s">
        <v>1777</v>
      </c>
      <c r="VA5">
        <v>5.4963600000000001</v>
      </c>
      <c r="VB5">
        <v>4.0984160000000003</v>
      </c>
      <c r="VC5" t="s">
        <v>1773</v>
      </c>
      <c r="VD5">
        <v>2025</v>
      </c>
      <c r="VE5" t="s">
        <v>2687</v>
      </c>
      <c r="VF5" s="6">
        <v>45952</v>
      </c>
      <c r="VG5">
        <v>5</v>
      </c>
      <c r="VH5">
        <v>148731504</v>
      </c>
      <c r="VI5">
        <v>171010</v>
      </c>
      <c r="VJ5" t="s">
        <v>2688</v>
      </c>
      <c r="VM5" t="str">
        <f>_xll.BDS("UNP US Equity","SUPPLY_CHAIN_CUSTOMERS_ALL_DATA","cols=12;rows=5")</f>
        <v>0517476D US Equity</v>
      </c>
      <c r="VN5">
        <v>-2.4245362661989844E-14</v>
      </c>
      <c r="VP5">
        <v>-2.4245362661989844E-14</v>
      </c>
      <c r="VQ5" t="s">
        <v>1785</v>
      </c>
      <c r="VR5">
        <v>2025</v>
      </c>
      <c r="VS5" t="s">
        <v>2867</v>
      </c>
      <c r="VT5" s="6">
        <v>46034</v>
      </c>
      <c r="VU5">
        <v>5</v>
      </c>
      <c r="VV5">
        <v>-2.4245362661989844E-14</v>
      </c>
      <c r="VW5">
        <v>31488153</v>
      </c>
      <c r="VX5" t="s">
        <v>2868</v>
      </c>
    </row>
    <row r="6" spans="1:600" x14ac:dyDescent="0.25">
      <c r="A6" t="s">
        <v>1918</v>
      </c>
      <c r="C6">
        <v>-2.4245362661989844E-14</v>
      </c>
      <c r="D6">
        <v>-2.4245362661989844E-14</v>
      </c>
      <c r="E6" t="s">
        <v>1789</v>
      </c>
      <c r="F6">
        <v>2021</v>
      </c>
      <c r="G6" t="s">
        <v>1919</v>
      </c>
      <c r="H6" s="6">
        <v>44693</v>
      </c>
      <c r="I6">
        <v>5</v>
      </c>
      <c r="J6">
        <v>-2.4245362661989844E-14</v>
      </c>
      <c r="K6">
        <v>100060</v>
      </c>
      <c r="L6" t="s">
        <v>1920</v>
      </c>
      <c r="CM6" t="s">
        <v>463</v>
      </c>
      <c r="CN6" t="s">
        <v>1777</v>
      </c>
      <c r="CO6">
        <v>0.109293</v>
      </c>
      <c r="CP6">
        <v>0.135791</v>
      </c>
      <c r="CQ6" t="s">
        <v>1768</v>
      </c>
      <c r="CR6">
        <v>2025</v>
      </c>
      <c r="CS6" t="s">
        <v>2114</v>
      </c>
      <c r="CT6" s="6">
        <v>45912</v>
      </c>
      <c r="CU6">
        <v>5</v>
      </c>
      <c r="CV6">
        <v>958036</v>
      </c>
      <c r="CW6">
        <v>100421</v>
      </c>
      <c r="CX6" t="s">
        <v>2115</v>
      </c>
      <c r="DA6" t="s">
        <v>1824</v>
      </c>
      <c r="DB6">
        <v>10</v>
      </c>
      <c r="DC6" t="s">
        <v>1777</v>
      </c>
      <c r="DD6">
        <v>0.49679299999999998</v>
      </c>
      <c r="DE6" t="s">
        <v>1789</v>
      </c>
      <c r="DF6">
        <v>2025</v>
      </c>
      <c r="DG6" t="s">
        <v>2886</v>
      </c>
      <c r="DH6" s="6">
        <v>45987</v>
      </c>
      <c r="DI6">
        <v>5</v>
      </c>
      <c r="DJ6">
        <v>99196000</v>
      </c>
      <c r="DK6">
        <v>100211</v>
      </c>
      <c r="DL6" t="s">
        <v>1825</v>
      </c>
      <c r="DQ6" t="s">
        <v>2094</v>
      </c>
      <c r="DR6" t="s">
        <v>1777</v>
      </c>
      <c r="DS6">
        <v>0.28497400000000001</v>
      </c>
      <c r="DT6">
        <v>0.26258399999999998</v>
      </c>
      <c r="DU6" t="s">
        <v>1785</v>
      </c>
      <c r="DV6">
        <v>2025</v>
      </c>
      <c r="DW6" t="s">
        <v>2095</v>
      </c>
      <c r="DX6" s="6">
        <v>45848</v>
      </c>
      <c r="DY6">
        <v>5</v>
      </c>
      <c r="DZ6">
        <v>45319416</v>
      </c>
      <c r="EA6">
        <v>101752</v>
      </c>
      <c r="EB6" t="s">
        <v>2096</v>
      </c>
      <c r="EE6" t="s">
        <v>1879</v>
      </c>
      <c r="EF6">
        <v>2.13375</v>
      </c>
      <c r="EG6" t="s">
        <v>1777</v>
      </c>
      <c r="EH6">
        <v>6.7306309999999998</v>
      </c>
      <c r="EI6" t="s">
        <v>1773</v>
      </c>
      <c r="EJ6">
        <v>2025</v>
      </c>
      <c r="EK6" t="s">
        <v>2526</v>
      </c>
      <c r="EL6" s="6">
        <v>46007</v>
      </c>
      <c r="EM6">
        <v>5</v>
      </c>
      <c r="EN6">
        <v>456942560</v>
      </c>
      <c r="EO6">
        <v>194534</v>
      </c>
      <c r="EP6" t="s">
        <v>1880</v>
      </c>
      <c r="EU6" t="s">
        <v>2423</v>
      </c>
      <c r="EV6" t="s">
        <v>1777</v>
      </c>
      <c r="EW6">
        <v>4.6829999999999997E-2</v>
      </c>
      <c r="EX6">
        <v>0.76054999999999995</v>
      </c>
      <c r="EY6" t="s">
        <v>1773</v>
      </c>
      <c r="EZ6">
        <v>2025</v>
      </c>
      <c r="FA6" t="s">
        <v>2424</v>
      </c>
      <c r="FB6" s="6">
        <v>45867</v>
      </c>
      <c r="FC6">
        <v>5</v>
      </c>
      <c r="FD6">
        <v>3665852</v>
      </c>
      <c r="FE6">
        <v>117092</v>
      </c>
      <c r="FF6" t="s">
        <v>2425</v>
      </c>
      <c r="FI6" t="s">
        <v>3708</v>
      </c>
      <c r="FJ6">
        <v>0.110349</v>
      </c>
      <c r="FK6" t="s">
        <v>1777</v>
      </c>
      <c r="FL6">
        <v>5.4117999999999999E-2</v>
      </c>
      <c r="FM6" t="s">
        <v>1768</v>
      </c>
      <c r="FN6">
        <v>2025</v>
      </c>
      <c r="FO6" t="s">
        <v>3709</v>
      </c>
      <c r="FP6" s="6">
        <v>45898</v>
      </c>
      <c r="FQ6">
        <v>5</v>
      </c>
      <c r="FR6">
        <v>734924</v>
      </c>
      <c r="FS6">
        <v>18196193</v>
      </c>
      <c r="FT6" t="s">
        <v>3710</v>
      </c>
      <c r="FY6" t="s">
        <v>1966</v>
      </c>
      <c r="GA6">
        <v>-2.4245362661989844E-14</v>
      </c>
      <c r="GB6">
        <v>-2.4245362661989844E-14</v>
      </c>
      <c r="GC6" t="s">
        <v>1781</v>
      </c>
      <c r="GD6">
        <v>2023</v>
      </c>
      <c r="GE6" t="s">
        <v>1967</v>
      </c>
      <c r="GF6" s="6">
        <v>45020</v>
      </c>
      <c r="GG6">
        <v>3</v>
      </c>
      <c r="GH6">
        <v>-2.4245362661989844E-14</v>
      </c>
      <c r="GI6">
        <v>106252</v>
      </c>
      <c r="GJ6" t="s">
        <v>1968</v>
      </c>
      <c r="OA6" t="s">
        <v>2094</v>
      </c>
      <c r="OC6">
        <v>-2.4245362661989844E-14</v>
      </c>
      <c r="OD6">
        <v>-2.4245362661989844E-14</v>
      </c>
      <c r="OE6" t="s">
        <v>1773</v>
      </c>
      <c r="OF6">
        <v>2022</v>
      </c>
      <c r="OG6" t="s">
        <v>2417</v>
      </c>
      <c r="OH6" s="6">
        <v>44630</v>
      </c>
      <c r="OI6">
        <v>2</v>
      </c>
      <c r="OJ6">
        <v>-2.4245362661989844E-14</v>
      </c>
      <c r="OK6">
        <v>101752</v>
      </c>
      <c r="OL6" t="s">
        <v>2096</v>
      </c>
      <c r="UY6" t="s">
        <v>3041</v>
      </c>
      <c r="UZ6" t="s">
        <v>1906</v>
      </c>
      <c r="VA6">
        <v>1.4699450000000001</v>
      </c>
      <c r="VB6">
        <v>7.1693160000000002</v>
      </c>
      <c r="VC6" t="s">
        <v>1768</v>
      </c>
      <c r="VD6">
        <v>2025</v>
      </c>
      <c r="VE6" t="s">
        <v>3042</v>
      </c>
      <c r="VF6" s="6">
        <v>45937</v>
      </c>
      <c r="VG6">
        <v>5</v>
      </c>
      <c r="VH6">
        <v>67104796</v>
      </c>
      <c r="VI6">
        <v>194694</v>
      </c>
      <c r="VJ6" t="s">
        <v>3043</v>
      </c>
      <c r="VM6" t="s">
        <v>2869</v>
      </c>
      <c r="VN6">
        <v>-2.4245362661989844E-14</v>
      </c>
      <c r="VP6">
        <v>-2.4245362661989844E-14</v>
      </c>
      <c r="VQ6" t="s">
        <v>1789</v>
      </c>
      <c r="VR6">
        <v>2025</v>
      </c>
      <c r="VS6" t="s">
        <v>2870</v>
      </c>
      <c r="VT6" s="6">
        <v>45770</v>
      </c>
      <c r="VU6">
        <v>5</v>
      </c>
      <c r="VV6">
        <v>-2.4245362661989844E-14</v>
      </c>
      <c r="VW6">
        <v>45137010</v>
      </c>
      <c r="VX6" t="s">
        <v>2871</v>
      </c>
    </row>
    <row r="7" spans="1:600" x14ac:dyDescent="0.25">
      <c r="A7" t="s">
        <v>1992</v>
      </c>
      <c r="C7">
        <v>-2.4245362661989844E-14</v>
      </c>
      <c r="D7">
        <v>-2.4245362661989844E-14</v>
      </c>
      <c r="E7" t="s">
        <v>1789</v>
      </c>
      <c r="F7">
        <v>2021</v>
      </c>
      <c r="G7" t="s">
        <v>1993</v>
      </c>
      <c r="H7" s="6">
        <v>44693</v>
      </c>
      <c r="I7">
        <v>5</v>
      </c>
      <c r="J7">
        <v>-2.4245362661989844E-14</v>
      </c>
      <c r="K7">
        <v>101690</v>
      </c>
      <c r="L7" t="s">
        <v>1994</v>
      </c>
      <c r="CM7" t="s">
        <v>3048</v>
      </c>
      <c r="CN7" t="s">
        <v>1777</v>
      </c>
      <c r="CO7">
        <v>9.6249999999999999E-3</v>
      </c>
      <c r="CP7">
        <v>0.12590799999999999</v>
      </c>
      <c r="CQ7" t="s">
        <v>1773</v>
      </c>
      <c r="CR7">
        <v>2025</v>
      </c>
      <c r="CS7" t="s">
        <v>3049</v>
      </c>
      <c r="CT7" s="6">
        <v>45883</v>
      </c>
      <c r="CU7">
        <v>5</v>
      </c>
      <c r="CV7">
        <v>889112.38</v>
      </c>
      <c r="CW7">
        <v>815253</v>
      </c>
      <c r="CX7" t="s">
        <v>3050</v>
      </c>
      <c r="DA7" t="s">
        <v>1821</v>
      </c>
      <c r="DB7">
        <v>7.4262569999999997</v>
      </c>
      <c r="DC7" t="s">
        <v>1777</v>
      </c>
      <c r="DD7">
        <v>0.41564899999999999</v>
      </c>
      <c r="DE7" t="s">
        <v>1773</v>
      </c>
      <c r="DF7">
        <v>2025</v>
      </c>
      <c r="DG7" t="s">
        <v>2887</v>
      </c>
      <c r="DH7" s="6">
        <v>45936</v>
      </c>
      <c r="DI7">
        <v>5</v>
      </c>
      <c r="DJ7">
        <v>72135912</v>
      </c>
      <c r="DK7">
        <v>156923</v>
      </c>
      <c r="DL7" t="s">
        <v>1822</v>
      </c>
      <c r="DQ7" t="s">
        <v>2626</v>
      </c>
      <c r="DR7" t="s">
        <v>1808</v>
      </c>
      <c r="DS7">
        <v>1.242119</v>
      </c>
      <c r="DT7">
        <v>1.6577379999999999</v>
      </c>
      <c r="DU7" t="s">
        <v>1785</v>
      </c>
      <c r="DV7">
        <v>2025</v>
      </c>
      <c r="DW7" t="s">
        <v>2627</v>
      </c>
      <c r="DX7" s="6">
        <v>45796</v>
      </c>
      <c r="DY7">
        <v>5</v>
      </c>
      <c r="DZ7">
        <v>43459294.869999997</v>
      </c>
      <c r="EA7">
        <v>995671</v>
      </c>
      <c r="EB7" t="s">
        <v>2628</v>
      </c>
      <c r="EE7" t="s">
        <v>2527</v>
      </c>
      <c r="EF7">
        <v>1.049579</v>
      </c>
      <c r="EG7" t="s">
        <v>1777</v>
      </c>
      <c r="EH7">
        <v>0.30361300000000002</v>
      </c>
      <c r="EI7" t="s">
        <v>1773</v>
      </c>
      <c r="EJ7">
        <v>2025</v>
      </c>
      <c r="EK7" t="s">
        <v>2526</v>
      </c>
      <c r="EL7" s="6">
        <v>46007</v>
      </c>
      <c r="EM7">
        <v>5</v>
      </c>
      <c r="EN7">
        <v>224767344</v>
      </c>
      <c r="EO7">
        <v>154936</v>
      </c>
      <c r="EP7" t="s">
        <v>2528</v>
      </c>
      <c r="EU7" t="s">
        <v>2426</v>
      </c>
      <c r="EV7" t="s">
        <v>1777</v>
      </c>
      <c r="EW7">
        <v>9.7725999999999993E-2</v>
      </c>
      <c r="EX7">
        <v>0.30792799999999998</v>
      </c>
      <c r="EY7" t="s">
        <v>1773</v>
      </c>
      <c r="EZ7">
        <v>2024</v>
      </c>
      <c r="FA7" t="s">
        <v>2427</v>
      </c>
      <c r="FB7" s="6">
        <v>45698</v>
      </c>
      <c r="FC7">
        <v>5</v>
      </c>
      <c r="FD7">
        <v>1678401.7</v>
      </c>
      <c r="FE7">
        <v>8727950</v>
      </c>
      <c r="FF7" t="s">
        <v>2428</v>
      </c>
      <c r="FI7" t="s">
        <v>2901</v>
      </c>
      <c r="FJ7">
        <v>8.8646000000000003E-2</v>
      </c>
      <c r="FK7" t="s">
        <v>1777</v>
      </c>
      <c r="FL7">
        <v>9.0456999999999996E-2</v>
      </c>
      <c r="FM7" t="s">
        <v>1773</v>
      </c>
      <c r="FN7">
        <v>2025</v>
      </c>
      <c r="FO7" t="s">
        <v>3711</v>
      </c>
      <c r="FP7" s="6">
        <v>45840</v>
      </c>
      <c r="FQ7">
        <v>5</v>
      </c>
      <c r="FR7">
        <v>546944</v>
      </c>
      <c r="FS7">
        <v>136424</v>
      </c>
      <c r="FT7" t="s">
        <v>2903</v>
      </c>
      <c r="FY7" t="s">
        <v>1121</v>
      </c>
      <c r="GA7">
        <v>-2.4245362661989844E-14</v>
      </c>
      <c r="GB7">
        <v>-2.4245362661989844E-14</v>
      </c>
      <c r="GC7" t="s">
        <v>1768</v>
      </c>
      <c r="GD7">
        <v>2023</v>
      </c>
      <c r="GE7" t="s">
        <v>1969</v>
      </c>
      <c r="GF7" s="6">
        <v>45174</v>
      </c>
      <c r="GG7">
        <v>3</v>
      </c>
      <c r="GH7">
        <v>-2.4245362661989844E-14</v>
      </c>
      <c r="GI7">
        <v>202476</v>
      </c>
      <c r="GJ7" t="s">
        <v>1970</v>
      </c>
      <c r="UY7" t="s">
        <v>3044</v>
      </c>
      <c r="UZ7" t="s">
        <v>1906</v>
      </c>
      <c r="VA7">
        <v>5.1439310000000003</v>
      </c>
      <c r="VB7">
        <v>2.5918369999999999</v>
      </c>
      <c r="VC7" t="s">
        <v>1781</v>
      </c>
      <c r="VD7">
        <v>2025</v>
      </c>
      <c r="VE7" t="s">
        <v>3045</v>
      </c>
      <c r="VF7" s="6">
        <v>45805</v>
      </c>
      <c r="VG7">
        <v>5</v>
      </c>
      <c r="VH7">
        <v>23482044</v>
      </c>
      <c r="VI7">
        <v>9291252</v>
      </c>
      <c r="VJ7" t="s">
        <v>3046</v>
      </c>
      <c r="VM7" t="s">
        <v>2872</v>
      </c>
      <c r="VN7">
        <v>-2.4245362661989844E-14</v>
      </c>
      <c r="VP7">
        <v>-2.4245362661989844E-14</v>
      </c>
      <c r="VQ7" t="s">
        <v>1789</v>
      </c>
      <c r="VR7">
        <v>2025</v>
      </c>
      <c r="VS7" t="s">
        <v>2870</v>
      </c>
      <c r="VT7" s="6">
        <v>45743</v>
      </c>
      <c r="VU7">
        <v>5</v>
      </c>
      <c r="VV7">
        <v>-2.4245362661989844E-14</v>
      </c>
      <c r="VW7">
        <v>69216845</v>
      </c>
      <c r="VX7" t="s">
        <v>2873</v>
      </c>
    </row>
    <row r="8" spans="1:600" x14ac:dyDescent="0.25">
      <c r="A8" t="s">
        <v>3762</v>
      </c>
      <c r="C8">
        <v>-2.4245362661989844E-14</v>
      </c>
      <c r="D8">
        <v>-2.4245362661989844E-14</v>
      </c>
      <c r="E8" t="s">
        <v>1789</v>
      </c>
      <c r="F8">
        <v>2021</v>
      </c>
      <c r="G8" t="s">
        <v>3763</v>
      </c>
      <c r="H8" s="6">
        <v>44693</v>
      </c>
      <c r="I8">
        <v>5</v>
      </c>
      <c r="J8">
        <v>-2.4245362661989844E-14</v>
      </c>
      <c r="K8">
        <v>310116</v>
      </c>
      <c r="L8" t="s">
        <v>3764</v>
      </c>
      <c r="CM8" t="s">
        <v>3051</v>
      </c>
      <c r="CN8" t="s">
        <v>1777</v>
      </c>
      <c r="CO8">
        <v>0.1236</v>
      </c>
      <c r="CP8">
        <v>0.12600900000000001</v>
      </c>
      <c r="CQ8" t="s">
        <v>1785</v>
      </c>
      <c r="CR8">
        <v>2025</v>
      </c>
      <c r="CS8" t="s">
        <v>3052</v>
      </c>
      <c r="CT8" s="6">
        <v>45884</v>
      </c>
      <c r="CU8">
        <v>5</v>
      </c>
      <c r="CV8">
        <v>889024</v>
      </c>
      <c r="CW8">
        <v>100277</v>
      </c>
      <c r="CX8" t="s">
        <v>3053</v>
      </c>
      <c r="DA8" t="s">
        <v>208</v>
      </c>
      <c r="DB8">
        <v>4.1998230000000003</v>
      </c>
      <c r="DC8" t="s">
        <v>1777</v>
      </c>
      <c r="DD8">
        <v>0.23711399999999999</v>
      </c>
      <c r="DE8" t="s">
        <v>1773</v>
      </c>
      <c r="DF8">
        <v>2025</v>
      </c>
      <c r="DG8" t="s">
        <v>2887</v>
      </c>
      <c r="DH8" s="6">
        <v>45936</v>
      </c>
      <c r="DI8">
        <v>5</v>
      </c>
      <c r="DJ8">
        <v>40795528</v>
      </c>
      <c r="DK8">
        <v>101555</v>
      </c>
      <c r="DL8" t="s">
        <v>1823</v>
      </c>
      <c r="DQ8" t="s">
        <v>2266</v>
      </c>
      <c r="DR8" t="s">
        <v>1777</v>
      </c>
      <c r="DS8">
        <v>1.1817230000000001</v>
      </c>
      <c r="DT8">
        <v>0.21010799999999999</v>
      </c>
      <c r="DU8" t="s">
        <v>1781</v>
      </c>
      <c r="DV8">
        <v>2025</v>
      </c>
      <c r="DW8" t="s">
        <v>2267</v>
      </c>
      <c r="DX8" s="6">
        <v>45849</v>
      </c>
      <c r="DY8">
        <v>5</v>
      </c>
      <c r="DZ8">
        <v>36262250.200000003</v>
      </c>
      <c r="EA8">
        <v>179551</v>
      </c>
      <c r="EB8" t="s">
        <v>2268</v>
      </c>
      <c r="EE8" t="s">
        <v>1902</v>
      </c>
      <c r="EF8">
        <v>1.024241</v>
      </c>
      <c r="EG8" t="s">
        <v>1777</v>
      </c>
      <c r="EH8">
        <v>1.5105029999999999</v>
      </c>
      <c r="EI8" t="s">
        <v>1773</v>
      </c>
      <c r="EJ8">
        <v>2025</v>
      </c>
      <c r="EK8" t="s">
        <v>2526</v>
      </c>
      <c r="EL8" s="6">
        <v>46007</v>
      </c>
      <c r="EM8">
        <v>5</v>
      </c>
      <c r="EN8">
        <v>219341216</v>
      </c>
      <c r="EO8">
        <v>1499717</v>
      </c>
      <c r="EP8" t="s">
        <v>1904</v>
      </c>
      <c r="EU8" t="s">
        <v>2429</v>
      </c>
      <c r="EV8" t="s">
        <v>1777</v>
      </c>
      <c r="EW8">
        <v>5.2581000000000003E-2</v>
      </c>
      <c r="EX8">
        <v>6.9420999999999997E-2</v>
      </c>
      <c r="EY8" t="s">
        <v>1768</v>
      </c>
      <c r="EZ8">
        <v>2025</v>
      </c>
      <c r="FA8" t="s">
        <v>2430</v>
      </c>
      <c r="FB8" s="6">
        <v>45833</v>
      </c>
      <c r="FC8">
        <v>5</v>
      </c>
      <c r="FD8">
        <v>334608</v>
      </c>
      <c r="FE8">
        <v>106173</v>
      </c>
      <c r="FF8" t="s">
        <v>2431</v>
      </c>
      <c r="FI8" t="s">
        <v>1864</v>
      </c>
      <c r="FJ8">
        <v>5.5046999999999999E-2</v>
      </c>
      <c r="FK8" t="s">
        <v>1777</v>
      </c>
      <c r="FL8">
        <v>8.3309999999999999E-3</v>
      </c>
      <c r="FM8" t="s">
        <v>1781</v>
      </c>
      <c r="FN8">
        <v>2025</v>
      </c>
      <c r="FO8" t="s">
        <v>1865</v>
      </c>
      <c r="FP8" s="6">
        <v>45820</v>
      </c>
      <c r="FQ8">
        <v>5</v>
      </c>
      <c r="FR8">
        <v>339638</v>
      </c>
      <c r="FS8">
        <v>12129192</v>
      </c>
      <c r="FT8" t="s">
        <v>1866</v>
      </c>
      <c r="UY8" t="s">
        <v>2094</v>
      </c>
      <c r="UZ8" t="s">
        <v>1777</v>
      </c>
      <c r="VA8">
        <v>6.0181999999999999E-2</v>
      </c>
      <c r="VB8">
        <v>0.26178200000000001</v>
      </c>
      <c r="VC8" t="s">
        <v>1785</v>
      </c>
      <c r="VD8">
        <v>2025</v>
      </c>
      <c r="VE8" t="s">
        <v>2095</v>
      </c>
      <c r="VF8" s="6">
        <v>45848</v>
      </c>
      <c r="VG8">
        <v>5</v>
      </c>
      <c r="VH8">
        <v>9570743</v>
      </c>
      <c r="VI8">
        <v>101752</v>
      </c>
      <c r="VJ8" t="s">
        <v>2096</v>
      </c>
      <c r="VM8" t="s">
        <v>2874</v>
      </c>
      <c r="VN8">
        <v>-2.4245362661989844E-14</v>
      </c>
      <c r="VP8">
        <v>-2.4245362661989844E-14</v>
      </c>
      <c r="VQ8" t="s">
        <v>1789</v>
      </c>
      <c r="VR8">
        <v>2023</v>
      </c>
      <c r="VS8" t="s">
        <v>2875</v>
      </c>
      <c r="VT8" s="6">
        <v>45337</v>
      </c>
      <c r="VU8">
        <v>5</v>
      </c>
      <c r="VV8">
        <v>-2.4245362661989844E-14</v>
      </c>
      <c r="VW8">
        <v>225815</v>
      </c>
      <c r="VX8" t="s">
        <v>2876</v>
      </c>
    </row>
    <row r="9" spans="1:600" x14ac:dyDescent="0.25">
      <c r="A9" t="s">
        <v>3739</v>
      </c>
      <c r="C9">
        <v>-2.4245362661989844E-14</v>
      </c>
      <c r="D9">
        <v>-2.4245362661989844E-14</v>
      </c>
      <c r="E9" t="s">
        <v>1789</v>
      </c>
      <c r="F9">
        <v>2021</v>
      </c>
      <c r="G9" t="s">
        <v>3740</v>
      </c>
      <c r="H9" s="6">
        <v>44693</v>
      </c>
      <c r="I9">
        <v>5</v>
      </c>
      <c r="J9">
        <v>-2.4245362661989844E-14</v>
      </c>
      <c r="K9">
        <v>100207</v>
      </c>
      <c r="L9" t="s">
        <v>3741</v>
      </c>
      <c r="CM9" t="s">
        <v>2034</v>
      </c>
      <c r="CN9" t="s">
        <v>1777</v>
      </c>
      <c r="CO9">
        <v>2.8975000000000001E-2</v>
      </c>
      <c r="CP9">
        <v>8.4314E-2</v>
      </c>
      <c r="CQ9" t="s">
        <v>1768</v>
      </c>
      <c r="CR9">
        <v>2025</v>
      </c>
      <c r="CS9" t="s">
        <v>3054</v>
      </c>
      <c r="CT9" s="6">
        <v>45936</v>
      </c>
      <c r="CU9">
        <v>5</v>
      </c>
      <c r="CV9">
        <v>594857</v>
      </c>
      <c r="CW9">
        <v>59099358</v>
      </c>
      <c r="CX9" t="s">
        <v>2036</v>
      </c>
      <c r="DA9" t="s">
        <v>1887</v>
      </c>
      <c r="DB9">
        <v>2.863442</v>
      </c>
      <c r="DC9" t="s">
        <v>1777</v>
      </c>
      <c r="DD9">
        <v>0.17907100000000001</v>
      </c>
      <c r="DE9" t="s">
        <v>1773</v>
      </c>
      <c r="DF9">
        <v>2025</v>
      </c>
      <c r="DG9" t="s">
        <v>2887</v>
      </c>
      <c r="DH9" s="6">
        <v>45936</v>
      </c>
      <c r="DI9">
        <v>5</v>
      </c>
      <c r="DJ9">
        <v>27814416</v>
      </c>
      <c r="DK9">
        <v>876285</v>
      </c>
      <c r="DL9" t="s">
        <v>1888</v>
      </c>
      <c r="DQ9" t="s">
        <v>2629</v>
      </c>
      <c r="DR9" t="s">
        <v>1777</v>
      </c>
      <c r="DS9">
        <v>3.4743949999999999</v>
      </c>
      <c r="DT9">
        <v>0.200156</v>
      </c>
      <c r="DU9" t="s">
        <v>1773</v>
      </c>
      <c r="DV9">
        <v>2025</v>
      </c>
      <c r="DW9" t="s">
        <v>2526</v>
      </c>
      <c r="DX9" s="6">
        <v>46007</v>
      </c>
      <c r="DY9">
        <v>5</v>
      </c>
      <c r="DZ9">
        <v>34789112</v>
      </c>
      <c r="EA9">
        <v>13421693</v>
      </c>
      <c r="EB9" t="s">
        <v>2630</v>
      </c>
      <c r="EE9" t="s">
        <v>2328</v>
      </c>
      <c r="EF9">
        <v>0.92627999999999999</v>
      </c>
      <c r="EG9" t="s">
        <v>1777</v>
      </c>
      <c r="EH9">
        <v>6.9479110000000004</v>
      </c>
      <c r="EI9" t="s">
        <v>1773</v>
      </c>
      <c r="EJ9">
        <v>2025</v>
      </c>
      <c r="EK9" t="s">
        <v>2526</v>
      </c>
      <c r="EL9" s="6">
        <v>46007</v>
      </c>
      <c r="EM9">
        <v>5</v>
      </c>
      <c r="EN9">
        <v>198362864</v>
      </c>
      <c r="EO9">
        <v>100562</v>
      </c>
      <c r="EP9" t="s">
        <v>2329</v>
      </c>
      <c r="EU9" t="s">
        <v>2432</v>
      </c>
      <c r="EV9" t="s">
        <v>1777</v>
      </c>
      <c r="EW9">
        <v>3.6396999999999999E-2</v>
      </c>
      <c r="EX9">
        <v>6.1549999999999999E-3</v>
      </c>
      <c r="EY9" t="s">
        <v>1785</v>
      </c>
      <c r="EZ9">
        <v>2024</v>
      </c>
      <c r="FA9" t="s">
        <v>2433</v>
      </c>
      <c r="FB9" s="6">
        <v>45688</v>
      </c>
      <c r="FC9">
        <v>5</v>
      </c>
      <c r="FD9">
        <v>33546</v>
      </c>
      <c r="FE9">
        <v>17463341</v>
      </c>
      <c r="FF9" t="s">
        <v>2434</v>
      </c>
      <c r="FI9" t="s">
        <v>2971</v>
      </c>
      <c r="FJ9">
        <v>2.4209000000000001E-2</v>
      </c>
      <c r="FK9" t="s">
        <v>1777</v>
      </c>
      <c r="FL9">
        <v>2.9028999999999999E-2</v>
      </c>
      <c r="FM9" t="s">
        <v>1773</v>
      </c>
      <c r="FN9">
        <v>2025</v>
      </c>
      <c r="FO9" t="s">
        <v>2972</v>
      </c>
      <c r="FP9" s="6">
        <v>46034</v>
      </c>
      <c r="FQ9">
        <v>5</v>
      </c>
      <c r="FR9">
        <v>165588</v>
      </c>
      <c r="FS9">
        <v>313021</v>
      </c>
      <c r="FT9" t="s">
        <v>2973</v>
      </c>
      <c r="UY9" t="s">
        <v>787</v>
      </c>
      <c r="UZ9" t="s">
        <v>1906</v>
      </c>
      <c r="VA9">
        <v>1.59989</v>
      </c>
      <c r="VB9">
        <v>0.86524000000000001</v>
      </c>
      <c r="VC9" t="s">
        <v>1768</v>
      </c>
      <c r="VD9">
        <v>2025</v>
      </c>
      <c r="VE9" t="s">
        <v>2224</v>
      </c>
      <c r="VF9" s="6">
        <v>45883</v>
      </c>
      <c r="VG9">
        <v>5</v>
      </c>
      <c r="VH9">
        <v>8098643</v>
      </c>
      <c r="VI9">
        <v>101512</v>
      </c>
      <c r="VJ9" t="s">
        <v>3047</v>
      </c>
      <c r="VM9" t="s">
        <v>2877</v>
      </c>
      <c r="VN9">
        <v>-2.4245362661989844E-14</v>
      </c>
      <c r="VP9">
        <v>-2.4245362661989844E-14</v>
      </c>
      <c r="VQ9" t="s">
        <v>1789</v>
      </c>
      <c r="VR9">
        <v>2022</v>
      </c>
      <c r="VS9" t="s">
        <v>2878</v>
      </c>
      <c r="VT9" s="6">
        <v>45012</v>
      </c>
      <c r="VU9">
        <v>5</v>
      </c>
      <c r="VV9">
        <v>-2.4245362661989844E-14</v>
      </c>
      <c r="VW9">
        <v>66040727</v>
      </c>
      <c r="VX9" t="s">
        <v>2879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1147</v>
      </c>
      <c r="AE2" s="3" t="s">
        <v>1148</v>
      </c>
      <c r="BI2" s="3" t="s">
        <v>79</v>
      </c>
      <c r="CM2" s="3" t="s">
        <v>1149</v>
      </c>
      <c r="DQ2" s="3" t="s">
        <v>853</v>
      </c>
      <c r="EU2" s="3" t="s">
        <v>1150</v>
      </c>
      <c r="FY2" s="3" t="s">
        <v>1151</v>
      </c>
      <c r="HC2" s="3" t="s">
        <v>1152</v>
      </c>
      <c r="IG2" s="3" t="s">
        <v>1153</v>
      </c>
      <c r="JK2" s="3" t="s">
        <v>1154</v>
      </c>
      <c r="KO2" s="3" t="s">
        <v>1155</v>
      </c>
      <c r="LS2" s="3" t="s">
        <v>1156</v>
      </c>
      <c r="MW2" s="3" t="s">
        <v>1157</v>
      </c>
      <c r="OA2" s="3" t="s">
        <v>164</v>
      </c>
      <c r="PE2" s="3" t="s">
        <v>1158</v>
      </c>
      <c r="QI2" s="3" t="s">
        <v>1159</v>
      </c>
      <c r="RM2" s="3" t="s">
        <v>1160</v>
      </c>
      <c r="SQ2" s="3" t="s">
        <v>1161</v>
      </c>
      <c r="TU2" s="3" t="s">
        <v>22</v>
      </c>
      <c r="UY2" s="3" t="s">
        <v>1162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_xll.BDS("MATW US Equity","SUPPLY_CHAIN_SUPPLIERS_ALL_DATA")</f>
        <v>#N/A N/A</v>
      </c>
      <c r="O5" t="str">
        <f>_xll.BDS("MATW US Equity","SUPPLY_CHAIN_CUSTOMERS_ALL_DATA","cols=12;rows=5")</f>
        <v>TSCO LN Equity</v>
      </c>
      <c r="P5">
        <v>0.25499899999999998</v>
      </c>
      <c r="Q5" t="s">
        <v>1777</v>
      </c>
      <c r="R5">
        <v>4.1130000000000003E-3</v>
      </c>
      <c r="S5" t="s">
        <v>1781</v>
      </c>
      <c r="T5">
        <v>2026</v>
      </c>
      <c r="U5" t="s">
        <v>1782</v>
      </c>
      <c r="V5" s="6">
        <v>45898</v>
      </c>
      <c r="W5">
        <v>5</v>
      </c>
      <c r="X5">
        <v>872713.25</v>
      </c>
      <c r="Y5">
        <v>112370</v>
      </c>
      <c r="Z5" t="s">
        <v>1783</v>
      </c>
      <c r="AE5" t="str">
        <f>_xll.BDS("SCMF US Equity","SUPPLY_CHAIN_SUPPLIERS_ALL_DATA")</f>
        <v>#N/A N/A</v>
      </c>
      <c r="AS5" t="str">
        <f>_xll.BDS("SCMF US Equity","SUPPLY_CHAIN_CUSTOMERS_ALL_DATA")</f>
        <v>#N/A N/A</v>
      </c>
      <c r="BI5" t="str">
        <f>_xll.BDS("BBT US Equity","SUPPLY_CHAIN_SUPPLIERS_ALL_DATA")</f>
        <v>#N/A N/A</v>
      </c>
      <c r="BW5" t="str">
        <f>_xll.BDS("BBT US Equity","SUPPLY_CHAIN_CUSTOMERS_ALL_DATA")</f>
        <v>#N/A N/A</v>
      </c>
      <c r="CM5" t="str">
        <f>_xll.BDS("GADS US Equity","SUPPLY_CHAIN_SUPPLIERS_ALL_DATA")</f>
        <v>#N/A N/A</v>
      </c>
      <c r="DA5" t="str">
        <f>_xll.BDS("GADS US Equity","SUPPLY_CHAIN_CUSTOMERS_ALL_DATA")</f>
        <v>#N/A N/A</v>
      </c>
      <c r="DQ5" t="str">
        <f>_xll.BDS("WSBC US Equity","SUPPLY_CHAIN_SUPPLIERS_ALL_DATA")</f>
        <v>#N/A N/A</v>
      </c>
      <c r="EE5" t="str">
        <f>_xll.BDS("WSBC US Equity","SUPPLY_CHAIN_CUSTOMERS_ALL_DATA","cols=12;rows=2")</f>
        <v>NINE CN Equity</v>
      </c>
      <c r="EF5">
        <v>-2.4245362661989844E-14</v>
      </c>
      <c r="EH5">
        <v>-2.4245362661989844E-14</v>
      </c>
      <c r="EI5" t="s">
        <v>1789</v>
      </c>
      <c r="EJ5">
        <v>2023</v>
      </c>
      <c r="EK5" t="s">
        <v>2906</v>
      </c>
      <c r="EL5" s="6">
        <v>44967</v>
      </c>
      <c r="EM5">
        <v>2</v>
      </c>
      <c r="EN5">
        <v>-2.4245362661989844E-14</v>
      </c>
      <c r="EO5">
        <v>67289203</v>
      </c>
      <c r="EP5" t="s">
        <v>2907</v>
      </c>
      <c r="EU5" t="str">
        <f>_xll.BDS("PLXS US Equity","SUPPLY_CHAIN_SUPPLIERS_ALL_DATA","cols=12;rows=5")</f>
        <v>VSH US Equity</v>
      </c>
      <c r="EV5" t="s">
        <v>1777</v>
      </c>
      <c r="EW5">
        <v>7.4750999999999998E-2</v>
      </c>
      <c r="EX5">
        <v>5.7569000000000002E-2</v>
      </c>
      <c r="EY5" t="s">
        <v>1773</v>
      </c>
      <c r="EZ5">
        <v>2025</v>
      </c>
      <c r="FA5" t="s">
        <v>3940</v>
      </c>
      <c r="FB5" s="6">
        <v>46009</v>
      </c>
      <c r="FC5">
        <v>5</v>
      </c>
      <c r="FD5">
        <v>548969</v>
      </c>
      <c r="FE5">
        <v>101601</v>
      </c>
      <c r="FF5" t="s">
        <v>3941</v>
      </c>
      <c r="FI5" t="str">
        <f>_xll.BDS("PLXS US Equity","SUPPLY_CHAIN_CUSTOMERS_ALL_DATA","cols=12;rows=5")</f>
        <v>0219682Z US Equity</v>
      </c>
      <c r="FJ5">
        <v>-2.4245362661989844E-14</v>
      </c>
      <c r="FL5">
        <v>-2.4245362661989844E-14</v>
      </c>
      <c r="FM5" t="s">
        <v>1789</v>
      </c>
      <c r="FN5">
        <v>2025</v>
      </c>
      <c r="FO5" t="s">
        <v>3355</v>
      </c>
      <c r="FP5" s="6">
        <v>45975</v>
      </c>
      <c r="FQ5">
        <v>5</v>
      </c>
      <c r="FR5">
        <v>-2.4245362661989844E-14</v>
      </c>
      <c r="FS5">
        <v>962205</v>
      </c>
      <c r="FT5" t="s">
        <v>3318</v>
      </c>
      <c r="FY5" t="str">
        <f>_xll.BDS("EW US Equity","SUPPLY_CHAIN_SUPPLIERS_ALL_DATA","cols=12;rows=5")</f>
        <v>BHE US Equity</v>
      </c>
      <c r="FZ5" t="s">
        <v>1777</v>
      </c>
      <c r="GA5">
        <v>0.25535099999999999</v>
      </c>
      <c r="GB5">
        <v>0.53488599999999997</v>
      </c>
      <c r="GC5" t="s">
        <v>1781</v>
      </c>
      <c r="GD5">
        <v>2025</v>
      </c>
      <c r="GE5" t="s">
        <v>3433</v>
      </c>
      <c r="GF5" s="6">
        <v>45793</v>
      </c>
      <c r="GG5">
        <v>5</v>
      </c>
      <c r="GH5">
        <v>1613216</v>
      </c>
      <c r="GI5">
        <v>102417</v>
      </c>
      <c r="GJ5" t="s">
        <v>3434</v>
      </c>
      <c r="GM5" t="str">
        <f>_xll.BDS("EW US Equity","SUPPLY_CHAIN_CUSTOMERS_ALL_DATA","cols=12;rows=1")</f>
        <v>6208 TT Equity</v>
      </c>
      <c r="GN5">
        <v>-2.4245362661989844E-14</v>
      </c>
      <c r="GP5">
        <v>-2.4245362661989844E-14</v>
      </c>
      <c r="GQ5" t="s">
        <v>1789</v>
      </c>
      <c r="GR5">
        <v>2022</v>
      </c>
      <c r="GS5" t="s">
        <v>3165</v>
      </c>
      <c r="GT5" s="6">
        <v>45063</v>
      </c>
      <c r="GU5">
        <v>1</v>
      </c>
      <c r="GV5">
        <v>-2.4245362661989844E-14</v>
      </c>
      <c r="GW5">
        <v>7610457</v>
      </c>
      <c r="GX5" t="s">
        <v>3166</v>
      </c>
      <c r="HC5" t="str">
        <f>_xll.BDS("FSBW US Equity","SUPPLY_CHAIN_SUPPLIERS_ALL_DATA")</f>
        <v>#N/A N/A</v>
      </c>
      <c r="HQ5" t="str">
        <f>_xll.BDS("FSBW US Equity","SUPPLY_CHAIN_CUSTOMERS_ALL_DATA")</f>
        <v>#N/A N/A</v>
      </c>
      <c r="IG5" t="str">
        <f>_xll.BDS("FPFCQ US Equity","SUPPLY_CHAIN_SUPPLIERS_ALL_DATA")</f>
        <v>#N/A N/A</v>
      </c>
      <c r="IU5" t="str">
        <f>_xll.BDS("FPFCQ US Equity","SUPPLY_CHAIN_CUSTOMERS_ALL_DATA")</f>
        <v>#N/A N/A</v>
      </c>
      <c r="JK5" t="str">
        <f>_xll.BDS("ESC US Equity","SUPPLY_CHAIN_SUPPLIERS_ALL_DATA")</f>
        <v>#N/A N/A</v>
      </c>
      <c r="JY5" t="str">
        <f>_xll.BDS("ESC US Equity","SUPPLY_CHAIN_CUSTOMERS_ALL_DATA")</f>
        <v>#N/A N/A</v>
      </c>
      <c r="KO5" t="str">
        <f>_xll.BDS("SBAN US Equity","SUPPLY_CHAIN_SUPPLIERS_ALL_DATA")</f>
        <v>#N/A N/A</v>
      </c>
      <c r="LC5" t="str">
        <f>_xll.BDS("SBAN US Equity","SUPPLY_CHAIN_CUSTOMERS_ALL_DATA")</f>
        <v>#N/A N/A</v>
      </c>
      <c r="LS5" t="str">
        <f>_xll.BDS("2674129Q US Equity","SUPPLY_CHAIN_SUPPLIERS_ALL_DATA")</f>
        <v>#N/A N/A</v>
      </c>
      <c r="MG5" t="str">
        <f>_xll.BDS("2674129Q US Equity","SUPPLY_CHAIN_CUSTOMERS_ALL_DATA")</f>
        <v>#N/A N/A</v>
      </c>
      <c r="MW5" t="str">
        <f>_xll.BDS("FMFC US Equity","SUPPLY_CHAIN_SUPPLIERS_ALL_DATA")</f>
        <v>#N/A N/A</v>
      </c>
      <c r="NK5" t="str">
        <f>_xll.BDS("FMFC US Equity","SUPPLY_CHAIN_CUSTOMERS_ALL_DATA")</f>
        <v>#N/A N/A</v>
      </c>
      <c r="OA5" t="str">
        <f>_xll.BDS("9980328D US Equity","SUPPLY_CHAIN_SUPPLIERS_ALL_DATA","cols=12;rows=5")</f>
        <v>1052024D US Equity</v>
      </c>
      <c r="OC5">
        <v>-2.4245362661989844E-14</v>
      </c>
      <c r="OD5">
        <v>-2.4245362661989844E-14</v>
      </c>
      <c r="OE5" t="s">
        <v>1789</v>
      </c>
      <c r="OF5">
        <v>2024</v>
      </c>
      <c r="OG5" t="s">
        <v>3107</v>
      </c>
      <c r="OH5" s="6">
        <v>45358</v>
      </c>
      <c r="OI5">
        <v>5</v>
      </c>
      <c r="OJ5">
        <v>-2.4245362661989844E-14</v>
      </c>
      <c r="OK5">
        <v>41866638</v>
      </c>
      <c r="OL5" t="s">
        <v>4419</v>
      </c>
      <c r="OO5" t="str">
        <f>_xll.BDS("9980328D US Equity","SUPPLY_CHAIN_CUSTOMERS_ALL_DATA","cols=12;rows=5")</f>
        <v>002630 KS Equity</v>
      </c>
      <c r="OP5">
        <v>-2.4245362661989844E-14</v>
      </c>
      <c r="OR5">
        <v>-2.4245362661989844E-14</v>
      </c>
      <c r="OS5" t="s">
        <v>1894</v>
      </c>
      <c r="OT5">
        <v>2023</v>
      </c>
      <c r="OU5" t="s">
        <v>3104</v>
      </c>
      <c r="OV5" s="6">
        <v>44971</v>
      </c>
      <c r="OW5">
        <v>5</v>
      </c>
      <c r="OX5">
        <v>-2.4245362661989844E-14</v>
      </c>
      <c r="OY5">
        <v>129294</v>
      </c>
      <c r="OZ5" t="s">
        <v>3105</v>
      </c>
      <c r="PE5" t="str">
        <f>_xll.BDS("AMG US Equity","SUPPLY_CHAIN_SUPPLIERS_ALL_DATA")</f>
        <v>#N/A N/A</v>
      </c>
      <c r="PS5" t="str">
        <f>_xll.BDS("AMG US Equity","SUPPLY_CHAIN_CUSTOMERS_ALL_DATA")</f>
        <v>#N/A N/A</v>
      </c>
      <c r="QI5" t="str">
        <f>_xll.BDS("OEI US Equity","SUPPLY_CHAIN_SUPPLIERS_ALL_DATA")</f>
        <v>#N/A N/A</v>
      </c>
      <c r="QW5" t="str">
        <f>_xll.BDS("OEI US Equity","SUPPLY_CHAIN_CUSTOMERS_ALL_DATA")</f>
        <v>#N/A N/A</v>
      </c>
      <c r="RM5" t="str">
        <f>_xll.BDS("PERY US Equity","SUPPLY_CHAIN_SUPPLIERS_ALL_DATA","cols=12;rows=5")</f>
        <v>002404 CH Equity</v>
      </c>
      <c r="RO5">
        <v>-2.4245362661989844E-14</v>
      </c>
      <c r="RP5">
        <v>-2.4245362661989844E-14</v>
      </c>
      <c r="RQ5" t="s">
        <v>1789</v>
      </c>
      <c r="RR5">
        <v>2024</v>
      </c>
      <c r="RS5" t="s">
        <v>2612</v>
      </c>
      <c r="RT5" s="6">
        <v>45743</v>
      </c>
      <c r="RU5">
        <v>5</v>
      </c>
      <c r="RV5">
        <v>-2.4245362661989844E-14</v>
      </c>
      <c r="RW5">
        <v>17857486</v>
      </c>
      <c r="RX5" t="s">
        <v>2613</v>
      </c>
      <c r="SA5" t="str">
        <f>_xll.BDS("PERY US Equity","SUPPLY_CHAIN_CUSTOMERS_ALL_DATA","cols=12;rows=5")</f>
        <v>1402 TT Equity</v>
      </c>
      <c r="SB5">
        <v>-2.4245362661989844E-14</v>
      </c>
      <c r="SD5">
        <v>-2.4245362661989844E-14</v>
      </c>
      <c r="SE5" t="s">
        <v>1789</v>
      </c>
      <c r="SF5">
        <v>2023</v>
      </c>
      <c r="SG5" t="s">
        <v>2537</v>
      </c>
      <c r="SH5" s="6">
        <v>45450</v>
      </c>
      <c r="SI5">
        <v>5</v>
      </c>
      <c r="SJ5">
        <v>-2.4245362661989844E-14</v>
      </c>
      <c r="SK5">
        <v>117492</v>
      </c>
      <c r="SL5" t="s">
        <v>2538</v>
      </c>
      <c r="SQ5" t="str">
        <f>_xll.BDS("WDR US Equity","SUPPLY_CHAIN_SUPPLIERS_ALL_DATA")</f>
        <v>#N/A N/A</v>
      </c>
      <c r="TE5" t="str">
        <f>_xll.BDS("WDR US Equity","SUPPLY_CHAIN_CUSTOMERS_ALL_DATA")</f>
        <v>#N/A N/A</v>
      </c>
      <c r="TU5" t="str">
        <f>_xll.BDS("nan Equity","SUPPLY_CHAIN_SUPPLIERS_ALL_DATA")</f>
        <v>#N/A N/A</v>
      </c>
      <c r="UI5" t="str">
        <f>_xll.BDS("nan Equity","SUPPLY_CHAIN_CUSTOMERS_ALL_DATA")</f>
        <v>#N/A N/A</v>
      </c>
      <c r="UY5" t="str">
        <f>_xll.BDS("153550Q US Equity","SUPPLY_CHAIN_SUPPLIERS_ALL_DATA")</f>
        <v>#N/A N/A</v>
      </c>
      <c r="VM5" t="str">
        <f>_xll.BDS("153550Q US Equity","SUPPLY_CHAIN_CUSTOMERS_ALL_DATA")</f>
        <v>#N/A N/A</v>
      </c>
    </row>
    <row r="6" spans="1:600" x14ac:dyDescent="0.25">
      <c r="O6" t="s">
        <v>1909</v>
      </c>
      <c r="P6">
        <v>-2.4245362661989844E-14</v>
      </c>
      <c r="R6">
        <v>-2.4245362661989844E-14</v>
      </c>
      <c r="S6" t="s">
        <v>1789</v>
      </c>
      <c r="T6">
        <v>2023</v>
      </c>
      <c r="U6" t="s">
        <v>2551</v>
      </c>
      <c r="V6" s="6">
        <v>45329</v>
      </c>
      <c r="W6">
        <v>5</v>
      </c>
      <c r="X6">
        <v>-2.4245362661989844E-14</v>
      </c>
      <c r="Y6">
        <v>117929</v>
      </c>
      <c r="Z6" t="s">
        <v>1910</v>
      </c>
      <c r="EE6" t="s">
        <v>2908</v>
      </c>
      <c r="EF6">
        <v>-2.4245362661989844E-14</v>
      </c>
      <c r="EH6">
        <v>-2.4245362661989844E-14</v>
      </c>
      <c r="EI6" t="s">
        <v>1789</v>
      </c>
      <c r="EJ6">
        <v>2023</v>
      </c>
      <c r="EK6" t="s">
        <v>2909</v>
      </c>
      <c r="EL6" s="6">
        <v>44991</v>
      </c>
      <c r="EM6">
        <v>2</v>
      </c>
      <c r="EN6">
        <v>-2.4245362661989844E-14</v>
      </c>
      <c r="EO6">
        <v>57471390</v>
      </c>
      <c r="EP6" t="s">
        <v>2910</v>
      </c>
      <c r="EU6" t="s">
        <v>3589</v>
      </c>
      <c r="EV6" t="s">
        <v>1777</v>
      </c>
      <c r="EW6">
        <v>0.119315</v>
      </c>
      <c r="EX6">
        <v>4.5900000000000003E-3</v>
      </c>
      <c r="EY6" t="s">
        <v>1785</v>
      </c>
      <c r="EZ6">
        <v>2025</v>
      </c>
      <c r="FA6" t="s">
        <v>3590</v>
      </c>
      <c r="FB6" s="6">
        <v>46078</v>
      </c>
      <c r="FC6">
        <v>5</v>
      </c>
      <c r="FD6">
        <v>44163.22</v>
      </c>
      <c r="FE6">
        <v>109437</v>
      </c>
      <c r="FF6" t="s">
        <v>3591</v>
      </c>
      <c r="FI6" t="s">
        <v>3356</v>
      </c>
      <c r="FJ6">
        <v>-2.4245362661989844E-14</v>
      </c>
      <c r="FL6">
        <v>-2.4245362661989844E-14</v>
      </c>
      <c r="FM6" t="s">
        <v>1789</v>
      </c>
      <c r="FN6">
        <v>2025</v>
      </c>
      <c r="FO6" t="s">
        <v>3355</v>
      </c>
      <c r="FP6" s="6">
        <v>45975</v>
      </c>
      <c r="FQ6">
        <v>5</v>
      </c>
      <c r="FR6">
        <v>-2.4245362661989844E-14</v>
      </c>
      <c r="FS6">
        <v>962203</v>
      </c>
      <c r="FT6" t="s">
        <v>3357</v>
      </c>
      <c r="FY6" t="s">
        <v>3651</v>
      </c>
      <c r="GA6">
        <v>-2.4245362661989844E-14</v>
      </c>
      <c r="GB6">
        <v>-2.4245362661989844E-14</v>
      </c>
      <c r="GC6" t="s">
        <v>1789</v>
      </c>
      <c r="GD6">
        <v>2022</v>
      </c>
      <c r="GE6" t="s">
        <v>3652</v>
      </c>
      <c r="GF6" s="6">
        <v>44693</v>
      </c>
      <c r="GG6">
        <v>5</v>
      </c>
      <c r="GH6">
        <v>-2.4245362661989844E-14</v>
      </c>
      <c r="GI6">
        <v>114991</v>
      </c>
      <c r="GJ6" t="s">
        <v>3653</v>
      </c>
      <c r="OA6" t="s">
        <v>4420</v>
      </c>
      <c r="OC6">
        <v>-2.4245362661989844E-14</v>
      </c>
      <c r="OD6">
        <v>-2.4245362661989844E-14</v>
      </c>
      <c r="OE6" t="s">
        <v>1789</v>
      </c>
      <c r="OF6">
        <v>2023</v>
      </c>
      <c r="OG6" t="s">
        <v>3107</v>
      </c>
      <c r="OH6" s="6">
        <v>45068</v>
      </c>
      <c r="OI6">
        <v>5</v>
      </c>
      <c r="OJ6">
        <v>-2.4245362661989844E-14</v>
      </c>
      <c r="OK6">
        <v>37260707</v>
      </c>
      <c r="OL6" t="s">
        <v>4421</v>
      </c>
      <c r="OO6" t="s">
        <v>3106</v>
      </c>
      <c r="OP6">
        <v>-2.4245362661989844E-14</v>
      </c>
      <c r="OR6">
        <v>-2.4245362661989844E-14</v>
      </c>
      <c r="OS6" t="s">
        <v>1789</v>
      </c>
      <c r="OT6">
        <v>2022</v>
      </c>
      <c r="OU6" t="s">
        <v>3107</v>
      </c>
      <c r="OV6" s="6">
        <v>44732</v>
      </c>
      <c r="OW6">
        <v>5</v>
      </c>
      <c r="OX6">
        <v>-2.4245362661989844E-14</v>
      </c>
      <c r="OY6">
        <v>69656039</v>
      </c>
      <c r="OZ6" t="s">
        <v>3108</v>
      </c>
      <c r="RM6" t="s">
        <v>2614</v>
      </c>
      <c r="RO6">
        <v>-2.4245362661989844E-14</v>
      </c>
      <c r="RP6">
        <v>-2.4245362661989844E-14</v>
      </c>
      <c r="RQ6" t="s">
        <v>1789</v>
      </c>
      <c r="RR6">
        <v>2024</v>
      </c>
      <c r="RS6" t="s">
        <v>2615</v>
      </c>
      <c r="RT6" s="6">
        <v>45307</v>
      </c>
      <c r="RU6">
        <v>5</v>
      </c>
      <c r="RV6">
        <v>-2.4245362661989844E-14</v>
      </c>
      <c r="RW6">
        <v>30138126</v>
      </c>
      <c r="RX6" t="s">
        <v>2616</v>
      </c>
      <c r="SA6" t="s">
        <v>2539</v>
      </c>
      <c r="SB6">
        <v>-2.4245362661989844E-14</v>
      </c>
      <c r="SD6">
        <v>-2.4245362661989844E-14</v>
      </c>
      <c r="SE6" t="s">
        <v>1789</v>
      </c>
      <c r="SF6">
        <v>2025</v>
      </c>
      <c r="SG6" t="s">
        <v>2540</v>
      </c>
      <c r="SH6" s="6">
        <v>45856</v>
      </c>
      <c r="SI6">
        <v>5</v>
      </c>
      <c r="SJ6">
        <v>-2.4245362661989844E-14</v>
      </c>
      <c r="SK6">
        <v>223238</v>
      </c>
      <c r="SL6" t="s">
        <v>2541</v>
      </c>
    </row>
    <row r="7" spans="1:600" x14ac:dyDescent="0.25">
      <c r="O7" t="s">
        <v>2552</v>
      </c>
      <c r="P7">
        <v>-2.4245362661989844E-14</v>
      </c>
      <c r="R7">
        <v>-2.4245362661989844E-14</v>
      </c>
      <c r="S7" t="s">
        <v>1789</v>
      </c>
      <c r="T7">
        <v>2023</v>
      </c>
      <c r="U7" t="s">
        <v>2551</v>
      </c>
      <c r="V7" s="6">
        <v>45329</v>
      </c>
      <c r="W7">
        <v>5</v>
      </c>
      <c r="X7">
        <v>-2.4245362661989844E-14</v>
      </c>
      <c r="Y7">
        <v>23889962</v>
      </c>
      <c r="Z7" t="s">
        <v>2553</v>
      </c>
      <c r="EU7" t="s">
        <v>4056</v>
      </c>
      <c r="EW7">
        <v>-2.4245362661989844E-14</v>
      </c>
      <c r="EX7">
        <v>-2.4245362661989844E-14</v>
      </c>
      <c r="EY7" t="s">
        <v>1789</v>
      </c>
      <c r="EZ7">
        <v>2024</v>
      </c>
      <c r="FA7" t="s">
        <v>4057</v>
      </c>
      <c r="FB7" s="6">
        <v>45772</v>
      </c>
      <c r="FC7">
        <v>5</v>
      </c>
      <c r="FD7">
        <v>-2.4245362661989844E-14</v>
      </c>
      <c r="FE7">
        <v>20511200</v>
      </c>
      <c r="FF7" t="s">
        <v>4058</v>
      </c>
      <c r="FI7" t="s">
        <v>3358</v>
      </c>
      <c r="FJ7">
        <v>-2.4245362661989844E-14</v>
      </c>
      <c r="FL7">
        <v>-2.4245362661989844E-14</v>
      </c>
      <c r="FM7" t="s">
        <v>1789</v>
      </c>
      <c r="FN7">
        <v>2025</v>
      </c>
      <c r="FO7" t="s">
        <v>3355</v>
      </c>
      <c r="FP7" s="6">
        <v>45975</v>
      </c>
      <c r="FQ7">
        <v>5</v>
      </c>
      <c r="FR7">
        <v>-2.4245362661989844E-14</v>
      </c>
      <c r="FS7">
        <v>962213</v>
      </c>
      <c r="FT7" t="s">
        <v>3359</v>
      </c>
      <c r="FY7" t="s">
        <v>816</v>
      </c>
      <c r="GA7">
        <v>-2.4245362661989844E-14</v>
      </c>
      <c r="GB7">
        <v>-2.4245362661989844E-14</v>
      </c>
      <c r="GC7" t="s">
        <v>1789</v>
      </c>
      <c r="GD7">
        <v>2021</v>
      </c>
      <c r="GE7" t="s">
        <v>2069</v>
      </c>
      <c r="GF7" s="6">
        <v>44693</v>
      </c>
      <c r="GG7">
        <v>5</v>
      </c>
      <c r="GH7">
        <v>-2.4245362661989844E-14</v>
      </c>
      <c r="GI7">
        <v>100193</v>
      </c>
      <c r="GJ7" t="s">
        <v>2070</v>
      </c>
      <c r="OA7" t="s">
        <v>2398</v>
      </c>
      <c r="OC7">
        <v>-2.4245362661989844E-14</v>
      </c>
      <c r="OD7">
        <v>-2.4245362661989844E-14</v>
      </c>
      <c r="OE7" t="s">
        <v>1789</v>
      </c>
      <c r="OF7">
        <v>2021</v>
      </c>
      <c r="OG7" t="s">
        <v>4422</v>
      </c>
      <c r="OH7" s="6">
        <v>44677</v>
      </c>
      <c r="OI7">
        <v>5</v>
      </c>
      <c r="OJ7">
        <v>-2.4245362661989844E-14</v>
      </c>
      <c r="OK7">
        <v>10142668</v>
      </c>
      <c r="OL7" t="s">
        <v>2400</v>
      </c>
      <c r="OO7" t="s">
        <v>3109</v>
      </c>
      <c r="OP7">
        <v>-2.4245362661989844E-14</v>
      </c>
      <c r="OR7">
        <v>-2.4245362661989844E-14</v>
      </c>
      <c r="OS7" t="s">
        <v>1789</v>
      </c>
      <c r="OT7">
        <v>2024</v>
      </c>
      <c r="OU7" t="s">
        <v>3107</v>
      </c>
      <c r="OV7" s="6">
        <v>45356</v>
      </c>
      <c r="OW7">
        <v>5</v>
      </c>
      <c r="OX7">
        <v>-2.4245362661989844E-14</v>
      </c>
      <c r="OY7">
        <v>70384894</v>
      </c>
      <c r="OZ7" t="s">
        <v>3110</v>
      </c>
      <c r="RM7" t="s">
        <v>2617</v>
      </c>
      <c r="RO7">
        <v>-2.4245362661989844E-14</v>
      </c>
      <c r="RP7">
        <v>-2.4245362661989844E-14</v>
      </c>
      <c r="RQ7" t="s">
        <v>1894</v>
      </c>
      <c r="RR7">
        <v>2025</v>
      </c>
      <c r="RS7" t="s">
        <v>2618</v>
      </c>
      <c r="RT7" s="6">
        <v>46015</v>
      </c>
      <c r="RU7">
        <v>5</v>
      </c>
      <c r="RV7">
        <v>-2.4245362661989844E-14</v>
      </c>
      <c r="RW7">
        <v>129567</v>
      </c>
      <c r="RX7" t="s">
        <v>2619</v>
      </c>
      <c r="SA7" t="s">
        <v>2542</v>
      </c>
      <c r="SB7">
        <v>-2.4245362661989844E-14</v>
      </c>
      <c r="SD7">
        <v>-2.4245362661989844E-14</v>
      </c>
      <c r="SE7" t="s">
        <v>1789</v>
      </c>
      <c r="SF7">
        <v>2023</v>
      </c>
      <c r="SG7" t="s">
        <v>2543</v>
      </c>
      <c r="SH7" s="6">
        <v>45177</v>
      </c>
      <c r="SI7">
        <v>5</v>
      </c>
      <c r="SJ7">
        <v>-2.4245362661989844E-14</v>
      </c>
      <c r="SK7">
        <v>21176405</v>
      </c>
      <c r="SL7" t="s">
        <v>2544</v>
      </c>
    </row>
    <row r="8" spans="1:600" x14ac:dyDescent="0.25">
      <c r="O8" t="s">
        <v>2554</v>
      </c>
      <c r="P8">
        <v>-2.4245362661989844E-14</v>
      </c>
      <c r="R8">
        <v>-2.4245362661989844E-14</v>
      </c>
      <c r="S8" t="s">
        <v>1789</v>
      </c>
      <c r="T8">
        <v>2023</v>
      </c>
      <c r="U8" t="s">
        <v>2551</v>
      </c>
      <c r="V8" s="6">
        <v>45329</v>
      </c>
      <c r="W8">
        <v>5</v>
      </c>
      <c r="X8">
        <v>-2.4245362661989844E-14</v>
      </c>
      <c r="Y8">
        <v>949869</v>
      </c>
      <c r="Z8" t="s">
        <v>2555</v>
      </c>
      <c r="EU8" t="s">
        <v>4059</v>
      </c>
      <c r="EW8">
        <v>-2.4245362661989844E-14</v>
      </c>
      <c r="EX8">
        <v>-2.4245362661989844E-14</v>
      </c>
      <c r="EY8" t="s">
        <v>1789</v>
      </c>
      <c r="EZ8">
        <v>2023</v>
      </c>
      <c r="FA8" t="s">
        <v>4060</v>
      </c>
      <c r="FB8" s="6">
        <v>45448</v>
      </c>
      <c r="FC8">
        <v>5</v>
      </c>
      <c r="FD8">
        <v>-2.4245362661989844E-14</v>
      </c>
      <c r="FE8">
        <v>1459395</v>
      </c>
      <c r="FF8" t="s">
        <v>4061</v>
      </c>
      <c r="FI8" t="s">
        <v>3360</v>
      </c>
      <c r="FJ8">
        <v>-2.4245362661989844E-14</v>
      </c>
      <c r="FL8">
        <v>-2.4245362661989844E-14</v>
      </c>
      <c r="FM8" t="s">
        <v>1768</v>
      </c>
      <c r="FN8">
        <v>2025</v>
      </c>
      <c r="FO8" t="s">
        <v>3361</v>
      </c>
      <c r="FP8" s="6">
        <v>45786</v>
      </c>
      <c r="FQ8">
        <v>5</v>
      </c>
      <c r="FR8">
        <v>-2.4245362661989844E-14</v>
      </c>
      <c r="FS8">
        <v>43730318</v>
      </c>
      <c r="FT8" t="s">
        <v>3362</v>
      </c>
      <c r="FY8" t="s">
        <v>3654</v>
      </c>
      <c r="GA8">
        <v>-2.4245362661989844E-14</v>
      </c>
      <c r="GB8">
        <v>-2.4245362661989844E-14</v>
      </c>
      <c r="GC8" t="s">
        <v>1789</v>
      </c>
      <c r="GD8">
        <v>2026</v>
      </c>
      <c r="GE8" t="s">
        <v>3655</v>
      </c>
      <c r="GF8" s="6">
        <v>46066</v>
      </c>
      <c r="GG8">
        <v>5</v>
      </c>
      <c r="GH8">
        <v>-2.4245362661989844E-14</v>
      </c>
      <c r="GI8">
        <v>60444434</v>
      </c>
      <c r="GJ8" t="s">
        <v>3656</v>
      </c>
      <c r="OA8" t="s">
        <v>4423</v>
      </c>
      <c r="OC8">
        <v>-2.4245362661989844E-14</v>
      </c>
      <c r="OD8">
        <v>-2.4245362661989844E-14</v>
      </c>
      <c r="OE8" t="s">
        <v>1781</v>
      </c>
      <c r="OF8">
        <v>2024</v>
      </c>
      <c r="OG8" t="s">
        <v>4424</v>
      </c>
      <c r="OH8" s="6">
        <v>45175</v>
      </c>
      <c r="OI8">
        <v>5</v>
      </c>
      <c r="OJ8">
        <v>-2.4245362661989844E-14</v>
      </c>
      <c r="OK8">
        <v>126987</v>
      </c>
      <c r="OL8" t="s">
        <v>4425</v>
      </c>
      <c r="OO8" t="s">
        <v>2856</v>
      </c>
      <c r="OP8">
        <v>-2.4245362661989844E-14</v>
      </c>
      <c r="OR8">
        <v>-2.4245362661989844E-14</v>
      </c>
      <c r="OS8" t="s">
        <v>1789</v>
      </c>
      <c r="OT8">
        <v>2022</v>
      </c>
      <c r="OU8" t="s">
        <v>3111</v>
      </c>
      <c r="OV8" s="6">
        <v>45055</v>
      </c>
      <c r="OW8">
        <v>5</v>
      </c>
      <c r="OX8">
        <v>-2.4245362661989844E-14</v>
      </c>
      <c r="OY8">
        <v>9152714</v>
      </c>
      <c r="OZ8" t="s">
        <v>2858</v>
      </c>
      <c r="RM8" t="s">
        <v>2342</v>
      </c>
      <c r="RO8">
        <v>-2.4245362661989844E-14</v>
      </c>
      <c r="RP8">
        <v>-2.4245362661989844E-14</v>
      </c>
      <c r="RQ8" t="s">
        <v>1781</v>
      </c>
      <c r="RR8">
        <v>2023</v>
      </c>
      <c r="RS8" t="s">
        <v>2343</v>
      </c>
      <c r="RT8" s="6">
        <v>45126</v>
      </c>
      <c r="RU8">
        <v>5</v>
      </c>
      <c r="RV8">
        <v>-2.4245362661989844E-14</v>
      </c>
      <c r="RW8">
        <v>169120</v>
      </c>
      <c r="RX8" t="s">
        <v>2344</v>
      </c>
      <c r="SA8" t="s">
        <v>2545</v>
      </c>
      <c r="SB8">
        <v>-2.4245362661989844E-14</v>
      </c>
      <c r="SD8">
        <v>-2.4245362661989844E-14</v>
      </c>
      <c r="SE8" t="s">
        <v>1789</v>
      </c>
      <c r="SF8">
        <v>2024</v>
      </c>
      <c r="SG8" t="s">
        <v>2546</v>
      </c>
      <c r="SH8" s="6">
        <v>45769</v>
      </c>
      <c r="SI8">
        <v>5</v>
      </c>
      <c r="SJ8">
        <v>-2.4245362661989844E-14</v>
      </c>
      <c r="SK8">
        <v>176843</v>
      </c>
      <c r="SL8" t="s">
        <v>2547</v>
      </c>
    </row>
    <row r="9" spans="1:600" x14ac:dyDescent="0.25">
      <c r="O9" t="s">
        <v>2556</v>
      </c>
      <c r="P9">
        <v>-2.4245362661989844E-14</v>
      </c>
      <c r="R9">
        <v>-2.4245362661989844E-14</v>
      </c>
      <c r="S9" t="s">
        <v>1768</v>
      </c>
      <c r="T9">
        <v>2022</v>
      </c>
      <c r="U9" t="s">
        <v>2557</v>
      </c>
      <c r="V9" s="6">
        <v>44700</v>
      </c>
      <c r="W9">
        <v>5</v>
      </c>
      <c r="X9">
        <v>-2.4245362661989844E-14</v>
      </c>
      <c r="Y9">
        <v>11933413</v>
      </c>
      <c r="Z9" t="s">
        <v>2558</v>
      </c>
      <c r="EU9" t="s">
        <v>4062</v>
      </c>
      <c r="EW9">
        <v>-2.4245362661989844E-14</v>
      </c>
      <c r="EX9">
        <v>-2.4245362661989844E-14</v>
      </c>
      <c r="EY9" t="s">
        <v>1789</v>
      </c>
      <c r="EZ9">
        <v>2021</v>
      </c>
      <c r="FA9" t="s">
        <v>4063</v>
      </c>
      <c r="FB9" s="6">
        <v>44731</v>
      </c>
      <c r="FC9">
        <v>5</v>
      </c>
      <c r="FD9">
        <v>-2.4245362661989844E-14</v>
      </c>
      <c r="FE9">
        <v>7729396</v>
      </c>
      <c r="FF9" t="s">
        <v>4064</v>
      </c>
      <c r="FI9" t="s">
        <v>1797</v>
      </c>
      <c r="FJ9">
        <v>-2.4245362661989844E-14</v>
      </c>
      <c r="FL9">
        <v>-2.4245362661989844E-14</v>
      </c>
      <c r="FM9" t="s">
        <v>1789</v>
      </c>
      <c r="FN9">
        <v>2025</v>
      </c>
      <c r="FO9" t="s">
        <v>3355</v>
      </c>
      <c r="FP9" s="6">
        <v>45975</v>
      </c>
      <c r="FQ9">
        <v>5</v>
      </c>
      <c r="FR9">
        <v>-2.4245362661989844E-14</v>
      </c>
      <c r="FS9">
        <v>218252</v>
      </c>
      <c r="FT9" t="s">
        <v>1798</v>
      </c>
      <c r="FY9" t="s">
        <v>3657</v>
      </c>
      <c r="GA9">
        <v>-2.4245362661989844E-14</v>
      </c>
      <c r="GB9">
        <v>-2.4245362661989844E-14</v>
      </c>
      <c r="GC9" t="s">
        <v>1789</v>
      </c>
      <c r="GD9">
        <v>2021</v>
      </c>
      <c r="GE9" t="s">
        <v>3658</v>
      </c>
      <c r="GF9" s="6">
        <v>44693</v>
      </c>
      <c r="GG9">
        <v>5</v>
      </c>
      <c r="GH9">
        <v>-2.4245362661989844E-14</v>
      </c>
      <c r="GI9">
        <v>101315</v>
      </c>
      <c r="GJ9" t="s">
        <v>3659</v>
      </c>
      <c r="OA9" t="s">
        <v>4426</v>
      </c>
      <c r="OC9">
        <v>-2.4245362661989844E-14</v>
      </c>
      <c r="OD9">
        <v>-2.4245362661989844E-14</v>
      </c>
      <c r="OE9" t="s">
        <v>1789</v>
      </c>
      <c r="OF9">
        <v>2022</v>
      </c>
      <c r="OG9" t="s">
        <v>4427</v>
      </c>
      <c r="OH9" s="6">
        <v>45033</v>
      </c>
      <c r="OI9">
        <v>5</v>
      </c>
      <c r="OJ9">
        <v>-2.4245362661989844E-14</v>
      </c>
      <c r="OK9">
        <v>7360919</v>
      </c>
      <c r="OL9" t="s">
        <v>4428</v>
      </c>
      <c r="OO9" t="s">
        <v>3112</v>
      </c>
      <c r="OP9">
        <v>-2.4245362661989844E-14</v>
      </c>
      <c r="OR9">
        <v>-2.4245362661989844E-14</v>
      </c>
      <c r="OS9" t="s">
        <v>1789</v>
      </c>
      <c r="OT9">
        <v>2022</v>
      </c>
      <c r="OU9" t="s">
        <v>3113</v>
      </c>
      <c r="OV9" s="6">
        <v>45075</v>
      </c>
      <c r="OW9">
        <v>5</v>
      </c>
      <c r="OX9">
        <v>-2.4245362661989844E-14</v>
      </c>
      <c r="OY9">
        <v>17157811</v>
      </c>
      <c r="OZ9" t="s">
        <v>3114</v>
      </c>
      <c r="RM9" t="s">
        <v>2620</v>
      </c>
      <c r="RO9">
        <v>-2.4245362661989844E-14</v>
      </c>
      <c r="RP9">
        <v>-2.4245362661989844E-14</v>
      </c>
      <c r="RQ9" t="s">
        <v>2183</v>
      </c>
      <c r="RR9">
        <v>2025</v>
      </c>
      <c r="RS9" t="s">
        <v>2621</v>
      </c>
      <c r="RT9" s="6">
        <v>45971</v>
      </c>
      <c r="RU9">
        <v>5</v>
      </c>
      <c r="RV9">
        <v>-2.4245362661989844E-14</v>
      </c>
      <c r="RW9">
        <v>174709</v>
      </c>
      <c r="RX9" t="s">
        <v>2622</v>
      </c>
      <c r="SA9" t="s">
        <v>2548</v>
      </c>
      <c r="SB9">
        <v>-2.4245362661989844E-14</v>
      </c>
      <c r="SD9">
        <v>-2.4245362661989844E-14</v>
      </c>
      <c r="SE9" t="s">
        <v>1789</v>
      </c>
      <c r="SF9">
        <v>2025</v>
      </c>
      <c r="SG9" t="s">
        <v>2549</v>
      </c>
      <c r="SH9" s="6">
        <v>45736</v>
      </c>
      <c r="SI9">
        <v>5</v>
      </c>
      <c r="SJ9">
        <v>-2.4245362661989844E-14</v>
      </c>
      <c r="SK9">
        <v>103335</v>
      </c>
      <c r="SL9" t="s">
        <v>2550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1164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1165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1166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1167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1168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1169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1170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1171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1172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1173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1174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1175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1176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1177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1178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1179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1180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1181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1182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1183</v>
      </c>
      <c r="AE2" s="3" t="s">
        <v>679</v>
      </c>
      <c r="BI2" s="3" t="s">
        <v>1184</v>
      </c>
      <c r="CM2" s="3" t="s">
        <v>1185</v>
      </c>
      <c r="DQ2" s="3" t="s">
        <v>1186</v>
      </c>
      <c r="EU2" s="3" t="s">
        <v>573</v>
      </c>
      <c r="FY2" s="3" t="s">
        <v>1153</v>
      </c>
      <c r="HC2" s="3" t="s">
        <v>1187</v>
      </c>
      <c r="IG2" s="3" t="s">
        <v>1188</v>
      </c>
      <c r="JK2" s="3" t="s">
        <v>1189</v>
      </c>
      <c r="KO2" s="3" t="s">
        <v>889</v>
      </c>
      <c r="LS2" s="3" t="s">
        <v>1190</v>
      </c>
      <c r="MW2" s="3" t="s">
        <v>783</v>
      </c>
      <c r="OA2" s="3" t="s">
        <v>1191</v>
      </c>
      <c r="PE2" s="3" t="s">
        <v>1192</v>
      </c>
      <c r="QI2" s="3" t="s">
        <v>783</v>
      </c>
      <c r="RM2" s="3" t="s">
        <v>1193</v>
      </c>
      <c r="SQ2" s="3" t="s">
        <v>1194</v>
      </c>
      <c r="TU2" s="3" t="s">
        <v>1195</v>
      </c>
      <c r="UY2" s="3" t="s">
        <v>1196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_xll.BDS("679882Q US Equity","SUPPLY_CHAIN_SUPPLIERS_ALL_DATA")</f>
        <v>#N/A N/A</v>
      </c>
      <c r="O5" t="str">
        <f>_xll.BDS("679882Q US Equity","SUPPLY_CHAIN_CUSTOMERS_ALL_DATA")</f>
        <v>#N/A N/A</v>
      </c>
      <c r="AE5" t="str">
        <f>_xll.BDS("IBM US Equity","SUPPLY_CHAIN_SUPPLIERS_ALL_DATA","cols=12;rows=5")</f>
        <v>005930 KS Equity</v>
      </c>
      <c r="AF5" t="s">
        <v>1777</v>
      </c>
      <c r="AG5">
        <v>0.49490499999999998</v>
      </c>
      <c r="AH5">
        <v>4.1423690000000004</v>
      </c>
      <c r="AI5" t="s">
        <v>1781</v>
      </c>
      <c r="AJ5">
        <v>2025</v>
      </c>
      <c r="AK5" t="s">
        <v>2093</v>
      </c>
      <c r="AL5" s="6">
        <v>45797</v>
      </c>
      <c r="AM5">
        <v>5</v>
      </c>
      <c r="AN5">
        <v>269668224</v>
      </c>
      <c r="AO5">
        <v>117929</v>
      </c>
      <c r="AP5" t="s">
        <v>1910</v>
      </c>
      <c r="AS5" t="str">
        <f>_xll.BDS("IBM US Equity","SUPPLY_CHAIN_CUSTOMERS_ALL_DATA","cols=12;rows=5")</f>
        <v>AMZN US Equity</v>
      </c>
      <c r="AT5">
        <v>4.454224</v>
      </c>
      <c r="AU5" t="s">
        <v>1777</v>
      </c>
      <c r="AV5">
        <v>0.84141600000000005</v>
      </c>
      <c r="AW5" t="s">
        <v>1781</v>
      </c>
      <c r="AX5">
        <v>2025</v>
      </c>
      <c r="AY5" t="s">
        <v>2093</v>
      </c>
      <c r="AZ5" s="6">
        <v>45797</v>
      </c>
      <c r="BA5">
        <v>5</v>
      </c>
      <c r="BB5">
        <v>647688704</v>
      </c>
      <c r="BC5">
        <v>216952</v>
      </c>
      <c r="BD5" t="s">
        <v>1815</v>
      </c>
      <c r="BI5" t="str">
        <f>_xll.BDS("SPH US Equity","SUPPLY_CHAIN_SUPPLIERS_ALL_DATA","cols=12;rows=5")</f>
        <v>MEC US Equity</v>
      </c>
      <c r="BJ5" t="s">
        <v>1777</v>
      </c>
      <c r="BK5">
        <v>0.26558799999999999</v>
      </c>
      <c r="BL5">
        <v>0.14857200000000001</v>
      </c>
      <c r="BM5" t="s">
        <v>1781</v>
      </c>
      <c r="BN5">
        <v>2025</v>
      </c>
      <c r="BO5" t="s">
        <v>4437</v>
      </c>
      <c r="BP5" s="6">
        <v>45821</v>
      </c>
      <c r="BQ5">
        <v>5</v>
      </c>
      <c r="BR5">
        <v>360082</v>
      </c>
      <c r="BS5">
        <v>21463932</v>
      </c>
      <c r="BT5" t="s">
        <v>4438</v>
      </c>
      <c r="BW5" t="str">
        <f>_xll.BDS("SPH US Equity","SUPPLY_CHAIN_CUSTOMERS_ALL_DATA")</f>
        <v>#N/A N/A</v>
      </c>
      <c r="CM5" t="str">
        <f>_xll.BDS("IVZ US Equity","SUPPLY_CHAIN_SUPPLIERS_ALL_DATA","cols=12;rows=5")</f>
        <v>600626 CH Equity</v>
      </c>
      <c r="CN5" t="s">
        <v>1777</v>
      </c>
      <c r="CO5">
        <v>0.514683</v>
      </c>
      <c r="CP5">
        <v>0.16527600000000001</v>
      </c>
      <c r="CQ5" t="s">
        <v>1789</v>
      </c>
      <c r="CR5">
        <v>2024</v>
      </c>
      <c r="CS5" t="s">
        <v>2880</v>
      </c>
      <c r="CT5" s="6">
        <v>45775</v>
      </c>
      <c r="CU5">
        <v>5</v>
      </c>
      <c r="CV5">
        <v>2113211.4700000002</v>
      </c>
      <c r="CW5">
        <v>130798</v>
      </c>
      <c r="CX5" t="s">
        <v>2881</v>
      </c>
      <c r="DA5" t="str">
        <f>_xll.BDS("IVZ US Equity","SUPPLY_CHAIN_CUSTOMERS_ALL_DATA","cols=12;rows=2")</f>
        <v>600626 CH Equity</v>
      </c>
      <c r="DB5">
        <v>0.16692100000000001</v>
      </c>
      <c r="DC5" t="s">
        <v>1777</v>
      </c>
      <c r="DD5">
        <v>0.69181599999999999</v>
      </c>
      <c r="DE5" t="s">
        <v>1789</v>
      </c>
      <c r="DF5">
        <v>2024</v>
      </c>
      <c r="DG5" t="s">
        <v>2880</v>
      </c>
      <c r="DH5" s="6">
        <v>45775</v>
      </c>
      <c r="DI5">
        <v>2</v>
      </c>
      <c r="DJ5">
        <v>2561767.5099999998</v>
      </c>
      <c r="DK5">
        <v>130798</v>
      </c>
      <c r="DL5" t="s">
        <v>2881</v>
      </c>
      <c r="DQ5" t="str">
        <f>_xll.BDS("SYRS US Equity","SUPPLY_CHAIN_SUPPLIERS_ALL_DATA","cols=12;rows=2")</f>
        <v>4579 JP Equity</v>
      </c>
      <c r="DS5">
        <v>-2.4245362661989844E-14</v>
      </c>
      <c r="DT5">
        <v>-2.4245362661989844E-14</v>
      </c>
      <c r="DU5" t="s">
        <v>2183</v>
      </c>
      <c r="DV5">
        <v>2025</v>
      </c>
      <c r="DW5" t="s">
        <v>2607</v>
      </c>
      <c r="DX5" s="6">
        <v>45883</v>
      </c>
      <c r="DY5">
        <v>2</v>
      </c>
      <c r="DZ5">
        <v>-2.4245362661989844E-14</v>
      </c>
      <c r="EA5">
        <v>17037571</v>
      </c>
      <c r="EB5" t="s">
        <v>2608</v>
      </c>
      <c r="EE5" t="str">
        <f>_xll.BDS("SYRS US Equity","SUPPLY_CHAIN_CUSTOMERS_ALL_DATA","cols=12;rows=1")</f>
        <v>INCY US Equity</v>
      </c>
      <c r="EF5">
        <v>-2.4245362661989844E-14</v>
      </c>
      <c r="EH5">
        <v>-2.4245362661989844E-14</v>
      </c>
      <c r="EI5" t="s">
        <v>1789</v>
      </c>
      <c r="EJ5">
        <v>2022</v>
      </c>
      <c r="EK5" t="s">
        <v>2559</v>
      </c>
      <c r="EL5" s="6">
        <v>44964</v>
      </c>
      <c r="EM5">
        <v>1</v>
      </c>
      <c r="EN5">
        <v>-2.4245362661989844E-14</v>
      </c>
      <c r="EO5">
        <v>126255</v>
      </c>
      <c r="EP5" t="s">
        <v>1939</v>
      </c>
      <c r="EU5" t="str">
        <f>_xll.BDS("JNJ US Equity","SUPPLY_CHAIN_SUPPLIERS_ALL_DATA","cols=12;rows=5")</f>
        <v>GMAB DC Equity</v>
      </c>
      <c r="EV5" t="s">
        <v>2574</v>
      </c>
      <c r="EW5">
        <v>66.998047</v>
      </c>
      <c r="EX5">
        <v>11.040321</v>
      </c>
      <c r="EY5" t="s">
        <v>1789</v>
      </c>
      <c r="EZ5">
        <v>2024</v>
      </c>
      <c r="FA5" t="s">
        <v>2575</v>
      </c>
      <c r="FB5" s="6">
        <v>45701</v>
      </c>
      <c r="FC5">
        <v>5</v>
      </c>
      <c r="FD5">
        <v>522920364.22000003</v>
      </c>
      <c r="FE5">
        <v>1405715</v>
      </c>
      <c r="FF5" t="s">
        <v>2576</v>
      </c>
      <c r="FI5" t="str">
        <f>_xll.BDS("JNJ US Equity","SUPPLY_CHAIN_CUSTOMERS_ALL_DATA","cols=12;rows=5")</f>
        <v>MCK US Equity</v>
      </c>
      <c r="FJ5">
        <v>20.476745999999999</v>
      </c>
      <c r="FK5" t="s">
        <v>1777</v>
      </c>
      <c r="FL5">
        <v>6.636412</v>
      </c>
      <c r="FM5" t="s">
        <v>1773</v>
      </c>
      <c r="FN5">
        <v>2025</v>
      </c>
      <c r="FO5" t="s">
        <v>2932</v>
      </c>
      <c r="FP5" s="6">
        <v>46018</v>
      </c>
      <c r="FQ5">
        <v>5</v>
      </c>
      <c r="FR5">
        <v>4912985600</v>
      </c>
      <c r="FS5">
        <v>154936</v>
      </c>
      <c r="FT5" t="s">
        <v>2528</v>
      </c>
      <c r="FY5" t="str">
        <f>_xll.BDS("FPFCQ US Equity","SUPPLY_CHAIN_SUPPLIERS_ALL_DATA")</f>
        <v>#N/A N/A</v>
      </c>
      <c r="GM5" t="str">
        <f>_xll.BDS("FPFCQ US Equity","SUPPLY_CHAIN_CUSTOMERS_ALL_DATA")</f>
        <v>#N/A N/A</v>
      </c>
      <c r="HC5" t="str">
        <f>_xll.BDS("CBRI US Equity","SUPPLY_CHAIN_SUPPLIERS_ALL_DATA")</f>
        <v>#N/A N/A</v>
      </c>
      <c r="HQ5" t="str">
        <f>_xll.BDS("CBRI US Equity","SUPPLY_CHAIN_CUSTOMERS_ALL_DATA")</f>
        <v>#N/A N/A</v>
      </c>
      <c r="IG5" t="str">
        <f>_xll.BDS("OAK US Equity","SUPPLY_CHAIN_SUPPLIERS_ALL_DATA")</f>
        <v>#N/A N/A</v>
      </c>
      <c r="IU5" t="str">
        <f>_xll.BDS("OAK US Equity","SUPPLY_CHAIN_CUSTOMERS_ALL_DATA")</f>
        <v>#N/A N/A</v>
      </c>
      <c r="JK5" t="str">
        <f>_xll.BDS("BOFLQ US Equity","SUPPLY_CHAIN_SUPPLIERS_ALL_DATA")</f>
        <v>#N/A N/A</v>
      </c>
      <c r="JY5" t="str">
        <f>_xll.BDS("BOFLQ US Equity","SUPPLY_CHAIN_CUSTOMERS_ALL_DATA")</f>
        <v>#N/A N/A</v>
      </c>
      <c r="KO5" t="str">
        <f>_xll.BDS("CHCO US Equity","SUPPLY_CHAIN_SUPPLIERS_ALL_DATA")</f>
        <v>#N/A N/A</v>
      </c>
      <c r="LC5" t="str">
        <f>_xll.BDS("CHCO US Equity","SUPPLY_CHAIN_CUSTOMERS_ALL_DATA")</f>
        <v>#N/A N/A</v>
      </c>
      <c r="LS5" t="str">
        <f>_xll.BDS("FBMS US Equity","SUPPLY_CHAIN_SUPPLIERS_ALL_DATA")</f>
        <v>#N/A N/A</v>
      </c>
      <c r="MG5" t="str">
        <f>_xll.BDS("FBMS US Equity","SUPPLY_CHAIN_CUSTOMERS_ALL_DATA")</f>
        <v>#N/A N/A</v>
      </c>
      <c r="MW5" t="str">
        <f>_xll.BDS("HBNC US Equity","SUPPLY_CHAIN_SUPPLIERS_ALL_DATA")</f>
        <v>#N/A N/A</v>
      </c>
      <c r="NK5" t="str">
        <f>_xll.BDS("HBNC US Equity","SUPPLY_CHAIN_CUSTOMERS_ALL_DATA")</f>
        <v>#N/A N/A</v>
      </c>
      <c r="OA5" t="str">
        <f>_xll.BDS("953386Q US Equity","SUPPLY_CHAIN_SUPPLIERS_ALL_DATA")</f>
        <v>#N/A N/A</v>
      </c>
      <c r="OO5" t="str">
        <f>_xll.BDS("953386Q US Equity","SUPPLY_CHAIN_CUSTOMERS_ALL_DATA")</f>
        <v>#N/A N/A</v>
      </c>
      <c r="PE5" t="str">
        <f>_xll.BDS("MNR US Equity","SUPPLY_CHAIN_SUPPLIERS_ALL_DATA")</f>
        <v>#N/A N/A</v>
      </c>
      <c r="PS5" t="str">
        <f>_xll.BDS("MNR US Equity","SUPPLY_CHAIN_CUSTOMERS_ALL_DATA")</f>
        <v>#N/A N/A</v>
      </c>
      <c r="QI5" t="str">
        <f>_xll.BDS("HBNC US Equity","SUPPLY_CHAIN_SUPPLIERS_ALL_DATA")</f>
        <v>#N/A N/A</v>
      </c>
      <c r="QW5" t="str">
        <f>_xll.BDS("HBNC US Equity","SUPPLY_CHAIN_CUSTOMERS_ALL_DATA")</f>
        <v>#N/A N/A</v>
      </c>
      <c r="RM5" t="str">
        <f>_xll.BDS("PLA US Equity","SUPPLY_CHAIN_SUPPLIERS_ALL_DATA")</f>
        <v>#N/A N/A</v>
      </c>
      <c r="SA5" t="str">
        <f>_xll.BDS("PLA US Equity","SUPPLY_CHAIN_CUSTOMERS_ALL_DATA")</f>
        <v>#N/A N/A</v>
      </c>
      <c r="SQ5" t="str">
        <f>_xll.BDS("TDG US Equity","SUPPLY_CHAIN_SUPPLIERS_ALL_DATA","cols=12;rows=5")</f>
        <v>DCO US Equity</v>
      </c>
      <c r="SR5" t="s">
        <v>1777</v>
      </c>
      <c r="SS5">
        <v>0.84416199999999997</v>
      </c>
      <c r="ST5">
        <v>0.208984</v>
      </c>
      <c r="SU5" t="s">
        <v>1768</v>
      </c>
      <c r="SV5">
        <v>2025</v>
      </c>
      <c r="SW5" t="s">
        <v>3581</v>
      </c>
      <c r="SX5" s="6">
        <v>45911</v>
      </c>
      <c r="SY5">
        <v>5</v>
      </c>
      <c r="SZ5">
        <v>1707402</v>
      </c>
      <c r="TA5">
        <v>103317</v>
      </c>
      <c r="TB5" t="s">
        <v>3582</v>
      </c>
      <c r="TE5" t="str">
        <f>_xll.BDS("TDG US Equity","SUPPLY_CHAIN_CUSTOMERS_ALL_DATA","cols=12;rows=5")</f>
        <v>BA US Equity</v>
      </c>
      <c r="TF5">
        <v>7.9839589999999996</v>
      </c>
      <c r="TG5" t="s">
        <v>1777</v>
      </c>
      <c r="TH5">
        <v>0.68733</v>
      </c>
      <c r="TI5" t="s">
        <v>1785</v>
      </c>
      <c r="TJ5">
        <v>2025</v>
      </c>
      <c r="TK5" t="s">
        <v>3270</v>
      </c>
      <c r="TL5" s="6">
        <v>45986</v>
      </c>
      <c r="TM5">
        <v>5</v>
      </c>
      <c r="TN5">
        <v>176265856</v>
      </c>
      <c r="TO5">
        <v>100211</v>
      </c>
      <c r="TP5" t="s">
        <v>1825</v>
      </c>
      <c r="TU5" t="str">
        <f>_xll.BDS("MRCY US Equity","SUPPLY_CHAIN_SUPPLIERS_ALL_DATA","cols=12;rows=5")</f>
        <v>MU US Equity</v>
      </c>
      <c r="TV5" t="s">
        <v>1777</v>
      </c>
      <c r="TW5">
        <v>8.4139999999999996E-3</v>
      </c>
      <c r="TX5">
        <v>0.66647000000000001</v>
      </c>
      <c r="TY5" t="s">
        <v>1781</v>
      </c>
      <c r="TZ5">
        <v>2026</v>
      </c>
      <c r="UA5" t="s">
        <v>3431</v>
      </c>
      <c r="UB5" s="6">
        <v>46079</v>
      </c>
      <c r="UC5">
        <v>5</v>
      </c>
      <c r="UD5">
        <v>1147922</v>
      </c>
      <c r="UE5">
        <v>100995</v>
      </c>
      <c r="UF5" t="s">
        <v>3141</v>
      </c>
      <c r="UI5" t="str">
        <f>_xll.BDS("MRCY US Equity","SUPPLY_CHAIN_CUSTOMERS_ALL_DATA","cols=12;rows=5")</f>
        <v>RTX US Equity</v>
      </c>
      <c r="UJ5">
        <v>19</v>
      </c>
      <c r="UK5" t="s">
        <v>1777</v>
      </c>
      <c r="UL5">
        <v>0.226657</v>
      </c>
      <c r="UM5" t="s">
        <v>1768</v>
      </c>
      <c r="UN5">
        <v>2026</v>
      </c>
      <c r="UO5" t="s">
        <v>3189</v>
      </c>
      <c r="UP5" s="6">
        <v>46056</v>
      </c>
      <c r="UQ5">
        <v>5</v>
      </c>
      <c r="UR5">
        <v>44245680</v>
      </c>
      <c r="US5">
        <v>101555</v>
      </c>
      <c r="UT5" t="s">
        <v>1823</v>
      </c>
      <c r="UY5" t="str">
        <f>_xll.BDS("1911768D US Equity","SUPPLY_CHAIN_SUPPLIERS_ALL_DATA")</f>
        <v>#N/A N/A</v>
      </c>
      <c r="VM5" t="str">
        <f>_xll.BDS("1911768D US Equity","SUPPLY_CHAIN_CUSTOMERS_ALL_DATA")</f>
        <v>#N/A N/A</v>
      </c>
    </row>
    <row r="6" spans="1:600" x14ac:dyDescent="0.25">
      <c r="AE6" t="s">
        <v>1911</v>
      </c>
      <c r="AF6" t="s">
        <v>1777</v>
      </c>
      <c r="AG6">
        <v>0.86485599999999996</v>
      </c>
      <c r="AH6">
        <v>4.0630959999999998</v>
      </c>
      <c r="AI6" t="s">
        <v>1781</v>
      </c>
      <c r="AJ6">
        <v>2025</v>
      </c>
      <c r="AK6" t="s">
        <v>2093</v>
      </c>
      <c r="AL6" s="6">
        <v>45797</v>
      </c>
      <c r="AM6">
        <v>5</v>
      </c>
      <c r="AN6">
        <v>264507552</v>
      </c>
      <c r="AO6">
        <v>101376</v>
      </c>
      <c r="AP6" t="s">
        <v>1912</v>
      </c>
      <c r="AS6" t="s">
        <v>1905</v>
      </c>
      <c r="AT6">
        <v>3.8131789999999999</v>
      </c>
      <c r="AU6" t="s">
        <v>1777</v>
      </c>
      <c r="AV6">
        <v>2.529652</v>
      </c>
      <c r="AW6" t="s">
        <v>1781</v>
      </c>
      <c r="AX6">
        <v>2025</v>
      </c>
      <c r="AY6" t="s">
        <v>2093</v>
      </c>
      <c r="AZ6" s="6">
        <v>45797</v>
      </c>
      <c r="BA6">
        <v>5</v>
      </c>
      <c r="BB6">
        <v>554474368</v>
      </c>
      <c r="BC6">
        <v>101743</v>
      </c>
      <c r="BD6" t="s">
        <v>1908</v>
      </c>
      <c r="BI6" t="s">
        <v>4439</v>
      </c>
      <c r="BK6">
        <v>-2.4245362661989844E-14</v>
      </c>
      <c r="BL6">
        <v>-2.4245362661989844E-14</v>
      </c>
      <c r="BM6" t="s">
        <v>1789</v>
      </c>
      <c r="BN6">
        <v>2025</v>
      </c>
      <c r="BO6" t="s">
        <v>4440</v>
      </c>
      <c r="BP6" s="6">
        <v>45987</v>
      </c>
      <c r="BQ6">
        <v>5</v>
      </c>
      <c r="BR6">
        <v>-2.4245362661989844E-14</v>
      </c>
      <c r="BS6">
        <v>943608</v>
      </c>
      <c r="BT6" t="s">
        <v>4441</v>
      </c>
      <c r="CM6" t="s">
        <v>3020</v>
      </c>
      <c r="CN6" t="s">
        <v>1808</v>
      </c>
      <c r="CO6">
        <v>2</v>
      </c>
      <c r="CP6">
        <v>7.0611999999999994E-2</v>
      </c>
      <c r="CQ6" t="s">
        <v>1789</v>
      </c>
      <c r="CR6">
        <v>2024</v>
      </c>
      <c r="CS6" t="s">
        <v>3021</v>
      </c>
      <c r="CT6" s="6">
        <v>45794</v>
      </c>
      <c r="CU6">
        <v>5</v>
      </c>
      <c r="CV6">
        <v>946876.76</v>
      </c>
      <c r="CW6">
        <v>42581762</v>
      </c>
      <c r="CX6" t="s">
        <v>3022</v>
      </c>
      <c r="DA6" t="s">
        <v>2882</v>
      </c>
      <c r="DB6">
        <v>-2.4245362661989844E-14</v>
      </c>
      <c r="DD6">
        <v>-2.4245362661989844E-14</v>
      </c>
      <c r="DE6" t="s">
        <v>1789</v>
      </c>
      <c r="DF6">
        <v>2021</v>
      </c>
      <c r="DG6" t="s">
        <v>2883</v>
      </c>
      <c r="DH6" s="6">
        <v>44711</v>
      </c>
      <c r="DI6">
        <v>2</v>
      </c>
      <c r="DJ6">
        <v>-2.4245362661989844E-14</v>
      </c>
      <c r="DK6">
        <v>16523618</v>
      </c>
      <c r="DL6" t="s">
        <v>2884</v>
      </c>
      <c r="DQ6" t="s">
        <v>2609</v>
      </c>
      <c r="DS6">
        <v>-2.4245362661989844E-14</v>
      </c>
      <c r="DT6">
        <v>-2.4245362661989844E-14</v>
      </c>
      <c r="DU6" t="s">
        <v>1789</v>
      </c>
      <c r="DV6">
        <v>2022</v>
      </c>
      <c r="DW6" t="s">
        <v>2610</v>
      </c>
      <c r="DX6" s="6">
        <v>45009</v>
      </c>
      <c r="DY6">
        <v>2</v>
      </c>
      <c r="DZ6">
        <v>-2.4245362661989844E-14</v>
      </c>
      <c r="EA6">
        <v>38944400</v>
      </c>
      <c r="EB6" t="s">
        <v>2611</v>
      </c>
      <c r="EU6" t="s">
        <v>2423</v>
      </c>
      <c r="EV6" t="s">
        <v>1777</v>
      </c>
      <c r="EW6">
        <v>6.6266720000000001</v>
      </c>
      <c r="EX6">
        <v>6.8004179999999996</v>
      </c>
      <c r="EY6" t="s">
        <v>1773</v>
      </c>
      <c r="EZ6">
        <v>2025</v>
      </c>
      <c r="FA6" t="s">
        <v>2424</v>
      </c>
      <c r="FB6" s="6">
        <v>45867</v>
      </c>
      <c r="FC6">
        <v>5</v>
      </c>
      <c r="FD6">
        <v>518735872</v>
      </c>
      <c r="FE6">
        <v>117092</v>
      </c>
      <c r="FF6" t="s">
        <v>2425</v>
      </c>
      <c r="FI6" t="s">
        <v>2529</v>
      </c>
      <c r="FJ6">
        <v>15.549336</v>
      </c>
      <c r="FK6" t="s">
        <v>1777</v>
      </c>
      <c r="FL6">
        <v>4.6186980000000002</v>
      </c>
      <c r="FM6" t="s">
        <v>1773</v>
      </c>
      <c r="FN6">
        <v>2025</v>
      </c>
      <c r="FO6" t="s">
        <v>2932</v>
      </c>
      <c r="FP6" s="6">
        <v>46018</v>
      </c>
      <c r="FQ6">
        <v>5</v>
      </c>
      <c r="FR6">
        <v>3730752256</v>
      </c>
      <c r="FS6">
        <v>156969</v>
      </c>
      <c r="FT6" t="s">
        <v>2531</v>
      </c>
      <c r="SQ6" t="s">
        <v>2116</v>
      </c>
      <c r="SR6" t="s">
        <v>1777</v>
      </c>
      <c r="SS6">
        <v>0.12837799999999999</v>
      </c>
      <c r="ST6">
        <v>0.18032500000000001</v>
      </c>
      <c r="SU6" t="s">
        <v>1773</v>
      </c>
      <c r="SV6">
        <v>2025</v>
      </c>
      <c r="SW6" t="s">
        <v>2117</v>
      </c>
      <c r="SX6" s="6">
        <v>45905</v>
      </c>
      <c r="SY6">
        <v>5</v>
      </c>
      <c r="SZ6">
        <v>1473254</v>
      </c>
      <c r="TA6">
        <v>104365</v>
      </c>
      <c r="TB6" t="s">
        <v>2118</v>
      </c>
      <c r="TE6" t="s">
        <v>1887</v>
      </c>
      <c r="TF6">
        <v>5.419651</v>
      </c>
      <c r="TG6" t="s">
        <v>1777</v>
      </c>
      <c r="TH6">
        <v>0.68726100000000001</v>
      </c>
      <c r="TI6" t="s">
        <v>1785</v>
      </c>
      <c r="TJ6">
        <v>2025</v>
      </c>
      <c r="TK6" t="s">
        <v>3270</v>
      </c>
      <c r="TL6" s="6">
        <v>45986</v>
      </c>
      <c r="TM6">
        <v>5</v>
      </c>
      <c r="TN6">
        <v>119652344</v>
      </c>
      <c r="TO6">
        <v>876285</v>
      </c>
      <c r="TP6" t="s">
        <v>1888</v>
      </c>
      <c r="TU6" t="s">
        <v>3432</v>
      </c>
      <c r="TV6" t="s">
        <v>1777</v>
      </c>
      <c r="TW6">
        <v>4.5790999999999998E-2</v>
      </c>
      <c r="TX6">
        <v>0.18754899999999999</v>
      </c>
      <c r="TY6" t="s">
        <v>1781</v>
      </c>
      <c r="TZ6">
        <v>2025</v>
      </c>
      <c r="UA6" t="s">
        <v>3433</v>
      </c>
      <c r="UB6" s="6">
        <v>45793</v>
      </c>
      <c r="UC6">
        <v>5</v>
      </c>
      <c r="UD6">
        <v>289291</v>
      </c>
      <c r="UE6">
        <v>102417</v>
      </c>
      <c r="UF6" t="s">
        <v>3434</v>
      </c>
      <c r="UI6" t="s">
        <v>210</v>
      </c>
      <c r="UJ6">
        <v>12</v>
      </c>
      <c r="UK6" t="s">
        <v>1777</v>
      </c>
      <c r="UL6">
        <v>0.29677799999999999</v>
      </c>
      <c r="UM6" t="s">
        <v>1768</v>
      </c>
      <c r="UN6">
        <v>2026</v>
      </c>
      <c r="UO6" t="s">
        <v>3189</v>
      </c>
      <c r="UP6" s="6">
        <v>46056</v>
      </c>
      <c r="UQ6">
        <v>5</v>
      </c>
      <c r="UR6">
        <v>27944640</v>
      </c>
      <c r="US6">
        <v>101090</v>
      </c>
      <c r="UT6" t="s">
        <v>1820</v>
      </c>
    </row>
    <row r="7" spans="1:600" x14ac:dyDescent="0.25">
      <c r="AE7" t="s">
        <v>1814</v>
      </c>
      <c r="AF7" t="s">
        <v>1777</v>
      </c>
      <c r="AG7">
        <v>0.167933</v>
      </c>
      <c r="AH7">
        <v>4.0156150000000004</v>
      </c>
      <c r="AI7" t="s">
        <v>1781</v>
      </c>
      <c r="AJ7">
        <v>2025</v>
      </c>
      <c r="AK7" t="s">
        <v>2093</v>
      </c>
      <c r="AL7" s="6">
        <v>45797</v>
      </c>
      <c r="AM7">
        <v>5</v>
      </c>
      <c r="AN7">
        <v>261416544</v>
      </c>
      <c r="AO7">
        <v>216952</v>
      </c>
      <c r="AP7" t="s">
        <v>1815</v>
      </c>
      <c r="AS7" t="s">
        <v>1909</v>
      </c>
      <c r="AT7">
        <v>3.1054590000000002</v>
      </c>
      <c r="AU7" t="s">
        <v>1777</v>
      </c>
      <c r="AV7">
        <v>1.2857479999999999</v>
      </c>
      <c r="AW7" t="s">
        <v>1781</v>
      </c>
      <c r="AX7">
        <v>2025</v>
      </c>
      <c r="AY7" t="s">
        <v>2093</v>
      </c>
      <c r="AZ7" s="6">
        <v>45797</v>
      </c>
      <c r="BA7">
        <v>5</v>
      </c>
      <c r="BB7">
        <v>451564800</v>
      </c>
      <c r="BC7">
        <v>117929</v>
      </c>
      <c r="BD7" t="s">
        <v>1910</v>
      </c>
      <c r="BI7" t="s">
        <v>4442</v>
      </c>
      <c r="BK7">
        <v>-2.4245362661989844E-14</v>
      </c>
      <c r="BL7">
        <v>-2.4245362661989844E-14</v>
      </c>
      <c r="BM7" t="s">
        <v>1789</v>
      </c>
      <c r="BN7">
        <v>2025</v>
      </c>
      <c r="BO7" t="s">
        <v>4440</v>
      </c>
      <c r="BP7" s="6">
        <v>45987</v>
      </c>
      <c r="BQ7">
        <v>5</v>
      </c>
      <c r="BR7">
        <v>-2.4245362661989844E-14</v>
      </c>
      <c r="BS7">
        <v>7269410</v>
      </c>
      <c r="BT7" t="s">
        <v>4443</v>
      </c>
      <c r="CM7" t="s">
        <v>3023</v>
      </c>
      <c r="CN7" t="s">
        <v>1777</v>
      </c>
      <c r="CO7">
        <v>0.120325</v>
      </c>
      <c r="CP7">
        <v>9.9299999999999996E-3</v>
      </c>
      <c r="CQ7" t="s">
        <v>1789</v>
      </c>
      <c r="CR7">
        <v>2025</v>
      </c>
      <c r="CS7" t="s">
        <v>3024</v>
      </c>
      <c r="CT7" s="6">
        <v>45870</v>
      </c>
      <c r="CU7">
        <v>5</v>
      </c>
      <c r="CV7">
        <v>129421.62</v>
      </c>
      <c r="CW7">
        <v>11014238</v>
      </c>
      <c r="CX7" t="s">
        <v>3025</v>
      </c>
      <c r="EU7" t="s">
        <v>2577</v>
      </c>
      <c r="EV7" t="s">
        <v>1777</v>
      </c>
      <c r="EW7">
        <v>1.3419449999999999</v>
      </c>
      <c r="EX7">
        <v>2.7987500000000001</v>
      </c>
      <c r="EY7" t="s">
        <v>1785</v>
      </c>
      <c r="EZ7">
        <v>2025</v>
      </c>
      <c r="FA7" t="s">
        <v>2578</v>
      </c>
      <c r="FB7" s="6">
        <v>46077</v>
      </c>
      <c r="FC7">
        <v>5</v>
      </c>
      <c r="FD7">
        <v>223004416</v>
      </c>
      <c r="FE7">
        <v>28046509</v>
      </c>
      <c r="FF7" t="s">
        <v>2579</v>
      </c>
      <c r="FI7" t="s">
        <v>2933</v>
      </c>
      <c r="FJ7">
        <v>12.373919000000001</v>
      </c>
      <c r="FK7" t="s">
        <v>1777</v>
      </c>
      <c r="FL7">
        <v>4.81257</v>
      </c>
      <c r="FM7" t="s">
        <v>1773</v>
      </c>
      <c r="FN7">
        <v>2025</v>
      </c>
      <c r="FO7" t="s">
        <v>2932</v>
      </c>
      <c r="FP7" s="6">
        <v>46018</v>
      </c>
      <c r="FQ7">
        <v>5</v>
      </c>
      <c r="FR7">
        <v>2968874496</v>
      </c>
      <c r="FS7">
        <v>102782</v>
      </c>
      <c r="FT7" t="s">
        <v>2934</v>
      </c>
      <c r="SQ7" t="s">
        <v>3583</v>
      </c>
      <c r="SR7" t="s">
        <v>1777</v>
      </c>
      <c r="SS7">
        <v>0.342005</v>
      </c>
      <c r="ST7">
        <v>0.106498</v>
      </c>
      <c r="SU7" t="s">
        <v>1773</v>
      </c>
      <c r="SV7">
        <v>2025</v>
      </c>
      <c r="SW7" t="s">
        <v>3584</v>
      </c>
      <c r="SX7" s="6">
        <v>45978</v>
      </c>
      <c r="SY7">
        <v>5</v>
      </c>
      <c r="SZ7">
        <v>992678.59</v>
      </c>
      <c r="TA7">
        <v>68455782</v>
      </c>
      <c r="TB7" t="s">
        <v>3585</v>
      </c>
      <c r="TE7" t="s">
        <v>1821</v>
      </c>
      <c r="TF7">
        <v>4.7768259999999998</v>
      </c>
      <c r="TG7" t="s">
        <v>1777</v>
      </c>
      <c r="TH7">
        <v>0.64426899999999998</v>
      </c>
      <c r="TI7" t="s">
        <v>1785</v>
      </c>
      <c r="TJ7">
        <v>2025</v>
      </c>
      <c r="TK7" t="s">
        <v>3270</v>
      </c>
      <c r="TL7" s="6">
        <v>45986</v>
      </c>
      <c r="TM7">
        <v>5</v>
      </c>
      <c r="TN7">
        <v>105460376</v>
      </c>
      <c r="TO7">
        <v>156923</v>
      </c>
      <c r="TP7" t="s">
        <v>1822</v>
      </c>
      <c r="TU7" t="s">
        <v>3087</v>
      </c>
      <c r="TV7" t="s">
        <v>1777</v>
      </c>
      <c r="TW7">
        <v>6.1720000000000004E-3</v>
      </c>
      <c r="TX7">
        <v>0.103982</v>
      </c>
      <c r="TY7" t="s">
        <v>1773</v>
      </c>
      <c r="TZ7">
        <v>2025</v>
      </c>
      <c r="UA7" t="s">
        <v>3088</v>
      </c>
      <c r="UB7" s="6">
        <v>45959</v>
      </c>
      <c r="UC7">
        <v>5</v>
      </c>
      <c r="UD7">
        <v>195838</v>
      </c>
      <c r="UE7">
        <v>11109358</v>
      </c>
      <c r="UF7" t="s">
        <v>3089</v>
      </c>
      <c r="UI7" t="s">
        <v>1821</v>
      </c>
      <c r="UJ7">
        <v>11</v>
      </c>
      <c r="UK7" t="s">
        <v>1777</v>
      </c>
      <c r="UL7">
        <v>0.142319</v>
      </c>
      <c r="UM7" t="s">
        <v>1768</v>
      </c>
      <c r="UN7">
        <v>2026</v>
      </c>
      <c r="UO7" t="s">
        <v>3189</v>
      </c>
      <c r="UP7" s="6">
        <v>46056</v>
      </c>
      <c r="UQ7">
        <v>5</v>
      </c>
      <c r="UR7">
        <v>25615920</v>
      </c>
      <c r="US7">
        <v>156923</v>
      </c>
      <c r="UT7" t="s">
        <v>1822</v>
      </c>
    </row>
    <row r="8" spans="1:600" x14ac:dyDescent="0.25">
      <c r="AE8" t="s">
        <v>1902</v>
      </c>
      <c r="AF8" t="s">
        <v>1777</v>
      </c>
      <c r="AG8">
        <v>0.893262</v>
      </c>
      <c r="AH8">
        <v>1.9939499999999999</v>
      </c>
      <c r="AI8" t="s">
        <v>1781</v>
      </c>
      <c r="AJ8">
        <v>2025</v>
      </c>
      <c r="AK8" t="s">
        <v>2093</v>
      </c>
      <c r="AL8" s="6">
        <v>45797</v>
      </c>
      <c r="AM8">
        <v>5</v>
      </c>
      <c r="AN8">
        <v>129806144</v>
      </c>
      <c r="AO8">
        <v>1499717</v>
      </c>
      <c r="AP8" t="s">
        <v>1904</v>
      </c>
      <c r="AS8" t="s">
        <v>165</v>
      </c>
      <c r="AT8">
        <v>0.94301500000000005</v>
      </c>
      <c r="AU8" t="s">
        <v>1777</v>
      </c>
      <c r="AV8">
        <v>2.2702520000000002</v>
      </c>
      <c r="AW8" t="s">
        <v>1781</v>
      </c>
      <c r="AX8">
        <v>2025</v>
      </c>
      <c r="AY8" t="s">
        <v>1870</v>
      </c>
      <c r="AZ8" s="6">
        <v>45784</v>
      </c>
      <c r="BA8">
        <v>5</v>
      </c>
      <c r="BB8">
        <v>137123792</v>
      </c>
      <c r="BC8">
        <v>100115</v>
      </c>
      <c r="BD8" t="s">
        <v>1871</v>
      </c>
      <c r="BI8" t="s">
        <v>4444</v>
      </c>
      <c r="BK8">
        <v>-2.4245362661989844E-14</v>
      </c>
      <c r="BL8">
        <v>-2.4245362661989844E-14</v>
      </c>
      <c r="BM8" t="s">
        <v>1789</v>
      </c>
      <c r="BN8">
        <v>2022</v>
      </c>
      <c r="BO8" t="s">
        <v>4445</v>
      </c>
      <c r="BP8" s="6">
        <v>44888</v>
      </c>
      <c r="BQ8">
        <v>5</v>
      </c>
      <c r="BR8">
        <v>-2.4245362661989844E-14</v>
      </c>
      <c r="BS8">
        <v>1748432</v>
      </c>
      <c r="BT8" t="s">
        <v>4446</v>
      </c>
      <c r="CM8" t="s">
        <v>3026</v>
      </c>
      <c r="CO8">
        <v>-2.4245362661989844E-14</v>
      </c>
      <c r="CP8">
        <v>-2.4245362661989844E-14</v>
      </c>
      <c r="CQ8" t="s">
        <v>1789</v>
      </c>
      <c r="CR8">
        <v>2023</v>
      </c>
      <c r="CS8" t="s">
        <v>3027</v>
      </c>
      <c r="CT8" s="6">
        <v>45184</v>
      </c>
      <c r="CU8">
        <v>5</v>
      </c>
      <c r="CV8">
        <v>-2.4245362661989844E-14</v>
      </c>
      <c r="CW8">
        <v>63151666</v>
      </c>
      <c r="CX8" t="s">
        <v>3028</v>
      </c>
      <c r="EU8" t="s">
        <v>2580</v>
      </c>
      <c r="EV8" t="s">
        <v>1777</v>
      </c>
      <c r="EW8">
        <v>49.056618</v>
      </c>
      <c r="EX8">
        <v>2.3797060000000001</v>
      </c>
      <c r="EY8" t="s">
        <v>1773</v>
      </c>
      <c r="EZ8">
        <v>2025</v>
      </c>
      <c r="FA8" t="s">
        <v>2581</v>
      </c>
      <c r="FB8" s="6">
        <v>46050</v>
      </c>
      <c r="FC8">
        <v>5</v>
      </c>
      <c r="FD8">
        <v>173789936</v>
      </c>
      <c r="FE8">
        <v>1753841</v>
      </c>
      <c r="FF8" t="s">
        <v>2582</v>
      </c>
      <c r="FI8" t="s">
        <v>2534</v>
      </c>
      <c r="FJ8">
        <v>2.966253</v>
      </c>
      <c r="FK8" t="s">
        <v>1777</v>
      </c>
      <c r="FL8">
        <v>1.12304</v>
      </c>
      <c r="FM8" t="s">
        <v>1773</v>
      </c>
      <c r="FN8">
        <v>2025</v>
      </c>
      <c r="FO8" t="s">
        <v>2932</v>
      </c>
      <c r="FP8" s="6">
        <v>46018</v>
      </c>
      <c r="FQ8">
        <v>5</v>
      </c>
      <c r="FR8">
        <v>711693056</v>
      </c>
      <c r="FS8">
        <v>60401289</v>
      </c>
      <c r="FT8" t="s">
        <v>2535</v>
      </c>
      <c r="SQ8" t="s">
        <v>3586</v>
      </c>
      <c r="SR8" t="s">
        <v>1777</v>
      </c>
      <c r="SS8">
        <v>7.9628000000000004E-2</v>
      </c>
      <c r="ST8">
        <v>7.2083999999999995E-2</v>
      </c>
      <c r="SU8" t="s">
        <v>1781</v>
      </c>
      <c r="SV8">
        <v>2026</v>
      </c>
      <c r="SW8" t="s">
        <v>3587</v>
      </c>
      <c r="SX8" s="6">
        <v>45925</v>
      </c>
      <c r="SY8">
        <v>5</v>
      </c>
      <c r="SZ8">
        <v>588929</v>
      </c>
      <c r="TA8">
        <v>100001</v>
      </c>
      <c r="TB8" t="s">
        <v>3588</v>
      </c>
      <c r="TE8" t="s">
        <v>1889</v>
      </c>
      <c r="TF8">
        <v>4.0292180000000002</v>
      </c>
      <c r="TG8" t="s">
        <v>1777</v>
      </c>
      <c r="TH8">
        <v>0.643204</v>
      </c>
      <c r="TI8" t="s">
        <v>1785</v>
      </c>
      <c r="TJ8">
        <v>2025</v>
      </c>
      <c r="TK8" t="s">
        <v>3270</v>
      </c>
      <c r="TL8" s="6">
        <v>45986</v>
      </c>
      <c r="TM8">
        <v>5</v>
      </c>
      <c r="TN8">
        <v>88955056</v>
      </c>
      <c r="TO8">
        <v>10451815</v>
      </c>
      <c r="TP8" t="s">
        <v>1890</v>
      </c>
      <c r="TU8" t="s">
        <v>3435</v>
      </c>
      <c r="TV8" t="s">
        <v>1777</v>
      </c>
      <c r="TW8">
        <v>1.4925000000000001E-2</v>
      </c>
      <c r="TX8">
        <v>0.104864</v>
      </c>
      <c r="TY8" t="s">
        <v>1768</v>
      </c>
      <c r="TZ8">
        <v>2026</v>
      </c>
      <c r="UA8" t="s">
        <v>3436</v>
      </c>
      <c r="UB8" s="6">
        <v>46035</v>
      </c>
      <c r="UC8">
        <v>5</v>
      </c>
      <c r="UD8">
        <v>170205</v>
      </c>
      <c r="UE8">
        <v>116749</v>
      </c>
      <c r="UF8" t="s">
        <v>3437</v>
      </c>
      <c r="UI8" t="s">
        <v>1797</v>
      </c>
      <c r="UJ8">
        <v>8.4</v>
      </c>
      <c r="UL8">
        <v>-2.4245362661989844E-14</v>
      </c>
      <c r="UM8" t="s">
        <v>1768</v>
      </c>
      <c r="UN8">
        <v>2026</v>
      </c>
      <c r="UO8" t="s">
        <v>3190</v>
      </c>
      <c r="UP8" s="6">
        <v>46059</v>
      </c>
      <c r="UQ8">
        <v>5</v>
      </c>
      <c r="UR8">
        <v>19561248</v>
      </c>
      <c r="US8">
        <v>218252</v>
      </c>
      <c r="UT8" t="s">
        <v>1798</v>
      </c>
    </row>
    <row r="9" spans="1:600" x14ac:dyDescent="0.25">
      <c r="AE9" t="s">
        <v>1955</v>
      </c>
      <c r="AF9" t="s">
        <v>1777</v>
      </c>
      <c r="AG9">
        <v>0.59890299999999996</v>
      </c>
      <c r="AH9">
        <v>1.729209</v>
      </c>
      <c r="AI9" t="s">
        <v>1781</v>
      </c>
      <c r="AJ9">
        <v>2025</v>
      </c>
      <c r="AK9" t="s">
        <v>2093</v>
      </c>
      <c r="AL9" s="6">
        <v>45797</v>
      </c>
      <c r="AM9">
        <v>5</v>
      </c>
      <c r="AN9">
        <v>112571504</v>
      </c>
      <c r="AO9">
        <v>130929</v>
      </c>
      <c r="AP9" t="s">
        <v>1957</v>
      </c>
      <c r="AS9" t="s">
        <v>919</v>
      </c>
      <c r="AT9">
        <v>0.76780499999999996</v>
      </c>
      <c r="AU9" t="s">
        <v>1777</v>
      </c>
      <c r="AV9">
        <v>2.2920660000000002</v>
      </c>
      <c r="AW9" t="s">
        <v>1781</v>
      </c>
      <c r="AX9">
        <v>2025</v>
      </c>
      <c r="AY9" t="s">
        <v>2093</v>
      </c>
      <c r="AZ9" s="6">
        <v>45797</v>
      </c>
      <c r="BA9">
        <v>5</v>
      </c>
      <c r="BB9">
        <v>111646528</v>
      </c>
      <c r="BC9">
        <v>69423747</v>
      </c>
      <c r="BD9" t="s">
        <v>2300</v>
      </c>
      <c r="BI9" t="s">
        <v>4447</v>
      </c>
      <c r="BK9">
        <v>-2.4245362661989844E-14</v>
      </c>
      <c r="BL9">
        <v>-2.4245362661989844E-14</v>
      </c>
      <c r="BM9" t="s">
        <v>1789</v>
      </c>
      <c r="BN9">
        <v>2025</v>
      </c>
      <c r="BO9" t="s">
        <v>4440</v>
      </c>
      <c r="BP9" s="6">
        <v>45987</v>
      </c>
      <c r="BQ9">
        <v>5</v>
      </c>
      <c r="BR9">
        <v>-2.4245362661989844E-14</v>
      </c>
      <c r="BS9">
        <v>10005604</v>
      </c>
      <c r="BT9" t="s">
        <v>4448</v>
      </c>
      <c r="CM9" t="s">
        <v>3029</v>
      </c>
      <c r="CO9">
        <v>-2.4245362661989844E-14</v>
      </c>
      <c r="CP9">
        <v>-2.4245362661989844E-14</v>
      </c>
      <c r="CQ9" t="s">
        <v>1789</v>
      </c>
      <c r="CR9">
        <v>2025</v>
      </c>
      <c r="CS9" t="s">
        <v>3030</v>
      </c>
      <c r="CT9" s="6">
        <v>45938</v>
      </c>
      <c r="CU9">
        <v>5</v>
      </c>
      <c r="CV9">
        <v>-2.4245362661989844E-14</v>
      </c>
      <c r="CW9">
        <v>70158692</v>
      </c>
      <c r="CX9" t="s">
        <v>3031</v>
      </c>
      <c r="EU9" t="s">
        <v>2583</v>
      </c>
      <c r="EV9" t="s">
        <v>1777</v>
      </c>
      <c r="EW9">
        <v>1.017503</v>
      </c>
      <c r="EX9">
        <v>1.621964</v>
      </c>
      <c r="EY9" t="s">
        <v>1768</v>
      </c>
      <c r="EZ9">
        <v>2025</v>
      </c>
      <c r="FA9" t="s">
        <v>2584</v>
      </c>
      <c r="FB9" s="6">
        <v>45929</v>
      </c>
      <c r="FC9">
        <v>5</v>
      </c>
      <c r="FD9">
        <v>123835292.08</v>
      </c>
      <c r="FE9">
        <v>115679</v>
      </c>
      <c r="FF9" t="s">
        <v>2585</v>
      </c>
      <c r="FI9" t="s">
        <v>1776</v>
      </c>
      <c r="FJ9">
        <v>2.108371</v>
      </c>
      <c r="FK9" t="s">
        <v>1777</v>
      </c>
      <c r="FL9">
        <v>2.5571009999999998</v>
      </c>
      <c r="FM9" t="s">
        <v>1768</v>
      </c>
      <c r="FN9">
        <v>2025</v>
      </c>
      <c r="FO9" t="s">
        <v>1778</v>
      </c>
      <c r="FP9" s="6">
        <v>45919</v>
      </c>
      <c r="FQ9">
        <v>5</v>
      </c>
      <c r="FR9">
        <v>501043244.87</v>
      </c>
      <c r="FS9">
        <v>115268</v>
      </c>
      <c r="FT9" t="s">
        <v>1779</v>
      </c>
      <c r="SQ9" t="s">
        <v>3589</v>
      </c>
      <c r="SR9" t="s">
        <v>1777</v>
      </c>
      <c r="SS9">
        <v>0.21848899999999999</v>
      </c>
      <c r="ST9">
        <v>9.1699999999999993E-3</v>
      </c>
      <c r="SU9" t="s">
        <v>1785</v>
      </c>
      <c r="SV9">
        <v>2025</v>
      </c>
      <c r="SW9" t="s">
        <v>3590</v>
      </c>
      <c r="SX9" s="6">
        <v>46078</v>
      </c>
      <c r="SY9">
        <v>5</v>
      </c>
      <c r="SZ9">
        <v>80872.160000000003</v>
      </c>
      <c r="TA9">
        <v>109437</v>
      </c>
      <c r="TB9" t="s">
        <v>3591</v>
      </c>
      <c r="TE9" t="s">
        <v>3271</v>
      </c>
      <c r="TF9">
        <v>3.8456359999999998</v>
      </c>
      <c r="TG9" t="s">
        <v>1777</v>
      </c>
      <c r="TH9">
        <v>0.56642899999999996</v>
      </c>
      <c r="TI9" t="s">
        <v>1785</v>
      </c>
      <c r="TJ9">
        <v>2025</v>
      </c>
      <c r="TK9" t="s">
        <v>3270</v>
      </c>
      <c r="TL9" s="6">
        <v>45986</v>
      </c>
      <c r="TM9">
        <v>5</v>
      </c>
      <c r="TN9">
        <v>84902032</v>
      </c>
      <c r="TO9">
        <v>11826145</v>
      </c>
      <c r="TP9" t="s">
        <v>3272</v>
      </c>
      <c r="TU9" t="s">
        <v>3438</v>
      </c>
      <c r="TW9">
        <v>-2.4245362661989844E-14</v>
      </c>
      <c r="TX9">
        <v>-2.4245362661989844E-14</v>
      </c>
      <c r="TY9" t="s">
        <v>1789</v>
      </c>
      <c r="TZ9">
        <v>2023</v>
      </c>
      <c r="UA9" t="s">
        <v>3439</v>
      </c>
      <c r="UB9" s="6">
        <v>45153</v>
      </c>
      <c r="UC9">
        <v>5</v>
      </c>
      <c r="UD9">
        <v>-2.4245362661989844E-14</v>
      </c>
      <c r="UE9">
        <v>27089699</v>
      </c>
      <c r="UF9" t="s">
        <v>3440</v>
      </c>
      <c r="UI9" t="s">
        <v>1931</v>
      </c>
      <c r="UJ9">
        <v>6.1110550000000003</v>
      </c>
      <c r="UK9" t="s">
        <v>1777</v>
      </c>
      <c r="UL9">
        <v>0.36025400000000002</v>
      </c>
      <c r="UM9" t="s">
        <v>1768</v>
      </c>
      <c r="UN9">
        <v>2026</v>
      </c>
      <c r="UO9" t="s">
        <v>3190</v>
      </c>
      <c r="UP9" s="6">
        <v>46059</v>
      </c>
      <c r="UQ9">
        <v>5</v>
      </c>
      <c r="UR9">
        <v>14230936</v>
      </c>
      <c r="US9">
        <v>100710</v>
      </c>
      <c r="UT9" t="s">
        <v>1932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1198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1199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1217</v>
      </c>
      <c r="AE2" s="3" t="s">
        <v>1218</v>
      </c>
      <c r="BI2" s="3" t="s">
        <v>1219</v>
      </c>
      <c r="CM2" s="3" t="s">
        <v>1220</v>
      </c>
      <c r="DQ2" s="3" t="s">
        <v>1221</v>
      </c>
      <c r="EU2" s="3" t="s">
        <v>992</v>
      </c>
      <c r="FY2" s="3" t="s">
        <v>817</v>
      </c>
      <c r="HC2" s="3" t="s">
        <v>845</v>
      </c>
      <c r="IG2" s="3" t="s">
        <v>1222</v>
      </c>
      <c r="JK2" s="3" t="s">
        <v>752</v>
      </c>
      <c r="KO2" s="3" t="s">
        <v>1223</v>
      </c>
      <c r="LS2" s="3" t="s">
        <v>921</v>
      </c>
      <c r="MW2" s="3" t="s">
        <v>1224</v>
      </c>
      <c r="OA2" s="3" t="s">
        <v>1225</v>
      </c>
      <c r="PE2" s="3" t="s">
        <v>1226</v>
      </c>
      <c r="QI2" s="3" t="s">
        <v>426</v>
      </c>
      <c r="RM2" s="3" t="s">
        <v>1227</v>
      </c>
      <c r="SQ2" s="3" t="s">
        <v>1228</v>
      </c>
      <c r="TU2" s="3" t="s">
        <v>168</v>
      </c>
      <c r="UY2" s="3" t="s">
        <v>1229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_xll.BDS("CAC US Equity","SUPPLY_CHAIN_SUPPLIERS_ALL_DATA")</f>
        <v>#N/A N/A</v>
      </c>
      <c r="O5" t="str">
        <f>_xll.BDS("CAC US Equity","SUPPLY_CHAIN_CUSTOMERS_ALL_DATA")</f>
        <v>#N/A N/A</v>
      </c>
      <c r="AE5" t="str">
        <f>_xll.BDS("AFSC US Equity","SUPPLY_CHAIN_SUPPLIERS_ALL_DATA")</f>
        <v>#N/A N/A</v>
      </c>
      <c r="AS5" t="str">
        <f>_xll.BDS("AFSC US Equity","SUPPLY_CHAIN_CUSTOMERS_ALL_DATA")</f>
        <v>#N/A N/A</v>
      </c>
      <c r="BI5" t="str">
        <f>_xll.BDS("KN US Equity","SUPPLY_CHAIN_SUPPLIERS_ALL_DATA","cols=12;rows=5")</f>
        <v>131290 KS Equity</v>
      </c>
      <c r="BJ5" t="s">
        <v>1777</v>
      </c>
      <c r="BK5">
        <v>0.23475199999999999</v>
      </c>
      <c r="BL5">
        <v>0.23128000000000001</v>
      </c>
      <c r="BM5" t="s">
        <v>1768</v>
      </c>
      <c r="BN5">
        <v>2025</v>
      </c>
      <c r="BO5" t="s">
        <v>4820</v>
      </c>
      <c r="BP5" s="6">
        <v>45918</v>
      </c>
      <c r="BQ5">
        <v>5</v>
      </c>
      <c r="BR5">
        <v>197252.42</v>
      </c>
      <c r="BS5">
        <v>17496610</v>
      </c>
      <c r="BT5" t="s">
        <v>4821</v>
      </c>
      <c r="BW5" t="str">
        <f>_xll.BDS("KN US Equity","SUPPLY_CHAIN_CUSTOMERS_ALL_DATA","cols=12;rows=5")</f>
        <v>1702531D DC Equity</v>
      </c>
      <c r="BX5">
        <v>11</v>
      </c>
      <c r="BY5" t="s">
        <v>1777</v>
      </c>
      <c r="BZ5">
        <v>6.147138</v>
      </c>
      <c r="CA5" t="s">
        <v>1789</v>
      </c>
      <c r="CB5">
        <v>2025</v>
      </c>
      <c r="CC5" t="s">
        <v>2168</v>
      </c>
      <c r="CD5" s="6">
        <v>46062</v>
      </c>
      <c r="CE5">
        <v>5</v>
      </c>
      <c r="CF5">
        <v>16313000</v>
      </c>
      <c r="CG5">
        <v>63822985</v>
      </c>
      <c r="CH5" t="s">
        <v>2169</v>
      </c>
      <c r="CM5" t="str">
        <f>_xll.BDS("1920486D US Equity","SUPPLY_CHAIN_SUPPLIERS_ALL_DATA")</f>
        <v>#N/A N/A</v>
      </c>
      <c r="DA5" t="str">
        <f>_xll.BDS("1920486D US Equity","SUPPLY_CHAIN_CUSTOMERS_ALL_DATA")</f>
        <v>#N/A N/A</v>
      </c>
      <c r="DQ5" t="str">
        <f>_xll.BDS("INSM US Equity","SUPPLY_CHAIN_SUPPLIERS_ALL_DATA","cols=12;rows=5")</f>
        <v>0546227D CN Equity</v>
      </c>
      <c r="DS5">
        <v>-2.4245362661989844E-14</v>
      </c>
      <c r="DT5">
        <v>-2.4245362661989844E-14</v>
      </c>
      <c r="DU5" t="s">
        <v>1789</v>
      </c>
      <c r="DV5">
        <v>2023</v>
      </c>
      <c r="DW5" t="s">
        <v>4743</v>
      </c>
      <c r="DX5" s="6">
        <v>45344</v>
      </c>
      <c r="DY5">
        <v>5</v>
      </c>
      <c r="DZ5">
        <v>-2.4245362661989844E-14</v>
      </c>
      <c r="EA5">
        <v>15486573</v>
      </c>
      <c r="EB5" t="s">
        <v>4744</v>
      </c>
      <c r="EE5" t="str">
        <f>_xll.BDS("INSM US Equity","SUPPLY_CHAIN_CUSTOMERS_ALL_DATA")</f>
        <v>#N/A N/A</v>
      </c>
      <c r="EU5" t="str">
        <f>_xll.BDS("FIBK US Equity","SUPPLY_CHAIN_SUPPLIERS_ALL_DATA","cols=12;rows=1")</f>
        <v>FISV US Equity</v>
      </c>
      <c r="EW5">
        <v>-2.4245362661989844E-14</v>
      </c>
      <c r="EX5">
        <v>-2.4245362661989844E-14</v>
      </c>
      <c r="EY5" t="s">
        <v>1894</v>
      </c>
      <c r="EZ5">
        <v>2023</v>
      </c>
      <c r="FA5" t="s">
        <v>2045</v>
      </c>
      <c r="FB5" s="6">
        <v>45245</v>
      </c>
      <c r="FC5">
        <v>1</v>
      </c>
      <c r="FD5">
        <v>-2.4245362661989844E-14</v>
      </c>
      <c r="FE5">
        <v>103882</v>
      </c>
      <c r="FF5" t="s">
        <v>2046</v>
      </c>
      <c r="FI5" t="str">
        <f>_xll.BDS("FIBK US Equity","SUPPLY_CHAIN_CUSTOMERS_ALL_DATA")</f>
        <v>#N/A N/A</v>
      </c>
      <c r="FY5" t="str">
        <f>_xll.BDS("838969Q US Equity","SUPPLY_CHAIN_SUPPLIERS_ALL_DATA")</f>
        <v>#N/A N/A</v>
      </c>
      <c r="GM5" t="str">
        <f>_xll.BDS("838969Q US Equity","SUPPLY_CHAIN_CUSTOMERS_ALL_DATA")</f>
        <v>#N/A N/A</v>
      </c>
      <c r="HC5" t="str">
        <f>_xll.BDS("ZION US Equity","SUPPLY_CHAIN_SUPPLIERS_ALL_DATA","cols=12;rows=2")</f>
        <v>MUST SP Equity</v>
      </c>
      <c r="HE5">
        <v>-2.4245362661989844E-14</v>
      </c>
      <c r="HF5">
        <v>-2.4245362661989844E-14</v>
      </c>
      <c r="HG5" t="s">
        <v>1789</v>
      </c>
      <c r="HH5">
        <v>2024</v>
      </c>
      <c r="HI5" t="s">
        <v>3017</v>
      </c>
      <c r="HJ5" s="6">
        <v>45762</v>
      </c>
      <c r="HK5">
        <v>2</v>
      </c>
      <c r="HL5">
        <v>-2.4245362661989844E-14</v>
      </c>
      <c r="HM5">
        <v>46286147</v>
      </c>
      <c r="HN5" t="s">
        <v>3018</v>
      </c>
      <c r="HQ5" t="str">
        <f>_xll.BDS("ZION US Equity","SUPPLY_CHAIN_CUSTOMERS_ALL_DATA")</f>
        <v>#N/A N/A</v>
      </c>
      <c r="IG5" t="str">
        <f>_xll.BDS("EXEL US Equity","SUPPLY_CHAIN_SUPPLIERS_ALL_DATA","cols=12;rows=5")</f>
        <v>RPRX US Equity</v>
      </c>
      <c r="IH5" t="s">
        <v>1777</v>
      </c>
      <c r="II5">
        <v>0.87834500000000004</v>
      </c>
      <c r="IJ5">
        <v>20.631041</v>
      </c>
      <c r="IK5" t="s">
        <v>1785</v>
      </c>
      <c r="IL5">
        <v>2025</v>
      </c>
      <c r="IM5" t="s">
        <v>2708</v>
      </c>
      <c r="IN5" s="6">
        <v>46072</v>
      </c>
      <c r="IO5">
        <v>5</v>
      </c>
      <c r="IP5">
        <v>5463306</v>
      </c>
      <c r="IQ5">
        <v>68003261</v>
      </c>
      <c r="IR5" t="s">
        <v>2709</v>
      </c>
      <c r="IU5" t="str">
        <f>_xll.BDS("EXEL US Equity","SUPPLY_CHAIN_CUSTOMERS_ALL_DATA","cols=12;rows=5")</f>
        <v>COR US Equity</v>
      </c>
      <c r="IV5">
        <v>22</v>
      </c>
      <c r="IW5" t="s">
        <v>1777</v>
      </c>
      <c r="IX5">
        <v>0.16266800000000001</v>
      </c>
      <c r="IY5" t="s">
        <v>1789</v>
      </c>
      <c r="IZ5">
        <v>2025</v>
      </c>
      <c r="JA5" t="s">
        <v>2530</v>
      </c>
      <c r="JB5" s="6">
        <v>46063</v>
      </c>
      <c r="JC5">
        <v>5</v>
      </c>
      <c r="JD5">
        <v>127606928</v>
      </c>
      <c r="JE5">
        <v>156969</v>
      </c>
      <c r="JF5" t="s">
        <v>2531</v>
      </c>
      <c r="JK5" t="str">
        <f>_xll.BDS("USB US Equity","SUPPLY_CHAIN_SUPPLIERS_ALL_DATA","cols=12;rows=5")</f>
        <v>INFO IN Equity</v>
      </c>
      <c r="JL5" t="s">
        <v>1808</v>
      </c>
      <c r="JM5">
        <v>1.3519060000000001</v>
      </c>
      <c r="JN5">
        <v>1.509646</v>
      </c>
      <c r="JO5" t="s">
        <v>1768</v>
      </c>
      <c r="JP5">
        <v>2026</v>
      </c>
      <c r="JQ5" t="s">
        <v>2355</v>
      </c>
      <c r="JR5" s="6">
        <v>46022</v>
      </c>
      <c r="JS5">
        <v>5</v>
      </c>
      <c r="JT5">
        <v>63385504.969999999</v>
      </c>
      <c r="JU5">
        <v>174545</v>
      </c>
      <c r="JV5" t="s">
        <v>2356</v>
      </c>
      <c r="JY5" t="str">
        <f>_xll.BDS("USB US Equity","SUPPLY_CHAIN_CUSTOMERS_ALL_DATA","cols=12;rows=2")</f>
        <v>FISV US Equity</v>
      </c>
      <c r="JZ5">
        <v>-2.4245362661989844E-14</v>
      </c>
      <c r="KB5">
        <v>-2.4245362661989844E-14</v>
      </c>
      <c r="KC5" t="s">
        <v>1789</v>
      </c>
      <c r="KD5">
        <v>2023</v>
      </c>
      <c r="KE5" t="s">
        <v>2338</v>
      </c>
      <c r="KF5" s="6">
        <v>45344</v>
      </c>
      <c r="KG5">
        <v>2</v>
      </c>
      <c r="KH5">
        <v>-2.4245362661989844E-14</v>
      </c>
      <c r="KI5">
        <v>103882</v>
      </c>
      <c r="KJ5" t="s">
        <v>2046</v>
      </c>
      <c r="KO5" t="str">
        <f>_xll.BDS("FCBC US Equity","SUPPLY_CHAIN_SUPPLIERS_ALL_DATA")</f>
        <v>#N/A N/A</v>
      </c>
      <c r="LC5" t="str">
        <f>_xll.BDS("FCBC US Equity","SUPPLY_CHAIN_CUSTOMERS_ALL_DATA")</f>
        <v>#N/A N/A</v>
      </c>
      <c r="LS5" t="str">
        <f>_xll.BDS("GE US Equity","SUPPLY_CHAIN_SUPPLIERS_ALL_DATA","cols=12;rows=5")</f>
        <v>SAF FP Equity</v>
      </c>
      <c r="LT5" t="s">
        <v>1777</v>
      </c>
      <c r="LU5">
        <v>7.9101749999999997</v>
      </c>
      <c r="LV5">
        <v>9.7364909999999991</v>
      </c>
      <c r="LW5" t="s">
        <v>1768</v>
      </c>
      <c r="LX5">
        <v>2025</v>
      </c>
      <c r="LY5" t="s">
        <v>2029</v>
      </c>
      <c r="LZ5" s="6">
        <v>45874</v>
      </c>
      <c r="MA5">
        <v>5</v>
      </c>
      <c r="MB5">
        <v>666294015.34000003</v>
      </c>
      <c r="MC5">
        <v>115519</v>
      </c>
      <c r="MD5" t="s">
        <v>2030</v>
      </c>
      <c r="MG5" t="str">
        <f>_xll.BDS("GE US Equity","SUPPLY_CHAIN_CUSTOMERS_ALL_DATA","cols=12;rows=5")</f>
        <v>3352Z US Equity</v>
      </c>
      <c r="MH5">
        <v>10</v>
      </c>
      <c r="MJ5">
        <v>-2.4245362661989844E-14</v>
      </c>
      <c r="MK5" t="s">
        <v>1789</v>
      </c>
      <c r="ML5">
        <v>2025</v>
      </c>
      <c r="MM5" t="s">
        <v>1885</v>
      </c>
      <c r="MN5" s="6">
        <v>46051</v>
      </c>
      <c r="MO5">
        <v>5</v>
      </c>
      <c r="MP5">
        <v>1146375040</v>
      </c>
      <c r="MQ5">
        <v>218252</v>
      </c>
      <c r="MR5" t="s">
        <v>1798</v>
      </c>
      <c r="MW5" t="str">
        <f>_xll.BDS("JPM US Equity","SUPPLY_CHAIN_SUPPLIERS_ALL_DATA","cols=12;rows=5")</f>
        <v>LUV US Equity</v>
      </c>
      <c r="MY5">
        <v>10.404375</v>
      </c>
      <c r="MZ5">
        <v>-2.4245362661989844E-14</v>
      </c>
      <c r="NA5" t="s">
        <v>1773</v>
      </c>
      <c r="NB5">
        <v>2025</v>
      </c>
      <c r="NC5" t="s">
        <v>3742</v>
      </c>
      <c r="ND5" s="6">
        <v>45953</v>
      </c>
      <c r="NE5">
        <v>5</v>
      </c>
      <c r="NF5">
        <v>723000000</v>
      </c>
      <c r="NG5">
        <v>101374</v>
      </c>
      <c r="NH5" t="s">
        <v>3743</v>
      </c>
      <c r="NK5" t="str">
        <f>_xll.BDS("JPM US Equity","SUPPLY_CHAIN_CUSTOMERS_ALL_DATA","cols=12;rows=5")</f>
        <v>000737 CH Equity</v>
      </c>
      <c r="NL5">
        <v>-2.4245362661989844E-14</v>
      </c>
      <c r="NN5">
        <v>-2.4245362661989844E-14</v>
      </c>
      <c r="NO5" t="s">
        <v>1789</v>
      </c>
      <c r="NP5">
        <v>2022</v>
      </c>
      <c r="NQ5" t="s">
        <v>3390</v>
      </c>
      <c r="NR5" s="6">
        <v>45027</v>
      </c>
      <c r="NS5">
        <v>5</v>
      </c>
      <c r="NT5">
        <v>-2.4245362661989844E-14</v>
      </c>
      <c r="NU5">
        <v>223099</v>
      </c>
      <c r="NV5" t="s">
        <v>3391</v>
      </c>
      <c r="OA5" t="str">
        <f>_xll.BDS("NEB US Equity","SUPPLY_CHAIN_SUPPLIERS_ALL_DATA")</f>
        <v>#N/A N/A</v>
      </c>
      <c r="OO5" t="str">
        <f>_xll.BDS("NEB US Equity","SUPPLY_CHAIN_CUSTOMERS_ALL_DATA")</f>
        <v>#N/A N/A</v>
      </c>
      <c r="PE5" t="str">
        <f>_xll.BDS("PSEC US Equity","SUPPLY_CHAIN_SUPPLIERS_ALL_DATA","cols=12;rows=1")</f>
        <v>MPW AU Equity</v>
      </c>
      <c r="PG5">
        <v>-2.4245362661989844E-14</v>
      </c>
      <c r="PH5">
        <v>-2.4245362661989844E-14</v>
      </c>
      <c r="PI5" t="s">
        <v>2183</v>
      </c>
      <c r="PJ5">
        <v>2023</v>
      </c>
      <c r="PK5" t="s">
        <v>4316</v>
      </c>
      <c r="PL5" s="6">
        <v>45063</v>
      </c>
      <c r="PM5">
        <v>1</v>
      </c>
      <c r="PN5">
        <v>-2.4245362661989844E-14</v>
      </c>
      <c r="PO5">
        <v>32519125</v>
      </c>
      <c r="PP5" t="s">
        <v>4317</v>
      </c>
      <c r="PS5" t="str">
        <f>_xll.BDS("PSEC US Equity","SUPPLY_CHAIN_CUSTOMERS_ALL_DATA")</f>
        <v>#N/A N/A</v>
      </c>
      <c r="QI5" t="str">
        <f>_xll.BDS("LBAI US Equity","SUPPLY_CHAIN_SUPPLIERS_ALL_DATA")</f>
        <v>#N/A N/A</v>
      </c>
      <c r="QW5" t="str">
        <f>_xll.BDS("LBAI US Equity","SUPPLY_CHAIN_CUSTOMERS_ALL_DATA")</f>
        <v>#N/A N/A</v>
      </c>
      <c r="RM5" t="str">
        <f>_xll.BDS("1068347D US Equity","SUPPLY_CHAIN_SUPPLIERS_ALL_DATA")</f>
        <v>#N/A N/A</v>
      </c>
      <c r="SA5" t="str">
        <f>_xll.BDS("1068347D US Equity","SUPPLY_CHAIN_CUSTOMERS_ALL_DATA")</f>
        <v>#N/A N/A</v>
      </c>
      <c r="SQ5" t="str">
        <f>_xll.BDS("FBNW US Equity","SUPPLY_CHAIN_SUPPLIERS_ALL_DATA")</f>
        <v>#N/A N/A</v>
      </c>
      <c r="TE5" t="str">
        <f>_xll.BDS("FBNW US Equity","SUPPLY_CHAIN_CUSTOMERS_ALL_DATA")</f>
        <v>#N/A N/A</v>
      </c>
      <c r="TU5" t="str">
        <f>_xll.BDS("388103Q US Equity","SUPPLY_CHAIN_SUPPLIERS_ALL_DATA")</f>
        <v>#N/A N/A</v>
      </c>
      <c r="UI5" t="str">
        <f>_xll.BDS("388103Q US Equity","SUPPLY_CHAIN_CUSTOMERS_ALL_DATA")</f>
        <v>#N/A N/A</v>
      </c>
      <c r="UY5" t="str">
        <f>_xll.BDS("3417644Q US Equity","SUPPLY_CHAIN_SUPPLIERS_ALL_DATA")</f>
        <v>#N/A N/A</v>
      </c>
      <c r="VM5" t="str">
        <f>_xll.BDS("3417644Q US Equity","SUPPLY_CHAIN_CUSTOMERS_ALL_DATA")</f>
        <v>#N/A N/A</v>
      </c>
    </row>
    <row r="6" spans="1:600" x14ac:dyDescent="0.25">
      <c r="BI6" t="s">
        <v>4822</v>
      </c>
      <c r="BK6">
        <v>-2.4245362661989844E-14</v>
      </c>
      <c r="BL6">
        <v>-2.4245362661989844E-14</v>
      </c>
      <c r="BM6" t="s">
        <v>1789</v>
      </c>
      <c r="BN6">
        <v>2024</v>
      </c>
      <c r="BO6" t="s">
        <v>4823</v>
      </c>
      <c r="BP6" s="6">
        <v>45744</v>
      </c>
      <c r="BQ6">
        <v>5</v>
      </c>
      <c r="BR6">
        <v>-2.4245362661989844E-14</v>
      </c>
      <c r="BS6">
        <v>40173217</v>
      </c>
      <c r="BT6" t="s">
        <v>4824</v>
      </c>
      <c r="BW6" t="s">
        <v>816</v>
      </c>
      <c r="BX6">
        <v>10.534558000000001</v>
      </c>
      <c r="BY6" t="s">
        <v>1777</v>
      </c>
      <c r="BZ6">
        <v>2.4053000000000001E-2</v>
      </c>
      <c r="CA6" t="s">
        <v>1789</v>
      </c>
      <c r="CB6">
        <v>2025</v>
      </c>
      <c r="CC6" t="s">
        <v>2168</v>
      </c>
      <c r="CD6" s="6">
        <v>46062</v>
      </c>
      <c r="CE6">
        <v>5</v>
      </c>
      <c r="CF6">
        <v>15622750</v>
      </c>
      <c r="CG6">
        <v>100193</v>
      </c>
      <c r="CH6" t="s">
        <v>2070</v>
      </c>
      <c r="DQ6" t="s">
        <v>4745</v>
      </c>
      <c r="DS6">
        <v>-2.4245362661989844E-14</v>
      </c>
      <c r="DT6">
        <v>-2.4245362661989844E-14</v>
      </c>
      <c r="DU6" t="s">
        <v>1789</v>
      </c>
      <c r="DV6">
        <v>2024</v>
      </c>
      <c r="DW6" t="s">
        <v>4746</v>
      </c>
      <c r="DX6" s="6">
        <v>45708</v>
      </c>
      <c r="DY6">
        <v>5</v>
      </c>
      <c r="DZ6">
        <v>-2.4245362661989844E-14</v>
      </c>
      <c r="EA6">
        <v>17282256</v>
      </c>
      <c r="EB6" t="s">
        <v>4747</v>
      </c>
      <c r="HC6" t="s">
        <v>2976</v>
      </c>
      <c r="HE6">
        <v>-2.4245362661989844E-14</v>
      </c>
      <c r="HF6">
        <v>-2.4245362661989844E-14</v>
      </c>
      <c r="HG6" t="s">
        <v>1789</v>
      </c>
      <c r="HH6">
        <v>2023</v>
      </c>
      <c r="HI6" t="s">
        <v>3019</v>
      </c>
      <c r="HJ6" s="6">
        <v>45336</v>
      </c>
      <c r="HK6">
        <v>2</v>
      </c>
      <c r="HL6">
        <v>-2.4245362661989844E-14</v>
      </c>
      <c r="HM6">
        <v>20828779</v>
      </c>
      <c r="HN6" t="s">
        <v>2978</v>
      </c>
      <c r="IG6" t="s">
        <v>86</v>
      </c>
      <c r="IH6" t="s">
        <v>1777</v>
      </c>
      <c r="II6">
        <v>1.6149999999999999E-3</v>
      </c>
      <c r="IJ6">
        <v>1.2154389999999999</v>
      </c>
      <c r="IK6" t="s">
        <v>1768</v>
      </c>
      <c r="IL6">
        <v>2025</v>
      </c>
      <c r="IM6" t="s">
        <v>2596</v>
      </c>
      <c r="IN6" s="6">
        <v>45914</v>
      </c>
      <c r="IO6">
        <v>5</v>
      </c>
      <c r="IP6">
        <v>236646</v>
      </c>
      <c r="IQ6">
        <v>101166</v>
      </c>
      <c r="IR6" t="s">
        <v>2597</v>
      </c>
      <c r="IU6" t="s">
        <v>2527</v>
      </c>
      <c r="IV6">
        <v>19</v>
      </c>
      <c r="IW6" t="s">
        <v>1777</v>
      </c>
      <c r="IX6">
        <v>0.114854</v>
      </c>
      <c r="IY6" t="s">
        <v>1789</v>
      </c>
      <c r="IZ6">
        <v>2025</v>
      </c>
      <c r="JA6" t="s">
        <v>2530</v>
      </c>
      <c r="JB6" s="6">
        <v>46063</v>
      </c>
      <c r="JC6">
        <v>5</v>
      </c>
      <c r="JD6">
        <v>110205984</v>
      </c>
      <c r="JE6">
        <v>154936</v>
      </c>
      <c r="JF6" t="s">
        <v>2528</v>
      </c>
      <c r="JK6" t="s">
        <v>1905</v>
      </c>
      <c r="JL6" t="s">
        <v>1777</v>
      </c>
      <c r="JM6">
        <v>1.2899000000000001E-2</v>
      </c>
      <c r="JN6">
        <v>0.213559</v>
      </c>
      <c r="JO6" t="s">
        <v>1773</v>
      </c>
      <c r="JP6">
        <v>2025</v>
      </c>
      <c r="JQ6" t="s">
        <v>2357</v>
      </c>
      <c r="JR6" s="6">
        <v>45843</v>
      </c>
      <c r="JS6">
        <v>5</v>
      </c>
      <c r="JT6">
        <v>9037813</v>
      </c>
      <c r="JU6">
        <v>101743</v>
      </c>
      <c r="JV6" t="s">
        <v>1908</v>
      </c>
      <c r="JY6" t="s">
        <v>2339</v>
      </c>
      <c r="JZ6">
        <v>-2.4245362661989844E-14</v>
      </c>
      <c r="KB6">
        <v>-2.4245362661989844E-14</v>
      </c>
      <c r="KC6" t="s">
        <v>1773</v>
      </c>
      <c r="KD6">
        <v>2025</v>
      </c>
      <c r="KE6" t="s">
        <v>2340</v>
      </c>
      <c r="KF6" s="6">
        <v>45966</v>
      </c>
      <c r="KG6">
        <v>2</v>
      </c>
      <c r="KH6">
        <v>-2.4245362661989844E-14</v>
      </c>
      <c r="KI6">
        <v>38748702</v>
      </c>
      <c r="KJ6" t="s">
        <v>2341</v>
      </c>
      <c r="LS6" t="s">
        <v>2031</v>
      </c>
      <c r="LT6" t="s">
        <v>1777</v>
      </c>
      <c r="LU6">
        <v>13.760432</v>
      </c>
      <c r="LV6">
        <v>4.7536569999999996</v>
      </c>
      <c r="LW6" t="s">
        <v>1768</v>
      </c>
      <c r="LX6">
        <v>2025</v>
      </c>
      <c r="LY6" t="s">
        <v>2032</v>
      </c>
      <c r="LZ6" s="6">
        <v>45937</v>
      </c>
      <c r="MA6">
        <v>5</v>
      </c>
      <c r="MB6">
        <v>325305405.77999997</v>
      </c>
      <c r="MC6">
        <v>8445936</v>
      </c>
      <c r="MD6" t="s">
        <v>2033</v>
      </c>
      <c r="MG6" t="s">
        <v>1824</v>
      </c>
      <c r="MH6">
        <v>9.2636719999999997</v>
      </c>
      <c r="MI6" t="s">
        <v>1777</v>
      </c>
      <c r="MJ6">
        <v>5.0267530000000002</v>
      </c>
      <c r="MK6" t="s">
        <v>1768</v>
      </c>
      <c r="ML6">
        <v>2025</v>
      </c>
      <c r="MM6" t="s">
        <v>1886</v>
      </c>
      <c r="MN6" s="6">
        <v>45888</v>
      </c>
      <c r="MO6">
        <v>5</v>
      </c>
      <c r="MP6">
        <v>1021134592</v>
      </c>
      <c r="MQ6">
        <v>100211</v>
      </c>
      <c r="MR6" t="s">
        <v>1825</v>
      </c>
      <c r="MW6" t="s">
        <v>3744</v>
      </c>
      <c r="MX6" t="s">
        <v>1777</v>
      </c>
      <c r="MY6">
        <v>11</v>
      </c>
      <c r="MZ6">
        <v>2.6129229999999999</v>
      </c>
      <c r="NA6" t="s">
        <v>1789</v>
      </c>
      <c r="NB6">
        <v>2025</v>
      </c>
      <c r="NC6" t="s">
        <v>3745</v>
      </c>
      <c r="ND6" s="6">
        <v>46072</v>
      </c>
      <c r="NE6">
        <v>5</v>
      </c>
      <c r="NF6">
        <v>624750000</v>
      </c>
      <c r="NG6">
        <v>101068</v>
      </c>
      <c r="NH6" t="s">
        <v>3746</v>
      </c>
      <c r="NK6" t="s">
        <v>3392</v>
      </c>
      <c r="NL6">
        <v>-2.4245362661989844E-14</v>
      </c>
      <c r="NN6">
        <v>-2.4245362661989844E-14</v>
      </c>
      <c r="NO6" t="s">
        <v>1789</v>
      </c>
      <c r="NP6">
        <v>2026</v>
      </c>
      <c r="NQ6" t="s">
        <v>3393</v>
      </c>
      <c r="NR6" s="6">
        <v>46076</v>
      </c>
      <c r="NS6">
        <v>5</v>
      </c>
      <c r="NT6">
        <v>-2.4245362661989844E-14</v>
      </c>
      <c r="NU6">
        <v>70451011</v>
      </c>
      <c r="NV6" t="s">
        <v>3394</v>
      </c>
    </row>
    <row r="7" spans="1:600" x14ac:dyDescent="0.25">
      <c r="BI7" t="s">
        <v>3657</v>
      </c>
      <c r="BK7">
        <v>-2.4245362661989844E-14</v>
      </c>
      <c r="BL7">
        <v>-2.4245362661989844E-14</v>
      </c>
      <c r="BM7" t="s">
        <v>1789</v>
      </c>
      <c r="BN7">
        <v>2021</v>
      </c>
      <c r="BO7" t="s">
        <v>3658</v>
      </c>
      <c r="BP7" s="6">
        <v>44693</v>
      </c>
      <c r="BQ7">
        <v>5</v>
      </c>
      <c r="BR7">
        <v>-2.4245362661989844E-14</v>
      </c>
      <c r="BS7">
        <v>101315</v>
      </c>
      <c r="BT7" t="s">
        <v>3659</v>
      </c>
      <c r="BW7" t="s">
        <v>2170</v>
      </c>
      <c r="BX7">
        <v>1.257727</v>
      </c>
      <c r="BY7" t="s">
        <v>1777</v>
      </c>
      <c r="BZ7">
        <v>4.9757999999999997E-2</v>
      </c>
      <c r="CA7" t="s">
        <v>1768</v>
      </c>
      <c r="CB7">
        <v>2025</v>
      </c>
      <c r="CC7" t="s">
        <v>2171</v>
      </c>
      <c r="CD7" s="6">
        <v>45908</v>
      </c>
      <c r="CE7">
        <v>5</v>
      </c>
      <c r="CF7">
        <v>1835006.38</v>
      </c>
      <c r="CG7">
        <v>304299</v>
      </c>
      <c r="CH7" t="s">
        <v>2172</v>
      </c>
      <c r="DQ7" t="s">
        <v>4748</v>
      </c>
      <c r="DS7">
        <v>-2.4245362661989844E-14</v>
      </c>
      <c r="DT7">
        <v>-2.4245362661989844E-14</v>
      </c>
      <c r="DU7" t="s">
        <v>1789</v>
      </c>
      <c r="DV7">
        <v>2024</v>
      </c>
      <c r="DW7" t="s">
        <v>4746</v>
      </c>
      <c r="DX7" s="6">
        <v>45708</v>
      </c>
      <c r="DY7">
        <v>5</v>
      </c>
      <c r="DZ7">
        <v>-2.4245362661989844E-14</v>
      </c>
      <c r="EA7">
        <v>12810766</v>
      </c>
      <c r="EB7" t="s">
        <v>4749</v>
      </c>
      <c r="IG7" t="s">
        <v>2710</v>
      </c>
      <c r="IH7" t="s">
        <v>1777</v>
      </c>
      <c r="II7">
        <v>1.83E-3</v>
      </c>
      <c r="IJ7">
        <v>0.172597</v>
      </c>
      <c r="IK7" t="s">
        <v>1785</v>
      </c>
      <c r="IL7">
        <v>2024</v>
      </c>
      <c r="IM7" t="s">
        <v>2711</v>
      </c>
      <c r="IN7" s="6">
        <v>45730</v>
      </c>
      <c r="IO7">
        <v>5</v>
      </c>
      <c r="IP7">
        <v>34496.199999999997</v>
      </c>
      <c r="IQ7">
        <v>239787</v>
      </c>
      <c r="IR7" t="s">
        <v>2712</v>
      </c>
      <c r="IU7" t="s">
        <v>2532</v>
      </c>
      <c r="IV7">
        <v>15</v>
      </c>
      <c r="IW7" t="s">
        <v>1777</v>
      </c>
      <c r="IX7">
        <v>0.100379</v>
      </c>
      <c r="IY7" t="s">
        <v>1789</v>
      </c>
      <c r="IZ7">
        <v>2025</v>
      </c>
      <c r="JA7" t="s">
        <v>2530</v>
      </c>
      <c r="JB7" s="6">
        <v>46063</v>
      </c>
      <c r="JC7">
        <v>5</v>
      </c>
      <c r="JD7">
        <v>87004728</v>
      </c>
      <c r="JE7">
        <v>100976</v>
      </c>
      <c r="JF7" t="s">
        <v>2533</v>
      </c>
      <c r="JK7" t="s">
        <v>2358</v>
      </c>
      <c r="JL7" t="s">
        <v>1808</v>
      </c>
      <c r="JM7">
        <v>0.108861</v>
      </c>
      <c r="JN7">
        <v>0.15107300000000001</v>
      </c>
      <c r="JO7" t="s">
        <v>1768</v>
      </c>
      <c r="JP7">
        <v>2025</v>
      </c>
      <c r="JQ7" t="s">
        <v>2359</v>
      </c>
      <c r="JR7" s="6">
        <v>45838</v>
      </c>
      <c r="JS7">
        <v>5</v>
      </c>
      <c r="JT7">
        <v>6393407</v>
      </c>
      <c r="JU7">
        <v>101689</v>
      </c>
      <c r="JV7" t="s">
        <v>2360</v>
      </c>
      <c r="LS7" t="s">
        <v>2034</v>
      </c>
      <c r="LT7" t="s">
        <v>1777</v>
      </c>
      <c r="LU7">
        <v>11</v>
      </c>
      <c r="LV7">
        <v>3.1337429999999999</v>
      </c>
      <c r="LW7" t="s">
        <v>1789</v>
      </c>
      <c r="LX7">
        <v>2025</v>
      </c>
      <c r="LY7" t="s">
        <v>2035</v>
      </c>
      <c r="LZ7" s="6">
        <v>46065</v>
      </c>
      <c r="MA7">
        <v>5</v>
      </c>
      <c r="MB7">
        <v>226930000</v>
      </c>
      <c r="MC7">
        <v>59099358</v>
      </c>
      <c r="MD7" t="s">
        <v>2036</v>
      </c>
      <c r="MG7" t="s">
        <v>1887</v>
      </c>
      <c r="MH7">
        <v>4.5319979999999997</v>
      </c>
      <c r="MI7" t="s">
        <v>1777</v>
      </c>
      <c r="MJ7">
        <v>3.2162160000000002</v>
      </c>
      <c r="MK7" t="s">
        <v>1768</v>
      </c>
      <c r="ML7">
        <v>2025</v>
      </c>
      <c r="MM7" t="s">
        <v>1886</v>
      </c>
      <c r="MN7" s="6">
        <v>45888</v>
      </c>
      <c r="MO7">
        <v>5</v>
      </c>
      <c r="MP7">
        <v>499562144</v>
      </c>
      <c r="MQ7">
        <v>876285</v>
      </c>
      <c r="MR7" t="s">
        <v>1888</v>
      </c>
      <c r="MW7" t="s">
        <v>3747</v>
      </c>
      <c r="MX7" t="s">
        <v>1777</v>
      </c>
      <c r="MY7">
        <v>20</v>
      </c>
      <c r="MZ7">
        <v>1.2621329999999999</v>
      </c>
      <c r="NA7" t="s">
        <v>1789</v>
      </c>
      <c r="NB7">
        <v>2024</v>
      </c>
      <c r="NC7" t="s">
        <v>3748</v>
      </c>
      <c r="ND7" s="6">
        <v>45742</v>
      </c>
      <c r="NE7">
        <v>5</v>
      </c>
      <c r="NF7">
        <v>289649984</v>
      </c>
      <c r="NG7">
        <v>71080909</v>
      </c>
      <c r="NH7" t="s">
        <v>3749</v>
      </c>
      <c r="NK7" t="s">
        <v>3395</v>
      </c>
      <c r="NL7">
        <v>-2.4245362661989844E-14</v>
      </c>
      <c r="NN7">
        <v>-2.4245362661989844E-14</v>
      </c>
      <c r="NO7" t="s">
        <v>1789</v>
      </c>
      <c r="NP7">
        <v>2023</v>
      </c>
      <c r="NQ7" t="s">
        <v>3396</v>
      </c>
      <c r="NR7" s="6">
        <v>45196</v>
      </c>
      <c r="NS7">
        <v>5</v>
      </c>
      <c r="NT7">
        <v>-2.4245362661989844E-14</v>
      </c>
      <c r="NU7">
        <v>7362545</v>
      </c>
      <c r="NV7" t="s">
        <v>3397</v>
      </c>
    </row>
    <row r="8" spans="1:600" x14ac:dyDescent="0.25">
      <c r="BI8" t="s">
        <v>2079</v>
      </c>
      <c r="BK8">
        <v>-2.4245362661989844E-14</v>
      </c>
      <c r="BL8">
        <v>-2.4245362661989844E-14</v>
      </c>
      <c r="BM8" t="s">
        <v>1789</v>
      </c>
      <c r="BN8">
        <v>2021</v>
      </c>
      <c r="BO8" t="s">
        <v>2080</v>
      </c>
      <c r="BP8" s="6">
        <v>44693</v>
      </c>
      <c r="BQ8">
        <v>5</v>
      </c>
      <c r="BR8">
        <v>-2.4245362661989844E-14</v>
      </c>
      <c r="BS8">
        <v>101170</v>
      </c>
      <c r="BT8" t="s">
        <v>2081</v>
      </c>
      <c r="BW8" t="s">
        <v>165</v>
      </c>
      <c r="BX8">
        <v>0.31648500000000002</v>
      </c>
      <c r="BY8" t="s">
        <v>1777</v>
      </c>
      <c r="BZ8">
        <v>6.927E-3</v>
      </c>
      <c r="CA8" t="s">
        <v>1781</v>
      </c>
      <c r="CB8">
        <v>2025</v>
      </c>
      <c r="CC8" t="s">
        <v>1870</v>
      </c>
      <c r="CD8" s="6">
        <v>45784</v>
      </c>
      <c r="CE8">
        <v>5</v>
      </c>
      <c r="CF8">
        <v>418393</v>
      </c>
      <c r="CG8">
        <v>100115</v>
      </c>
      <c r="CH8" t="s">
        <v>1871</v>
      </c>
      <c r="DQ8" t="s">
        <v>4750</v>
      </c>
      <c r="DS8">
        <v>-2.4245362661989844E-14</v>
      </c>
      <c r="DT8">
        <v>-2.4245362661989844E-14</v>
      </c>
      <c r="DU8" t="s">
        <v>1789</v>
      </c>
      <c r="DV8">
        <v>2023</v>
      </c>
      <c r="DW8" t="s">
        <v>4743</v>
      </c>
      <c r="DX8" s="6">
        <v>45344</v>
      </c>
      <c r="DY8">
        <v>5</v>
      </c>
      <c r="DZ8">
        <v>-2.4245362661989844E-14</v>
      </c>
      <c r="EA8">
        <v>69588258</v>
      </c>
      <c r="EB8" t="s">
        <v>4751</v>
      </c>
      <c r="IG8" t="s">
        <v>2713</v>
      </c>
      <c r="IH8" t="s">
        <v>1777</v>
      </c>
      <c r="II8">
        <v>7.2295999999999999E-2</v>
      </c>
      <c r="IJ8">
        <v>0.17684900000000001</v>
      </c>
      <c r="IK8" t="s">
        <v>1768</v>
      </c>
      <c r="IL8">
        <v>2025</v>
      </c>
      <c r="IM8" t="s">
        <v>2714</v>
      </c>
      <c r="IN8" s="6">
        <v>45889</v>
      </c>
      <c r="IO8">
        <v>5</v>
      </c>
      <c r="IP8">
        <v>34432</v>
      </c>
      <c r="IQ8">
        <v>116723</v>
      </c>
      <c r="IR8" t="s">
        <v>2715</v>
      </c>
      <c r="IU8" t="s">
        <v>2534</v>
      </c>
      <c r="IV8">
        <v>12</v>
      </c>
      <c r="IW8" t="s">
        <v>1777</v>
      </c>
      <c r="IX8">
        <v>0.111661</v>
      </c>
      <c r="IY8" t="s">
        <v>1789</v>
      </c>
      <c r="IZ8">
        <v>2025</v>
      </c>
      <c r="JA8" t="s">
        <v>2530</v>
      </c>
      <c r="JB8" s="6">
        <v>46063</v>
      </c>
      <c r="JC8">
        <v>5</v>
      </c>
      <c r="JD8">
        <v>69603776</v>
      </c>
      <c r="JE8">
        <v>60401289</v>
      </c>
      <c r="JF8" t="s">
        <v>2535</v>
      </c>
      <c r="JK8" t="s">
        <v>1951</v>
      </c>
      <c r="JL8" t="s">
        <v>1777</v>
      </c>
      <c r="JM8">
        <v>0.124473</v>
      </c>
      <c r="JN8">
        <v>0.116713</v>
      </c>
      <c r="JO8" t="s">
        <v>1785</v>
      </c>
      <c r="JP8">
        <v>2025</v>
      </c>
      <c r="JQ8" t="s">
        <v>2361</v>
      </c>
      <c r="JR8" s="6">
        <v>46071</v>
      </c>
      <c r="JS8">
        <v>5</v>
      </c>
      <c r="JT8">
        <v>4898448</v>
      </c>
      <c r="JU8">
        <v>100499</v>
      </c>
      <c r="JV8" t="s">
        <v>1953</v>
      </c>
      <c r="LS8" t="s">
        <v>2037</v>
      </c>
      <c r="LT8" t="s">
        <v>1777</v>
      </c>
      <c r="LU8">
        <v>8.8672269999999997</v>
      </c>
      <c r="LV8">
        <v>1.980351</v>
      </c>
      <c r="LW8" t="s">
        <v>1768</v>
      </c>
      <c r="LX8">
        <v>2025</v>
      </c>
      <c r="LY8" t="s">
        <v>2038</v>
      </c>
      <c r="LZ8" s="6">
        <v>45922</v>
      </c>
      <c r="MA8">
        <v>5</v>
      </c>
      <c r="MB8">
        <v>135574848</v>
      </c>
      <c r="MC8">
        <v>11937231</v>
      </c>
      <c r="MD8" t="s">
        <v>2039</v>
      </c>
      <c r="MG8" t="s">
        <v>1889</v>
      </c>
      <c r="MH8">
        <v>3.2472560000000001</v>
      </c>
      <c r="MI8" t="s">
        <v>1777</v>
      </c>
      <c r="MJ8">
        <v>2.573108</v>
      </c>
      <c r="MK8" t="s">
        <v>1768</v>
      </c>
      <c r="ML8">
        <v>2025</v>
      </c>
      <c r="MM8" t="s">
        <v>1886</v>
      </c>
      <c r="MN8" s="6">
        <v>45888</v>
      </c>
      <c r="MO8">
        <v>5</v>
      </c>
      <c r="MP8">
        <v>357945024</v>
      </c>
      <c r="MQ8">
        <v>10451815</v>
      </c>
      <c r="MR8" t="s">
        <v>1890</v>
      </c>
      <c r="MW8" t="s">
        <v>2094</v>
      </c>
      <c r="MX8" t="s">
        <v>1777</v>
      </c>
      <c r="MY8">
        <v>0.35996400000000001</v>
      </c>
      <c r="MZ8">
        <v>0.24259500000000001</v>
      </c>
      <c r="NA8" t="s">
        <v>1785</v>
      </c>
      <c r="NB8">
        <v>2025</v>
      </c>
      <c r="NC8" t="s">
        <v>2095</v>
      </c>
      <c r="ND8" s="6">
        <v>45848</v>
      </c>
      <c r="NE8">
        <v>5</v>
      </c>
      <c r="NF8">
        <v>57245076</v>
      </c>
      <c r="NG8">
        <v>101752</v>
      </c>
      <c r="NH8" t="s">
        <v>2096</v>
      </c>
      <c r="NK8" t="s">
        <v>1797</v>
      </c>
      <c r="NL8">
        <v>-2.4245362661989844E-14</v>
      </c>
      <c r="NN8">
        <v>-2.4245362661989844E-14</v>
      </c>
      <c r="NO8" t="s">
        <v>1789</v>
      </c>
      <c r="NP8">
        <v>2023</v>
      </c>
      <c r="NQ8" t="s">
        <v>3396</v>
      </c>
      <c r="NR8" s="6">
        <v>45196</v>
      </c>
      <c r="NS8">
        <v>5</v>
      </c>
      <c r="NT8">
        <v>-2.4245362661989844E-14</v>
      </c>
      <c r="NU8">
        <v>218252</v>
      </c>
      <c r="NV8" t="s">
        <v>1798</v>
      </c>
    </row>
    <row r="9" spans="1:600" x14ac:dyDescent="0.25">
      <c r="BI9" t="s">
        <v>2990</v>
      </c>
      <c r="BK9">
        <v>-2.4245362661989844E-14</v>
      </c>
      <c r="BL9">
        <v>-2.4245362661989844E-14</v>
      </c>
      <c r="BM9" t="s">
        <v>1789</v>
      </c>
      <c r="BN9">
        <v>2021</v>
      </c>
      <c r="BO9" t="s">
        <v>2991</v>
      </c>
      <c r="BP9" s="6">
        <v>44693</v>
      </c>
      <c r="BQ9">
        <v>5</v>
      </c>
      <c r="BR9">
        <v>-2.4245362661989844E-14</v>
      </c>
      <c r="BS9">
        <v>179563</v>
      </c>
      <c r="BT9" t="s">
        <v>2992</v>
      </c>
      <c r="BW9" t="s">
        <v>1955</v>
      </c>
      <c r="BX9">
        <v>0.14263500000000001</v>
      </c>
      <c r="BY9" t="s">
        <v>1777</v>
      </c>
      <c r="BZ9">
        <v>1.227E-3</v>
      </c>
      <c r="CA9" t="s">
        <v>1768</v>
      </c>
      <c r="CB9">
        <v>2025</v>
      </c>
      <c r="CC9" t="s">
        <v>1956</v>
      </c>
      <c r="CD9" s="6">
        <v>46065</v>
      </c>
      <c r="CE9">
        <v>5</v>
      </c>
      <c r="CF9">
        <v>231355</v>
      </c>
      <c r="CG9">
        <v>130929</v>
      </c>
      <c r="CH9" t="s">
        <v>1957</v>
      </c>
      <c r="DQ9" t="s">
        <v>4752</v>
      </c>
      <c r="DS9">
        <v>-2.4245362661989844E-14</v>
      </c>
      <c r="DT9">
        <v>-2.4245362661989844E-14</v>
      </c>
      <c r="DU9" t="s">
        <v>1789</v>
      </c>
      <c r="DV9">
        <v>2023</v>
      </c>
      <c r="DW9" t="s">
        <v>4743</v>
      </c>
      <c r="DX9" s="6">
        <v>45344</v>
      </c>
      <c r="DY9">
        <v>5</v>
      </c>
      <c r="DZ9">
        <v>-2.4245362661989844E-14</v>
      </c>
      <c r="EA9">
        <v>15214064</v>
      </c>
      <c r="EB9" t="s">
        <v>4753</v>
      </c>
      <c r="IG9" t="s">
        <v>2716</v>
      </c>
      <c r="II9">
        <v>-2.4245362661989844E-14</v>
      </c>
      <c r="IJ9">
        <v>-2.4245362661989844E-14</v>
      </c>
      <c r="IK9" t="s">
        <v>1789</v>
      </c>
      <c r="IL9">
        <v>2025</v>
      </c>
      <c r="IM9" t="s">
        <v>2530</v>
      </c>
      <c r="IN9" s="6">
        <v>46063</v>
      </c>
      <c r="IO9">
        <v>5</v>
      </c>
      <c r="IP9">
        <v>-2.4245362661989844E-14</v>
      </c>
      <c r="IQ9">
        <v>14702474</v>
      </c>
      <c r="IR9" t="s">
        <v>2717</v>
      </c>
      <c r="IU9" t="s">
        <v>1451</v>
      </c>
      <c r="IV9">
        <v>10</v>
      </c>
      <c r="IW9" t="s">
        <v>1777</v>
      </c>
      <c r="IX9">
        <v>6.3626000000000002E-2</v>
      </c>
      <c r="IY9" t="s">
        <v>1789</v>
      </c>
      <c r="IZ9">
        <v>2025</v>
      </c>
      <c r="JA9" t="s">
        <v>2530</v>
      </c>
      <c r="JB9" s="6">
        <v>46063</v>
      </c>
      <c r="JC9">
        <v>5</v>
      </c>
      <c r="JD9">
        <v>58003152</v>
      </c>
      <c r="JE9">
        <v>101548</v>
      </c>
      <c r="JF9" t="s">
        <v>2536</v>
      </c>
      <c r="JK9" t="s">
        <v>2362</v>
      </c>
      <c r="JL9" t="s">
        <v>1808</v>
      </c>
      <c r="JM9">
        <v>2.7852589999999999</v>
      </c>
      <c r="JN9">
        <v>9.2419000000000001E-2</v>
      </c>
      <c r="JO9" t="s">
        <v>1789</v>
      </c>
      <c r="JP9">
        <v>2024</v>
      </c>
      <c r="JQ9" t="s">
        <v>2363</v>
      </c>
      <c r="JR9" s="6">
        <v>45702</v>
      </c>
      <c r="JS9">
        <v>5</v>
      </c>
      <c r="JT9">
        <v>3971250</v>
      </c>
      <c r="JU9">
        <v>225922</v>
      </c>
      <c r="JV9" t="s">
        <v>2364</v>
      </c>
      <c r="LS9" t="s">
        <v>2040</v>
      </c>
      <c r="LT9" t="s">
        <v>1777</v>
      </c>
      <c r="LU9">
        <v>9.9027270000000005</v>
      </c>
      <c r="LV9">
        <v>1.5774429999999999</v>
      </c>
      <c r="LW9" t="s">
        <v>1768</v>
      </c>
      <c r="LX9">
        <v>2025</v>
      </c>
      <c r="LY9" t="s">
        <v>2041</v>
      </c>
      <c r="LZ9" s="6">
        <v>45904</v>
      </c>
      <c r="MA9">
        <v>5</v>
      </c>
      <c r="MB9">
        <v>107991712</v>
      </c>
      <c r="MC9">
        <v>187877</v>
      </c>
      <c r="MD9" t="s">
        <v>2042</v>
      </c>
      <c r="MG9" t="s">
        <v>154</v>
      </c>
      <c r="MH9">
        <v>3.0622020000000001</v>
      </c>
      <c r="MI9" t="s">
        <v>1777</v>
      </c>
      <c r="MJ9">
        <v>2.546176</v>
      </c>
      <c r="MK9" t="s">
        <v>1768</v>
      </c>
      <c r="ML9">
        <v>2025</v>
      </c>
      <c r="MM9" t="s">
        <v>1886</v>
      </c>
      <c r="MN9" s="6">
        <v>45888</v>
      </c>
      <c r="MO9">
        <v>5</v>
      </c>
      <c r="MP9">
        <v>337546528</v>
      </c>
      <c r="MQ9">
        <v>100090</v>
      </c>
      <c r="MR9" t="s">
        <v>1891</v>
      </c>
      <c r="MW9" t="s">
        <v>2358</v>
      </c>
      <c r="MX9" t="s">
        <v>1808</v>
      </c>
      <c r="MY9">
        <v>0.60699000000000003</v>
      </c>
      <c r="MZ9">
        <v>0.15107200000000001</v>
      </c>
      <c r="NA9" t="s">
        <v>1768</v>
      </c>
      <c r="NB9">
        <v>2025</v>
      </c>
      <c r="NC9" t="s">
        <v>2359</v>
      </c>
      <c r="ND9" s="6">
        <v>45838</v>
      </c>
      <c r="NE9">
        <v>5</v>
      </c>
      <c r="NF9">
        <v>35648524</v>
      </c>
      <c r="NG9">
        <v>101689</v>
      </c>
      <c r="NH9" t="s">
        <v>2360</v>
      </c>
      <c r="NK9" t="s">
        <v>3398</v>
      </c>
      <c r="NL9">
        <v>-2.4245362661989844E-14</v>
      </c>
      <c r="NN9">
        <v>-2.4245362661989844E-14</v>
      </c>
      <c r="NO9" t="s">
        <v>1789</v>
      </c>
      <c r="NP9">
        <v>2023</v>
      </c>
      <c r="NQ9" t="s">
        <v>3399</v>
      </c>
      <c r="NR9" s="6">
        <v>45189</v>
      </c>
      <c r="NS9">
        <v>5</v>
      </c>
      <c r="NT9">
        <v>-2.4245362661989844E-14</v>
      </c>
      <c r="NU9">
        <v>118666</v>
      </c>
      <c r="NV9" t="s">
        <v>3400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1231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1232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1233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1234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1235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1236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1237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1238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1239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1240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1241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1242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1243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1244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1245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1246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1247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1248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1249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1250</v>
      </c>
      <c r="AE2" s="3" t="s">
        <v>1251</v>
      </c>
      <c r="BI2" s="3" t="s">
        <v>1252</v>
      </c>
      <c r="CM2" s="3" t="s">
        <v>850</v>
      </c>
      <c r="DQ2" s="3" t="s">
        <v>1253</v>
      </c>
      <c r="EU2" s="3" t="s">
        <v>1254</v>
      </c>
      <c r="FY2" s="3" t="s">
        <v>1255</v>
      </c>
      <c r="HC2" s="3" t="s">
        <v>1256</v>
      </c>
      <c r="IG2" s="3" t="s">
        <v>1257</v>
      </c>
      <c r="JK2" s="3" t="s">
        <v>818</v>
      </c>
      <c r="KO2" s="3" t="s">
        <v>890</v>
      </c>
      <c r="LS2" s="3" t="s">
        <v>536</v>
      </c>
      <c r="MW2" s="3" t="s">
        <v>464</v>
      </c>
      <c r="OA2" s="3" t="s">
        <v>781</v>
      </c>
      <c r="PE2" s="3" t="s">
        <v>1258</v>
      </c>
      <c r="QI2" s="3" t="s">
        <v>577</v>
      </c>
      <c r="RM2" s="3" t="s">
        <v>1259</v>
      </c>
      <c r="SQ2" s="3" t="s">
        <v>1153</v>
      </c>
      <c r="TU2" s="3" t="s">
        <v>1260</v>
      </c>
      <c r="UY2" s="3" t="s">
        <v>1261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_xll.BDS("1611364D US Equity","SUPPLY_CHAIN_SUPPLIERS_ALL_DATA","cols=12;rows=1")</f>
        <v>2304886D US Equity</v>
      </c>
      <c r="C5">
        <v>-2.4245362661989844E-14</v>
      </c>
      <c r="D5">
        <v>-2.4245362661989844E-14</v>
      </c>
      <c r="E5" t="s">
        <v>1789</v>
      </c>
      <c r="F5">
        <v>2024</v>
      </c>
      <c r="G5" t="s">
        <v>4133</v>
      </c>
      <c r="H5" s="6">
        <v>45391</v>
      </c>
      <c r="I5">
        <v>1</v>
      </c>
      <c r="J5">
        <v>-2.4245362661989844E-14</v>
      </c>
      <c r="K5">
        <v>71251995</v>
      </c>
      <c r="L5" t="s">
        <v>4134</v>
      </c>
      <c r="O5" t="str">
        <f>_xll.BDS("1611364D US Equity","SUPPLY_CHAIN_CUSTOMERS_ALL_DATA","cols=12;rows=1")</f>
        <v>8033 TT Equity</v>
      </c>
      <c r="P5">
        <v>-2.4245362661989844E-14</v>
      </c>
      <c r="R5">
        <v>-2.4245362661989844E-14</v>
      </c>
      <c r="S5" t="s">
        <v>1789</v>
      </c>
      <c r="T5">
        <v>2021</v>
      </c>
      <c r="U5" t="s">
        <v>3385</v>
      </c>
      <c r="V5" s="6">
        <v>44700</v>
      </c>
      <c r="W5">
        <v>1</v>
      </c>
      <c r="X5">
        <v>-2.4245362661989844E-14</v>
      </c>
      <c r="Y5">
        <v>7980903</v>
      </c>
      <c r="Z5" t="s">
        <v>3386</v>
      </c>
      <c r="AE5" t="str">
        <f>_xll.BDS("FSNMQ US Equity","SUPPLY_CHAIN_SUPPLIERS_ALL_DATA")</f>
        <v>#N/A N/A</v>
      </c>
      <c r="AS5" t="str">
        <f>_xll.BDS("FSNMQ US Equity","SUPPLY_CHAIN_CUSTOMERS_ALL_DATA")</f>
        <v>#N/A N/A</v>
      </c>
      <c r="BI5" t="str">
        <f>_xll.BDS("3075370Q US Equity","SUPPLY_CHAIN_SUPPLIERS_ALL_DATA")</f>
        <v>#N/A N/A</v>
      </c>
      <c r="BW5" t="str">
        <f>_xll.BDS("3075370Q US Equity","SUPPLY_CHAIN_CUSTOMERS_ALL_DATA")</f>
        <v>#N/A N/A</v>
      </c>
      <c r="CM5" t="str">
        <f>_xll.BDS("KRNY US Equity","SUPPLY_CHAIN_SUPPLIERS_ALL_DATA","cols=12;rows=1")</f>
        <v>FISV US Equity</v>
      </c>
      <c r="CO5">
        <v>-2.4245362661989844E-14</v>
      </c>
      <c r="CP5">
        <v>-2.4245362661989844E-14</v>
      </c>
      <c r="CQ5" t="s">
        <v>1789</v>
      </c>
      <c r="CR5">
        <v>2022</v>
      </c>
      <c r="CS5" t="s">
        <v>2568</v>
      </c>
      <c r="CT5" s="6">
        <v>44671</v>
      </c>
      <c r="CU5">
        <v>1</v>
      </c>
      <c r="CV5">
        <v>-2.4245362661989844E-14</v>
      </c>
      <c r="CW5">
        <v>103882</v>
      </c>
      <c r="CX5" t="s">
        <v>2046</v>
      </c>
      <c r="DA5" t="str">
        <f>_xll.BDS("KRNY US Equity","SUPPLY_CHAIN_CUSTOMERS_ALL_DATA")</f>
        <v>#N/A N/A</v>
      </c>
      <c r="DQ5" t="str">
        <f>_xll.BDS("8397627Q US Equity","SUPPLY_CHAIN_SUPPLIERS_ALL_DATA")</f>
        <v>#N/A N/A</v>
      </c>
      <c r="EE5" t="str">
        <f>_xll.BDS("8397627Q US Equity","SUPPLY_CHAIN_CUSTOMERS_ALL_DATA")</f>
        <v>#N/A N/A</v>
      </c>
      <c r="EU5" t="str">
        <f>_xll.BDS("OSGIQ US Equity","SUPPLY_CHAIN_SUPPLIERS_ALL_DATA")</f>
        <v>#N/A N/A</v>
      </c>
      <c r="FI5" t="str">
        <f>_xll.BDS("OSGIQ US Equity","SUPPLY_CHAIN_CUSTOMERS_ALL_DATA")</f>
        <v>#N/A N/A</v>
      </c>
      <c r="FY5" t="str">
        <f>_xll.BDS("BSX US Equity","SUPPLY_CHAIN_SUPPLIERS_ALL_DATA","cols=12;rows=5")</f>
        <v>FLEX US Equity</v>
      </c>
      <c r="FZ5" t="s">
        <v>1777</v>
      </c>
      <c r="GA5">
        <v>0.45866000000000001</v>
      </c>
      <c r="GB5">
        <v>2.0511430000000002</v>
      </c>
      <c r="GC5" t="s">
        <v>1773</v>
      </c>
      <c r="GD5">
        <v>2025</v>
      </c>
      <c r="GE5" t="s">
        <v>2136</v>
      </c>
      <c r="GF5" s="6">
        <v>45763</v>
      </c>
      <c r="GG5">
        <v>5</v>
      </c>
      <c r="GH5">
        <v>30069750</v>
      </c>
      <c r="GI5">
        <v>136547</v>
      </c>
      <c r="GJ5" t="s">
        <v>2137</v>
      </c>
      <c r="GM5" t="str">
        <f>_xll.BDS("BSX US Equity","SUPPLY_CHAIN_CUSTOMERS_ALL_DATA","cols=12;rows=5")</f>
        <v>000078 CH Equity</v>
      </c>
      <c r="GN5">
        <v>-2.4245362661989844E-14</v>
      </c>
      <c r="GP5">
        <v>-2.4245362661989844E-14</v>
      </c>
      <c r="GQ5" t="s">
        <v>2183</v>
      </c>
      <c r="GR5">
        <v>2025</v>
      </c>
      <c r="GS5" t="s">
        <v>2184</v>
      </c>
      <c r="GT5" s="6">
        <v>45898</v>
      </c>
      <c r="GU5">
        <v>5</v>
      </c>
      <c r="GV5">
        <v>-2.4245362661989844E-14</v>
      </c>
      <c r="GW5">
        <v>812235</v>
      </c>
      <c r="GX5" t="s">
        <v>2185</v>
      </c>
      <c r="HC5" t="str">
        <f>_xll.BDS("OCR US Equity","SUPPLY_CHAIN_SUPPLIERS_ALL_DATA")</f>
        <v>#N/A N/A</v>
      </c>
      <c r="HQ5" t="str">
        <f>_xll.BDS("OCR US Equity","SUPPLY_CHAIN_CUSTOMERS_ALL_DATA","cols=12;rows=2")</f>
        <v>3176 TT Equity</v>
      </c>
      <c r="HR5">
        <v>-2.4245362661989844E-14</v>
      </c>
      <c r="HT5">
        <v>-2.4245362661989844E-14</v>
      </c>
      <c r="HU5" t="s">
        <v>1789</v>
      </c>
      <c r="HV5">
        <v>2021</v>
      </c>
      <c r="HW5" t="s">
        <v>1856</v>
      </c>
      <c r="HX5" s="6">
        <v>44699</v>
      </c>
      <c r="HY5">
        <v>2</v>
      </c>
      <c r="HZ5">
        <v>-2.4245362661989844E-14</v>
      </c>
      <c r="IA5">
        <v>7254096</v>
      </c>
      <c r="IB5" t="s">
        <v>1857</v>
      </c>
      <c r="IG5" t="str">
        <f>_xll.BDS("SUG US Equity","SUPPLY_CHAIN_SUPPLIERS_ALL_DATA")</f>
        <v>#N/A N/A</v>
      </c>
      <c r="IU5" t="str">
        <f>_xll.BDS("SUG US Equity","SUPPLY_CHAIN_CUSTOMERS_ALL_DATA")</f>
        <v>#N/A N/A</v>
      </c>
      <c r="JK5" t="str">
        <f>_xll.BDS("2860436Q US Equity","SUPPLY_CHAIN_SUPPLIERS_ALL_DATA")</f>
        <v>#N/A N/A</v>
      </c>
      <c r="JY5" t="str">
        <f>_xll.BDS("2860436Q US Equity","SUPPLY_CHAIN_CUSTOMERS_ALL_DATA")</f>
        <v>#N/A N/A</v>
      </c>
      <c r="KO5" t="str">
        <f>_xll.BDS("8215820Q US Equity","SUPPLY_CHAIN_SUPPLIERS_ALL_DATA")</f>
        <v>#N/A N/A</v>
      </c>
      <c r="LC5" t="str">
        <f>_xll.BDS("8215820Q US Equity","SUPPLY_CHAIN_CUSTOMERS_ALL_DATA")</f>
        <v>#N/A N/A</v>
      </c>
      <c r="LS5" t="str">
        <f>_xll.BDS("PPBI US Equity","SUPPLY_CHAIN_SUPPLIERS_ALL_DATA","cols=12;rows=1")</f>
        <v>MUST SP Equity</v>
      </c>
      <c r="LU5">
        <v>-2.4245362661989844E-14</v>
      </c>
      <c r="LV5">
        <v>-2.4245362661989844E-14</v>
      </c>
      <c r="LW5" t="s">
        <v>1789</v>
      </c>
      <c r="LX5">
        <v>2024</v>
      </c>
      <c r="LY5" t="s">
        <v>3017</v>
      </c>
      <c r="LZ5" s="6">
        <v>45762</v>
      </c>
      <c r="MA5">
        <v>1</v>
      </c>
      <c r="MB5">
        <v>-2.4245362661989844E-14</v>
      </c>
      <c r="MC5">
        <v>46286147</v>
      </c>
      <c r="MD5" t="s">
        <v>3018</v>
      </c>
      <c r="MG5" t="str">
        <f>_xll.BDS("PPBI US Equity","SUPPLY_CHAIN_CUSTOMERS_ALL_DATA")</f>
        <v>#N/A N/A</v>
      </c>
      <c r="MW5" t="str">
        <f>_xll.BDS("NAL US Equity","SUPPLY_CHAIN_SUPPLIERS_ALL_DATA")</f>
        <v>#N/A N/A</v>
      </c>
      <c r="NK5" t="str">
        <f>_xll.BDS("NAL US Equity","SUPPLY_CHAIN_CUSTOMERS_ALL_DATA")</f>
        <v>#N/A N/A</v>
      </c>
      <c r="OA5" t="str">
        <f>_xll.BDS("FMNB US Equity","SUPPLY_CHAIN_SUPPLIERS_ALL_DATA")</f>
        <v>#N/A N/A</v>
      </c>
      <c r="OO5" t="str">
        <f>_xll.BDS("FMNB US Equity","SUPPLY_CHAIN_CUSTOMERS_ALL_DATA")</f>
        <v>#N/A N/A</v>
      </c>
      <c r="PE5" t="str">
        <f>_xll.BDS("BTFG US Equity","SUPPLY_CHAIN_SUPPLIERS_ALL_DATA")</f>
        <v>#N/A N/A</v>
      </c>
      <c r="PS5" t="str">
        <f>_xll.BDS("BTFG US Equity","SUPPLY_CHAIN_CUSTOMERS_ALL_DATA")</f>
        <v>#N/A N/A</v>
      </c>
      <c r="QI5" t="str">
        <f>_xll.BDS("ONB US Equity","SUPPLY_CHAIN_SUPPLIERS_ALL_DATA","cols=12;rows=3")</f>
        <v>FCPT US Equity</v>
      </c>
      <c r="QK5">
        <v>-2.4245362661989844E-14</v>
      </c>
      <c r="QL5">
        <v>-2.4245362661989844E-14</v>
      </c>
      <c r="QM5" t="s">
        <v>1789</v>
      </c>
      <c r="QN5">
        <v>2023</v>
      </c>
      <c r="QO5" t="s">
        <v>1964</v>
      </c>
      <c r="QP5" s="6">
        <v>45337</v>
      </c>
      <c r="QQ5">
        <v>3</v>
      </c>
      <c r="QR5">
        <v>-2.4245362661989844E-14</v>
      </c>
      <c r="QS5">
        <v>46177523</v>
      </c>
      <c r="QT5" t="s">
        <v>1965</v>
      </c>
      <c r="QW5" t="str">
        <f>_xll.BDS("ONB US Equity","SUPPLY_CHAIN_CUSTOMERS_ALL_DATA")</f>
        <v>#N/A N/A</v>
      </c>
      <c r="RM5" t="str">
        <f>_xll.BDS("RSHCQ US Equity","SUPPLY_CHAIN_SUPPLIERS_ALL_DATA","cols=12;rows=1")</f>
        <v>INVE US Equity</v>
      </c>
      <c r="RO5">
        <v>-2.4245362661989844E-14</v>
      </c>
      <c r="RP5">
        <v>-2.4245362661989844E-14</v>
      </c>
      <c r="RQ5" t="s">
        <v>1768</v>
      </c>
      <c r="RR5">
        <v>2022</v>
      </c>
      <c r="RS5" t="s">
        <v>4695</v>
      </c>
      <c r="RT5" s="6">
        <v>44803</v>
      </c>
      <c r="RU5">
        <v>1</v>
      </c>
      <c r="RV5">
        <v>-2.4245362661989844E-14</v>
      </c>
      <c r="RW5">
        <v>225752</v>
      </c>
      <c r="RX5" t="s">
        <v>3425</v>
      </c>
      <c r="SA5" t="str">
        <f>_xll.BDS("RSHCQ US Equity","SUPPLY_CHAIN_CUSTOMERS_ALL_DATA")</f>
        <v>#N/A N/A</v>
      </c>
      <c r="SQ5" t="str">
        <f>_xll.BDS("FPFCQ US Equity","SUPPLY_CHAIN_SUPPLIERS_ALL_DATA")</f>
        <v>#N/A N/A</v>
      </c>
      <c r="TE5" t="str">
        <f>_xll.BDS("FPFCQ US Equity","SUPPLY_CHAIN_CUSTOMERS_ALL_DATA")</f>
        <v>#N/A N/A</v>
      </c>
      <c r="TU5" t="str">
        <f>_xll.BDS("CVBF US Equity","SUPPLY_CHAIN_SUPPLIERS_ALL_DATA")</f>
        <v>#N/A N/A</v>
      </c>
      <c r="UI5" t="str">
        <f>_xll.BDS("CVBF US Equity","SUPPLY_CHAIN_CUSTOMERS_ALL_DATA")</f>
        <v>#N/A N/A</v>
      </c>
      <c r="UY5" t="str">
        <f>_xll.BDS("1284849D US Equity","SUPPLY_CHAIN_SUPPLIERS_ALL_DATA","cols=12;rows=5")</f>
        <v>AEE US Equity</v>
      </c>
      <c r="VA5">
        <v>-2.4245362661989844E-14</v>
      </c>
      <c r="VB5">
        <v>-2.4245362661989844E-14</v>
      </c>
      <c r="VC5" t="s">
        <v>1789</v>
      </c>
      <c r="VD5">
        <v>2021</v>
      </c>
      <c r="VE5" t="s">
        <v>2085</v>
      </c>
      <c r="VF5" s="6">
        <v>44693</v>
      </c>
      <c r="VG5">
        <v>5</v>
      </c>
      <c r="VH5">
        <v>-2.4245362661989844E-14</v>
      </c>
      <c r="VI5">
        <v>313098</v>
      </c>
      <c r="VJ5" t="s">
        <v>2086</v>
      </c>
      <c r="VM5" t="str">
        <f>_xll.BDS("1284849D US Equity","SUPPLY_CHAIN_CUSTOMERS_ALL_DATA","cols=12;rows=1")</f>
        <v>4569 JP Equity</v>
      </c>
      <c r="VN5">
        <v>-2.4245362661989844E-14</v>
      </c>
      <c r="VP5">
        <v>-2.4245362661989844E-14</v>
      </c>
      <c r="VQ5" t="s">
        <v>1789</v>
      </c>
      <c r="VR5">
        <v>2022</v>
      </c>
      <c r="VS5" t="s">
        <v>2865</v>
      </c>
      <c r="VT5" s="6">
        <v>44736</v>
      </c>
      <c r="VU5">
        <v>1</v>
      </c>
      <c r="VV5">
        <v>-2.4245362661989844E-14</v>
      </c>
      <c r="VW5">
        <v>10499395</v>
      </c>
      <c r="VX5" t="s">
        <v>2866</v>
      </c>
    </row>
    <row r="6" spans="1:600" x14ac:dyDescent="0.25">
      <c r="FY6" t="s">
        <v>2423</v>
      </c>
      <c r="FZ6" t="s">
        <v>1777</v>
      </c>
      <c r="GA6">
        <v>0.108844</v>
      </c>
      <c r="GB6">
        <v>0.58639399999999997</v>
      </c>
      <c r="GC6" t="s">
        <v>1773</v>
      </c>
      <c r="GD6">
        <v>2025</v>
      </c>
      <c r="GE6" t="s">
        <v>2424</v>
      </c>
      <c r="GF6" s="6">
        <v>45867</v>
      </c>
      <c r="GG6">
        <v>5</v>
      </c>
      <c r="GH6">
        <v>8520308</v>
      </c>
      <c r="GI6">
        <v>117092</v>
      </c>
      <c r="GJ6" t="s">
        <v>2425</v>
      </c>
      <c r="GM6" t="s">
        <v>2186</v>
      </c>
      <c r="GN6">
        <v>-2.4245362661989844E-14</v>
      </c>
      <c r="GP6">
        <v>-2.4245362661989844E-14</v>
      </c>
      <c r="GQ6" t="s">
        <v>1894</v>
      </c>
      <c r="GR6">
        <v>2025</v>
      </c>
      <c r="GS6" t="s">
        <v>2187</v>
      </c>
      <c r="GT6" s="6">
        <v>45975</v>
      </c>
      <c r="GU6">
        <v>5</v>
      </c>
      <c r="GV6">
        <v>-2.4245362661989844E-14</v>
      </c>
      <c r="GW6">
        <v>866542</v>
      </c>
      <c r="GX6" t="s">
        <v>2188</v>
      </c>
      <c r="HQ6" t="s">
        <v>1858</v>
      </c>
      <c r="HR6">
        <v>-2.4245362661989844E-14</v>
      </c>
      <c r="HT6">
        <v>-2.4245362661989844E-14</v>
      </c>
      <c r="HU6" t="s">
        <v>1768</v>
      </c>
      <c r="HV6">
        <v>2025</v>
      </c>
      <c r="HW6" t="s">
        <v>1859</v>
      </c>
      <c r="HX6" s="6">
        <v>45847</v>
      </c>
      <c r="HY6">
        <v>2</v>
      </c>
      <c r="HZ6">
        <v>-2.4245362661989844E-14</v>
      </c>
      <c r="IA6">
        <v>11131878</v>
      </c>
      <c r="IB6" t="s">
        <v>1860</v>
      </c>
      <c r="QI6" t="s">
        <v>1966</v>
      </c>
      <c r="QK6">
        <v>-2.4245362661989844E-14</v>
      </c>
      <c r="QL6">
        <v>-2.4245362661989844E-14</v>
      </c>
      <c r="QM6" t="s">
        <v>1781</v>
      </c>
      <c r="QN6">
        <v>2023</v>
      </c>
      <c r="QO6" t="s">
        <v>1967</v>
      </c>
      <c r="QP6" s="6">
        <v>45020</v>
      </c>
      <c r="QQ6">
        <v>3</v>
      </c>
      <c r="QR6">
        <v>-2.4245362661989844E-14</v>
      </c>
      <c r="QS6">
        <v>106252</v>
      </c>
      <c r="QT6" t="s">
        <v>1968</v>
      </c>
      <c r="UY6" t="s">
        <v>1918</v>
      </c>
      <c r="VA6">
        <v>-2.4245362661989844E-14</v>
      </c>
      <c r="VB6">
        <v>-2.4245362661989844E-14</v>
      </c>
      <c r="VC6" t="s">
        <v>1789</v>
      </c>
      <c r="VD6">
        <v>2021</v>
      </c>
      <c r="VE6" t="s">
        <v>1919</v>
      </c>
      <c r="VF6" s="6">
        <v>44693</v>
      </c>
      <c r="VG6">
        <v>5</v>
      </c>
      <c r="VH6">
        <v>-2.4245362661989844E-14</v>
      </c>
      <c r="VI6">
        <v>100060</v>
      </c>
      <c r="VJ6" t="s">
        <v>1920</v>
      </c>
    </row>
    <row r="7" spans="1:600" x14ac:dyDescent="0.25">
      <c r="FY7" t="s">
        <v>3578</v>
      </c>
      <c r="FZ7" t="s">
        <v>1777</v>
      </c>
      <c r="GA7">
        <v>0.82896099999999995</v>
      </c>
      <c r="GB7">
        <v>0.29375299999999999</v>
      </c>
      <c r="GC7" t="s">
        <v>1768</v>
      </c>
      <c r="GD7">
        <v>2025</v>
      </c>
      <c r="GE7" t="s">
        <v>3579</v>
      </c>
      <c r="GF7" s="6">
        <v>45867</v>
      </c>
      <c r="GG7">
        <v>5</v>
      </c>
      <c r="GH7">
        <v>4597625.84</v>
      </c>
      <c r="GI7">
        <v>157487</v>
      </c>
      <c r="GJ7" t="s">
        <v>3580</v>
      </c>
      <c r="GM7" t="s">
        <v>2189</v>
      </c>
      <c r="GN7">
        <v>-2.4245362661989844E-14</v>
      </c>
      <c r="GP7">
        <v>-2.4245362661989844E-14</v>
      </c>
      <c r="GQ7" t="s">
        <v>1894</v>
      </c>
      <c r="GR7">
        <v>2025</v>
      </c>
      <c r="GS7" t="s">
        <v>2190</v>
      </c>
      <c r="GT7" s="6">
        <v>45975</v>
      </c>
      <c r="GU7">
        <v>5</v>
      </c>
      <c r="GV7">
        <v>-2.4245362661989844E-14</v>
      </c>
      <c r="GW7">
        <v>16631023</v>
      </c>
      <c r="GX7" t="s">
        <v>2191</v>
      </c>
      <c r="QI7" t="s">
        <v>1121</v>
      </c>
      <c r="QK7">
        <v>-2.4245362661989844E-14</v>
      </c>
      <c r="QL7">
        <v>-2.4245362661989844E-14</v>
      </c>
      <c r="QM7" t="s">
        <v>1768</v>
      </c>
      <c r="QN7">
        <v>2023</v>
      </c>
      <c r="QO7" t="s">
        <v>1969</v>
      </c>
      <c r="QP7" s="6">
        <v>45174</v>
      </c>
      <c r="QQ7">
        <v>3</v>
      </c>
      <c r="QR7">
        <v>-2.4245362661989844E-14</v>
      </c>
      <c r="QS7">
        <v>202476</v>
      </c>
      <c r="QT7" t="s">
        <v>1970</v>
      </c>
      <c r="UY7" t="s">
        <v>1992</v>
      </c>
      <c r="VA7">
        <v>-2.4245362661989844E-14</v>
      </c>
      <c r="VB7">
        <v>-2.4245362661989844E-14</v>
      </c>
      <c r="VC7" t="s">
        <v>1789</v>
      </c>
      <c r="VD7">
        <v>2021</v>
      </c>
      <c r="VE7" t="s">
        <v>1993</v>
      </c>
      <c r="VF7" s="6">
        <v>44693</v>
      </c>
      <c r="VG7">
        <v>5</v>
      </c>
      <c r="VH7">
        <v>-2.4245362661989844E-14</v>
      </c>
      <c r="VI7">
        <v>101690</v>
      </c>
      <c r="VJ7" t="s">
        <v>1994</v>
      </c>
    </row>
    <row r="8" spans="1:600" x14ac:dyDescent="0.25">
      <c r="FY8" t="s">
        <v>3939</v>
      </c>
      <c r="FZ8" t="s">
        <v>1777</v>
      </c>
      <c r="GA8">
        <v>0.224579</v>
      </c>
      <c r="GB8">
        <v>0.108293</v>
      </c>
      <c r="GC8" t="s">
        <v>1773</v>
      </c>
      <c r="GD8">
        <v>2025</v>
      </c>
      <c r="GE8" t="s">
        <v>3940</v>
      </c>
      <c r="GF8" s="6">
        <v>46009</v>
      </c>
      <c r="GG8">
        <v>5</v>
      </c>
      <c r="GH8">
        <v>1649301</v>
      </c>
      <c r="GI8">
        <v>101601</v>
      </c>
      <c r="GJ8" t="s">
        <v>3941</v>
      </c>
      <c r="GM8" t="s">
        <v>2192</v>
      </c>
      <c r="GN8">
        <v>-2.4245362661989844E-14</v>
      </c>
      <c r="GP8">
        <v>-2.4245362661989844E-14</v>
      </c>
      <c r="GQ8" t="s">
        <v>1789</v>
      </c>
      <c r="GR8">
        <v>2025</v>
      </c>
      <c r="GS8" t="s">
        <v>2193</v>
      </c>
      <c r="GT8" s="6">
        <v>45834</v>
      </c>
      <c r="GU8">
        <v>5</v>
      </c>
      <c r="GV8">
        <v>-2.4245362661989844E-14</v>
      </c>
      <c r="GW8">
        <v>11745327</v>
      </c>
      <c r="GX8" t="s">
        <v>2194</v>
      </c>
      <c r="UY8" t="s">
        <v>816</v>
      </c>
      <c r="VA8">
        <v>-2.4245362661989844E-14</v>
      </c>
      <c r="VB8">
        <v>-2.4245362661989844E-14</v>
      </c>
      <c r="VC8" t="s">
        <v>1789</v>
      </c>
      <c r="VD8">
        <v>2021</v>
      </c>
      <c r="VE8" t="s">
        <v>2069</v>
      </c>
      <c r="VF8" s="6">
        <v>44693</v>
      </c>
      <c r="VG8">
        <v>5</v>
      </c>
      <c r="VH8">
        <v>-2.4245362661989844E-14</v>
      </c>
      <c r="VI8">
        <v>100193</v>
      </c>
      <c r="VJ8" t="s">
        <v>2070</v>
      </c>
    </row>
    <row r="9" spans="1:600" x14ac:dyDescent="0.25">
      <c r="FY9" t="s">
        <v>2019</v>
      </c>
      <c r="FZ9" t="s">
        <v>1906</v>
      </c>
      <c r="GA9">
        <v>4.7656999999999998E-2</v>
      </c>
      <c r="GB9">
        <v>0.32179200000000002</v>
      </c>
      <c r="GC9" t="s">
        <v>1785</v>
      </c>
      <c r="GD9">
        <v>2024</v>
      </c>
      <c r="GE9" t="s">
        <v>2020</v>
      </c>
      <c r="GF9" s="6">
        <v>45770</v>
      </c>
      <c r="GG9">
        <v>5</v>
      </c>
      <c r="GH9">
        <v>892312.96</v>
      </c>
      <c r="GI9">
        <v>186659</v>
      </c>
      <c r="GJ9" t="s">
        <v>2021</v>
      </c>
      <c r="GM9" t="s">
        <v>2195</v>
      </c>
      <c r="GN9">
        <v>-2.4245362661989844E-14</v>
      </c>
      <c r="GP9">
        <v>-2.4245362661989844E-14</v>
      </c>
      <c r="GQ9" t="s">
        <v>2183</v>
      </c>
      <c r="GR9">
        <v>2025</v>
      </c>
      <c r="GS9" t="s">
        <v>2196</v>
      </c>
      <c r="GT9" s="6">
        <v>45895</v>
      </c>
      <c r="GU9">
        <v>5</v>
      </c>
      <c r="GV9">
        <v>-2.4245362661989844E-14</v>
      </c>
      <c r="GW9">
        <v>20515250</v>
      </c>
      <c r="GX9" t="s">
        <v>2197</v>
      </c>
      <c r="UY9" t="s">
        <v>1923</v>
      </c>
      <c r="VA9">
        <v>-2.4245362661989844E-14</v>
      </c>
      <c r="VB9">
        <v>-2.4245362661989844E-14</v>
      </c>
      <c r="VC9" t="s">
        <v>1789</v>
      </c>
      <c r="VD9">
        <v>2021</v>
      </c>
      <c r="VE9" t="s">
        <v>1924</v>
      </c>
      <c r="VF9" s="6">
        <v>44693</v>
      </c>
      <c r="VG9">
        <v>5</v>
      </c>
      <c r="VH9">
        <v>-2.4245362661989844E-14</v>
      </c>
      <c r="VI9">
        <v>100481</v>
      </c>
      <c r="VJ9" t="s">
        <v>1925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1263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1264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1266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1267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1268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1269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1270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1271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1272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1273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1274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1275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1276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1277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1278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1279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1280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1281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1282</v>
      </c>
      <c r="AE2" s="3" t="s">
        <v>1283</v>
      </c>
      <c r="BI2" s="3" t="s">
        <v>1284</v>
      </c>
      <c r="CM2" s="3" t="s">
        <v>1285</v>
      </c>
      <c r="DQ2" s="3" t="s">
        <v>1286</v>
      </c>
      <c r="EU2" s="3" t="s">
        <v>1287</v>
      </c>
      <c r="FY2" s="3" t="s">
        <v>853</v>
      </c>
      <c r="HC2" s="3" t="s">
        <v>1288</v>
      </c>
      <c r="IG2" s="3" t="s">
        <v>1289</v>
      </c>
      <c r="JK2" s="3" t="s">
        <v>467</v>
      </c>
      <c r="KO2" s="3" t="s">
        <v>710</v>
      </c>
      <c r="LS2" s="3" t="s">
        <v>570</v>
      </c>
      <c r="MW2" s="3" t="s">
        <v>1290</v>
      </c>
      <c r="OA2" s="3" t="s">
        <v>1291</v>
      </c>
      <c r="PE2" s="3" t="s">
        <v>951</v>
      </c>
      <c r="QI2" s="3" t="s">
        <v>1292</v>
      </c>
      <c r="RM2" s="3" t="s">
        <v>1293</v>
      </c>
      <c r="SQ2" s="3" t="s">
        <v>1156</v>
      </c>
      <c r="TU2" s="3" t="s">
        <v>1294</v>
      </c>
      <c r="UY2" s="3" t="s">
        <v>93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_xll.BDS("STOKQ US Equity","SUPPLY_CHAIN_SUPPLIERS_ALL_DATA")</f>
        <v>#N/A N/A</v>
      </c>
      <c r="O5" t="str">
        <f>_xll.BDS("STOKQ US Equity","SUPPLY_CHAIN_CUSTOMERS_ALL_DATA")</f>
        <v>#N/A N/A</v>
      </c>
      <c r="AE5" t="str">
        <f>_xll.BDS("NNN US Equity","SUPPLY_CHAIN_SUPPLIERS_ALL_DATA")</f>
        <v>#N/A N/A</v>
      </c>
      <c r="AS5" t="str">
        <f>_xll.BDS("NNN US Equity","SUPPLY_CHAIN_CUSTOMERS_ALL_DATA","cols=12;rows=5")</f>
        <v>3382 JP Equity</v>
      </c>
      <c r="AT5">
        <v>4.3829370000000001</v>
      </c>
      <c r="AU5" t="s">
        <v>1808</v>
      </c>
      <c r="AV5">
        <v>0.21118600000000001</v>
      </c>
      <c r="AW5" t="s">
        <v>1789</v>
      </c>
      <c r="AX5">
        <v>2024</v>
      </c>
      <c r="AY5" t="s">
        <v>2319</v>
      </c>
      <c r="AZ5" s="6">
        <v>45700</v>
      </c>
      <c r="BA5">
        <v>5</v>
      </c>
      <c r="BB5">
        <v>9524845</v>
      </c>
      <c r="BC5">
        <v>9917432</v>
      </c>
      <c r="BD5" t="s">
        <v>2320</v>
      </c>
      <c r="BI5" t="str">
        <f>_xll.BDS("1927294D US Equity","SUPPLY_CHAIN_SUPPLIERS_ALL_DATA","cols=12;rows=1")</f>
        <v>FE US Equity</v>
      </c>
      <c r="BK5">
        <v>-2.4245362661989844E-14</v>
      </c>
      <c r="BL5">
        <v>-2.4245362661989844E-14</v>
      </c>
      <c r="BM5" t="s">
        <v>1789</v>
      </c>
      <c r="BN5">
        <v>2021</v>
      </c>
      <c r="BO5" t="s">
        <v>1927</v>
      </c>
      <c r="BP5" s="6">
        <v>44693</v>
      </c>
      <c r="BQ5">
        <v>1</v>
      </c>
      <c r="BR5">
        <v>-2.4245362661989844E-14</v>
      </c>
      <c r="BS5">
        <v>302916</v>
      </c>
      <c r="BT5" t="s">
        <v>1928</v>
      </c>
      <c r="BW5" t="str">
        <f>_xll.BDS("1927294D US Equity","SUPPLY_CHAIN_CUSTOMERS_ALL_DATA")</f>
        <v>#N/A N/A</v>
      </c>
      <c r="CM5" t="str">
        <f>_xll.BDS("605018Q US Equity","SUPPLY_CHAIN_SUPPLIERS_ALL_DATA")</f>
        <v>#N/A N/A</v>
      </c>
      <c r="DA5" t="str">
        <f>_xll.BDS("605018Q US Equity","SUPPLY_CHAIN_CUSTOMERS_ALL_DATA")</f>
        <v>#N/A N/A</v>
      </c>
      <c r="DQ5" t="str">
        <f>_xll.BDS("QVDX US Equity","SUPPLY_CHAIN_SUPPLIERS_ALL_DATA")</f>
        <v>#N/A N/A</v>
      </c>
      <c r="EE5" t="str">
        <f>_xll.BDS("QVDX US Equity","SUPPLY_CHAIN_CUSTOMERS_ALL_DATA")</f>
        <v>#N/A N/A</v>
      </c>
      <c r="EU5" t="str">
        <f>_xll.BDS("LGTO US Equity","SUPPLY_CHAIN_SUPPLIERS_ALL_DATA")</f>
        <v>#N/A N/A</v>
      </c>
      <c r="FI5" t="str">
        <f>_xll.BDS("LGTO US Equity","SUPPLY_CHAIN_CUSTOMERS_ALL_DATA","cols=12;rows=1")</f>
        <v>256811Z US Equity</v>
      </c>
      <c r="FJ5">
        <v>-2.4245362661989844E-14</v>
      </c>
      <c r="FL5">
        <v>-2.4245362661989844E-14</v>
      </c>
      <c r="FM5" t="s">
        <v>1789</v>
      </c>
      <c r="FN5">
        <v>2024</v>
      </c>
      <c r="FO5" t="s">
        <v>3253</v>
      </c>
      <c r="FP5" s="6">
        <v>45560</v>
      </c>
      <c r="FQ5">
        <v>1</v>
      </c>
      <c r="FR5">
        <v>-2.4245362661989844E-14</v>
      </c>
      <c r="FS5">
        <v>8122227</v>
      </c>
      <c r="FT5" t="s">
        <v>3254</v>
      </c>
      <c r="FY5" t="str">
        <f>_xll.BDS("WSBC US Equity","SUPPLY_CHAIN_SUPPLIERS_ALL_DATA")</f>
        <v>#N/A N/A</v>
      </c>
      <c r="GM5" t="str">
        <f>_xll.BDS("WSBC US Equity","SUPPLY_CHAIN_CUSTOMERS_ALL_DATA","cols=12;rows=2")</f>
        <v>NINE CN Equity</v>
      </c>
      <c r="GN5">
        <v>-2.4245362661989844E-14</v>
      </c>
      <c r="GP5">
        <v>-2.4245362661989844E-14</v>
      </c>
      <c r="GQ5" t="s">
        <v>1789</v>
      </c>
      <c r="GR5">
        <v>2023</v>
      </c>
      <c r="GS5" t="s">
        <v>2906</v>
      </c>
      <c r="GT5" s="6">
        <v>44967</v>
      </c>
      <c r="GU5">
        <v>2</v>
      </c>
      <c r="GV5">
        <v>-2.4245362661989844E-14</v>
      </c>
      <c r="GW5">
        <v>67289203</v>
      </c>
      <c r="GX5" t="s">
        <v>2907</v>
      </c>
      <c r="HC5" t="str">
        <f>_xll.BDS("HBCP US Equity","SUPPLY_CHAIN_SUPPLIERS_ALL_DATA")</f>
        <v>#N/A N/A</v>
      </c>
      <c r="HQ5" t="str">
        <f>_xll.BDS("HBCP US Equity","SUPPLY_CHAIN_CUSTOMERS_ALL_DATA")</f>
        <v>#N/A N/A</v>
      </c>
      <c r="IG5" t="str">
        <f>_xll.BDS("WLL US Equity","SUPPLY_CHAIN_SUPPLIERS_ALL_DATA")</f>
        <v>#N/A N/A</v>
      </c>
      <c r="IU5" t="str">
        <f>_xll.BDS("WLL US Equity","SUPPLY_CHAIN_CUSTOMERS_ALL_DATA")</f>
        <v>#N/A N/A</v>
      </c>
      <c r="JK5" t="str">
        <f>_xll.BDS("AON US Equity","SUPPLY_CHAIN_SUPPLIERS_ALL_DATA","cols=12;rows=5")</f>
        <v>1972 HK Equity</v>
      </c>
      <c r="JM5">
        <v>-2.4245362661989844E-14</v>
      </c>
      <c r="JN5">
        <v>-2.4245362661989844E-14</v>
      </c>
      <c r="JO5" t="s">
        <v>1789</v>
      </c>
      <c r="JP5">
        <v>2024</v>
      </c>
      <c r="JQ5" t="s">
        <v>2393</v>
      </c>
      <c r="JR5" s="6">
        <v>45755</v>
      </c>
      <c r="JS5">
        <v>5</v>
      </c>
      <c r="JT5">
        <v>-2.4245362661989844E-14</v>
      </c>
      <c r="JU5">
        <v>953675</v>
      </c>
      <c r="JV5" t="s">
        <v>2394</v>
      </c>
      <c r="JY5" t="str">
        <f>_xll.BDS("AON US Equity","SUPPLY_CHAIN_CUSTOMERS_ALL_DATA","cols=12;rows=5")</f>
        <v>FPAYQ US Equity</v>
      </c>
      <c r="JZ5">
        <v>-2.4245362661989844E-14</v>
      </c>
      <c r="KB5">
        <v>-2.4245362661989844E-14</v>
      </c>
      <c r="KC5" t="s">
        <v>1773</v>
      </c>
      <c r="KD5">
        <v>2025</v>
      </c>
      <c r="KE5" t="s">
        <v>1843</v>
      </c>
      <c r="KF5" s="6">
        <v>46013</v>
      </c>
      <c r="KG5">
        <v>5</v>
      </c>
      <c r="KH5">
        <v>-2.4245362661989844E-14</v>
      </c>
      <c r="KI5">
        <v>13730472</v>
      </c>
      <c r="KJ5" t="s">
        <v>1844</v>
      </c>
      <c r="KO5" t="str">
        <f>_xll.BDS("FMBI US Equity","SUPPLY_CHAIN_SUPPLIERS_ALL_DATA")</f>
        <v>#N/A N/A</v>
      </c>
      <c r="LC5" t="str">
        <f>_xll.BDS("FMBI US Equity","SUPPLY_CHAIN_CUSTOMERS_ALL_DATA")</f>
        <v>#N/A N/A</v>
      </c>
      <c r="LS5" t="str">
        <f>_xll.BDS("ITW US Equity","SUPPLY_CHAIN_SUPPLIERS_ALL_DATA","cols=12;rows=5")</f>
        <v>179 HK Equity</v>
      </c>
      <c r="LT5" t="s">
        <v>1777</v>
      </c>
      <c r="LU5">
        <v>6.5320000000000003E-2</v>
      </c>
      <c r="LV5">
        <v>2.7040999999999999E-2</v>
      </c>
      <c r="LW5" t="s">
        <v>1768</v>
      </c>
      <c r="LX5">
        <v>2026</v>
      </c>
      <c r="LY5" t="s">
        <v>2014</v>
      </c>
      <c r="LZ5" s="6">
        <v>46044</v>
      </c>
      <c r="MA5">
        <v>5</v>
      </c>
      <c r="MB5">
        <v>598816</v>
      </c>
      <c r="MC5">
        <v>116426</v>
      </c>
      <c r="MD5" t="s">
        <v>2015</v>
      </c>
      <c r="MG5" t="str">
        <f>_xll.BDS("ITW US Equity","SUPPLY_CHAIN_CUSTOMERS_ALL_DATA","cols=12;rows=5")</f>
        <v>TSCO US Equity</v>
      </c>
      <c r="MH5">
        <v>1.765717</v>
      </c>
      <c r="MI5" t="s">
        <v>1777</v>
      </c>
      <c r="MJ5">
        <v>2.5065909999999998</v>
      </c>
      <c r="MK5" t="s">
        <v>1768</v>
      </c>
      <c r="ML5">
        <v>2025</v>
      </c>
      <c r="MM5" t="s">
        <v>1862</v>
      </c>
      <c r="MN5" s="6">
        <v>45917</v>
      </c>
      <c r="MO5">
        <v>5</v>
      </c>
      <c r="MP5">
        <v>70178408</v>
      </c>
      <c r="MQ5">
        <v>126788</v>
      </c>
      <c r="MR5" t="s">
        <v>1863</v>
      </c>
      <c r="MW5" t="str">
        <f>_xll.BDS("TA US Equity","SUPPLY_CHAIN_SUPPLIERS_ALL_DATA","cols=12;rows=5")</f>
        <v>0707205D US Equity</v>
      </c>
      <c r="MY5">
        <v>-2.4245362661989844E-14</v>
      </c>
      <c r="MZ5">
        <v>-2.4245362661989844E-14</v>
      </c>
      <c r="NA5" t="s">
        <v>1789</v>
      </c>
      <c r="NB5">
        <v>2022</v>
      </c>
      <c r="NC5" t="s">
        <v>4163</v>
      </c>
      <c r="ND5" s="6">
        <v>44986</v>
      </c>
      <c r="NE5">
        <v>5</v>
      </c>
      <c r="NF5">
        <v>-2.4245362661989844E-14</v>
      </c>
      <c r="NG5">
        <v>28180045</v>
      </c>
      <c r="NH5" t="s">
        <v>4164</v>
      </c>
      <c r="NK5" t="str">
        <f>_xll.BDS("TA US Equity","SUPPLY_CHAIN_CUSTOMERS_ALL_DATA")</f>
        <v>#N/A N/A</v>
      </c>
      <c r="OA5" t="str">
        <f>_xll.BDS("HAS US Equity","SUPPLY_CHAIN_SUPPLIERS_ALL_DATA","cols=12;rows=5")</f>
        <v>PTC US Equity</v>
      </c>
      <c r="OB5" t="s">
        <v>1777</v>
      </c>
      <c r="OC5">
        <v>4.9049999999999996E-3</v>
      </c>
      <c r="OD5">
        <v>1.5263000000000001E-2</v>
      </c>
      <c r="OE5" t="s">
        <v>1768</v>
      </c>
      <c r="OF5">
        <v>2025</v>
      </c>
      <c r="OG5" t="s">
        <v>2430</v>
      </c>
      <c r="OH5" s="6">
        <v>45833</v>
      </c>
      <c r="OI5">
        <v>5</v>
      </c>
      <c r="OJ5">
        <v>31214</v>
      </c>
      <c r="OK5">
        <v>106173</v>
      </c>
      <c r="OL5" t="s">
        <v>2431</v>
      </c>
      <c r="OO5" t="str">
        <f>_xll.BDS("HAS US Equity","SUPPLY_CHAIN_CUSTOMERS_ALL_DATA","cols=12;rows=5")</f>
        <v>AMZN US Equity</v>
      </c>
      <c r="OP5">
        <v>11</v>
      </c>
      <c r="OQ5" t="s">
        <v>1777</v>
      </c>
      <c r="OR5">
        <v>0.145096</v>
      </c>
      <c r="OS5" t="s">
        <v>1789</v>
      </c>
      <c r="OT5">
        <v>2025</v>
      </c>
      <c r="OU5" t="s">
        <v>3229</v>
      </c>
      <c r="OV5" s="6">
        <v>46078</v>
      </c>
      <c r="OW5">
        <v>5</v>
      </c>
      <c r="OX5">
        <v>129285752</v>
      </c>
      <c r="OY5">
        <v>216952</v>
      </c>
      <c r="OZ5" t="s">
        <v>1815</v>
      </c>
      <c r="PE5" t="str">
        <f>_xll.BDS("HNH US Equity","SUPPLY_CHAIN_SUPPLIERS_ALL_DATA")</f>
        <v>#N/A N/A</v>
      </c>
      <c r="PS5" t="str">
        <f>_xll.BDS("HNH US Equity","SUPPLY_CHAIN_CUSTOMERS_ALL_DATA")</f>
        <v>#N/A N/A</v>
      </c>
      <c r="QI5" t="str">
        <f>_xll.BDS("LNY US Equity","SUPPLY_CHAIN_SUPPLIERS_ALL_DATA","cols=12;rows=2")</f>
        <v>AEYE US Equity</v>
      </c>
      <c r="QK5">
        <v>-2.4245362661989844E-14</v>
      </c>
      <c r="QL5">
        <v>-2.4245362661989844E-14</v>
      </c>
      <c r="QM5" t="s">
        <v>1789</v>
      </c>
      <c r="QN5">
        <v>2024</v>
      </c>
      <c r="QO5" t="s">
        <v>3115</v>
      </c>
      <c r="QP5" s="6">
        <v>45728</v>
      </c>
      <c r="QQ5">
        <v>2</v>
      </c>
      <c r="QR5">
        <v>-2.4245362661989844E-14</v>
      </c>
      <c r="QS5">
        <v>30916912</v>
      </c>
      <c r="QT5" t="s">
        <v>3116</v>
      </c>
      <c r="QW5" t="str">
        <f>_xll.BDS("LNY US Equity","SUPPLY_CHAIN_CUSTOMERS_ALL_DATA")</f>
        <v>#N/A N/A</v>
      </c>
      <c r="RM5" t="str">
        <f>_xll.BDS("SOA US Equity","SUPPLY_CHAIN_SUPPLIERS_ALL_DATA")</f>
        <v>#N/A N/A</v>
      </c>
      <c r="SA5" t="str">
        <f>_xll.BDS("SOA US Equity","SUPPLY_CHAIN_CUSTOMERS_ALL_DATA")</f>
        <v>#N/A N/A</v>
      </c>
      <c r="SQ5" t="str">
        <f>_xll.BDS("2674129Q US Equity","SUPPLY_CHAIN_SUPPLIERS_ALL_DATA")</f>
        <v>#N/A N/A</v>
      </c>
      <c r="TE5" t="str">
        <f>_xll.BDS("2674129Q US Equity","SUPPLY_CHAIN_CUSTOMERS_ALL_DATA")</f>
        <v>#N/A N/A</v>
      </c>
      <c r="TU5" t="str">
        <f>_xll.BDS("LNN US Equity","SUPPLY_CHAIN_SUPPLIERS_ALL_DATA","cols=12;rows=5")</f>
        <v>1530039D US Equity</v>
      </c>
      <c r="TW5">
        <v>-2.4245362661989844E-14</v>
      </c>
      <c r="TX5">
        <v>-2.4245362661989844E-14</v>
      </c>
      <c r="TY5" t="s">
        <v>1789</v>
      </c>
      <c r="TZ5">
        <v>2022</v>
      </c>
      <c r="UA5" t="s">
        <v>2181</v>
      </c>
      <c r="UB5" s="6">
        <v>44643</v>
      </c>
      <c r="UC5">
        <v>5</v>
      </c>
      <c r="UD5">
        <v>-2.4245362661989844E-14</v>
      </c>
      <c r="UE5">
        <v>54544502</v>
      </c>
      <c r="UF5" t="s">
        <v>3942</v>
      </c>
      <c r="UI5" t="str">
        <f>_xll.BDS("LNN US Equity","SUPPLY_CHAIN_CUSTOMERS_ALL_DATA","cols=12;rows=2")</f>
        <v>0398293Z US Equity</v>
      </c>
      <c r="UJ5">
        <v>-2.4245362661989844E-14</v>
      </c>
      <c r="UL5">
        <v>-2.4245362661989844E-14</v>
      </c>
      <c r="UM5" t="s">
        <v>1781</v>
      </c>
      <c r="UN5">
        <v>2022</v>
      </c>
      <c r="UO5" t="s">
        <v>2178</v>
      </c>
      <c r="UP5" s="6">
        <v>44651</v>
      </c>
      <c r="UQ5">
        <v>2</v>
      </c>
      <c r="UR5">
        <v>-2.4245362661989844E-14</v>
      </c>
      <c r="US5">
        <v>15165052</v>
      </c>
      <c r="UT5" t="s">
        <v>2179</v>
      </c>
      <c r="UY5" t="str">
        <f>_xll.BDS("HNBC US Equity","SUPPLY_CHAIN_SUPPLIERS_ALL_DATA")</f>
        <v>#N/A N/A</v>
      </c>
      <c r="VM5" t="str">
        <f>_xll.BDS("HNBC US Equity","SUPPLY_CHAIN_CUSTOMERS_ALL_DATA")</f>
        <v>#N/A N/A</v>
      </c>
    </row>
    <row r="6" spans="1:600" x14ac:dyDescent="0.25">
      <c r="AS6" t="s">
        <v>2321</v>
      </c>
      <c r="AT6">
        <v>3.9933429999999999</v>
      </c>
      <c r="AU6" t="s">
        <v>1808</v>
      </c>
      <c r="AV6">
        <v>32.342700999999998</v>
      </c>
      <c r="AW6" t="s">
        <v>1789</v>
      </c>
      <c r="AX6">
        <v>2024</v>
      </c>
      <c r="AY6" t="s">
        <v>2319</v>
      </c>
      <c r="AZ6" s="6">
        <v>45700</v>
      </c>
      <c r="BA6">
        <v>5</v>
      </c>
      <c r="BB6">
        <v>8678193.25</v>
      </c>
      <c r="BC6">
        <v>69624576</v>
      </c>
      <c r="BD6" t="s">
        <v>2322</v>
      </c>
      <c r="GM6" t="s">
        <v>2908</v>
      </c>
      <c r="GN6">
        <v>-2.4245362661989844E-14</v>
      </c>
      <c r="GP6">
        <v>-2.4245362661989844E-14</v>
      </c>
      <c r="GQ6" t="s">
        <v>1789</v>
      </c>
      <c r="GR6">
        <v>2023</v>
      </c>
      <c r="GS6" t="s">
        <v>2909</v>
      </c>
      <c r="GT6" s="6">
        <v>44991</v>
      </c>
      <c r="GU6">
        <v>2</v>
      </c>
      <c r="GV6">
        <v>-2.4245362661989844E-14</v>
      </c>
      <c r="GW6">
        <v>57471390</v>
      </c>
      <c r="GX6" t="s">
        <v>2910</v>
      </c>
      <c r="JK6" t="s">
        <v>2395</v>
      </c>
      <c r="JM6">
        <v>-2.4245362661989844E-14</v>
      </c>
      <c r="JN6">
        <v>-2.4245362661989844E-14</v>
      </c>
      <c r="JO6" t="s">
        <v>1789</v>
      </c>
      <c r="JP6">
        <v>2023</v>
      </c>
      <c r="JQ6" t="s">
        <v>2396</v>
      </c>
      <c r="JR6" s="6">
        <v>45035</v>
      </c>
      <c r="JS6">
        <v>5</v>
      </c>
      <c r="JT6">
        <v>-2.4245362661989844E-14</v>
      </c>
      <c r="JU6">
        <v>15499370</v>
      </c>
      <c r="JV6" t="s">
        <v>2397</v>
      </c>
      <c r="JY6" t="s">
        <v>2435</v>
      </c>
      <c r="JZ6">
        <v>-2.4245362661989844E-14</v>
      </c>
      <c r="KB6">
        <v>-2.4245362661989844E-14</v>
      </c>
      <c r="KC6" t="s">
        <v>1996</v>
      </c>
      <c r="KD6">
        <v>2025</v>
      </c>
      <c r="KE6" t="s">
        <v>2436</v>
      </c>
      <c r="KF6" s="6">
        <v>45868</v>
      </c>
      <c r="KG6">
        <v>5</v>
      </c>
      <c r="KH6">
        <v>-2.4245362661989844E-14</v>
      </c>
      <c r="KI6">
        <v>128411</v>
      </c>
      <c r="KJ6" t="s">
        <v>2437</v>
      </c>
      <c r="LS6" t="s">
        <v>2016</v>
      </c>
      <c r="LT6" t="s">
        <v>1777</v>
      </c>
      <c r="LU6">
        <v>1.0368839999999999</v>
      </c>
      <c r="LV6">
        <v>1.9713000000000001E-2</v>
      </c>
      <c r="LW6" t="s">
        <v>1894</v>
      </c>
      <c r="LX6">
        <v>2025</v>
      </c>
      <c r="LY6" t="s">
        <v>2017</v>
      </c>
      <c r="LZ6" s="6">
        <v>45975</v>
      </c>
      <c r="MA6">
        <v>5</v>
      </c>
      <c r="MB6">
        <v>438049.33</v>
      </c>
      <c r="MC6">
        <v>7994346</v>
      </c>
      <c r="MD6" t="s">
        <v>2018</v>
      </c>
      <c r="MG6" t="s">
        <v>1864</v>
      </c>
      <c r="MH6">
        <v>0.121521</v>
      </c>
      <c r="MI6" t="s">
        <v>1777</v>
      </c>
      <c r="MJ6">
        <v>0.11847199999999999</v>
      </c>
      <c r="MK6" t="s">
        <v>1781</v>
      </c>
      <c r="ML6">
        <v>2025</v>
      </c>
      <c r="MM6" t="s">
        <v>1865</v>
      </c>
      <c r="MN6" s="6">
        <v>45820</v>
      </c>
      <c r="MO6">
        <v>5</v>
      </c>
      <c r="MP6">
        <v>4829866</v>
      </c>
      <c r="MQ6">
        <v>12129192</v>
      </c>
      <c r="MR6" t="s">
        <v>1866</v>
      </c>
      <c r="MW6" t="s">
        <v>4165</v>
      </c>
      <c r="MY6">
        <v>-2.4245362661989844E-14</v>
      </c>
      <c r="MZ6">
        <v>-2.4245362661989844E-14</v>
      </c>
      <c r="NA6" t="s">
        <v>1789</v>
      </c>
      <c r="NB6">
        <v>2022</v>
      </c>
      <c r="NC6" t="s">
        <v>4163</v>
      </c>
      <c r="ND6" s="6">
        <v>44986</v>
      </c>
      <c r="NE6">
        <v>5</v>
      </c>
      <c r="NF6">
        <v>-2.4245362661989844E-14</v>
      </c>
      <c r="NG6">
        <v>65240551</v>
      </c>
      <c r="NH6" t="s">
        <v>4166</v>
      </c>
      <c r="OA6" t="s">
        <v>4115</v>
      </c>
      <c r="OC6">
        <v>-2.4245362661989844E-14</v>
      </c>
      <c r="OD6">
        <v>-2.4245362661989844E-14</v>
      </c>
      <c r="OE6" t="s">
        <v>1785</v>
      </c>
      <c r="OF6">
        <v>2025</v>
      </c>
      <c r="OG6" t="s">
        <v>4116</v>
      </c>
      <c r="OH6" s="6">
        <v>46063</v>
      </c>
      <c r="OI6">
        <v>5</v>
      </c>
      <c r="OJ6">
        <v>-2.4245362661989844E-14</v>
      </c>
      <c r="OK6">
        <v>33653779</v>
      </c>
      <c r="OL6" t="s">
        <v>4117</v>
      </c>
      <c r="OO6" t="s">
        <v>1801</v>
      </c>
      <c r="OP6">
        <v>9</v>
      </c>
      <c r="OQ6" t="s">
        <v>1777</v>
      </c>
      <c r="OR6">
        <v>7.9029000000000002E-2</v>
      </c>
      <c r="OS6" t="s">
        <v>1789</v>
      </c>
      <c r="OT6">
        <v>2025</v>
      </c>
      <c r="OU6" t="s">
        <v>3229</v>
      </c>
      <c r="OV6" s="6">
        <v>46078</v>
      </c>
      <c r="OW6">
        <v>5</v>
      </c>
      <c r="OX6">
        <v>105779248</v>
      </c>
      <c r="OY6">
        <v>101616</v>
      </c>
      <c r="OZ6" t="s">
        <v>1803</v>
      </c>
      <c r="QI6" t="s">
        <v>3117</v>
      </c>
      <c r="QK6">
        <v>-2.4245362661989844E-14</v>
      </c>
      <c r="QL6">
        <v>-2.4245362661989844E-14</v>
      </c>
      <c r="QM6" t="s">
        <v>1773</v>
      </c>
      <c r="QN6">
        <v>2025</v>
      </c>
      <c r="QO6" t="s">
        <v>3118</v>
      </c>
      <c r="QP6" s="6">
        <v>45973</v>
      </c>
      <c r="QQ6">
        <v>2</v>
      </c>
      <c r="QR6">
        <v>-2.4245362661989844E-14</v>
      </c>
      <c r="QS6">
        <v>7892466</v>
      </c>
      <c r="QT6" t="s">
        <v>3119</v>
      </c>
      <c r="TU6" t="s">
        <v>2007</v>
      </c>
      <c r="TW6">
        <v>-2.4245362661989844E-14</v>
      </c>
      <c r="TX6">
        <v>-2.4245362661989844E-14</v>
      </c>
      <c r="TY6" t="s">
        <v>1768</v>
      </c>
      <c r="TZ6">
        <v>2024</v>
      </c>
      <c r="UA6" t="s">
        <v>2008</v>
      </c>
      <c r="UB6" s="6">
        <v>45433</v>
      </c>
      <c r="UC6">
        <v>5</v>
      </c>
      <c r="UD6">
        <v>-2.4245362661989844E-14</v>
      </c>
      <c r="UE6">
        <v>103350</v>
      </c>
      <c r="UF6" t="s">
        <v>2009</v>
      </c>
      <c r="UI6" t="s">
        <v>2180</v>
      </c>
      <c r="UJ6">
        <v>-2.4245362661989844E-14</v>
      </c>
      <c r="UL6">
        <v>-2.4245362661989844E-14</v>
      </c>
      <c r="UM6" t="s">
        <v>1789</v>
      </c>
      <c r="UN6">
        <v>2023</v>
      </c>
      <c r="UO6" t="s">
        <v>2181</v>
      </c>
      <c r="UP6" s="6">
        <v>45071</v>
      </c>
      <c r="UQ6">
        <v>2</v>
      </c>
      <c r="UR6">
        <v>-2.4245362661989844E-14</v>
      </c>
      <c r="US6">
        <v>47825019</v>
      </c>
      <c r="UT6" t="s">
        <v>2182</v>
      </c>
    </row>
    <row r="7" spans="1:600" x14ac:dyDescent="0.25">
      <c r="AS7" t="s">
        <v>2323</v>
      </c>
      <c r="AT7">
        <v>3.7011470000000002</v>
      </c>
      <c r="AU7" t="s">
        <v>1808</v>
      </c>
      <c r="AV7">
        <v>17.158833999999999</v>
      </c>
      <c r="AW7" t="s">
        <v>1789</v>
      </c>
      <c r="AX7">
        <v>2024</v>
      </c>
      <c r="AY7" t="s">
        <v>2319</v>
      </c>
      <c r="AZ7" s="6">
        <v>45700</v>
      </c>
      <c r="BA7">
        <v>5</v>
      </c>
      <c r="BB7">
        <v>8043203.5</v>
      </c>
      <c r="BC7">
        <v>26252043</v>
      </c>
      <c r="BD7" t="s">
        <v>2324</v>
      </c>
      <c r="JK7" t="s">
        <v>2398</v>
      </c>
      <c r="JM7">
        <v>-2.4245362661989844E-14</v>
      </c>
      <c r="JN7">
        <v>-2.4245362661989844E-14</v>
      </c>
      <c r="JO7" t="s">
        <v>1789</v>
      </c>
      <c r="JP7">
        <v>2023</v>
      </c>
      <c r="JQ7" t="s">
        <v>2399</v>
      </c>
      <c r="JR7" s="6">
        <v>45410</v>
      </c>
      <c r="JS7">
        <v>5</v>
      </c>
      <c r="JT7">
        <v>-2.4245362661989844E-14</v>
      </c>
      <c r="JU7">
        <v>10142668</v>
      </c>
      <c r="JV7" t="s">
        <v>2400</v>
      </c>
      <c r="JY7" t="s">
        <v>2438</v>
      </c>
      <c r="JZ7">
        <v>-2.4245362661989844E-14</v>
      </c>
      <c r="KB7">
        <v>-2.4245362661989844E-14</v>
      </c>
      <c r="KC7" t="s">
        <v>1789</v>
      </c>
      <c r="KD7">
        <v>2024</v>
      </c>
      <c r="KE7" t="s">
        <v>2439</v>
      </c>
      <c r="KF7" s="6">
        <v>45759</v>
      </c>
      <c r="KG7">
        <v>5</v>
      </c>
      <c r="KH7">
        <v>-2.4245362661989844E-14</v>
      </c>
      <c r="KI7">
        <v>11934286</v>
      </c>
      <c r="KJ7" t="s">
        <v>2440</v>
      </c>
      <c r="LS7" t="s">
        <v>2019</v>
      </c>
      <c r="LT7" t="s">
        <v>1906</v>
      </c>
      <c r="LU7">
        <v>2.2953000000000001E-2</v>
      </c>
      <c r="LV7">
        <v>0.34573199999999998</v>
      </c>
      <c r="LW7" t="s">
        <v>1768</v>
      </c>
      <c r="LX7">
        <v>2025</v>
      </c>
      <c r="LY7" t="s">
        <v>2020</v>
      </c>
      <c r="LZ7" s="6">
        <v>45922</v>
      </c>
      <c r="MA7">
        <v>5</v>
      </c>
      <c r="MB7">
        <v>395808.42</v>
      </c>
      <c r="MC7">
        <v>186659</v>
      </c>
      <c r="MD7" t="s">
        <v>2021</v>
      </c>
      <c r="MG7" t="s">
        <v>1867</v>
      </c>
      <c r="MH7">
        <v>8.0078999999999997E-2</v>
      </c>
      <c r="MI7" t="s">
        <v>1777</v>
      </c>
      <c r="MJ7">
        <v>5.1369999999999999E-2</v>
      </c>
      <c r="MK7" t="s">
        <v>1768</v>
      </c>
      <c r="ML7">
        <v>2025</v>
      </c>
      <c r="MM7" t="s">
        <v>1868</v>
      </c>
      <c r="MN7" s="6">
        <v>45943</v>
      </c>
      <c r="MO7">
        <v>5</v>
      </c>
      <c r="MP7">
        <v>3182731</v>
      </c>
      <c r="MQ7">
        <v>101754</v>
      </c>
      <c r="MR7" t="s">
        <v>1869</v>
      </c>
      <c r="MW7" t="s">
        <v>4167</v>
      </c>
      <c r="MY7">
        <v>-2.4245362661989844E-14</v>
      </c>
      <c r="MZ7">
        <v>-2.4245362661989844E-14</v>
      </c>
      <c r="NA7" t="s">
        <v>1789</v>
      </c>
      <c r="NB7">
        <v>2022</v>
      </c>
      <c r="NC7" t="s">
        <v>4163</v>
      </c>
      <c r="ND7" s="6">
        <v>44986</v>
      </c>
      <c r="NE7">
        <v>5</v>
      </c>
      <c r="NF7">
        <v>-2.4245362661989844E-14</v>
      </c>
      <c r="NG7">
        <v>276155</v>
      </c>
      <c r="NH7" t="s">
        <v>4168</v>
      </c>
      <c r="OA7" t="s">
        <v>3100</v>
      </c>
      <c r="OC7">
        <v>-2.4245362661989844E-14</v>
      </c>
      <c r="OD7">
        <v>-2.4245362661989844E-14</v>
      </c>
      <c r="OE7" t="s">
        <v>1789</v>
      </c>
      <c r="OF7">
        <v>2023</v>
      </c>
      <c r="OG7" t="s">
        <v>4118</v>
      </c>
      <c r="OH7" s="6">
        <v>45351</v>
      </c>
      <c r="OI7">
        <v>5</v>
      </c>
      <c r="OJ7">
        <v>-2.4245362661989844E-14</v>
      </c>
      <c r="OK7">
        <v>101365</v>
      </c>
      <c r="OL7" t="s">
        <v>3101</v>
      </c>
      <c r="OO7" t="s">
        <v>1851</v>
      </c>
      <c r="OP7">
        <v>6.8586280000000004</v>
      </c>
      <c r="OQ7" t="s">
        <v>1777</v>
      </c>
      <c r="OR7">
        <v>0.13553899999999999</v>
      </c>
      <c r="OS7" t="s">
        <v>1785</v>
      </c>
      <c r="OT7">
        <v>2024</v>
      </c>
      <c r="OU7" t="s">
        <v>3230</v>
      </c>
      <c r="OV7" s="6">
        <v>45769</v>
      </c>
      <c r="OW7">
        <v>5</v>
      </c>
      <c r="OX7">
        <v>75554648</v>
      </c>
      <c r="OY7">
        <v>101758</v>
      </c>
      <c r="OZ7" t="s">
        <v>1853</v>
      </c>
      <c r="TU7" t="s">
        <v>3466</v>
      </c>
      <c r="TW7">
        <v>-2.4245362661989844E-14</v>
      </c>
      <c r="TX7">
        <v>-2.4245362661989844E-14</v>
      </c>
      <c r="TY7" t="s">
        <v>1789</v>
      </c>
      <c r="TZ7">
        <v>2021</v>
      </c>
      <c r="UA7" t="s">
        <v>3467</v>
      </c>
      <c r="UB7" s="6">
        <v>44693</v>
      </c>
      <c r="UC7">
        <v>5</v>
      </c>
      <c r="UD7">
        <v>-2.4245362661989844E-14</v>
      </c>
      <c r="UE7">
        <v>54282724</v>
      </c>
      <c r="UF7" t="s">
        <v>3468</v>
      </c>
    </row>
    <row r="8" spans="1:600" x14ac:dyDescent="0.25">
      <c r="AS8" t="s">
        <v>2325</v>
      </c>
      <c r="AT8">
        <v>3.7011470000000002</v>
      </c>
      <c r="AU8" t="s">
        <v>1808</v>
      </c>
      <c r="AV8">
        <v>2.0858319999999999</v>
      </c>
      <c r="AW8" t="s">
        <v>1789</v>
      </c>
      <c r="AX8">
        <v>2024</v>
      </c>
      <c r="AY8" t="s">
        <v>2319</v>
      </c>
      <c r="AZ8" s="6">
        <v>45700</v>
      </c>
      <c r="BA8">
        <v>5</v>
      </c>
      <c r="BB8">
        <v>8043203.5</v>
      </c>
      <c r="BC8">
        <v>50138824</v>
      </c>
      <c r="BD8" t="s">
        <v>2326</v>
      </c>
      <c r="JK8" t="s">
        <v>2401</v>
      </c>
      <c r="JM8">
        <v>-2.4245362661989844E-14</v>
      </c>
      <c r="JN8">
        <v>-2.4245362661989844E-14</v>
      </c>
      <c r="JO8" t="s">
        <v>1789</v>
      </c>
      <c r="JP8">
        <v>2024</v>
      </c>
      <c r="JQ8" t="s">
        <v>2402</v>
      </c>
      <c r="JR8" s="6">
        <v>45777</v>
      </c>
      <c r="JS8">
        <v>5</v>
      </c>
      <c r="JT8">
        <v>-2.4245362661989844E-14</v>
      </c>
      <c r="JU8">
        <v>193280</v>
      </c>
      <c r="JV8" t="s">
        <v>2403</v>
      </c>
      <c r="JY8" t="s">
        <v>2441</v>
      </c>
      <c r="JZ8">
        <v>-2.4245362661989844E-14</v>
      </c>
      <c r="KB8">
        <v>-2.4245362661989844E-14</v>
      </c>
      <c r="KC8" t="s">
        <v>1781</v>
      </c>
      <c r="KD8">
        <v>2025</v>
      </c>
      <c r="KE8" t="s">
        <v>2442</v>
      </c>
      <c r="KF8" s="6">
        <v>45816</v>
      </c>
      <c r="KG8">
        <v>5</v>
      </c>
      <c r="KH8">
        <v>-2.4245362661989844E-14</v>
      </c>
      <c r="KI8">
        <v>65188390</v>
      </c>
      <c r="KJ8" t="s">
        <v>2443</v>
      </c>
      <c r="LS8" t="s">
        <v>2022</v>
      </c>
      <c r="LT8" t="s">
        <v>1777</v>
      </c>
      <c r="LU8">
        <v>0.181979</v>
      </c>
      <c r="LV8">
        <v>8.0459999999999993E-3</v>
      </c>
      <c r="LW8" t="s">
        <v>1768</v>
      </c>
      <c r="LX8">
        <v>2026</v>
      </c>
      <c r="LY8" t="s">
        <v>2023</v>
      </c>
      <c r="LZ8" s="6">
        <v>46056</v>
      </c>
      <c r="MA8">
        <v>5</v>
      </c>
      <c r="MB8">
        <v>170799.32</v>
      </c>
      <c r="MC8">
        <v>8061855</v>
      </c>
      <c r="MD8" t="s">
        <v>2024</v>
      </c>
      <c r="MG8" t="s">
        <v>165</v>
      </c>
      <c r="MH8">
        <v>5.5352999999999999E-2</v>
      </c>
      <c r="MI8" t="s">
        <v>1777</v>
      </c>
      <c r="MJ8">
        <v>3.6423999999999998E-2</v>
      </c>
      <c r="MK8" t="s">
        <v>1781</v>
      </c>
      <c r="ML8">
        <v>2025</v>
      </c>
      <c r="MM8" t="s">
        <v>1870</v>
      </c>
      <c r="MN8" s="6">
        <v>45784</v>
      </c>
      <c r="MO8">
        <v>5</v>
      </c>
      <c r="MP8">
        <v>2200019</v>
      </c>
      <c r="MQ8">
        <v>100115</v>
      </c>
      <c r="MR8" t="s">
        <v>1871</v>
      </c>
      <c r="MW8" t="s">
        <v>4169</v>
      </c>
      <c r="MY8">
        <v>-2.4245362661989844E-14</v>
      </c>
      <c r="MZ8">
        <v>-2.4245362661989844E-14</v>
      </c>
      <c r="NA8" t="s">
        <v>1789</v>
      </c>
      <c r="NB8">
        <v>2022</v>
      </c>
      <c r="NC8" t="s">
        <v>4163</v>
      </c>
      <c r="ND8" s="6">
        <v>44986</v>
      </c>
      <c r="NE8">
        <v>5</v>
      </c>
      <c r="NF8">
        <v>-2.4245362661989844E-14</v>
      </c>
      <c r="NG8">
        <v>7722153</v>
      </c>
      <c r="NH8" t="s">
        <v>4170</v>
      </c>
      <c r="OA8" t="s">
        <v>4119</v>
      </c>
      <c r="OC8">
        <v>-2.4245362661989844E-14</v>
      </c>
      <c r="OD8">
        <v>-2.4245362661989844E-14</v>
      </c>
      <c r="OE8" t="s">
        <v>1773</v>
      </c>
      <c r="OF8">
        <v>2025</v>
      </c>
      <c r="OG8" t="s">
        <v>4120</v>
      </c>
      <c r="OH8" s="6">
        <v>45953</v>
      </c>
      <c r="OI8">
        <v>5</v>
      </c>
      <c r="OJ8">
        <v>-2.4245362661989844E-14</v>
      </c>
      <c r="OK8">
        <v>10855208</v>
      </c>
      <c r="OL8" t="s">
        <v>4121</v>
      </c>
      <c r="OO8" t="s">
        <v>2293</v>
      </c>
      <c r="OP8">
        <v>2.7345320000000002</v>
      </c>
      <c r="OQ8" t="s">
        <v>1777</v>
      </c>
      <c r="OR8">
        <v>0.132109</v>
      </c>
      <c r="OS8" t="s">
        <v>1785</v>
      </c>
      <c r="OT8">
        <v>2024</v>
      </c>
      <c r="OU8" t="s">
        <v>3230</v>
      </c>
      <c r="OV8" s="6">
        <v>45769</v>
      </c>
      <c r="OW8">
        <v>5</v>
      </c>
      <c r="OX8">
        <v>30123604</v>
      </c>
      <c r="OY8">
        <v>100436</v>
      </c>
      <c r="OZ8" t="s">
        <v>2294</v>
      </c>
      <c r="TU8" t="s">
        <v>3943</v>
      </c>
      <c r="TW8">
        <v>-2.4245362661989844E-14</v>
      </c>
      <c r="TX8">
        <v>-2.4245362661989844E-14</v>
      </c>
      <c r="TY8" t="s">
        <v>1789</v>
      </c>
      <c r="TZ8">
        <v>2021</v>
      </c>
      <c r="UA8" t="s">
        <v>3944</v>
      </c>
      <c r="UB8" s="6">
        <v>44693</v>
      </c>
      <c r="UC8">
        <v>5</v>
      </c>
      <c r="UD8">
        <v>-2.4245362661989844E-14</v>
      </c>
      <c r="UE8">
        <v>100774</v>
      </c>
      <c r="UF8" t="s">
        <v>3945</v>
      </c>
    </row>
    <row r="9" spans="1:600" x14ac:dyDescent="0.25">
      <c r="AS9" t="s">
        <v>2141</v>
      </c>
      <c r="AT9">
        <v>2.7271610000000002</v>
      </c>
      <c r="AU9" t="s">
        <v>1808</v>
      </c>
      <c r="AV9">
        <v>14.694099</v>
      </c>
      <c r="AW9" t="s">
        <v>1789</v>
      </c>
      <c r="AX9">
        <v>2024</v>
      </c>
      <c r="AY9" t="s">
        <v>2319</v>
      </c>
      <c r="AZ9" s="6">
        <v>45700</v>
      </c>
      <c r="BA9">
        <v>5</v>
      </c>
      <c r="BB9">
        <v>5926571</v>
      </c>
      <c r="BC9">
        <v>69344989</v>
      </c>
      <c r="BD9" t="s">
        <v>2143</v>
      </c>
      <c r="JK9" t="s">
        <v>2404</v>
      </c>
      <c r="JM9">
        <v>-2.4245362661989844E-14</v>
      </c>
      <c r="JN9">
        <v>-2.4245362661989844E-14</v>
      </c>
      <c r="JO9" t="s">
        <v>1773</v>
      </c>
      <c r="JP9">
        <v>2025</v>
      </c>
      <c r="JQ9" t="s">
        <v>2405</v>
      </c>
      <c r="JR9" s="6">
        <v>46015</v>
      </c>
      <c r="JS9">
        <v>5</v>
      </c>
      <c r="JT9">
        <v>-2.4245362661989844E-14</v>
      </c>
      <c r="JU9">
        <v>43560927</v>
      </c>
      <c r="JV9" t="s">
        <v>2406</v>
      </c>
      <c r="JY9" t="s">
        <v>2444</v>
      </c>
      <c r="JZ9">
        <v>-2.4245362661989844E-14</v>
      </c>
      <c r="KB9">
        <v>-2.4245362661989844E-14</v>
      </c>
      <c r="KC9" t="s">
        <v>1768</v>
      </c>
      <c r="KD9">
        <v>2025</v>
      </c>
      <c r="KE9" t="s">
        <v>2445</v>
      </c>
      <c r="KF9" s="6">
        <v>45874</v>
      </c>
      <c r="KG9">
        <v>5</v>
      </c>
      <c r="KH9">
        <v>-2.4245362661989844E-14</v>
      </c>
      <c r="KI9">
        <v>66391008</v>
      </c>
      <c r="KJ9" t="s">
        <v>2446</v>
      </c>
      <c r="LS9" t="s">
        <v>2025</v>
      </c>
      <c r="LT9" t="s">
        <v>1777</v>
      </c>
      <c r="LU9">
        <v>0.146649</v>
      </c>
      <c r="LV9">
        <v>6.999E-3</v>
      </c>
      <c r="LW9" t="s">
        <v>1781</v>
      </c>
      <c r="LX9">
        <v>2025</v>
      </c>
      <c r="LY9" t="s">
        <v>2026</v>
      </c>
      <c r="LZ9" s="6">
        <v>45814</v>
      </c>
      <c r="MA9">
        <v>5</v>
      </c>
      <c r="MB9">
        <v>154990</v>
      </c>
      <c r="MC9">
        <v>136312</v>
      </c>
      <c r="MD9" t="s">
        <v>2027</v>
      </c>
      <c r="MG9" t="s">
        <v>1872</v>
      </c>
      <c r="MH9">
        <v>4.3901000000000003E-2</v>
      </c>
      <c r="MI9" t="s">
        <v>1777</v>
      </c>
      <c r="MJ9">
        <v>1.1003000000000001E-2</v>
      </c>
      <c r="MK9" t="s">
        <v>1768</v>
      </c>
      <c r="ML9">
        <v>2026</v>
      </c>
      <c r="MM9" t="s">
        <v>1873</v>
      </c>
      <c r="MN9" s="6">
        <v>45940</v>
      </c>
      <c r="MO9">
        <v>5</v>
      </c>
      <c r="MP9">
        <v>1744856</v>
      </c>
      <c r="MQ9">
        <v>100916</v>
      </c>
      <c r="MR9" t="s">
        <v>1874</v>
      </c>
      <c r="MW9" t="s">
        <v>4171</v>
      </c>
      <c r="MY9">
        <v>-2.4245362661989844E-14</v>
      </c>
      <c r="MZ9">
        <v>-2.4245362661989844E-14</v>
      </c>
      <c r="NA9" t="s">
        <v>1789</v>
      </c>
      <c r="NB9">
        <v>2022</v>
      </c>
      <c r="NC9" t="s">
        <v>4163</v>
      </c>
      <c r="ND9" s="6">
        <v>44986</v>
      </c>
      <c r="NE9">
        <v>5</v>
      </c>
      <c r="NF9">
        <v>-2.4245362661989844E-14</v>
      </c>
      <c r="NG9">
        <v>191179</v>
      </c>
      <c r="NH9" t="s">
        <v>4172</v>
      </c>
      <c r="OA9" t="s">
        <v>4122</v>
      </c>
      <c r="OC9">
        <v>-2.4245362661989844E-14</v>
      </c>
      <c r="OD9">
        <v>-2.4245362661989844E-14</v>
      </c>
      <c r="OE9" t="s">
        <v>1789</v>
      </c>
      <c r="OF9">
        <v>2025</v>
      </c>
      <c r="OG9" t="s">
        <v>4123</v>
      </c>
      <c r="OH9" s="6">
        <v>45833</v>
      </c>
      <c r="OI9">
        <v>5</v>
      </c>
      <c r="OJ9">
        <v>-2.4245362661989844E-14</v>
      </c>
      <c r="OK9">
        <v>223452</v>
      </c>
      <c r="OL9" t="s">
        <v>4124</v>
      </c>
      <c r="OO9" t="s">
        <v>1780</v>
      </c>
      <c r="OP9">
        <v>2.5512760000000001</v>
      </c>
      <c r="OQ9" t="s">
        <v>1777</v>
      </c>
      <c r="OR9">
        <v>0.13553899999999999</v>
      </c>
      <c r="OS9" t="s">
        <v>1785</v>
      </c>
      <c r="OT9">
        <v>2024</v>
      </c>
      <c r="OU9" t="s">
        <v>3230</v>
      </c>
      <c r="OV9" s="6">
        <v>45769</v>
      </c>
      <c r="OW9">
        <v>5</v>
      </c>
      <c r="OX9">
        <v>28104856</v>
      </c>
      <c r="OY9">
        <v>112370</v>
      </c>
      <c r="OZ9" t="s">
        <v>1783</v>
      </c>
      <c r="TU9" t="s">
        <v>3946</v>
      </c>
      <c r="TW9">
        <v>-2.4245362661989844E-14</v>
      </c>
      <c r="TX9">
        <v>-2.4245362661989844E-14</v>
      </c>
      <c r="TY9" t="s">
        <v>1789</v>
      </c>
      <c r="TZ9">
        <v>2023</v>
      </c>
      <c r="UA9" t="s">
        <v>3947</v>
      </c>
      <c r="UB9" s="6">
        <v>45120</v>
      </c>
      <c r="UC9">
        <v>5</v>
      </c>
      <c r="UD9">
        <v>-2.4245362661989844E-14</v>
      </c>
      <c r="UE9">
        <v>102081</v>
      </c>
      <c r="UF9" t="s">
        <v>3948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1296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1297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1298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1299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1300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1301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1302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1303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1304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1305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1306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1307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1308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1309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1310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1311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1312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1313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1314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1315</v>
      </c>
      <c r="AE2" s="3" t="s">
        <v>1316</v>
      </c>
      <c r="BI2" s="3" t="s">
        <v>80</v>
      </c>
      <c r="CM2" s="3" t="s">
        <v>422</v>
      </c>
      <c r="DQ2" s="3" t="s">
        <v>1317</v>
      </c>
      <c r="EU2" s="3" t="s">
        <v>1318</v>
      </c>
      <c r="FY2" s="3" t="s">
        <v>1319</v>
      </c>
      <c r="HC2" s="3" t="s">
        <v>1320</v>
      </c>
      <c r="IG2" s="3" t="s">
        <v>1025</v>
      </c>
      <c r="JK2" s="3" t="s">
        <v>861</v>
      </c>
      <c r="KO2" s="3" t="s">
        <v>1321</v>
      </c>
      <c r="LS2" s="3" t="s">
        <v>1322</v>
      </c>
      <c r="MW2" s="3" t="s">
        <v>1323</v>
      </c>
      <c r="OA2" s="3" t="s">
        <v>78</v>
      </c>
      <c r="PE2" s="3" t="s">
        <v>286</v>
      </c>
      <c r="QI2" s="3" t="s">
        <v>1324</v>
      </c>
      <c r="RM2" s="3" t="s">
        <v>1325</v>
      </c>
      <c r="SQ2" s="3" t="s">
        <v>386</v>
      </c>
      <c r="TU2" s="3" t="s">
        <v>1326</v>
      </c>
      <c r="UY2" s="3" t="s">
        <v>1327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_xll.BDS("VHI US Equity","SUPPLY_CHAIN_SUPPLIERS_ALL_DATA","cols=12;rows=5")</f>
        <v>RIO LN Equity</v>
      </c>
      <c r="B5" t="s">
        <v>1777</v>
      </c>
      <c r="C5">
        <v>8.2559999999999995E-3</v>
      </c>
      <c r="D5">
        <v>0.26616200000000001</v>
      </c>
      <c r="E5" t="s">
        <v>1768</v>
      </c>
      <c r="F5">
        <v>2025</v>
      </c>
      <c r="G5" t="s">
        <v>3818</v>
      </c>
      <c r="H5" s="6">
        <v>45870</v>
      </c>
      <c r="I5">
        <v>5</v>
      </c>
      <c r="J5">
        <v>1107501</v>
      </c>
      <c r="K5">
        <v>101286</v>
      </c>
      <c r="L5" t="s">
        <v>3819</v>
      </c>
      <c r="O5" t="str">
        <f>_xll.BDS("VHI US Equity","SUPPLY_CHAIN_CUSTOMERS_ALL_DATA","cols=12;rows=5")</f>
        <v>3352Z US Equity</v>
      </c>
      <c r="P5">
        <v>1.455673</v>
      </c>
      <c r="R5">
        <v>-2.4245362661989844E-14</v>
      </c>
      <c r="S5" t="s">
        <v>1789</v>
      </c>
      <c r="T5">
        <v>2024</v>
      </c>
      <c r="U5" t="s">
        <v>3376</v>
      </c>
      <c r="V5" s="6">
        <v>45722</v>
      </c>
      <c r="W5">
        <v>5</v>
      </c>
      <c r="X5">
        <v>7659750</v>
      </c>
      <c r="Y5">
        <v>218252</v>
      </c>
      <c r="Z5" t="s">
        <v>1798</v>
      </c>
      <c r="AE5" t="str">
        <f>_xll.BDS("XXIA US Equity","SUPPLY_CHAIN_SUPPLIERS_ALL_DATA")</f>
        <v>#N/A N/A</v>
      </c>
      <c r="AS5" t="str">
        <f>_xll.BDS("XXIA US Equity","SUPPLY_CHAIN_CUSTOMERS_ALL_DATA")</f>
        <v>#N/A N/A</v>
      </c>
      <c r="BI5" t="str">
        <f>_xll.BDS("RNST US Equity","SUPPLY_CHAIN_SUPPLIERS_ALL_DATA")</f>
        <v>#N/A N/A</v>
      </c>
      <c r="BW5" t="str">
        <f>_xll.BDS("RNST US Equity","SUPPLY_CHAIN_CUSTOMERS_ALL_DATA")</f>
        <v>#N/A N/A</v>
      </c>
      <c r="CM5" t="str">
        <f>_xll.BDS("3075558Q US Equity","SUPPLY_CHAIN_SUPPLIERS_ALL_DATA")</f>
        <v>#N/A N/A</v>
      </c>
      <c r="DA5" t="str">
        <f>_xll.BDS("3075558Q US Equity","SUPPLY_CHAIN_CUSTOMERS_ALL_DATA")</f>
        <v>#N/A N/A</v>
      </c>
      <c r="DQ5" t="str">
        <f>_xll.BDS("FINB US Equity","SUPPLY_CHAIN_SUPPLIERS_ALL_DATA")</f>
        <v>#N/A N/A</v>
      </c>
      <c r="EE5" t="str">
        <f>_xll.BDS("FINB US Equity","SUPPLY_CHAIN_CUSTOMERS_ALL_DATA")</f>
        <v>#N/A N/A</v>
      </c>
      <c r="EU5" t="str">
        <f>_xll.BDS("0848680D US Equity","SUPPLY_CHAIN_SUPPLIERS_ALL_DATA")</f>
        <v>#N/A N/A</v>
      </c>
      <c r="FI5" t="str">
        <f>_xll.BDS("0848680D US Equity","SUPPLY_CHAIN_CUSTOMERS_ALL_DATA")</f>
        <v>#N/A N/A</v>
      </c>
      <c r="FY5" t="str">
        <f>_xll.BDS("9990201D US Equity","SUPPLY_CHAIN_SUPPLIERS_ALL_DATA")</f>
        <v>#N/A N/A</v>
      </c>
      <c r="GM5" t="str">
        <f>_xll.BDS("9990201D US Equity","SUPPLY_CHAIN_CUSTOMERS_ALL_DATA")</f>
        <v>#N/A N/A</v>
      </c>
      <c r="HC5" t="str">
        <f>_xll.BDS("CBAN US Equity","SUPPLY_CHAIN_SUPPLIERS_ALL_DATA")</f>
        <v>#N/A N/A</v>
      </c>
      <c r="HQ5" t="str">
        <f>_xll.BDS("CBAN US Equity","SUPPLY_CHAIN_CUSTOMERS_ALL_DATA")</f>
        <v>#N/A N/A</v>
      </c>
      <c r="IG5" t="str">
        <f>_xll.BDS("CLGX US Equity","SUPPLY_CHAIN_SUPPLIERS_ALL_DATA","cols=12;rows=1")</f>
        <v>5331Z US Equity</v>
      </c>
      <c r="II5">
        <v>-2.4245362661989844E-14</v>
      </c>
      <c r="IJ5">
        <v>-2.4245362661989844E-14</v>
      </c>
      <c r="IK5" t="s">
        <v>1789</v>
      </c>
      <c r="IL5">
        <v>2024</v>
      </c>
      <c r="IM5" t="s">
        <v>2418</v>
      </c>
      <c r="IN5" s="6">
        <v>45404</v>
      </c>
      <c r="IO5">
        <v>1</v>
      </c>
      <c r="IP5">
        <v>-2.4245362661989844E-14</v>
      </c>
      <c r="IQ5">
        <v>191969</v>
      </c>
      <c r="IR5" t="s">
        <v>2419</v>
      </c>
      <c r="IU5" t="str">
        <f>_xll.BDS("CLGX US Equity","SUPPLY_CHAIN_CUSTOMERS_ALL_DATA")</f>
        <v>#N/A N/A</v>
      </c>
      <c r="JK5" t="str">
        <f>_xll.BDS("601238Q US Equity","SUPPLY_CHAIN_SUPPLIERS_ALL_DATA")</f>
        <v>#N/A N/A</v>
      </c>
      <c r="JY5" t="str">
        <f>_xll.BDS("601238Q US Equity","SUPPLY_CHAIN_CUSTOMERS_ALL_DATA")</f>
        <v>#N/A N/A</v>
      </c>
      <c r="KO5" t="str">
        <f>_xll.BDS("REXR US Equity","SUPPLY_CHAIN_SUPPLIERS_ALL_DATA")</f>
        <v>#N/A N/A</v>
      </c>
      <c r="LC5" t="str">
        <f>_xll.BDS("REXR US Equity","SUPPLY_CHAIN_CUSTOMERS_ALL_DATA","cols=12;rows=5")</f>
        <v>0127334D US Equity</v>
      </c>
      <c r="LD5">
        <v>1.9624550000000001</v>
      </c>
      <c r="LF5">
        <v>-2.4245362661989844E-14</v>
      </c>
      <c r="LG5" t="s">
        <v>1789</v>
      </c>
      <c r="LH5">
        <v>2025</v>
      </c>
      <c r="LI5" t="s">
        <v>3181</v>
      </c>
      <c r="LJ5" s="6">
        <v>46064</v>
      </c>
      <c r="LK5">
        <v>5</v>
      </c>
      <c r="LL5">
        <v>4812750</v>
      </c>
      <c r="LM5">
        <v>17088541</v>
      </c>
      <c r="LN5" t="s">
        <v>3182</v>
      </c>
      <c r="LS5" t="str">
        <f>_xll.BDS("LFT US Equity","SUPPLY_CHAIN_SUPPLIERS_ALL_DATA")</f>
        <v>#N/A N/A</v>
      </c>
      <c r="MG5" t="str">
        <f>_xll.BDS("LFT US Equity","SUPPLY_CHAIN_CUSTOMERS_ALL_DATA")</f>
        <v>#N/A N/A</v>
      </c>
      <c r="MW5" t="str">
        <f>_xll.BDS("FLG US Equity","SUPPLY_CHAIN_SUPPLIERS_ALL_DATA","cols=12;rows=5")</f>
        <v>CXM US Equity</v>
      </c>
      <c r="MY5">
        <v>-2.4245362661989844E-14</v>
      </c>
      <c r="MZ5">
        <v>-2.4245362661989844E-14</v>
      </c>
      <c r="NA5" t="s">
        <v>1768</v>
      </c>
      <c r="NB5">
        <v>2026</v>
      </c>
      <c r="NC5" t="s">
        <v>2817</v>
      </c>
      <c r="ND5" s="6">
        <v>45902</v>
      </c>
      <c r="NE5">
        <v>5</v>
      </c>
      <c r="NF5">
        <v>-2.4245362661989844E-14</v>
      </c>
      <c r="NG5">
        <v>34392121</v>
      </c>
      <c r="NH5" t="s">
        <v>2818</v>
      </c>
      <c r="NK5" t="str">
        <f>_xll.BDS("FLG US Equity","SUPPLY_CHAIN_CUSTOMERS_ALL_DATA")</f>
        <v>#N/A N/A</v>
      </c>
      <c r="OA5" t="str">
        <f>_xll.BDS("SCFS US Equity","SUPPLY_CHAIN_SUPPLIERS_ALL_DATA")</f>
        <v>#N/A N/A</v>
      </c>
      <c r="OO5" t="str">
        <f>_xll.BDS("SCFS US Equity","SUPPLY_CHAIN_CUSTOMERS_ALL_DATA")</f>
        <v>#N/A N/A</v>
      </c>
      <c r="PE5" t="str">
        <f>_xll.BDS("ADP US Equity","SUPPLY_CHAIN_SUPPLIERS_ALL_DATA","cols=12;rows=5")</f>
        <v>CUZ US Equity</v>
      </c>
      <c r="PF5" t="s">
        <v>1808</v>
      </c>
      <c r="PG5">
        <v>0.81494</v>
      </c>
      <c r="PH5">
        <v>0.19314200000000001</v>
      </c>
      <c r="PI5" t="s">
        <v>1789</v>
      </c>
      <c r="PJ5">
        <v>2025</v>
      </c>
      <c r="PK5" t="s">
        <v>2421</v>
      </c>
      <c r="PL5" s="6">
        <v>46058</v>
      </c>
      <c r="PM5">
        <v>5</v>
      </c>
      <c r="PN5">
        <v>2024751</v>
      </c>
      <c r="PO5">
        <v>106045</v>
      </c>
      <c r="PP5" t="s">
        <v>2422</v>
      </c>
      <c r="PS5" t="str">
        <f>_xll.BDS("ADP US Equity","SUPPLY_CHAIN_CUSTOMERS_ALL_DATA","cols=12;rows=2")</f>
        <v>SGE LN Equity</v>
      </c>
      <c r="PT5">
        <v>-2.4245362661989844E-14</v>
      </c>
      <c r="PV5">
        <v>-2.4245362661989844E-14</v>
      </c>
      <c r="PW5" t="s">
        <v>1789</v>
      </c>
      <c r="PX5">
        <v>2022</v>
      </c>
      <c r="PY5" t="s">
        <v>2173</v>
      </c>
      <c r="PZ5" s="6">
        <v>44722</v>
      </c>
      <c r="QA5">
        <v>2</v>
      </c>
      <c r="QB5">
        <v>-2.4245362661989844E-14</v>
      </c>
      <c r="QC5">
        <v>112380</v>
      </c>
      <c r="QD5" t="s">
        <v>2174</v>
      </c>
      <c r="QI5" t="str">
        <f>_xll.BDS("FTBK US Equity","SUPPLY_CHAIN_SUPPLIERS_ALL_DATA")</f>
        <v>#N/A N/A</v>
      </c>
      <c r="QW5" t="str">
        <f>_xll.BDS("FTBK US Equity","SUPPLY_CHAIN_CUSTOMERS_ALL_DATA")</f>
        <v>#N/A N/A</v>
      </c>
      <c r="RM5" t="str">
        <f>_xll.BDS("PCP US Equity","SUPPLY_CHAIN_SUPPLIERS_ALL_DATA","cols=12;rows=1")</f>
        <v>FE US Equity</v>
      </c>
      <c r="RO5">
        <v>-2.4245362661989844E-14</v>
      </c>
      <c r="RP5">
        <v>-2.4245362661989844E-14</v>
      </c>
      <c r="RQ5" t="s">
        <v>1789</v>
      </c>
      <c r="RR5">
        <v>2021</v>
      </c>
      <c r="RS5" t="s">
        <v>1927</v>
      </c>
      <c r="RT5" s="6">
        <v>44693</v>
      </c>
      <c r="RU5">
        <v>1</v>
      </c>
      <c r="RV5">
        <v>-2.4245362661989844E-14</v>
      </c>
      <c r="RW5">
        <v>302916</v>
      </c>
      <c r="RX5" t="s">
        <v>1928</v>
      </c>
      <c r="SA5" t="str">
        <f>_xll.BDS("PCP US Equity","SUPPLY_CHAIN_CUSTOMERS_ALL_DATA")</f>
        <v>#N/A N/A</v>
      </c>
      <c r="SQ5" t="str">
        <f>_xll.BDS("DZSIQ US Equity","SUPPLY_CHAIN_SUPPLIERS_ALL_DATA","cols=12;rows=5")</f>
        <v>039560 KS Equity</v>
      </c>
      <c r="SR5" t="s">
        <v>1777</v>
      </c>
      <c r="SS5">
        <v>0.84370599999999996</v>
      </c>
      <c r="ST5">
        <v>2.8077869999999998</v>
      </c>
      <c r="SU5" t="s">
        <v>1894</v>
      </c>
      <c r="SV5">
        <v>2025</v>
      </c>
      <c r="SW5" t="s">
        <v>4378</v>
      </c>
      <c r="SX5" s="6">
        <v>45975</v>
      </c>
      <c r="SY5">
        <v>5</v>
      </c>
      <c r="SZ5">
        <v>767499.84</v>
      </c>
      <c r="TA5">
        <v>1456359</v>
      </c>
      <c r="TB5" t="s">
        <v>3194</v>
      </c>
      <c r="TE5" t="str">
        <f>_xll.BDS("DZSIQ US Equity","SUPPLY_CHAIN_CUSTOMERS_ALL_DATA","cols=12;rows=5")</f>
        <v>039560 KS Equity</v>
      </c>
      <c r="TF5">
        <v>0.80566400000000005</v>
      </c>
      <c r="TG5" t="s">
        <v>1777</v>
      </c>
      <c r="TH5">
        <v>0.60804100000000005</v>
      </c>
      <c r="TI5" t="s">
        <v>1789</v>
      </c>
      <c r="TJ5">
        <v>2024</v>
      </c>
      <c r="TK5" t="s">
        <v>3193</v>
      </c>
      <c r="TL5" s="6">
        <v>45737</v>
      </c>
      <c r="TM5">
        <v>5</v>
      </c>
      <c r="TN5">
        <v>279685.98</v>
      </c>
      <c r="TO5">
        <v>1456359</v>
      </c>
      <c r="TP5" t="s">
        <v>3194</v>
      </c>
      <c r="TU5" t="str">
        <f>_xll.BDS("0272214Q US Equity","SUPPLY_CHAIN_SUPPLIERS_ALL_DATA")</f>
        <v>#N/A N/A</v>
      </c>
      <c r="UI5" t="str">
        <f>_xll.BDS("0272214Q US Equity","SUPPLY_CHAIN_CUSTOMERS_ALL_DATA")</f>
        <v>#N/A N/A</v>
      </c>
      <c r="UY5" t="str">
        <f>_xll.BDS("MDEA US Equity","SUPPLY_CHAIN_SUPPLIERS_ALL_DATA","cols=12;rows=1")</f>
        <v>QCOM US Equity</v>
      </c>
      <c r="VA5">
        <v>-2.4245362661989844E-14</v>
      </c>
      <c r="VB5">
        <v>-2.4245362661989844E-14</v>
      </c>
      <c r="VC5" t="s">
        <v>1789</v>
      </c>
      <c r="VD5">
        <v>2024</v>
      </c>
      <c r="VE5" t="s">
        <v>3014</v>
      </c>
      <c r="VF5" s="6">
        <v>45603</v>
      </c>
      <c r="VG5">
        <v>1</v>
      </c>
      <c r="VH5">
        <v>-2.4245362661989844E-14</v>
      </c>
      <c r="VI5">
        <v>106370</v>
      </c>
      <c r="VJ5" t="s">
        <v>3015</v>
      </c>
      <c r="VM5" t="str">
        <f>_xll.BDS("MDEA US Equity","SUPPLY_CHAIN_CUSTOMERS_ALL_DATA")</f>
        <v>#N/A N/A</v>
      </c>
    </row>
    <row r="6" spans="1:600" x14ac:dyDescent="0.25">
      <c r="A6" t="s">
        <v>3820</v>
      </c>
      <c r="B6" t="s">
        <v>1777</v>
      </c>
      <c r="C6">
        <v>0.122379</v>
      </c>
      <c r="D6">
        <v>0.217223</v>
      </c>
      <c r="E6" t="s">
        <v>1768</v>
      </c>
      <c r="F6">
        <v>2025</v>
      </c>
      <c r="G6" t="s">
        <v>3821</v>
      </c>
      <c r="H6" s="6">
        <v>45869</v>
      </c>
      <c r="I6">
        <v>5</v>
      </c>
      <c r="J6">
        <v>973619.16</v>
      </c>
      <c r="K6">
        <v>153771</v>
      </c>
      <c r="L6" t="s">
        <v>3822</v>
      </c>
      <c r="O6" t="s">
        <v>538</v>
      </c>
      <c r="P6">
        <v>0.78458799999999995</v>
      </c>
      <c r="Q6" t="s">
        <v>1777</v>
      </c>
      <c r="R6">
        <v>5.9289000000000001E-2</v>
      </c>
      <c r="S6" t="s">
        <v>1789</v>
      </c>
      <c r="T6">
        <v>2024</v>
      </c>
      <c r="U6" t="s">
        <v>3376</v>
      </c>
      <c r="V6" s="6">
        <v>45722</v>
      </c>
      <c r="W6">
        <v>5</v>
      </c>
      <c r="X6">
        <v>4128500</v>
      </c>
      <c r="Y6">
        <v>100887</v>
      </c>
      <c r="Z6" t="s">
        <v>3377</v>
      </c>
      <c r="LC6" t="s">
        <v>1931</v>
      </c>
      <c r="LD6">
        <v>1.350201</v>
      </c>
      <c r="LE6" t="s">
        <v>1808</v>
      </c>
      <c r="LF6">
        <v>0.386152</v>
      </c>
      <c r="LG6" t="s">
        <v>1789</v>
      </c>
      <c r="LH6">
        <v>2025</v>
      </c>
      <c r="LI6" t="s">
        <v>3181</v>
      </c>
      <c r="LJ6" s="6">
        <v>46064</v>
      </c>
      <c r="LK6">
        <v>5</v>
      </c>
      <c r="LL6">
        <v>3311249.75</v>
      </c>
      <c r="LM6">
        <v>100710</v>
      </c>
      <c r="LN6" t="s">
        <v>1932</v>
      </c>
      <c r="MW6" t="s">
        <v>2819</v>
      </c>
      <c r="MY6">
        <v>-2.4245362661989844E-14</v>
      </c>
      <c r="MZ6">
        <v>-2.4245362661989844E-14</v>
      </c>
      <c r="NA6" t="s">
        <v>1789</v>
      </c>
      <c r="NB6">
        <v>2023</v>
      </c>
      <c r="NC6" t="s">
        <v>2820</v>
      </c>
      <c r="ND6" s="6">
        <v>45350</v>
      </c>
      <c r="NE6">
        <v>5</v>
      </c>
      <c r="NF6">
        <v>-2.4245362661989844E-14</v>
      </c>
      <c r="NG6">
        <v>33628170</v>
      </c>
      <c r="NH6" t="s">
        <v>2821</v>
      </c>
      <c r="PE6" t="s">
        <v>3061</v>
      </c>
      <c r="PF6" t="s">
        <v>1808</v>
      </c>
      <c r="PG6">
        <v>1.6</v>
      </c>
      <c r="PH6">
        <v>0.166076</v>
      </c>
      <c r="PI6" t="s">
        <v>1768</v>
      </c>
      <c r="PJ6">
        <v>2025</v>
      </c>
      <c r="PK6" t="s">
        <v>3062</v>
      </c>
      <c r="PL6" s="6">
        <v>45868</v>
      </c>
      <c r="PM6">
        <v>5</v>
      </c>
      <c r="PN6">
        <v>1831984</v>
      </c>
      <c r="PO6">
        <v>15671511</v>
      </c>
      <c r="PP6" t="s">
        <v>3063</v>
      </c>
      <c r="PS6" t="s">
        <v>2175</v>
      </c>
      <c r="PT6">
        <v>-2.4245362661989844E-14</v>
      </c>
      <c r="PV6">
        <v>-2.4245362661989844E-14</v>
      </c>
      <c r="PW6" t="s">
        <v>1789</v>
      </c>
      <c r="PX6">
        <v>2025</v>
      </c>
      <c r="PY6" t="s">
        <v>2176</v>
      </c>
      <c r="PZ6" s="6">
        <v>45727</v>
      </c>
      <c r="QA6">
        <v>2</v>
      </c>
      <c r="QB6">
        <v>-2.4245362661989844E-14</v>
      </c>
      <c r="QC6">
        <v>14184925</v>
      </c>
      <c r="QD6" t="s">
        <v>2177</v>
      </c>
      <c r="SQ6" t="s">
        <v>4379</v>
      </c>
      <c r="SS6">
        <v>-2.4245362661989844E-14</v>
      </c>
      <c r="ST6">
        <v>-2.4245362661989844E-14</v>
      </c>
      <c r="SU6" t="s">
        <v>1789</v>
      </c>
      <c r="SV6">
        <v>2024</v>
      </c>
      <c r="SW6" t="s">
        <v>4380</v>
      </c>
      <c r="SX6" s="6">
        <v>45737</v>
      </c>
      <c r="SY6">
        <v>5</v>
      </c>
      <c r="SZ6">
        <v>-2.4245362661989844E-14</v>
      </c>
      <c r="TA6">
        <v>24700329</v>
      </c>
      <c r="TB6" t="s">
        <v>4381</v>
      </c>
      <c r="TE6" t="s">
        <v>2971</v>
      </c>
      <c r="TF6">
        <v>1.093E-2</v>
      </c>
      <c r="TG6" t="s">
        <v>1777</v>
      </c>
      <c r="TH6">
        <v>7.3099999999999999E-4</v>
      </c>
      <c r="TI6" t="s">
        <v>1773</v>
      </c>
      <c r="TJ6">
        <v>2025</v>
      </c>
      <c r="TK6" t="s">
        <v>2972</v>
      </c>
      <c r="TL6" s="6">
        <v>46034</v>
      </c>
      <c r="TM6">
        <v>5</v>
      </c>
      <c r="TN6">
        <v>4170</v>
      </c>
      <c r="TO6">
        <v>313021</v>
      </c>
      <c r="TP6" t="s">
        <v>2973</v>
      </c>
    </row>
    <row r="7" spans="1:600" x14ac:dyDescent="0.25">
      <c r="A7" t="s">
        <v>3823</v>
      </c>
      <c r="C7">
        <v>-2.4245362661989844E-14</v>
      </c>
      <c r="D7">
        <v>-2.4245362661989844E-14</v>
      </c>
      <c r="E7" t="s">
        <v>1789</v>
      </c>
      <c r="F7">
        <v>2021</v>
      </c>
      <c r="G7" t="s">
        <v>3824</v>
      </c>
      <c r="H7" s="6">
        <v>44631</v>
      </c>
      <c r="I7">
        <v>5</v>
      </c>
      <c r="J7">
        <v>-2.4245362661989844E-14</v>
      </c>
      <c r="K7">
        <v>37750188</v>
      </c>
      <c r="L7" t="s">
        <v>3825</v>
      </c>
      <c r="O7" t="s">
        <v>3378</v>
      </c>
      <c r="P7">
        <v>0.54579999999999995</v>
      </c>
      <c r="Q7" t="s">
        <v>1777</v>
      </c>
      <c r="R7">
        <v>5.3440000000000001E-2</v>
      </c>
      <c r="S7" t="s">
        <v>1789</v>
      </c>
      <c r="T7">
        <v>2024</v>
      </c>
      <c r="U7" t="s">
        <v>3376</v>
      </c>
      <c r="V7" s="6">
        <v>45722</v>
      </c>
      <c r="W7">
        <v>5</v>
      </c>
      <c r="X7">
        <v>2871999.5</v>
      </c>
      <c r="Y7">
        <v>114677</v>
      </c>
      <c r="Z7" t="s">
        <v>3379</v>
      </c>
      <c r="LC7" t="s">
        <v>3183</v>
      </c>
      <c r="LD7">
        <v>1.2140089999999999</v>
      </c>
      <c r="LF7">
        <v>-2.4245362661989844E-14</v>
      </c>
      <c r="LG7" t="s">
        <v>1789</v>
      </c>
      <c r="LH7">
        <v>2025</v>
      </c>
      <c r="LI7" t="s">
        <v>3181</v>
      </c>
      <c r="LJ7" s="6">
        <v>46064</v>
      </c>
      <c r="LK7">
        <v>5</v>
      </c>
      <c r="LL7">
        <v>2977250</v>
      </c>
      <c r="LM7">
        <v>52120559</v>
      </c>
      <c r="LN7" t="s">
        <v>3184</v>
      </c>
      <c r="MW7" t="s">
        <v>2822</v>
      </c>
      <c r="MY7">
        <v>-2.4245362661989844E-14</v>
      </c>
      <c r="MZ7">
        <v>-2.4245362661989844E-14</v>
      </c>
      <c r="NA7" t="s">
        <v>1789</v>
      </c>
      <c r="NB7">
        <v>2024</v>
      </c>
      <c r="NC7" t="s">
        <v>2823</v>
      </c>
      <c r="ND7" s="6">
        <v>45716</v>
      </c>
      <c r="NE7">
        <v>5</v>
      </c>
      <c r="NF7">
        <v>-2.4245362661989844E-14</v>
      </c>
      <c r="NG7">
        <v>29175351</v>
      </c>
      <c r="NH7" t="s">
        <v>2824</v>
      </c>
      <c r="PE7" t="s">
        <v>4452</v>
      </c>
      <c r="PF7" t="s">
        <v>1808</v>
      </c>
      <c r="PG7">
        <v>2</v>
      </c>
      <c r="PH7">
        <v>7.1676000000000004E-2</v>
      </c>
      <c r="PI7" t="s">
        <v>1768</v>
      </c>
      <c r="PJ7">
        <v>2025</v>
      </c>
      <c r="PK7" t="s">
        <v>4453</v>
      </c>
      <c r="PL7" s="6">
        <v>45875</v>
      </c>
      <c r="PM7">
        <v>5</v>
      </c>
      <c r="PN7">
        <v>790660</v>
      </c>
      <c r="PO7">
        <v>8159946</v>
      </c>
      <c r="PP7" t="s">
        <v>4454</v>
      </c>
      <c r="SQ7" t="s">
        <v>4382</v>
      </c>
      <c r="SS7">
        <v>-2.4245362661989844E-14</v>
      </c>
      <c r="ST7">
        <v>-2.4245362661989844E-14</v>
      </c>
      <c r="SU7" t="s">
        <v>1996</v>
      </c>
      <c r="SV7">
        <v>2025</v>
      </c>
      <c r="SW7" t="s">
        <v>4383</v>
      </c>
      <c r="SX7" s="6">
        <v>45882</v>
      </c>
      <c r="SY7">
        <v>5</v>
      </c>
      <c r="SZ7">
        <v>-2.4245362661989844E-14</v>
      </c>
      <c r="TA7">
        <v>44830823</v>
      </c>
      <c r="TB7" t="s">
        <v>4384</v>
      </c>
      <c r="TE7" t="s">
        <v>3195</v>
      </c>
      <c r="TF7">
        <v>-2.4245362661989844E-14</v>
      </c>
      <c r="TH7">
        <v>-2.4245362661989844E-14</v>
      </c>
      <c r="TI7" t="s">
        <v>1789</v>
      </c>
      <c r="TJ7">
        <v>2024</v>
      </c>
      <c r="TK7" t="s">
        <v>3196</v>
      </c>
      <c r="TL7" s="6">
        <v>45376</v>
      </c>
      <c r="TM7">
        <v>5</v>
      </c>
      <c r="TN7">
        <v>-2.4245362661989844E-14</v>
      </c>
      <c r="TO7">
        <v>20056696</v>
      </c>
      <c r="TP7" t="s">
        <v>3197</v>
      </c>
    </row>
    <row r="8" spans="1:600" x14ac:dyDescent="0.25">
      <c r="A8" t="s">
        <v>3826</v>
      </c>
      <c r="C8">
        <v>-2.4245362661989844E-14</v>
      </c>
      <c r="D8">
        <v>-2.4245362661989844E-14</v>
      </c>
      <c r="E8" t="s">
        <v>1789</v>
      </c>
      <c r="F8">
        <v>2023</v>
      </c>
      <c r="G8" t="s">
        <v>3383</v>
      </c>
      <c r="H8" s="6">
        <v>45359</v>
      </c>
      <c r="I8">
        <v>5</v>
      </c>
      <c r="J8">
        <v>-2.4245362661989844E-14</v>
      </c>
      <c r="K8">
        <v>60973313</v>
      </c>
      <c r="L8" t="s">
        <v>3827</v>
      </c>
      <c r="O8" t="s">
        <v>3380</v>
      </c>
      <c r="P8">
        <v>0.47757500000000003</v>
      </c>
      <c r="Q8" t="s">
        <v>1777</v>
      </c>
      <c r="R8">
        <v>47.694060999999998</v>
      </c>
      <c r="S8" t="s">
        <v>1789</v>
      </c>
      <c r="T8">
        <v>2024</v>
      </c>
      <c r="U8" t="s">
        <v>3376</v>
      </c>
      <c r="V8" s="6">
        <v>45722</v>
      </c>
      <c r="W8">
        <v>5</v>
      </c>
      <c r="X8">
        <v>2513000</v>
      </c>
      <c r="Y8">
        <v>33456339</v>
      </c>
      <c r="Z8" t="s">
        <v>3381</v>
      </c>
      <c r="LC8" t="s">
        <v>3185</v>
      </c>
      <c r="LD8">
        <v>1.166504</v>
      </c>
      <c r="LF8">
        <v>-2.4245362661989844E-14</v>
      </c>
      <c r="LG8" t="s">
        <v>1789</v>
      </c>
      <c r="LH8">
        <v>2025</v>
      </c>
      <c r="LI8" t="s">
        <v>3181</v>
      </c>
      <c r="LJ8" s="6">
        <v>46064</v>
      </c>
      <c r="LK8">
        <v>5</v>
      </c>
      <c r="LL8">
        <v>2860750</v>
      </c>
      <c r="LM8">
        <v>103229</v>
      </c>
      <c r="LN8" t="s">
        <v>3186</v>
      </c>
      <c r="MW8" t="s">
        <v>2044</v>
      </c>
      <c r="MY8">
        <v>-2.4245362661989844E-14</v>
      </c>
      <c r="MZ8">
        <v>-2.4245362661989844E-14</v>
      </c>
      <c r="NA8" t="s">
        <v>1894</v>
      </c>
      <c r="NB8">
        <v>2023</v>
      </c>
      <c r="NC8" t="s">
        <v>2045</v>
      </c>
      <c r="ND8" s="6">
        <v>45245</v>
      </c>
      <c r="NE8">
        <v>5</v>
      </c>
      <c r="NF8">
        <v>-2.4245362661989844E-14</v>
      </c>
      <c r="NG8">
        <v>103882</v>
      </c>
      <c r="NH8" t="s">
        <v>2046</v>
      </c>
      <c r="PE8" t="s">
        <v>4455</v>
      </c>
      <c r="PF8" t="s">
        <v>1808</v>
      </c>
      <c r="PG8">
        <v>1.4</v>
      </c>
      <c r="PH8">
        <v>3.3172E-2</v>
      </c>
      <c r="PI8" t="s">
        <v>1789</v>
      </c>
      <c r="PJ8">
        <v>2024</v>
      </c>
      <c r="PK8" t="s">
        <v>4456</v>
      </c>
      <c r="PL8" s="6">
        <v>45734</v>
      </c>
      <c r="PM8">
        <v>5</v>
      </c>
      <c r="PN8">
        <v>324266.19</v>
      </c>
      <c r="PO8">
        <v>32162827</v>
      </c>
      <c r="PP8" t="s">
        <v>4457</v>
      </c>
      <c r="SQ8" t="s">
        <v>4385</v>
      </c>
      <c r="SS8">
        <v>-2.4245362661989844E-14</v>
      </c>
      <c r="ST8">
        <v>-2.4245362661989844E-14</v>
      </c>
      <c r="SU8" t="s">
        <v>1894</v>
      </c>
      <c r="SV8">
        <v>2025</v>
      </c>
      <c r="SW8" t="s">
        <v>4386</v>
      </c>
      <c r="SX8" s="6">
        <v>45975</v>
      </c>
      <c r="SY8">
        <v>5</v>
      </c>
      <c r="SZ8">
        <v>-2.4245362661989844E-14</v>
      </c>
      <c r="TA8">
        <v>26163118</v>
      </c>
      <c r="TB8" t="s">
        <v>4387</v>
      </c>
      <c r="TE8" t="s">
        <v>3198</v>
      </c>
      <c r="TF8">
        <v>-2.4245362661989844E-14</v>
      </c>
      <c r="TH8">
        <v>-2.4245362661989844E-14</v>
      </c>
      <c r="TI8" t="s">
        <v>1789</v>
      </c>
      <c r="TJ8">
        <v>2023</v>
      </c>
      <c r="TK8" t="s">
        <v>3196</v>
      </c>
      <c r="TL8" s="6">
        <v>45082</v>
      </c>
      <c r="TM8">
        <v>5</v>
      </c>
      <c r="TN8">
        <v>-2.4245362661989844E-14</v>
      </c>
      <c r="TO8">
        <v>30922177</v>
      </c>
      <c r="TP8" t="s">
        <v>3199</v>
      </c>
    </row>
    <row r="9" spans="1:600" x14ac:dyDescent="0.25">
      <c r="A9" t="s">
        <v>2583</v>
      </c>
      <c r="C9">
        <v>-2.4245362661989844E-14</v>
      </c>
      <c r="D9">
        <v>-2.4245362661989844E-14</v>
      </c>
      <c r="E9" t="s">
        <v>1789</v>
      </c>
      <c r="F9">
        <v>2022</v>
      </c>
      <c r="G9" t="s">
        <v>3828</v>
      </c>
      <c r="H9" s="6">
        <v>44995</v>
      </c>
      <c r="I9">
        <v>5</v>
      </c>
      <c r="J9">
        <v>-2.4245362661989844E-14</v>
      </c>
      <c r="K9">
        <v>115679</v>
      </c>
      <c r="L9" t="s">
        <v>2585</v>
      </c>
      <c r="O9" t="s">
        <v>3382</v>
      </c>
      <c r="P9">
        <v>-2.4245362661989844E-14</v>
      </c>
      <c r="R9">
        <v>-2.4245362661989844E-14</v>
      </c>
      <c r="S9" t="s">
        <v>1789</v>
      </c>
      <c r="T9">
        <v>2023</v>
      </c>
      <c r="U9" t="s">
        <v>3383</v>
      </c>
      <c r="V9" s="6">
        <v>45359</v>
      </c>
      <c r="W9">
        <v>5</v>
      </c>
      <c r="X9">
        <v>-2.4245362661989844E-14</v>
      </c>
      <c r="Y9">
        <v>37924006</v>
      </c>
      <c r="Z9" t="s">
        <v>3384</v>
      </c>
      <c r="LC9" t="s">
        <v>3187</v>
      </c>
      <c r="LD9">
        <v>1.1541699999999999</v>
      </c>
      <c r="LF9">
        <v>-2.4245362661989844E-14</v>
      </c>
      <c r="LG9" t="s">
        <v>1789</v>
      </c>
      <c r="LH9">
        <v>2025</v>
      </c>
      <c r="LI9" t="s">
        <v>3181</v>
      </c>
      <c r="LJ9" s="6">
        <v>46064</v>
      </c>
      <c r="LK9">
        <v>5</v>
      </c>
      <c r="LL9">
        <v>2830500</v>
      </c>
      <c r="LM9">
        <v>69794385</v>
      </c>
      <c r="LN9" t="s">
        <v>3188</v>
      </c>
      <c r="MW9" t="s">
        <v>2010</v>
      </c>
      <c r="MY9">
        <v>-2.4245362661989844E-14</v>
      </c>
      <c r="MZ9">
        <v>-2.4245362661989844E-14</v>
      </c>
      <c r="NA9" t="s">
        <v>1773</v>
      </c>
      <c r="NB9">
        <v>2023</v>
      </c>
      <c r="NC9" t="s">
        <v>2825</v>
      </c>
      <c r="ND9" s="6">
        <v>45231</v>
      </c>
      <c r="NE9">
        <v>5</v>
      </c>
      <c r="NF9">
        <v>-2.4245362661989844E-14</v>
      </c>
      <c r="NG9">
        <v>69762655</v>
      </c>
      <c r="NH9" t="s">
        <v>2012</v>
      </c>
      <c r="PE9" t="s">
        <v>4458</v>
      </c>
      <c r="PG9">
        <v>-2.4245362661989844E-14</v>
      </c>
      <c r="PH9">
        <v>-2.4245362661989844E-14</v>
      </c>
      <c r="PI9" t="s">
        <v>1789</v>
      </c>
      <c r="PJ9">
        <v>2022</v>
      </c>
      <c r="PK9" t="s">
        <v>3458</v>
      </c>
      <c r="PL9" s="6">
        <v>44693</v>
      </c>
      <c r="PM9">
        <v>5</v>
      </c>
      <c r="PN9">
        <v>-2.4245362661989844E-14</v>
      </c>
      <c r="PO9">
        <v>42802932</v>
      </c>
      <c r="PP9" t="s">
        <v>4459</v>
      </c>
      <c r="SQ9" t="s">
        <v>4388</v>
      </c>
      <c r="SS9">
        <v>-2.4245362661989844E-14</v>
      </c>
      <c r="ST9">
        <v>-2.4245362661989844E-14</v>
      </c>
      <c r="SU9" t="s">
        <v>1789</v>
      </c>
      <c r="SV9">
        <v>2023</v>
      </c>
      <c r="SW9" t="s">
        <v>3196</v>
      </c>
      <c r="SX9" s="6">
        <v>45104</v>
      </c>
      <c r="SY9">
        <v>5</v>
      </c>
      <c r="SZ9">
        <v>-2.4245362661989844E-14</v>
      </c>
      <c r="TA9">
        <v>21171665</v>
      </c>
      <c r="TB9" t="s">
        <v>4389</v>
      </c>
      <c r="TE9" t="s">
        <v>3200</v>
      </c>
      <c r="TF9">
        <v>-2.4245362661989844E-14</v>
      </c>
      <c r="TH9">
        <v>-2.4245362661989844E-14</v>
      </c>
      <c r="TI9" t="s">
        <v>1781</v>
      </c>
      <c r="TJ9">
        <v>2024</v>
      </c>
      <c r="TK9" t="s">
        <v>3201</v>
      </c>
      <c r="TL9" s="6">
        <v>45419</v>
      </c>
      <c r="TM9">
        <v>5</v>
      </c>
      <c r="TN9">
        <v>-2.4245362661989844E-14</v>
      </c>
      <c r="TO9">
        <v>31290043</v>
      </c>
      <c r="TP9" t="s">
        <v>3202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1329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1330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1331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1332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1333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1334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1335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1336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1337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1338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1339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1340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1341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1342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1343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1344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1345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1346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1347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885</v>
      </c>
      <c r="AE2" s="3" t="s">
        <v>1348</v>
      </c>
      <c r="BI2" s="3" t="s">
        <v>1349</v>
      </c>
      <c r="CM2" s="3" t="s">
        <v>1350</v>
      </c>
      <c r="DQ2" s="3" t="s">
        <v>1351</v>
      </c>
      <c r="EU2" s="3" t="s">
        <v>573</v>
      </c>
      <c r="FY2" s="3" t="s">
        <v>820</v>
      </c>
      <c r="HC2" s="3" t="s">
        <v>1352</v>
      </c>
      <c r="IG2" s="3" t="s">
        <v>163</v>
      </c>
      <c r="JK2" s="3" t="s">
        <v>812</v>
      </c>
      <c r="KO2" s="3" t="s">
        <v>1095</v>
      </c>
      <c r="LS2" s="3" t="s">
        <v>1353</v>
      </c>
      <c r="MW2" s="3" t="s">
        <v>1354</v>
      </c>
      <c r="OA2" s="3" t="s">
        <v>1355</v>
      </c>
      <c r="PE2" s="3" t="s">
        <v>25</v>
      </c>
      <c r="QI2" s="3" t="s">
        <v>1356</v>
      </c>
      <c r="RM2" s="3" t="s">
        <v>119</v>
      </c>
      <c r="SQ2" s="3" t="s">
        <v>1357</v>
      </c>
      <c r="TU2" s="3" t="s">
        <v>385</v>
      </c>
      <c r="UY2" s="3" t="s">
        <v>1358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_xll.BDS("TMO US Equity","SUPPLY_CHAIN_SUPPLIERS_ALL_DATA","cols=12;rows=5")</f>
        <v>EMR US Equity</v>
      </c>
      <c r="B5" t="s">
        <v>1777</v>
      </c>
      <c r="C5">
        <v>4.2224550000000001</v>
      </c>
      <c r="D5">
        <v>2.8645350000000001</v>
      </c>
      <c r="E5" t="s">
        <v>1773</v>
      </c>
      <c r="F5">
        <v>2025</v>
      </c>
      <c r="G5" t="s">
        <v>2594</v>
      </c>
      <c r="H5" s="6">
        <v>45881</v>
      </c>
      <c r="I5">
        <v>5</v>
      </c>
      <c r="J5">
        <v>184647952</v>
      </c>
      <c r="K5">
        <v>100515</v>
      </c>
      <c r="L5" t="s">
        <v>2595</v>
      </c>
      <c r="O5" t="str">
        <f>_xll.BDS("TMO US Equity","SUPPLY_CHAIN_CUSTOMERS_ALL_DATA","cols=12;rows=5")</f>
        <v>4195 TT Equity</v>
      </c>
      <c r="P5">
        <v>9.7099999999999999E-3</v>
      </c>
      <c r="Q5" t="s">
        <v>1777</v>
      </c>
      <c r="R5">
        <v>37.527434999999997</v>
      </c>
      <c r="S5" t="s">
        <v>1789</v>
      </c>
      <c r="T5">
        <v>2024</v>
      </c>
      <c r="U5" t="s">
        <v>2514</v>
      </c>
      <c r="V5" s="6">
        <v>45803</v>
      </c>
      <c r="W5">
        <v>5</v>
      </c>
      <c r="X5">
        <v>1052629.3999999999</v>
      </c>
      <c r="Y5">
        <v>38166930</v>
      </c>
      <c r="Z5" t="s">
        <v>2515</v>
      </c>
      <c r="AE5" t="str">
        <f>_xll.BDS("OV US Equity","SUPPLY_CHAIN_SUPPLIERS_ALL_DATA")</f>
        <v>#N/A N/A</v>
      </c>
      <c r="AS5" t="str">
        <f>_xll.BDS("OV US Equity","SUPPLY_CHAIN_CUSTOMERS_ALL_DATA")</f>
        <v>#N/A N/A</v>
      </c>
      <c r="BI5" t="str">
        <f>_xll.BDS("KNXA US Equity","SUPPLY_CHAIN_SUPPLIERS_ALL_DATA")</f>
        <v>#N/A N/A</v>
      </c>
      <c r="BW5" t="str">
        <f>_xll.BDS("KNXA US Equity","SUPPLY_CHAIN_CUSTOMERS_ALL_DATA")</f>
        <v>#N/A N/A</v>
      </c>
      <c r="CM5" t="str">
        <f>_xll.BDS("OZK US Equity","SUPPLY_CHAIN_SUPPLIERS_ALL_DATA")</f>
        <v>#N/A N/A</v>
      </c>
      <c r="DA5" t="str">
        <f>_xll.BDS("OZK US Equity","SUPPLY_CHAIN_CUSTOMERS_ALL_DATA")</f>
        <v>#N/A N/A</v>
      </c>
      <c r="DQ5" t="str">
        <f>_xll.BDS("COHR US Equity","SUPPLY_CHAIN_SUPPLIERS_ALL_DATA","cols=12;rows=5")</f>
        <v>AVGO US Equity</v>
      </c>
      <c r="DR5" t="s">
        <v>1777</v>
      </c>
      <c r="DS5">
        <v>5.4529000000000001E-2</v>
      </c>
      <c r="DT5">
        <v>0.98020499999999999</v>
      </c>
      <c r="DU5" t="s">
        <v>1785</v>
      </c>
      <c r="DV5">
        <v>2025</v>
      </c>
      <c r="DW5" t="s">
        <v>4048</v>
      </c>
      <c r="DX5" s="6">
        <v>46010</v>
      </c>
      <c r="DY5">
        <v>5</v>
      </c>
      <c r="DZ5">
        <v>9823399</v>
      </c>
      <c r="EA5">
        <v>59907412</v>
      </c>
      <c r="EB5" t="s">
        <v>3551</v>
      </c>
      <c r="EE5" t="str">
        <f>_xll.BDS("COHR US Equity","SUPPLY_CHAIN_CUSTOMERS_ALL_DATA","cols=12;rows=5")</f>
        <v>HPE US Equity</v>
      </c>
      <c r="EF5">
        <v>7.2540740000000001</v>
      </c>
      <c r="EG5" t="s">
        <v>1777</v>
      </c>
      <c r="EH5">
        <v>1.774689</v>
      </c>
      <c r="EI5" t="s">
        <v>1781</v>
      </c>
      <c r="EJ5">
        <v>2026</v>
      </c>
      <c r="EK5" t="s">
        <v>3373</v>
      </c>
      <c r="EL5" s="6">
        <v>45967</v>
      </c>
      <c r="EM5">
        <v>5</v>
      </c>
      <c r="EN5">
        <v>114715928</v>
      </c>
      <c r="EO5">
        <v>42602315</v>
      </c>
      <c r="EP5" t="s">
        <v>2092</v>
      </c>
      <c r="EU5" t="str">
        <f>_xll.BDS("JNJ US Equity","SUPPLY_CHAIN_SUPPLIERS_ALL_DATA","cols=12;rows=5")</f>
        <v>GMAB DC Equity</v>
      </c>
      <c r="EV5" t="s">
        <v>2574</v>
      </c>
      <c r="EW5">
        <v>66.998047</v>
      </c>
      <c r="EX5">
        <v>11.040321</v>
      </c>
      <c r="EY5" t="s">
        <v>1789</v>
      </c>
      <c r="EZ5">
        <v>2024</v>
      </c>
      <c r="FA5" t="s">
        <v>2575</v>
      </c>
      <c r="FB5" s="6">
        <v>45701</v>
      </c>
      <c r="FC5">
        <v>5</v>
      </c>
      <c r="FD5">
        <v>522920364.22000003</v>
      </c>
      <c r="FE5">
        <v>1405715</v>
      </c>
      <c r="FF5" t="s">
        <v>2576</v>
      </c>
      <c r="FI5" t="str">
        <f>_xll.BDS("JNJ US Equity","SUPPLY_CHAIN_CUSTOMERS_ALL_DATA","cols=12;rows=5")</f>
        <v>MCK US Equity</v>
      </c>
      <c r="FJ5">
        <v>20.476745999999999</v>
      </c>
      <c r="FK5" t="s">
        <v>1777</v>
      </c>
      <c r="FL5">
        <v>6.636412</v>
      </c>
      <c r="FM5" t="s">
        <v>1773</v>
      </c>
      <c r="FN5">
        <v>2025</v>
      </c>
      <c r="FO5" t="s">
        <v>2932</v>
      </c>
      <c r="FP5" s="6">
        <v>46018</v>
      </c>
      <c r="FQ5">
        <v>5</v>
      </c>
      <c r="FR5">
        <v>4912985600</v>
      </c>
      <c r="FS5">
        <v>154936</v>
      </c>
      <c r="FT5" t="s">
        <v>2528</v>
      </c>
      <c r="FY5" t="str">
        <f>_xll.BDS("SPLP US Equity","SUPPLY_CHAIN_SUPPLIERS_ALL_DATA","cols=12;rows=5")</f>
        <v>1116L US Equity</v>
      </c>
      <c r="GA5">
        <v>-2.4245362661989844E-14</v>
      </c>
      <c r="GB5">
        <v>-2.4245362661989844E-14</v>
      </c>
      <c r="GC5" t="s">
        <v>1789</v>
      </c>
      <c r="GD5">
        <v>2022</v>
      </c>
      <c r="GE5" t="s">
        <v>4078</v>
      </c>
      <c r="GF5" s="6">
        <v>44655</v>
      </c>
      <c r="GG5">
        <v>5</v>
      </c>
      <c r="GH5">
        <v>-2.4245362661989844E-14</v>
      </c>
      <c r="GI5">
        <v>391598</v>
      </c>
      <c r="GJ5" t="s">
        <v>4079</v>
      </c>
      <c r="GM5" t="str">
        <f>_xll.BDS("SPLP US Equity","SUPPLY_CHAIN_CUSTOMERS_ALL_DATA","cols=12;rows=5")</f>
        <v>SNX US Equity</v>
      </c>
      <c r="GN5">
        <v>0.46906500000000001</v>
      </c>
      <c r="GO5" t="s">
        <v>1777</v>
      </c>
      <c r="GP5">
        <v>1.4430999999999999E-2</v>
      </c>
      <c r="GQ5" t="s">
        <v>1785</v>
      </c>
      <c r="GR5">
        <v>2025</v>
      </c>
      <c r="GS5" t="s">
        <v>1903</v>
      </c>
      <c r="GT5" s="6">
        <v>46056</v>
      </c>
      <c r="GU5">
        <v>5</v>
      </c>
      <c r="GV5">
        <v>2335569</v>
      </c>
      <c r="GW5">
        <v>1499717</v>
      </c>
      <c r="GX5" t="s">
        <v>1904</v>
      </c>
      <c r="HC5" t="str">
        <f>_xll.BDS("MFA US Equity","SUPPLY_CHAIN_SUPPLIERS_ALL_DATA")</f>
        <v>#N/A N/A</v>
      </c>
      <c r="HQ5" t="str">
        <f>_xll.BDS("MFA US Equity","SUPPLY_CHAIN_CUSTOMERS_ALL_DATA")</f>
        <v>#N/A N/A</v>
      </c>
      <c r="IG5" t="str">
        <f>_xll.BDS("FNB US Equity","SUPPLY_CHAIN_SUPPLIERS_ALL_DATA","cols=12;rows=1")</f>
        <v>HY US Equity</v>
      </c>
      <c r="II5">
        <v>-2.4245362661989844E-14</v>
      </c>
      <c r="IJ5">
        <v>-2.4245362661989844E-14</v>
      </c>
      <c r="IK5" t="s">
        <v>1789</v>
      </c>
      <c r="IL5">
        <v>2024</v>
      </c>
      <c r="IM5" t="s">
        <v>2269</v>
      </c>
      <c r="IN5" s="6">
        <v>45427</v>
      </c>
      <c r="IO5">
        <v>1</v>
      </c>
      <c r="IP5">
        <v>-2.4245362661989844E-14</v>
      </c>
      <c r="IQ5">
        <v>159242</v>
      </c>
      <c r="IR5" t="s">
        <v>2270</v>
      </c>
      <c r="IU5" t="str">
        <f>_xll.BDS("FNB US Equity","SUPPLY_CHAIN_CUSTOMERS_ALL_DATA")</f>
        <v>#N/A N/A</v>
      </c>
      <c r="JK5" t="str">
        <f>_xll.BDS("SUPR US Equity","SUPPLY_CHAIN_SUPPLIERS_ALL_DATA")</f>
        <v>#N/A N/A</v>
      </c>
      <c r="JY5" t="str">
        <f>_xll.BDS("SUPR US Equity","SUPPLY_CHAIN_CUSTOMERS_ALL_DATA")</f>
        <v>#N/A N/A</v>
      </c>
      <c r="KO5" t="str">
        <f>_xll.BDS("LAMR US Equity","SUPPLY_CHAIN_SUPPLIERS_ALL_DATA","cols=12;rows=2")</f>
        <v>CPTP US Equity</v>
      </c>
      <c r="KP5" t="s">
        <v>1808</v>
      </c>
      <c r="KQ5">
        <v>21.596160999999999</v>
      </c>
      <c r="KR5">
        <v>0.34428399999999998</v>
      </c>
      <c r="KS5" t="s">
        <v>1789</v>
      </c>
      <c r="KT5">
        <v>2024</v>
      </c>
      <c r="KU5" t="s">
        <v>3949</v>
      </c>
      <c r="KV5" s="6">
        <v>45695</v>
      </c>
      <c r="KW5">
        <v>2</v>
      </c>
      <c r="KX5">
        <v>303750</v>
      </c>
      <c r="KY5">
        <v>148353</v>
      </c>
      <c r="KZ5" t="s">
        <v>3950</v>
      </c>
      <c r="LC5" t="str">
        <f>_xll.BDS("LAMR US Equity","SUPPLY_CHAIN_CUSTOMERS_ALL_DATA","cols=12;rows=2")</f>
        <v>1414936D US Equity</v>
      </c>
      <c r="LD5">
        <v>-2.4245362661989844E-14</v>
      </c>
      <c r="LF5">
        <v>-2.4245362661989844E-14</v>
      </c>
      <c r="LG5" t="s">
        <v>1773</v>
      </c>
      <c r="LH5">
        <v>2023</v>
      </c>
      <c r="LI5" t="s">
        <v>2212</v>
      </c>
      <c r="LJ5" s="6">
        <v>45224</v>
      </c>
      <c r="LK5">
        <v>2</v>
      </c>
      <c r="LL5">
        <v>-2.4245362661989844E-14</v>
      </c>
      <c r="LM5">
        <v>50234217</v>
      </c>
      <c r="LN5" t="s">
        <v>2213</v>
      </c>
      <c r="LS5" t="str">
        <f>_xll.BDS("HTLF US Equity","SUPPLY_CHAIN_SUPPLIERS_ALL_DATA","cols=12;rows=1")</f>
        <v>INFA US Equity</v>
      </c>
      <c r="LU5">
        <v>-2.4245362661989844E-14</v>
      </c>
      <c r="LV5">
        <v>-2.4245362661989844E-14</v>
      </c>
      <c r="LW5" t="s">
        <v>1773</v>
      </c>
      <c r="LX5">
        <v>2024</v>
      </c>
      <c r="LY5" t="s">
        <v>2011</v>
      </c>
      <c r="LZ5" s="6">
        <v>45595</v>
      </c>
      <c r="MA5">
        <v>1</v>
      </c>
      <c r="MB5">
        <v>-2.4245362661989844E-14</v>
      </c>
      <c r="MC5">
        <v>69762655</v>
      </c>
      <c r="MD5" t="s">
        <v>2012</v>
      </c>
      <c r="MG5" t="str">
        <f>_xll.BDS("HTLF US Equity","SUPPLY_CHAIN_CUSTOMERS_ALL_DATA")</f>
        <v>#N/A N/A</v>
      </c>
      <c r="MW5" t="str">
        <f>_xll.BDS("CSCQ US Equity","SUPPLY_CHAIN_SUPPLIERS_ALL_DATA")</f>
        <v>#N/A N/A</v>
      </c>
      <c r="NK5" t="str">
        <f>_xll.BDS("CSCQ US Equity","SUPPLY_CHAIN_CUSTOMERS_ALL_DATA")</f>
        <v>#N/A N/A</v>
      </c>
      <c r="OA5" t="str">
        <f>_xll.BDS("2619871D US Equity","SUPPLY_CHAIN_SUPPLIERS_ALL_DATA","cols=12;rows=5")</f>
        <v>301501 CH Equity</v>
      </c>
      <c r="OC5">
        <v>4.95</v>
      </c>
      <c r="OD5">
        <v>-2.4245362661989844E-14</v>
      </c>
      <c r="OE5" t="s">
        <v>2183</v>
      </c>
      <c r="OF5">
        <v>2024</v>
      </c>
      <c r="OG5" t="s">
        <v>3553</v>
      </c>
      <c r="OH5" s="6">
        <v>45715</v>
      </c>
      <c r="OI5">
        <v>5</v>
      </c>
      <c r="OJ5">
        <v>2513321.8199999998</v>
      </c>
      <c r="OK5">
        <v>70150054</v>
      </c>
      <c r="OL5" t="s">
        <v>3554</v>
      </c>
      <c r="OO5" t="str">
        <f>_xll.BDS("2619871D US Equity","SUPPLY_CHAIN_CUSTOMERS_ALL_DATA","cols=12;rows=5")</f>
        <v>002980 CH Equity</v>
      </c>
      <c r="OP5">
        <v>-2.4245362661989844E-14</v>
      </c>
      <c r="OR5">
        <v>-2.4245362661989844E-14</v>
      </c>
      <c r="OS5" t="s">
        <v>1789</v>
      </c>
      <c r="OT5">
        <v>2023</v>
      </c>
      <c r="OU5" t="s">
        <v>3215</v>
      </c>
      <c r="OV5" s="6">
        <v>45401</v>
      </c>
      <c r="OW5">
        <v>5</v>
      </c>
      <c r="OX5">
        <v>-2.4245362661989844E-14</v>
      </c>
      <c r="OY5">
        <v>21759213</v>
      </c>
      <c r="OZ5" t="s">
        <v>3216</v>
      </c>
      <c r="PE5" t="str">
        <f>_xll.BDS("2676187Q US Equity","SUPPLY_CHAIN_SUPPLIERS_ALL_DATA")</f>
        <v>#N/A N/A</v>
      </c>
      <c r="PS5" t="str">
        <f>_xll.BDS("2676187Q US Equity","SUPPLY_CHAIN_CUSTOMERS_ALL_DATA")</f>
        <v>#N/A N/A</v>
      </c>
      <c r="QI5" t="str">
        <f>_xll.BDS("FFWM US Equity","SUPPLY_CHAIN_SUPPLIERS_ALL_DATA")</f>
        <v>#N/A N/A</v>
      </c>
      <c r="QW5" t="str">
        <f>_xll.BDS("FFWM US Equity","SUPPLY_CHAIN_CUSTOMERS_ALL_DATA")</f>
        <v>#N/A N/A</v>
      </c>
      <c r="RM5" t="str">
        <f>_xll.BDS("FULT US Equity","SUPPLY_CHAIN_SUPPLIERS_ALL_DATA","cols=12;rows=2")</f>
        <v>DLX US Equity</v>
      </c>
      <c r="RO5">
        <v>-2.4245362661989844E-14</v>
      </c>
      <c r="RP5">
        <v>-2.4245362661989844E-14</v>
      </c>
      <c r="RQ5" t="s">
        <v>1773</v>
      </c>
      <c r="RR5">
        <v>2023</v>
      </c>
      <c r="RS5" t="s">
        <v>2586</v>
      </c>
      <c r="RT5" s="6">
        <v>45265</v>
      </c>
      <c r="RU5">
        <v>2</v>
      </c>
      <c r="RV5">
        <v>-2.4245362661989844E-14</v>
      </c>
      <c r="RW5">
        <v>100444</v>
      </c>
      <c r="RX5" t="s">
        <v>2587</v>
      </c>
      <c r="SA5" t="str">
        <f>_xll.BDS("FULT US Equity","SUPPLY_CHAIN_CUSTOMERS_ALL_DATA")</f>
        <v>#N/A N/A</v>
      </c>
      <c r="SQ5" t="str">
        <f>_xll.BDS("PRA US Equity","SUPPLY_CHAIN_SUPPLIERS_ALL_DATA")</f>
        <v>#N/A N/A</v>
      </c>
      <c r="TE5" t="str">
        <f>_xll.BDS("PRA US Equity","SUPPLY_CHAIN_CUSTOMERS_ALL_DATA")</f>
        <v>#N/A N/A</v>
      </c>
      <c r="TU5" t="str">
        <f>_xll.BDS("FRME US Equity","SUPPLY_CHAIN_SUPPLIERS_ALL_DATA")</f>
        <v>#N/A N/A</v>
      </c>
      <c r="UI5" t="str">
        <f>_xll.BDS("FRME US Equity","SUPPLY_CHAIN_CUSTOMERS_ALL_DATA")</f>
        <v>#N/A N/A</v>
      </c>
      <c r="UY5" t="str">
        <f>_xll.BDS("TMWD US Equity","SUPPLY_CHAIN_SUPPLIERS_ALL_DATA")</f>
        <v>#N/A N/A</v>
      </c>
      <c r="VM5" t="str">
        <f>_xll.BDS("TMWD US Equity","SUPPLY_CHAIN_CUSTOMERS_ALL_DATA")</f>
        <v>#N/A N/A</v>
      </c>
    </row>
    <row r="6" spans="1:600" x14ac:dyDescent="0.25">
      <c r="A6" t="s">
        <v>86</v>
      </c>
      <c r="B6" t="s">
        <v>1777</v>
      </c>
      <c r="C6">
        <v>0.39111600000000002</v>
      </c>
      <c r="D6">
        <v>0.88908200000000004</v>
      </c>
      <c r="E6" t="s">
        <v>1768</v>
      </c>
      <c r="F6">
        <v>2025</v>
      </c>
      <c r="G6" t="s">
        <v>2596</v>
      </c>
      <c r="H6" s="6">
        <v>45914</v>
      </c>
      <c r="I6">
        <v>5</v>
      </c>
      <c r="J6">
        <v>57310228</v>
      </c>
      <c r="K6">
        <v>101166</v>
      </c>
      <c r="L6" t="s">
        <v>2597</v>
      </c>
      <c r="O6" t="s">
        <v>2508</v>
      </c>
      <c r="P6">
        <v>2.545E-3</v>
      </c>
      <c r="Q6" t="s">
        <v>1777</v>
      </c>
      <c r="R6">
        <v>3.8306200000000001</v>
      </c>
      <c r="S6" t="s">
        <v>1789</v>
      </c>
      <c r="T6">
        <v>2024</v>
      </c>
      <c r="U6" t="s">
        <v>2509</v>
      </c>
      <c r="V6" s="6">
        <v>45819</v>
      </c>
      <c r="W6">
        <v>5</v>
      </c>
      <c r="X6">
        <v>275861.17</v>
      </c>
      <c r="Y6">
        <v>15291339</v>
      </c>
      <c r="Z6" t="s">
        <v>2510</v>
      </c>
      <c r="DQ6" t="s">
        <v>4275</v>
      </c>
      <c r="DR6" t="s">
        <v>1777</v>
      </c>
      <c r="DS6">
        <v>8.1725010000000005</v>
      </c>
      <c r="DT6">
        <v>0.91561800000000004</v>
      </c>
      <c r="DU6" t="s">
        <v>1781</v>
      </c>
      <c r="DV6">
        <v>2025</v>
      </c>
      <c r="DW6" t="s">
        <v>4276</v>
      </c>
      <c r="DX6" s="6">
        <v>45861</v>
      </c>
      <c r="DY6">
        <v>5</v>
      </c>
      <c r="DZ6">
        <v>8883813.5099999998</v>
      </c>
      <c r="EA6">
        <v>14336256</v>
      </c>
      <c r="EB6" t="s">
        <v>4277</v>
      </c>
      <c r="EE6" t="s">
        <v>919</v>
      </c>
      <c r="EF6">
        <v>6.8054249999999996</v>
      </c>
      <c r="EG6" t="s">
        <v>1777</v>
      </c>
      <c r="EH6">
        <v>2.1361849999999998</v>
      </c>
      <c r="EI6" t="s">
        <v>1781</v>
      </c>
      <c r="EJ6">
        <v>2026</v>
      </c>
      <c r="EK6" t="s">
        <v>3373</v>
      </c>
      <c r="EL6" s="6">
        <v>45967</v>
      </c>
      <c r="EM6">
        <v>5</v>
      </c>
      <c r="EN6">
        <v>107620992</v>
      </c>
      <c r="EO6">
        <v>69423747</v>
      </c>
      <c r="EP6" t="s">
        <v>2300</v>
      </c>
      <c r="EU6" t="s">
        <v>2423</v>
      </c>
      <c r="EV6" t="s">
        <v>1777</v>
      </c>
      <c r="EW6">
        <v>6.6266720000000001</v>
      </c>
      <c r="EX6">
        <v>6.8004179999999996</v>
      </c>
      <c r="EY6" t="s">
        <v>1773</v>
      </c>
      <c r="EZ6">
        <v>2025</v>
      </c>
      <c r="FA6" t="s">
        <v>2424</v>
      </c>
      <c r="FB6" s="6">
        <v>45867</v>
      </c>
      <c r="FC6">
        <v>5</v>
      </c>
      <c r="FD6">
        <v>518735872</v>
      </c>
      <c r="FE6">
        <v>117092</v>
      </c>
      <c r="FF6" t="s">
        <v>2425</v>
      </c>
      <c r="FI6" t="s">
        <v>2529</v>
      </c>
      <c r="FJ6">
        <v>15.549336</v>
      </c>
      <c r="FK6" t="s">
        <v>1777</v>
      </c>
      <c r="FL6">
        <v>4.6186980000000002</v>
      </c>
      <c r="FM6" t="s">
        <v>1773</v>
      </c>
      <c r="FN6">
        <v>2025</v>
      </c>
      <c r="FO6" t="s">
        <v>2932</v>
      </c>
      <c r="FP6" s="6">
        <v>46018</v>
      </c>
      <c r="FQ6">
        <v>5</v>
      </c>
      <c r="FR6">
        <v>3730752256</v>
      </c>
      <c r="FS6">
        <v>156969</v>
      </c>
      <c r="FT6" t="s">
        <v>2531</v>
      </c>
      <c r="FY6" t="s">
        <v>2084</v>
      </c>
      <c r="GA6">
        <v>-2.4245362661989844E-14</v>
      </c>
      <c r="GB6">
        <v>-2.4245362661989844E-14</v>
      </c>
      <c r="GC6" t="s">
        <v>1789</v>
      </c>
      <c r="GD6">
        <v>2021</v>
      </c>
      <c r="GE6" t="s">
        <v>2085</v>
      </c>
      <c r="GF6" s="6">
        <v>44693</v>
      </c>
      <c r="GG6">
        <v>5</v>
      </c>
      <c r="GH6">
        <v>-2.4245362661989844E-14</v>
      </c>
      <c r="GI6">
        <v>313098</v>
      </c>
      <c r="GJ6" t="s">
        <v>2086</v>
      </c>
      <c r="GM6" t="s">
        <v>3167</v>
      </c>
      <c r="GN6">
        <v>-2.4245362661989844E-14</v>
      </c>
      <c r="GP6">
        <v>-2.4245362661989844E-14</v>
      </c>
      <c r="GQ6" t="s">
        <v>1789</v>
      </c>
      <c r="GR6">
        <v>2024</v>
      </c>
      <c r="GS6" t="s">
        <v>3168</v>
      </c>
      <c r="GT6" s="6">
        <v>45799</v>
      </c>
      <c r="GU6">
        <v>5</v>
      </c>
      <c r="GV6">
        <v>-2.4245362661989844E-14</v>
      </c>
      <c r="GW6">
        <v>193931</v>
      </c>
      <c r="GX6" t="s">
        <v>3169</v>
      </c>
      <c r="KO6" t="s">
        <v>3951</v>
      </c>
      <c r="KQ6">
        <v>-2.4245362661989844E-14</v>
      </c>
      <c r="KR6">
        <v>-2.4245362661989844E-14</v>
      </c>
      <c r="KS6" t="s">
        <v>1789</v>
      </c>
      <c r="KT6">
        <v>2024</v>
      </c>
      <c r="KU6" t="s">
        <v>3952</v>
      </c>
      <c r="KV6" s="6">
        <v>45741</v>
      </c>
      <c r="KW6">
        <v>2</v>
      </c>
      <c r="KX6">
        <v>-2.4245362661989844E-14</v>
      </c>
      <c r="KY6">
        <v>10097481</v>
      </c>
      <c r="KZ6" t="s">
        <v>3953</v>
      </c>
      <c r="LC6" t="s">
        <v>2214</v>
      </c>
      <c r="LD6">
        <v>-2.4245362661989844E-14</v>
      </c>
      <c r="LF6">
        <v>-2.4245362661989844E-14</v>
      </c>
      <c r="LG6" t="s">
        <v>1789</v>
      </c>
      <c r="LH6">
        <v>2023</v>
      </c>
      <c r="LI6" t="s">
        <v>2215</v>
      </c>
      <c r="LJ6" s="6">
        <v>45260</v>
      </c>
      <c r="LK6">
        <v>2</v>
      </c>
      <c r="LL6">
        <v>-2.4245362661989844E-14</v>
      </c>
      <c r="LM6">
        <v>1032816</v>
      </c>
      <c r="LN6" t="s">
        <v>2216</v>
      </c>
      <c r="OA6" t="s">
        <v>3555</v>
      </c>
      <c r="OC6">
        <v>1.1008659999999999</v>
      </c>
      <c r="OD6">
        <v>-2.4245362661989844E-14</v>
      </c>
      <c r="OE6" t="s">
        <v>1789</v>
      </c>
      <c r="OF6">
        <v>2024</v>
      </c>
      <c r="OG6" t="s">
        <v>3556</v>
      </c>
      <c r="OH6" s="6">
        <v>45706</v>
      </c>
      <c r="OI6">
        <v>5</v>
      </c>
      <c r="OJ6">
        <v>2490432.91</v>
      </c>
      <c r="OK6">
        <v>129697</v>
      </c>
      <c r="OL6" t="s">
        <v>3557</v>
      </c>
      <c r="OO6" t="s">
        <v>3217</v>
      </c>
      <c r="OP6">
        <v>-2.4245362661989844E-14</v>
      </c>
      <c r="OR6">
        <v>-2.4245362661989844E-14</v>
      </c>
      <c r="OS6" t="s">
        <v>1789</v>
      </c>
      <c r="OT6">
        <v>2025</v>
      </c>
      <c r="OU6" t="s">
        <v>3218</v>
      </c>
      <c r="OV6" s="6">
        <v>45748</v>
      </c>
      <c r="OW6">
        <v>5</v>
      </c>
      <c r="OX6">
        <v>-2.4245362661989844E-14</v>
      </c>
      <c r="OY6">
        <v>69611723</v>
      </c>
      <c r="OZ6" t="s">
        <v>3219</v>
      </c>
      <c r="RM6" t="s">
        <v>2044</v>
      </c>
      <c r="RO6">
        <v>-2.4245362661989844E-14</v>
      </c>
      <c r="RP6">
        <v>-2.4245362661989844E-14</v>
      </c>
      <c r="RQ6" t="s">
        <v>1894</v>
      </c>
      <c r="RR6">
        <v>2023</v>
      </c>
      <c r="RS6" t="s">
        <v>2045</v>
      </c>
      <c r="RT6" s="6">
        <v>45245</v>
      </c>
      <c r="RU6">
        <v>2</v>
      </c>
      <c r="RV6">
        <v>-2.4245362661989844E-14</v>
      </c>
      <c r="RW6">
        <v>103882</v>
      </c>
      <c r="RX6" t="s">
        <v>2046</v>
      </c>
    </row>
    <row r="7" spans="1:600" x14ac:dyDescent="0.25">
      <c r="A7" t="s">
        <v>2135</v>
      </c>
      <c r="B7" t="s">
        <v>1777</v>
      </c>
      <c r="C7">
        <v>0.56451700000000005</v>
      </c>
      <c r="D7">
        <v>0.57008199999999998</v>
      </c>
      <c r="E7" t="s">
        <v>1773</v>
      </c>
      <c r="F7">
        <v>2025</v>
      </c>
      <c r="G7" t="s">
        <v>2136</v>
      </c>
      <c r="H7" s="6">
        <v>45763</v>
      </c>
      <c r="I7">
        <v>5</v>
      </c>
      <c r="J7">
        <v>37009736</v>
      </c>
      <c r="K7">
        <v>136547</v>
      </c>
      <c r="L7" t="s">
        <v>2137</v>
      </c>
      <c r="O7" t="s">
        <v>2516</v>
      </c>
      <c r="P7">
        <v>8.6300000000000005E-4</v>
      </c>
      <c r="Q7" t="s">
        <v>1777</v>
      </c>
      <c r="R7">
        <v>0.46444600000000003</v>
      </c>
      <c r="S7" t="s">
        <v>1789</v>
      </c>
      <c r="T7">
        <v>2024</v>
      </c>
      <c r="U7" t="s">
        <v>2517</v>
      </c>
      <c r="V7" s="6">
        <v>45730</v>
      </c>
      <c r="W7">
        <v>5</v>
      </c>
      <c r="X7">
        <v>92615.79</v>
      </c>
      <c r="Y7">
        <v>7369845</v>
      </c>
      <c r="Z7" t="s">
        <v>2518</v>
      </c>
      <c r="DQ7" t="s">
        <v>4278</v>
      </c>
      <c r="DR7" t="s">
        <v>1777</v>
      </c>
      <c r="DS7">
        <v>1.799021</v>
      </c>
      <c r="DT7">
        <v>0.71026599999999995</v>
      </c>
      <c r="DU7" t="s">
        <v>1768</v>
      </c>
      <c r="DV7">
        <v>2025</v>
      </c>
      <c r="DW7" t="s">
        <v>4279</v>
      </c>
      <c r="DX7" s="6">
        <v>46014</v>
      </c>
      <c r="DY7">
        <v>5</v>
      </c>
      <c r="DZ7">
        <v>7118132</v>
      </c>
      <c r="EA7">
        <v>159009</v>
      </c>
      <c r="EB7" t="s">
        <v>4280</v>
      </c>
      <c r="EE7" t="s">
        <v>2604</v>
      </c>
      <c r="EF7">
        <v>6.5266529999999996</v>
      </c>
      <c r="EG7" t="s">
        <v>1777</v>
      </c>
      <c r="EH7">
        <v>0.424236</v>
      </c>
      <c r="EI7" t="s">
        <v>1781</v>
      </c>
      <c r="EJ7">
        <v>2026</v>
      </c>
      <c r="EK7" t="s">
        <v>3373</v>
      </c>
      <c r="EL7" s="6">
        <v>45967</v>
      </c>
      <c r="EM7">
        <v>5</v>
      </c>
      <c r="EN7">
        <v>103212488</v>
      </c>
      <c r="EO7">
        <v>50985605</v>
      </c>
      <c r="EP7" t="s">
        <v>2606</v>
      </c>
      <c r="EU7" t="s">
        <v>2577</v>
      </c>
      <c r="EV7" t="s">
        <v>1777</v>
      </c>
      <c r="EW7">
        <v>1.3419449999999999</v>
      </c>
      <c r="EX7">
        <v>2.7987500000000001</v>
      </c>
      <c r="EY7" t="s">
        <v>1785</v>
      </c>
      <c r="EZ7">
        <v>2025</v>
      </c>
      <c r="FA7" t="s">
        <v>2578</v>
      </c>
      <c r="FB7" s="6">
        <v>46077</v>
      </c>
      <c r="FC7">
        <v>5</v>
      </c>
      <c r="FD7">
        <v>223004416</v>
      </c>
      <c r="FE7">
        <v>28046509</v>
      </c>
      <c r="FF7" t="s">
        <v>2579</v>
      </c>
      <c r="FI7" t="s">
        <v>2933</v>
      </c>
      <c r="FJ7">
        <v>12.373919000000001</v>
      </c>
      <c r="FK7" t="s">
        <v>1777</v>
      </c>
      <c r="FL7">
        <v>4.81257</v>
      </c>
      <c r="FM7" t="s">
        <v>1773</v>
      </c>
      <c r="FN7">
        <v>2025</v>
      </c>
      <c r="FO7" t="s">
        <v>2932</v>
      </c>
      <c r="FP7" s="6">
        <v>46018</v>
      </c>
      <c r="FQ7">
        <v>5</v>
      </c>
      <c r="FR7">
        <v>2968874496</v>
      </c>
      <c r="FS7">
        <v>102782</v>
      </c>
      <c r="FT7" t="s">
        <v>2934</v>
      </c>
      <c r="FY7" t="s">
        <v>925</v>
      </c>
      <c r="GA7">
        <v>-2.4245362661989844E-14</v>
      </c>
      <c r="GB7">
        <v>-2.4245362661989844E-14</v>
      </c>
      <c r="GC7" t="s">
        <v>1789</v>
      </c>
      <c r="GD7">
        <v>2021</v>
      </c>
      <c r="GE7" t="s">
        <v>2071</v>
      </c>
      <c r="GF7" s="6">
        <v>44693</v>
      </c>
      <c r="GG7">
        <v>5</v>
      </c>
      <c r="GH7">
        <v>-2.4245362661989844E-14</v>
      </c>
      <c r="GI7">
        <v>100760</v>
      </c>
      <c r="GJ7" t="s">
        <v>2072</v>
      </c>
      <c r="GM7" t="s">
        <v>3170</v>
      </c>
      <c r="GN7">
        <v>-2.4245362661989844E-14</v>
      </c>
      <c r="GP7">
        <v>-2.4245362661989844E-14</v>
      </c>
      <c r="GQ7" t="s">
        <v>1789</v>
      </c>
      <c r="GR7">
        <v>2022</v>
      </c>
      <c r="GS7" t="s">
        <v>3171</v>
      </c>
      <c r="GT7" s="6">
        <v>45057</v>
      </c>
      <c r="GU7">
        <v>5</v>
      </c>
      <c r="GV7">
        <v>-2.4245362661989844E-14</v>
      </c>
      <c r="GW7">
        <v>69781875</v>
      </c>
      <c r="GX7" t="s">
        <v>3172</v>
      </c>
      <c r="OA7" t="s">
        <v>3558</v>
      </c>
      <c r="OC7">
        <v>1.3</v>
      </c>
      <c r="OD7">
        <v>-2.4245362661989844E-14</v>
      </c>
      <c r="OE7" t="s">
        <v>1789</v>
      </c>
      <c r="OF7">
        <v>2024</v>
      </c>
      <c r="OG7" t="s">
        <v>3559</v>
      </c>
      <c r="OH7" s="6">
        <v>45700</v>
      </c>
      <c r="OI7">
        <v>5</v>
      </c>
      <c r="OJ7">
        <v>2178915.9</v>
      </c>
      <c r="OK7">
        <v>310269</v>
      </c>
      <c r="OL7" t="s">
        <v>3560</v>
      </c>
      <c r="OO7" t="s">
        <v>3220</v>
      </c>
      <c r="OP7">
        <v>-2.4245362661989844E-14</v>
      </c>
      <c r="OR7">
        <v>-2.4245362661989844E-14</v>
      </c>
      <c r="OS7" t="s">
        <v>1781</v>
      </c>
      <c r="OT7">
        <v>2025</v>
      </c>
      <c r="OU7" t="s">
        <v>3221</v>
      </c>
      <c r="OV7" s="6">
        <v>45824</v>
      </c>
      <c r="OW7">
        <v>5</v>
      </c>
      <c r="OX7">
        <v>-2.4245362661989844E-14</v>
      </c>
      <c r="OY7">
        <v>47184386</v>
      </c>
      <c r="OZ7" t="s">
        <v>3222</v>
      </c>
    </row>
    <row r="8" spans="1:600" x14ac:dyDescent="0.25">
      <c r="A8" t="s">
        <v>2423</v>
      </c>
      <c r="B8" t="s">
        <v>1777</v>
      </c>
      <c r="C8">
        <v>0.30367300000000003</v>
      </c>
      <c r="D8">
        <v>0.37271100000000001</v>
      </c>
      <c r="E8" t="s">
        <v>1773</v>
      </c>
      <c r="F8">
        <v>2025</v>
      </c>
      <c r="G8" t="s">
        <v>2424</v>
      </c>
      <c r="H8" s="6">
        <v>45867</v>
      </c>
      <c r="I8">
        <v>5</v>
      </c>
      <c r="J8">
        <v>23771522</v>
      </c>
      <c r="K8">
        <v>117092</v>
      </c>
      <c r="L8" t="s">
        <v>2425</v>
      </c>
      <c r="O8" t="s">
        <v>2519</v>
      </c>
      <c r="P8">
        <v>-2.4245362661989844E-14</v>
      </c>
      <c r="R8">
        <v>-2.4245362661989844E-14</v>
      </c>
      <c r="S8" t="s">
        <v>1894</v>
      </c>
      <c r="T8">
        <v>2025</v>
      </c>
      <c r="U8" t="s">
        <v>2520</v>
      </c>
      <c r="V8" s="6">
        <v>45975</v>
      </c>
      <c r="W8">
        <v>5</v>
      </c>
      <c r="X8">
        <v>-2.4245362661989844E-14</v>
      </c>
      <c r="Y8">
        <v>1459457</v>
      </c>
      <c r="Z8" t="s">
        <v>2521</v>
      </c>
      <c r="DQ8" t="s">
        <v>2788</v>
      </c>
      <c r="DR8" t="s">
        <v>1906</v>
      </c>
      <c r="DS8">
        <v>0.18715000000000001</v>
      </c>
      <c r="DT8">
        <v>4.0173759999999996</v>
      </c>
      <c r="DU8" t="s">
        <v>1768</v>
      </c>
      <c r="DV8">
        <v>2026</v>
      </c>
      <c r="DW8" t="s">
        <v>2789</v>
      </c>
      <c r="DX8" s="6">
        <v>46063</v>
      </c>
      <c r="DY8">
        <v>5</v>
      </c>
      <c r="DZ8">
        <v>6170609</v>
      </c>
      <c r="EA8">
        <v>101732</v>
      </c>
      <c r="EB8" t="s">
        <v>2790</v>
      </c>
      <c r="EE8" t="s">
        <v>3374</v>
      </c>
      <c r="EF8">
        <v>3.9732440000000002</v>
      </c>
      <c r="EG8" t="s">
        <v>1777</v>
      </c>
      <c r="EH8">
        <v>1.978315</v>
      </c>
      <c r="EI8" t="s">
        <v>1781</v>
      </c>
      <c r="EJ8">
        <v>2026</v>
      </c>
      <c r="EK8" t="s">
        <v>3373</v>
      </c>
      <c r="EL8" s="6">
        <v>45967</v>
      </c>
      <c r="EM8">
        <v>5</v>
      </c>
      <c r="EN8">
        <v>62832880</v>
      </c>
      <c r="EO8">
        <v>115790</v>
      </c>
      <c r="EP8" t="s">
        <v>3375</v>
      </c>
      <c r="EU8" t="s">
        <v>2580</v>
      </c>
      <c r="EV8" t="s">
        <v>1777</v>
      </c>
      <c r="EW8">
        <v>49.056618</v>
      </c>
      <c r="EX8">
        <v>2.3797060000000001</v>
      </c>
      <c r="EY8" t="s">
        <v>1773</v>
      </c>
      <c r="EZ8">
        <v>2025</v>
      </c>
      <c r="FA8" t="s">
        <v>2581</v>
      </c>
      <c r="FB8" s="6">
        <v>46050</v>
      </c>
      <c r="FC8">
        <v>5</v>
      </c>
      <c r="FD8">
        <v>173789936</v>
      </c>
      <c r="FE8">
        <v>1753841</v>
      </c>
      <c r="FF8" t="s">
        <v>2582</v>
      </c>
      <c r="FI8" t="s">
        <v>2534</v>
      </c>
      <c r="FJ8">
        <v>2.966253</v>
      </c>
      <c r="FK8" t="s">
        <v>1777</v>
      </c>
      <c r="FL8">
        <v>1.12304</v>
      </c>
      <c r="FM8" t="s">
        <v>1773</v>
      </c>
      <c r="FN8">
        <v>2025</v>
      </c>
      <c r="FO8" t="s">
        <v>2932</v>
      </c>
      <c r="FP8" s="6">
        <v>46018</v>
      </c>
      <c r="FQ8">
        <v>5</v>
      </c>
      <c r="FR8">
        <v>711693056</v>
      </c>
      <c r="FS8">
        <v>60401289</v>
      </c>
      <c r="FT8" t="s">
        <v>2535</v>
      </c>
      <c r="FY8" t="s">
        <v>1923</v>
      </c>
      <c r="GA8">
        <v>-2.4245362661989844E-14</v>
      </c>
      <c r="GB8">
        <v>-2.4245362661989844E-14</v>
      </c>
      <c r="GC8" t="s">
        <v>1789</v>
      </c>
      <c r="GD8">
        <v>2021</v>
      </c>
      <c r="GE8" t="s">
        <v>1924</v>
      </c>
      <c r="GF8" s="6">
        <v>44693</v>
      </c>
      <c r="GG8">
        <v>5</v>
      </c>
      <c r="GH8">
        <v>-2.4245362661989844E-14</v>
      </c>
      <c r="GI8">
        <v>100481</v>
      </c>
      <c r="GJ8" t="s">
        <v>1925</v>
      </c>
      <c r="GM8" t="s">
        <v>1955</v>
      </c>
      <c r="GN8">
        <v>-2.4245362661989844E-14</v>
      </c>
      <c r="GP8">
        <v>-2.4245362661989844E-14</v>
      </c>
      <c r="GQ8" t="s">
        <v>1789</v>
      </c>
      <c r="GR8">
        <v>2025</v>
      </c>
      <c r="GS8" t="s">
        <v>3173</v>
      </c>
      <c r="GT8" s="6">
        <v>45763</v>
      </c>
      <c r="GU8">
        <v>5</v>
      </c>
      <c r="GV8">
        <v>-2.4245362661989844E-14</v>
      </c>
      <c r="GW8">
        <v>130929</v>
      </c>
      <c r="GX8" t="s">
        <v>1957</v>
      </c>
      <c r="OA8" t="s">
        <v>1488</v>
      </c>
      <c r="OC8">
        <v>0.41055199999999997</v>
      </c>
      <c r="OD8">
        <v>-2.4245362661989844E-14</v>
      </c>
      <c r="OE8" t="s">
        <v>1789</v>
      </c>
      <c r="OF8">
        <v>2024</v>
      </c>
      <c r="OG8" t="s">
        <v>1809</v>
      </c>
      <c r="OH8" s="6">
        <v>45695</v>
      </c>
      <c r="OI8">
        <v>5</v>
      </c>
      <c r="OJ8">
        <v>2090750</v>
      </c>
      <c r="OK8">
        <v>70771731</v>
      </c>
      <c r="OL8" t="s">
        <v>3561</v>
      </c>
      <c r="OO8" t="s">
        <v>3223</v>
      </c>
      <c r="OP8">
        <v>-2.4245362661989844E-14</v>
      </c>
      <c r="OR8">
        <v>-2.4245362661989844E-14</v>
      </c>
      <c r="OS8" t="s">
        <v>1773</v>
      </c>
      <c r="OT8">
        <v>2025</v>
      </c>
      <c r="OU8" t="s">
        <v>3224</v>
      </c>
      <c r="OV8" s="6">
        <v>45777</v>
      </c>
      <c r="OW8">
        <v>5</v>
      </c>
      <c r="OX8">
        <v>-2.4245362661989844E-14</v>
      </c>
      <c r="OY8">
        <v>101073</v>
      </c>
      <c r="OZ8" t="s">
        <v>3225</v>
      </c>
    </row>
    <row r="9" spans="1:600" x14ac:dyDescent="0.25">
      <c r="A9" t="s">
        <v>2598</v>
      </c>
      <c r="B9" t="s">
        <v>1777</v>
      </c>
      <c r="C9">
        <v>8.0865999999999993E-2</v>
      </c>
      <c r="D9">
        <v>0.27508500000000002</v>
      </c>
      <c r="E9" t="s">
        <v>1781</v>
      </c>
      <c r="F9">
        <v>2026</v>
      </c>
      <c r="G9" t="s">
        <v>2599</v>
      </c>
      <c r="H9" s="6">
        <v>45980</v>
      </c>
      <c r="I9">
        <v>5</v>
      </c>
      <c r="J9">
        <v>17987832</v>
      </c>
      <c r="K9">
        <v>100554</v>
      </c>
      <c r="L9" t="s">
        <v>2600</v>
      </c>
      <c r="O9" t="s">
        <v>2522</v>
      </c>
      <c r="P9">
        <v>-2.4245362661989844E-14</v>
      </c>
      <c r="R9">
        <v>-2.4245362661989844E-14</v>
      </c>
      <c r="S9" t="s">
        <v>1789</v>
      </c>
      <c r="T9">
        <v>2024</v>
      </c>
      <c r="U9" t="s">
        <v>2523</v>
      </c>
      <c r="V9" s="6">
        <v>45774</v>
      </c>
      <c r="W9">
        <v>5</v>
      </c>
      <c r="X9">
        <v>-2.4245362661989844E-14</v>
      </c>
      <c r="Y9">
        <v>9020238</v>
      </c>
      <c r="Z9" t="s">
        <v>2524</v>
      </c>
      <c r="DQ9" t="s">
        <v>3495</v>
      </c>
      <c r="DR9" t="s">
        <v>1777</v>
      </c>
      <c r="DS9">
        <v>0.18715399999999999</v>
      </c>
      <c r="DT9">
        <v>0.29530099999999998</v>
      </c>
      <c r="DU9" t="s">
        <v>1773</v>
      </c>
      <c r="DV9">
        <v>2025</v>
      </c>
      <c r="DW9" t="s">
        <v>3496</v>
      </c>
      <c r="DX9" s="6">
        <v>45968</v>
      </c>
      <c r="DY9">
        <v>5</v>
      </c>
      <c r="DZ9">
        <v>2959991.03</v>
      </c>
      <c r="EA9">
        <v>127005</v>
      </c>
      <c r="EB9" t="s">
        <v>3497</v>
      </c>
      <c r="EE9" t="s">
        <v>2170</v>
      </c>
      <c r="EF9">
        <v>3.4842870000000001</v>
      </c>
      <c r="EG9" t="s">
        <v>1777</v>
      </c>
      <c r="EH9">
        <v>1.836141</v>
      </c>
      <c r="EI9" t="s">
        <v>1781</v>
      </c>
      <c r="EJ9">
        <v>2026</v>
      </c>
      <c r="EK9" t="s">
        <v>3373</v>
      </c>
      <c r="EL9" s="6">
        <v>45967</v>
      </c>
      <c r="EM9">
        <v>5</v>
      </c>
      <c r="EN9">
        <v>55100516</v>
      </c>
      <c r="EO9">
        <v>304299</v>
      </c>
      <c r="EP9" t="s">
        <v>2172</v>
      </c>
      <c r="EU9" t="s">
        <v>2583</v>
      </c>
      <c r="EV9" t="s">
        <v>1777</v>
      </c>
      <c r="EW9">
        <v>1.017503</v>
      </c>
      <c r="EX9">
        <v>1.621964</v>
      </c>
      <c r="EY9" t="s">
        <v>1768</v>
      </c>
      <c r="EZ9">
        <v>2025</v>
      </c>
      <c r="FA9" t="s">
        <v>2584</v>
      </c>
      <c r="FB9" s="6">
        <v>45929</v>
      </c>
      <c r="FC9">
        <v>5</v>
      </c>
      <c r="FD9">
        <v>123835292.08</v>
      </c>
      <c r="FE9">
        <v>115679</v>
      </c>
      <c r="FF9" t="s">
        <v>2585</v>
      </c>
      <c r="FI9" t="s">
        <v>1776</v>
      </c>
      <c r="FJ9">
        <v>2.108371</v>
      </c>
      <c r="FK9" t="s">
        <v>1777</v>
      </c>
      <c r="FL9">
        <v>2.5571009999999998</v>
      </c>
      <c r="FM9" t="s">
        <v>1768</v>
      </c>
      <c r="FN9">
        <v>2025</v>
      </c>
      <c r="FO9" t="s">
        <v>1778</v>
      </c>
      <c r="FP9" s="6">
        <v>45919</v>
      </c>
      <c r="FQ9">
        <v>5</v>
      </c>
      <c r="FR9">
        <v>501043244.87</v>
      </c>
      <c r="FS9">
        <v>115268</v>
      </c>
      <c r="FT9" t="s">
        <v>1779</v>
      </c>
      <c r="FY9" t="s">
        <v>3657</v>
      </c>
      <c r="GA9">
        <v>-2.4245362661989844E-14</v>
      </c>
      <c r="GB9">
        <v>-2.4245362661989844E-14</v>
      </c>
      <c r="GC9" t="s">
        <v>1789</v>
      </c>
      <c r="GD9">
        <v>2021</v>
      </c>
      <c r="GE9" t="s">
        <v>3658</v>
      </c>
      <c r="GF9" s="6">
        <v>44693</v>
      </c>
      <c r="GG9">
        <v>5</v>
      </c>
      <c r="GH9">
        <v>-2.4245362661989844E-14</v>
      </c>
      <c r="GI9">
        <v>101315</v>
      </c>
      <c r="GJ9" t="s">
        <v>3659</v>
      </c>
      <c r="GM9" t="s">
        <v>2971</v>
      </c>
      <c r="GN9">
        <v>-2.4245362661989844E-14</v>
      </c>
      <c r="GP9">
        <v>-2.4245362661989844E-14</v>
      </c>
      <c r="GQ9" t="s">
        <v>1781</v>
      </c>
      <c r="GR9">
        <v>2025</v>
      </c>
      <c r="GS9" t="s">
        <v>3174</v>
      </c>
      <c r="GT9" s="6">
        <v>45799</v>
      </c>
      <c r="GU9">
        <v>5</v>
      </c>
      <c r="GV9">
        <v>-2.4245362661989844E-14</v>
      </c>
      <c r="GW9">
        <v>313021</v>
      </c>
      <c r="GX9" t="s">
        <v>2973</v>
      </c>
      <c r="OA9" t="s">
        <v>3562</v>
      </c>
      <c r="OC9">
        <v>0.48641200000000001</v>
      </c>
      <c r="OD9">
        <v>-2.4245362661989844E-14</v>
      </c>
      <c r="OE9" t="s">
        <v>1789</v>
      </c>
      <c r="OF9">
        <v>2024</v>
      </c>
      <c r="OG9" t="s">
        <v>3563</v>
      </c>
      <c r="OH9" s="6">
        <v>45700</v>
      </c>
      <c r="OI9">
        <v>5</v>
      </c>
      <c r="OJ9">
        <v>1207458.96</v>
      </c>
      <c r="OK9">
        <v>35632117</v>
      </c>
      <c r="OL9" t="s">
        <v>3564</v>
      </c>
      <c r="OO9" t="s">
        <v>3226</v>
      </c>
      <c r="OP9">
        <v>-2.4245362661989844E-14</v>
      </c>
      <c r="OR9">
        <v>-2.4245362661989844E-14</v>
      </c>
      <c r="OS9" t="s">
        <v>1781</v>
      </c>
      <c r="OT9">
        <v>2025</v>
      </c>
      <c r="OU9" t="s">
        <v>3227</v>
      </c>
      <c r="OV9" s="6">
        <v>45782</v>
      </c>
      <c r="OW9">
        <v>5</v>
      </c>
      <c r="OX9">
        <v>-2.4245362661989844E-14</v>
      </c>
      <c r="OY9">
        <v>101264</v>
      </c>
      <c r="OZ9" t="s">
        <v>3228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1360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1361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1362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1363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1364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1365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1366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1367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1368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1369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1370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1371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1372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1373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1374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1375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1376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1377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1378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163</v>
      </c>
      <c r="AE2" s="3" t="s">
        <v>1018</v>
      </c>
      <c r="BI2" s="3" t="s">
        <v>206</v>
      </c>
      <c r="CM2" s="3" t="s">
        <v>1379</v>
      </c>
      <c r="DQ2" s="3" t="s">
        <v>1380</v>
      </c>
      <c r="EU2" s="3" t="s">
        <v>1381</v>
      </c>
      <c r="FY2" s="3" t="s">
        <v>1382</v>
      </c>
      <c r="HC2" s="3" t="s">
        <v>577</v>
      </c>
      <c r="IG2" s="3" t="s">
        <v>853</v>
      </c>
      <c r="JK2" s="3" t="s">
        <v>122</v>
      </c>
      <c r="KO2" s="3" t="s">
        <v>1383</v>
      </c>
      <c r="LS2" s="3" t="s">
        <v>1384</v>
      </c>
      <c r="MW2" s="3" t="s">
        <v>1385</v>
      </c>
      <c r="OA2" s="3" t="s">
        <v>1386</v>
      </c>
      <c r="PE2" s="3" t="s">
        <v>895</v>
      </c>
      <c r="QI2" s="3" t="s">
        <v>1387</v>
      </c>
      <c r="RM2" s="3" t="s">
        <v>1388</v>
      </c>
      <c r="SQ2" s="3" t="s">
        <v>1389</v>
      </c>
      <c r="TU2" s="3" t="s">
        <v>1390</v>
      </c>
      <c r="UY2" s="3" t="s">
        <v>1391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_xll.BDS("FNB US Equity","SUPPLY_CHAIN_SUPPLIERS_ALL_DATA","cols=12;rows=1")</f>
        <v>HY US Equity</v>
      </c>
      <c r="C5">
        <v>-2.4245362661989844E-14</v>
      </c>
      <c r="D5">
        <v>-2.4245362661989844E-14</v>
      </c>
      <c r="E5" t="s">
        <v>1789</v>
      </c>
      <c r="F5">
        <v>2024</v>
      </c>
      <c r="G5" t="s">
        <v>2269</v>
      </c>
      <c r="H5" s="6">
        <v>45427</v>
      </c>
      <c r="I5">
        <v>1</v>
      </c>
      <c r="J5">
        <v>-2.4245362661989844E-14</v>
      </c>
      <c r="K5">
        <v>159242</v>
      </c>
      <c r="L5" t="s">
        <v>2270</v>
      </c>
      <c r="O5" t="str">
        <f>_xll.BDS("FNB US Equity","SUPPLY_CHAIN_CUSTOMERS_ALL_DATA")</f>
        <v>#N/A N/A</v>
      </c>
      <c r="AE5" t="str">
        <f>_xll.BDS("GABC US Equity","SUPPLY_CHAIN_SUPPLIERS_ALL_DATA")</f>
        <v>#N/A N/A</v>
      </c>
      <c r="AS5" t="str">
        <f>_xll.BDS("GABC US Equity","SUPPLY_CHAIN_CUSTOMERS_ALL_DATA")</f>
        <v>#N/A N/A</v>
      </c>
      <c r="BI5" t="str">
        <f>_xll.BDS("1552309D US Equity","SUPPLY_CHAIN_SUPPLIERS_ALL_DATA")</f>
        <v>#N/A N/A</v>
      </c>
      <c r="BW5" t="str">
        <f>_xll.BDS("1552309D US Equity","SUPPLY_CHAIN_CUSTOMERS_ALL_DATA")</f>
        <v>#N/A N/A</v>
      </c>
      <c r="CM5" t="str">
        <f>_xll.BDS("DEVC US Equity","SUPPLY_CHAIN_SUPPLIERS_ALL_DATA")</f>
        <v>#N/A N/A</v>
      </c>
      <c r="DA5" t="str">
        <f>_xll.BDS("DEVC US Equity","SUPPLY_CHAIN_CUSTOMERS_ALL_DATA")</f>
        <v>#N/A N/A</v>
      </c>
      <c r="DQ5" t="str">
        <f>_xll.BDS("JKHY US Equity","SUPPLY_CHAIN_SUPPLIERS_ALL_DATA","cols=12;rows=5")</f>
        <v>7751 JP Equity</v>
      </c>
      <c r="DR5" t="s">
        <v>1777</v>
      </c>
      <c r="DS5">
        <v>9.7517999999999994E-2</v>
      </c>
      <c r="DT5">
        <v>2.237358</v>
      </c>
      <c r="DU5" t="s">
        <v>1768</v>
      </c>
      <c r="DV5">
        <v>2025</v>
      </c>
      <c r="DW5" t="s">
        <v>2602</v>
      </c>
      <c r="DX5" s="6">
        <v>45953</v>
      </c>
      <c r="DY5">
        <v>5</v>
      </c>
      <c r="DZ5">
        <v>7690750.5999999996</v>
      </c>
      <c r="EA5">
        <v>113389</v>
      </c>
      <c r="EB5" t="s">
        <v>2603</v>
      </c>
      <c r="EE5" t="str">
        <f>_xll.BDS("JKHY US Equity","SUPPLY_CHAIN_CUSTOMERS_ALL_DATA","cols=12;rows=3")</f>
        <v>CDW US Equity</v>
      </c>
      <c r="EF5">
        <v>9.6721000000000001E-2</v>
      </c>
      <c r="EG5" t="s">
        <v>1777</v>
      </c>
      <c r="EH5">
        <v>1.3880999999999999E-2</v>
      </c>
      <c r="EI5" t="s">
        <v>1781</v>
      </c>
      <c r="EJ5">
        <v>2025</v>
      </c>
      <c r="EK5" t="s">
        <v>1865</v>
      </c>
      <c r="EL5" s="6">
        <v>45820</v>
      </c>
      <c r="EM5">
        <v>3</v>
      </c>
      <c r="EN5">
        <v>565901</v>
      </c>
      <c r="EO5">
        <v>12129192</v>
      </c>
      <c r="EP5" t="s">
        <v>1866</v>
      </c>
      <c r="EU5" t="str">
        <f>_xll.BDS("MGRM US Equity","SUPPLY_CHAIN_SUPPLIERS_ALL_DATA")</f>
        <v>#N/A N/A</v>
      </c>
      <c r="FI5" t="str">
        <f>_xll.BDS("MGRM US Equity","SUPPLY_CHAIN_CUSTOMERS_ALL_DATA")</f>
        <v>#N/A N/A</v>
      </c>
      <c r="FY5" t="str">
        <f>_xll.BDS("IDPIQ US Equity","SUPPLY_CHAIN_SUPPLIERS_ALL_DATA")</f>
        <v>#N/A N/A</v>
      </c>
      <c r="GM5" t="str">
        <f>_xll.BDS("IDPIQ US Equity","SUPPLY_CHAIN_CUSTOMERS_ALL_DATA")</f>
        <v>#N/A N/A</v>
      </c>
      <c r="HC5" t="str">
        <f>_xll.BDS("ONB US Equity","SUPPLY_CHAIN_SUPPLIERS_ALL_DATA","cols=12;rows=3")</f>
        <v>FCPT US Equity</v>
      </c>
      <c r="HE5">
        <v>-2.4245362661989844E-14</v>
      </c>
      <c r="HF5">
        <v>-2.4245362661989844E-14</v>
      </c>
      <c r="HG5" t="s">
        <v>1789</v>
      </c>
      <c r="HH5">
        <v>2023</v>
      </c>
      <c r="HI5" t="s">
        <v>1964</v>
      </c>
      <c r="HJ5" s="6">
        <v>45337</v>
      </c>
      <c r="HK5">
        <v>3</v>
      </c>
      <c r="HL5">
        <v>-2.4245362661989844E-14</v>
      </c>
      <c r="HM5">
        <v>46177523</v>
      </c>
      <c r="HN5" t="s">
        <v>1965</v>
      </c>
      <c r="HQ5" t="str">
        <f>_xll.BDS("ONB US Equity","SUPPLY_CHAIN_CUSTOMERS_ALL_DATA")</f>
        <v>#N/A N/A</v>
      </c>
      <c r="IG5" t="str">
        <f>_xll.BDS("WSBC US Equity","SUPPLY_CHAIN_SUPPLIERS_ALL_DATA")</f>
        <v>#N/A N/A</v>
      </c>
      <c r="IU5" t="str">
        <f>_xll.BDS("WSBC US Equity","SUPPLY_CHAIN_CUSTOMERS_ALL_DATA","cols=12;rows=2")</f>
        <v>NINE CN Equity</v>
      </c>
      <c r="IV5">
        <v>-2.4245362661989844E-14</v>
      </c>
      <c r="IX5">
        <v>-2.4245362661989844E-14</v>
      </c>
      <c r="IY5" t="s">
        <v>1789</v>
      </c>
      <c r="IZ5">
        <v>2023</v>
      </c>
      <c r="JA5" t="s">
        <v>2906</v>
      </c>
      <c r="JB5" s="6">
        <v>44967</v>
      </c>
      <c r="JC5">
        <v>2</v>
      </c>
      <c r="JD5">
        <v>-2.4245362661989844E-14</v>
      </c>
      <c r="JE5">
        <v>67289203</v>
      </c>
      <c r="JF5" t="s">
        <v>2907</v>
      </c>
      <c r="JK5" t="str">
        <f>_xll.BDS("NIC US Equity","SUPPLY_CHAIN_SUPPLIERS_ALL_DATA","cols=12;rows=1")</f>
        <v>VYX US Equity</v>
      </c>
      <c r="JM5">
        <v>-2.4245362661989844E-14</v>
      </c>
      <c r="JN5">
        <v>-2.4245362661989844E-14</v>
      </c>
      <c r="JO5" t="s">
        <v>1785</v>
      </c>
      <c r="JP5">
        <v>2023</v>
      </c>
      <c r="JQ5" t="s">
        <v>3677</v>
      </c>
      <c r="JR5" s="6">
        <v>45730</v>
      </c>
      <c r="JS5">
        <v>1</v>
      </c>
      <c r="JT5">
        <v>-2.4245362661989844E-14</v>
      </c>
      <c r="JU5">
        <v>202476</v>
      </c>
      <c r="JV5" t="s">
        <v>1970</v>
      </c>
      <c r="JY5" t="str">
        <f>_xll.BDS("NIC US Equity","SUPPLY_CHAIN_CUSTOMERS_ALL_DATA")</f>
        <v>#N/A N/A</v>
      </c>
      <c r="KO5" t="str">
        <f>_xll.BDS("SSB US Equity","SUPPLY_CHAIN_SUPPLIERS_ALL_DATA","cols=12;rows=4")</f>
        <v>BLND US Equity</v>
      </c>
      <c r="KQ5">
        <v>-2.4245362661989844E-14</v>
      </c>
      <c r="KR5">
        <v>-2.4245362661989844E-14</v>
      </c>
      <c r="KS5" t="s">
        <v>1781</v>
      </c>
      <c r="KT5">
        <v>2025</v>
      </c>
      <c r="KU5" t="s">
        <v>3660</v>
      </c>
      <c r="KV5" s="6">
        <v>45785</v>
      </c>
      <c r="KW5">
        <v>4</v>
      </c>
      <c r="KX5">
        <v>-2.4245362661989844E-14</v>
      </c>
      <c r="KY5">
        <v>42447088</v>
      </c>
      <c r="KZ5" t="s">
        <v>2504</v>
      </c>
      <c r="LC5" t="str">
        <f>_xll.BDS("SSB US Equity","SUPPLY_CHAIN_CUSTOMERS_ALL_DATA")</f>
        <v>#N/A N/A</v>
      </c>
      <c r="LS5" t="str">
        <f>_xll.BDS("CWT US Equity","SUPPLY_CHAIN_SUPPLIERS_ALL_DATA","cols=12;rows=5")</f>
        <v>27252MF US Equity</v>
      </c>
      <c r="LT5" t="s">
        <v>1777</v>
      </c>
      <c r="LU5">
        <v>4.4350940000000003</v>
      </c>
      <c r="LV5">
        <v>5.2614999999999998</v>
      </c>
      <c r="LW5" t="s">
        <v>1789</v>
      </c>
      <c r="LX5">
        <v>2024</v>
      </c>
      <c r="LY5" t="s">
        <v>2813</v>
      </c>
      <c r="LZ5" s="6">
        <v>45763</v>
      </c>
      <c r="MA5">
        <v>5</v>
      </c>
      <c r="MB5">
        <v>3800000</v>
      </c>
      <c r="MC5">
        <v>1026152</v>
      </c>
      <c r="MD5" t="s">
        <v>3005</v>
      </c>
      <c r="MG5" t="str">
        <f>_xll.BDS("CWT US Equity","SUPPLY_CHAIN_CUSTOMERS_ALL_DATA","cols=12;rows=2")</f>
        <v>29859MF US Equity</v>
      </c>
      <c r="MH5">
        <v>-2.4245362661989844E-14</v>
      </c>
      <c r="MJ5">
        <v>-2.4245362661989844E-14</v>
      </c>
      <c r="MK5" t="s">
        <v>1789</v>
      </c>
      <c r="ML5">
        <v>2024</v>
      </c>
      <c r="MM5" t="s">
        <v>2813</v>
      </c>
      <c r="MN5" s="6">
        <v>45763</v>
      </c>
      <c r="MO5">
        <v>2</v>
      </c>
      <c r="MP5">
        <v>-2.4245362661989844E-14</v>
      </c>
      <c r="MQ5">
        <v>1021851</v>
      </c>
      <c r="MR5" t="s">
        <v>2814</v>
      </c>
      <c r="MW5" t="str">
        <f>_xll.BDS("4612775Q US Equity","SUPPLY_CHAIN_SUPPLIERS_ALL_DATA")</f>
        <v>#N/A N/A</v>
      </c>
      <c r="NK5" t="str">
        <f>_xll.BDS("4612775Q US Equity","SUPPLY_CHAIN_CUSTOMERS_ALL_DATA")</f>
        <v>#N/A N/A</v>
      </c>
      <c r="OA5" t="str">
        <f>_xll.BDS("FSCO US Equity","SUPPLY_CHAIN_SUPPLIERS_ALL_DATA")</f>
        <v>#N/A N/A</v>
      </c>
      <c r="OO5" t="str">
        <f>_xll.BDS("FSCO US Equity","SUPPLY_CHAIN_CUSTOMERS_ALL_DATA")</f>
        <v>#N/A N/A</v>
      </c>
      <c r="PE5" t="str">
        <f>_xll.BDS("BOKF US Equity","SUPPLY_CHAIN_SUPPLIERS_ALL_DATA","cols=12;rows=2")</f>
        <v>BLND US Equity</v>
      </c>
      <c r="PG5">
        <v>-2.4245362661989844E-14</v>
      </c>
      <c r="PH5">
        <v>-2.4245362661989844E-14</v>
      </c>
      <c r="PI5" t="s">
        <v>1781</v>
      </c>
      <c r="PJ5">
        <v>2025</v>
      </c>
      <c r="PK5" t="s">
        <v>3660</v>
      </c>
      <c r="PL5" s="6">
        <v>45785</v>
      </c>
      <c r="PM5">
        <v>2</v>
      </c>
      <c r="PN5">
        <v>-2.4245362661989844E-14</v>
      </c>
      <c r="PO5">
        <v>42447088</v>
      </c>
      <c r="PP5" t="s">
        <v>2504</v>
      </c>
      <c r="PS5" t="str">
        <f>_xll.BDS("BOKF US Equity","SUPPLY_CHAIN_CUSTOMERS_ALL_DATA")</f>
        <v>#N/A N/A</v>
      </c>
      <c r="QI5" t="str">
        <f>_xll.BDS("BRKL US Equity","SUPPLY_CHAIN_SUPPLIERS_ALL_DATA")</f>
        <v>#N/A N/A</v>
      </c>
      <c r="QW5" t="str">
        <f>_xll.BDS("BRKL US Equity","SUPPLY_CHAIN_CUSTOMERS_ALL_DATA")</f>
        <v>#N/A N/A</v>
      </c>
      <c r="RM5" t="str">
        <f>_xll.BDS("PILLQ US Equity","SUPPLY_CHAIN_SUPPLIERS_ALL_DATA")</f>
        <v>#N/A N/A</v>
      </c>
      <c r="SA5" t="str">
        <f>_xll.BDS("PILLQ US Equity","SUPPLY_CHAIN_CUSTOMERS_ALL_DATA")</f>
        <v>#N/A N/A</v>
      </c>
      <c r="SQ5" t="str">
        <f>_xll.BDS("BANR US Equity","SUPPLY_CHAIN_SUPPLIERS_ALL_DATA","cols=12;rows=1")</f>
        <v>AAT US Equity</v>
      </c>
      <c r="SR5" t="s">
        <v>1808</v>
      </c>
      <c r="SS5">
        <v>0.34412100000000001</v>
      </c>
      <c r="ST5">
        <v>0.40240700000000001</v>
      </c>
      <c r="SU5" t="s">
        <v>1789</v>
      </c>
      <c r="SV5">
        <v>2024</v>
      </c>
      <c r="SW5" t="s">
        <v>2977</v>
      </c>
      <c r="SX5" s="6">
        <v>45700</v>
      </c>
      <c r="SY5">
        <v>1</v>
      </c>
      <c r="SZ5">
        <v>393894</v>
      </c>
      <c r="TA5">
        <v>20828779</v>
      </c>
      <c r="TB5" t="s">
        <v>2978</v>
      </c>
      <c r="TE5" t="str">
        <f>_xll.BDS("BANR US Equity","SUPPLY_CHAIN_CUSTOMERS_ALL_DATA")</f>
        <v>#N/A N/A</v>
      </c>
      <c r="TU5" t="str">
        <f>_xll.BDS("SASR US Equity","SUPPLY_CHAIN_SUPPLIERS_ALL_DATA")</f>
        <v>#N/A N/A</v>
      </c>
      <c r="UI5" t="str">
        <f>_xll.BDS("SASR US Equity","SUPPLY_CHAIN_CUSTOMERS_ALL_DATA")</f>
        <v>#N/A N/A</v>
      </c>
      <c r="UY5" t="str">
        <f>_xll.BDS("BRKR US Equity","SUPPLY_CHAIN_SUPPLIERS_ALL_DATA","cols=12;rows=5")</f>
        <v>LMT US Equity</v>
      </c>
      <c r="UZ5" t="s">
        <v>1777</v>
      </c>
      <c r="VA5">
        <v>2.3806000000000001E-2</v>
      </c>
      <c r="VB5">
        <v>0.98338599999999998</v>
      </c>
      <c r="VC5" t="s">
        <v>1768</v>
      </c>
      <c r="VD5">
        <v>2025</v>
      </c>
      <c r="VE5" t="s">
        <v>3144</v>
      </c>
      <c r="VF5" s="6">
        <v>45904</v>
      </c>
      <c r="VG5">
        <v>5</v>
      </c>
      <c r="VH5">
        <v>4321979</v>
      </c>
      <c r="VI5">
        <v>156923</v>
      </c>
      <c r="VJ5" t="s">
        <v>1822</v>
      </c>
      <c r="VM5" t="str">
        <f>_xll.BDS("BRKR US Equity","SUPPLY_CHAIN_CUSTOMERS_ALL_DATA","cols=12;rows=5")</f>
        <v>0209593D SW Equity</v>
      </c>
      <c r="VN5">
        <v>-2.4245362661989844E-14</v>
      </c>
      <c r="VP5">
        <v>-2.4245362661989844E-14</v>
      </c>
      <c r="VQ5" t="s">
        <v>1789</v>
      </c>
      <c r="VR5">
        <v>2025</v>
      </c>
      <c r="VS5" t="s">
        <v>2826</v>
      </c>
      <c r="VT5" s="6">
        <v>46013</v>
      </c>
      <c r="VU5">
        <v>5</v>
      </c>
      <c r="VV5">
        <v>-2.4245362661989844E-14</v>
      </c>
      <c r="VW5">
        <v>19235899</v>
      </c>
      <c r="VX5" t="s">
        <v>2827</v>
      </c>
    </row>
    <row r="6" spans="1:600" x14ac:dyDescent="0.25">
      <c r="DQ6" t="s">
        <v>2604</v>
      </c>
      <c r="DR6" t="s">
        <v>1777</v>
      </c>
      <c r="DS6">
        <v>1.4858E-2</v>
      </c>
      <c r="DT6">
        <v>1.2865329999999999</v>
      </c>
      <c r="DU6" t="s">
        <v>1768</v>
      </c>
      <c r="DV6">
        <v>2026</v>
      </c>
      <c r="DW6" t="s">
        <v>2605</v>
      </c>
      <c r="DX6" s="6">
        <v>45919</v>
      </c>
      <c r="DY6">
        <v>5</v>
      </c>
      <c r="DZ6">
        <v>4424118</v>
      </c>
      <c r="EA6">
        <v>50985605</v>
      </c>
      <c r="EB6" t="s">
        <v>2606</v>
      </c>
      <c r="EE6" t="s">
        <v>2499</v>
      </c>
      <c r="EF6">
        <v>-2.4245362661989844E-14</v>
      </c>
      <c r="EH6">
        <v>-2.4245362661989844E-14</v>
      </c>
      <c r="EI6" t="s">
        <v>1789</v>
      </c>
      <c r="EJ6">
        <v>2022</v>
      </c>
      <c r="EK6" t="s">
        <v>2500</v>
      </c>
      <c r="EL6" s="6">
        <v>44900</v>
      </c>
      <c r="EM6">
        <v>3</v>
      </c>
      <c r="EN6">
        <v>-2.4245362661989844E-14</v>
      </c>
      <c r="EO6">
        <v>9151781</v>
      </c>
      <c r="EP6" t="s">
        <v>2501</v>
      </c>
      <c r="HC6" t="s">
        <v>1966</v>
      </c>
      <c r="HE6">
        <v>-2.4245362661989844E-14</v>
      </c>
      <c r="HF6">
        <v>-2.4245362661989844E-14</v>
      </c>
      <c r="HG6" t="s">
        <v>1781</v>
      </c>
      <c r="HH6">
        <v>2023</v>
      </c>
      <c r="HI6" t="s">
        <v>1967</v>
      </c>
      <c r="HJ6" s="6">
        <v>45020</v>
      </c>
      <c r="HK6">
        <v>3</v>
      </c>
      <c r="HL6">
        <v>-2.4245362661989844E-14</v>
      </c>
      <c r="HM6">
        <v>106252</v>
      </c>
      <c r="HN6" t="s">
        <v>1968</v>
      </c>
      <c r="IU6" t="s">
        <v>2908</v>
      </c>
      <c r="IV6">
        <v>-2.4245362661989844E-14</v>
      </c>
      <c r="IX6">
        <v>-2.4245362661989844E-14</v>
      </c>
      <c r="IY6" t="s">
        <v>1789</v>
      </c>
      <c r="IZ6">
        <v>2023</v>
      </c>
      <c r="JA6" t="s">
        <v>2909</v>
      </c>
      <c r="JB6" s="6">
        <v>44991</v>
      </c>
      <c r="JC6">
        <v>2</v>
      </c>
      <c r="JD6">
        <v>-2.4245362661989844E-14</v>
      </c>
      <c r="JE6">
        <v>57471390</v>
      </c>
      <c r="JF6" t="s">
        <v>2910</v>
      </c>
      <c r="KO6" t="s">
        <v>3016</v>
      </c>
      <c r="KQ6">
        <v>-2.4245362661989844E-14</v>
      </c>
      <c r="KR6">
        <v>-2.4245362661989844E-14</v>
      </c>
      <c r="KS6" t="s">
        <v>1789</v>
      </c>
      <c r="KT6">
        <v>2024</v>
      </c>
      <c r="KU6" t="s">
        <v>3017</v>
      </c>
      <c r="KV6" s="6">
        <v>45762</v>
      </c>
      <c r="KW6">
        <v>4</v>
      </c>
      <c r="KX6">
        <v>-2.4245362661989844E-14</v>
      </c>
      <c r="KY6">
        <v>46286147</v>
      </c>
      <c r="KZ6" t="s">
        <v>3018</v>
      </c>
      <c r="LS6" t="s">
        <v>3006</v>
      </c>
      <c r="LT6" t="s">
        <v>1777</v>
      </c>
      <c r="LU6">
        <v>59.937213999999997</v>
      </c>
      <c r="LV6">
        <v>4.9499639999999996</v>
      </c>
      <c r="LW6" t="s">
        <v>1789</v>
      </c>
      <c r="LX6">
        <v>2024</v>
      </c>
      <c r="LY6" t="s">
        <v>2813</v>
      </c>
      <c r="LZ6" s="6">
        <v>45763</v>
      </c>
      <c r="MA6">
        <v>5</v>
      </c>
      <c r="MB6">
        <v>3575000</v>
      </c>
      <c r="MC6">
        <v>1026609</v>
      </c>
      <c r="MD6" t="s">
        <v>3007</v>
      </c>
      <c r="MG6" t="s">
        <v>2815</v>
      </c>
      <c r="MH6">
        <v>-2.4245362661989844E-14</v>
      </c>
      <c r="MJ6">
        <v>-2.4245362661989844E-14</v>
      </c>
      <c r="MK6" t="s">
        <v>1789</v>
      </c>
      <c r="ML6">
        <v>2024</v>
      </c>
      <c r="MM6" t="s">
        <v>2813</v>
      </c>
      <c r="MN6" s="6">
        <v>45763</v>
      </c>
      <c r="MO6">
        <v>2</v>
      </c>
      <c r="MP6">
        <v>-2.4245362661989844E-14</v>
      </c>
      <c r="MQ6">
        <v>1022838</v>
      </c>
      <c r="MR6" t="s">
        <v>2816</v>
      </c>
      <c r="PE6" t="s">
        <v>3661</v>
      </c>
      <c r="PG6">
        <v>-2.4245362661989844E-14</v>
      </c>
      <c r="PH6">
        <v>-2.4245362661989844E-14</v>
      </c>
      <c r="PI6" t="s">
        <v>1781</v>
      </c>
      <c r="PJ6">
        <v>2024</v>
      </c>
      <c r="PK6" t="s">
        <v>3662</v>
      </c>
      <c r="PL6" s="6">
        <v>45432</v>
      </c>
      <c r="PM6">
        <v>2</v>
      </c>
      <c r="PN6">
        <v>-2.4245362661989844E-14</v>
      </c>
      <c r="PO6">
        <v>1750153</v>
      </c>
      <c r="PP6" t="s">
        <v>3663</v>
      </c>
      <c r="UY6" t="s">
        <v>3145</v>
      </c>
      <c r="UZ6" t="s">
        <v>2574</v>
      </c>
      <c r="VA6">
        <v>55</v>
      </c>
      <c r="VB6">
        <v>4.3133280000000003</v>
      </c>
      <c r="VC6" t="s">
        <v>1789</v>
      </c>
      <c r="VD6">
        <v>2025</v>
      </c>
      <c r="VE6" t="s">
        <v>3146</v>
      </c>
      <c r="VF6" s="6">
        <v>45929</v>
      </c>
      <c r="VG6">
        <v>5</v>
      </c>
      <c r="VH6">
        <v>4316476.43</v>
      </c>
      <c r="VI6">
        <v>7119162</v>
      </c>
      <c r="VJ6" t="s">
        <v>3147</v>
      </c>
      <c r="VM6" t="s">
        <v>2828</v>
      </c>
      <c r="VN6">
        <v>-2.4245362661989844E-14</v>
      </c>
      <c r="VP6">
        <v>-2.4245362661989844E-14</v>
      </c>
      <c r="VQ6" t="s">
        <v>1789</v>
      </c>
      <c r="VR6">
        <v>2023</v>
      </c>
      <c r="VS6" t="s">
        <v>2826</v>
      </c>
      <c r="VT6" s="6">
        <v>45002</v>
      </c>
      <c r="VU6">
        <v>5</v>
      </c>
      <c r="VV6">
        <v>-2.4245362661989844E-14</v>
      </c>
      <c r="VW6">
        <v>957423</v>
      </c>
      <c r="VX6" t="s">
        <v>2829</v>
      </c>
    </row>
    <row r="7" spans="1:600" x14ac:dyDescent="0.25">
      <c r="DQ7" t="s">
        <v>1955</v>
      </c>
      <c r="DR7" t="s">
        <v>1777</v>
      </c>
      <c r="DS7">
        <v>5.5360000000000001E-3</v>
      </c>
      <c r="DT7">
        <v>0.35021999999999998</v>
      </c>
      <c r="DU7" t="s">
        <v>1768</v>
      </c>
      <c r="DV7">
        <v>2025</v>
      </c>
      <c r="DW7" t="s">
        <v>1956</v>
      </c>
      <c r="DX7" s="6">
        <v>46065</v>
      </c>
      <c r="DY7">
        <v>5</v>
      </c>
      <c r="DZ7">
        <v>1229232</v>
      </c>
      <c r="EA7">
        <v>130929</v>
      </c>
      <c r="EB7" t="s">
        <v>1957</v>
      </c>
      <c r="EE7" t="s">
        <v>2502</v>
      </c>
      <c r="EF7">
        <v>-2.4245362661989844E-14</v>
      </c>
      <c r="EH7">
        <v>-2.4245362661989844E-14</v>
      </c>
      <c r="EI7" t="s">
        <v>1789</v>
      </c>
      <c r="EJ7">
        <v>2025</v>
      </c>
      <c r="EK7" t="s">
        <v>2503</v>
      </c>
      <c r="EL7" s="6">
        <v>45712</v>
      </c>
      <c r="EM7">
        <v>3</v>
      </c>
      <c r="EN7">
        <v>-2.4245362661989844E-14</v>
      </c>
      <c r="EO7">
        <v>42447088</v>
      </c>
      <c r="EP7" t="s">
        <v>2504</v>
      </c>
      <c r="HC7" t="s">
        <v>1121</v>
      </c>
      <c r="HE7">
        <v>-2.4245362661989844E-14</v>
      </c>
      <c r="HF7">
        <v>-2.4245362661989844E-14</v>
      </c>
      <c r="HG7" t="s">
        <v>1768</v>
      </c>
      <c r="HH7">
        <v>2023</v>
      </c>
      <c r="HI7" t="s">
        <v>1969</v>
      </c>
      <c r="HJ7" s="6">
        <v>45174</v>
      </c>
      <c r="HK7">
        <v>3</v>
      </c>
      <c r="HL7">
        <v>-2.4245362661989844E-14</v>
      </c>
      <c r="HM7">
        <v>202476</v>
      </c>
      <c r="HN7" t="s">
        <v>1970</v>
      </c>
      <c r="KO7" t="s">
        <v>4272</v>
      </c>
      <c r="KQ7">
        <v>-2.4245362661989844E-14</v>
      </c>
      <c r="KR7">
        <v>-2.4245362661989844E-14</v>
      </c>
      <c r="KS7" t="s">
        <v>1789</v>
      </c>
      <c r="KT7">
        <v>2024</v>
      </c>
      <c r="KU7" t="s">
        <v>4273</v>
      </c>
      <c r="KV7" s="6">
        <v>45743</v>
      </c>
      <c r="KW7">
        <v>4</v>
      </c>
      <c r="KX7">
        <v>-2.4245362661989844E-14</v>
      </c>
      <c r="KY7">
        <v>33322594</v>
      </c>
      <c r="KZ7" t="s">
        <v>4274</v>
      </c>
      <c r="LS7" t="s">
        <v>3008</v>
      </c>
      <c r="LU7">
        <v>-2.4245362661989844E-14</v>
      </c>
      <c r="LV7">
        <v>-2.4245362661989844E-14</v>
      </c>
      <c r="LW7" t="s">
        <v>1789</v>
      </c>
      <c r="LX7">
        <v>2024</v>
      </c>
      <c r="LY7" t="s">
        <v>2813</v>
      </c>
      <c r="LZ7" s="6">
        <v>45763</v>
      </c>
      <c r="MA7">
        <v>5</v>
      </c>
      <c r="MB7">
        <v>-2.4245362661989844E-14</v>
      </c>
      <c r="MC7">
        <v>231229</v>
      </c>
      <c r="MD7" t="s">
        <v>3009</v>
      </c>
      <c r="UY7" t="s">
        <v>3148</v>
      </c>
      <c r="UZ7" t="s">
        <v>1777</v>
      </c>
      <c r="VA7">
        <v>0.578098</v>
      </c>
      <c r="VB7">
        <v>0.97023700000000002</v>
      </c>
      <c r="VC7" t="s">
        <v>1781</v>
      </c>
      <c r="VD7">
        <v>2025</v>
      </c>
      <c r="VE7" t="s">
        <v>3149</v>
      </c>
      <c r="VF7" s="6">
        <v>45958</v>
      </c>
      <c r="VG7">
        <v>5</v>
      </c>
      <c r="VH7">
        <v>4263339.1900000004</v>
      </c>
      <c r="VI7">
        <v>111769</v>
      </c>
      <c r="VJ7" t="s">
        <v>3150</v>
      </c>
      <c r="VM7" t="s">
        <v>2830</v>
      </c>
      <c r="VN7">
        <v>-2.4245362661989844E-14</v>
      </c>
      <c r="VP7">
        <v>-2.4245362661989844E-14</v>
      </c>
      <c r="VQ7" t="s">
        <v>1789</v>
      </c>
      <c r="VR7">
        <v>2025</v>
      </c>
      <c r="VS7" t="s">
        <v>2826</v>
      </c>
      <c r="VT7" s="6">
        <v>46013</v>
      </c>
      <c r="VU7">
        <v>5</v>
      </c>
      <c r="VV7">
        <v>-2.4245362661989844E-14</v>
      </c>
      <c r="VW7">
        <v>952233</v>
      </c>
      <c r="VX7" t="s">
        <v>2831</v>
      </c>
    </row>
    <row r="8" spans="1:600" x14ac:dyDescent="0.25">
      <c r="DQ8" t="s">
        <v>679</v>
      </c>
      <c r="DR8" t="s">
        <v>1777</v>
      </c>
      <c r="DS8">
        <v>6.8989999999999998E-3</v>
      </c>
      <c r="DT8">
        <v>0.29454599999999997</v>
      </c>
      <c r="DU8" t="s">
        <v>1781</v>
      </c>
      <c r="DV8">
        <v>2025</v>
      </c>
      <c r="DW8" t="s">
        <v>2093</v>
      </c>
      <c r="DX8" s="6">
        <v>45797</v>
      </c>
      <c r="DY8">
        <v>5</v>
      </c>
      <c r="DZ8">
        <v>1003184</v>
      </c>
      <c r="EA8">
        <v>100801</v>
      </c>
      <c r="EB8" t="s">
        <v>1800</v>
      </c>
      <c r="KO8" t="s">
        <v>1121</v>
      </c>
      <c r="KQ8">
        <v>-2.4245362661989844E-14</v>
      </c>
      <c r="KR8">
        <v>-2.4245362661989844E-14</v>
      </c>
      <c r="KS8" t="s">
        <v>1768</v>
      </c>
      <c r="KT8">
        <v>2023</v>
      </c>
      <c r="KU8" t="s">
        <v>1969</v>
      </c>
      <c r="KV8" s="6">
        <v>45174</v>
      </c>
      <c r="KW8">
        <v>4</v>
      </c>
      <c r="KX8">
        <v>-2.4245362661989844E-14</v>
      </c>
      <c r="KY8">
        <v>202476</v>
      </c>
      <c r="KZ8" t="s">
        <v>1970</v>
      </c>
      <c r="LS8" t="s">
        <v>3010</v>
      </c>
      <c r="LU8">
        <v>-2.4245362661989844E-14</v>
      </c>
      <c r="LV8">
        <v>-2.4245362661989844E-14</v>
      </c>
      <c r="LW8" t="s">
        <v>1789</v>
      </c>
      <c r="LX8">
        <v>2024</v>
      </c>
      <c r="LY8" t="s">
        <v>2813</v>
      </c>
      <c r="LZ8" s="6">
        <v>45763</v>
      </c>
      <c r="MA8">
        <v>5</v>
      </c>
      <c r="MB8">
        <v>-2.4245362661989844E-14</v>
      </c>
      <c r="MC8">
        <v>1026767</v>
      </c>
      <c r="MD8" t="s">
        <v>3011</v>
      </c>
      <c r="UY8" t="s">
        <v>857</v>
      </c>
      <c r="UZ8" t="s">
        <v>1777</v>
      </c>
      <c r="VA8">
        <v>0.149176</v>
      </c>
      <c r="VB8">
        <v>0.51378299999999999</v>
      </c>
      <c r="VC8" t="s">
        <v>1768</v>
      </c>
      <c r="VD8">
        <v>2025</v>
      </c>
      <c r="VE8" t="s">
        <v>1930</v>
      </c>
      <c r="VF8" s="6">
        <v>45874</v>
      </c>
      <c r="VG8">
        <v>5</v>
      </c>
      <c r="VH8">
        <v>2258077</v>
      </c>
      <c r="VI8">
        <v>1094198</v>
      </c>
      <c r="VJ8" t="s">
        <v>3151</v>
      </c>
      <c r="VM8" t="s">
        <v>2832</v>
      </c>
      <c r="VN8">
        <v>-2.4245362661989844E-14</v>
      </c>
      <c r="VP8">
        <v>-2.4245362661989844E-14</v>
      </c>
      <c r="VQ8" t="s">
        <v>1789</v>
      </c>
      <c r="VR8">
        <v>2025</v>
      </c>
      <c r="VS8" t="s">
        <v>2826</v>
      </c>
      <c r="VT8" s="6">
        <v>45881</v>
      </c>
      <c r="VU8">
        <v>5</v>
      </c>
      <c r="VV8">
        <v>-2.4245362661989844E-14</v>
      </c>
      <c r="VW8">
        <v>35978090</v>
      </c>
      <c r="VX8" t="s">
        <v>2833</v>
      </c>
    </row>
    <row r="9" spans="1:600" x14ac:dyDescent="0.25">
      <c r="DQ9" t="s">
        <v>1905</v>
      </c>
      <c r="DR9" t="s">
        <v>1777</v>
      </c>
      <c r="DS9">
        <v>1.338E-3</v>
      </c>
      <c r="DT9">
        <v>0.275256</v>
      </c>
      <c r="DU9" t="s">
        <v>1773</v>
      </c>
      <c r="DV9">
        <v>2025</v>
      </c>
      <c r="DW9" t="s">
        <v>2357</v>
      </c>
      <c r="DX9" s="6">
        <v>45843</v>
      </c>
      <c r="DY9">
        <v>5</v>
      </c>
      <c r="DZ9">
        <v>937483</v>
      </c>
      <c r="EA9">
        <v>101743</v>
      </c>
      <c r="EB9" t="s">
        <v>1908</v>
      </c>
      <c r="LS9" t="s">
        <v>3012</v>
      </c>
      <c r="LU9">
        <v>-2.4245362661989844E-14</v>
      </c>
      <c r="LV9">
        <v>-2.4245362661989844E-14</v>
      </c>
      <c r="LW9" t="s">
        <v>1789</v>
      </c>
      <c r="LX9">
        <v>2024</v>
      </c>
      <c r="LY9" t="s">
        <v>2813</v>
      </c>
      <c r="LZ9" s="6">
        <v>45763</v>
      </c>
      <c r="MA9">
        <v>5</v>
      </c>
      <c r="MB9">
        <v>-2.4245362661989844E-14</v>
      </c>
      <c r="MC9">
        <v>1025784</v>
      </c>
      <c r="MD9" t="s">
        <v>3013</v>
      </c>
      <c r="UY9" t="s">
        <v>3152</v>
      </c>
      <c r="VA9">
        <v>-2.4245362661989844E-14</v>
      </c>
      <c r="VB9">
        <v>-2.4245362661989844E-14</v>
      </c>
      <c r="VC9" t="s">
        <v>1789</v>
      </c>
      <c r="VD9">
        <v>2022</v>
      </c>
      <c r="VE9" t="s">
        <v>2826</v>
      </c>
      <c r="VF9" s="6">
        <v>44784</v>
      </c>
      <c r="VG9">
        <v>5</v>
      </c>
      <c r="VH9">
        <v>-2.4245362661989844E-14</v>
      </c>
      <c r="VI9">
        <v>66345778</v>
      </c>
      <c r="VJ9" t="s">
        <v>3153</v>
      </c>
      <c r="VM9" t="s">
        <v>2834</v>
      </c>
      <c r="VN9">
        <v>-2.4245362661989844E-14</v>
      </c>
      <c r="VP9">
        <v>-2.4245362661989844E-14</v>
      </c>
      <c r="VQ9" t="s">
        <v>1789</v>
      </c>
      <c r="VR9">
        <v>2023</v>
      </c>
      <c r="VS9" t="s">
        <v>2826</v>
      </c>
      <c r="VT9" s="6">
        <v>45002</v>
      </c>
      <c r="VU9">
        <v>5</v>
      </c>
      <c r="VV9">
        <v>-2.4245362661989844E-14</v>
      </c>
      <c r="VW9">
        <v>957160</v>
      </c>
      <c r="VX9" t="s">
        <v>2835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1393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1394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1395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1396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1397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1398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1399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1400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1401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1402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1403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1404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1405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1406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1407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1408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1409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1410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1411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1412</v>
      </c>
      <c r="AE2" s="3" t="s">
        <v>1413</v>
      </c>
      <c r="BI2" s="3" t="s">
        <v>571</v>
      </c>
      <c r="CM2" s="3" t="s">
        <v>1414</v>
      </c>
      <c r="DQ2" s="3" t="s">
        <v>1415</v>
      </c>
      <c r="EU2" s="3" t="s">
        <v>1255</v>
      </c>
      <c r="FY2" s="3" t="s">
        <v>1416</v>
      </c>
      <c r="HC2" s="3" t="s">
        <v>1417</v>
      </c>
      <c r="IG2" s="3" t="s">
        <v>1418</v>
      </c>
      <c r="JK2" s="3" t="s">
        <v>426</v>
      </c>
      <c r="KO2" s="3" t="s">
        <v>1419</v>
      </c>
      <c r="LS2" s="3" t="s">
        <v>681</v>
      </c>
      <c r="MW2" s="3" t="s">
        <v>1420</v>
      </c>
      <c r="OA2" s="3" t="s">
        <v>1091</v>
      </c>
      <c r="PE2" s="3" t="s">
        <v>1421</v>
      </c>
      <c r="QI2" s="3" t="s">
        <v>1422</v>
      </c>
      <c r="RM2" s="3" t="s">
        <v>1423</v>
      </c>
      <c r="SQ2" s="3" t="s">
        <v>1424</v>
      </c>
      <c r="TU2" s="3" t="s">
        <v>1425</v>
      </c>
      <c r="UY2" s="3" t="s">
        <v>1426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_xll.BDS("AB US Equity","SUPPLY_CHAIN_SUPPLIERS_ALL_DATA","cols=12;rows=3")</f>
        <v>1779797D US Equity</v>
      </c>
      <c r="C5">
        <v>-2.4245362661989844E-14</v>
      </c>
      <c r="D5">
        <v>-2.4245362661989844E-14</v>
      </c>
      <c r="E5" t="s">
        <v>1789</v>
      </c>
      <c r="F5">
        <v>2024</v>
      </c>
      <c r="G5" t="s">
        <v>2588</v>
      </c>
      <c r="H5" s="6">
        <v>45320</v>
      </c>
      <c r="I5">
        <v>3</v>
      </c>
      <c r="J5">
        <v>-2.4245362661989844E-14</v>
      </c>
      <c r="K5">
        <v>67075920</v>
      </c>
      <c r="L5" t="s">
        <v>2589</v>
      </c>
      <c r="O5" t="str">
        <f>_xll.BDS("AB US Equity","SUPPLY_CHAIN_CUSTOMERS_ALL_DATA")</f>
        <v>#N/A N/A</v>
      </c>
      <c r="AE5" t="str">
        <f>_xll.BDS("1709056D US Equity","SUPPLY_CHAIN_SUPPLIERS_ALL_DATA")</f>
        <v>#N/A N/A</v>
      </c>
      <c r="AS5" t="str">
        <f>_xll.BDS("1709056D US Equity","SUPPLY_CHAIN_CUSTOMERS_ALL_DATA")</f>
        <v>#N/A N/A</v>
      </c>
      <c r="BI5" t="str">
        <f>_xll.BDS("CIVB US Equity","SUPPLY_CHAIN_SUPPLIERS_ALL_DATA")</f>
        <v>#N/A N/A</v>
      </c>
      <c r="BW5" t="str">
        <f>_xll.BDS("CIVB US Equity","SUPPLY_CHAIN_CUSTOMERS_ALL_DATA")</f>
        <v>#N/A N/A</v>
      </c>
      <c r="CM5" t="str">
        <f>_xll.BDS("SNBC US Equity","SUPPLY_CHAIN_SUPPLIERS_ALL_DATA")</f>
        <v>#N/A N/A</v>
      </c>
      <c r="DA5" t="str">
        <f>_xll.BDS("SNBC US Equity","SUPPLY_CHAIN_CUSTOMERS_ALL_DATA")</f>
        <v>#N/A N/A</v>
      </c>
      <c r="DQ5" t="str">
        <f>_xll.BDS("JAKK US Equity","SUPPLY_CHAIN_SUPPLIERS_ALL_DATA","cols=12;rows=5")</f>
        <v>002699 CH Equity</v>
      </c>
      <c r="DR5" t="s">
        <v>1777</v>
      </c>
      <c r="DS5">
        <v>72.781006000000005</v>
      </c>
      <c r="DT5">
        <v>20.584869000000001</v>
      </c>
      <c r="DU5" t="s">
        <v>1789</v>
      </c>
      <c r="DV5">
        <v>2024</v>
      </c>
      <c r="DW5" t="s">
        <v>3367</v>
      </c>
      <c r="DX5" s="6">
        <v>45722</v>
      </c>
      <c r="DY5">
        <v>5</v>
      </c>
      <c r="DZ5">
        <v>24600000</v>
      </c>
      <c r="EA5">
        <v>24451932</v>
      </c>
      <c r="EB5" t="s">
        <v>3801</v>
      </c>
      <c r="EE5" t="str">
        <f>_xll.BDS("JAKK US Equity","SUPPLY_CHAIN_CUSTOMERS_ALL_DATA","cols=12;rows=5")</f>
        <v>TGT US Equity</v>
      </c>
      <c r="EF5">
        <v>28.5</v>
      </c>
      <c r="EG5" t="s">
        <v>1777</v>
      </c>
      <c r="EH5">
        <v>0.33680399999999999</v>
      </c>
      <c r="EI5" t="s">
        <v>1773</v>
      </c>
      <c r="EJ5">
        <v>2025</v>
      </c>
      <c r="EK5" t="s">
        <v>3366</v>
      </c>
      <c r="EL5" s="6">
        <v>45961</v>
      </c>
      <c r="EM5">
        <v>5</v>
      </c>
      <c r="EN5">
        <v>60298000</v>
      </c>
      <c r="EO5">
        <v>100436</v>
      </c>
      <c r="EP5" t="s">
        <v>2294</v>
      </c>
      <c r="EU5" t="str">
        <f>_xll.BDS("BSX US Equity","SUPPLY_CHAIN_SUPPLIERS_ALL_DATA","cols=12;rows=5")</f>
        <v>FLEX US Equity</v>
      </c>
      <c r="EV5" t="s">
        <v>1777</v>
      </c>
      <c r="EW5">
        <v>0.45866000000000001</v>
      </c>
      <c r="EX5">
        <v>2.0511430000000002</v>
      </c>
      <c r="EY5" t="s">
        <v>1773</v>
      </c>
      <c r="EZ5">
        <v>2025</v>
      </c>
      <c r="FA5" t="s">
        <v>2136</v>
      </c>
      <c r="FB5" s="6">
        <v>45763</v>
      </c>
      <c r="FC5">
        <v>5</v>
      </c>
      <c r="FD5">
        <v>30069750</v>
      </c>
      <c r="FE5">
        <v>136547</v>
      </c>
      <c r="FF5" t="s">
        <v>2137</v>
      </c>
      <c r="FI5" t="str">
        <f>_xll.BDS("BSX US Equity","SUPPLY_CHAIN_CUSTOMERS_ALL_DATA","cols=12;rows=5")</f>
        <v>000078 CH Equity</v>
      </c>
      <c r="FJ5">
        <v>-2.4245362661989844E-14</v>
      </c>
      <c r="FL5">
        <v>-2.4245362661989844E-14</v>
      </c>
      <c r="FM5" t="s">
        <v>2183</v>
      </c>
      <c r="FN5">
        <v>2025</v>
      </c>
      <c r="FO5" t="s">
        <v>2184</v>
      </c>
      <c r="FP5" s="6">
        <v>45898</v>
      </c>
      <c r="FQ5">
        <v>5</v>
      </c>
      <c r="FR5">
        <v>-2.4245362661989844E-14</v>
      </c>
      <c r="FS5">
        <v>812235</v>
      </c>
      <c r="FT5" t="s">
        <v>2185</v>
      </c>
      <c r="FY5" t="str">
        <f>_xll.BDS("3097837Q US Equity","SUPPLY_CHAIN_SUPPLIERS_ALL_DATA")</f>
        <v>#N/A N/A</v>
      </c>
      <c r="GM5" t="str">
        <f>_xll.BDS("3097837Q US Equity","SUPPLY_CHAIN_CUSTOMERS_ALL_DATA")</f>
        <v>#N/A N/A</v>
      </c>
      <c r="HC5" t="str">
        <f>_xll.BDS("991592Q US Equity","SUPPLY_CHAIN_SUPPLIERS_ALL_DATA")</f>
        <v>#N/A N/A</v>
      </c>
      <c r="HQ5" t="str">
        <f>_xll.BDS("991592Q US Equity","SUPPLY_CHAIN_CUSTOMERS_ALL_DATA")</f>
        <v>#N/A N/A</v>
      </c>
      <c r="IG5" t="str">
        <f>_xll.BDS("2309719Q US Equity","SUPPLY_CHAIN_SUPPLIERS_ALL_DATA")</f>
        <v>#N/A N/A</v>
      </c>
      <c r="IU5" t="str">
        <f>_xll.BDS("2309719Q US Equity","SUPPLY_CHAIN_CUSTOMERS_ALL_DATA")</f>
        <v>#N/A N/A</v>
      </c>
      <c r="JK5" t="str">
        <f>_xll.BDS("LBAI US Equity","SUPPLY_CHAIN_SUPPLIERS_ALL_DATA")</f>
        <v>#N/A N/A</v>
      </c>
      <c r="JY5" t="str">
        <f>_xll.BDS("LBAI US Equity","SUPPLY_CHAIN_CUSTOMERS_ALL_DATA")</f>
        <v>#N/A N/A</v>
      </c>
      <c r="KO5" t="str">
        <f>_xll.BDS("CDNW US Equity","SUPPLY_CHAIN_SUPPLIERS_ALL_DATA")</f>
        <v>#N/A N/A</v>
      </c>
      <c r="LC5" t="str">
        <f>_xll.BDS("CDNW US Equity","SUPPLY_CHAIN_CUSTOMERS_ALL_DATA")</f>
        <v>#N/A N/A</v>
      </c>
      <c r="LS5" t="str">
        <f>_xll.BDS("UBSI US Equity","SUPPLY_CHAIN_SUPPLIERS_ALL_DATA","cols=12;rows=1")</f>
        <v>FICO US Equity</v>
      </c>
      <c r="LU5">
        <v>-2.4245362661989844E-14</v>
      </c>
      <c r="LV5">
        <v>-2.4245362661989844E-14</v>
      </c>
      <c r="LW5" t="s">
        <v>1789</v>
      </c>
      <c r="LX5">
        <v>2024</v>
      </c>
      <c r="LY5" t="s">
        <v>1933</v>
      </c>
      <c r="LZ5" s="6">
        <v>45348</v>
      </c>
      <c r="MA5">
        <v>1</v>
      </c>
      <c r="MB5">
        <v>-2.4245362661989844E-14</v>
      </c>
      <c r="MC5">
        <v>103869</v>
      </c>
      <c r="MD5" t="s">
        <v>1934</v>
      </c>
      <c r="MG5" t="str">
        <f>_xll.BDS("UBSI US Equity","SUPPLY_CHAIN_CUSTOMERS_ALL_DATA")</f>
        <v>#N/A N/A</v>
      </c>
      <c r="MW5" t="str">
        <f>_xll.BDS("HL US Equity","SUPPLY_CHAIN_SUPPLIERS_ALL_DATA","cols=12;rows=5")</f>
        <v>0082624D US Equity</v>
      </c>
      <c r="MY5">
        <v>-2.4245362661989844E-14</v>
      </c>
      <c r="MZ5">
        <v>-2.4245362661989844E-14</v>
      </c>
      <c r="NA5" t="s">
        <v>1773</v>
      </c>
      <c r="NB5">
        <v>2023</v>
      </c>
      <c r="NC5" t="s">
        <v>4793</v>
      </c>
      <c r="ND5" s="6">
        <v>45202</v>
      </c>
      <c r="NE5">
        <v>5</v>
      </c>
      <c r="NF5">
        <v>-2.4245362661989844E-14</v>
      </c>
      <c r="NG5">
        <v>26894537</v>
      </c>
      <c r="NH5" t="s">
        <v>4794</v>
      </c>
      <c r="NK5" t="str">
        <f>_xll.BDS("HL US Equity","SUPPLY_CHAIN_CUSTOMERS_ALL_DATA")</f>
        <v>#N/A N/A</v>
      </c>
      <c r="OA5" t="str">
        <f>_xll.BDS("ON US Equity","SUPPLY_CHAIN_SUPPLIERS_ALL_DATA","cols=12;rows=5")</f>
        <v>981 HK Equity</v>
      </c>
      <c r="OB5" t="s">
        <v>1777</v>
      </c>
      <c r="OC5">
        <v>1.149251</v>
      </c>
      <c r="OD5">
        <v>2.2420330000000002</v>
      </c>
      <c r="OE5" t="s">
        <v>1781</v>
      </c>
      <c r="OF5">
        <v>2025</v>
      </c>
      <c r="OG5" t="s">
        <v>4503</v>
      </c>
      <c r="OH5" s="6">
        <v>45846</v>
      </c>
      <c r="OI5">
        <v>5</v>
      </c>
      <c r="OJ5">
        <v>25825980</v>
      </c>
      <c r="OK5">
        <v>7039692</v>
      </c>
      <c r="OL5" t="s">
        <v>4349</v>
      </c>
      <c r="OO5" t="str">
        <f>_xll.BDS("ON US Equity","SUPPLY_CHAIN_CUSTOMERS_ALL_DATA","cols=12;rows=5")</f>
        <v>3036 TT Equity</v>
      </c>
      <c r="OP5">
        <v>10.876538999999999</v>
      </c>
      <c r="OQ5" t="s">
        <v>1777</v>
      </c>
      <c r="OR5">
        <v>1.98163</v>
      </c>
      <c r="OS5" t="s">
        <v>1768</v>
      </c>
      <c r="OT5">
        <v>2025</v>
      </c>
      <c r="OU5" t="s">
        <v>2273</v>
      </c>
      <c r="OV5" s="6">
        <v>45943</v>
      </c>
      <c r="OW5">
        <v>5</v>
      </c>
      <c r="OX5">
        <v>159743728</v>
      </c>
      <c r="OY5">
        <v>1459396</v>
      </c>
      <c r="OZ5" t="s">
        <v>2274</v>
      </c>
      <c r="PE5" t="str">
        <f>_xll.BDS("OPLN US Equity","SUPPLY_CHAIN_SUPPLIERS_ALL_DATA","cols=12;rows=1")</f>
        <v>GRT-U CN Equity</v>
      </c>
      <c r="PG5">
        <v>-2.4245362661989844E-14</v>
      </c>
      <c r="PH5">
        <v>-2.4245362661989844E-14</v>
      </c>
      <c r="PI5" t="s">
        <v>1789</v>
      </c>
      <c r="PJ5">
        <v>2021</v>
      </c>
      <c r="PK5" t="s">
        <v>4705</v>
      </c>
      <c r="PL5" s="6">
        <v>44629</v>
      </c>
      <c r="PM5">
        <v>1</v>
      </c>
      <c r="PN5">
        <v>-2.4245362661989844E-14</v>
      </c>
      <c r="PO5">
        <v>8216695</v>
      </c>
      <c r="PP5" t="s">
        <v>4706</v>
      </c>
      <c r="PS5" t="str">
        <f>_xll.BDS("OPLN US Equity","SUPPLY_CHAIN_CUSTOMERS_ALL_DATA","cols=12;rows=5")</f>
        <v>19280Z US Equity</v>
      </c>
      <c r="PT5">
        <v>-2.4245362661989844E-14</v>
      </c>
      <c r="PV5">
        <v>-2.4245362661989844E-14</v>
      </c>
      <c r="PW5" t="s">
        <v>1789</v>
      </c>
      <c r="PX5">
        <v>2025</v>
      </c>
      <c r="PY5" t="s">
        <v>3154</v>
      </c>
      <c r="PZ5" s="6">
        <v>46071</v>
      </c>
      <c r="QA5">
        <v>5</v>
      </c>
      <c r="QB5">
        <v>-2.4245362661989844E-14</v>
      </c>
      <c r="QC5">
        <v>883954</v>
      </c>
      <c r="QD5" t="s">
        <v>3155</v>
      </c>
      <c r="QI5" t="str">
        <f>_xll.BDS("SIFI US Equity","SUPPLY_CHAIN_SUPPLIERS_ALL_DATA")</f>
        <v>#N/A N/A</v>
      </c>
      <c r="QW5" t="str">
        <f>_xll.BDS("SIFI US Equity","SUPPLY_CHAIN_CUSTOMERS_ALL_DATA")</f>
        <v>#N/A N/A</v>
      </c>
      <c r="RM5" t="str">
        <f>_xll.BDS("DHR US Equity","SUPPLY_CHAIN_SUPPLIERS_ALL_DATA","cols=12;rows=5")</f>
        <v>FLEX US Equity</v>
      </c>
      <c r="RN5" t="s">
        <v>1777</v>
      </c>
      <c r="RO5">
        <v>1.165869</v>
      </c>
      <c r="RP5">
        <v>2.8864939999999999</v>
      </c>
      <c r="RQ5" t="s">
        <v>1773</v>
      </c>
      <c r="RR5">
        <v>2025</v>
      </c>
      <c r="RS5" t="s">
        <v>2136</v>
      </c>
      <c r="RT5" s="6">
        <v>45763</v>
      </c>
      <c r="RU5">
        <v>5</v>
      </c>
      <c r="RV5">
        <v>76434368</v>
      </c>
      <c r="RW5">
        <v>136547</v>
      </c>
      <c r="RX5" t="s">
        <v>2137</v>
      </c>
      <c r="SA5" t="str">
        <f>_xll.BDS("DHR US Equity","SUPPLY_CHAIN_CUSTOMERS_ALL_DATA","cols=12;rows=5")</f>
        <v>CDW US Equity</v>
      </c>
      <c r="SB5">
        <v>0.25350099999999998</v>
      </c>
      <c r="SC5" t="s">
        <v>1777</v>
      </c>
      <c r="SD5">
        <v>0.35698299999999999</v>
      </c>
      <c r="SE5" t="s">
        <v>1781</v>
      </c>
      <c r="SF5">
        <v>2025</v>
      </c>
      <c r="SG5" t="s">
        <v>1865</v>
      </c>
      <c r="SH5" s="6">
        <v>45820</v>
      </c>
      <c r="SI5">
        <v>5</v>
      </c>
      <c r="SJ5">
        <v>14553483</v>
      </c>
      <c r="SK5">
        <v>12129192</v>
      </c>
      <c r="SL5" t="s">
        <v>1866</v>
      </c>
      <c r="SQ5" t="str">
        <f>_xll.BDS("TWAV US Equity","SUPPLY_CHAIN_SUPPLIERS_ALL_DATA")</f>
        <v>#N/A N/A</v>
      </c>
      <c r="TE5" t="str">
        <f>_xll.BDS("TWAV US Equity","SUPPLY_CHAIN_CUSTOMERS_ALL_DATA","cols=12;rows=5")</f>
        <v>3414924Q US Equity</v>
      </c>
      <c r="TF5">
        <v>-2.4245362661989844E-14</v>
      </c>
      <c r="TH5">
        <v>-2.4245362661989844E-14</v>
      </c>
      <c r="TI5" t="s">
        <v>1789</v>
      </c>
      <c r="TJ5">
        <v>2024</v>
      </c>
      <c r="TK5" t="s">
        <v>2295</v>
      </c>
      <c r="TL5" s="6">
        <v>45734</v>
      </c>
      <c r="TM5">
        <v>5</v>
      </c>
      <c r="TN5">
        <v>-2.4245362661989844E-14</v>
      </c>
      <c r="TO5">
        <v>1499400</v>
      </c>
      <c r="TP5" t="s">
        <v>2296</v>
      </c>
      <c r="TU5" t="str">
        <f>_xll.BDS("EQY US Equity","SUPPLY_CHAIN_SUPPLIERS_ALL_DATA")</f>
        <v>#N/A N/A</v>
      </c>
      <c r="UI5" t="str">
        <f>_xll.BDS("EQY US Equity","SUPPLY_CHAIN_CUSTOMERS_ALL_DATA")</f>
        <v>#N/A N/A</v>
      </c>
      <c r="UY5" t="str">
        <f>_xll.BDS("LTWO US Equity","SUPPLY_CHAIN_SUPPLIERS_ALL_DATA")</f>
        <v>#N/A N/A</v>
      </c>
      <c r="VM5" t="str">
        <f>_xll.BDS("LTWO US Equity","SUPPLY_CHAIN_CUSTOMERS_ALL_DATA")</f>
        <v>#N/A N/A</v>
      </c>
    </row>
    <row r="6" spans="1:600" x14ac:dyDescent="0.25">
      <c r="A6" t="s">
        <v>2392</v>
      </c>
      <c r="C6">
        <v>-2.4245362661989844E-14</v>
      </c>
      <c r="D6">
        <v>-2.4245362661989844E-14</v>
      </c>
      <c r="E6" t="s">
        <v>1789</v>
      </c>
      <c r="F6">
        <v>2024</v>
      </c>
      <c r="G6" t="s">
        <v>2393</v>
      </c>
      <c r="H6" s="6">
        <v>45755</v>
      </c>
      <c r="I6">
        <v>3</v>
      </c>
      <c r="J6">
        <v>-2.4245362661989844E-14</v>
      </c>
      <c r="K6">
        <v>953675</v>
      </c>
      <c r="L6" t="s">
        <v>2394</v>
      </c>
      <c r="DQ6" t="s">
        <v>3802</v>
      </c>
      <c r="DR6" t="s">
        <v>1777</v>
      </c>
      <c r="DS6">
        <v>0.18715699999999999</v>
      </c>
      <c r="DT6">
        <v>4.8605140000000002</v>
      </c>
      <c r="DU6" t="s">
        <v>1768</v>
      </c>
      <c r="DV6">
        <v>2026</v>
      </c>
      <c r="DW6" t="s">
        <v>3803</v>
      </c>
      <c r="DX6" s="6">
        <v>46048</v>
      </c>
      <c r="DY6">
        <v>5</v>
      </c>
      <c r="DZ6">
        <v>6980838.7699999996</v>
      </c>
      <c r="EA6">
        <v>114322</v>
      </c>
      <c r="EB6" t="s">
        <v>3804</v>
      </c>
      <c r="EE6" t="s">
        <v>1801</v>
      </c>
      <c r="EF6">
        <v>20.200001</v>
      </c>
      <c r="EG6" t="s">
        <v>1777</v>
      </c>
      <c r="EH6">
        <v>3.2188000000000001E-2</v>
      </c>
      <c r="EI6" t="s">
        <v>1773</v>
      </c>
      <c r="EJ6">
        <v>2025</v>
      </c>
      <c r="EK6" t="s">
        <v>3366</v>
      </c>
      <c r="EL6" s="6">
        <v>45961</v>
      </c>
      <c r="EM6">
        <v>5</v>
      </c>
      <c r="EN6">
        <v>42736000</v>
      </c>
      <c r="EO6">
        <v>101616</v>
      </c>
      <c r="EP6" t="s">
        <v>1803</v>
      </c>
      <c r="EU6" t="s">
        <v>2423</v>
      </c>
      <c r="EV6" t="s">
        <v>1777</v>
      </c>
      <c r="EW6">
        <v>0.108844</v>
      </c>
      <c r="EX6">
        <v>0.58639399999999997</v>
      </c>
      <c r="EY6" t="s">
        <v>1773</v>
      </c>
      <c r="EZ6">
        <v>2025</v>
      </c>
      <c r="FA6" t="s">
        <v>2424</v>
      </c>
      <c r="FB6" s="6">
        <v>45867</v>
      </c>
      <c r="FC6">
        <v>5</v>
      </c>
      <c r="FD6">
        <v>8520308</v>
      </c>
      <c r="FE6">
        <v>117092</v>
      </c>
      <c r="FF6" t="s">
        <v>2425</v>
      </c>
      <c r="FI6" t="s">
        <v>2186</v>
      </c>
      <c r="FJ6">
        <v>-2.4245362661989844E-14</v>
      </c>
      <c r="FL6">
        <v>-2.4245362661989844E-14</v>
      </c>
      <c r="FM6" t="s">
        <v>1894</v>
      </c>
      <c r="FN6">
        <v>2025</v>
      </c>
      <c r="FO6" t="s">
        <v>2187</v>
      </c>
      <c r="FP6" s="6">
        <v>45975</v>
      </c>
      <c r="FQ6">
        <v>5</v>
      </c>
      <c r="FR6">
        <v>-2.4245362661989844E-14</v>
      </c>
      <c r="FS6">
        <v>866542</v>
      </c>
      <c r="FT6" t="s">
        <v>2188</v>
      </c>
      <c r="MW6" t="s">
        <v>4795</v>
      </c>
      <c r="MY6">
        <v>-2.4245362661989844E-14</v>
      </c>
      <c r="MZ6">
        <v>-2.4245362661989844E-14</v>
      </c>
      <c r="NA6" t="s">
        <v>1789</v>
      </c>
      <c r="NB6">
        <v>2023</v>
      </c>
      <c r="NC6" t="s">
        <v>4796</v>
      </c>
      <c r="ND6" s="6">
        <v>44978</v>
      </c>
      <c r="NE6">
        <v>5</v>
      </c>
      <c r="NF6">
        <v>-2.4245362661989844E-14</v>
      </c>
      <c r="NG6">
        <v>61329618</v>
      </c>
      <c r="NH6" t="s">
        <v>4797</v>
      </c>
      <c r="OA6" t="s">
        <v>2631</v>
      </c>
      <c r="OB6" t="s">
        <v>1777</v>
      </c>
      <c r="OC6">
        <v>0.60310900000000001</v>
      </c>
      <c r="OD6">
        <v>1.2434970000000001</v>
      </c>
      <c r="OE6" t="s">
        <v>1773</v>
      </c>
      <c r="OF6">
        <v>2025</v>
      </c>
      <c r="OG6" t="s">
        <v>2632</v>
      </c>
      <c r="OH6" s="6">
        <v>46035</v>
      </c>
      <c r="OI6">
        <v>5</v>
      </c>
      <c r="OJ6">
        <v>11983583</v>
      </c>
      <c r="OK6">
        <v>302680</v>
      </c>
      <c r="OL6" t="s">
        <v>2633</v>
      </c>
      <c r="OO6" t="s">
        <v>165</v>
      </c>
      <c r="OP6">
        <v>9.0821310000000004</v>
      </c>
      <c r="OQ6" t="s">
        <v>1777</v>
      </c>
      <c r="OR6">
        <v>1.98163</v>
      </c>
      <c r="OS6" t="s">
        <v>1768</v>
      </c>
      <c r="OT6">
        <v>2025</v>
      </c>
      <c r="OU6" t="s">
        <v>2273</v>
      </c>
      <c r="OV6" s="6">
        <v>45943</v>
      </c>
      <c r="OW6">
        <v>5</v>
      </c>
      <c r="OX6">
        <v>133389256</v>
      </c>
      <c r="OY6">
        <v>100115</v>
      </c>
      <c r="OZ6" t="s">
        <v>1871</v>
      </c>
      <c r="PS6" t="s">
        <v>3156</v>
      </c>
      <c r="PT6">
        <v>-2.4245362661989844E-14</v>
      </c>
      <c r="PV6">
        <v>-2.4245362661989844E-14</v>
      </c>
      <c r="PW6" t="s">
        <v>1789</v>
      </c>
      <c r="PX6">
        <v>2025</v>
      </c>
      <c r="PY6" t="s">
        <v>3154</v>
      </c>
      <c r="PZ6" s="6">
        <v>46071</v>
      </c>
      <c r="QA6">
        <v>5</v>
      </c>
      <c r="QB6">
        <v>-2.4245362661989844E-14</v>
      </c>
      <c r="QC6">
        <v>7336286</v>
      </c>
      <c r="QD6" t="s">
        <v>3157</v>
      </c>
      <c r="RM6" t="s">
        <v>2423</v>
      </c>
      <c r="RN6" t="s">
        <v>1777</v>
      </c>
      <c r="RO6">
        <v>0.147895</v>
      </c>
      <c r="RP6">
        <v>0.47978500000000002</v>
      </c>
      <c r="RQ6" t="s">
        <v>1773</v>
      </c>
      <c r="RR6">
        <v>2025</v>
      </c>
      <c r="RS6" t="s">
        <v>2424</v>
      </c>
      <c r="RT6" s="6">
        <v>45867</v>
      </c>
      <c r="RU6">
        <v>5</v>
      </c>
      <c r="RV6">
        <v>11577221</v>
      </c>
      <c r="RW6">
        <v>117092</v>
      </c>
      <c r="RX6" t="s">
        <v>2425</v>
      </c>
      <c r="SA6" t="s">
        <v>1902</v>
      </c>
      <c r="SB6">
        <v>0.22051499999999999</v>
      </c>
      <c r="SC6" t="s">
        <v>1777</v>
      </c>
      <c r="SD6">
        <v>9.3169000000000002E-2</v>
      </c>
      <c r="SE6" t="s">
        <v>1785</v>
      </c>
      <c r="SF6">
        <v>2025</v>
      </c>
      <c r="SG6" t="s">
        <v>1903</v>
      </c>
      <c r="SH6" s="6">
        <v>46056</v>
      </c>
      <c r="SI6">
        <v>5</v>
      </c>
      <c r="SJ6">
        <v>15078834</v>
      </c>
      <c r="SK6">
        <v>1499717</v>
      </c>
      <c r="SL6" t="s">
        <v>1904</v>
      </c>
      <c r="TE6" t="s">
        <v>2297</v>
      </c>
      <c r="TF6">
        <v>-2.4245362661989844E-14</v>
      </c>
      <c r="TH6">
        <v>-2.4245362661989844E-14</v>
      </c>
      <c r="TI6" t="s">
        <v>1789</v>
      </c>
      <c r="TJ6">
        <v>2022</v>
      </c>
      <c r="TK6" t="s">
        <v>2298</v>
      </c>
      <c r="TL6" s="6">
        <v>45006</v>
      </c>
      <c r="TM6">
        <v>5</v>
      </c>
      <c r="TN6">
        <v>-2.4245362661989844E-14</v>
      </c>
      <c r="TO6">
        <v>25582750</v>
      </c>
      <c r="TP6" t="s">
        <v>2299</v>
      </c>
    </row>
    <row r="7" spans="1:600" x14ac:dyDescent="0.25">
      <c r="A7" t="s">
        <v>2590</v>
      </c>
      <c r="C7">
        <v>-2.4245362661989844E-14</v>
      </c>
      <c r="D7">
        <v>-2.4245362661989844E-14</v>
      </c>
      <c r="E7" t="s">
        <v>2183</v>
      </c>
      <c r="F7">
        <v>2023</v>
      </c>
      <c r="G7" t="s">
        <v>2591</v>
      </c>
      <c r="H7" s="6">
        <v>45166</v>
      </c>
      <c r="I7">
        <v>3</v>
      </c>
      <c r="J7">
        <v>-2.4245362661989844E-14</v>
      </c>
      <c r="K7">
        <v>8504831</v>
      </c>
      <c r="L7" t="s">
        <v>2592</v>
      </c>
      <c r="DQ7" t="s">
        <v>1727</v>
      </c>
      <c r="DR7" t="s">
        <v>1777</v>
      </c>
      <c r="DS7">
        <v>1.0279999999999999E-2</v>
      </c>
      <c r="DT7">
        <v>0.49318499999999998</v>
      </c>
      <c r="DU7" t="s">
        <v>1768</v>
      </c>
      <c r="DV7">
        <v>2025</v>
      </c>
      <c r="DW7" t="s">
        <v>2367</v>
      </c>
      <c r="DX7" s="6">
        <v>45918</v>
      </c>
      <c r="DY7">
        <v>5</v>
      </c>
      <c r="DZ7">
        <v>394898</v>
      </c>
      <c r="EA7">
        <v>101397</v>
      </c>
      <c r="EB7" t="s">
        <v>2368</v>
      </c>
      <c r="EE7" t="s">
        <v>1814</v>
      </c>
      <c r="EF7">
        <v>10.6</v>
      </c>
      <c r="EG7" t="s">
        <v>1777</v>
      </c>
      <c r="EH7">
        <v>2.2419000000000001E-2</v>
      </c>
      <c r="EI7" t="s">
        <v>1789</v>
      </c>
      <c r="EJ7">
        <v>2024</v>
      </c>
      <c r="EK7" t="s">
        <v>3367</v>
      </c>
      <c r="EL7" s="6">
        <v>45722</v>
      </c>
      <c r="EM7">
        <v>5</v>
      </c>
      <c r="EN7">
        <v>18287250</v>
      </c>
      <c r="EO7">
        <v>216952</v>
      </c>
      <c r="EP7" t="s">
        <v>1815</v>
      </c>
      <c r="EU7" t="s">
        <v>3578</v>
      </c>
      <c r="EV7" t="s">
        <v>1777</v>
      </c>
      <c r="EW7">
        <v>0.82896099999999995</v>
      </c>
      <c r="EX7">
        <v>0.29375299999999999</v>
      </c>
      <c r="EY7" t="s">
        <v>1768</v>
      </c>
      <c r="EZ7">
        <v>2025</v>
      </c>
      <c r="FA7" t="s">
        <v>3579</v>
      </c>
      <c r="FB7" s="6">
        <v>45867</v>
      </c>
      <c r="FC7">
        <v>5</v>
      </c>
      <c r="FD7">
        <v>4597625.84</v>
      </c>
      <c r="FE7">
        <v>157487</v>
      </c>
      <c r="FF7" t="s">
        <v>3580</v>
      </c>
      <c r="FI7" t="s">
        <v>2189</v>
      </c>
      <c r="FJ7">
        <v>-2.4245362661989844E-14</v>
      </c>
      <c r="FL7">
        <v>-2.4245362661989844E-14</v>
      </c>
      <c r="FM7" t="s">
        <v>1894</v>
      </c>
      <c r="FN7">
        <v>2025</v>
      </c>
      <c r="FO7" t="s">
        <v>2190</v>
      </c>
      <c r="FP7" s="6">
        <v>45975</v>
      </c>
      <c r="FQ7">
        <v>5</v>
      </c>
      <c r="FR7">
        <v>-2.4245362661989844E-14</v>
      </c>
      <c r="FS7">
        <v>16631023</v>
      </c>
      <c r="FT7" t="s">
        <v>2191</v>
      </c>
      <c r="MW7" t="s">
        <v>4798</v>
      </c>
      <c r="MY7">
        <v>-2.4245362661989844E-14</v>
      </c>
      <c r="MZ7">
        <v>-2.4245362661989844E-14</v>
      </c>
      <c r="NA7" t="s">
        <v>1773</v>
      </c>
      <c r="NB7">
        <v>2023</v>
      </c>
      <c r="NC7" t="s">
        <v>4793</v>
      </c>
      <c r="ND7" s="6">
        <v>45202</v>
      </c>
      <c r="NE7">
        <v>5</v>
      </c>
      <c r="NF7">
        <v>-2.4245362661989844E-14</v>
      </c>
      <c r="NG7">
        <v>71158739</v>
      </c>
      <c r="NH7" t="s">
        <v>4799</v>
      </c>
      <c r="OA7" t="s">
        <v>4075</v>
      </c>
      <c r="OB7" t="s">
        <v>1777</v>
      </c>
      <c r="OC7">
        <v>0.11007599999999999</v>
      </c>
      <c r="OD7">
        <v>0.50764399999999998</v>
      </c>
      <c r="OE7" t="s">
        <v>1768</v>
      </c>
      <c r="OF7">
        <v>2026</v>
      </c>
      <c r="OG7" t="s">
        <v>4076</v>
      </c>
      <c r="OH7" s="6">
        <v>45999</v>
      </c>
      <c r="OI7">
        <v>5</v>
      </c>
      <c r="OJ7">
        <v>4898794.78</v>
      </c>
      <c r="OK7">
        <v>114713</v>
      </c>
      <c r="OL7" t="s">
        <v>4077</v>
      </c>
      <c r="OO7" t="s">
        <v>2275</v>
      </c>
      <c r="OP7">
        <v>6.7787360000000003</v>
      </c>
      <c r="OQ7" t="s">
        <v>1777</v>
      </c>
      <c r="OR7">
        <v>1.98163</v>
      </c>
      <c r="OS7" t="s">
        <v>1768</v>
      </c>
      <c r="OT7">
        <v>2025</v>
      </c>
      <c r="OU7" t="s">
        <v>2273</v>
      </c>
      <c r="OV7" s="6">
        <v>45943</v>
      </c>
      <c r="OW7">
        <v>5</v>
      </c>
      <c r="OX7">
        <v>99559296</v>
      </c>
      <c r="OY7">
        <v>100142</v>
      </c>
      <c r="OZ7" t="s">
        <v>2276</v>
      </c>
      <c r="PS7" t="s">
        <v>3158</v>
      </c>
      <c r="PT7">
        <v>-2.4245362661989844E-14</v>
      </c>
      <c r="PV7">
        <v>-2.4245362661989844E-14</v>
      </c>
      <c r="PW7" t="s">
        <v>1789</v>
      </c>
      <c r="PX7">
        <v>2025</v>
      </c>
      <c r="PY7" t="s">
        <v>3154</v>
      </c>
      <c r="PZ7" s="6">
        <v>46071</v>
      </c>
      <c r="QA7">
        <v>5</v>
      </c>
      <c r="QB7">
        <v>-2.4245362661989844E-14</v>
      </c>
      <c r="QC7">
        <v>9863945</v>
      </c>
      <c r="QD7" t="s">
        <v>3159</v>
      </c>
      <c r="RM7" t="s">
        <v>2562</v>
      </c>
      <c r="RN7" t="s">
        <v>1777</v>
      </c>
      <c r="RO7">
        <v>0.32230900000000001</v>
      </c>
      <c r="RP7">
        <v>0.38473400000000002</v>
      </c>
      <c r="RQ7" t="s">
        <v>1773</v>
      </c>
      <c r="RR7">
        <v>2025</v>
      </c>
      <c r="RS7" t="s">
        <v>2563</v>
      </c>
      <c r="RT7" s="6">
        <v>45891</v>
      </c>
      <c r="RU7">
        <v>5</v>
      </c>
      <c r="RV7">
        <v>9283621</v>
      </c>
      <c r="RW7">
        <v>100097</v>
      </c>
      <c r="RX7" t="s">
        <v>2564</v>
      </c>
      <c r="SA7" t="s">
        <v>2505</v>
      </c>
      <c r="SB7">
        <v>8.1423999999999996E-2</v>
      </c>
      <c r="SC7" t="s">
        <v>1777</v>
      </c>
      <c r="SD7">
        <v>0.194387</v>
      </c>
      <c r="SE7" t="s">
        <v>1773</v>
      </c>
      <c r="SF7">
        <v>2025</v>
      </c>
      <c r="SG7" t="s">
        <v>2506</v>
      </c>
      <c r="SH7" s="6">
        <v>45694</v>
      </c>
      <c r="SI7">
        <v>5</v>
      </c>
      <c r="SJ7">
        <v>5430637.3600000003</v>
      </c>
      <c r="SK7">
        <v>111827</v>
      </c>
      <c r="SL7" t="s">
        <v>2507</v>
      </c>
      <c r="TE7" t="s">
        <v>919</v>
      </c>
      <c r="TF7">
        <v>-2.4245362661989844E-14</v>
      </c>
      <c r="TH7">
        <v>-2.4245362661989844E-14</v>
      </c>
      <c r="TI7" t="s">
        <v>1789</v>
      </c>
      <c r="TJ7">
        <v>2024</v>
      </c>
      <c r="TK7" t="s">
        <v>2295</v>
      </c>
      <c r="TL7" s="6">
        <v>45734</v>
      </c>
      <c r="TM7">
        <v>5</v>
      </c>
      <c r="TN7">
        <v>-2.4245362661989844E-14</v>
      </c>
      <c r="TO7">
        <v>69423747</v>
      </c>
      <c r="TP7" t="s">
        <v>2300</v>
      </c>
    </row>
    <row r="8" spans="1:600" x14ac:dyDescent="0.25">
      <c r="DQ8" t="s">
        <v>3805</v>
      </c>
      <c r="DR8" t="s">
        <v>1777</v>
      </c>
      <c r="DS8">
        <v>1.2619999999999999E-2</v>
      </c>
      <c r="DT8">
        <v>0.26336700000000002</v>
      </c>
      <c r="DU8" t="s">
        <v>1781</v>
      </c>
      <c r="DV8">
        <v>2026</v>
      </c>
      <c r="DW8" t="s">
        <v>3806</v>
      </c>
      <c r="DX8" s="6">
        <v>45884</v>
      </c>
      <c r="DY8">
        <v>5</v>
      </c>
      <c r="DZ8">
        <v>210880</v>
      </c>
      <c r="EA8">
        <v>103678</v>
      </c>
      <c r="EB8" t="s">
        <v>3807</v>
      </c>
      <c r="EE8" t="s">
        <v>1851</v>
      </c>
      <c r="EF8">
        <v>1.608409</v>
      </c>
      <c r="EG8" t="s">
        <v>1777</v>
      </c>
      <c r="EH8">
        <v>9.5600000000000008E-3</v>
      </c>
      <c r="EI8" t="s">
        <v>1773</v>
      </c>
      <c r="EJ8">
        <v>2024</v>
      </c>
      <c r="EK8" t="s">
        <v>3368</v>
      </c>
      <c r="EL8" s="6">
        <v>45680</v>
      </c>
      <c r="EM8">
        <v>5</v>
      </c>
      <c r="EN8">
        <v>5172740</v>
      </c>
      <c r="EO8">
        <v>101758</v>
      </c>
      <c r="EP8" t="s">
        <v>1853</v>
      </c>
      <c r="EU8" t="s">
        <v>3939</v>
      </c>
      <c r="EV8" t="s">
        <v>1777</v>
      </c>
      <c r="EW8">
        <v>0.224579</v>
      </c>
      <c r="EX8">
        <v>0.108293</v>
      </c>
      <c r="EY8" t="s">
        <v>1773</v>
      </c>
      <c r="EZ8">
        <v>2025</v>
      </c>
      <c r="FA8" t="s">
        <v>3940</v>
      </c>
      <c r="FB8" s="6">
        <v>46009</v>
      </c>
      <c r="FC8">
        <v>5</v>
      </c>
      <c r="FD8">
        <v>1649301</v>
      </c>
      <c r="FE8">
        <v>101601</v>
      </c>
      <c r="FF8" t="s">
        <v>3941</v>
      </c>
      <c r="FI8" t="s">
        <v>2192</v>
      </c>
      <c r="FJ8">
        <v>-2.4245362661989844E-14</v>
      </c>
      <c r="FL8">
        <v>-2.4245362661989844E-14</v>
      </c>
      <c r="FM8" t="s">
        <v>1789</v>
      </c>
      <c r="FN8">
        <v>2025</v>
      </c>
      <c r="FO8" t="s">
        <v>2193</v>
      </c>
      <c r="FP8" s="6">
        <v>45834</v>
      </c>
      <c r="FQ8">
        <v>5</v>
      </c>
      <c r="FR8">
        <v>-2.4245362661989844E-14</v>
      </c>
      <c r="FS8">
        <v>11745327</v>
      </c>
      <c r="FT8" t="s">
        <v>2194</v>
      </c>
      <c r="MW8" t="s">
        <v>4800</v>
      </c>
      <c r="MY8">
        <v>-2.4245362661989844E-14</v>
      </c>
      <c r="MZ8">
        <v>-2.4245362661989844E-14</v>
      </c>
      <c r="NA8" t="s">
        <v>1773</v>
      </c>
      <c r="NB8">
        <v>2023</v>
      </c>
      <c r="NC8" t="s">
        <v>4793</v>
      </c>
      <c r="ND8" s="6">
        <v>45202</v>
      </c>
      <c r="NE8">
        <v>5</v>
      </c>
      <c r="NF8">
        <v>-2.4245362661989844E-14</v>
      </c>
      <c r="NG8">
        <v>58890738</v>
      </c>
      <c r="NH8" t="s">
        <v>4801</v>
      </c>
      <c r="OA8" t="s">
        <v>4504</v>
      </c>
      <c r="OB8" t="s">
        <v>1777</v>
      </c>
      <c r="OC8">
        <v>0.88656199999999996</v>
      </c>
      <c r="OD8">
        <v>0.361396</v>
      </c>
      <c r="OE8" t="s">
        <v>1785</v>
      </c>
      <c r="OF8">
        <v>2024</v>
      </c>
      <c r="OG8" t="s">
        <v>4505</v>
      </c>
      <c r="OH8" s="6">
        <v>45729</v>
      </c>
      <c r="OI8">
        <v>5</v>
      </c>
      <c r="OJ8">
        <v>3413042.89</v>
      </c>
      <c r="OK8">
        <v>880428</v>
      </c>
      <c r="OL8" t="s">
        <v>4506</v>
      </c>
      <c r="OO8" t="s">
        <v>2277</v>
      </c>
      <c r="OP8">
        <v>4.3691420000000001</v>
      </c>
      <c r="OQ8" t="s">
        <v>1777</v>
      </c>
      <c r="OR8">
        <v>0.22909099999999999</v>
      </c>
      <c r="OS8" t="s">
        <v>1768</v>
      </c>
      <c r="OT8">
        <v>2025</v>
      </c>
      <c r="OU8" t="s">
        <v>2273</v>
      </c>
      <c r="OV8" s="6">
        <v>45943</v>
      </c>
      <c r="OW8">
        <v>5</v>
      </c>
      <c r="OX8">
        <v>64169588</v>
      </c>
      <c r="OY8">
        <v>117621</v>
      </c>
      <c r="OZ8" t="s">
        <v>2278</v>
      </c>
      <c r="PS8" t="s">
        <v>3160</v>
      </c>
      <c r="PT8">
        <v>-2.4245362661989844E-14</v>
      </c>
      <c r="PV8">
        <v>-2.4245362661989844E-14</v>
      </c>
      <c r="PW8" t="s">
        <v>1789</v>
      </c>
      <c r="PX8">
        <v>2023</v>
      </c>
      <c r="PY8" t="s">
        <v>3161</v>
      </c>
      <c r="PZ8" s="6">
        <v>45344</v>
      </c>
      <c r="QA8">
        <v>5</v>
      </c>
      <c r="QB8">
        <v>-2.4245362661989844E-14</v>
      </c>
      <c r="QC8">
        <v>53409858</v>
      </c>
      <c r="QD8" t="s">
        <v>3162</v>
      </c>
      <c r="RM8" t="s">
        <v>2565</v>
      </c>
      <c r="RN8" t="s">
        <v>1777</v>
      </c>
      <c r="RO8">
        <v>1.1725810000000001</v>
      </c>
      <c r="RP8">
        <v>0.15703400000000001</v>
      </c>
      <c r="RQ8" t="s">
        <v>1781</v>
      </c>
      <c r="RR8">
        <v>2026</v>
      </c>
      <c r="RS8" t="s">
        <v>2566</v>
      </c>
      <c r="RT8" s="6">
        <v>46051</v>
      </c>
      <c r="RU8">
        <v>5</v>
      </c>
      <c r="RV8">
        <v>4510016</v>
      </c>
      <c r="RW8">
        <v>225757</v>
      </c>
      <c r="RX8" t="s">
        <v>2567</v>
      </c>
      <c r="SA8" t="s">
        <v>2508</v>
      </c>
      <c r="SB8">
        <v>6.6940000000000003E-3</v>
      </c>
      <c r="SC8" t="s">
        <v>1777</v>
      </c>
      <c r="SD8">
        <v>5.5948409999999997</v>
      </c>
      <c r="SE8" t="s">
        <v>1789</v>
      </c>
      <c r="SF8">
        <v>2024</v>
      </c>
      <c r="SG8" t="s">
        <v>2509</v>
      </c>
      <c r="SH8" s="6">
        <v>45819</v>
      </c>
      <c r="SI8">
        <v>5</v>
      </c>
      <c r="SJ8">
        <v>402911.11</v>
      </c>
      <c r="SK8">
        <v>15291339</v>
      </c>
      <c r="SL8" t="s">
        <v>2510</v>
      </c>
      <c r="TE8" t="s">
        <v>2301</v>
      </c>
      <c r="TF8">
        <v>-2.4245362661989844E-14</v>
      </c>
      <c r="TH8">
        <v>-2.4245362661989844E-14</v>
      </c>
      <c r="TI8" t="s">
        <v>1789</v>
      </c>
      <c r="TJ8">
        <v>2024</v>
      </c>
      <c r="TK8" t="s">
        <v>2295</v>
      </c>
      <c r="TL8" s="6">
        <v>45734</v>
      </c>
      <c r="TM8">
        <v>5</v>
      </c>
      <c r="TN8">
        <v>-2.4245362661989844E-14</v>
      </c>
      <c r="TO8">
        <v>170524</v>
      </c>
      <c r="TP8" t="s">
        <v>2302</v>
      </c>
    </row>
    <row r="9" spans="1:600" x14ac:dyDescent="0.25">
      <c r="DQ9" t="s">
        <v>3808</v>
      </c>
      <c r="DR9" t="s">
        <v>1777</v>
      </c>
      <c r="DS9">
        <v>8.9390000000000008E-3</v>
      </c>
      <c r="DT9">
        <v>0.154612</v>
      </c>
      <c r="DU9" t="s">
        <v>1785</v>
      </c>
      <c r="DV9">
        <v>2024</v>
      </c>
      <c r="DW9" t="s">
        <v>3809</v>
      </c>
      <c r="DX9" s="6">
        <v>45771</v>
      </c>
      <c r="DY9">
        <v>5</v>
      </c>
      <c r="DZ9">
        <v>147172</v>
      </c>
      <c r="EA9">
        <v>100950</v>
      </c>
      <c r="EB9" t="s">
        <v>3810</v>
      </c>
      <c r="EE9" t="s">
        <v>3369</v>
      </c>
      <c r="EF9">
        <v>0.948071</v>
      </c>
      <c r="EG9" t="s">
        <v>1777</v>
      </c>
      <c r="EH9">
        <v>5.8362999999999998E-2</v>
      </c>
      <c r="EI9" t="s">
        <v>1773</v>
      </c>
      <c r="EJ9">
        <v>2024</v>
      </c>
      <c r="EK9" t="s">
        <v>3368</v>
      </c>
      <c r="EL9" s="6">
        <v>45680</v>
      </c>
      <c r="EM9">
        <v>5</v>
      </c>
      <c r="EN9">
        <v>3049053</v>
      </c>
      <c r="EO9">
        <v>159765</v>
      </c>
      <c r="EP9" t="s">
        <v>3370</v>
      </c>
      <c r="EU9" t="s">
        <v>2019</v>
      </c>
      <c r="EV9" t="s">
        <v>1906</v>
      </c>
      <c r="EW9">
        <v>4.7656999999999998E-2</v>
      </c>
      <c r="EX9">
        <v>0.32179200000000002</v>
      </c>
      <c r="EY9" t="s">
        <v>1785</v>
      </c>
      <c r="EZ9">
        <v>2024</v>
      </c>
      <c r="FA9" t="s">
        <v>2020</v>
      </c>
      <c r="FB9" s="6">
        <v>45770</v>
      </c>
      <c r="FC9">
        <v>5</v>
      </c>
      <c r="FD9">
        <v>892312.96</v>
      </c>
      <c r="FE9">
        <v>186659</v>
      </c>
      <c r="FF9" t="s">
        <v>2021</v>
      </c>
      <c r="FI9" t="s">
        <v>2195</v>
      </c>
      <c r="FJ9">
        <v>-2.4245362661989844E-14</v>
      </c>
      <c r="FL9">
        <v>-2.4245362661989844E-14</v>
      </c>
      <c r="FM9" t="s">
        <v>2183</v>
      </c>
      <c r="FN9">
        <v>2025</v>
      </c>
      <c r="FO9" t="s">
        <v>2196</v>
      </c>
      <c r="FP9" s="6">
        <v>45895</v>
      </c>
      <c r="FQ9">
        <v>5</v>
      </c>
      <c r="FR9">
        <v>-2.4245362661989844E-14</v>
      </c>
      <c r="FS9">
        <v>20515250</v>
      </c>
      <c r="FT9" t="s">
        <v>2197</v>
      </c>
      <c r="MW9" t="s">
        <v>4802</v>
      </c>
      <c r="MY9">
        <v>-2.4245362661989844E-14</v>
      </c>
      <c r="MZ9">
        <v>-2.4245362661989844E-14</v>
      </c>
      <c r="NA9" t="s">
        <v>1781</v>
      </c>
      <c r="NB9">
        <v>2026</v>
      </c>
      <c r="NC9" t="s">
        <v>4803</v>
      </c>
      <c r="ND9" s="6">
        <v>45993</v>
      </c>
      <c r="NE9">
        <v>5</v>
      </c>
      <c r="NF9">
        <v>-2.4245362661989844E-14</v>
      </c>
      <c r="NG9">
        <v>14699050</v>
      </c>
      <c r="NH9" t="s">
        <v>4804</v>
      </c>
      <c r="OA9" t="s">
        <v>2788</v>
      </c>
      <c r="OB9" t="s">
        <v>1906</v>
      </c>
      <c r="OC9">
        <v>0.10218000000000001</v>
      </c>
      <c r="OD9">
        <v>4.8755769999999998</v>
      </c>
      <c r="OE9" t="s">
        <v>1768</v>
      </c>
      <c r="OF9">
        <v>2026</v>
      </c>
      <c r="OG9" t="s">
        <v>2789</v>
      </c>
      <c r="OH9" s="6">
        <v>46063</v>
      </c>
      <c r="OI9">
        <v>5</v>
      </c>
      <c r="OJ9">
        <v>3369024</v>
      </c>
      <c r="OK9">
        <v>101732</v>
      </c>
      <c r="OL9" t="s">
        <v>2790</v>
      </c>
      <c r="OO9" t="s">
        <v>2279</v>
      </c>
      <c r="OP9">
        <v>2.8023609999999999</v>
      </c>
      <c r="OQ9" t="s">
        <v>1777</v>
      </c>
      <c r="OR9">
        <v>0.52624300000000002</v>
      </c>
      <c r="OS9" t="s">
        <v>1768</v>
      </c>
      <c r="OT9">
        <v>2025</v>
      </c>
      <c r="OU9" t="s">
        <v>2273</v>
      </c>
      <c r="OV9" s="6">
        <v>45943</v>
      </c>
      <c r="OW9">
        <v>5</v>
      </c>
      <c r="OX9">
        <v>41158276</v>
      </c>
      <c r="OY9">
        <v>9568853</v>
      </c>
      <c r="OZ9" t="s">
        <v>2280</v>
      </c>
      <c r="PS9" t="s">
        <v>3163</v>
      </c>
      <c r="PT9">
        <v>-2.4245362661989844E-14</v>
      </c>
      <c r="PV9">
        <v>-2.4245362661989844E-14</v>
      </c>
      <c r="PW9" t="s">
        <v>1789</v>
      </c>
      <c r="PX9">
        <v>2025</v>
      </c>
      <c r="PY9" t="s">
        <v>3154</v>
      </c>
      <c r="PZ9" s="6">
        <v>46071</v>
      </c>
      <c r="QA9">
        <v>5</v>
      </c>
      <c r="QB9">
        <v>-2.4245362661989844E-14</v>
      </c>
      <c r="QC9">
        <v>1475463</v>
      </c>
      <c r="QD9" t="s">
        <v>3164</v>
      </c>
      <c r="RM9" t="s">
        <v>2358</v>
      </c>
      <c r="RN9" t="s">
        <v>1808</v>
      </c>
      <c r="RO9">
        <v>5.9742000000000003E-2</v>
      </c>
      <c r="RP9">
        <v>0.18884000000000001</v>
      </c>
      <c r="RQ9" t="s">
        <v>1768</v>
      </c>
      <c r="RR9">
        <v>2025</v>
      </c>
      <c r="RS9" t="s">
        <v>2359</v>
      </c>
      <c r="RT9" s="6">
        <v>45838</v>
      </c>
      <c r="RU9">
        <v>5</v>
      </c>
      <c r="RV9">
        <v>3508648</v>
      </c>
      <c r="RW9">
        <v>101689</v>
      </c>
      <c r="RX9" t="s">
        <v>2360</v>
      </c>
      <c r="SA9" t="s">
        <v>2511</v>
      </c>
      <c r="SB9">
        <v>5.1640000000000002E-3</v>
      </c>
      <c r="SC9" t="s">
        <v>1777</v>
      </c>
      <c r="SD9">
        <v>5.0558560000000003</v>
      </c>
      <c r="SE9" t="s">
        <v>1789</v>
      </c>
      <c r="SF9">
        <v>2024</v>
      </c>
      <c r="SG9" t="s">
        <v>2512</v>
      </c>
      <c r="SH9" s="6">
        <v>45814</v>
      </c>
      <c r="SI9">
        <v>5</v>
      </c>
      <c r="SJ9">
        <v>310853.61</v>
      </c>
      <c r="SK9">
        <v>36034450</v>
      </c>
      <c r="SL9" t="s">
        <v>2513</v>
      </c>
      <c r="TE9" t="s">
        <v>785</v>
      </c>
      <c r="TF9">
        <v>-2.4245362661989844E-14</v>
      </c>
      <c r="TH9">
        <v>-2.4245362661989844E-14</v>
      </c>
      <c r="TI9" t="s">
        <v>1789</v>
      </c>
      <c r="TJ9">
        <v>2024</v>
      </c>
      <c r="TK9" t="s">
        <v>2295</v>
      </c>
      <c r="TL9" s="6">
        <v>45734</v>
      </c>
      <c r="TM9">
        <v>5</v>
      </c>
      <c r="TN9">
        <v>-2.4245362661989844E-14</v>
      </c>
      <c r="TO9">
        <v>100732</v>
      </c>
      <c r="TP9" t="s">
        <v>1962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1429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1430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1431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1432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1433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1434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1435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1436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1437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1438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1439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1440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1441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1442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1443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1444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1445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1446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1447</v>
      </c>
      <c r="AE2" s="3" t="s">
        <v>1448</v>
      </c>
      <c r="BI2" s="3" t="s">
        <v>1449</v>
      </c>
      <c r="CM2" s="3" t="s">
        <v>158</v>
      </c>
      <c r="DQ2" s="3" t="s">
        <v>850</v>
      </c>
      <c r="EU2" s="3" t="s">
        <v>918</v>
      </c>
      <c r="FY2" s="3" t="s">
        <v>1450</v>
      </c>
      <c r="HC2" s="3" t="s">
        <v>1451</v>
      </c>
      <c r="IG2" s="3" t="s">
        <v>1452</v>
      </c>
      <c r="JK2" s="3" t="s">
        <v>354</v>
      </c>
      <c r="KO2" s="3" t="s">
        <v>1453</v>
      </c>
      <c r="LS2" s="3" t="s">
        <v>1454</v>
      </c>
      <c r="MW2" s="3" t="s">
        <v>1455</v>
      </c>
      <c r="OA2" s="3" t="s">
        <v>456</v>
      </c>
      <c r="PE2" s="3" t="s">
        <v>1456</v>
      </c>
      <c r="QI2" s="3" t="s">
        <v>1457</v>
      </c>
      <c r="RM2" s="3" t="s">
        <v>1458</v>
      </c>
      <c r="SQ2" s="3" t="s">
        <v>385</v>
      </c>
      <c r="TU2" s="3" t="s">
        <v>1459</v>
      </c>
      <c r="UY2" s="3" t="s">
        <v>160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_xll.BDS("TXN US Equity","SUPPLY_CHAIN_SUPPLIERS_ALL_DATA","cols=12;rows=5")</f>
        <v>2330 TT Equity</v>
      </c>
      <c r="B5" t="s">
        <v>1777</v>
      </c>
      <c r="C5">
        <v>0.48809900000000001</v>
      </c>
      <c r="D5">
        <v>7.736631</v>
      </c>
      <c r="E5" t="s">
        <v>1785</v>
      </c>
      <c r="F5">
        <v>2024</v>
      </c>
      <c r="G5" t="s">
        <v>2133</v>
      </c>
      <c r="H5" s="6">
        <v>45741</v>
      </c>
      <c r="I5">
        <v>5</v>
      </c>
      <c r="J5">
        <v>131034563.84999999</v>
      </c>
      <c r="K5">
        <v>153737</v>
      </c>
      <c r="L5" t="s">
        <v>2134</v>
      </c>
      <c r="O5" t="str">
        <f>_xll.BDS("TXN US Equity","SUPPLY_CHAIN_CUSTOMERS_ALL_DATA","cols=12;rows=5")</f>
        <v>VOW GR Equity</v>
      </c>
      <c r="P5">
        <v>6.0573319999999997</v>
      </c>
      <c r="Q5" t="s">
        <v>1777</v>
      </c>
      <c r="R5">
        <v>0.37687500000000002</v>
      </c>
      <c r="S5" t="s">
        <v>1773</v>
      </c>
      <c r="T5">
        <v>2025</v>
      </c>
      <c r="U5" t="s">
        <v>3363</v>
      </c>
      <c r="V5" s="6">
        <v>45954</v>
      </c>
      <c r="W5">
        <v>5</v>
      </c>
      <c r="X5">
        <v>287238688</v>
      </c>
      <c r="Y5">
        <v>115757</v>
      </c>
      <c r="Z5" t="s">
        <v>3364</v>
      </c>
      <c r="AE5" t="str">
        <f>_xll.BDS("EFX US Equity","SUPPLY_CHAIN_SUPPLIERS_ALL_DATA","cols=12;rows=5")</f>
        <v>FICO US Equity</v>
      </c>
      <c r="AF5" t="s">
        <v>1808</v>
      </c>
      <c r="AG5">
        <v>17.381622</v>
      </c>
      <c r="AH5">
        <v>23.123028000000001</v>
      </c>
      <c r="AI5" t="s">
        <v>1768</v>
      </c>
      <c r="AJ5">
        <v>2025</v>
      </c>
      <c r="AK5" t="s">
        <v>4407</v>
      </c>
      <c r="AL5" s="6">
        <v>45797</v>
      </c>
      <c r="AM5">
        <v>5</v>
      </c>
      <c r="AN5">
        <v>86688232</v>
      </c>
      <c r="AO5">
        <v>103869</v>
      </c>
      <c r="AP5" t="s">
        <v>1934</v>
      </c>
      <c r="AS5" t="str">
        <f>_xll.BDS("EFX US Equity","SUPPLY_CHAIN_CUSTOMERS_ALL_DATA","cols=12;rows=5")</f>
        <v>2512660D US Equity</v>
      </c>
      <c r="AT5">
        <v>-2.4245362661989844E-14</v>
      </c>
      <c r="AV5">
        <v>-2.4245362661989844E-14</v>
      </c>
      <c r="AW5" t="s">
        <v>1789</v>
      </c>
      <c r="AX5">
        <v>2022</v>
      </c>
      <c r="AY5" t="s">
        <v>3231</v>
      </c>
      <c r="AZ5" s="6">
        <v>44938</v>
      </c>
      <c r="BA5">
        <v>5</v>
      </c>
      <c r="BB5">
        <v>-2.4245362661989844E-14</v>
      </c>
      <c r="BC5">
        <v>17999121</v>
      </c>
      <c r="BD5" t="s">
        <v>3232</v>
      </c>
      <c r="BI5" t="str">
        <f>_xll.BDS("TCI US Equity","SUPPLY_CHAIN_SUPPLIERS_ALL_DATA","cols=12;rows=1")</f>
        <v>4401 TT Equity</v>
      </c>
      <c r="BK5">
        <v>-2.4245362661989844E-14</v>
      </c>
      <c r="BL5">
        <v>-2.4245362661989844E-14</v>
      </c>
      <c r="BM5" t="s">
        <v>1773</v>
      </c>
      <c r="BN5">
        <v>2024</v>
      </c>
      <c r="BO5" t="s">
        <v>4429</v>
      </c>
      <c r="BP5" s="6">
        <v>45616</v>
      </c>
      <c r="BQ5">
        <v>1</v>
      </c>
      <c r="BR5">
        <v>-2.4245362661989844E-14</v>
      </c>
      <c r="BS5">
        <v>183981</v>
      </c>
      <c r="BT5" t="s">
        <v>4430</v>
      </c>
      <c r="BW5" t="str">
        <f>_xll.BDS("TCI US Equity","SUPPLY_CHAIN_CUSTOMERS_ALL_DATA")</f>
        <v>#N/A N/A</v>
      </c>
      <c r="CM5" t="str">
        <f>_xll.BDS("VLY US Equity","SUPPLY_CHAIN_SUPPLIERS_ALL_DATA","cols=12;rows=2")</f>
        <v>VNO US Equity</v>
      </c>
      <c r="CO5">
        <v>-2.4245362661989844E-14</v>
      </c>
      <c r="CP5">
        <v>-2.4245362661989844E-14</v>
      </c>
      <c r="CQ5" t="s">
        <v>1789</v>
      </c>
      <c r="CR5">
        <v>2022</v>
      </c>
      <c r="CS5" t="s">
        <v>3003</v>
      </c>
      <c r="CT5" s="6">
        <v>44970</v>
      </c>
      <c r="CU5">
        <v>2</v>
      </c>
      <c r="CV5">
        <v>-2.4245362661989844E-14</v>
      </c>
      <c r="CW5">
        <v>101608</v>
      </c>
      <c r="CX5" t="s">
        <v>3004</v>
      </c>
      <c r="DA5" t="str">
        <f>_xll.BDS("VLY US Equity","SUPPLY_CHAIN_CUSTOMERS_ALL_DATA")</f>
        <v>#N/A N/A</v>
      </c>
      <c r="DQ5" t="str">
        <f>_xll.BDS("KRNY US Equity","SUPPLY_CHAIN_SUPPLIERS_ALL_DATA","cols=12;rows=1")</f>
        <v>FISV US Equity</v>
      </c>
      <c r="DS5">
        <v>-2.4245362661989844E-14</v>
      </c>
      <c r="DT5">
        <v>-2.4245362661989844E-14</v>
      </c>
      <c r="DU5" t="s">
        <v>1789</v>
      </c>
      <c r="DV5">
        <v>2022</v>
      </c>
      <c r="DW5" t="s">
        <v>2568</v>
      </c>
      <c r="DX5" s="6">
        <v>44671</v>
      </c>
      <c r="DY5">
        <v>1</v>
      </c>
      <c r="DZ5">
        <v>-2.4245362661989844E-14</v>
      </c>
      <c r="EA5">
        <v>103882</v>
      </c>
      <c r="EB5" t="s">
        <v>2046</v>
      </c>
      <c r="EE5" t="str">
        <f>_xll.BDS("KRNY US Equity","SUPPLY_CHAIN_CUSTOMERS_ALL_DATA")</f>
        <v>#N/A N/A</v>
      </c>
      <c r="EU5" t="str">
        <f>_xll.BDS("RILY US Equity","SUPPLY_CHAIN_SUPPLIERS_ALL_DATA","cols=12;rows=5")</f>
        <v>1460 TT Equity</v>
      </c>
      <c r="EW5">
        <v>-2.4245362661989844E-14</v>
      </c>
      <c r="EX5">
        <v>-2.4245362661989844E-14</v>
      </c>
      <c r="EY5" t="s">
        <v>1781</v>
      </c>
      <c r="EZ5">
        <v>2023</v>
      </c>
      <c r="FA5" t="s">
        <v>2343</v>
      </c>
      <c r="FB5" s="6">
        <v>45126</v>
      </c>
      <c r="FC5">
        <v>5</v>
      </c>
      <c r="FD5">
        <v>-2.4245362661989844E-14</v>
      </c>
      <c r="FE5">
        <v>169120</v>
      </c>
      <c r="FF5" t="s">
        <v>2344</v>
      </c>
      <c r="FI5" t="str">
        <f>_xll.BDS("RILY US Equity","SUPPLY_CHAIN_CUSTOMERS_ALL_DATA","cols=12;rows=5")</f>
        <v>CCC LN Equity</v>
      </c>
      <c r="FJ5">
        <v>2.8645E-2</v>
      </c>
      <c r="FK5" t="s">
        <v>1777</v>
      </c>
      <c r="FL5">
        <v>2.4290000000000002E-3</v>
      </c>
      <c r="FM5" t="s">
        <v>1768</v>
      </c>
      <c r="FN5">
        <v>2025</v>
      </c>
      <c r="FO5" t="s">
        <v>2448</v>
      </c>
      <c r="FP5" s="6">
        <v>46008</v>
      </c>
      <c r="FQ5">
        <v>5</v>
      </c>
      <c r="FR5">
        <v>56488.74</v>
      </c>
      <c r="FS5">
        <v>349049</v>
      </c>
      <c r="FT5" t="s">
        <v>2449</v>
      </c>
      <c r="FY5" t="str">
        <f>_xll.BDS("ESIC US Equity","SUPPLY_CHAIN_SUPPLIERS_ALL_DATA")</f>
        <v>#N/A N/A</v>
      </c>
      <c r="GM5" t="str">
        <f>_xll.BDS("ESIC US Equity","SUPPLY_CHAIN_CUSTOMERS_ALL_DATA")</f>
        <v>#N/A N/A</v>
      </c>
      <c r="HC5" t="str">
        <f>_xll.BDS("UNH US Equity","SUPPLY_CHAIN_SUPPLIERS_ALL_DATA","cols=12;rows=5")</f>
        <v>VRTX US Equity</v>
      </c>
      <c r="HD5" t="s">
        <v>1777</v>
      </c>
      <c r="HE5">
        <v>9.6255240000000004</v>
      </c>
      <c r="HF5">
        <v>0.32416699999999998</v>
      </c>
      <c r="HG5" t="s">
        <v>1785</v>
      </c>
      <c r="HH5">
        <v>2025</v>
      </c>
      <c r="HI5" t="s">
        <v>1935</v>
      </c>
      <c r="HJ5" s="6">
        <v>46077</v>
      </c>
      <c r="HK5">
        <v>5</v>
      </c>
      <c r="HL5">
        <v>307054208</v>
      </c>
      <c r="HM5">
        <v>107741</v>
      </c>
      <c r="HN5" t="s">
        <v>1936</v>
      </c>
      <c r="HQ5" t="str">
        <f>_xll.BDS("UNH US Equity","SUPPLY_CHAIN_CUSTOMERS_ALL_DATA","cols=12;rows=5")</f>
        <v>9877893Z US Equity</v>
      </c>
      <c r="HR5">
        <v>40</v>
      </c>
      <c r="HT5">
        <v>-2.4245362661989844E-14</v>
      </c>
      <c r="HU5" t="s">
        <v>1789</v>
      </c>
      <c r="HV5">
        <v>2024</v>
      </c>
      <c r="HW5" t="s">
        <v>1795</v>
      </c>
      <c r="HX5" s="6">
        <v>45715</v>
      </c>
      <c r="HY5">
        <v>5</v>
      </c>
      <c r="HZ5">
        <v>40027799552</v>
      </c>
      <c r="IA5">
        <v>17483390</v>
      </c>
      <c r="IB5" t="s">
        <v>1796</v>
      </c>
      <c r="IG5" t="str">
        <f>_xll.BDS("ROP US Equity","SUPPLY_CHAIN_SUPPLIERS_ALL_DATA","cols=12;rows=5")</f>
        <v>MSFT US Equity</v>
      </c>
      <c r="IH5" t="s">
        <v>1777</v>
      </c>
      <c r="II5">
        <v>1.7570000000000001E-3</v>
      </c>
      <c r="IJ5">
        <v>0.227879</v>
      </c>
      <c r="IK5" t="s">
        <v>1773</v>
      </c>
      <c r="IL5">
        <v>2025</v>
      </c>
      <c r="IM5" t="s">
        <v>2357</v>
      </c>
      <c r="IN5" s="6">
        <v>45843</v>
      </c>
      <c r="IO5">
        <v>5</v>
      </c>
      <c r="IP5">
        <v>1231060</v>
      </c>
      <c r="IQ5">
        <v>101743</v>
      </c>
      <c r="IR5" t="s">
        <v>1908</v>
      </c>
      <c r="IU5" t="str">
        <f>_xll.BDS("ROP US Equity","SUPPLY_CHAIN_CUSTOMERS_ALL_DATA","cols=12;rows=5")</f>
        <v>CDW US Equity</v>
      </c>
      <c r="IV5">
        <v>0.378583</v>
      </c>
      <c r="IW5" t="s">
        <v>1777</v>
      </c>
      <c r="IX5">
        <v>0.16342000000000001</v>
      </c>
      <c r="IY5" t="s">
        <v>1781</v>
      </c>
      <c r="IZ5">
        <v>2025</v>
      </c>
      <c r="JA5" t="s">
        <v>1865</v>
      </c>
      <c r="JB5" s="6">
        <v>45820</v>
      </c>
      <c r="JC5">
        <v>5</v>
      </c>
      <c r="JD5">
        <v>6662307</v>
      </c>
      <c r="JE5">
        <v>12129192</v>
      </c>
      <c r="JF5" t="s">
        <v>1866</v>
      </c>
      <c r="JK5" t="str">
        <f>_xll.BDS("CNOB US Equity","SUPPLY_CHAIN_SUPPLIERS_ALL_DATA","cols=12;rows=1")</f>
        <v>NCNO US Equity</v>
      </c>
      <c r="JM5">
        <v>-2.4245362661989844E-14</v>
      </c>
      <c r="JN5">
        <v>-2.4245362661989844E-14</v>
      </c>
      <c r="JO5" t="s">
        <v>1789</v>
      </c>
      <c r="JP5">
        <v>2025</v>
      </c>
      <c r="JQ5" t="s">
        <v>4281</v>
      </c>
      <c r="JR5" s="6">
        <v>45748</v>
      </c>
      <c r="JS5">
        <v>1</v>
      </c>
      <c r="JT5">
        <v>-2.4245362661989844E-14</v>
      </c>
      <c r="JU5">
        <v>69921002</v>
      </c>
      <c r="JV5" t="s">
        <v>3242</v>
      </c>
      <c r="JY5" t="str">
        <f>_xll.BDS("CNOB US Equity","SUPPLY_CHAIN_CUSTOMERS_ALL_DATA")</f>
        <v>#N/A N/A</v>
      </c>
      <c r="KO5" t="str">
        <f>_xll.BDS("2740937Q US Equity","SUPPLY_CHAIN_SUPPLIERS_ALL_DATA")</f>
        <v>#N/A N/A</v>
      </c>
      <c r="LC5" t="str">
        <f>_xll.BDS("2740937Q US Equity","SUPPLY_CHAIN_CUSTOMERS_ALL_DATA")</f>
        <v>#N/A N/A</v>
      </c>
      <c r="LS5" t="str">
        <f>_xll.BDS("DNBK US Equity","SUPPLY_CHAIN_SUPPLIERS_ALL_DATA")</f>
        <v>#N/A N/A</v>
      </c>
      <c r="MG5" t="str">
        <f>_xll.BDS("DNBK US Equity","SUPPLY_CHAIN_CUSTOMERS_ALL_DATA")</f>
        <v>#N/A N/A</v>
      </c>
      <c r="MW5" t="str">
        <f>_xll.BDS("FISI US Equity","SUPPLY_CHAIN_SUPPLIERS_ALL_DATA")</f>
        <v>#N/A N/A</v>
      </c>
      <c r="NK5" t="str">
        <f>_xll.BDS("FISI US Equity","SUPPLY_CHAIN_CUSTOMERS_ALL_DATA")</f>
        <v>#N/A N/A</v>
      </c>
      <c r="OA5" t="str">
        <f>_xll.BDS("SNV US Equity","SUPPLY_CHAIN_SUPPLIERS_ALL_DATA","cols=12;rows=1")</f>
        <v>VYX US Equity</v>
      </c>
      <c r="OC5">
        <v>-2.4245362661989844E-14</v>
      </c>
      <c r="OD5">
        <v>-2.4245362661989844E-14</v>
      </c>
      <c r="OE5" t="s">
        <v>1768</v>
      </c>
      <c r="OF5">
        <v>2023</v>
      </c>
      <c r="OG5" t="s">
        <v>1969</v>
      </c>
      <c r="OH5" s="6">
        <v>45174</v>
      </c>
      <c r="OI5">
        <v>1</v>
      </c>
      <c r="OJ5">
        <v>-2.4245362661989844E-14</v>
      </c>
      <c r="OK5">
        <v>202476</v>
      </c>
      <c r="OL5" t="s">
        <v>1970</v>
      </c>
      <c r="OO5" t="str">
        <f>_xll.BDS("SNV US Equity","SUPPLY_CHAIN_CUSTOMERS_ALL_DATA")</f>
        <v>#N/A N/A</v>
      </c>
      <c r="PE5" t="str">
        <f>_xll.BDS("IBCP US Equity","SUPPLY_CHAIN_SUPPLIERS_ALL_DATA")</f>
        <v>#N/A N/A</v>
      </c>
      <c r="PS5" t="str">
        <f>_xll.BDS("IBCP US Equity","SUPPLY_CHAIN_CUSTOMERS_ALL_DATA")</f>
        <v>#N/A N/A</v>
      </c>
      <c r="QI5" t="str">
        <f>_xll.BDS("NWBD US Equity","SUPPLY_CHAIN_SUPPLIERS_ALL_DATA","cols=12;rows=1")</f>
        <v>278650 KS Equity</v>
      </c>
      <c r="QK5">
        <v>-2.4245362661989844E-14</v>
      </c>
      <c r="QL5">
        <v>-2.4245362661989844E-14</v>
      </c>
      <c r="QM5" t="s">
        <v>1789</v>
      </c>
      <c r="QN5">
        <v>2023</v>
      </c>
      <c r="QO5" t="s">
        <v>2247</v>
      </c>
      <c r="QP5" s="6">
        <v>45370</v>
      </c>
      <c r="QQ5">
        <v>1</v>
      </c>
      <c r="QR5">
        <v>-2.4245362661989844E-14</v>
      </c>
      <c r="QS5">
        <v>66153883</v>
      </c>
      <c r="QT5" t="s">
        <v>2248</v>
      </c>
      <c r="QW5" t="str">
        <f>_xll.BDS("NWBD US Equity","SUPPLY_CHAIN_CUSTOMERS_ALL_DATA")</f>
        <v>#N/A N/A</v>
      </c>
      <c r="RM5" t="str">
        <f>_xll.BDS("KEY US Equity","SUPPLY_CHAIN_SUPPLIERS_ALL_DATA","cols=12;rows=5")</f>
        <v>BILL US Equity</v>
      </c>
      <c r="RO5">
        <v>-2.4245362661989844E-14</v>
      </c>
      <c r="RP5">
        <v>-2.4245362661989844E-14</v>
      </c>
      <c r="RQ5" t="s">
        <v>1773</v>
      </c>
      <c r="RR5">
        <v>2024</v>
      </c>
      <c r="RS5" t="s">
        <v>4218</v>
      </c>
      <c r="RT5" s="6">
        <v>45414</v>
      </c>
      <c r="RU5">
        <v>5</v>
      </c>
      <c r="RV5">
        <v>-2.4245362661989844E-14</v>
      </c>
      <c r="RW5">
        <v>66503767</v>
      </c>
      <c r="RX5" t="s">
        <v>4219</v>
      </c>
      <c r="SA5" t="str">
        <f>_xll.BDS("KEY US Equity","SUPPLY_CHAIN_CUSTOMERS_ALL_DATA")</f>
        <v>#N/A N/A</v>
      </c>
      <c r="SQ5" t="str">
        <f>_xll.BDS("FRME US Equity","SUPPLY_CHAIN_SUPPLIERS_ALL_DATA")</f>
        <v>#N/A N/A</v>
      </c>
      <c r="TE5" t="str">
        <f>_xll.BDS("FRME US Equity","SUPPLY_CHAIN_CUSTOMERS_ALL_DATA")</f>
        <v>#N/A N/A</v>
      </c>
      <c r="TU5" t="str">
        <f>_xll.BDS("2641504Q US Equity","SUPPLY_CHAIN_SUPPLIERS_ALL_DATA")</f>
        <v>#N/A N/A</v>
      </c>
      <c r="UI5" t="str">
        <f>_xll.BDS("2641504Q US Equity","SUPPLY_CHAIN_CUSTOMERS_ALL_DATA")</f>
        <v>#N/A N/A</v>
      </c>
      <c r="UY5" t="str">
        <f>_xll.BDS("ISBC US Equity","SUPPLY_CHAIN_SUPPLIERS_ALL_DATA")</f>
        <v>#N/A N/A</v>
      </c>
      <c r="VM5" t="str">
        <f>_xll.BDS("ISBC US Equity","SUPPLY_CHAIN_CUSTOMERS_ALL_DATA")</f>
        <v>#N/A N/A</v>
      </c>
    </row>
    <row r="6" spans="1:600" x14ac:dyDescent="0.25">
      <c r="A6" t="s">
        <v>4507</v>
      </c>
      <c r="B6" t="s">
        <v>1906</v>
      </c>
      <c r="C6">
        <v>1.628396</v>
      </c>
      <c r="D6">
        <v>5.8130329999999999</v>
      </c>
      <c r="E6" t="s">
        <v>1768</v>
      </c>
      <c r="F6">
        <v>2026</v>
      </c>
      <c r="G6" t="s">
        <v>4508</v>
      </c>
      <c r="H6" s="6">
        <v>46028</v>
      </c>
      <c r="I6">
        <v>5</v>
      </c>
      <c r="J6">
        <v>69609374.329999998</v>
      </c>
      <c r="K6">
        <v>114992</v>
      </c>
      <c r="L6" t="s">
        <v>4509</v>
      </c>
      <c r="O6" t="s">
        <v>165</v>
      </c>
      <c r="P6">
        <v>5.3475780000000004</v>
      </c>
      <c r="Q6" t="s">
        <v>1777</v>
      </c>
      <c r="R6">
        <v>3.7672150000000002</v>
      </c>
      <c r="S6" t="s">
        <v>1773</v>
      </c>
      <c r="T6">
        <v>2025</v>
      </c>
      <c r="U6" t="s">
        <v>3363</v>
      </c>
      <c r="V6" s="6">
        <v>45954</v>
      </c>
      <c r="W6">
        <v>5</v>
      </c>
      <c r="X6">
        <v>253582144</v>
      </c>
      <c r="Y6">
        <v>100115</v>
      </c>
      <c r="Z6" t="s">
        <v>1871</v>
      </c>
      <c r="AE6" t="s">
        <v>198</v>
      </c>
      <c r="AF6" t="s">
        <v>1777</v>
      </c>
      <c r="AG6">
        <v>5.1386000000000001E-2</v>
      </c>
      <c r="AH6">
        <v>7.8243119999999999</v>
      </c>
      <c r="AI6" t="s">
        <v>1789</v>
      </c>
      <c r="AJ6">
        <v>2025</v>
      </c>
      <c r="AK6" t="s">
        <v>3234</v>
      </c>
      <c r="AL6" s="6">
        <v>46072</v>
      </c>
      <c r="AM6">
        <v>5</v>
      </c>
      <c r="AN6">
        <v>51750000</v>
      </c>
      <c r="AO6">
        <v>46946968</v>
      </c>
      <c r="AP6" t="s">
        <v>1771</v>
      </c>
      <c r="AS6" t="s">
        <v>3233</v>
      </c>
      <c r="AT6">
        <v>-2.4245362661989844E-14</v>
      </c>
      <c r="AV6">
        <v>-2.4245362661989844E-14</v>
      </c>
      <c r="AW6" t="s">
        <v>1789</v>
      </c>
      <c r="AX6">
        <v>2025</v>
      </c>
      <c r="AY6" t="s">
        <v>3234</v>
      </c>
      <c r="AZ6" s="6">
        <v>46072</v>
      </c>
      <c r="BA6">
        <v>5</v>
      </c>
      <c r="BB6">
        <v>-2.4245362661989844E-14</v>
      </c>
      <c r="BC6">
        <v>180992</v>
      </c>
      <c r="BD6" t="s">
        <v>3235</v>
      </c>
      <c r="CM6" t="s">
        <v>1121</v>
      </c>
      <c r="CO6">
        <v>-2.4245362661989844E-14</v>
      </c>
      <c r="CP6">
        <v>-2.4245362661989844E-14</v>
      </c>
      <c r="CQ6" t="s">
        <v>1768</v>
      </c>
      <c r="CR6">
        <v>2023</v>
      </c>
      <c r="CS6" t="s">
        <v>1969</v>
      </c>
      <c r="CT6" s="6">
        <v>45174</v>
      </c>
      <c r="CU6">
        <v>2</v>
      </c>
      <c r="CV6">
        <v>-2.4245362661989844E-14</v>
      </c>
      <c r="CW6">
        <v>202476</v>
      </c>
      <c r="CX6" t="s">
        <v>1970</v>
      </c>
      <c r="EU6" t="s">
        <v>2345</v>
      </c>
      <c r="EW6">
        <v>-2.4245362661989844E-14</v>
      </c>
      <c r="EX6">
        <v>-2.4245362661989844E-14</v>
      </c>
      <c r="EY6" t="s">
        <v>1773</v>
      </c>
      <c r="EZ6">
        <v>2022</v>
      </c>
      <c r="FA6" t="s">
        <v>2346</v>
      </c>
      <c r="FB6" s="6">
        <v>44910</v>
      </c>
      <c r="FC6">
        <v>5</v>
      </c>
      <c r="FD6">
        <v>-2.4245362661989844E-14</v>
      </c>
      <c r="FE6">
        <v>8073030</v>
      </c>
      <c r="FF6" t="s">
        <v>2347</v>
      </c>
      <c r="FI6" t="s">
        <v>2450</v>
      </c>
      <c r="FJ6">
        <v>1.1117999999999999E-2</v>
      </c>
      <c r="FK6" t="s">
        <v>1777</v>
      </c>
      <c r="FL6">
        <v>1.9680000000000001E-3</v>
      </c>
      <c r="FM6" t="s">
        <v>1785</v>
      </c>
      <c r="FN6">
        <v>2025</v>
      </c>
      <c r="FO6" t="s">
        <v>2451</v>
      </c>
      <c r="FP6" s="6">
        <v>46091</v>
      </c>
      <c r="FQ6">
        <v>5</v>
      </c>
      <c r="FR6">
        <v>30895</v>
      </c>
      <c r="FS6">
        <v>156637</v>
      </c>
      <c r="FT6" t="s">
        <v>2452</v>
      </c>
      <c r="HC6" t="s">
        <v>1937</v>
      </c>
      <c r="HD6" t="s">
        <v>1777</v>
      </c>
      <c r="HE6">
        <v>12.627013</v>
      </c>
      <c r="HF6">
        <v>0.18209500000000001</v>
      </c>
      <c r="HG6" t="s">
        <v>1773</v>
      </c>
      <c r="HH6">
        <v>2025</v>
      </c>
      <c r="HI6" t="s">
        <v>1938</v>
      </c>
      <c r="HJ6" s="6">
        <v>46050</v>
      </c>
      <c r="HK6">
        <v>5</v>
      </c>
      <c r="HL6">
        <v>172482464</v>
      </c>
      <c r="HM6">
        <v>126255</v>
      </c>
      <c r="HN6" t="s">
        <v>1939</v>
      </c>
      <c r="HQ6" t="s">
        <v>1797</v>
      </c>
      <c r="HR6">
        <v>-2.4245362661989844E-14</v>
      </c>
      <c r="HT6">
        <v>-2.4245362661989844E-14</v>
      </c>
      <c r="HU6" t="s">
        <v>1789</v>
      </c>
      <c r="HV6">
        <v>2024</v>
      </c>
      <c r="HW6" t="s">
        <v>1795</v>
      </c>
      <c r="HX6" s="6">
        <v>45715</v>
      </c>
      <c r="HY6">
        <v>5</v>
      </c>
      <c r="HZ6">
        <v>-2.4245362661989844E-14</v>
      </c>
      <c r="IA6">
        <v>218252</v>
      </c>
      <c r="IB6" t="s">
        <v>1798</v>
      </c>
      <c r="IG6" t="s">
        <v>2565</v>
      </c>
      <c r="IH6" t="s">
        <v>1777</v>
      </c>
      <c r="II6">
        <v>5.0276000000000001E-2</v>
      </c>
      <c r="IJ6">
        <v>3.5795E-2</v>
      </c>
      <c r="IK6" t="s">
        <v>1781</v>
      </c>
      <c r="IL6">
        <v>2026</v>
      </c>
      <c r="IM6" t="s">
        <v>2566</v>
      </c>
      <c r="IN6" s="6">
        <v>46051</v>
      </c>
      <c r="IO6">
        <v>5</v>
      </c>
      <c r="IP6">
        <v>193373</v>
      </c>
      <c r="IQ6">
        <v>225757</v>
      </c>
      <c r="IR6" t="s">
        <v>2567</v>
      </c>
      <c r="IU6" t="s">
        <v>1902</v>
      </c>
      <c r="IV6">
        <v>0.24465100000000001</v>
      </c>
      <c r="IW6" t="s">
        <v>1777</v>
      </c>
      <c r="IX6">
        <v>2.6602000000000001E-2</v>
      </c>
      <c r="IY6" t="s">
        <v>1785</v>
      </c>
      <c r="IZ6">
        <v>2025</v>
      </c>
      <c r="JA6" t="s">
        <v>1903</v>
      </c>
      <c r="JB6" s="6">
        <v>46056</v>
      </c>
      <c r="JC6">
        <v>5</v>
      </c>
      <c r="JD6">
        <v>4305371</v>
      </c>
      <c r="JE6">
        <v>1499717</v>
      </c>
      <c r="JF6" t="s">
        <v>1904</v>
      </c>
      <c r="RM6" t="s">
        <v>3096</v>
      </c>
      <c r="RO6">
        <v>-2.4245362661989844E-14</v>
      </c>
      <c r="RP6">
        <v>-2.4245362661989844E-14</v>
      </c>
      <c r="RQ6" t="s">
        <v>1773</v>
      </c>
      <c r="RR6">
        <v>2025</v>
      </c>
      <c r="RS6" t="s">
        <v>4220</v>
      </c>
      <c r="RT6" s="6">
        <v>45957</v>
      </c>
      <c r="RU6">
        <v>5</v>
      </c>
      <c r="RV6">
        <v>-2.4245362661989844E-14</v>
      </c>
      <c r="RW6">
        <v>43152573</v>
      </c>
      <c r="RX6" t="s">
        <v>3098</v>
      </c>
    </row>
    <row r="7" spans="1:600" x14ac:dyDescent="0.25">
      <c r="A7" t="s">
        <v>2788</v>
      </c>
      <c r="B7" t="s">
        <v>1906</v>
      </c>
      <c r="C7">
        <v>1.3678159999999999</v>
      </c>
      <c r="D7">
        <v>4.8755559999999996</v>
      </c>
      <c r="E7" t="s">
        <v>1768</v>
      </c>
      <c r="F7">
        <v>2026</v>
      </c>
      <c r="G7" t="s">
        <v>2789</v>
      </c>
      <c r="H7" s="6">
        <v>46063</v>
      </c>
      <c r="I7">
        <v>5</v>
      </c>
      <c r="J7">
        <v>45098892</v>
      </c>
      <c r="K7">
        <v>101732</v>
      </c>
      <c r="L7" t="s">
        <v>2790</v>
      </c>
      <c r="O7" t="s">
        <v>1767</v>
      </c>
      <c r="P7">
        <v>4.7165480000000004</v>
      </c>
      <c r="Q7" t="s">
        <v>1777</v>
      </c>
      <c r="R7">
        <v>0.44449</v>
      </c>
      <c r="S7" t="s">
        <v>1773</v>
      </c>
      <c r="T7">
        <v>2025</v>
      </c>
      <c r="U7" t="s">
        <v>3363</v>
      </c>
      <c r="V7" s="6">
        <v>45954</v>
      </c>
      <c r="W7">
        <v>5</v>
      </c>
      <c r="X7">
        <v>223658704</v>
      </c>
      <c r="Y7">
        <v>101695</v>
      </c>
      <c r="Z7" t="s">
        <v>1770</v>
      </c>
      <c r="AE7" t="s">
        <v>3081</v>
      </c>
      <c r="AF7" t="s">
        <v>1808</v>
      </c>
      <c r="AG7">
        <v>0.31292399999999998</v>
      </c>
      <c r="AH7">
        <v>6.2137560000000001</v>
      </c>
      <c r="AI7" t="s">
        <v>1785</v>
      </c>
      <c r="AJ7">
        <v>2025</v>
      </c>
      <c r="AK7" t="s">
        <v>3082</v>
      </c>
      <c r="AL7" s="6">
        <v>45827</v>
      </c>
      <c r="AM7">
        <v>5</v>
      </c>
      <c r="AN7">
        <v>23300716.52</v>
      </c>
      <c r="AO7">
        <v>7259059</v>
      </c>
      <c r="AP7" t="s">
        <v>3083</v>
      </c>
      <c r="AS7" t="s">
        <v>1762</v>
      </c>
      <c r="AT7">
        <v>-2.4245362661989844E-14</v>
      </c>
      <c r="AV7">
        <v>-2.4245362661989844E-14</v>
      </c>
      <c r="AW7" t="s">
        <v>1789</v>
      </c>
      <c r="AX7">
        <v>2026</v>
      </c>
      <c r="AY7" t="s">
        <v>3236</v>
      </c>
      <c r="AZ7" s="6">
        <v>46057</v>
      </c>
      <c r="BA7">
        <v>5</v>
      </c>
      <c r="BB7">
        <v>-2.4245362661989844E-14</v>
      </c>
      <c r="BC7">
        <v>107152</v>
      </c>
      <c r="BD7" t="s">
        <v>3237</v>
      </c>
      <c r="EU7" t="s">
        <v>198</v>
      </c>
      <c r="EW7">
        <v>-2.4245362661989844E-14</v>
      </c>
      <c r="EX7">
        <v>-2.4245362661989844E-14</v>
      </c>
      <c r="EY7" t="s">
        <v>1789</v>
      </c>
      <c r="EZ7">
        <v>2024</v>
      </c>
      <c r="FA7" t="s">
        <v>2348</v>
      </c>
      <c r="FB7" s="6">
        <v>45919</v>
      </c>
      <c r="FC7">
        <v>5</v>
      </c>
      <c r="FD7">
        <v>-2.4245362661989844E-14</v>
      </c>
      <c r="FE7">
        <v>46946968</v>
      </c>
      <c r="FF7" t="s">
        <v>1771</v>
      </c>
      <c r="FI7" t="s">
        <v>2453</v>
      </c>
      <c r="FJ7">
        <v>-2.4245362661989844E-14</v>
      </c>
      <c r="FL7">
        <v>-2.4245362661989844E-14</v>
      </c>
      <c r="FM7" t="s">
        <v>1894</v>
      </c>
      <c r="FN7">
        <v>2024</v>
      </c>
      <c r="FO7" t="s">
        <v>2454</v>
      </c>
      <c r="FP7" s="6">
        <v>45610</v>
      </c>
      <c r="FQ7">
        <v>5</v>
      </c>
      <c r="FR7">
        <v>-2.4245362661989844E-14</v>
      </c>
      <c r="FS7">
        <v>24157992</v>
      </c>
      <c r="FT7" t="s">
        <v>2455</v>
      </c>
      <c r="HC7" t="s">
        <v>1940</v>
      </c>
      <c r="HD7" t="s">
        <v>1777</v>
      </c>
      <c r="HE7">
        <v>1.035563</v>
      </c>
      <c r="HF7">
        <v>0.169491</v>
      </c>
      <c r="HG7" t="s">
        <v>1773</v>
      </c>
      <c r="HH7">
        <v>2025</v>
      </c>
      <c r="HI7" t="s">
        <v>1941</v>
      </c>
      <c r="HJ7" s="6">
        <v>46080</v>
      </c>
      <c r="HK7">
        <v>5</v>
      </c>
      <c r="HL7">
        <v>160543328</v>
      </c>
      <c r="HM7">
        <v>111093</v>
      </c>
      <c r="HN7" t="s">
        <v>1942</v>
      </c>
      <c r="HQ7" t="s">
        <v>679</v>
      </c>
      <c r="HR7">
        <v>-2.4245362661989844E-14</v>
      </c>
      <c r="HT7">
        <v>-2.4245362661989844E-14</v>
      </c>
      <c r="HU7" t="s">
        <v>1789</v>
      </c>
      <c r="HV7">
        <v>2023</v>
      </c>
      <c r="HW7" t="s">
        <v>1799</v>
      </c>
      <c r="HX7" s="6">
        <v>45398</v>
      </c>
      <c r="HY7">
        <v>5</v>
      </c>
      <c r="HZ7">
        <v>-2.4245362661989844E-14</v>
      </c>
      <c r="IA7">
        <v>100801</v>
      </c>
      <c r="IB7" t="s">
        <v>1800</v>
      </c>
      <c r="IG7" t="s">
        <v>4370</v>
      </c>
      <c r="II7">
        <v>-2.4245362661989844E-14</v>
      </c>
      <c r="IJ7">
        <v>-2.4245362661989844E-14</v>
      </c>
      <c r="IK7" t="s">
        <v>1789</v>
      </c>
      <c r="IL7">
        <v>2025</v>
      </c>
      <c r="IM7" t="s">
        <v>4371</v>
      </c>
      <c r="IN7" s="6">
        <v>46077</v>
      </c>
      <c r="IO7">
        <v>5</v>
      </c>
      <c r="IP7">
        <v>-2.4245362661989844E-14</v>
      </c>
      <c r="IQ7">
        <v>50800659</v>
      </c>
      <c r="IR7" t="s">
        <v>4372</v>
      </c>
      <c r="IU7" t="s">
        <v>2450</v>
      </c>
      <c r="IV7">
        <v>3.7724000000000001E-2</v>
      </c>
      <c r="IW7" t="s">
        <v>1777</v>
      </c>
      <c r="IX7">
        <v>4.2287999999999999E-2</v>
      </c>
      <c r="IY7" t="s">
        <v>1785</v>
      </c>
      <c r="IZ7">
        <v>2025</v>
      </c>
      <c r="JA7" t="s">
        <v>2451</v>
      </c>
      <c r="JB7" s="6">
        <v>46091</v>
      </c>
      <c r="JC7">
        <v>5</v>
      </c>
      <c r="JD7">
        <v>663866</v>
      </c>
      <c r="JE7">
        <v>156637</v>
      </c>
      <c r="JF7" t="s">
        <v>2452</v>
      </c>
      <c r="RM7" t="s">
        <v>4221</v>
      </c>
      <c r="RO7">
        <v>-2.4245362661989844E-14</v>
      </c>
      <c r="RP7">
        <v>-2.4245362661989844E-14</v>
      </c>
      <c r="RQ7" t="s">
        <v>1789</v>
      </c>
      <c r="RR7">
        <v>2022</v>
      </c>
      <c r="RS7" t="s">
        <v>4222</v>
      </c>
      <c r="RT7" s="6">
        <v>44707</v>
      </c>
      <c r="RU7">
        <v>5</v>
      </c>
      <c r="RV7">
        <v>-2.4245362661989844E-14</v>
      </c>
      <c r="RW7">
        <v>65265899</v>
      </c>
      <c r="RX7" t="s">
        <v>4223</v>
      </c>
    </row>
    <row r="8" spans="1:600" x14ac:dyDescent="0.25">
      <c r="A8" t="s">
        <v>4510</v>
      </c>
      <c r="B8" t="s">
        <v>1777</v>
      </c>
      <c r="C8">
        <v>3.0638139999999998</v>
      </c>
      <c r="D8">
        <v>2.2388059999999999</v>
      </c>
      <c r="E8" t="s">
        <v>1781</v>
      </c>
      <c r="F8">
        <v>2025</v>
      </c>
      <c r="G8" t="s">
        <v>4511</v>
      </c>
      <c r="H8" s="6">
        <v>45804</v>
      </c>
      <c r="I8">
        <v>5</v>
      </c>
      <c r="J8">
        <v>39311874.579999998</v>
      </c>
      <c r="K8">
        <v>8118223</v>
      </c>
      <c r="L8" t="s">
        <v>4512</v>
      </c>
      <c r="O8" t="s">
        <v>2483</v>
      </c>
      <c r="P8">
        <v>2.3648120000000001</v>
      </c>
      <c r="Q8" t="s">
        <v>1777</v>
      </c>
      <c r="R8">
        <v>30.796358000000001</v>
      </c>
      <c r="S8" t="s">
        <v>1785</v>
      </c>
      <c r="T8">
        <v>2025</v>
      </c>
      <c r="U8" t="s">
        <v>3365</v>
      </c>
      <c r="V8" s="6">
        <v>45777</v>
      </c>
      <c r="W8">
        <v>5</v>
      </c>
      <c r="X8">
        <v>96225683.870000005</v>
      </c>
      <c r="Y8">
        <v>955442</v>
      </c>
      <c r="Z8" t="s">
        <v>2485</v>
      </c>
      <c r="AE8" t="s">
        <v>4390</v>
      </c>
      <c r="AF8" t="s">
        <v>1777</v>
      </c>
      <c r="AG8">
        <v>4.5298999999999999E-2</v>
      </c>
      <c r="AH8">
        <v>0.119473</v>
      </c>
      <c r="AI8" t="s">
        <v>1785</v>
      </c>
      <c r="AJ8">
        <v>2025</v>
      </c>
      <c r="AK8" t="s">
        <v>4408</v>
      </c>
      <c r="AL8" s="6">
        <v>45841</v>
      </c>
      <c r="AM8">
        <v>5</v>
      </c>
      <c r="AN8">
        <v>784579</v>
      </c>
      <c r="AO8">
        <v>171351</v>
      </c>
      <c r="AP8" t="s">
        <v>4392</v>
      </c>
      <c r="AS8" t="s">
        <v>3238</v>
      </c>
      <c r="AT8">
        <v>-2.4245362661989844E-14</v>
      </c>
      <c r="AV8">
        <v>-2.4245362661989844E-14</v>
      </c>
      <c r="AW8" t="s">
        <v>1789</v>
      </c>
      <c r="AX8">
        <v>2025</v>
      </c>
      <c r="AY8" t="s">
        <v>3231</v>
      </c>
      <c r="AZ8" s="6">
        <v>45754</v>
      </c>
      <c r="BA8">
        <v>5</v>
      </c>
      <c r="BB8">
        <v>-2.4245362661989844E-14</v>
      </c>
      <c r="BC8">
        <v>8912817</v>
      </c>
      <c r="BD8" t="s">
        <v>3239</v>
      </c>
      <c r="EU8" t="s">
        <v>2349</v>
      </c>
      <c r="EW8">
        <v>-2.4245362661989844E-14</v>
      </c>
      <c r="EX8">
        <v>-2.4245362661989844E-14</v>
      </c>
      <c r="EY8" t="s">
        <v>1789</v>
      </c>
      <c r="EZ8">
        <v>2022</v>
      </c>
      <c r="FA8" t="s">
        <v>2350</v>
      </c>
      <c r="FB8" s="6">
        <v>44986</v>
      </c>
      <c r="FC8">
        <v>5</v>
      </c>
      <c r="FD8">
        <v>-2.4245362661989844E-14</v>
      </c>
      <c r="FE8">
        <v>115413</v>
      </c>
      <c r="FF8" t="s">
        <v>2351</v>
      </c>
      <c r="FI8" t="s">
        <v>2456</v>
      </c>
      <c r="FJ8">
        <v>-2.4245362661989844E-14</v>
      </c>
      <c r="FL8">
        <v>-2.4245362661989844E-14</v>
      </c>
      <c r="FM8" t="s">
        <v>1789</v>
      </c>
      <c r="FN8">
        <v>2022</v>
      </c>
      <c r="FO8" t="s">
        <v>2457</v>
      </c>
      <c r="FP8" s="6">
        <v>45014</v>
      </c>
      <c r="FQ8">
        <v>5</v>
      </c>
      <c r="FR8">
        <v>-2.4245362661989844E-14</v>
      </c>
      <c r="FS8">
        <v>10108180</v>
      </c>
      <c r="FT8" t="s">
        <v>2458</v>
      </c>
      <c r="HC8" t="s">
        <v>1943</v>
      </c>
      <c r="HD8" t="s">
        <v>1777</v>
      </c>
      <c r="HE8">
        <v>1.2087429999999999</v>
      </c>
      <c r="HF8">
        <v>0.14913000000000001</v>
      </c>
      <c r="HG8" t="s">
        <v>1773</v>
      </c>
      <c r="HH8">
        <v>2025</v>
      </c>
      <c r="HI8" t="s">
        <v>1944</v>
      </c>
      <c r="HJ8" s="6">
        <v>46049</v>
      </c>
      <c r="HK8">
        <v>5</v>
      </c>
      <c r="HL8">
        <v>141902324.31</v>
      </c>
      <c r="HM8">
        <v>101095</v>
      </c>
      <c r="HN8" t="s">
        <v>1945</v>
      </c>
      <c r="HQ8" t="s">
        <v>1801</v>
      </c>
      <c r="HR8">
        <v>-2.4245362661989844E-14</v>
      </c>
      <c r="HT8">
        <v>-2.4245362661989844E-14</v>
      </c>
      <c r="HU8" t="s">
        <v>1789</v>
      </c>
      <c r="HV8">
        <v>2024</v>
      </c>
      <c r="HW8" t="s">
        <v>1802</v>
      </c>
      <c r="HX8" s="6">
        <v>45367</v>
      </c>
      <c r="HY8">
        <v>5</v>
      </c>
      <c r="HZ8">
        <v>-2.4245362661989844E-14</v>
      </c>
      <c r="IA8">
        <v>101616</v>
      </c>
      <c r="IB8" t="s">
        <v>1803</v>
      </c>
      <c r="IG8" t="s">
        <v>4373</v>
      </c>
      <c r="II8">
        <v>-2.4245362661989844E-14</v>
      </c>
      <c r="IJ8">
        <v>-2.4245362661989844E-14</v>
      </c>
      <c r="IK8" t="s">
        <v>1789</v>
      </c>
      <c r="IL8">
        <v>2025</v>
      </c>
      <c r="IM8" t="s">
        <v>4371</v>
      </c>
      <c r="IN8" s="6">
        <v>46077</v>
      </c>
      <c r="IO8">
        <v>5</v>
      </c>
      <c r="IP8">
        <v>-2.4245362661989844E-14</v>
      </c>
      <c r="IQ8">
        <v>69602734</v>
      </c>
      <c r="IR8" t="s">
        <v>4374</v>
      </c>
      <c r="IU8" t="s">
        <v>2971</v>
      </c>
      <c r="IV8">
        <v>3.4962E-2</v>
      </c>
      <c r="IW8" t="s">
        <v>1777</v>
      </c>
      <c r="IX8">
        <v>0.107861</v>
      </c>
      <c r="IY8" t="s">
        <v>1773</v>
      </c>
      <c r="IZ8">
        <v>2025</v>
      </c>
      <c r="JA8" t="s">
        <v>2972</v>
      </c>
      <c r="JB8" s="6">
        <v>46034</v>
      </c>
      <c r="JC8">
        <v>5</v>
      </c>
      <c r="JD8">
        <v>615264</v>
      </c>
      <c r="JE8">
        <v>313021</v>
      </c>
      <c r="JF8" t="s">
        <v>2973</v>
      </c>
      <c r="RM8" t="s">
        <v>4224</v>
      </c>
      <c r="RO8">
        <v>-2.4245362661989844E-14</v>
      </c>
      <c r="RP8">
        <v>-2.4245362661989844E-14</v>
      </c>
      <c r="RQ8" t="s">
        <v>1781</v>
      </c>
      <c r="RR8">
        <v>2023</v>
      </c>
      <c r="RS8" t="s">
        <v>4225</v>
      </c>
      <c r="RT8" s="6">
        <v>44706</v>
      </c>
      <c r="RU8">
        <v>5</v>
      </c>
      <c r="RV8">
        <v>-2.4245362661989844E-14</v>
      </c>
      <c r="RW8">
        <v>43575125</v>
      </c>
      <c r="RX8" t="s">
        <v>4226</v>
      </c>
    </row>
    <row r="9" spans="1:600" x14ac:dyDescent="0.25">
      <c r="A9" t="s">
        <v>2635</v>
      </c>
      <c r="B9" t="s">
        <v>1777</v>
      </c>
      <c r="C9">
        <v>0.75007900000000005</v>
      </c>
      <c r="D9">
        <v>1.9236930000000001</v>
      </c>
      <c r="E9" t="s">
        <v>1781</v>
      </c>
      <c r="F9">
        <v>2025</v>
      </c>
      <c r="G9" t="s">
        <v>4513</v>
      </c>
      <c r="H9" s="6">
        <v>45819</v>
      </c>
      <c r="I9">
        <v>5</v>
      </c>
      <c r="J9">
        <v>33782291.130000003</v>
      </c>
      <c r="K9">
        <v>58244711</v>
      </c>
      <c r="L9" t="s">
        <v>2636</v>
      </c>
      <c r="O9" t="s">
        <v>1864</v>
      </c>
      <c r="P9">
        <v>1.559631</v>
      </c>
      <c r="Q9" t="s">
        <v>1777</v>
      </c>
      <c r="R9">
        <v>1.5618050000000001</v>
      </c>
      <c r="S9" t="s">
        <v>1773</v>
      </c>
      <c r="T9">
        <v>2025</v>
      </c>
      <c r="U9" t="s">
        <v>3363</v>
      </c>
      <c r="V9" s="6">
        <v>45954</v>
      </c>
      <c r="W9">
        <v>5</v>
      </c>
      <c r="X9">
        <v>73957704</v>
      </c>
      <c r="Y9">
        <v>12129192</v>
      </c>
      <c r="Z9" t="s">
        <v>1866</v>
      </c>
      <c r="AE9" t="s">
        <v>2336</v>
      </c>
      <c r="AF9" t="s">
        <v>1808</v>
      </c>
      <c r="AG9">
        <v>1.1048000000000001E-2</v>
      </c>
      <c r="AH9">
        <v>0.18105499999999999</v>
      </c>
      <c r="AI9" t="s">
        <v>1768</v>
      </c>
      <c r="AJ9">
        <v>2025</v>
      </c>
      <c r="AK9" t="s">
        <v>4409</v>
      </c>
      <c r="AL9" s="6">
        <v>45902</v>
      </c>
      <c r="AM9">
        <v>5</v>
      </c>
      <c r="AN9">
        <v>695337.35</v>
      </c>
      <c r="AO9">
        <v>115265</v>
      </c>
      <c r="AP9" t="s">
        <v>2337</v>
      </c>
      <c r="AS9" t="s">
        <v>3240</v>
      </c>
      <c r="AT9">
        <v>-2.4245362661989844E-14</v>
      </c>
      <c r="AV9">
        <v>-2.4245362661989844E-14</v>
      </c>
      <c r="AW9" t="s">
        <v>1789</v>
      </c>
      <c r="AX9">
        <v>2022</v>
      </c>
      <c r="AY9" t="s">
        <v>3241</v>
      </c>
      <c r="AZ9" s="6">
        <v>44651</v>
      </c>
      <c r="BA9">
        <v>5</v>
      </c>
      <c r="BB9">
        <v>-2.4245362661989844E-14</v>
      </c>
      <c r="BC9">
        <v>69921002</v>
      </c>
      <c r="BD9" t="s">
        <v>3242</v>
      </c>
      <c r="EU9" t="s">
        <v>2352</v>
      </c>
      <c r="EW9">
        <v>-2.4245362661989844E-14</v>
      </c>
      <c r="EX9">
        <v>-2.4245362661989844E-14</v>
      </c>
      <c r="EY9" t="s">
        <v>1789</v>
      </c>
      <c r="EZ9">
        <v>2024</v>
      </c>
      <c r="FA9" t="s">
        <v>2348</v>
      </c>
      <c r="FB9" s="6">
        <v>45919</v>
      </c>
      <c r="FC9">
        <v>5</v>
      </c>
      <c r="FD9">
        <v>-2.4245362661989844E-14</v>
      </c>
      <c r="FE9">
        <v>11092218</v>
      </c>
      <c r="FF9" t="s">
        <v>2353</v>
      </c>
      <c r="FI9" t="s">
        <v>2459</v>
      </c>
      <c r="FJ9">
        <v>-2.4245362661989844E-14</v>
      </c>
      <c r="FL9">
        <v>-2.4245362661989844E-14</v>
      </c>
      <c r="FM9" t="s">
        <v>1789</v>
      </c>
      <c r="FN9">
        <v>2025</v>
      </c>
      <c r="FO9" t="s">
        <v>2460</v>
      </c>
      <c r="FP9" s="6">
        <v>45749</v>
      </c>
      <c r="FQ9">
        <v>5</v>
      </c>
      <c r="FR9">
        <v>-2.4245362661989844E-14</v>
      </c>
      <c r="FS9">
        <v>102456</v>
      </c>
      <c r="FT9" t="s">
        <v>2461</v>
      </c>
      <c r="HC9" t="s">
        <v>1946</v>
      </c>
      <c r="HD9" t="s">
        <v>1777</v>
      </c>
      <c r="HE9">
        <v>1.0236080000000001</v>
      </c>
      <c r="HF9">
        <v>0.137097</v>
      </c>
      <c r="HG9" t="s">
        <v>1768</v>
      </c>
      <c r="HH9">
        <v>2025</v>
      </c>
      <c r="HI9" t="s">
        <v>1947</v>
      </c>
      <c r="HJ9" s="6">
        <v>45929</v>
      </c>
      <c r="HK9">
        <v>5</v>
      </c>
      <c r="HL9">
        <v>125586464</v>
      </c>
      <c r="HM9">
        <v>100225</v>
      </c>
      <c r="HN9" t="s">
        <v>1948</v>
      </c>
      <c r="HQ9" t="s">
        <v>1804</v>
      </c>
      <c r="HR9">
        <v>-2.4245362661989844E-14</v>
      </c>
      <c r="HT9">
        <v>-2.4245362661989844E-14</v>
      </c>
      <c r="HU9" t="s">
        <v>1789</v>
      </c>
      <c r="HV9">
        <v>2024</v>
      </c>
      <c r="HW9" t="s">
        <v>1805</v>
      </c>
      <c r="HX9" s="6">
        <v>45435</v>
      </c>
      <c r="HY9">
        <v>5</v>
      </c>
      <c r="HZ9">
        <v>-2.4245362661989844E-14</v>
      </c>
      <c r="IA9">
        <v>1028866</v>
      </c>
      <c r="IB9" t="s">
        <v>1806</v>
      </c>
      <c r="IG9" t="s">
        <v>4375</v>
      </c>
      <c r="II9">
        <v>-2.4245362661989844E-14</v>
      </c>
      <c r="IJ9">
        <v>-2.4245362661989844E-14</v>
      </c>
      <c r="IK9" t="s">
        <v>1789</v>
      </c>
      <c r="IL9">
        <v>2023</v>
      </c>
      <c r="IM9" t="s">
        <v>4376</v>
      </c>
      <c r="IN9" s="6">
        <v>45400</v>
      </c>
      <c r="IO9">
        <v>5</v>
      </c>
      <c r="IP9">
        <v>-2.4245362661989844E-14</v>
      </c>
      <c r="IQ9">
        <v>49164336</v>
      </c>
      <c r="IR9" t="s">
        <v>4377</v>
      </c>
      <c r="IU9" t="s">
        <v>3401</v>
      </c>
      <c r="IV9">
        <v>-2.4245362661989844E-14</v>
      </c>
      <c r="IX9">
        <v>-2.4245362661989844E-14</v>
      </c>
      <c r="IY9" t="s">
        <v>1785</v>
      </c>
      <c r="IZ9">
        <v>2022</v>
      </c>
      <c r="JA9" t="s">
        <v>3402</v>
      </c>
      <c r="JB9" s="6">
        <v>45006</v>
      </c>
      <c r="JC9">
        <v>5</v>
      </c>
      <c r="JD9">
        <v>-2.4245362661989844E-14</v>
      </c>
      <c r="JE9">
        <v>837773</v>
      </c>
      <c r="JF9" t="s">
        <v>3403</v>
      </c>
      <c r="RM9" t="s">
        <v>3240</v>
      </c>
      <c r="RO9">
        <v>-2.4245362661989844E-14</v>
      </c>
      <c r="RP9">
        <v>-2.4245362661989844E-14</v>
      </c>
      <c r="RQ9" t="s">
        <v>1789</v>
      </c>
      <c r="RR9">
        <v>2023</v>
      </c>
      <c r="RS9" t="s">
        <v>4227</v>
      </c>
      <c r="RT9" s="6">
        <v>45013</v>
      </c>
      <c r="RU9">
        <v>5</v>
      </c>
      <c r="RV9">
        <v>-2.4245362661989844E-14</v>
      </c>
      <c r="RW9">
        <v>69921002</v>
      </c>
      <c r="RX9" t="s">
        <v>3242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1461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1462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1463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1464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1465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1466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1467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1468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1469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1470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1471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1472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1473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1474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1475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1476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1477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1478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1479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162</v>
      </c>
      <c r="AE2" s="3" t="s">
        <v>325</v>
      </c>
      <c r="BI2" s="3" t="s">
        <v>1480</v>
      </c>
      <c r="CM2" s="3" t="s">
        <v>1481</v>
      </c>
      <c r="DQ2" s="3" t="s">
        <v>1482</v>
      </c>
      <c r="EU2" s="3" t="s">
        <v>1483</v>
      </c>
      <c r="FY2" s="3" t="s">
        <v>1484</v>
      </c>
      <c r="HC2" s="3" t="s">
        <v>1485</v>
      </c>
      <c r="IG2" s="3" t="s">
        <v>424</v>
      </c>
      <c r="JK2" s="3" t="s">
        <v>1486</v>
      </c>
      <c r="KO2" s="3" t="s">
        <v>1487</v>
      </c>
      <c r="LS2" s="3" t="s">
        <v>1488</v>
      </c>
      <c r="MW2" s="3" t="s">
        <v>1489</v>
      </c>
      <c r="OA2" s="3" t="s">
        <v>1490</v>
      </c>
      <c r="PE2" s="3" t="s">
        <v>780</v>
      </c>
      <c r="QI2" s="3" t="s">
        <v>1491</v>
      </c>
      <c r="RM2" s="3" t="s">
        <v>1492</v>
      </c>
      <c r="SQ2" s="3" t="s">
        <v>618</v>
      </c>
      <c r="TU2" s="3" t="s">
        <v>1493</v>
      </c>
      <c r="UY2" s="3" t="s">
        <v>235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_xll.BDS("1822785D US Equity","SUPPLY_CHAIN_SUPPLIERS_ALL_DATA")</f>
        <v>#N/A N/A</v>
      </c>
      <c r="O5" t="str">
        <f>_xll.BDS("1822785D US Equity","SUPPLY_CHAIN_CUSTOMERS_ALL_DATA")</f>
        <v>#N/A N/A</v>
      </c>
      <c r="AE5" t="str">
        <f>_xll.BDS("UB US Equity","SUPPLY_CHAIN_SUPPLIERS_ALL_DATA")</f>
        <v>#N/A N/A</v>
      </c>
      <c r="AS5" t="str">
        <f>_xll.BDS("UB US Equity","SUPPLY_CHAIN_CUSTOMERS_ALL_DATA")</f>
        <v>#N/A N/A</v>
      </c>
      <c r="BI5" t="str">
        <f>_xll.BDS("AGATQ US Equity","SUPPLY_CHAIN_SUPPLIERS_ALL_DATA")</f>
        <v>#N/A N/A</v>
      </c>
      <c r="BW5" t="str">
        <f>_xll.BDS("AGATQ US Equity","SUPPLY_CHAIN_CUSTOMERS_ALL_DATA")</f>
        <v>#N/A N/A</v>
      </c>
      <c r="CM5" t="str">
        <f>_xll.BDS("812489Q US Equity","SUPPLY_CHAIN_SUPPLIERS_ALL_DATA")</f>
        <v>#N/A N/A</v>
      </c>
      <c r="DA5" t="str">
        <f>_xll.BDS("812489Q US Equity","SUPPLY_CHAIN_CUSTOMERS_ALL_DATA")</f>
        <v>#N/A N/A</v>
      </c>
      <c r="DQ5" t="str">
        <f>_xll.BDS("FEIC US Equity","SUPPLY_CHAIN_SUPPLIERS_ALL_DATA","cols=12;rows=5")</f>
        <v>9501 JP Equity</v>
      </c>
      <c r="DS5">
        <v>-2.4245362661989844E-14</v>
      </c>
      <c r="DT5">
        <v>-2.4245362661989844E-14</v>
      </c>
      <c r="DU5" t="s">
        <v>1789</v>
      </c>
      <c r="DV5">
        <v>2022</v>
      </c>
      <c r="DW5" t="s">
        <v>3652</v>
      </c>
      <c r="DX5" s="6">
        <v>44693</v>
      </c>
      <c r="DY5">
        <v>5</v>
      </c>
      <c r="DZ5">
        <v>-2.4245362661989844E-14</v>
      </c>
      <c r="EA5">
        <v>114991</v>
      </c>
      <c r="EB5" t="s">
        <v>3653</v>
      </c>
      <c r="EE5" t="str">
        <f>_xll.BDS("FEIC US Equity","SUPPLY_CHAIN_CUSTOMERS_ALL_DATA")</f>
        <v>#N/A N/A</v>
      </c>
      <c r="EU5" t="str">
        <f>_xll.BDS("WYPT US Equity","SUPPLY_CHAIN_SUPPLIERS_ALL_DATA")</f>
        <v>#N/A N/A</v>
      </c>
      <c r="FI5" t="str">
        <f>_xll.BDS("WYPT US Equity","SUPPLY_CHAIN_CUSTOMERS_ALL_DATA")</f>
        <v>#N/A N/A</v>
      </c>
      <c r="FY5" t="str">
        <f>_xll.BDS("FUR US Equity","SUPPLY_CHAIN_SUPPLIERS_ALL_DATA")</f>
        <v>#N/A N/A</v>
      </c>
      <c r="GM5" t="str">
        <f>_xll.BDS("FUR US Equity","SUPPLY_CHAIN_CUSTOMERS_ALL_DATA")</f>
        <v>#N/A N/A</v>
      </c>
      <c r="HC5" t="str">
        <f>_xll.BDS("CLDX US Equity","SUPPLY_CHAIN_SUPPLIERS_ALL_DATA","cols=12;rows=5")</f>
        <v>6047Z US Equity</v>
      </c>
      <c r="HE5">
        <v>-2.4245362661989844E-14</v>
      </c>
      <c r="HF5">
        <v>-2.4245362661989844E-14</v>
      </c>
      <c r="HG5" t="s">
        <v>1789</v>
      </c>
      <c r="HH5">
        <v>2024</v>
      </c>
      <c r="HI5" t="s">
        <v>2888</v>
      </c>
      <c r="HJ5" s="6">
        <v>45715</v>
      </c>
      <c r="HK5">
        <v>5</v>
      </c>
      <c r="HL5">
        <v>-2.4245362661989844E-14</v>
      </c>
      <c r="HM5">
        <v>961272</v>
      </c>
      <c r="HN5" t="s">
        <v>2983</v>
      </c>
      <c r="HQ5" t="str">
        <f>_xll.BDS("CLDX US Equity","SUPPLY_CHAIN_CUSTOMERS_ALL_DATA","cols=12;rows=4")</f>
        <v>572123Z US Equity</v>
      </c>
      <c r="HR5">
        <v>100</v>
      </c>
      <c r="HT5">
        <v>-2.4245362661989844E-14</v>
      </c>
      <c r="HU5" t="s">
        <v>1789</v>
      </c>
      <c r="HV5">
        <v>2024</v>
      </c>
      <c r="HW5" t="s">
        <v>2888</v>
      </c>
      <c r="HX5" s="6">
        <v>45715</v>
      </c>
      <c r="HY5">
        <v>4</v>
      </c>
      <c r="HZ5">
        <v>1750000</v>
      </c>
      <c r="IA5">
        <v>1081335</v>
      </c>
      <c r="IB5" t="s">
        <v>2889</v>
      </c>
      <c r="IG5" t="str">
        <f>_xll.BDS("WTNY US Equity","SUPPLY_CHAIN_SUPPLIERS_ALL_DATA")</f>
        <v>#N/A N/A</v>
      </c>
      <c r="IU5" t="str">
        <f>_xll.BDS("WTNY US Equity","SUPPLY_CHAIN_CUSTOMERS_ALL_DATA")</f>
        <v>#N/A N/A</v>
      </c>
      <c r="JK5" t="str">
        <f>_xll.BDS("HU US Equity","SUPPLY_CHAIN_SUPPLIERS_ALL_DATA")</f>
        <v>#N/A N/A</v>
      </c>
      <c r="JY5" t="str">
        <f>_xll.BDS("HU US Equity","SUPPLY_CHAIN_CUSTOMERS_ALL_DATA")</f>
        <v>#N/A N/A</v>
      </c>
      <c r="KO5" t="str">
        <f>_xll.BDS("CMD US Equity","SUPPLY_CHAIN_SUPPLIERS_ALL_DATA","cols=12;rows=1")</f>
        <v>FE US Equity</v>
      </c>
      <c r="KQ5">
        <v>-2.4245362661989844E-14</v>
      </c>
      <c r="KR5">
        <v>-2.4245362661989844E-14</v>
      </c>
      <c r="KS5" t="s">
        <v>1789</v>
      </c>
      <c r="KT5">
        <v>2021</v>
      </c>
      <c r="KU5" t="s">
        <v>1927</v>
      </c>
      <c r="KV5" s="6">
        <v>44693</v>
      </c>
      <c r="KW5">
        <v>1</v>
      </c>
      <c r="KX5">
        <v>-2.4245362661989844E-14</v>
      </c>
      <c r="KY5">
        <v>302916</v>
      </c>
      <c r="KZ5" t="s">
        <v>1928</v>
      </c>
      <c r="LC5" t="str">
        <f>_xll.BDS("CMD US Equity","SUPPLY_CHAIN_CUSTOMERS_ALL_DATA")</f>
        <v>#N/A N/A</v>
      </c>
      <c r="LS5" t="str">
        <f>_xll.BDS("KIM US Equity","SUPPLY_CHAIN_SUPPLIERS_ALL_DATA","cols=12;rows=1")</f>
        <v>WOOD IJ Equity</v>
      </c>
      <c r="LU5">
        <v>-2.4245362661989844E-14</v>
      </c>
      <c r="LV5">
        <v>-2.4245362661989844E-14</v>
      </c>
      <c r="LW5" t="s">
        <v>1789</v>
      </c>
      <c r="LX5">
        <v>2023</v>
      </c>
      <c r="LY5" t="s">
        <v>2082</v>
      </c>
      <c r="LZ5" s="6">
        <v>45412</v>
      </c>
      <c r="MA5">
        <v>1</v>
      </c>
      <c r="MB5">
        <v>-2.4245362661989844E-14</v>
      </c>
      <c r="MC5">
        <v>53777122</v>
      </c>
      <c r="MD5" t="s">
        <v>2083</v>
      </c>
      <c r="MG5" t="str">
        <f>_xll.BDS("KIM US Equity","SUPPLY_CHAIN_CUSTOMERS_ALL_DATA","cols=12;rows=5")</f>
        <v>TJX US Equity</v>
      </c>
      <c r="MH5">
        <v>3.0607549999999999</v>
      </c>
      <c r="MI5" t="s">
        <v>1808</v>
      </c>
      <c r="MJ5">
        <v>0.57157999999999998</v>
      </c>
      <c r="MK5" t="s">
        <v>1789</v>
      </c>
      <c r="ML5">
        <v>2024</v>
      </c>
      <c r="MM5" t="s">
        <v>1809</v>
      </c>
      <c r="MN5" s="6">
        <v>45695</v>
      </c>
      <c r="MO5">
        <v>5</v>
      </c>
      <c r="MP5">
        <v>15587000</v>
      </c>
      <c r="MQ5">
        <v>101481</v>
      </c>
      <c r="MR5" t="s">
        <v>1810</v>
      </c>
      <c r="MW5" t="str">
        <f>_xll.BDS("MDDS US Equity","SUPPLY_CHAIN_SUPPLIERS_ALL_DATA")</f>
        <v>#N/A N/A</v>
      </c>
      <c r="NK5" t="str">
        <f>_xll.BDS("MDDS US Equity","SUPPLY_CHAIN_CUSTOMERS_ALL_DATA")</f>
        <v>#N/A N/A</v>
      </c>
      <c r="OA5" t="str">
        <f>_xll.BDS("VABK US Equity","SUPPLY_CHAIN_SUPPLIERS_ALL_DATA")</f>
        <v>#N/A N/A</v>
      </c>
      <c r="OO5" t="str">
        <f>_xll.BDS("VABK US Equity","SUPPLY_CHAIN_CUSTOMERS_ALL_DATA")</f>
        <v>#N/A N/A</v>
      </c>
      <c r="PE5" t="str">
        <f>_xll.BDS("1436225D US Equity","SUPPLY_CHAIN_SUPPLIERS_ALL_DATA")</f>
        <v>#N/A N/A</v>
      </c>
      <c r="PS5" t="str">
        <f>_xll.BDS("1436225D US Equity","SUPPLY_CHAIN_CUSTOMERS_ALL_DATA")</f>
        <v>#N/A N/A</v>
      </c>
      <c r="QI5" t="str">
        <f>_xll.BDS("CCTX US Equity","SUPPLY_CHAIN_SUPPLIERS_ALL_DATA")</f>
        <v>#N/A N/A</v>
      </c>
      <c r="QW5" t="str">
        <f>_xll.BDS("CCTX US Equity","SUPPLY_CHAIN_CUSTOMERS_ALL_DATA")</f>
        <v>#N/A N/A</v>
      </c>
      <c r="RM5" t="str">
        <f>_xll.BDS("PFC US Equity","SUPPLY_CHAIN_SUPPLIERS_ALL_DATA")</f>
        <v>#N/A N/A</v>
      </c>
      <c r="SA5" t="str">
        <f>_xll.BDS("PFC US Equity","SUPPLY_CHAIN_CUSTOMERS_ALL_DATA")</f>
        <v>#N/A N/A</v>
      </c>
      <c r="SQ5" t="str">
        <f>_xll.BDS("CBCGQ US Equity","SUPPLY_CHAIN_SUPPLIERS_ALL_DATA")</f>
        <v>#N/A N/A</v>
      </c>
      <c r="TE5" t="str">
        <f>_xll.BDS("CBCGQ US Equity","SUPPLY_CHAIN_CUSTOMERS_ALL_DATA")</f>
        <v>#N/A N/A</v>
      </c>
      <c r="TU5" t="str">
        <f>_xll.BDS("NFBK US Equity","SUPPLY_CHAIN_SUPPLIERS_ALL_DATA")</f>
        <v>#N/A N/A</v>
      </c>
      <c r="UI5" t="str">
        <f>_xll.BDS("NFBK US Equity","SUPPLY_CHAIN_CUSTOMERS_ALL_DATA")</f>
        <v>#N/A N/A</v>
      </c>
      <c r="UY5" t="str">
        <f>_xll.BDS("1339658D US Equity","SUPPLY_CHAIN_SUPPLIERS_ALL_DATA")</f>
        <v>#N/A N/A</v>
      </c>
      <c r="VM5" t="str">
        <f>_xll.BDS("1339658D US Equity","SUPPLY_CHAIN_CUSTOMERS_ALL_DATA")</f>
        <v>#N/A N/A</v>
      </c>
    </row>
    <row r="6" spans="1:600" x14ac:dyDescent="0.25">
      <c r="DQ6" t="s">
        <v>925</v>
      </c>
      <c r="DS6">
        <v>-2.4245362661989844E-14</v>
      </c>
      <c r="DT6">
        <v>-2.4245362661989844E-14</v>
      </c>
      <c r="DU6" t="s">
        <v>1789</v>
      </c>
      <c r="DV6">
        <v>2021</v>
      </c>
      <c r="DW6" t="s">
        <v>2071</v>
      </c>
      <c r="DX6" s="6">
        <v>44693</v>
      </c>
      <c r="DY6">
        <v>5</v>
      </c>
      <c r="DZ6">
        <v>-2.4245362661989844E-14</v>
      </c>
      <c r="EA6">
        <v>100760</v>
      </c>
      <c r="EB6" t="s">
        <v>2072</v>
      </c>
      <c r="HC6" t="s">
        <v>2984</v>
      </c>
      <c r="HE6">
        <v>-2.4245362661989844E-14</v>
      </c>
      <c r="HF6">
        <v>-2.4245362661989844E-14</v>
      </c>
      <c r="HG6" t="s">
        <v>1789</v>
      </c>
      <c r="HH6">
        <v>2021</v>
      </c>
      <c r="HI6" t="s">
        <v>2985</v>
      </c>
      <c r="HJ6" s="6">
        <v>44693</v>
      </c>
      <c r="HK6">
        <v>5</v>
      </c>
      <c r="HL6">
        <v>-2.4245362661989844E-14</v>
      </c>
      <c r="HM6">
        <v>101086</v>
      </c>
      <c r="HN6" t="s">
        <v>2986</v>
      </c>
      <c r="HQ6" t="s">
        <v>2890</v>
      </c>
      <c r="HR6">
        <v>-2.4245362661989844E-14</v>
      </c>
      <c r="HT6">
        <v>-2.4245362661989844E-14</v>
      </c>
      <c r="HU6" t="s">
        <v>1789</v>
      </c>
      <c r="HV6">
        <v>2023</v>
      </c>
      <c r="HW6" t="s">
        <v>2891</v>
      </c>
      <c r="HX6" s="6">
        <v>45348</v>
      </c>
      <c r="HY6">
        <v>4</v>
      </c>
      <c r="HZ6">
        <v>-2.4245362661989844E-14</v>
      </c>
      <c r="IA6">
        <v>9218977</v>
      </c>
      <c r="IB6" t="s">
        <v>2892</v>
      </c>
      <c r="MG6" t="s">
        <v>1811</v>
      </c>
      <c r="MH6">
        <v>1.4744619999999999</v>
      </c>
      <c r="MI6" t="s">
        <v>1808</v>
      </c>
      <c r="MJ6">
        <v>0.89694700000000005</v>
      </c>
      <c r="MK6" t="s">
        <v>1789</v>
      </c>
      <c r="ML6">
        <v>2024</v>
      </c>
      <c r="MM6" t="s">
        <v>1809</v>
      </c>
      <c r="MN6" s="6">
        <v>45695</v>
      </c>
      <c r="MO6">
        <v>5</v>
      </c>
      <c r="MP6">
        <v>7508750</v>
      </c>
      <c r="MQ6">
        <v>106586</v>
      </c>
      <c r="MR6" t="s">
        <v>1812</v>
      </c>
    </row>
    <row r="7" spans="1:600" x14ac:dyDescent="0.25">
      <c r="DQ7" t="s">
        <v>2076</v>
      </c>
      <c r="DS7">
        <v>-2.4245362661989844E-14</v>
      </c>
      <c r="DT7">
        <v>-2.4245362661989844E-14</v>
      </c>
      <c r="DU7" t="s">
        <v>1789</v>
      </c>
      <c r="DV7">
        <v>2021</v>
      </c>
      <c r="DW7" t="s">
        <v>2077</v>
      </c>
      <c r="DX7" s="6">
        <v>44693</v>
      </c>
      <c r="DY7">
        <v>5</v>
      </c>
      <c r="DZ7">
        <v>-2.4245362661989844E-14</v>
      </c>
      <c r="EA7">
        <v>100532</v>
      </c>
      <c r="EB7" t="s">
        <v>2078</v>
      </c>
      <c r="HC7" t="s">
        <v>1926</v>
      </c>
      <c r="HE7">
        <v>-2.4245362661989844E-14</v>
      </c>
      <c r="HF7">
        <v>-2.4245362661989844E-14</v>
      </c>
      <c r="HG7" t="s">
        <v>1789</v>
      </c>
      <c r="HH7">
        <v>2021</v>
      </c>
      <c r="HI7" t="s">
        <v>1927</v>
      </c>
      <c r="HJ7" s="6">
        <v>44693</v>
      </c>
      <c r="HK7">
        <v>5</v>
      </c>
      <c r="HL7">
        <v>-2.4245362661989844E-14</v>
      </c>
      <c r="HM7">
        <v>302916</v>
      </c>
      <c r="HN7" t="s">
        <v>1928</v>
      </c>
      <c r="HQ7" t="s">
        <v>1797</v>
      </c>
      <c r="HR7">
        <v>-2.4245362661989844E-14</v>
      </c>
      <c r="HT7">
        <v>-2.4245362661989844E-14</v>
      </c>
      <c r="HU7" t="s">
        <v>1789</v>
      </c>
      <c r="HV7">
        <v>2023</v>
      </c>
      <c r="HW7" t="s">
        <v>2891</v>
      </c>
      <c r="HX7" s="6">
        <v>45348</v>
      </c>
      <c r="HY7">
        <v>4</v>
      </c>
      <c r="HZ7">
        <v>-2.4245362661989844E-14</v>
      </c>
      <c r="IA7">
        <v>218252</v>
      </c>
      <c r="IB7" t="s">
        <v>1798</v>
      </c>
      <c r="MG7" t="s">
        <v>1047</v>
      </c>
      <c r="MH7">
        <v>1.453058</v>
      </c>
      <c r="MI7" t="s">
        <v>1808</v>
      </c>
      <c r="MJ7">
        <v>0.106848</v>
      </c>
      <c r="MK7" t="s">
        <v>1789</v>
      </c>
      <c r="ML7">
        <v>2024</v>
      </c>
      <c r="MM7" t="s">
        <v>1809</v>
      </c>
      <c r="MN7" s="6">
        <v>45695</v>
      </c>
      <c r="MO7">
        <v>5</v>
      </c>
      <c r="MP7">
        <v>7399750</v>
      </c>
      <c r="MQ7">
        <v>100743</v>
      </c>
      <c r="MR7" t="s">
        <v>1813</v>
      </c>
    </row>
    <row r="8" spans="1:600" x14ac:dyDescent="0.25">
      <c r="DQ8" t="s">
        <v>3906</v>
      </c>
      <c r="DS8">
        <v>-2.4245362661989844E-14</v>
      </c>
      <c r="DT8">
        <v>-2.4245362661989844E-14</v>
      </c>
      <c r="DU8" t="s">
        <v>1789</v>
      </c>
      <c r="DV8">
        <v>2021</v>
      </c>
      <c r="DW8" t="s">
        <v>3907</v>
      </c>
      <c r="DX8" s="6">
        <v>44693</v>
      </c>
      <c r="DY8">
        <v>5</v>
      </c>
      <c r="DZ8">
        <v>-2.4245362661989844E-14</v>
      </c>
      <c r="EA8">
        <v>171311</v>
      </c>
      <c r="EB8" t="s">
        <v>3908</v>
      </c>
      <c r="HC8" t="s">
        <v>2987</v>
      </c>
      <c r="HE8">
        <v>-2.4245362661989844E-14</v>
      </c>
      <c r="HF8">
        <v>-2.4245362661989844E-14</v>
      </c>
      <c r="HG8" t="s">
        <v>1789</v>
      </c>
      <c r="HH8">
        <v>2021</v>
      </c>
      <c r="HI8" t="s">
        <v>2988</v>
      </c>
      <c r="HJ8" s="6">
        <v>44693</v>
      </c>
      <c r="HK8">
        <v>5</v>
      </c>
      <c r="HL8">
        <v>-2.4245362661989844E-14</v>
      </c>
      <c r="HM8">
        <v>115724</v>
      </c>
      <c r="HN8" t="s">
        <v>2989</v>
      </c>
      <c r="HQ8" t="s">
        <v>2893</v>
      </c>
      <c r="HR8">
        <v>-2.4245362661989844E-14</v>
      </c>
      <c r="HT8">
        <v>-2.4245362661989844E-14</v>
      </c>
      <c r="HU8" t="s">
        <v>1789</v>
      </c>
      <c r="HV8">
        <v>2023</v>
      </c>
      <c r="HW8" t="s">
        <v>2891</v>
      </c>
      <c r="HX8" s="6">
        <v>45348</v>
      </c>
      <c r="HY8">
        <v>4</v>
      </c>
      <c r="HZ8">
        <v>-2.4245362661989844E-14</v>
      </c>
      <c r="IA8">
        <v>104161</v>
      </c>
      <c r="IB8" t="s">
        <v>2894</v>
      </c>
      <c r="MG8" t="s">
        <v>1814</v>
      </c>
      <c r="MH8">
        <v>1.4319980000000001</v>
      </c>
      <c r="MI8" t="s">
        <v>1808</v>
      </c>
      <c r="MJ8">
        <v>5.2781000000000002E-2</v>
      </c>
      <c r="MK8" t="s">
        <v>1789</v>
      </c>
      <c r="ML8">
        <v>2024</v>
      </c>
      <c r="MM8" t="s">
        <v>1809</v>
      </c>
      <c r="MN8" s="6">
        <v>45695</v>
      </c>
      <c r="MO8">
        <v>5</v>
      </c>
      <c r="MP8">
        <v>7292500</v>
      </c>
      <c r="MQ8">
        <v>216952</v>
      </c>
      <c r="MR8" t="s">
        <v>1815</v>
      </c>
    </row>
    <row r="9" spans="1:600" x14ac:dyDescent="0.25">
      <c r="DQ9" t="s">
        <v>3909</v>
      </c>
      <c r="DS9">
        <v>-2.4245362661989844E-14</v>
      </c>
      <c r="DT9">
        <v>-2.4245362661989844E-14</v>
      </c>
      <c r="DU9" t="s">
        <v>1789</v>
      </c>
      <c r="DV9">
        <v>2021</v>
      </c>
      <c r="DW9" t="s">
        <v>3910</v>
      </c>
      <c r="DX9" s="6">
        <v>44693</v>
      </c>
      <c r="DY9">
        <v>5</v>
      </c>
      <c r="DZ9">
        <v>-2.4245362661989844E-14</v>
      </c>
      <c r="EA9">
        <v>107603</v>
      </c>
      <c r="EB9" t="s">
        <v>3911</v>
      </c>
      <c r="HC9" t="s">
        <v>2990</v>
      </c>
      <c r="HE9">
        <v>-2.4245362661989844E-14</v>
      </c>
      <c r="HF9">
        <v>-2.4245362661989844E-14</v>
      </c>
      <c r="HG9" t="s">
        <v>1789</v>
      </c>
      <c r="HH9">
        <v>2021</v>
      </c>
      <c r="HI9" t="s">
        <v>2991</v>
      </c>
      <c r="HJ9" s="6">
        <v>44693</v>
      </c>
      <c r="HK9">
        <v>5</v>
      </c>
      <c r="HL9">
        <v>-2.4245362661989844E-14</v>
      </c>
      <c r="HM9">
        <v>179563</v>
      </c>
      <c r="HN9" t="s">
        <v>2992</v>
      </c>
      <c r="MG9" t="s">
        <v>1816</v>
      </c>
      <c r="MH9">
        <v>1.4258120000000001</v>
      </c>
      <c r="MI9" t="s">
        <v>1808</v>
      </c>
      <c r="MJ9">
        <v>0.82678600000000002</v>
      </c>
      <c r="MK9" t="s">
        <v>1789</v>
      </c>
      <c r="ML9">
        <v>2024</v>
      </c>
      <c r="MM9" t="s">
        <v>1809</v>
      </c>
      <c r="MN9" s="6">
        <v>45695</v>
      </c>
      <c r="MO9">
        <v>5</v>
      </c>
      <c r="MP9">
        <v>7261000</v>
      </c>
      <c r="MQ9">
        <v>34501311</v>
      </c>
      <c r="MR9" t="s">
        <v>1817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1495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1496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1497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1498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1499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1500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1501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1502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1503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1504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1505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1506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1507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1508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1509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1510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1511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1512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1513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614</v>
      </c>
      <c r="AE2" s="3" t="s">
        <v>1423</v>
      </c>
      <c r="BI2" s="3" t="s">
        <v>1514</v>
      </c>
      <c r="CM2" s="3" t="s">
        <v>1515</v>
      </c>
      <c r="DQ2" s="3" t="s">
        <v>817</v>
      </c>
      <c r="EU2" s="3" t="s">
        <v>1516</v>
      </c>
      <c r="FY2" s="3" t="s">
        <v>1517</v>
      </c>
      <c r="HC2" s="3" t="s">
        <v>236</v>
      </c>
      <c r="IG2" s="3" t="s">
        <v>1518</v>
      </c>
      <c r="JK2" s="3" t="s">
        <v>1519</v>
      </c>
      <c r="KO2" s="3" t="s">
        <v>207</v>
      </c>
      <c r="LS2" s="3" t="s">
        <v>1520</v>
      </c>
      <c r="MW2" s="3" t="s">
        <v>1521</v>
      </c>
      <c r="OA2" s="3" t="s">
        <v>22</v>
      </c>
      <c r="PE2" s="3" t="s">
        <v>1522</v>
      </c>
      <c r="QI2" s="3" t="s">
        <v>1523</v>
      </c>
      <c r="RM2" s="3" t="s">
        <v>789</v>
      </c>
      <c r="SQ2" s="3" t="s">
        <v>962</v>
      </c>
      <c r="TU2" s="3" t="s">
        <v>1524</v>
      </c>
      <c r="UY2" s="3" t="s">
        <v>885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_xll.BDS("DVINQ US Equity","SUPPLY_CHAIN_SUPPLIERS_ALL_DATA")</f>
        <v>#N/A N/A</v>
      </c>
      <c r="O5" t="str">
        <f>_xll.BDS("DVINQ US Equity","SUPPLY_CHAIN_CUSTOMERS_ALL_DATA")</f>
        <v>#N/A N/A</v>
      </c>
      <c r="AE5" t="str">
        <f>_xll.BDS("DHR US Equity","SUPPLY_CHAIN_SUPPLIERS_ALL_DATA","cols=12;rows=5")</f>
        <v>FLEX US Equity</v>
      </c>
      <c r="AF5" t="s">
        <v>1777</v>
      </c>
      <c r="AG5">
        <v>1.165869</v>
      </c>
      <c r="AH5">
        <v>2.8864939999999999</v>
      </c>
      <c r="AI5" t="s">
        <v>1773</v>
      </c>
      <c r="AJ5">
        <v>2025</v>
      </c>
      <c r="AK5" t="s">
        <v>2136</v>
      </c>
      <c r="AL5" s="6">
        <v>45763</v>
      </c>
      <c r="AM5">
        <v>5</v>
      </c>
      <c r="AN5">
        <v>76434368</v>
      </c>
      <c r="AO5">
        <v>136547</v>
      </c>
      <c r="AP5" t="s">
        <v>2137</v>
      </c>
      <c r="AS5" t="str">
        <f>_xll.BDS("DHR US Equity","SUPPLY_CHAIN_CUSTOMERS_ALL_DATA","cols=12;rows=5")</f>
        <v>CDW US Equity</v>
      </c>
      <c r="AT5">
        <v>0.25350099999999998</v>
      </c>
      <c r="AU5" t="s">
        <v>1777</v>
      </c>
      <c r="AV5">
        <v>0.35698299999999999</v>
      </c>
      <c r="AW5" t="s">
        <v>1781</v>
      </c>
      <c r="AX5">
        <v>2025</v>
      </c>
      <c r="AY5" t="s">
        <v>1865</v>
      </c>
      <c r="AZ5" s="6">
        <v>45820</v>
      </c>
      <c r="BA5">
        <v>5</v>
      </c>
      <c r="BB5">
        <v>14553483</v>
      </c>
      <c r="BC5">
        <v>12129192</v>
      </c>
      <c r="BD5" t="s">
        <v>1866</v>
      </c>
      <c r="BI5" t="str">
        <f>_xll.BDS("DENTQ US Equity","SUPPLY_CHAIN_SUPPLIERS_ALL_DATA")</f>
        <v>#N/A N/A</v>
      </c>
      <c r="BW5" t="str">
        <f>_xll.BDS("DENTQ US Equity","SUPPLY_CHAIN_CUSTOMERS_ALL_DATA")</f>
        <v>#N/A N/A</v>
      </c>
      <c r="CM5" t="str">
        <f>_xll.BDS("EBIXQ US Equity","SUPPLY_CHAIN_SUPPLIERS_ALL_DATA","cols=12;rows=5")</f>
        <v>0630827D US Equity</v>
      </c>
      <c r="CO5">
        <v>-2.4245362661989844E-14</v>
      </c>
      <c r="CP5">
        <v>-2.4245362661989844E-14</v>
      </c>
      <c r="CQ5" t="s">
        <v>1785</v>
      </c>
      <c r="CR5">
        <v>2023</v>
      </c>
      <c r="CS5" t="s">
        <v>3128</v>
      </c>
      <c r="CT5" s="6">
        <v>45278</v>
      </c>
      <c r="CU5">
        <v>5</v>
      </c>
      <c r="CV5">
        <v>-2.4245362661989844E-14</v>
      </c>
      <c r="CW5">
        <v>31741229</v>
      </c>
      <c r="CX5" t="s">
        <v>3129</v>
      </c>
      <c r="DA5" t="str">
        <f>_xll.BDS("EBIXQ US Equity","SUPPLY_CHAIN_CUSTOMERS_ALL_DATA","cols=12;rows=5")</f>
        <v>1067313D US Equity</v>
      </c>
      <c r="DB5">
        <v>-2.4245362661989844E-14</v>
      </c>
      <c r="DD5">
        <v>-2.4245362661989844E-14</v>
      </c>
      <c r="DE5" t="s">
        <v>1789</v>
      </c>
      <c r="DF5">
        <v>2023</v>
      </c>
      <c r="DG5" t="s">
        <v>2803</v>
      </c>
      <c r="DH5" s="6">
        <v>45295</v>
      </c>
      <c r="DI5">
        <v>5</v>
      </c>
      <c r="DJ5">
        <v>-2.4245362661989844E-14</v>
      </c>
      <c r="DK5">
        <v>42287598</v>
      </c>
      <c r="DL5" t="s">
        <v>2804</v>
      </c>
      <c r="DQ5" t="str">
        <f>_xll.BDS("838969Q US Equity","SUPPLY_CHAIN_SUPPLIERS_ALL_DATA")</f>
        <v>#N/A N/A</v>
      </c>
      <c r="EE5" t="str">
        <f>_xll.BDS("838969Q US Equity","SUPPLY_CHAIN_CUSTOMERS_ALL_DATA")</f>
        <v>#N/A N/A</v>
      </c>
      <c r="EU5" t="str">
        <f>_xll.BDS("3372216Q US Equity","SUPPLY_CHAIN_SUPPLIERS_ALL_DATA")</f>
        <v>#N/A N/A</v>
      </c>
      <c r="FI5" t="str">
        <f>_xll.BDS("3372216Q US Equity","SUPPLY_CHAIN_CUSTOMERS_ALL_DATA")</f>
        <v>#N/A N/A</v>
      </c>
      <c r="FY5" t="str">
        <f>_xll.BDS("VLO US Equity","SUPPLY_CHAIN_SUPPLIERS_ALL_DATA","cols=12;rows=5")</f>
        <v>DAR US Equity</v>
      </c>
      <c r="FZ5" t="s">
        <v>1777</v>
      </c>
      <c r="GA5">
        <v>22</v>
      </c>
      <c r="GB5">
        <v>1.2306760000000001</v>
      </c>
      <c r="GC5" t="s">
        <v>1773</v>
      </c>
      <c r="GD5">
        <v>2025</v>
      </c>
      <c r="GE5" t="s">
        <v>2261</v>
      </c>
      <c r="GF5" s="6">
        <v>45966</v>
      </c>
      <c r="GG5">
        <v>5</v>
      </c>
      <c r="GH5">
        <v>344072512</v>
      </c>
      <c r="GI5">
        <v>136254</v>
      </c>
      <c r="GJ5" t="s">
        <v>2262</v>
      </c>
      <c r="GM5" t="str">
        <f>_xll.BDS("VLO US Equity","SUPPLY_CHAIN_CUSTOMERS_ALL_DATA","cols=12;rows=5")</f>
        <v>ARKO US Equity</v>
      </c>
      <c r="GN5">
        <v>-2.4245362661989844E-14</v>
      </c>
      <c r="GP5">
        <v>-2.4245362661989844E-14</v>
      </c>
      <c r="GQ5" t="s">
        <v>1789</v>
      </c>
      <c r="GR5">
        <v>2024</v>
      </c>
      <c r="GS5" t="s">
        <v>2142</v>
      </c>
      <c r="GT5" s="6">
        <v>45714</v>
      </c>
      <c r="GU5">
        <v>5</v>
      </c>
      <c r="GV5">
        <v>-2.4245362661989844E-14</v>
      </c>
      <c r="GW5">
        <v>69344989</v>
      </c>
      <c r="GX5" t="s">
        <v>2143</v>
      </c>
      <c r="HC5" t="str">
        <f>_xll.BDS("BVH US Equity","SUPPLY_CHAIN_SUPPLIERS_ALL_DATA","cols=12;rows=1")</f>
        <v>ECL US Equity</v>
      </c>
      <c r="HE5">
        <v>-2.4245362661989844E-14</v>
      </c>
      <c r="HF5">
        <v>-2.4245362661989844E-14</v>
      </c>
      <c r="HG5" t="s">
        <v>1768</v>
      </c>
      <c r="HH5">
        <v>2023</v>
      </c>
      <c r="HI5" t="s">
        <v>1952</v>
      </c>
      <c r="HJ5" s="6">
        <v>45183</v>
      </c>
      <c r="HK5">
        <v>1</v>
      </c>
      <c r="HL5">
        <v>-2.4245362661989844E-14</v>
      </c>
      <c r="HM5">
        <v>100499</v>
      </c>
      <c r="HN5" t="s">
        <v>1953</v>
      </c>
      <c r="HQ5" t="str">
        <f>_xll.BDS("BVH US Equity","SUPPLY_CHAIN_CUSTOMERS_ALL_DATA")</f>
        <v>#N/A N/A</v>
      </c>
      <c r="IG5" t="str">
        <f>_xll.BDS("NKLAQ US Equity","SUPPLY_CHAIN_SUPPLIERS_ALL_DATA","cols=12;rows=5")</f>
        <v>PLUG US Equity</v>
      </c>
      <c r="IH5" t="s">
        <v>1777</v>
      </c>
      <c r="II5">
        <v>0.75537699999999997</v>
      </c>
      <c r="IJ5">
        <v>2.1908249999999998</v>
      </c>
      <c r="IK5" t="s">
        <v>1773</v>
      </c>
      <c r="IL5">
        <v>2025</v>
      </c>
      <c r="IM5" t="s">
        <v>4396</v>
      </c>
      <c r="IN5" s="6">
        <v>46010</v>
      </c>
      <c r="IO5">
        <v>5</v>
      </c>
      <c r="IP5">
        <v>1337433</v>
      </c>
      <c r="IQ5">
        <v>883408</v>
      </c>
      <c r="IR5" t="s">
        <v>4397</v>
      </c>
      <c r="IU5" t="str">
        <f>_xll.BDS("NKLAQ US Equity","SUPPLY_CHAIN_CUSTOMERS_ALL_DATA","cols=12;rows=5")</f>
        <v>0219760D US Equity</v>
      </c>
      <c r="IV5">
        <v>-2.4245362661989844E-14</v>
      </c>
      <c r="IX5">
        <v>-2.4245362661989844E-14</v>
      </c>
      <c r="IY5" t="s">
        <v>1789</v>
      </c>
      <c r="IZ5">
        <v>2022</v>
      </c>
      <c r="JA5" t="s">
        <v>3516</v>
      </c>
      <c r="JB5" s="6">
        <v>44931</v>
      </c>
      <c r="JC5">
        <v>5</v>
      </c>
      <c r="JD5">
        <v>-2.4245362661989844E-14</v>
      </c>
      <c r="JE5">
        <v>20092105</v>
      </c>
      <c r="JF5" t="s">
        <v>3517</v>
      </c>
      <c r="JK5" t="str">
        <f>_xll.BDS("HTBK US Equity","SUPPLY_CHAIN_SUPPLIERS_ALL_DATA")</f>
        <v>#N/A N/A</v>
      </c>
      <c r="JY5" t="str">
        <f>_xll.BDS("HTBK US Equity","SUPPLY_CHAIN_CUSTOMERS_ALL_DATA")</f>
        <v>#N/A N/A</v>
      </c>
      <c r="KO5" t="str">
        <f>_xll.BDS("MCHB US Equity","SUPPLY_CHAIN_SUPPLIERS_ALL_DATA")</f>
        <v>#N/A N/A</v>
      </c>
      <c r="LC5" t="str">
        <f>_xll.BDS("MCHB US Equity","SUPPLY_CHAIN_CUSTOMERS_ALL_DATA")</f>
        <v>#N/A N/A</v>
      </c>
      <c r="LS5" t="str">
        <f>_xll.BDS("RVTY US Equity","SUPPLY_CHAIN_SUPPLIERS_ALL_DATA","cols=12;rows=5")</f>
        <v>UPS US Equity</v>
      </c>
      <c r="LT5" t="s">
        <v>1777</v>
      </c>
      <c r="LU5">
        <v>5.5890000000000002E-2</v>
      </c>
      <c r="LV5">
        <v>3.6901579999999998</v>
      </c>
      <c r="LW5" t="s">
        <v>1773</v>
      </c>
      <c r="LX5">
        <v>2025</v>
      </c>
      <c r="LY5" t="s">
        <v>2526</v>
      </c>
      <c r="LZ5" s="6">
        <v>46007</v>
      </c>
      <c r="MA5">
        <v>5</v>
      </c>
      <c r="MB5">
        <v>11968844</v>
      </c>
      <c r="MC5">
        <v>143027</v>
      </c>
      <c r="MD5" t="s">
        <v>2921</v>
      </c>
      <c r="MG5" t="str">
        <f>_xll.BDS("RVTY US Equity","SUPPLY_CHAIN_CUSTOMERS_ALL_DATA","cols=12;rows=5")</f>
        <v>002971 CH Equity</v>
      </c>
      <c r="MH5">
        <v>-2.4245362661989844E-14</v>
      </c>
      <c r="MJ5">
        <v>-2.4245362661989844E-14</v>
      </c>
      <c r="MK5" t="s">
        <v>2183</v>
      </c>
      <c r="ML5">
        <v>2025</v>
      </c>
      <c r="MM5" t="s">
        <v>2851</v>
      </c>
      <c r="MN5" s="6">
        <v>45888</v>
      </c>
      <c r="MO5">
        <v>5</v>
      </c>
      <c r="MP5">
        <v>-2.4245362661989844E-14</v>
      </c>
      <c r="MQ5">
        <v>61902583</v>
      </c>
      <c r="MR5" t="s">
        <v>2852</v>
      </c>
      <c r="MW5" t="str">
        <f>_xll.BDS("MFE US Equity","SUPPLY_CHAIN_SUPPLIERS_ALL_DATA","cols=12;rows=2")</f>
        <v>EMBASSY IN Equity</v>
      </c>
      <c r="MY5">
        <v>-2.4245362661989844E-14</v>
      </c>
      <c r="MZ5">
        <v>-2.4245362661989844E-14</v>
      </c>
      <c r="NA5" t="s">
        <v>1789</v>
      </c>
      <c r="NB5">
        <v>2022</v>
      </c>
      <c r="NC5" t="s">
        <v>2692</v>
      </c>
      <c r="ND5" s="6">
        <v>44698</v>
      </c>
      <c r="NE5">
        <v>2</v>
      </c>
      <c r="NF5">
        <v>-2.4245362661989844E-14</v>
      </c>
      <c r="NG5">
        <v>63052670</v>
      </c>
      <c r="NH5" t="s">
        <v>2665</v>
      </c>
      <c r="NK5" t="str">
        <f>_xll.BDS("MFE US Equity","SUPPLY_CHAIN_CUSTOMERS_ALL_DATA","cols=12;rows=5")</f>
        <v>2760 JP Equity</v>
      </c>
      <c r="NL5">
        <v>-2.4245362661989844E-14</v>
      </c>
      <c r="NN5">
        <v>-2.4245362661989844E-14</v>
      </c>
      <c r="NO5" t="s">
        <v>1768</v>
      </c>
      <c r="NP5">
        <v>2023</v>
      </c>
      <c r="NQ5" t="s">
        <v>2484</v>
      </c>
      <c r="NR5" s="6">
        <v>44865</v>
      </c>
      <c r="NS5">
        <v>5</v>
      </c>
      <c r="NT5">
        <v>-2.4245362661989844E-14</v>
      </c>
      <c r="NU5">
        <v>955442</v>
      </c>
      <c r="NV5" t="s">
        <v>2485</v>
      </c>
      <c r="OA5" t="str">
        <f>_xll.BDS("nan Equity","SUPPLY_CHAIN_SUPPLIERS_ALL_DATA")</f>
        <v>#N/A N/A</v>
      </c>
      <c r="OO5" t="str">
        <f>_xll.BDS("nan Equity","SUPPLY_CHAIN_CUSTOMERS_ALL_DATA")</f>
        <v>#N/A N/A</v>
      </c>
      <c r="PE5" t="str">
        <f>_xll.BDS("3414924Q US Equity","SUPPLY_CHAIN_SUPPLIERS_ALL_DATA","cols=12;rows=5")</f>
        <v>051380 KS Equity</v>
      </c>
      <c r="PG5">
        <v>-2.4245362661989844E-14</v>
      </c>
      <c r="PH5">
        <v>-2.4245362661989844E-14</v>
      </c>
      <c r="PI5" t="s">
        <v>1894</v>
      </c>
      <c r="PJ5">
        <v>2025</v>
      </c>
      <c r="PK5" t="s">
        <v>2233</v>
      </c>
      <c r="PL5" s="6">
        <v>45975</v>
      </c>
      <c r="PM5">
        <v>5</v>
      </c>
      <c r="PN5">
        <v>-2.4245362661989844E-14</v>
      </c>
      <c r="PO5">
        <v>7631143</v>
      </c>
      <c r="PP5" t="s">
        <v>2234</v>
      </c>
      <c r="PS5" t="str">
        <f>_xll.BDS("3414924Q US Equity","SUPPLY_CHAIN_CUSTOMERS_ALL_DATA","cols=12;rows=5")</f>
        <v>051380 KS Equity</v>
      </c>
      <c r="PT5">
        <v>-2.4245362661989844E-14</v>
      </c>
      <c r="PV5">
        <v>-2.4245362661989844E-14</v>
      </c>
      <c r="PW5" t="s">
        <v>1894</v>
      </c>
      <c r="PX5">
        <v>2025</v>
      </c>
      <c r="PY5" t="s">
        <v>2233</v>
      </c>
      <c r="PZ5" s="6">
        <v>45975</v>
      </c>
      <c r="QA5">
        <v>5</v>
      </c>
      <c r="QB5">
        <v>-2.4245362661989844E-14</v>
      </c>
      <c r="QC5">
        <v>7631143</v>
      </c>
      <c r="QD5" t="s">
        <v>2234</v>
      </c>
      <c r="QI5" t="str">
        <f>_xll.BDS("BMS US Equity","SUPPLY_CHAIN_SUPPLIERS_ALL_DATA","cols=12;rows=1")</f>
        <v>FE US Equity</v>
      </c>
      <c r="QK5">
        <v>-2.4245362661989844E-14</v>
      </c>
      <c r="QL5">
        <v>-2.4245362661989844E-14</v>
      </c>
      <c r="QM5" t="s">
        <v>1789</v>
      </c>
      <c r="QN5">
        <v>2021</v>
      </c>
      <c r="QO5" t="s">
        <v>1927</v>
      </c>
      <c r="QP5" s="6">
        <v>44693</v>
      </c>
      <c r="QQ5">
        <v>1</v>
      </c>
      <c r="QR5">
        <v>-2.4245362661989844E-14</v>
      </c>
      <c r="QS5">
        <v>302916</v>
      </c>
      <c r="QT5" t="s">
        <v>1928</v>
      </c>
      <c r="QW5" t="str">
        <f>_xll.BDS("BMS US Equity","SUPPLY_CHAIN_CUSTOMERS_ALL_DATA")</f>
        <v>#N/A N/A</v>
      </c>
      <c r="RM5" t="str">
        <f>_xll.BDS("PBCT US Equity","SUPPLY_CHAIN_SUPPLIERS_ALL_DATA")</f>
        <v>#N/A N/A</v>
      </c>
      <c r="SA5" t="str">
        <f>_xll.BDS("PBCT US Equity","SUPPLY_CHAIN_CUSTOMERS_ALL_DATA")</f>
        <v>#N/A N/A</v>
      </c>
      <c r="SQ5" t="str">
        <f>_xll.BDS("FNFG US Equity","SUPPLY_CHAIN_SUPPLIERS_ALL_DATA")</f>
        <v>#N/A N/A</v>
      </c>
      <c r="TE5" t="str">
        <f>_xll.BDS("FNFG US Equity","SUPPLY_CHAIN_CUSTOMERS_ALL_DATA")</f>
        <v>#N/A N/A</v>
      </c>
      <c r="TU5" t="str">
        <f>_xll.BDS("COLB US Equity","SUPPLY_CHAIN_SUPPLIERS_ALL_DATA","cols=12;rows=1")</f>
        <v>INVE US Equity</v>
      </c>
      <c r="TW5">
        <v>-2.4245362661989844E-14</v>
      </c>
      <c r="TX5">
        <v>-2.4245362661989844E-14</v>
      </c>
      <c r="TY5" t="s">
        <v>1773</v>
      </c>
      <c r="TZ5">
        <v>2022</v>
      </c>
      <c r="UA5" t="s">
        <v>3424</v>
      </c>
      <c r="UB5" s="6">
        <v>44882</v>
      </c>
      <c r="UC5">
        <v>1</v>
      </c>
      <c r="UD5">
        <v>-2.4245362661989844E-14</v>
      </c>
      <c r="UE5">
        <v>225752</v>
      </c>
      <c r="UF5" t="s">
        <v>3425</v>
      </c>
      <c r="UI5" t="str">
        <f>_xll.BDS("COLB US Equity","SUPPLY_CHAIN_CUSTOMERS_ALL_DATA")</f>
        <v>#N/A N/A</v>
      </c>
      <c r="UY5" t="str">
        <f>_xll.BDS("TMO US Equity","SUPPLY_CHAIN_SUPPLIERS_ALL_DATA","cols=12;rows=5")</f>
        <v>EMR US Equity</v>
      </c>
      <c r="UZ5" t="s">
        <v>1777</v>
      </c>
      <c r="VA5">
        <v>4.2224550000000001</v>
      </c>
      <c r="VB5">
        <v>2.8645350000000001</v>
      </c>
      <c r="VC5" t="s">
        <v>1773</v>
      </c>
      <c r="VD5">
        <v>2025</v>
      </c>
      <c r="VE5" t="s">
        <v>2594</v>
      </c>
      <c r="VF5" s="6">
        <v>45881</v>
      </c>
      <c r="VG5">
        <v>5</v>
      </c>
      <c r="VH5">
        <v>184647952</v>
      </c>
      <c r="VI5">
        <v>100515</v>
      </c>
      <c r="VJ5" t="s">
        <v>2595</v>
      </c>
      <c r="VM5" t="str">
        <f>_xll.BDS("TMO US Equity","SUPPLY_CHAIN_CUSTOMERS_ALL_DATA","cols=12;rows=5")</f>
        <v>4195 TT Equity</v>
      </c>
      <c r="VN5">
        <v>9.7099999999999999E-3</v>
      </c>
      <c r="VO5" t="s">
        <v>1777</v>
      </c>
      <c r="VP5">
        <v>37.527434999999997</v>
      </c>
      <c r="VQ5" t="s">
        <v>1789</v>
      </c>
      <c r="VR5">
        <v>2024</v>
      </c>
      <c r="VS5" t="s">
        <v>2514</v>
      </c>
      <c r="VT5" s="6">
        <v>45803</v>
      </c>
      <c r="VU5">
        <v>5</v>
      </c>
      <c r="VV5">
        <v>1052629.3999999999</v>
      </c>
      <c r="VW5">
        <v>38166930</v>
      </c>
      <c r="VX5" t="s">
        <v>2515</v>
      </c>
    </row>
    <row r="6" spans="1:600" x14ac:dyDescent="0.25">
      <c r="AE6" t="s">
        <v>2423</v>
      </c>
      <c r="AF6" t="s">
        <v>1777</v>
      </c>
      <c r="AG6">
        <v>0.147895</v>
      </c>
      <c r="AH6">
        <v>0.47978500000000002</v>
      </c>
      <c r="AI6" t="s">
        <v>1773</v>
      </c>
      <c r="AJ6">
        <v>2025</v>
      </c>
      <c r="AK6" t="s">
        <v>2424</v>
      </c>
      <c r="AL6" s="6">
        <v>45867</v>
      </c>
      <c r="AM6">
        <v>5</v>
      </c>
      <c r="AN6">
        <v>11577221</v>
      </c>
      <c r="AO6">
        <v>117092</v>
      </c>
      <c r="AP6" t="s">
        <v>2425</v>
      </c>
      <c r="AS6" t="s">
        <v>1902</v>
      </c>
      <c r="AT6">
        <v>0.22051499999999999</v>
      </c>
      <c r="AU6" t="s">
        <v>1777</v>
      </c>
      <c r="AV6">
        <v>9.3169000000000002E-2</v>
      </c>
      <c r="AW6" t="s">
        <v>1785</v>
      </c>
      <c r="AX6">
        <v>2025</v>
      </c>
      <c r="AY6" t="s">
        <v>1903</v>
      </c>
      <c r="AZ6" s="6">
        <v>46056</v>
      </c>
      <c r="BA6">
        <v>5</v>
      </c>
      <c r="BB6">
        <v>15078834</v>
      </c>
      <c r="BC6">
        <v>1499717</v>
      </c>
      <c r="BD6" t="s">
        <v>1904</v>
      </c>
      <c r="CM6" t="s">
        <v>3130</v>
      </c>
      <c r="CO6">
        <v>-2.4245362661989844E-14</v>
      </c>
      <c r="CP6">
        <v>-2.4245362661989844E-14</v>
      </c>
      <c r="CQ6" t="s">
        <v>1785</v>
      </c>
      <c r="CR6">
        <v>2023</v>
      </c>
      <c r="CS6" t="s">
        <v>3128</v>
      </c>
      <c r="CT6" s="6">
        <v>45278</v>
      </c>
      <c r="CU6">
        <v>5</v>
      </c>
      <c r="CV6">
        <v>-2.4245362661989844E-14</v>
      </c>
      <c r="CW6">
        <v>34925730</v>
      </c>
      <c r="CX6" t="s">
        <v>3131</v>
      </c>
      <c r="DA6" t="s">
        <v>2805</v>
      </c>
      <c r="DB6">
        <v>-2.4245362661989844E-14</v>
      </c>
      <c r="DD6">
        <v>-2.4245362661989844E-14</v>
      </c>
      <c r="DE6" t="s">
        <v>1789</v>
      </c>
      <c r="DF6">
        <v>2022</v>
      </c>
      <c r="DG6" t="s">
        <v>2803</v>
      </c>
      <c r="DH6" s="6">
        <v>44799</v>
      </c>
      <c r="DI6">
        <v>5</v>
      </c>
      <c r="DJ6">
        <v>-2.4245362661989844E-14</v>
      </c>
      <c r="DK6">
        <v>239989</v>
      </c>
      <c r="DL6" t="s">
        <v>2806</v>
      </c>
      <c r="FY6" t="s">
        <v>2094</v>
      </c>
      <c r="FZ6" t="s">
        <v>1777</v>
      </c>
      <c r="GA6">
        <v>0.45644699999999999</v>
      </c>
      <c r="GB6">
        <v>0.26349899999999998</v>
      </c>
      <c r="GC6" t="s">
        <v>1785</v>
      </c>
      <c r="GD6">
        <v>2025</v>
      </c>
      <c r="GE6" t="s">
        <v>2095</v>
      </c>
      <c r="GF6" s="6">
        <v>45848</v>
      </c>
      <c r="GG6">
        <v>5</v>
      </c>
      <c r="GH6">
        <v>72588768</v>
      </c>
      <c r="GI6">
        <v>101752</v>
      </c>
      <c r="GJ6" t="s">
        <v>2096</v>
      </c>
      <c r="GM6" t="s">
        <v>2144</v>
      </c>
      <c r="GN6">
        <v>-2.4245362661989844E-14</v>
      </c>
      <c r="GP6">
        <v>-2.4245362661989844E-14</v>
      </c>
      <c r="GQ6" t="s">
        <v>1789</v>
      </c>
      <c r="GR6">
        <v>2025</v>
      </c>
      <c r="GS6" t="s">
        <v>2145</v>
      </c>
      <c r="GT6" s="6">
        <v>45834</v>
      </c>
      <c r="GU6">
        <v>5</v>
      </c>
      <c r="GV6">
        <v>-2.4245362661989844E-14</v>
      </c>
      <c r="GW6">
        <v>108241</v>
      </c>
      <c r="GX6" t="s">
        <v>2146</v>
      </c>
      <c r="IG6" t="s">
        <v>4398</v>
      </c>
      <c r="IH6" t="s">
        <v>1777</v>
      </c>
      <c r="II6">
        <v>5.1520000000000003E-3</v>
      </c>
      <c r="IJ6">
        <v>0.88785700000000001</v>
      </c>
      <c r="IK6" t="s">
        <v>1768</v>
      </c>
      <c r="IL6">
        <v>2025</v>
      </c>
      <c r="IM6" t="s">
        <v>4399</v>
      </c>
      <c r="IN6" s="6">
        <v>45958</v>
      </c>
      <c r="IO6">
        <v>5</v>
      </c>
      <c r="IP6">
        <v>576140.25</v>
      </c>
      <c r="IQ6">
        <v>961545</v>
      </c>
      <c r="IR6" t="s">
        <v>4400</v>
      </c>
      <c r="IU6" t="s">
        <v>3518</v>
      </c>
      <c r="IV6">
        <v>-2.4245362661989844E-14</v>
      </c>
      <c r="IX6">
        <v>-2.4245362661989844E-14</v>
      </c>
      <c r="IY6" t="s">
        <v>1789</v>
      </c>
      <c r="IZ6">
        <v>2023</v>
      </c>
      <c r="JA6" t="s">
        <v>3516</v>
      </c>
      <c r="JB6" s="6">
        <v>45048</v>
      </c>
      <c r="JC6">
        <v>5</v>
      </c>
      <c r="JD6">
        <v>-2.4245362661989844E-14</v>
      </c>
      <c r="JE6">
        <v>30892226</v>
      </c>
      <c r="JF6" t="s">
        <v>3519</v>
      </c>
      <c r="LS6" t="s">
        <v>3148</v>
      </c>
      <c r="LT6" t="s">
        <v>1777</v>
      </c>
      <c r="LU6">
        <v>0.31914300000000001</v>
      </c>
      <c r="LV6">
        <v>0.73328199999999999</v>
      </c>
      <c r="LW6" t="s">
        <v>1781</v>
      </c>
      <c r="LX6">
        <v>2025</v>
      </c>
      <c r="LY6" t="s">
        <v>3149</v>
      </c>
      <c r="LZ6" s="6">
        <v>45958</v>
      </c>
      <c r="MA6">
        <v>5</v>
      </c>
      <c r="MB6">
        <v>2353606.12</v>
      </c>
      <c r="MC6">
        <v>111769</v>
      </c>
      <c r="MD6" t="s">
        <v>3150</v>
      </c>
      <c r="MG6" t="s">
        <v>2853</v>
      </c>
      <c r="MH6">
        <v>-2.4245362661989844E-14</v>
      </c>
      <c r="MJ6">
        <v>-2.4245362661989844E-14</v>
      </c>
      <c r="MK6" t="s">
        <v>1789</v>
      </c>
      <c r="ML6">
        <v>2022</v>
      </c>
      <c r="MM6" t="s">
        <v>2854</v>
      </c>
      <c r="MN6" s="6">
        <v>45015</v>
      </c>
      <c r="MO6">
        <v>5</v>
      </c>
      <c r="MP6">
        <v>-2.4245362661989844E-14</v>
      </c>
      <c r="MQ6">
        <v>21694063</v>
      </c>
      <c r="MR6" t="s">
        <v>2855</v>
      </c>
      <c r="MW6" t="s">
        <v>2693</v>
      </c>
      <c r="MY6">
        <v>-2.4245362661989844E-14</v>
      </c>
      <c r="MZ6">
        <v>-2.4245362661989844E-14</v>
      </c>
      <c r="NA6" t="s">
        <v>1789</v>
      </c>
      <c r="NB6">
        <v>2022</v>
      </c>
      <c r="NC6" t="s">
        <v>2694</v>
      </c>
      <c r="ND6" s="6">
        <v>44883</v>
      </c>
      <c r="NE6">
        <v>2</v>
      </c>
      <c r="NF6">
        <v>-2.4245362661989844E-14</v>
      </c>
      <c r="NG6">
        <v>68965235</v>
      </c>
      <c r="NH6" t="s">
        <v>2695</v>
      </c>
      <c r="NK6" t="s">
        <v>2486</v>
      </c>
      <c r="NL6">
        <v>-2.4245362661989844E-14</v>
      </c>
      <c r="NN6">
        <v>-2.4245362661989844E-14</v>
      </c>
      <c r="NO6" t="s">
        <v>1789</v>
      </c>
      <c r="NP6">
        <v>2025</v>
      </c>
      <c r="NQ6" t="s">
        <v>2487</v>
      </c>
      <c r="NR6" s="6">
        <v>45881</v>
      </c>
      <c r="NS6">
        <v>5</v>
      </c>
      <c r="NT6">
        <v>-2.4245362661989844E-14</v>
      </c>
      <c r="NU6">
        <v>386756</v>
      </c>
      <c r="NV6" t="s">
        <v>2488</v>
      </c>
      <c r="PE6" t="s">
        <v>2249</v>
      </c>
      <c r="PG6">
        <v>-2.4245362661989844E-14</v>
      </c>
      <c r="PH6">
        <v>-2.4245362661989844E-14</v>
      </c>
      <c r="PI6" t="s">
        <v>1996</v>
      </c>
      <c r="PJ6">
        <v>2026</v>
      </c>
      <c r="PK6" t="s">
        <v>2250</v>
      </c>
      <c r="PL6" s="6">
        <v>45975</v>
      </c>
      <c r="PM6">
        <v>5</v>
      </c>
      <c r="PN6">
        <v>-2.4245362661989844E-14</v>
      </c>
      <c r="PO6">
        <v>13148622</v>
      </c>
      <c r="PP6" t="s">
        <v>2251</v>
      </c>
      <c r="PS6" t="s">
        <v>2235</v>
      </c>
      <c r="PT6">
        <v>-2.4245362661989844E-14</v>
      </c>
      <c r="PV6">
        <v>-2.4245362661989844E-14</v>
      </c>
      <c r="PW6" t="s">
        <v>1894</v>
      </c>
      <c r="PX6">
        <v>2025</v>
      </c>
      <c r="PY6" t="s">
        <v>2236</v>
      </c>
      <c r="PZ6" s="6">
        <v>45973</v>
      </c>
      <c r="QA6">
        <v>5</v>
      </c>
      <c r="QB6">
        <v>-2.4245362661989844E-14</v>
      </c>
      <c r="QC6">
        <v>7912258</v>
      </c>
      <c r="QD6" t="s">
        <v>2237</v>
      </c>
      <c r="UY6" t="s">
        <v>86</v>
      </c>
      <c r="UZ6" t="s">
        <v>1777</v>
      </c>
      <c r="VA6">
        <v>0.39111600000000002</v>
      </c>
      <c r="VB6">
        <v>0.88908200000000004</v>
      </c>
      <c r="VC6" t="s">
        <v>1768</v>
      </c>
      <c r="VD6">
        <v>2025</v>
      </c>
      <c r="VE6" t="s">
        <v>2596</v>
      </c>
      <c r="VF6" s="6">
        <v>45914</v>
      </c>
      <c r="VG6">
        <v>5</v>
      </c>
      <c r="VH6">
        <v>57310228</v>
      </c>
      <c r="VI6">
        <v>101166</v>
      </c>
      <c r="VJ6" t="s">
        <v>2597</v>
      </c>
      <c r="VM6" t="s">
        <v>2508</v>
      </c>
      <c r="VN6">
        <v>2.545E-3</v>
      </c>
      <c r="VO6" t="s">
        <v>1777</v>
      </c>
      <c r="VP6">
        <v>3.8306200000000001</v>
      </c>
      <c r="VQ6" t="s">
        <v>1789</v>
      </c>
      <c r="VR6">
        <v>2024</v>
      </c>
      <c r="VS6" t="s">
        <v>2509</v>
      </c>
      <c r="VT6" s="6">
        <v>45819</v>
      </c>
      <c r="VU6">
        <v>5</v>
      </c>
      <c r="VV6">
        <v>275861.17</v>
      </c>
      <c r="VW6">
        <v>15291339</v>
      </c>
      <c r="VX6" t="s">
        <v>2510</v>
      </c>
    </row>
    <row r="7" spans="1:600" x14ac:dyDescent="0.25">
      <c r="AE7" t="s">
        <v>2562</v>
      </c>
      <c r="AF7" t="s">
        <v>1777</v>
      </c>
      <c r="AG7">
        <v>0.32230900000000001</v>
      </c>
      <c r="AH7">
        <v>0.38473400000000002</v>
      </c>
      <c r="AI7" t="s">
        <v>1773</v>
      </c>
      <c r="AJ7">
        <v>2025</v>
      </c>
      <c r="AK7" t="s">
        <v>2563</v>
      </c>
      <c r="AL7" s="6">
        <v>45891</v>
      </c>
      <c r="AM7">
        <v>5</v>
      </c>
      <c r="AN7">
        <v>9283621</v>
      </c>
      <c r="AO7">
        <v>100097</v>
      </c>
      <c r="AP7" t="s">
        <v>2564</v>
      </c>
      <c r="AS7" t="s">
        <v>2505</v>
      </c>
      <c r="AT7">
        <v>8.1423999999999996E-2</v>
      </c>
      <c r="AU7" t="s">
        <v>1777</v>
      </c>
      <c r="AV7">
        <v>0.194387</v>
      </c>
      <c r="AW7" t="s">
        <v>1773</v>
      </c>
      <c r="AX7">
        <v>2025</v>
      </c>
      <c r="AY7" t="s">
        <v>2506</v>
      </c>
      <c r="AZ7" s="6">
        <v>45694</v>
      </c>
      <c r="BA7">
        <v>5</v>
      </c>
      <c r="BB7">
        <v>5430637.3600000003</v>
      </c>
      <c r="BC7">
        <v>111827</v>
      </c>
      <c r="BD7" t="s">
        <v>2507</v>
      </c>
      <c r="CM7" t="s">
        <v>3132</v>
      </c>
      <c r="CO7">
        <v>-2.4245362661989844E-14</v>
      </c>
      <c r="CP7">
        <v>-2.4245362661989844E-14</v>
      </c>
      <c r="CQ7" t="s">
        <v>1785</v>
      </c>
      <c r="CR7">
        <v>2023</v>
      </c>
      <c r="CS7" t="s">
        <v>3128</v>
      </c>
      <c r="CT7" s="6">
        <v>45278</v>
      </c>
      <c r="CU7">
        <v>5</v>
      </c>
      <c r="CV7">
        <v>-2.4245362661989844E-14</v>
      </c>
      <c r="CW7">
        <v>44375453</v>
      </c>
      <c r="CX7" t="s">
        <v>3133</v>
      </c>
      <c r="DA7" t="s">
        <v>2807</v>
      </c>
      <c r="DB7">
        <v>-2.4245362661989844E-14</v>
      </c>
      <c r="DD7">
        <v>-2.4245362661989844E-14</v>
      </c>
      <c r="DE7" t="s">
        <v>1789</v>
      </c>
      <c r="DF7">
        <v>2022</v>
      </c>
      <c r="DG7" t="s">
        <v>2803</v>
      </c>
      <c r="DH7" s="6">
        <v>44832</v>
      </c>
      <c r="DI7">
        <v>5</v>
      </c>
      <c r="DJ7">
        <v>-2.4245362661989844E-14</v>
      </c>
      <c r="DK7">
        <v>330008</v>
      </c>
      <c r="DL7" t="s">
        <v>2808</v>
      </c>
      <c r="FY7" t="s">
        <v>603</v>
      </c>
      <c r="FZ7" t="s">
        <v>1777</v>
      </c>
      <c r="GA7">
        <v>4.1193600000000004</v>
      </c>
      <c r="GB7">
        <v>0.25783</v>
      </c>
      <c r="GC7" t="s">
        <v>1781</v>
      </c>
      <c r="GD7">
        <v>2025</v>
      </c>
      <c r="GE7" t="s">
        <v>1979</v>
      </c>
      <c r="GF7" s="6">
        <v>45863</v>
      </c>
      <c r="GG7">
        <v>5</v>
      </c>
      <c r="GH7">
        <v>67891664</v>
      </c>
      <c r="GI7">
        <v>10832677</v>
      </c>
      <c r="GJ7" t="s">
        <v>1980</v>
      </c>
      <c r="GM7" t="s">
        <v>2147</v>
      </c>
      <c r="GN7">
        <v>-2.4245362661989844E-14</v>
      </c>
      <c r="GP7">
        <v>-2.4245362661989844E-14</v>
      </c>
      <c r="GQ7" t="s">
        <v>1781</v>
      </c>
      <c r="GR7">
        <v>2024</v>
      </c>
      <c r="GS7" t="s">
        <v>2148</v>
      </c>
      <c r="GT7" s="6">
        <v>45413</v>
      </c>
      <c r="GU7">
        <v>5</v>
      </c>
      <c r="GV7">
        <v>-2.4245362661989844E-14</v>
      </c>
      <c r="GW7">
        <v>11391268</v>
      </c>
      <c r="GX7" t="s">
        <v>2149</v>
      </c>
      <c r="IG7" t="s">
        <v>3034</v>
      </c>
      <c r="IH7" t="s">
        <v>1777</v>
      </c>
      <c r="II7">
        <v>6.3850000000000001E-3</v>
      </c>
      <c r="IJ7">
        <v>0.63341400000000003</v>
      </c>
      <c r="IK7" t="s">
        <v>1768</v>
      </c>
      <c r="IL7">
        <v>2025</v>
      </c>
      <c r="IM7" t="s">
        <v>3488</v>
      </c>
      <c r="IN7" s="6">
        <v>45880</v>
      </c>
      <c r="IO7">
        <v>5</v>
      </c>
      <c r="IP7">
        <v>551856</v>
      </c>
      <c r="IQ7">
        <v>100419</v>
      </c>
      <c r="IR7" t="s">
        <v>3035</v>
      </c>
      <c r="IU7" t="s">
        <v>3520</v>
      </c>
      <c r="IV7">
        <v>-2.4245362661989844E-14</v>
      </c>
      <c r="IX7">
        <v>-2.4245362661989844E-14</v>
      </c>
      <c r="IY7" t="s">
        <v>1789</v>
      </c>
      <c r="IZ7">
        <v>2023</v>
      </c>
      <c r="JA7" t="s">
        <v>3521</v>
      </c>
      <c r="JB7" s="6">
        <v>45350</v>
      </c>
      <c r="JC7">
        <v>5</v>
      </c>
      <c r="JD7">
        <v>-2.4245362661989844E-14</v>
      </c>
      <c r="JE7">
        <v>33834257</v>
      </c>
      <c r="JF7" t="s">
        <v>3522</v>
      </c>
      <c r="LS7" t="s">
        <v>3262</v>
      </c>
      <c r="LT7" t="s">
        <v>1808</v>
      </c>
      <c r="LU7">
        <v>0.24615000000000001</v>
      </c>
      <c r="LV7">
        <v>0.37029400000000001</v>
      </c>
      <c r="LW7" t="s">
        <v>1789</v>
      </c>
      <c r="LX7">
        <v>2024</v>
      </c>
      <c r="LY7" t="s">
        <v>3263</v>
      </c>
      <c r="LZ7" s="6">
        <v>45713</v>
      </c>
      <c r="MA7">
        <v>5</v>
      </c>
      <c r="MB7">
        <v>920250</v>
      </c>
      <c r="MC7">
        <v>386356</v>
      </c>
      <c r="MD7" t="s">
        <v>3264</v>
      </c>
      <c r="MG7" t="s">
        <v>2856</v>
      </c>
      <c r="MH7">
        <v>-2.4245362661989844E-14</v>
      </c>
      <c r="MJ7">
        <v>-2.4245362661989844E-14</v>
      </c>
      <c r="MK7" t="s">
        <v>1789</v>
      </c>
      <c r="ML7">
        <v>2024</v>
      </c>
      <c r="MM7" t="s">
        <v>2857</v>
      </c>
      <c r="MN7" s="6">
        <v>45783</v>
      </c>
      <c r="MO7">
        <v>5</v>
      </c>
      <c r="MP7">
        <v>-2.4245362661989844E-14</v>
      </c>
      <c r="MQ7">
        <v>9152714</v>
      </c>
      <c r="MR7" t="s">
        <v>2858</v>
      </c>
      <c r="NK7" t="s">
        <v>2489</v>
      </c>
      <c r="NL7">
        <v>-2.4245362661989844E-14</v>
      </c>
      <c r="NN7">
        <v>-2.4245362661989844E-14</v>
      </c>
      <c r="NO7" t="s">
        <v>1781</v>
      </c>
      <c r="NP7">
        <v>2022</v>
      </c>
      <c r="NQ7" t="s">
        <v>2490</v>
      </c>
      <c r="NR7" s="6">
        <v>44726</v>
      </c>
      <c r="NS7">
        <v>5</v>
      </c>
      <c r="NT7">
        <v>-2.4245362661989844E-14</v>
      </c>
      <c r="NU7">
        <v>115240</v>
      </c>
      <c r="NV7" t="s">
        <v>2491</v>
      </c>
      <c r="PE7" t="s">
        <v>2252</v>
      </c>
      <c r="PG7">
        <v>-2.4245362661989844E-14</v>
      </c>
      <c r="PH7">
        <v>-2.4245362661989844E-14</v>
      </c>
      <c r="PI7" t="s">
        <v>2183</v>
      </c>
      <c r="PJ7">
        <v>2025</v>
      </c>
      <c r="PK7" t="s">
        <v>2253</v>
      </c>
      <c r="PL7" s="6">
        <v>45883</v>
      </c>
      <c r="PM7">
        <v>5</v>
      </c>
      <c r="PN7">
        <v>-2.4245362661989844E-14</v>
      </c>
      <c r="PO7">
        <v>69490319</v>
      </c>
      <c r="PP7" t="s">
        <v>2254</v>
      </c>
      <c r="PS7" t="s">
        <v>2238</v>
      </c>
      <c r="PT7">
        <v>-2.4245362661989844E-14</v>
      </c>
      <c r="PV7">
        <v>-2.4245362661989844E-14</v>
      </c>
      <c r="PW7" t="s">
        <v>1789</v>
      </c>
      <c r="PX7">
        <v>2024</v>
      </c>
      <c r="PY7" t="s">
        <v>2239</v>
      </c>
      <c r="PZ7" s="6">
        <v>45805</v>
      </c>
      <c r="QA7">
        <v>5</v>
      </c>
      <c r="QB7">
        <v>-2.4245362661989844E-14</v>
      </c>
      <c r="QC7">
        <v>812998</v>
      </c>
      <c r="QD7" t="s">
        <v>2240</v>
      </c>
      <c r="UY7" t="s">
        <v>2135</v>
      </c>
      <c r="UZ7" t="s">
        <v>1777</v>
      </c>
      <c r="VA7">
        <v>0.56451700000000005</v>
      </c>
      <c r="VB7">
        <v>0.57008199999999998</v>
      </c>
      <c r="VC7" t="s">
        <v>1773</v>
      </c>
      <c r="VD7">
        <v>2025</v>
      </c>
      <c r="VE7" t="s">
        <v>2136</v>
      </c>
      <c r="VF7" s="6">
        <v>45763</v>
      </c>
      <c r="VG7">
        <v>5</v>
      </c>
      <c r="VH7">
        <v>37009736</v>
      </c>
      <c r="VI7">
        <v>136547</v>
      </c>
      <c r="VJ7" t="s">
        <v>2137</v>
      </c>
      <c r="VM7" t="s">
        <v>2516</v>
      </c>
      <c r="VN7">
        <v>8.6300000000000005E-4</v>
      </c>
      <c r="VO7" t="s">
        <v>1777</v>
      </c>
      <c r="VP7">
        <v>0.46444600000000003</v>
      </c>
      <c r="VQ7" t="s">
        <v>1789</v>
      </c>
      <c r="VR7">
        <v>2024</v>
      </c>
      <c r="VS7" t="s">
        <v>2517</v>
      </c>
      <c r="VT7" s="6">
        <v>45730</v>
      </c>
      <c r="VU7">
        <v>5</v>
      </c>
      <c r="VV7">
        <v>92615.79</v>
      </c>
      <c r="VW7">
        <v>7369845</v>
      </c>
      <c r="VX7" t="s">
        <v>2518</v>
      </c>
    </row>
    <row r="8" spans="1:600" x14ac:dyDescent="0.25">
      <c r="AE8" t="s">
        <v>2565</v>
      </c>
      <c r="AF8" t="s">
        <v>1777</v>
      </c>
      <c r="AG8">
        <v>1.1725810000000001</v>
      </c>
      <c r="AH8">
        <v>0.15703400000000001</v>
      </c>
      <c r="AI8" t="s">
        <v>1781</v>
      </c>
      <c r="AJ8">
        <v>2026</v>
      </c>
      <c r="AK8" t="s">
        <v>2566</v>
      </c>
      <c r="AL8" s="6">
        <v>46051</v>
      </c>
      <c r="AM8">
        <v>5</v>
      </c>
      <c r="AN8">
        <v>4510016</v>
      </c>
      <c r="AO8">
        <v>225757</v>
      </c>
      <c r="AP8" t="s">
        <v>2567</v>
      </c>
      <c r="AS8" t="s">
        <v>2508</v>
      </c>
      <c r="AT8">
        <v>6.6940000000000003E-3</v>
      </c>
      <c r="AU8" t="s">
        <v>1777</v>
      </c>
      <c r="AV8">
        <v>5.5948409999999997</v>
      </c>
      <c r="AW8" t="s">
        <v>1789</v>
      </c>
      <c r="AX8">
        <v>2024</v>
      </c>
      <c r="AY8" t="s">
        <v>2509</v>
      </c>
      <c r="AZ8" s="6">
        <v>45819</v>
      </c>
      <c r="BA8">
        <v>5</v>
      </c>
      <c r="BB8">
        <v>402911.11</v>
      </c>
      <c r="BC8">
        <v>15291339</v>
      </c>
      <c r="BD8" t="s">
        <v>2510</v>
      </c>
      <c r="CM8" t="s">
        <v>3134</v>
      </c>
      <c r="CO8">
        <v>-2.4245362661989844E-14</v>
      </c>
      <c r="CP8">
        <v>-2.4245362661989844E-14</v>
      </c>
      <c r="CQ8" t="s">
        <v>1785</v>
      </c>
      <c r="CR8">
        <v>2023</v>
      </c>
      <c r="CS8" t="s">
        <v>3128</v>
      </c>
      <c r="CT8" s="6">
        <v>45278</v>
      </c>
      <c r="CU8">
        <v>5</v>
      </c>
      <c r="CV8">
        <v>-2.4245362661989844E-14</v>
      </c>
      <c r="CW8">
        <v>18507858</v>
      </c>
      <c r="CX8" t="s">
        <v>3135</v>
      </c>
      <c r="DA8" t="s">
        <v>2809</v>
      </c>
      <c r="DB8">
        <v>-2.4245362661989844E-14</v>
      </c>
      <c r="DD8">
        <v>-2.4245362661989844E-14</v>
      </c>
      <c r="DE8" t="s">
        <v>1789</v>
      </c>
      <c r="DF8">
        <v>2023</v>
      </c>
      <c r="DG8" t="s">
        <v>2803</v>
      </c>
      <c r="DH8" s="6">
        <v>45295</v>
      </c>
      <c r="DI8">
        <v>5</v>
      </c>
      <c r="DJ8">
        <v>-2.4245362661989844E-14</v>
      </c>
      <c r="DK8">
        <v>8617156</v>
      </c>
      <c r="DL8" t="s">
        <v>2810</v>
      </c>
      <c r="FY8" t="s">
        <v>2263</v>
      </c>
      <c r="FZ8" t="s">
        <v>1777</v>
      </c>
      <c r="GA8">
        <v>0.45408300000000001</v>
      </c>
      <c r="GB8">
        <v>0.17851500000000001</v>
      </c>
      <c r="GC8" t="s">
        <v>1768</v>
      </c>
      <c r="GD8">
        <v>2025</v>
      </c>
      <c r="GE8" t="s">
        <v>2264</v>
      </c>
      <c r="GF8" s="6">
        <v>45898</v>
      </c>
      <c r="GG8">
        <v>5</v>
      </c>
      <c r="GH8">
        <v>47006672</v>
      </c>
      <c r="GI8">
        <v>100043</v>
      </c>
      <c r="GJ8" t="s">
        <v>2265</v>
      </c>
      <c r="GM8" t="s">
        <v>2150</v>
      </c>
      <c r="GN8">
        <v>-2.4245362661989844E-14</v>
      </c>
      <c r="GP8">
        <v>-2.4245362661989844E-14</v>
      </c>
      <c r="GQ8" t="s">
        <v>1789</v>
      </c>
      <c r="GR8">
        <v>2024</v>
      </c>
      <c r="GS8" t="s">
        <v>2151</v>
      </c>
      <c r="GT8" s="6">
        <v>45715</v>
      </c>
      <c r="GU8">
        <v>5</v>
      </c>
      <c r="GV8">
        <v>-2.4245362661989844E-14</v>
      </c>
      <c r="GW8">
        <v>30541166</v>
      </c>
      <c r="GX8" t="s">
        <v>2152</v>
      </c>
      <c r="IG8" t="s">
        <v>4401</v>
      </c>
      <c r="IH8" t="s">
        <v>1777</v>
      </c>
      <c r="II8">
        <v>1.2187999999999999E-2</v>
      </c>
      <c r="IJ8">
        <v>0.113873</v>
      </c>
      <c r="IK8" t="s">
        <v>1768</v>
      </c>
      <c r="IL8">
        <v>2025</v>
      </c>
      <c r="IM8" t="s">
        <v>4402</v>
      </c>
      <c r="IN8" s="6">
        <v>45887</v>
      </c>
      <c r="IO8">
        <v>5</v>
      </c>
      <c r="IP8">
        <v>99210</v>
      </c>
      <c r="IQ8">
        <v>20170631</v>
      </c>
      <c r="IR8" t="s">
        <v>4403</v>
      </c>
      <c r="IU8" t="s">
        <v>3523</v>
      </c>
      <c r="IV8">
        <v>-2.4245362661989844E-14</v>
      </c>
      <c r="IX8">
        <v>-2.4245362661989844E-14</v>
      </c>
      <c r="IY8" t="s">
        <v>1789</v>
      </c>
      <c r="IZ8">
        <v>2023</v>
      </c>
      <c r="JA8" t="s">
        <v>3516</v>
      </c>
      <c r="JB8" s="6">
        <v>44980</v>
      </c>
      <c r="JC8">
        <v>5</v>
      </c>
      <c r="JD8">
        <v>-2.4245362661989844E-14</v>
      </c>
      <c r="JE8">
        <v>21171241</v>
      </c>
      <c r="JF8" t="s">
        <v>3524</v>
      </c>
      <c r="LS8" t="s">
        <v>2103</v>
      </c>
      <c r="LT8" t="s">
        <v>1906</v>
      </c>
      <c r="LU8">
        <v>7.76E-4</v>
      </c>
      <c r="LV8">
        <v>0.29293799999999998</v>
      </c>
      <c r="LW8" t="s">
        <v>1768</v>
      </c>
      <c r="LX8">
        <v>2025</v>
      </c>
      <c r="LY8" t="s">
        <v>2104</v>
      </c>
      <c r="LZ8" s="6">
        <v>46024</v>
      </c>
      <c r="MA8">
        <v>5</v>
      </c>
      <c r="MB8">
        <v>54191.5</v>
      </c>
      <c r="MC8">
        <v>115110</v>
      </c>
      <c r="MD8" t="s">
        <v>2105</v>
      </c>
      <c r="MG8" t="s">
        <v>2859</v>
      </c>
      <c r="MH8">
        <v>-2.4245362661989844E-14</v>
      </c>
      <c r="MJ8">
        <v>-2.4245362661989844E-14</v>
      </c>
      <c r="MK8" t="s">
        <v>1789</v>
      </c>
      <c r="ML8">
        <v>2024</v>
      </c>
      <c r="MM8" t="s">
        <v>2860</v>
      </c>
      <c r="MN8" s="6">
        <v>45742</v>
      </c>
      <c r="MO8">
        <v>5</v>
      </c>
      <c r="MP8">
        <v>-2.4245362661989844E-14</v>
      </c>
      <c r="MQ8">
        <v>14195302</v>
      </c>
      <c r="MR8" t="s">
        <v>2861</v>
      </c>
      <c r="NK8" t="s">
        <v>2275</v>
      </c>
      <c r="NL8">
        <v>-2.4245362661989844E-14</v>
      </c>
      <c r="NN8">
        <v>-2.4245362661989844E-14</v>
      </c>
      <c r="NO8" t="s">
        <v>1789</v>
      </c>
      <c r="NP8">
        <v>2022</v>
      </c>
      <c r="NQ8" t="s">
        <v>2492</v>
      </c>
      <c r="NR8" s="6">
        <v>44839</v>
      </c>
      <c r="NS8">
        <v>5</v>
      </c>
      <c r="NT8">
        <v>-2.4245362661989844E-14</v>
      </c>
      <c r="NU8">
        <v>100142</v>
      </c>
      <c r="NV8" t="s">
        <v>2276</v>
      </c>
      <c r="PE8" t="s">
        <v>2255</v>
      </c>
      <c r="PG8">
        <v>-2.4245362661989844E-14</v>
      </c>
      <c r="PH8">
        <v>-2.4245362661989844E-14</v>
      </c>
      <c r="PI8" t="s">
        <v>1781</v>
      </c>
      <c r="PJ8">
        <v>2023</v>
      </c>
      <c r="PK8" t="s">
        <v>2256</v>
      </c>
      <c r="PL8" s="6">
        <v>45076</v>
      </c>
      <c r="PM8">
        <v>5</v>
      </c>
      <c r="PN8">
        <v>-2.4245362661989844E-14</v>
      </c>
      <c r="PO8">
        <v>7220288</v>
      </c>
      <c r="PP8" t="s">
        <v>2257</v>
      </c>
      <c r="PS8" t="s">
        <v>2241</v>
      </c>
      <c r="PT8">
        <v>-2.4245362661989844E-14</v>
      </c>
      <c r="PV8">
        <v>-2.4245362661989844E-14</v>
      </c>
      <c r="PW8" t="s">
        <v>1789</v>
      </c>
      <c r="PX8">
        <v>2025</v>
      </c>
      <c r="PY8" t="s">
        <v>2242</v>
      </c>
      <c r="PZ8" s="6">
        <v>45831</v>
      </c>
      <c r="QA8">
        <v>5</v>
      </c>
      <c r="QB8">
        <v>-2.4245362661989844E-14</v>
      </c>
      <c r="QC8">
        <v>29306130</v>
      </c>
      <c r="QD8" t="s">
        <v>2243</v>
      </c>
      <c r="UY8" t="s">
        <v>2423</v>
      </c>
      <c r="UZ8" t="s">
        <v>1777</v>
      </c>
      <c r="VA8">
        <v>0.30367300000000003</v>
      </c>
      <c r="VB8">
        <v>0.37271100000000001</v>
      </c>
      <c r="VC8" t="s">
        <v>1773</v>
      </c>
      <c r="VD8">
        <v>2025</v>
      </c>
      <c r="VE8" t="s">
        <v>2424</v>
      </c>
      <c r="VF8" s="6">
        <v>45867</v>
      </c>
      <c r="VG8">
        <v>5</v>
      </c>
      <c r="VH8">
        <v>23771522</v>
      </c>
      <c r="VI8">
        <v>117092</v>
      </c>
      <c r="VJ8" t="s">
        <v>2425</v>
      </c>
      <c r="VM8" t="s">
        <v>2519</v>
      </c>
      <c r="VN8">
        <v>-2.4245362661989844E-14</v>
      </c>
      <c r="VP8">
        <v>-2.4245362661989844E-14</v>
      </c>
      <c r="VQ8" t="s">
        <v>1894</v>
      </c>
      <c r="VR8">
        <v>2025</v>
      </c>
      <c r="VS8" t="s">
        <v>2520</v>
      </c>
      <c r="VT8" s="6">
        <v>45975</v>
      </c>
      <c r="VU8">
        <v>5</v>
      </c>
      <c r="VV8">
        <v>-2.4245362661989844E-14</v>
      </c>
      <c r="VW8">
        <v>1459457</v>
      </c>
      <c r="VX8" t="s">
        <v>2521</v>
      </c>
    </row>
    <row r="9" spans="1:600" x14ac:dyDescent="0.25">
      <c r="AE9" t="s">
        <v>2358</v>
      </c>
      <c r="AF9" t="s">
        <v>1808</v>
      </c>
      <c r="AG9">
        <v>5.9742000000000003E-2</v>
      </c>
      <c r="AH9">
        <v>0.18884000000000001</v>
      </c>
      <c r="AI9" t="s">
        <v>1768</v>
      </c>
      <c r="AJ9">
        <v>2025</v>
      </c>
      <c r="AK9" t="s">
        <v>2359</v>
      </c>
      <c r="AL9" s="6">
        <v>45838</v>
      </c>
      <c r="AM9">
        <v>5</v>
      </c>
      <c r="AN9">
        <v>3508648</v>
      </c>
      <c r="AO9">
        <v>101689</v>
      </c>
      <c r="AP9" t="s">
        <v>2360</v>
      </c>
      <c r="AS9" t="s">
        <v>2511</v>
      </c>
      <c r="AT9">
        <v>5.1640000000000002E-3</v>
      </c>
      <c r="AU9" t="s">
        <v>1777</v>
      </c>
      <c r="AV9">
        <v>5.0558560000000003</v>
      </c>
      <c r="AW9" t="s">
        <v>1789</v>
      </c>
      <c r="AX9">
        <v>2024</v>
      </c>
      <c r="AY9" t="s">
        <v>2512</v>
      </c>
      <c r="AZ9" s="6">
        <v>45814</v>
      </c>
      <c r="BA9">
        <v>5</v>
      </c>
      <c r="BB9">
        <v>310853.61</v>
      </c>
      <c r="BC9">
        <v>36034450</v>
      </c>
      <c r="BD9" t="s">
        <v>2513</v>
      </c>
      <c r="CM9" t="s">
        <v>3136</v>
      </c>
      <c r="CO9">
        <v>-2.4245362661989844E-14</v>
      </c>
      <c r="CP9">
        <v>-2.4245362661989844E-14</v>
      </c>
      <c r="CQ9" t="s">
        <v>1785</v>
      </c>
      <c r="CR9">
        <v>2023</v>
      </c>
      <c r="CS9" t="s">
        <v>3128</v>
      </c>
      <c r="CT9" s="6">
        <v>45278</v>
      </c>
      <c r="CU9">
        <v>5</v>
      </c>
      <c r="CV9">
        <v>-2.4245362661989844E-14</v>
      </c>
      <c r="CW9">
        <v>1747879</v>
      </c>
      <c r="CX9" t="s">
        <v>3137</v>
      </c>
      <c r="DA9" t="s">
        <v>2811</v>
      </c>
      <c r="DB9">
        <v>-2.4245362661989844E-14</v>
      </c>
      <c r="DD9">
        <v>-2.4245362661989844E-14</v>
      </c>
      <c r="DE9" t="s">
        <v>1789</v>
      </c>
      <c r="DF9">
        <v>2023</v>
      </c>
      <c r="DG9" t="s">
        <v>2803</v>
      </c>
      <c r="DH9" s="6">
        <v>45295</v>
      </c>
      <c r="DI9">
        <v>5</v>
      </c>
      <c r="DJ9">
        <v>-2.4245362661989844E-14</v>
      </c>
      <c r="DK9">
        <v>15292171</v>
      </c>
      <c r="DL9" t="s">
        <v>2812</v>
      </c>
      <c r="FY9" t="s">
        <v>2266</v>
      </c>
      <c r="FZ9" t="s">
        <v>1777</v>
      </c>
      <c r="GA9">
        <v>1.149265</v>
      </c>
      <c r="GB9">
        <v>0.12801899999999999</v>
      </c>
      <c r="GC9" t="s">
        <v>1781</v>
      </c>
      <c r="GD9">
        <v>2025</v>
      </c>
      <c r="GE9" t="s">
        <v>2267</v>
      </c>
      <c r="GF9" s="6">
        <v>45849</v>
      </c>
      <c r="GG9">
        <v>5</v>
      </c>
      <c r="GH9">
        <v>35266245.240000002</v>
      </c>
      <c r="GI9">
        <v>179551</v>
      </c>
      <c r="GJ9" t="s">
        <v>2268</v>
      </c>
      <c r="GM9" t="s">
        <v>2153</v>
      </c>
      <c r="GN9">
        <v>-2.4245362661989844E-14</v>
      </c>
      <c r="GP9">
        <v>-2.4245362661989844E-14</v>
      </c>
      <c r="GQ9" t="s">
        <v>1781</v>
      </c>
      <c r="GR9">
        <v>2024</v>
      </c>
      <c r="GS9" t="s">
        <v>2148</v>
      </c>
      <c r="GT9" s="6">
        <v>45413</v>
      </c>
      <c r="GU9">
        <v>5</v>
      </c>
      <c r="GV9">
        <v>-2.4245362661989844E-14</v>
      </c>
      <c r="GW9">
        <v>100315</v>
      </c>
      <c r="GX9" t="s">
        <v>2154</v>
      </c>
      <c r="IG9" t="s">
        <v>4404</v>
      </c>
      <c r="IH9" t="s">
        <v>1906</v>
      </c>
      <c r="II9">
        <v>4.1830000000000001E-3</v>
      </c>
      <c r="IJ9">
        <v>1.328438</v>
      </c>
      <c r="IK9" t="s">
        <v>1773</v>
      </c>
      <c r="IL9">
        <v>2025</v>
      </c>
      <c r="IM9" t="s">
        <v>4405</v>
      </c>
      <c r="IN9" s="6">
        <v>45966</v>
      </c>
      <c r="IO9">
        <v>5</v>
      </c>
      <c r="IP9">
        <v>43506</v>
      </c>
      <c r="IQ9">
        <v>10656931</v>
      </c>
      <c r="IR9" t="s">
        <v>4406</v>
      </c>
      <c r="IU9" t="s">
        <v>3525</v>
      </c>
      <c r="IV9">
        <v>-2.4245362661989844E-14</v>
      </c>
      <c r="IX9">
        <v>-2.4245362661989844E-14</v>
      </c>
      <c r="IY9" t="s">
        <v>2183</v>
      </c>
      <c r="IZ9">
        <v>2025</v>
      </c>
      <c r="JA9" t="s">
        <v>3526</v>
      </c>
      <c r="JB9" s="6">
        <v>45887</v>
      </c>
      <c r="JC9">
        <v>5</v>
      </c>
      <c r="JD9">
        <v>-2.4245362661989844E-14</v>
      </c>
      <c r="JE9">
        <v>30058012</v>
      </c>
      <c r="JF9" t="s">
        <v>3527</v>
      </c>
      <c r="LS9" t="s">
        <v>3265</v>
      </c>
      <c r="LU9">
        <v>-2.4245362661989844E-14</v>
      </c>
      <c r="LV9">
        <v>-2.4245362661989844E-14</v>
      </c>
      <c r="LW9" t="s">
        <v>1789</v>
      </c>
      <c r="LX9">
        <v>2022</v>
      </c>
      <c r="LY9" t="s">
        <v>3266</v>
      </c>
      <c r="LZ9" s="6">
        <v>45008</v>
      </c>
      <c r="MA9">
        <v>5</v>
      </c>
      <c r="MB9">
        <v>-2.4245362661989844E-14</v>
      </c>
      <c r="MC9">
        <v>1459297</v>
      </c>
      <c r="MD9" t="s">
        <v>3267</v>
      </c>
      <c r="MG9" t="s">
        <v>2862</v>
      </c>
      <c r="MH9">
        <v>-2.4245362661989844E-14</v>
      </c>
      <c r="MJ9">
        <v>-2.4245362661989844E-14</v>
      </c>
      <c r="MK9" t="s">
        <v>1789</v>
      </c>
      <c r="ML9">
        <v>2023</v>
      </c>
      <c r="MM9" t="s">
        <v>2863</v>
      </c>
      <c r="MN9" s="6">
        <v>45420</v>
      </c>
      <c r="MO9">
        <v>5</v>
      </c>
      <c r="MP9">
        <v>-2.4245362661989844E-14</v>
      </c>
      <c r="MQ9">
        <v>52333389</v>
      </c>
      <c r="MR9" t="s">
        <v>2864</v>
      </c>
      <c r="NK9" t="s">
        <v>2493</v>
      </c>
      <c r="NL9">
        <v>-2.4245362661989844E-14</v>
      </c>
      <c r="NN9">
        <v>-2.4245362661989844E-14</v>
      </c>
      <c r="NO9" t="s">
        <v>1773</v>
      </c>
      <c r="NP9">
        <v>2025</v>
      </c>
      <c r="NQ9" t="s">
        <v>2494</v>
      </c>
      <c r="NR9" s="6">
        <v>45699</v>
      </c>
      <c r="NS9">
        <v>5</v>
      </c>
      <c r="NT9">
        <v>-2.4245362661989844E-14</v>
      </c>
      <c r="NU9">
        <v>178651</v>
      </c>
      <c r="NV9" t="s">
        <v>2495</v>
      </c>
      <c r="PE9" t="s">
        <v>2126</v>
      </c>
      <c r="PG9">
        <v>-2.4245362661989844E-14</v>
      </c>
      <c r="PH9">
        <v>-2.4245362661989844E-14</v>
      </c>
      <c r="PI9" t="s">
        <v>1789</v>
      </c>
      <c r="PJ9">
        <v>2025</v>
      </c>
      <c r="PK9" t="s">
        <v>2258</v>
      </c>
      <c r="PL9" s="6">
        <v>45987</v>
      </c>
      <c r="PM9">
        <v>5</v>
      </c>
      <c r="PN9">
        <v>-2.4245362661989844E-14</v>
      </c>
      <c r="PO9">
        <v>313657</v>
      </c>
      <c r="PP9" t="s">
        <v>2128</v>
      </c>
      <c r="PS9" t="s">
        <v>2244</v>
      </c>
      <c r="PT9">
        <v>-2.4245362661989844E-14</v>
      </c>
      <c r="PV9">
        <v>-2.4245362661989844E-14</v>
      </c>
      <c r="PW9" t="s">
        <v>1789</v>
      </c>
      <c r="PX9">
        <v>2024</v>
      </c>
      <c r="PY9" t="s">
        <v>2245</v>
      </c>
      <c r="PZ9" s="6">
        <v>45772</v>
      </c>
      <c r="QA9">
        <v>5</v>
      </c>
      <c r="QB9">
        <v>-2.4245362661989844E-14</v>
      </c>
      <c r="QC9">
        <v>135870</v>
      </c>
      <c r="QD9" t="s">
        <v>2246</v>
      </c>
      <c r="UY9" t="s">
        <v>2598</v>
      </c>
      <c r="UZ9" t="s">
        <v>1777</v>
      </c>
      <c r="VA9">
        <v>8.0865999999999993E-2</v>
      </c>
      <c r="VB9">
        <v>0.27508500000000002</v>
      </c>
      <c r="VC9" t="s">
        <v>1781</v>
      </c>
      <c r="VD9">
        <v>2026</v>
      </c>
      <c r="VE9" t="s">
        <v>2599</v>
      </c>
      <c r="VF9" s="6">
        <v>45980</v>
      </c>
      <c r="VG9">
        <v>5</v>
      </c>
      <c r="VH9">
        <v>17987832</v>
      </c>
      <c r="VI9">
        <v>100554</v>
      </c>
      <c r="VJ9" t="s">
        <v>2600</v>
      </c>
      <c r="VM9" t="s">
        <v>2522</v>
      </c>
      <c r="VN9">
        <v>-2.4245362661989844E-14</v>
      </c>
      <c r="VP9">
        <v>-2.4245362661989844E-14</v>
      </c>
      <c r="VQ9" t="s">
        <v>1789</v>
      </c>
      <c r="VR9">
        <v>2024</v>
      </c>
      <c r="VS9" t="s">
        <v>2523</v>
      </c>
      <c r="VT9" s="6">
        <v>45774</v>
      </c>
      <c r="VU9">
        <v>5</v>
      </c>
      <c r="VV9">
        <v>-2.4245362661989844E-14</v>
      </c>
      <c r="VW9">
        <v>9020238</v>
      </c>
      <c r="VX9" t="s">
        <v>2524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1526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1527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1528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1529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1530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1531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1532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1533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1534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1535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1536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1537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1538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1539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1540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1541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1542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1543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1544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1545</v>
      </c>
      <c r="AE2" s="3" t="s">
        <v>1546</v>
      </c>
      <c r="BI2" s="3" t="s">
        <v>1547</v>
      </c>
      <c r="CM2" s="3" t="s">
        <v>1548</v>
      </c>
      <c r="DQ2" s="3" t="s">
        <v>1549</v>
      </c>
      <c r="EU2" s="3" t="s">
        <v>1550</v>
      </c>
      <c r="FY2" s="3" t="s">
        <v>1551</v>
      </c>
      <c r="HC2" s="3" t="s">
        <v>1552</v>
      </c>
      <c r="IG2" s="3" t="s">
        <v>1553</v>
      </c>
      <c r="JK2" s="3" t="s">
        <v>279</v>
      </c>
      <c r="KO2" s="3" t="s">
        <v>1156</v>
      </c>
      <c r="LS2" s="3" t="s">
        <v>1554</v>
      </c>
      <c r="MW2" s="3" t="s">
        <v>988</v>
      </c>
      <c r="OA2" s="3" t="s">
        <v>1555</v>
      </c>
      <c r="PE2" s="3" t="s">
        <v>1556</v>
      </c>
      <c r="QI2" s="3" t="s">
        <v>919</v>
      </c>
      <c r="RM2" s="3" t="s">
        <v>1557</v>
      </c>
      <c r="SQ2" s="3" t="s">
        <v>1558</v>
      </c>
      <c r="TU2" s="3" t="s">
        <v>612</v>
      </c>
      <c r="UY2" s="3" t="s">
        <v>1559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_xll.BDS("BCR US Equity","SUPPLY_CHAIN_SUPPLIERS_ALL_DATA","cols=12;rows=1")</f>
        <v>FE US Equity</v>
      </c>
      <c r="C5">
        <v>-2.4245362661989844E-14</v>
      </c>
      <c r="D5">
        <v>-2.4245362661989844E-14</v>
      </c>
      <c r="E5" t="s">
        <v>1789</v>
      </c>
      <c r="F5">
        <v>2021</v>
      </c>
      <c r="G5" t="s">
        <v>1927</v>
      </c>
      <c r="H5" s="6">
        <v>44693</v>
      </c>
      <c r="I5">
        <v>1</v>
      </c>
      <c r="J5">
        <v>-2.4245362661989844E-14</v>
      </c>
      <c r="K5">
        <v>302916</v>
      </c>
      <c r="L5" t="s">
        <v>1928</v>
      </c>
      <c r="O5" t="str">
        <f>_xll.BDS("BCR US Equity","SUPPLY_CHAIN_CUSTOMERS_ALL_DATA")</f>
        <v>#N/A N/A</v>
      </c>
      <c r="AE5" t="str">
        <f>_xll.BDS("13620Z US Equity","SUPPLY_CHAIN_SUPPLIERS_ALL_DATA","cols=12;rows=3")</f>
        <v>BXP US Equity</v>
      </c>
      <c r="AG5">
        <v>-2.4245362661989844E-14</v>
      </c>
      <c r="AH5">
        <v>-2.4245362661989844E-14</v>
      </c>
      <c r="AI5" t="s">
        <v>1768</v>
      </c>
      <c r="AJ5">
        <v>2025</v>
      </c>
      <c r="AK5" t="s">
        <v>2407</v>
      </c>
      <c r="AL5" s="6">
        <v>45931</v>
      </c>
      <c r="AM5">
        <v>3</v>
      </c>
      <c r="AN5">
        <v>-2.4245362661989844E-14</v>
      </c>
      <c r="AO5">
        <v>225275</v>
      </c>
      <c r="AP5" t="s">
        <v>2408</v>
      </c>
      <c r="AS5" t="str">
        <f>_xll.BDS("13620Z US Equity","SUPPLY_CHAIN_CUSTOMERS_ALL_DATA","cols=12;rows=2")</f>
        <v>1852812D GR Equity</v>
      </c>
      <c r="AT5">
        <v>-2.4245362661989844E-14</v>
      </c>
      <c r="AV5">
        <v>-2.4245362661989844E-14</v>
      </c>
      <c r="AW5" t="s">
        <v>1789</v>
      </c>
      <c r="AX5">
        <v>2022</v>
      </c>
      <c r="AY5" t="s">
        <v>2282</v>
      </c>
      <c r="AZ5" s="6">
        <v>44768</v>
      </c>
      <c r="BA5">
        <v>2</v>
      </c>
      <c r="BB5">
        <v>-2.4245362661989844E-14</v>
      </c>
      <c r="BC5">
        <v>69362260</v>
      </c>
      <c r="BD5" t="s">
        <v>2283</v>
      </c>
      <c r="BI5" t="str">
        <f>_xll.BDS("724880Q US Equity","SUPPLY_CHAIN_SUPPLIERS_ALL_DATA")</f>
        <v>#N/A N/A</v>
      </c>
      <c r="BW5" t="str">
        <f>_xll.BDS("724880Q US Equity","SUPPLY_CHAIN_CUSTOMERS_ALL_DATA")</f>
        <v>#N/A N/A</v>
      </c>
      <c r="CM5" t="str">
        <f>_xll.BDS("BBY US Equity","SUPPLY_CHAIN_SUPPLIERS_ALL_DATA","cols=12;rows=5")</f>
        <v>AAPL US Equity</v>
      </c>
      <c r="CN5" t="s">
        <v>1777</v>
      </c>
      <c r="CO5">
        <v>3.6644570000000001</v>
      </c>
      <c r="CP5">
        <v>41.293861</v>
      </c>
      <c r="CQ5" t="s">
        <v>1768</v>
      </c>
      <c r="CR5">
        <v>2025</v>
      </c>
      <c r="CS5" t="s">
        <v>1954</v>
      </c>
      <c r="CT5" s="6">
        <v>45789</v>
      </c>
      <c r="CU5">
        <v>5</v>
      </c>
      <c r="CV5">
        <v>3494389504</v>
      </c>
      <c r="CW5">
        <v>101695</v>
      </c>
      <c r="CX5" t="s">
        <v>1770</v>
      </c>
      <c r="DA5" t="str">
        <f>_xll.BDS("BBY US Equity","SUPPLY_CHAIN_CUSTOMERS_ALL_DATA","cols=12;rows=5")</f>
        <v>300857 CH Equity</v>
      </c>
      <c r="DB5">
        <v>-2.4245362661989844E-14</v>
      </c>
      <c r="DD5">
        <v>-2.4245362661989844E-14</v>
      </c>
      <c r="DE5" t="s">
        <v>1789</v>
      </c>
      <c r="DF5">
        <v>2022</v>
      </c>
      <c r="DG5" t="s">
        <v>1837</v>
      </c>
      <c r="DH5" s="6">
        <v>45012</v>
      </c>
      <c r="DI5">
        <v>5</v>
      </c>
      <c r="DJ5">
        <v>-2.4245362661989844E-14</v>
      </c>
      <c r="DK5">
        <v>15980347</v>
      </c>
      <c r="DL5" t="s">
        <v>1838</v>
      </c>
      <c r="DQ5" t="str">
        <f>_xll.BDS("NXWXQ US Equity","SUPPLY_CHAIN_SUPPLIERS_ALL_DATA")</f>
        <v>#N/A N/A</v>
      </c>
      <c r="EE5" t="str">
        <f>_xll.BDS("NXWXQ US Equity","SUPPLY_CHAIN_CUSTOMERS_ALL_DATA")</f>
        <v>#N/A N/A</v>
      </c>
      <c r="EU5" t="str">
        <f>_xll.BDS("AMNUQ US Equity","SUPPLY_CHAIN_SUPPLIERS_ALL_DATA")</f>
        <v>#N/A N/A</v>
      </c>
      <c r="FI5" t="str">
        <f>_xll.BDS("AMNUQ US Equity","SUPPLY_CHAIN_CUSTOMERS_ALL_DATA")</f>
        <v>#N/A N/A</v>
      </c>
      <c r="FY5" t="str">
        <f>_xll.BDS("FSBK US Equity","SUPPLY_CHAIN_SUPPLIERS_ALL_DATA")</f>
        <v>#N/A N/A</v>
      </c>
      <c r="GM5" t="str">
        <f>_xll.BDS("FSBK US Equity","SUPPLY_CHAIN_CUSTOMERS_ALL_DATA")</f>
        <v>#N/A N/A</v>
      </c>
      <c r="HC5" t="str">
        <f>_xll.BDS("SGID US Equity","SUPPLY_CHAIN_SUPPLIERS_ALL_DATA")</f>
        <v>#N/A N/A</v>
      </c>
      <c r="HQ5" t="str">
        <f>_xll.BDS("SGID US Equity","SUPPLY_CHAIN_CUSTOMERS_ALL_DATA")</f>
        <v>#N/A N/A</v>
      </c>
      <c r="IG5" t="str">
        <f>_xll.BDS("PACW US Equity","SUPPLY_CHAIN_SUPPLIERS_ALL_DATA")</f>
        <v>#N/A N/A</v>
      </c>
      <c r="IU5" t="str">
        <f>_xll.BDS("PACW US Equity","SUPPLY_CHAIN_CUSTOMERS_ALL_DATA","cols=12;rows=1")</f>
        <v>SNX US Equity</v>
      </c>
      <c r="IV5">
        <v>-2.4245362661989844E-14</v>
      </c>
      <c r="IX5">
        <v>-2.4245362661989844E-14</v>
      </c>
      <c r="IY5" t="s">
        <v>1789</v>
      </c>
      <c r="IZ5">
        <v>2021</v>
      </c>
      <c r="JA5" t="s">
        <v>2281</v>
      </c>
      <c r="JB5" s="6">
        <v>44656</v>
      </c>
      <c r="JC5">
        <v>1</v>
      </c>
      <c r="JD5">
        <v>-2.4245362661989844E-14</v>
      </c>
      <c r="JE5">
        <v>1499717</v>
      </c>
      <c r="JF5" t="s">
        <v>1904</v>
      </c>
      <c r="JK5" t="str">
        <f>_xll.BDS("MPB US Equity","SUPPLY_CHAIN_SUPPLIERS_ALL_DATA")</f>
        <v>#N/A N/A</v>
      </c>
      <c r="JY5" t="str">
        <f>_xll.BDS("MPB US Equity","SUPPLY_CHAIN_CUSTOMERS_ALL_DATA")</f>
        <v>#N/A N/A</v>
      </c>
      <c r="KO5" t="str">
        <f>_xll.BDS("2674129Q US Equity","SUPPLY_CHAIN_SUPPLIERS_ALL_DATA")</f>
        <v>#N/A N/A</v>
      </c>
      <c r="LC5" t="str">
        <f>_xll.BDS("2674129Q US Equity","SUPPLY_CHAIN_CUSTOMERS_ALL_DATA")</f>
        <v>#N/A N/A</v>
      </c>
      <c r="LS5" t="str">
        <f>_xll.BDS("BASXQ US Equity","SUPPLY_CHAIN_SUPPLIERS_ALL_DATA")</f>
        <v>#N/A N/A</v>
      </c>
      <c r="MG5" t="str">
        <f>_xll.BDS("BASXQ US Equity","SUPPLY_CHAIN_CUSTOMERS_ALL_DATA")</f>
        <v>#N/A N/A</v>
      </c>
      <c r="MW5" t="str">
        <f>_xll.BDS("1520415D US Equity","SUPPLY_CHAIN_SUPPLIERS_ALL_DATA")</f>
        <v>#N/A N/A</v>
      </c>
      <c r="NK5" t="str">
        <f>_xll.BDS("1520415D US Equity","SUPPLY_CHAIN_CUSTOMERS_ALL_DATA")</f>
        <v>#N/A N/A</v>
      </c>
      <c r="OA5" t="str">
        <f>_xll.BDS("PAET US Equity","SUPPLY_CHAIN_SUPPLIERS_ALL_DATA")</f>
        <v>#N/A N/A</v>
      </c>
      <c r="OO5" t="str">
        <f>_xll.BDS("PAET US Equity","SUPPLY_CHAIN_CUSTOMERS_ALL_DATA","cols=12;rows=1")</f>
        <v>AKU CN Equity</v>
      </c>
      <c r="OP5">
        <v>-2.4245362661989844E-14</v>
      </c>
      <c r="OR5">
        <v>-2.4245362661989844E-14</v>
      </c>
      <c r="OS5" t="s">
        <v>1773</v>
      </c>
      <c r="OT5">
        <v>2023</v>
      </c>
      <c r="OU5" t="s">
        <v>3191</v>
      </c>
      <c r="OV5" s="6">
        <v>45221</v>
      </c>
      <c r="OW5">
        <v>1</v>
      </c>
      <c r="OX5">
        <v>-2.4245362661989844E-14</v>
      </c>
      <c r="OY5">
        <v>56443146</v>
      </c>
      <c r="OZ5" t="s">
        <v>3192</v>
      </c>
      <c r="PE5" t="str">
        <f>_xll.BDS("PSCXQ US Equity","SUPPLY_CHAIN_SUPPLIERS_ALL_DATA")</f>
        <v>#N/A N/A</v>
      </c>
      <c r="PS5" t="str">
        <f>_xll.BDS("PSCXQ US Equity","SUPPLY_CHAIN_CUSTOMERS_ALL_DATA")</f>
        <v>#N/A N/A</v>
      </c>
      <c r="QI5" t="str">
        <f>_xll.BDS("CSCO US Equity","SUPPLY_CHAIN_SUPPLIERS_ALL_DATA","cols=12;rows=5")</f>
        <v>NVDA US Equity</v>
      </c>
      <c r="QJ5" t="s">
        <v>1777</v>
      </c>
      <c r="QK5">
        <v>0.44414500000000001</v>
      </c>
      <c r="QL5">
        <v>5.627351</v>
      </c>
      <c r="QM5" t="s">
        <v>1785</v>
      </c>
      <c r="QN5">
        <v>2026</v>
      </c>
      <c r="QO5" t="s">
        <v>2127</v>
      </c>
      <c r="QP5" s="6">
        <v>46087</v>
      </c>
      <c r="QQ5">
        <v>5</v>
      </c>
      <c r="QR5">
        <v>302582656</v>
      </c>
      <c r="QS5">
        <v>313657</v>
      </c>
      <c r="QT5" t="s">
        <v>2128</v>
      </c>
      <c r="QW5" t="str">
        <f>_xll.BDS("CSCO US Equity","SUPPLY_CHAIN_CUSTOMERS_ALL_DATA","cols=12;rows=5")</f>
        <v>SNX US Equity</v>
      </c>
      <c r="QX5">
        <v>3.3352200000000001</v>
      </c>
      <c r="QY5" t="s">
        <v>1777</v>
      </c>
      <c r="QZ5">
        <v>3.067034</v>
      </c>
      <c r="RA5" t="s">
        <v>1785</v>
      </c>
      <c r="RB5">
        <v>2025</v>
      </c>
      <c r="RC5" t="s">
        <v>1903</v>
      </c>
      <c r="RD5" s="6">
        <v>46056</v>
      </c>
      <c r="RE5">
        <v>5</v>
      </c>
      <c r="RF5">
        <v>496380736</v>
      </c>
      <c r="RG5">
        <v>1499717</v>
      </c>
      <c r="RH5" t="s">
        <v>1904</v>
      </c>
      <c r="RM5" t="str">
        <f>_xll.BDS("ITXG US Equity","SUPPLY_CHAIN_SUPPLIERS_ALL_DATA")</f>
        <v>#N/A N/A</v>
      </c>
      <c r="SA5" t="str">
        <f>_xll.BDS("ITXG US Equity","SUPPLY_CHAIN_CUSTOMERS_ALL_DATA")</f>
        <v>#N/A N/A</v>
      </c>
      <c r="SQ5" t="str">
        <f>_xll.BDS("SPB US Equity","SUPPLY_CHAIN_SUPPLIERS_ALL_DATA","cols=12;rows=5")</f>
        <v>SLGN US Equity</v>
      </c>
      <c r="SR5" t="s">
        <v>1777</v>
      </c>
      <c r="SS5">
        <v>0.13009599999999999</v>
      </c>
      <c r="ST5">
        <v>0.43881300000000001</v>
      </c>
      <c r="SU5" t="s">
        <v>1785</v>
      </c>
      <c r="SV5">
        <v>2025</v>
      </c>
      <c r="SW5" t="s">
        <v>2365</v>
      </c>
      <c r="SX5" s="6">
        <v>46077</v>
      </c>
      <c r="SY5">
        <v>5</v>
      </c>
      <c r="SZ5">
        <v>1910590</v>
      </c>
      <c r="TA5">
        <v>159323</v>
      </c>
      <c r="TB5" t="s">
        <v>2366</v>
      </c>
      <c r="TE5" t="str">
        <f>_xll.BDS("SPB US Equity","SUPPLY_CHAIN_CUSTOMERS_ALL_DATA","cols=12;rows=5")</f>
        <v>WMT US Equity</v>
      </c>
      <c r="TF5">
        <v>25.780778999999999</v>
      </c>
      <c r="TG5" t="s">
        <v>1777</v>
      </c>
      <c r="TH5">
        <v>0.13584499999999999</v>
      </c>
      <c r="TI5" t="s">
        <v>1773</v>
      </c>
      <c r="TJ5">
        <v>2025</v>
      </c>
      <c r="TK5" t="s">
        <v>2287</v>
      </c>
      <c r="TL5" s="6">
        <v>45897</v>
      </c>
      <c r="TM5">
        <v>5</v>
      </c>
      <c r="TN5">
        <v>180362320</v>
      </c>
      <c r="TO5">
        <v>101616</v>
      </c>
      <c r="TP5" t="s">
        <v>1803</v>
      </c>
      <c r="TU5" t="str">
        <f>_xll.BDS("FCF US Equity","SUPPLY_CHAIN_SUPPLIERS_ALL_DATA")</f>
        <v>#N/A N/A</v>
      </c>
      <c r="UI5" t="str">
        <f>_xll.BDS("FCF US Equity","SUPPLY_CHAIN_CUSTOMERS_ALL_DATA")</f>
        <v>#N/A N/A</v>
      </c>
      <c r="UY5" t="str">
        <f>_xll.BDS("NEE US Equity","SUPPLY_CHAIN_SUPPLIERS_ALL_DATA","cols=12;rows=5")</f>
        <v>PWR US Equity</v>
      </c>
      <c r="UZ5" t="s">
        <v>1906</v>
      </c>
      <c r="VA5">
        <v>4.2290580000000002</v>
      </c>
      <c r="VB5">
        <v>7.4794130000000001</v>
      </c>
      <c r="VC5" t="s">
        <v>1773</v>
      </c>
      <c r="VD5">
        <v>2025</v>
      </c>
      <c r="VE5" t="s">
        <v>1971</v>
      </c>
      <c r="VF5" s="6">
        <v>45975</v>
      </c>
      <c r="VG5">
        <v>5</v>
      </c>
      <c r="VH5">
        <v>322736672</v>
      </c>
      <c r="VI5">
        <v>305366</v>
      </c>
      <c r="VJ5" t="s">
        <v>1972</v>
      </c>
      <c r="VM5" t="str">
        <f>_xll.BDS("NEE US Equity","SUPPLY_CHAIN_CUSTOMERS_ALL_DATA","cols=12;rows=5")</f>
        <v>OGE US Equity</v>
      </c>
      <c r="VN5">
        <v>2.2623999999999998E-2</v>
      </c>
      <c r="VO5" t="s">
        <v>1777</v>
      </c>
      <c r="VP5">
        <v>0.52025299999999997</v>
      </c>
      <c r="VQ5" t="s">
        <v>1789</v>
      </c>
      <c r="VR5">
        <v>2024</v>
      </c>
      <c r="VS5" t="s">
        <v>1826</v>
      </c>
      <c r="VT5" s="6">
        <v>45707</v>
      </c>
      <c r="VU5">
        <v>5</v>
      </c>
      <c r="VV5">
        <v>1400000.75</v>
      </c>
      <c r="VW5">
        <v>101115</v>
      </c>
      <c r="VX5" t="s">
        <v>1827</v>
      </c>
    </row>
    <row r="6" spans="1:600" x14ac:dyDescent="0.25">
      <c r="AE6" t="s">
        <v>2409</v>
      </c>
      <c r="AG6">
        <v>-2.4245362661989844E-14</v>
      </c>
      <c r="AH6">
        <v>-2.4245362661989844E-14</v>
      </c>
      <c r="AI6" t="s">
        <v>1773</v>
      </c>
      <c r="AJ6">
        <v>2023</v>
      </c>
      <c r="AK6" t="s">
        <v>2410</v>
      </c>
      <c r="AL6" s="6">
        <v>45204</v>
      </c>
      <c r="AM6">
        <v>3</v>
      </c>
      <c r="AN6">
        <v>-2.4245362661989844E-14</v>
      </c>
      <c r="AO6">
        <v>815218</v>
      </c>
      <c r="AP6" t="s">
        <v>2411</v>
      </c>
      <c r="AS6" t="s">
        <v>2284</v>
      </c>
      <c r="AT6">
        <v>-2.4245362661989844E-14</v>
      </c>
      <c r="AU6" t="s">
        <v>1777</v>
      </c>
      <c r="AV6">
        <v>-2.4245362661989844E-14</v>
      </c>
      <c r="AW6" t="s">
        <v>1789</v>
      </c>
      <c r="AX6">
        <v>2025</v>
      </c>
      <c r="AY6" t="s">
        <v>2285</v>
      </c>
      <c r="AZ6" s="6">
        <v>45925</v>
      </c>
      <c r="BA6">
        <v>2</v>
      </c>
      <c r="BB6">
        <v>27753000</v>
      </c>
      <c r="BC6">
        <v>340053</v>
      </c>
      <c r="BD6" t="s">
        <v>2286</v>
      </c>
      <c r="CM6" t="s">
        <v>1955</v>
      </c>
      <c r="CN6" t="s">
        <v>1777</v>
      </c>
      <c r="CO6">
        <v>1.7833429999999999</v>
      </c>
      <c r="CP6">
        <v>5.3337750000000002</v>
      </c>
      <c r="CQ6" t="s">
        <v>1768</v>
      </c>
      <c r="CR6">
        <v>2025</v>
      </c>
      <c r="CS6" t="s">
        <v>1956</v>
      </c>
      <c r="CT6" s="6">
        <v>46065</v>
      </c>
      <c r="CU6">
        <v>5</v>
      </c>
      <c r="CV6">
        <v>395979424</v>
      </c>
      <c r="CW6">
        <v>130929</v>
      </c>
      <c r="CX6" t="s">
        <v>1957</v>
      </c>
      <c r="DA6" t="s">
        <v>1839</v>
      </c>
      <c r="DB6">
        <v>-2.4245362661989844E-14</v>
      </c>
      <c r="DD6">
        <v>-2.4245362661989844E-14</v>
      </c>
      <c r="DE6" t="s">
        <v>1789</v>
      </c>
      <c r="DF6">
        <v>2024</v>
      </c>
      <c r="DG6" t="s">
        <v>1840</v>
      </c>
      <c r="DH6" s="6">
        <v>45750</v>
      </c>
      <c r="DI6">
        <v>5</v>
      </c>
      <c r="DJ6">
        <v>-2.4245362661989844E-14</v>
      </c>
      <c r="DK6">
        <v>64444291</v>
      </c>
      <c r="DL6" t="s">
        <v>1841</v>
      </c>
      <c r="QI6" t="s">
        <v>2129</v>
      </c>
      <c r="QJ6" t="s">
        <v>1777</v>
      </c>
      <c r="QK6">
        <v>0.347161</v>
      </c>
      <c r="QL6">
        <v>4.1422239999999997</v>
      </c>
      <c r="QM6" t="s">
        <v>1768</v>
      </c>
      <c r="QN6">
        <v>2025</v>
      </c>
      <c r="QO6" t="s">
        <v>2130</v>
      </c>
      <c r="QP6" s="6">
        <v>45889</v>
      </c>
      <c r="QQ6">
        <v>5</v>
      </c>
      <c r="QR6">
        <v>201928052.13999999</v>
      </c>
      <c r="QS6">
        <v>119133</v>
      </c>
      <c r="QT6" t="s">
        <v>2131</v>
      </c>
      <c r="QW6" t="s">
        <v>1905</v>
      </c>
      <c r="QX6">
        <v>2.8732120000000001</v>
      </c>
      <c r="QY6" t="s">
        <v>1906</v>
      </c>
      <c r="QZ6">
        <v>2.4006630000000002</v>
      </c>
      <c r="RA6" t="s">
        <v>1768</v>
      </c>
      <c r="RB6">
        <v>2025</v>
      </c>
      <c r="RC6" t="s">
        <v>1907</v>
      </c>
      <c r="RD6" s="6">
        <v>45783</v>
      </c>
      <c r="RE6">
        <v>5</v>
      </c>
      <c r="RF6">
        <v>401991104</v>
      </c>
      <c r="RG6">
        <v>101743</v>
      </c>
      <c r="RH6" t="s">
        <v>1908</v>
      </c>
      <c r="SQ6" t="s">
        <v>1727</v>
      </c>
      <c r="SR6" t="s">
        <v>1777</v>
      </c>
      <c r="SS6">
        <v>3.022E-2</v>
      </c>
      <c r="ST6">
        <v>0.26656200000000002</v>
      </c>
      <c r="SU6" t="s">
        <v>1768</v>
      </c>
      <c r="SV6">
        <v>2025</v>
      </c>
      <c r="SW6" t="s">
        <v>2367</v>
      </c>
      <c r="SX6" s="6">
        <v>45918</v>
      </c>
      <c r="SY6">
        <v>5</v>
      </c>
      <c r="SZ6">
        <v>1160879</v>
      </c>
      <c r="TA6">
        <v>101397</v>
      </c>
      <c r="TB6" t="s">
        <v>2368</v>
      </c>
      <c r="TE6" t="s">
        <v>1814</v>
      </c>
      <c r="TF6">
        <v>18.437004000000002</v>
      </c>
      <c r="TG6" t="s">
        <v>1777</v>
      </c>
      <c r="TH6">
        <v>0.15961700000000001</v>
      </c>
      <c r="TI6" t="s">
        <v>1773</v>
      </c>
      <c r="TJ6">
        <v>2025</v>
      </c>
      <c r="TK6" t="s">
        <v>2287</v>
      </c>
      <c r="TL6" s="6">
        <v>45897</v>
      </c>
      <c r="TM6">
        <v>5</v>
      </c>
      <c r="TN6">
        <v>128985280</v>
      </c>
      <c r="TO6">
        <v>216952</v>
      </c>
      <c r="TP6" t="s">
        <v>1815</v>
      </c>
      <c r="UY6" t="s">
        <v>1973</v>
      </c>
      <c r="UZ6" t="s">
        <v>1906</v>
      </c>
      <c r="VA6">
        <v>6.4544040000000003</v>
      </c>
      <c r="VB6">
        <v>0.76603299999999996</v>
      </c>
      <c r="VC6" t="s">
        <v>1894</v>
      </c>
      <c r="VD6">
        <v>2025</v>
      </c>
      <c r="VE6" t="s">
        <v>1974</v>
      </c>
      <c r="VF6" s="6">
        <v>45975</v>
      </c>
      <c r="VG6">
        <v>5</v>
      </c>
      <c r="VH6">
        <v>44435482.159999996</v>
      </c>
      <c r="VI6">
        <v>51678308</v>
      </c>
      <c r="VJ6" t="s">
        <v>1975</v>
      </c>
      <c r="VM6" t="s">
        <v>1828</v>
      </c>
      <c r="VN6">
        <v>-2.4245362661989844E-14</v>
      </c>
      <c r="VP6">
        <v>-2.4245362661989844E-14</v>
      </c>
      <c r="VQ6" t="s">
        <v>1789</v>
      </c>
      <c r="VR6">
        <v>2021</v>
      </c>
      <c r="VS6" t="s">
        <v>1829</v>
      </c>
      <c r="VT6" s="6">
        <v>44693</v>
      </c>
      <c r="VU6">
        <v>5</v>
      </c>
      <c r="VV6">
        <v>-2.4245362661989844E-14</v>
      </c>
      <c r="VW6">
        <v>24999838</v>
      </c>
      <c r="VX6" t="s">
        <v>1830</v>
      </c>
    </row>
    <row r="7" spans="1:600" x14ac:dyDescent="0.25">
      <c r="AE7" t="s">
        <v>2412</v>
      </c>
      <c r="AG7">
        <v>-2.4245362661989844E-14</v>
      </c>
      <c r="AH7">
        <v>-2.4245362661989844E-14</v>
      </c>
      <c r="AI7" t="s">
        <v>1789</v>
      </c>
      <c r="AJ7">
        <v>2024</v>
      </c>
      <c r="AK7" t="s">
        <v>2413</v>
      </c>
      <c r="AL7" s="6">
        <v>45741</v>
      </c>
      <c r="AM7">
        <v>3</v>
      </c>
      <c r="AN7">
        <v>-2.4245362661989844E-14</v>
      </c>
      <c r="AO7">
        <v>9295695</v>
      </c>
      <c r="AP7" t="s">
        <v>2414</v>
      </c>
      <c r="CM7" t="s">
        <v>1958</v>
      </c>
      <c r="CN7" t="s">
        <v>1777</v>
      </c>
      <c r="CO7">
        <v>2.504607</v>
      </c>
      <c r="CP7">
        <v>4.9243030000000001</v>
      </c>
      <c r="CQ7" t="s">
        <v>1773</v>
      </c>
      <c r="CR7">
        <v>2025</v>
      </c>
      <c r="CS7" t="s">
        <v>1959</v>
      </c>
      <c r="CT7" s="6">
        <v>46014</v>
      </c>
      <c r="CU7">
        <v>5</v>
      </c>
      <c r="CV7">
        <v>395213718.70999998</v>
      </c>
      <c r="CW7">
        <v>7583418</v>
      </c>
      <c r="CX7" t="s">
        <v>1960</v>
      </c>
      <c r="DA7" t="s">
        <v>1842</v>
      </c>
      <c r="DB7">
        <v>-2.4245362661989844E-14</v>
      </c>
      <c r="DD7">
        <v>-2.4245362661989844E-14</v>
      </c>
      <c r="DE7" t="s">
        <v>1773</v>
      </c>
      <c r="DF7">
        <v>2025</v>
      </c>
      <c r="DG7" t="s">
        <v>1843</v>
      </c>
      <c r="DH7" s="6">
        <v>46013</v>
      </c>
      <c r="DI7">
        <v>5</v>
      </c>
      <c r="DJ7">
        <v>-2.4245362661989844E-14</v>
      </c>
      <c r="DK7">
        <v>13730472</v>
      </c>
      <c r="DL7" t="s">
        <v>1844</v>
      </c>
      <c r="QI7" t="s">
        <v>2132</v>
      </c>
      <c r="QJ7" t="s">
        <v>1777</v>
      </c>
      <c r="QK7">
        <v>0.664825</v>
      </c>
      <c r="QL7">
        <v>3.6327410000000002</v>
      </c>
      <c r="QM7" t="s">
        <v>1785</v>
      </c>
      <c r="QN7">
        <v>2024</v>
      </c>
      <c r="QO7" t="s">
        <v>2133</v>
      </c>
      <c r="QP7" s="6">
        <v>45741</v>
      </c>
      <c r="QQ7">
        <v>5</v>
      </c>
      <c r="QR7">
        <v>178478249.27000001</v>
      </c>
      <c r="QS7">
        <v>153737</v>
      </c>
      <c r="QT7" t="s">
        <v>2134</v>
      </c>
      <c r="QW7" t="s">
        <v>1909</v>
      </c>
      <c r="QX7">
        <v>2.64514</v>
      </c>
      <c r="QY7" t="s">
        <v>1777</v>
      </c>
      <c r="QZ7">
        <v>1.094911</v>
      </c>
      <c r="RA7" t="s">
        <v>1768</v>
      </c>
      <c r="RB7">
        <v>2025</v>
      </c>
      <c r="RC7" t="s">
        <v>1907</v>
      </c>
      <c r="RD7" s="6">
        <v>45783</v>
      </c>
      <c r="RE7">
        <v>5</v>
      </c>
      <c r="RF7">
        <v>370081536</v>
      </c>
      <c r="RG7">
        <v>117929</v>
      </c>
      <c r="RH7" t="s">
        <v>1910</v>
      </c>
      <c r="SQ7" t="s">
        <v>2369</v>
      </c>
      <c r="SR7" t="s">
        <v>1777</v>
      </c>
      <c r="SS7">
        <v>0.120009</v>
      </c>
      <c r="ST7">
        <v>5.5760999999999998E-2</v>
      </c>
      <c r="SU7" t="s">
        <v>1773</v>
      </c>
      <c r="SV7">
        <v>2025</v>
      </c>
      <c r="SW7" t="s">
        <v>2370</v>
      </c>
      <c r="SX7" s="6">
        <v>45777</v>
      </c>
      <c r="SY7">
        <v>5</v>
      </c>
      <c r="SZ7">
        <v>262867.53000000003</v>
      </c>
      <c r="TA7">
        <v>39035384</v>
      </c>
      <c r="TB7" t="s">
        <v>2371</v>
      </c>
      <c r="TE7" t="s">
        <v>2288</v>
      </c>
      <c r="TF7">
        <v>5.6304629999999998</v>
      </c>
      <c r="TG7" t="s">
        <v>1777</v>
      </c>
      <c r="TH7">
        <v>4.361192</v>
      </c>
      <c r="TI7" t="s">
        <v>1768</v>
      </c>
      <c r="TJ7">
        <v>2026</v>
      </c>
      <c r="TK7" t="s">
        <v>2289</v>
      </c>
      <c r="TL7" s="6">
        <v>45919</v>
      </c>
      <c r="TM7">
        <v>5</v>
      </c>
      <c r="TN7">
        <v>39390720</v>
      </c>
      <c r="TO7">
        <v>69349999</v>
      </c>
      <c r="TP7" t="s">
        <v>2290</v>
      </c>
      <c r="UY7" t="s">
        <v>1976</v>
      </c>
      <c r="UZ7" t="s">
        <v>1777</v>
      </c>
      <c r="VA7">
        <v>0.35838300000000001</v>
      </c>
      <c r="VB7">
        <v>3.6613519999999999</v>
      </c>
      <c r="VC7" t="s">
        <v>1894</v>
      </c>
      <c r="VD7">
        <v>2025</v>
      </c>
      <c r="VE7" t="s">
        <v>1977</v>
      </c>
      <c r="VF7" s="6">
        <v>45975</v>
      </c>
      <c r="VG7">
        <v>5</v>
      </c>
      <c r="VH7">
        <v>44435482.159999996</v>
      </c>
      <c r="VI7">
        <v>51678326</v>
      </c>
      <c r="VJ7" t="s">
        <v>1978</v>
      </c>
      <c r="VM7" t="s">
        <v>1831</v>
      </c>
      <c r="VN7">
        <v>-2.4245362661989844E-14</v>
      </c>
      <c r="VP7">
        <v>-2.4245362661989844E-14</v>
      </c>
      <c r="VQ7" t="s">
        <v>1789</v>
      </c>
      <c r="VR7">
        <v>2021</v>
      </c>
      <c r="VS7" t="s">
        <v>1829</v>
      </c>
      <c r="VT7" s="6">
        <v>44693</v>
      </c>
      <c r="VU7">
        <v>5</v>
      </c>
      <c r="VV7">
        <v>-2.4245362661989844E-14</v>
      </c>
      <c r="VW7">
        <v>117832</v>
      </c>
      <c r="VX7" t="s">
        <v>1832</v>
      </c>
    </row>
    <row r="8" spans="1:600" x14ac:dyDescent="0.25">
      <c r="CM8" t="s">
        <v>1909</v>
      </c>
      <c r="CN8" t="s">
        <v>1777</v>
      </c>
      <c r="CO8">
        <v>0.49616900000000003</v>
      </c>
      <c r="CP8">
        <v>3.1259290000000002</v>
      </c>
      <c r="CQ8" t="s">
        <v>1768</v>
      </c>
      <c r="CR8">
        <v>2026</v>
      </c>
      <c r="CS8" t="s">
        <v>1961</v>
      </c>
      <c r="CT8" s="6">
        <v>45932</v>
      </c>
      <c r="CU8">
        <v>5</v>
      </c>
      <c r="CV8">
        <v>264523920</v>
      </c>
      <c r="CW8">
        <v>117929</v>
      </c>
      <c r="CX8" t="s">
        <v>1910</v>
      </c>
      <c r="DA8" t="s">
        <v>1845</v>
      </c>
      <c r="DB8">
        <v>-2.4245362661989844E-14</v>
      </c>
      <c r="DD8">
        <v>-2.4245362661989844E-14</v>
      </c>
      <c r="DE8" t="s">
        <v>1789</v>
      </c>
      <c r="DF8">
        <v>2025</v>
      </c>
      <c r="DG8" t="s">
        <v>1846</v>
      </c>
      <c r="DH8" s="6">
        <v>45902</v>
      </c>
      <c r="DI8">
        <v>5</v>
      </c>
      <c r="DJ8">
        <v>-2.4245362661989844E-14</v>
      </c>
      <c r="DK8">
        <v>28569160</v>
      </c>
      <c r="DL8" t="s">
        <v>1847</v>
      </c>
      <c r="QI8" t="s">
        <v>2135</v>
      </c>
      <c r="QJ8" t="s">
        <v>1777</v>
      </c>
      <c r="QK8">
        <v>2.6461350000000001</v>
      </c>
      <c r="QL8">
        <v>3.5549309999999998</v>
      </c>
      <c r="QM8" t="s">
        <v>1773</v>
      </c>
      <c r="QN8">
        <v>2025</v>
      </c>
      <c r="QO8" t="s">
        <v>2136</v>
      </c>
      <c r="QP8" s="6">
        <v>45763</v>
      </c>
      <c r="QQ8">
        <v>5</v>
      </c>
      <c r="QR8">
        <v>173480608</v>
      </c>
      <c r="QS8">
        <v>136547</v>
      </c>
      <c r="QT8" t="s">
        <v>2137</v>
      </c>
      <c r="QW8" t="s">
        <v>1814</v>
      </c>
      <c r="QX8">
        <v>2.5842719999999999</v>
      </c>
      <c r="QY8" t="s">
        <v>1906</v>
      </c>
      <c r="QZ8">
        <v>1.4451639999999999</v>
      </c>
      <c r="RA8" t="s">
        <v>1768</v>
      </c>
      <c r="RB8">
        <v>2025</v>
      </c>
      <c r="RC8" t="s">
        <v>1907</v>
      </c>
      <c r="RD8" s="6">
        <v>45783</v>
      </c>
      <c r="RE8">
        <v>5</v>
      </c>
      <c r="RF8">
        <v>361565504</v>
      </c>
      <c r="RG8">
        <v>216952</v>
      </c>
      <c r="RH8" t="s">
        <v>1815</v>
      </c>
      <c r="SQ8" t="s">
        <v>2372</v>
      </c>
      <c r="SS8">
        <v>-2.4245362661989844E-14</v>
      </c>
      <c r="ST8">
        <v>-2.4245362661989844E-14</v>
      </c>
      <c r="SU8" t="s">
        <v>1789</v>
      </c>
      <c r="SV8">
        <v>2024</v>
      </c>
      <c r="SW8" t="s">
        <v>2373</v>
      </c>
      <c r="SX8" s="6">
        <v>45770</v>
      </c>
      <c r="SY8">
        <v>5</v>
      </c>
      <c r="SZ8">
        <v>-2.4245362661989844E-14</v>
      </c>
      <c r="TA8">
        <v>49647215</v>
      </c>
      <c r="TB8" t="s">
        <v>2374</v>
      </c>
      <c r="TE8" t="s">
        <v>2291</v>
      </c>
      <c r="TF8">
        <v>4.4833210000000001</v>
      </c>
      <c r="TG8" t="s">
        <v>1777</v>
      </c>
      <c r="TH8">
        <v>1.430769</v>
      </c>
      <c r="TI8" t="s">
        <v>1773</v>
      </c>
      <c r="TJ8">
        <v>2025</v>
      </c>
      <c r="TK8" t="s">
        <v>2287</v>
      </c>
      <c r="TL8" s="6">
        <v>45897</v>
      </c>
      <c r="TM8">
        <v>5</v>
      </c>
      <c r="TN8">
        <v>31365314</v>
      </c>
      <c r="TO8">
        <v>53523229</v>
      </c>
      <c r="TP8" t="s">
        <v>2292</v>
      </c>
      <c r="UY8" t="s">
        <v>603</v>
      </c>
      <c r="UZ8" t="s">
        <v>1777</v>
      </c>
      <c r="VA8">
        <v>1.6973130000000001</v>
      </c>
      <c r="VB8">
        <v>2.3626369999999999</v>
      </c>
      <c r="VC8" t="s">
        <v>1781</v>
      </c>
      <c r="VD8">
        <v>2025</v>
      </c>
      <c r="VE8" t="s">
        <v>1979</v>
      </c>
      <c r="VF8" s="6">
        <v>45863</v>
      </c>
      <c r="VG8">
        <v>5</v>
      </c>
      <c r="VH8">
        <v>27973620</v>
      </c>
      <c r="VI8">
        <v>10832677</v>
      </c>
      <c r="VJ8" t="s">
        <v>1980</v>
      </c>
      <c r="VM8" t="s">
        <v>1833</v>
      </c>
      <c r="VN8">
        <v>-2.4245362661989844E-14</v>
      </c>
      <c r="VP8">
        <v>-2.4245362661989844E-14</v>
      </c>
      <c r="VQ8" t="s">
        <v>1789</v>
      </c>
      <c r="VR8">
        <v>2021</v>
      </c>
      <c r="VS8" t="s">
        <v>1829</v>
      </c>
      <c r="VT8" s="6">
        <v>44693</v>
      </c>
      <c r="VU8">
        <v>5</v>
      </c>
      <c r="VV8">
        <v>-2.4245362661989844E-14</v>
      </c>
      <c r="VW8">
        <v>128990</v>
      </c>
      <c r="VX8" t="s">
        <v>1834</v>
      </c>
    </row>
    <row r="9" spans="1:600" x14ac:dyDescent="0.25">
      <c r="CM9" t="s">
        <v>785</v>
      </c>
      <c r="CN9" t="s">
        <v>1777</v>
      </c>
      <c r="CO9">
        <v>1.5894710000000001</v>
      </c>
      <c r="CP9">
        <v>2.6168589999999998</v>
      </c>
      <c r="CQ9" t="s">
        <v>1768</v>
      </c>
      <c r="CR9">
        <v>2026</v>
      </c>
      <c r="CS9" t="s">
        <v>1961</v>
      </c>
      <c r="CT9" s="6">
        <v>45932</v>
      </c>
      <c r="CU9">
        <v>5</v>
      </c>
      <c r="CV9">
        <v>221445152</v>
      </c>
      <c r="CW9">
        <v>100732</v>
      </c>
      <c r="CX9" t="s">
        <v>1962</v>
      </c>
      <c r="DA9" t="s">
        <v>1848</v>
      </c>
      <c r="DB9">
        <v>-2.4245362661989844E-14</v>
      </c>
      <c r="DD9">
        <v>-2.4245362661989844E-14</v>
      </c>
      <c r="DE9" t="s">
        <v>1789</v>
      </c>
      <c r="DF9">
        <v>2023</v>
      </c>
      <c r="DG9" t="s">
        <v>1849</v>
      </c>
      <c r="DH9" s="6">
        <v>45070</v>
      </c>
      <c r="DI9">
        <v>5</v>
      </c>
      <c r="DJ9">
        <v>-2.4245362661989844E-14</v>
      </c>
      <c r="DK9">
        <v>63194262</v>
      </c>
      <c r="DL9" t="s">
        <v>1850</v>
      </c>
      <c r="QI9" t="s">
        <v>2138</v>
      </c>
      <c r="QJ9" t="s">
        <v>1777</v>
      </c>
      <c r="QK9">
        <v>18.200001</v>
      </c>
      <c r="QL9">
        <v>3.1899000000000002</v>
      </c>
      <c r="QM9" t="s">
        <v>1789</v>
      </c>
      <c r="QN9">
        <v>2025</v>
      </c>
      <c r="QO9" t="s">
        <v>2139</v>
      </c>
      <c r="QP9" s="6">
        <v>45888</v>
      </c>
      <c r="QQ9">
        <v>5</v>
      </c>
      <c r="QR9">
        <v>155579376</v>
      </c>
      <c r="QS9">
        <v>9858567</v>
      </c>
      <c r="QT9" t="s">
        <v>2140</v>
      </c>
      <c r="QW9" t="s">
        <v>1911</v>
      </c>
      <c r="QX9">
        <v>1.966375</v>
      </c>
      <c r="QY9" t="s">
        <v>1906</v>
      </c>
      <c r="QZ9">
        <v>5.4308940000000003</v>
      </c>
      <c r="RA9" t="s">
        <v>1768</v>
      </c>
      <c r="RB9">
        <v>2025</v>
      </c>
      <c r="RC9" t="s">
        <v>1907</v>
      </c>
      <c r="RD9" s="6">
        <v>45783</v>
      </c>
      <c r="RE9">
        <v>5</v>
      </c>
      <c r="RF9">
        <v>275115520</v>
      </c>
      <c r="RG9">
        <v>101376</v>
      </c>
      <c r="RH9" t="s">
        <v>1912</v>
      </c>
      <c r="SQ9" t="s">
        <v>2375</v>
      </c>
      <c r="SS9">
        <v>-2.4245362661989844E-14</v>
      </c>
      <c r="ST9">
        <v>-2.4245362661989844E-14</v>
      </c>
      <c r="SU9" t="s">
        <v>1773</v>
      </c>
      <c r="SV9">
        <v>2024</v>
      </c>
      <c r="SW9" t="s">
        <v>2376</v>
      </c>
      <c r="SX9" s="6">
        <v>45608</v>
      </c>
      <c r="SY9">
        <v>5</v>
      </c>
      <c r="SZ9">
        <v>-2.4245362661989844E-14</v>
      </c>
      <c r="TA9">
        <v>11340004</v>
      </c>
      <c r="TB9" t="s">
        <v>2377</v>
      </c>
      <c r="TE9" t="s">
        <v>2293</v>
      </c>
      <c r="TF9">
        <v>1.9966140000000001</v>
      </c>
      <c r="TG9" t="s">
        <v>1777</v>
      </c>
      <c r="TH9">
        <v>7.8021999999999994E-2</v>
      </c>
      <c r="TI9" t="s">
        <v>1773</v>
      </c>
      <c r="TJ9">
        <v>2025</v>
      </c>
      <c r="TK9" t="s">
        <v>2287</v>
      </c>
      <c r="TL9" s="6">
        <v>45897</v>
      </c>
      <c r="TM9">
        <v>5</v>
      </c>
      <c r="TN9">
        <v>13968312</v>
      </c>
      <c r="TO9">
        <v>100436</v>
      </c>
      <c r="TP9" t="s">
        <v>2294</v>
      </c>
      <c r="UY9" t="s">
        <v>1981</v>
      </c>
      <c r="UZ9" t="s">
        <v>1777</v>
      </c>
      <c r="VA9">
        <v>3.8921999999999998E-2</v>
      </c>
      <c r="VB9">
        <v>0.77458899999999997</v>
      </c>
      <c r="VC9" t="s">
        <v>1781</v>
      </c>
      <c r="VD9">
        <v>2025</v>
      </c>
      <c r="VE9" t="s">
        <v>1982</v>
      </c>
      <c r="VF9" s="6">
        <v>45890</v>
      </c>
      <c r="VG9">
        <v>5</v>
      </c>
      <c r="VH9">
        <v>9113898.0299999993</v>
      </c>
      <c r="VI9">
        <v>7791092</v>
      </c>
      <c r="VJ9" t="s">
        <v>1983</v>
      </c>
      <c r="VM9" t="s">
        <v>1835</v>
      </c>
      <c r="VN9">
        <v>-2.4245362661989844E-14</v>
      </c>
      <c r="VP9">
        <v>-2.4245362661989844E-14</v>
      </c>
      <c r="VQ9" t="s">
        <v>1789</v>
      </c>
      <c r="VR9">
        <v>2021</v>
      </c>
      <c r="VS9" t="s">
        <v>1829</v>
      </c>
      <c r="VT9" s="6">
        <v>44693</v>
      </c>
      <c r="VU9">
        <v>5</v>
      </c>
      <c r="VV9">
        <v>-2.4245362661989844E-14</v>
      </c>
      <c r="VW9">
        <v>227360</v>
      </c>
      <c r="VX9" t="s">
        <v>1836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1561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1562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1563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1564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1565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1566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1567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1568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1569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1570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1571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1572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1573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1574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1575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1576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1577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1578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1579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281</v>
      </c>
      <c r="AE2" s="3" t="s">
        <v>1580</v>
      </c>
      <c r="BI2" s="3" t="s">
        <v>1581</v>
      </c>
      <c r="CM2" s="3" t="s">
        <v>1582</v>
      </c>
      <c r="DQ2" s="3" t="s">
        <v>1583</v>
      </c>
      <c r="EU2" s="3" t="s">
        <v>1584</v>
      </c>
      <c r="FY2" s="3" t="s">
        <v>1585</v>
      </c>
      <c r="HC2" s="3" t="s">
        <v>1586</v>
      </c>
      <c r="IG2" s="3" t="s">
        <v>22</v>
      </c>
      <c r="JK2" s="3" t="s">
        <v>1587</v>
      </c>
      <c r="KO2" s="3" t="s">
        <v>717</v>
      </c>
      <c r="LS2" s="3" t="s">
        <v>1588</v>
      </c>
      <c r="MW2" s="3" t="s">
        <v>1589</v>
      </c>
      <c r="OA2" s="3" t="s">
        <v>21</v>
      </c>
      <c r="PE2" s="3" t="s">
        <v>1590</v>
      </c>
      <c r="QI2" s="3" t="s">
        <v>1591</v>
      </c>
      <c r="RM2" s="3" t="s">
        <v>1592</v>
      </c>
      <c r="SQ2" s="3" t="s">
        <v>563</v>
      </c>
      <c r="TU2" s="3" t="s">
        <v>750</v>
      </c>
      <c r="UY2" s="3" t="s">
        <v>563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_xll.BDS("NBBC US Equity","SUPPLY_CHAIN_SUPPLIERS_ALL_DATA")</f>
        <v>#N/A N/A</v>
      </c>
      <c r="O5" t="str">
        <f>_xll.BDS("NBBC US Equity","SUPPLY_CHAIN_CUSTOMERS_ALL_DATA")</f>
        <v>#N/A N/A</v>
      </c>
      <c r="AE5" t="str">
        <f>_xll.BDS("NVI US Equity","SUPPLY_CHAIN_SUPPLIERS_ALL_DATA")</f>
        <v>#N/A N/A</v>
      </c>
      <c r="AS5" t="str">
        <f>_xll.BDS("NVI US Equity","SUPPLY_CHAIN_CUSTOMERS_ALL_DATA")</f>
        <v>#N/A N/A</v>
      </c>
      <c r="BI5" t="str">
        <f>_xll.BDS("CMCT US Equity","SUPPLY_CHAIN_SUPPLIERS_ALL_DATA")</f>
        <v>#N/A N/A</v>
      </c>
      <c r="BW5" t="str">
        <f>_xll.BDS("CMCT US Equity","SUPPLY_CHAIN_CUSTOMERS_ALL_DATA","cols=12;rows=5")</f>
        <v>11630Z US Equity</v>
      </c>
      <c r="BX5">
        <v>10.195001</v>
      </c>
      <c r="BZ5">
        <v>-2.4245362661989844E-14</v>
      </c>
      <c r="CA5" t="s">
        <v>1789</v>
      </c>
      <c r="CB5">
        <v>2024</v>
      </c>
      <c r="CC5" t="s">
        <v>3120</v>
      </c>
      <c r="CD5" s="6">
        <v>45723</v>
      </c>
      <c r="CE5">
        <v>5</v>
      </c>
      <c r="CF5">
        <v>3173500</v>
      </c>
      <c r="CG5">
        <v>388163</v>
      </c>
      <c r="CH5" t="s">
        <v>3121</v>
      </c>
      <c r="CM5" t="str">
        <f>_xll.BDS("PFNS US Equity","SUPPLY_CHAIN_SUPPLIERS_ALL_DATA")</f>
        <v>#N/A N/A</v>
      </c>
      <c r="DA5" t="str">
        <f>_xll.BDS("PFNS US Equity","SUPPLY_CHAIN_CUSTOMERS_ALL_DATA")</f>
        <v>#N/A N/A</v>
      </c>
      <c r="DQ5" t="str">
        <f>_xll.BDS("ACAS US Equity","SUPPLY_CHAIN_SUPPLIERS_ALL_DATA")</f>
        <v>#N/A N/A</v>
      </c>
      <c r="EE5" t="str">
        <f>_xll.BDS("ACAS US Equity","SUPPLY_CHAIN_CUSTOMERS_ALL_DATA")</f>
        <v>#N/A N/A</v>
      </c>
      <c r="EU5" t="str">
        <f>_xll.BDS("EOG US Equity","SUPPLY_CHAIN_SUPPLIERS_ALL_DATA","cols=12;rows=5")</f>
        <v>TEN IM Equity</v>
      </c>
      <c r="EV5" t="s">
        <v>1906</v>
      </c>
      <c r="EW5">
        <v>1.413521</v>
      </c>
      <c r="EX5">
        <v>2.5313669999999999</v>
      </c>
      <c r="EY5" t="s">
        <v>1773</v>
      </c>
      <c r="EZ5">
        <v>2025</v>
      </c>
      <c r="FA5" t="s">
        <v>2378</v>
      </c>
      <c r="FB5" s="6">
        <v>45971</v>
      </c>
      <c r="FC5">
        <v>5</v>
      </c>
      <c r="FD5">
        <v>42096632</v>
      </c>
      <c r="FE5">
        <v>7912227</v>
      </c>
      <c r="FF5" t="s">
        <v>2379</v>
      </c>
      <c r="FI5" t="str">
        <f>_xll.BDS("EOG US Equity","SUPPLY_CHAIN_CUSTOMERS_ALL_DATA","cols=12;rows=4")</f>
        <v>2046294D TP Equity</v>
      </c>
      <c r="FJ5">
        <v>-2.4245362661989844E-14</v>
      </c>
      <c r="FL5">
        <v>-2.4245362661989844E-14</v>
      </c>
      <c r="FM5" t="s">
        <v>1789</v>
      </c>
      <c r="FN5">
        <v>2024</v>
      </c>
      <c r="FO5" t="s">
        <v>2303</v>
      </c>
      <c r="FP5" s="6">
        <v>45715</v>
      </c>
      <c r="FQ5">
        <v>4</v>
      </c>
      <c r="FR5">
        <v>-2.4245362661989844E-14</v>
      </c>
      <c r="FS5">
        <v>64943915</v>
      </c>
      <c r="FT5" t="s">
        <v>2304</v>
      </c>
      <c r="FY5" t="str">
        <f>_xll.BDS("VNBCQ US Equity","SUPPLY_CHAIN_SUPPLIERS_ALL_DATA")</f>
        <v>#N/A N/A</v>
      </c>
      <c r="GM5" t="str">
        <f>_xll.BDS("VNBCQ US Equity","SUPPLY_CHAIN_CUSTOMERS_ALL_DATA")</f>
        <v>#N/A N/A</v>
      </c>
      <c r="HC5" t="str">
        <f>_xll.BDS("MWW US Equity","SUPPLY_CHAIN_SUPPLIERS_ALL_DATA")</f>
        <v>#N/A N/A</v>
      </c>
      <c r="HQ5" t="str">
        <f>_xll.BDS("MWW US Equity","SUPPLY_CHAIN_CUSTOMERS_ALL_DATA")</f>
        <v>#N/A N/A</v>
      </c>
      <c r="IG5" t="str">
        <f>_xll.BDS("nan Equity","SUPPLY_CHAIN_SUPPLIERS_ALL_DATA")</f>
        <v>#N/A N/A</v>
      </c>
      <c r="IU5" t="str">
        <f>_xll.BDS("nan Equity","SUPPLY_CHAIN_CUSTOMERS_ALL_DATA")</f>
        <v>#N/A N/A</v>
      </c>
      <c r="JK5" t="str">
        <f>_xll.BDS("MSTI US Equity","SUPPLY_CHAIN_SUPPLIERS_ALL_DATA")</f>
        <v>#N/A N/A</v>
      </c>
      <c r="JY5" t="str">
        <f>_xll.BDS("MSTI US Equity","SUPPLY_CHAIN_CUSTOMERS_ALL_DATA")</f>
        <v>#N/A N/A</v>
      </c>
      <c r="KO5" t="str">
        <f>_xll.BDS("XBKS US Equity","SUPPLY_CHAIN_SUPPLIERS_ALL_DATA")</f>
        <v>#N/A N/A</v>
      </c>
      <c r="LC5" t="str">
        <f>_xll.BDS("XBKS US Equity","SUPPLY_CHAIN_CUSTOMERS_ALL_DATA")</f>
        <v>#N/A N/A</v>
      </c>
      <c r="LS5" t="str">
        <f>_xll.BDS("CFBX US Equity","SUPPLY_CHAIN_SUPPLIERS_ALL_DATA")</f>
        <v>#N/A N/A</v>
      </c>
      <c r="MG5" t="str">
        <f>_xll.BDS("CFBX US Equity","SUPPLY_CHAIN_CUSTOMERS_ALL_DATA")</f>
        <v>#N/A N/A</v>
      </c>
      <c r="MW5" t="str">
        <f>_xll.BDS("GNMP US Equity","SUPPLY_CHAIN_SUPPLIERS_ALL_DATA")</f>
        <v>#N/A N/A</v>
      </c>
      <c r="NK5" t="str">
        <f>_xll.BDS("GNMP US Equity","SUPPLY_CHAIN_CUSTOMERS_ALL_DATA")</f>
        <v>#N/A N/A</v>
      </c>
      <c r="OA5" t="str">
        <f>_xll.BDS("NPBC US Equity","SUPPLY_CHAIN_SUPPLIERS_ALL_DATA")</f>
        <v>#N/A N/A</v>
      </c>
      <c r="OO5" t="str">
        <f>_xll.BDS("NPBC US Equity","SUPPLY_CHAIN_CUSTOMERS_ALL_DATA")</f>
        <v>#N/A N/A</v>
      </c>
      <c r="PE5" t="str">
        <f>_xll.BDS("3026164Q US Equity","SUPPLY_CHAIN_SUPPLIERS_ALL_DATA")</f>
        <v>#N/A N/A</v>
      </c>
      <c r="PS5" t="str">
        <f>_xll.BDS("3026164Q US Equity","SUPPLY_CHAIN_CUSTOMERS_ALL_DATA")</f>
        <v>#N/A N/A</v>
      </c>
      <c r="QI5" t="str">
        <f>_xll.BDS("496112Q US Equity","SUPPLY_CHAIN_SUPPLIERS_ALL_DATA")</f>
        <v>#N/A N/A</v>
      </c>
      <c r="QW5" t="str">
        <f>_xll.BDS("496112Q US Equity","SUPPLY_CHAIN_CUSTOMERS_ALL_DATA")</f>
        <v>#N/A N/A</v>
      </c>
      <c r="RM5" t="str">
        <f>_xll.BDS("ORRF US Equity","SUPPLY_CHAIN_SUPPLIERS_ALL_DATA")</f>
        <v>#N/A N/A</v>
      </c>
      <c r="SA5" t="str">
        <f>_xll.BDS("ORRF US Equity","SUPPLY_CHAIN_CUSTOMERS_ALL_DATA")</f>
        <v>#N/A N/A</v>
      </c>
      <c r="SQ5" t="str">
        <f>_xll.BDS("MSFG US Equity","SUPPLY_CHAIN_SUPPLIERS_ALL_DATA")</f>
        <v>#N/A N/A</v>
      </c>
      <c r="TE5" t="str">
        <f>_xll.BDS("MSFG US Equity","SUPPLY_CHAIN_CUSTOMERS_ALL_DATA")</f>
        <v>#N/A N/A</v>
      </c>
      <c r="TU5" t="str">
        <f>_xll.BDS("GBCI US Equity","SUPPLY_CHAIN_SUPPLIERS_ALL_DATA","cols=12;rows=1")</f>
        <v>VYX US Equity</v>
      </c>
      <c r="TW5">
        <v>-2.4245362661989844E-14</v>
      </c>
      <c r="TX5">
        <v>-2.4245362661989844E-14</v>
      </c>
      <c r="TY5" t="s">
        <v>1768</v>
      </c>
      <c r="TZ5">
        <v>2023</v>
      </c>
      <c r="UA5" t="s">
        <v>1969</v>
      </c>
      <c r="UB5" s="6">
        <v>45173</v>
      </c>
      <c r="UC5">
        <v>1</v>
      </c>
      <c r="UD5">
        <v>-2.4245362661989844E-14</v>
      </c>
      <c r="UE5">
        <v>202476</v>
      </c>
      <c r="UF5" t="s">
        <v>1970</v>
      </c>
      <c r="UI5" t="str">
        <f>_xll.BDS("GBCI US Equity","SUPPLY_CHAIN_CUSTOMERS_ALL_DATA")</f>
        <v>#N/A N/A</v>
      </c>
      <c r="UY5" t="str">
        <f>_xll.BDS("MSFG US Equity","SUPPLY_CHAIN_SUPPLIERS_ALL_DATA")</f>
        <v>#N/A N/A</v>
      </c>
      <c r="VM5" t="str">
        <f>_xll.BDS("MSFG US Equity","SUPPLY_CHAIN_CUSTOMERS_ALL_DATA")</f>
        <v>#N/A N/A</v>
      </c>
    </row>
    <row r="6" spans="1:600" x14ac:dyDescent="0.25">
      <c r="BW6" t="s">
        <v>752</v>
      </c>
      <c r="BX6">
        <v>3.3466649999999998</v>
      </c>
      <c r="BY6" t="s">
        <v>1808</v>
      </c>
      <c r="BZ6">
        <v>2.4244000000000002E-2</v>
      </c>
      <c r="CA6" t="s">
        <v>1789</v>
      </c>
      <c r="CB6">
        <v>2024</v>
      </c>
      <c r="CC6" t="s">
        <v>3120</v>
      </c>
      <c r="CD6" s="6">
        <v>45723</v>
      </c>
      <c r="CE6">
        <v>5</v>
      </c>
      <c r="CF6">
        <v>1041750</v>
      </c>
      <c r="CG6">
        <v>107071</v>
      </c>
      <c r="CH6" t="s">
        <v>2498</v>
      </c>
      <c r="EU6" t="s">
        <v>2380</v>
      </c>
      <c r="EV6" t="s">
        <v>1777</v>
      </c>
      <c r="EW6">
        <v>10.6</v>
      </c>
      <c r="EX6">
        <v>1.7696719999999999</v>
      </c>
      <c r="EY6" t="s">
        <v>1789</v>
      </c>
      <c r="EZ6">
        <v>2024</v>
      </c>
      <c r="FA6" t="s">
        <v>2381</v>
      </c>
      <c r="FB6" s="6">
        <v>45708</v>
      </c>
      <c r="FC6">
        <v>5</v>
      </c>
      <c r="FD6">
        <v>38273580</v>
      </c>
      <c r="FE6">
        <v>52474126</v>
      </c>
      <c r="FF6" t="s">
        <v>2382</v>
      </c>
      <c r="FI6" t="s">
        <v>2305</v>
      </c>
      <c r="FJ6">
        <v>-2.4245362661989844E-14</v>
      </c>
      <c r="FL6">
        <v>-2.4245362661989844E-14</v>
      </c>
      <c r="FM6" t="s">
        <v>1789</v>
      </c>
      <c r="FN6">
        <v>2024</v>
      </c>
      <c r="FO6" t="s">
        <v>2303</v>
      </c>
      <c r="FP6" s="6">
        <v>45715</v>
      </c>
      <c r="FQ6">
        <v>4</v>
      </c>
      <c r="FR6">
        <v>-2.4245362661989844E-14</v>
      </c>
      <c r="FS6">
        <v>10439997</v>
      </c>
      <c r="FT6" t="s">
        <v>2306</v>
      </c>
    </row>
    <row r="7" spans="1:600" x14ac:dyDescent="0.25">
      <c r="BW7" t="s">
        <v>3122</v>
      </c>
      <c r="BX7">
        <v>2.4391219999999998</v>
      </c>
      <c r="BZ7">
        <v>-2.4245362661989844E-14</v>
      </c>
      <c r="CA7" t="s">
        <v>1789</v>
      </c>
      <c r="CB7">
        <v>2024</v>
      </c>
      <c r="CC7" t="s">
        <v>3120</v>
      </c>
      <c r="CD7" s="6">
        <v>45723</v>
      </c>
      <c r="CE7">
        <v>5</v>
      </c>
      <c r="CF7">
        <v>759250</v>
      </c>
      <c r="CG7">
        <v>869001</v>
      </c>
      <c r="CH7" t="s">
        <v>3123</v>
      </c>
      <c r="EU7" t="s">
        <v>2383</v>
      </c>
      <c r="EV7" t="s">
        <v>1906</v>
      </c>
      <c r="EW7">
        <v>1.598144</v>
      </c>
      <c r="EX7">
        <v>1.0411840000000001</v>
      </c>
      <c r="EY7" t="s">
        <v>1773</v>
      </c>
      <c r="EZ7">
        <v>2025</v>
      </c>
      <c r="FA7" t="s">
        <v>2384</v>
      </c>
      <c r="FB7" s="6">
        <v>45979</v>
      </c>
      <c r="FC7">
        <v>5</v>
      </c>
      <c r="FD7">
        <v>17318132.02</v>
      </c>
      <c r="FE7">
        <v>115557</v>
      </c>
      <c r="FF7" t="s">
        <v>2385</v>
      </c>
      <c r="FI7" t="s">
        <v>2307</v>
      </c>
      <c r="FJ7">
        <v>-2.4245362661989844E-14</v>
      </c>
      <c r="FL7">
        <v>-2.4245362661989844E-14</v>
      </c>
      <c r="FM7" t="s">
        <v>1789</v>
      </c>
      <c r="FN7">
        <v>2022</v>
      </c>
      <c r="FO7" t="s">
        <v>2308</v>
      </c>
      <c r="FP7" s="6">
        <v>44879</v>
      </c>
      <c r="FQ7">
        <v>4</v>
      </c>
      <c r="FR7">
        <v>-2.4245362661989844E-14</v>
      </c>
      <c r="FS7">
        <v>100131</v>
      </c>
      <c r="FT7" t="s">
        <v>2309</v>
      </c>
    </row>
    <row r="8" spans="1:600" x14ac:dyDescent="0.25">
      <c r="BW8" t="s">
        <v>3124</v>
      </c>
      <c r="BX8">
        <v>1.941981</v>
      </c>
      <c r="BY8" t="s">
        <v>1808</v>
      </c>
      <c r="BZ8">
        <v>1.459255</v>
      </c>
      <c r="CA8" t="s">
        <v>1789</v>
      </c>
      <c r="CB8">
        <v>2024</v>
      </c>
      <c r="CC8" t="s">
        <v>3120</v>
      </c>
      <c r="CD8" s="6">
        <v>45723</v>
      </c>
      <c r="CE8">
        <v>5</v>
      </c>
      <c r="CF8">
        <v>604500</v>
      </c>
      <c r="CG8">
        <v>66317279</v>
      </c>
      <c r="CH8" t="s">
        <v>3125</v>
      </c>
      <c r="EU8" t="s">
        <v>2386</v>
      </c>
      <c r="EV8" t="s">
        <v>1777</v>
      </c>
      <c r="EW8">
        <v>0.737792</v>
      </c>
      <c r="EX8">
        <v>0.18740399999999999</v>
      </c>
      <c r="EY8" t="s">
        <v>1773</v>
      </c>
      <c r="EZ8">
        <v>2025</v>
      </c>
      <c r="FA8" t="s">
        <v>2387</v>
      </c>
      <c r="FB8" s="6">
        <v>46027</v>
      </c>
      <c r="FC8">
        <v>5</v>
      </c>
      <c r="FD8">
        <v>4677601</v>
      </c>
      <c r="FE8">
        <v>36965288</v>
      </c>
      <c r="FF8" t="s">
        <v>2388</v>
      </c>
      <c r="FI8" t="s">
        <v>2310</v>
      </c>
      <c r="FJ8">
        <v>-2.4245362661989844E-14</v>
      </c>
      <c r="FL8">
        <v>-2.4245362661989844E-14</v>
      </c>
      <c r="FM8" t="s">
        <v>1773</v>
      </c>
      <c r="FN8">
        <v>2022</v>
      </c>
      <c r="FO8" t="s">
        <v>2311</v>
      </c>
      <c r="FP8" s="6">
        <v>44868</v>
      </c>
      <c r="FQ8">
        <v>4</v>
      </c>
      <c r="FR8">
        <v>-2.4245362661989844E-14</v>
      </c>
      <c r="FS8">
        <v>154327</v>
      </c>
      <c r="FT8" t="s">
        <v>2312</v>
      </c>
    </row>
    <row r="9" spans="1:600" x14ac:dyDescent="0.25">
      <c r="BW9" t="s">
        <v>3126</v>
      </c>
      <c r="BX9">
        <v>1.9034310000000001</v>
      </c>
      <c r="BZ9">
        <v>-2.4245362661989844E-14</v>
      </c>
      <c r="CA9" t="s">
        <v>1789</v>
      </c>
      <c r="CB9">
        <v>2024</v>
      </c>
      <c r="CC9" t="s">
        <v>3120</v>
      </c>
      <c r="CD9" s="6">
        <v>45723</v>
      </c>
      <c r="CE9">
        <v>5</v>
      </c>
      <c r="CF9">
        <v>592500</v>
      </c>
      <c r="CG9">
        <v>24397768</v>
      </c>
      <c r="CH9" t="s">
        <v>3127</v>
      </c>
      <c r="EU9" t="s">
        <v>2389</v>
      </c>
      <c r="EV9" t="s">
        <v>1808</v>
      </c>
      <c r="EW9">
        <v>5.3223830000000003</v>
      </c>
      <c r="EX9">
        <v>9.7228999999999996E-2</v>
      </c>
      <c r="EY9" t="s">
        <v>1789</v>
      </c>
      <c r="EZ9">
        <v>2024</v>
      </c>
      <c r="FA9" t="s">
        <v>2390</v>
      </c>
      <c r="FB9" s="6">
        <v>45699</v>
      </c>
      <c r="FC9">
        <v>5</v>
      </c>
      <c r="FD9">
        <v>1598205.25</v>
      </c>
      <c r="FE9">
        <v>1749265</v>
      </c>
      <c r="FF9" t="s">
        <v>2391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1594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1595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1596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1597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1598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1599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1600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1601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1602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1603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1604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1605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1606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1607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1608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1609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1610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1611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1612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1350</v>
      </c>
      <c r="AE2" s="3" t="s">
        <v>1613</v>
      </c>
      <c r="BI2" s="3" t="s">
        <v>1614</v>
      </c>
      <c r="CM2" s="3" t="s">
        <v>1615</v>
      </c>
      <c r="DQ2" s="3" t="s">
        <v>1616</v>
      </c>
      <c r="EU2" s="3" t="s">
        <v>1617</v>
      </c>
      <c r="FY2" s="3" t="s">
        <v>1618</v>
      </c>
      <c r="HC2" s="3" t="s">
        <v>1619</v>
      </c>
      <c r="IG2" s="3" t="s">
        <v>1620</v>
      </c>
      <c r="JK2" s="3" t="s">
        <v>1621</v>
      </c>
      <c r="KO2" s="3" t="s">
        <v>1622</v>
      </c>
      <c r="LS2" s="3" t="s">
        <v>1623</v>
      </c>
      <c r="MW2" s="3" t="s">
        <v>1624</v>
      </c>
      <c r="OA2" s="3" t="s">
        <v>1625</v>
      </c>
      <c r="PE2" s="3" t="s">
        <v>1626</v>
      </c>
      <c r="QI2" s="3" t="s">
        <v>1389</v>
      </c>
      <c r="RM2" s="3" t="s">
        <v>1627</v>
      </c>
      <c r="SQ2" s="3" t="s">
        <v>1628</v>
      </c>
      <c r="TU2" s="3" t="s">
        <v>1629</v>
      </c>
      <c r="UY2" s="3" t="s">
        <v>1630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_xll.BDS("OZK US Equity","SUPPLY_CHAIN_SUPPLIERS_ALL_DATA")</f>
        <v>#N/A N/A</v>
      </c>
      <c r="O5" t="str">
        <f>_xll.BDS("OZK US Equity","SUPPLY_CHAIN_CUSTOMERS_ALL_DATA")</f>
        <v>#N/A N/A</v>
      </c>
      <c r="AE5" t="str">
        <f>_xll.BDS("IXYS US Equity","SUPPLY_CHAIN_SUPPLIERS_ALL_DATA")</f>
        <v>#N/A N/A</v>
      </c>
      <c r="AS5" t="str">
        <f>_xll.BDS("IXYS US Equity","SUPPLY_CHAIN_CUSTOMERS_ALL_DATA")</f>
        <v>#N/A N/A</v>
      </c>
      <c r="BI5" t="str">
        <f>_xll.BDS("CAA US Equity","SUPPLY_CHAIN_SUPPLIERS_ALL_DATA")</f>
        <v>#N/A N/A</v>
      </c>
      <c r="BW5" t="str">
        <f>_xll.BDS("CAA US Equity","SUPPLY_CHAIN_CUSTOMERS_ALL_DATA")</f>
        <v>#N/A N/A</v>
      </c>
      <c r="CM5" t="str">
        <f>_xll.BDS("WFM US Equity","SUPPLY_CHAIN_SUPPLIERS_ALL_DATA")</f>
        <v>#N/A N/A</v>
      </c>
      <c r="DA5" t="str">
        <f>_xll.BDS("WFM US Equity","SUPPLY_CHAIN_CUSTOMERS_ALL_DATA")</f>
        <v>#N/A N/A</v>
      </c>
      <c r="DQ5" t="str">
        <f>_xll.BDS("EBS US Equity","SUPPLY_CHAIN_SUPPLIERS_ALL_DATA","cols=12;rows=5")</f>
        <v>ATR US Equity</v>
      </c>
      <c r="DR5" t="s">
        <v>1777</v>
      </c>
      <c r="DS5">
        <v>3.2743000000000001E-2</v>
      </c>
      <c r="DT5">
        <v>0.43839499999999998</v>
      </c>
      <c r="DU5" t="s">
        <v>1768</v>
      </c>
      <c r="DV5">
        <v>2025</v>
      </c>
      <c r="DW5" t="s">
        <v>4259</v>
      </c>
      <c r="DX5" s="6">
        <v>45914</v>
      </c>
      <c r="DY5">
        <v>5</v>
      </c>
      <c r="DZ5">
        <v>293286</v>
      </c>
      <c r="EA5">
        <v>117116</v>
      </c>
      <c r="EB5" t="s">
        <v>4260</v>
      </c>
      <c r="EE5" t="str">
        <f>_xll.BDS("EBS US Equity","SUPPLY_CHAIN_CUSTOMERS_ALL_DATA","cols=12;rows=5")</f>
        <v>3352Z US Equity</v>
      </c>
      <c r="EF5">
        <v>39</v>
      </c>
      <c r="EH5">
        <v>-2.4245362661989844E-14</v>
      </c>
      <c r="EI5" t="s">
        <v>1789</v>
      </c>
      <c r="EJ5">
        <v>2024</v>
      </c>
      <c r="EK5" t="s">
        <v>3417</v>
      </c>
      <c r="EL5" s="6">
        <v>45720</v>
      </c>
      <c r="EM5">
        <v>5</v>
      </c>
      <c r="EN5">
        <v>101751000</v>
      </c>
      <c r="EO5">
        <v>218252</v>
      </c>
      <c r="EP5" t="s">
        <v>1798</v>
      </c>
      <c r="EU5" t="str">
        <f>_xll.BDS("WTTR US Equity","SUPPLY_CHAIN_SUPPLIERS_ALL_DATA","cols=12;rows=1")</f>
        <v>GNL US Equity</v>
      </c>
      <c r="EW5">
        <v>-2.4245362661989844E-14</v>
      </c>
      <c r="EX5">
        <v>-2.4245362661989844E-14</v>
      </c>
      <c r="EY5" t="s">
        <v>1789</v>
      </c>
      <c r="EZ5">
        <v>2023</v>
      </c>
      <c r="FA5" t="s">
        <v>3332</v>
      </c>
      <c r="FB5" s="6">
        <v>45350</v>
      </c>
      <c r="FC5">
        <v>1</v>
      </c>
      <c r="FD5">
        <v>-2.4245362661989844E-14</v>
      </c>
      <c r="FE5">
        <v>35300053</v>
      </c>
      <c r="FF5" t="s">
        <v>3333</v>
      </c>
      <c r="FI5" t="str">
        <f>_xll.BDS("WTTR US Equity","SUPPLY_CHAIN_CUSTOMERS_ALL_DATA","cols=12;rows=5")</f>
        <v>0069572D US Equity</v>
      </c>
      <c r="FJ5">
        <v>-2.4245362661989844E-14</v>
      </c>
      <c r="FL5">
        <v>-2.4245362661989844E-14</v>
      </c>
      <c r="FM5" t="s">
        <v>1789</v>
      </c>
      <c r="FN5">
        <v>2024</v>
      </c>
      <c r="FO5" t="s">
        <v>3203</v>
      </c>
      <c r="FP5" s="6">
        <v>45721</v>
      </c>
      <c r="FQ5">
        <v>5</v>
      </c>
      <c r="FR5">
        <v>-2.4245362661989844E-14</v>
      </c>
      <c r="FS5">
        <v>25579198</v>
      </c>
      <c r="FT5" t="s">
        <v>3204</v>
      </c>
      <c r="FY5" t="str">
        <f>_xll.BDS("AMAT US Equity","SUPPLY_CHAIN_SUPPLIERS_ALL_DATA","cols=12;rows=5")</f>
        <v>UCTT US Equity</v>
      </c>
      <c r="FZ5" t="s">
        <v>1777</v>
      </c>
      <c r="GA5">
        <v>21.700001</v>
      </c>
      <c r="GB5">
        <v>3.0809289999999998</v>
      </c>
      <c r="GC5" t="s">
        <v>1789</v>
      </c>
      <c r="GD5">
        <v>2025</v>
      </c>
      <c r="GE5" t="s">
        <v>4228</v>
      </c>
      <c r="GF5" s="6">
        <v>46076</v>
      </c>
      <c r="GG5">
        <v>5</v>
      </c>
      <c r="GH5">
        <v>111429504</v>
      </c>
      <c r="GI5">
        <v>8597928</v>
      </c>
      <c r="GJ5" t="s">
        <v>4229</v>
      </c>
      <c r="GM5" t="str">
        <f>_xll.BDS("AMAT US Equity","SUPPLY_CHAIN_CUSTOMERS_ALL_DATA","cols=12;rows=5")</f>
        <v>2330 TT Equity</v>
      </c>
      <c r="GN5">
        <v>18</v>
      </c>
      <c r="GO5" t="s">
        <v>1906</v>
      </c>
      <c r="GP5">
        <v>15.083428</v>
      </c>
      <c r="GQ5" t="s">
        <v>1996</v>
      </c>
      <c r="GR5">
        <v>2025</v>
      </c>
      <c r="GS5" t="s">
        <v>3138</v>
      </c>
      <c r="GT5" s="6">
        <v>45799</v>
      </c>
      <c r="GU5">
        <v>5</v>
      </c>
      <c r="GV5">
        <v>1283939968</v>
      </c>
      <c r="GW5">
        <v>153737</v>
      </c>
      <c r="GX5" t="s">
        <v>2134</v>
      </c>
      <c r="HC5" t="str">
        <f>_xll.BDS("540721Q US Equity","SUPPLY_CHAIN_SUPPLIERS_ALL_DATA")</f>
        <v>#N/A N/A</v>
      </c>
      <c r="HQ5" t="str">
        <f>_xll.BDS("540721Q US Equity","SUPPLY_CHAIN_CUSTOMERS_ALL_DATA")</f>
        <v>#N/A N/A</v>
      </c>
      <c r="IG5" t="str">
        <f>_xll.BDS("DRYR US Equity","SUPPLY_CHAIN_SUPPLIERS_ALL_DATA")</f>
        <v>#N/A N/A</v>
      </c>
      <c r="IU5" t="str">
        <f>_xll.BDS("DRYR US Equity","SUPPLY_CHAIN_CUSTOMERS_ALL_DATA","cols=12;rows=1")</f>
        <v>ACI US Equity</v>
      </c>
      <c r="IV5">
        <v>-2.4245362661989844E-14</v>
      </c>
      <c r="IX5">
        <v>-2.4245362661989844E-14</v>
      </c>
      <c r="IY5" t="s">
        <v>1789</v>
      </c>
      <c r="IZ5">
        <v>2025</v>
      </c>
      <c r="JA5" t="s">
        <v>2463</v>
      </c>
      <c r="JB5" s="6">
        <v>46002</v>
      </c>
      <c r="JC5">
        <v>1</v>
      </c>
      <c r="JD5">
        <v>-2.4245362661989844E-14</v>
      </c>
      <c r="JE5">
        <v>46386935</v>
      </c>
      <c r="JF5" t="s">
        <v>2464</v>
      </c>
      <c r="JK5" t="str">
        <f>_xll.BDS("ACTRQ US Equity","SUPPLY_CHAIN_SUPPLIERS_ALL_DATA")</f>
        <v>#N/A N/A</v>
      </c>
      <c r="JY5" t="str">
        <f>_xll.BDS("ACTRQ US Equity","SUPPLY_CHAIN_CUSTOMERS_ALL_DATA")</f>
        <v>#N/A N/A</v>
      </c>
      <c r="KO5" t="str">
        <f>_xll.BDS("1794548D US Equity","SUPPLY_CHAIN_SUPPLIERS_ALL_DATA")</f>
        <v>#N/A N/A</v>
      </c>
      <c r="LC5" t="str">
        <f>_xll.BDS("1794548D US Equity","SUPPLY_CHAIN_CUSTOMERS_ALL_DATA")</f>
        <v>#N/A N/A</v>
      </c>
      <c r="LS5" t="str">
        <f>_xll.BDS("CSFL US Equity","SUPPLY_CHAIN_SUPPLIERS_ALL_DATA")</f>
        <v>#N/A N/A</v>
      </c>
      <c r="MG5" t="str">
        <f>_xll.BDS("CSFL US Equity","SUPPLY_CHAIN_CUSTOMERS_ALL_DATA")</f>
        <v>#N/A N/A</v>
      </c>
      <c r="MW5" t="str">
        <f>_xll.BDS("COV US Equity","SUPPLY_CHAIN_SUPPLIERS_ALL_DATA")</f>
        <v>#N/A N/A</v>
      </c>
      <c r="NK5" t="str">
        <f>_xll.BDS("COV US Equity","SUPPLY_CHAIN_CUSTOMERS_ALL_DATA")</f>
        <v>#N/A N/A</v>
      </c>
      <c r="OA5" t="str">
        <f>_xll.BDS("CBNJ US Equity","SUPPLY_CHAIN_SUPPLIERS_ALL_DATA")</f>
        <v>#N/A N/A</v>
      </c>
      <c r="OO5" t="str">
        <f>_xll.BDS("CBNJ US Equity","SUPPLY_CHAIN_CUSTOMERS_ALL_DATA")</f>
        <v>#N/A N/A</v>
      </c>
      <c r="PE5" t="str">
        <f>_xll.BDS("IDMCQ US Equity","SUPPLY_CHAIN_SUPPLIERS_ALL_DATA")</f>
        <v>#N/A N/A</v>
      </c>
      <c r="PS5" t="str">
        <f>_xll.BDS("IDMCQ US Equity","SUPPLY_CHAIN_CUSTOMERS_ALL_DATA")</f>
        <v>#N/A N/A</v>
      </c>
      <c r="QI5" t="str">
        <f>_xll.BDS("BANR US Equity","SUPPLY_CHAIN_SUPPLIERS_ALL_DATA","cols=12;rows=1")</f>
        <v>AAT US Equity</v>
      </c>
      <c r="QJ5" t="s">
        <v>1808</v>
      </c>
      <c r="QK5">
        <v>0.34412100000000001</v>
      </c>
      <c r="QL5">
        <v>0.40240700000000001</v>
      </c>
      <c r="QM5" t="s">
        <v>1789</v>
      </c>
      <c r="QN5">
        <v>2024</v>
      </c>
      <c r="QO5" t="s">
        <v>2977</v>
      </c>
      <c r="QP5" s="6">
        <v>45700</v>
      </c>
      <c r="QQ5">
        <v>1</v>
      </c>
      <c r="QR5">
        <v>393894</v>
      </c>
      <c r="QS5">
        <v>20828779</v>
      </c>
      <c r="QT5" t="s">
        <v>2978</v>
      </c>
      <c r="QW5" t="str">
        <f>_xll.BDS("BANR US Equity","SUPPLY_CHAIN_CUSTOMERS_ALL_DATA")</f>
        <v>#N/A N/A</v>
      </c>
      <c r="RM5" t="str">
        <f>_xll.BDS("FNSCQ US Equity","SUPPLY_CHAIN_SUPPLIERS_ALL_DATA")</f>
        <v>#N/A N/A</v>
      </c>
      <c r="SA5" t="str">
        <f>_xll.BDS("FNSCQ US Equity","SUPPLY_CHAIN_CUSTOMERS_ALL_DATA")</f>
        <v>#N/A N/A</v>
      </c>
      <c r="SQ5" t="str">
        <f>_xll.BDS("HEOP US Equity","SUPPLY_CHAIN_SUPPLIERS_ALL_DATA")</f>
        <v>#N/A N/A</v>
      </c>
      <c r="TE5" t="str">
        <f>_xll.BDS("HEOP US Equity","SUPPLY_CHAIN_CUSTOMERS_ALL_DATA")</f>
        <v>#N/A N/A</v>
      </c>
      <c r="TU5" t="str">
        <f>_xll.BDS("AMAL US Equity","SUPPLY_CHAIN_SUPPLIERS_ALL_DATA","cols=12;rows=2")</f>
        <v>WK US Equity</v>
      </c>
      <c r="TW5">
        <v>-2.4245362661989844E-14</v>
      </c>
      <c r="TX5">
        <v>-2.4245362661989844E-14</v>
      </c>
      <c r="TY5" t="s">
        <v>1789</v>
      </c>
      <c r="TZ5">
        <v>2025</v>
      </c>
      <c r="UA5" t="s">
        <v>2313</v>
      </c>
      <c r="UB5" s="6">
        <v>46072</v>
      </c>
      <c r="UC5">
        <v>2</v>
      </c>
      <c r="UD5">
        <v>-2.4245362661989844E-14</v>
      </c>
      <c r="UE5">
        <v>42839691</v>
      </c>
      <c r="UF5" t="s">
        <v>2314</v>
      </c>
      <c r="UI5" t="str">
        <f>_xll.BDS("AMAL US Equity","SUPPLY_CHAIN_CUSTOMERS_ALL_DATA")</f>
        <v>#N/A N/A</v>
      </c>
      <c r="UY5" t="str">
        <f>_xll.BDS("AUB US Equity","SUPPLY_CHAIN_SUPPLIERS_ALL_DATA","cols=12;rows=1")</f>
        <v>TEMN SW Equity</v>
      </c>
      <c r="UZ5" t="s">
        <v>1777</v>
      </c>
      <c r="VA5">
        <v>1.9966999999999999E-2</v>
      </c>
      <c r="VB5">
        <v>4.0731000000000003E-2</v>
      </c>
      <c r="VC5" t="s">
        <v>1785</v>
      </c>
      <c r="VD5">
        <v>2024</v>
      </c>
      <c r="VE5" t="s">
        <v>1949</v>
      </c>
      <c r="VF5" s="6">
        <v>45709</v>
      </c>
      <c r="VG5">
        <v>1</v>
      </c>
      <c r="VH5">
        <v>49929</v>
      </c>
      <c r="VI5">
        <v>1713474</v>
      </c>
      <c r="VJ5" t="s">
        <v>1950</v>
      </c>
      <c r="VM5" t="str">
        <f>_xll.BDS("AUB US Equity","SUPPLY_CHAIN_CUSTOMERS_ALL_DATA")</f>
        <v>#N/A N/A</v>
      </c>
    </row>
    <row r="6" spans="1:600" x14ac:dyDescent="0.25">
      <c r="DQ6" t="s">
        <v>4261</v>
      </c>
      <c r="DS6">
        <v>-2.4245362661989844E-14</v>
      </c>
      <c r="DT6">
        <v>-2.4245362661989844E-14</v>
      </c>
      <c r="DU6" t="s">
        <v>1789</v>
      </c>
      <c r="DV6">
        <v>2022</v>
      </c>
      <c r="DW6" t="s">
        <v>4262</v>
      </c>
      <c r="DX6" s="6">
        <v>45068</v>
      </c>
      <c r="DY6">
        <v>5</v>
      </c>
      <c r="DZ6">
        <v>-2.4245362661989844E-14</v>
      </c>
      <c r="EA6">
        <v>30454681</v>
      </c>
      <c r="EB6" t="s">
        <v>4263</v>
      </c>
      <c r="EE6" t="s">
        <v>3418</v>
      </c>
      <c r="EF6">
        <v>-2.4245362661989844E-14</v>
      </c>
      <c r="EH6">
        <v>-2.4245362661989844E-14</v>
      </c>
      <c r="EI6" t="s">
        <v>1789</v>
      </c>
      <c r="EJ6">
        <v>2025</v>
      </c>
      <c r="EK6" t="s">
        <v>3419</v>
      </c>
      <c r="EL6" s="6">
        <v>45915</v>
      </c>
      <c r="EM6">
        <v>5</v>
      </c>
      <c r="EN6">
        <v>-2.4245362661989844E-14</v>
      </c>
      <c r="EO6">
        <v>962208</v>
      </c>
      <c r="EP6" t="s">
        <v>3420</v>
      </c>
      <c r="FI6" t="s">
        <v>3205</v>
      </c>
      <c r="FJ6">
        <v>-2.4245362661989844E-14</v>
      </c>
      <c r="FL6">
        <v>-2.4245362661989844E-14</v>
      </c>
      <c r="FM6" t="s">
        <v>1789</v>
      </c>
      <c r="FN6">
        <v>2024</v>
      </c>
      <c r="FO6" t="s">
        <v>3203</v>
      </c>
      <c r="FP6" s="6">
        <v>45721</v>
      </c>
      <c r="FQ6">
        <v>5</v>
      </c>
      <c r="FR6">
        <v>-2.4245362661989844E-14</v>
      </c>
      <c r="FS6">
        <v>21371895</v>
      </c>
      <c r="FT6" t="s">
        <v>3206</v>
      </c>
      <c r="FY6" t="s">
        <v>3572</v>
      </c>
      <c r="FZ6" t="s">
        <v>1777</v>
      </c>
      <c r="GA6">
        <v>3.0541680000000002</v>
      </c>
      <c r="GB6">
        <v>2.7595510000000001</v>
      </c>
      <c r="GC6" t="s">
        <v>1773</v>
      </c>
      <c r="GD6">
        <v>2025</v>
      </c>
      <c r="GE6" t="s">
        <v>3573</v>
      </c>
      <c r="GF6" s="6">
        <v>46013</v>
      </c>
      <c r="GG6">
        <v>5</v>
      </c>
      <c r="GH6">
        <v>97550128</v>
      </c>
      <c r="GI6">
        <v>349266</v>
      </c>
      <c r="GJ6" t="s">
        <v>3574</v>
      </c>
      <c r="GM6" t="s">
        <v>1909</v>
      </c>
      <c r="GN6">
        <v>17</v>
      </c>
      <c r="GO6" t="s">
        <v>1906</v>
      </c>
      <c r="GP6">
        <v>13.483905</v>
      </c>
      <c r="GQ6" t="s">
        <v>1996</v>
      </c>
      <c r="GR6">
        <v>2025</v>
      </c>
      <c r="GS6" t="s">
        <v>3138</v>
      </c>
      <c r="GT6" s="6">
        <v>45799</v>
      </c>
      <c r="GU6">
        <v>5</v>
      </c>
      <c r="GV6">
        <v>1212610048</v>
      </c>
      <c r="GW6">
        <v>117929</v>
      </c>
      <c r="GX6" t="s">
        <v>1910</v>
      </c>
      <c r="TU6" t="s">
        <v>2315</v>
      </c>
      <c r="TW6">
        <v>-2.4245362661989844E-14</v>
      </c>
      <c r="TX6">
        <v>-2.4245362661989844E-14</v>
      </c>
      <c r="TY6" t="s">
        <v>1789</v>
      </c>
      <c r="TZ6">
        <v>2022</v>
      </c>
      <c r="UA6" t="s">
        <v>2316</v>
      </c>
      <c r="UB6" s="6">
        <v>45001</v>
      </c>
      <c r="UC6">
        <v>2</v>
      </c>
      <c r="UD6">
        <v>-2.4245362661989844E-14</v>
      </c>
      <c r="UE6">
        <v>1183488</v>
      </c>
      <c r="UF6" t="s">
        <v>2317</v>
      </c>
    </row>
    <row r="7" spans="1:600" x14ac:dyDescent="0.25">
      <c r="DQ7" t="s">
        <v>4264</v>
      </c>
      <c r="DS7">
        <v>-2.4245362661989844E-14</v>
      </c>
      <c r="DT7">
        <v>-2.4245362661989844E-14</v>
      </c>
      <c r="DU7" t="s">
        <v>1789</v>
      </c>
      <c r="DV7">
        <v>2024</v>
      </c>
      <c r="DW7" t="s">
        <v>4265</v>
      </c>
      <c r="DX7" s="6">
        <v>45737</v>
      </c>
      <c r="DY7">
        <v>5</v>
      </c>
      <c r="DZ7">
        <v>-2.4245362661989844E-14</v>
      </c>
      <c r="EA7">
        <v>14701798</v>
      </c>
      <c r="EB7" t="s">
        <v>4266</v>
      </c>
      <c r="EE7" t="s">
        <v>3317</v>
      </c>
      <c r="EF7">
        <v>-2.4245362661989844E-14</v>
      </c>
      <c r="EH7">
        <v>-2.4245362661989844E-14</v>
      </c>
      <c r="EI7" t="s">
        <v>1789</v>
      </c>
      <c r="EJ7">
        <v>2024</v>
      </c>
      <c r="EK7" t="s">
        <v>3417</v>
      </c>
      <c r="EL7" s="6">
        <v>45720</v>
      </c>
      <c r="EM7">
        <v>5</v>
      </c>
      <c r="EN7">
        <v>-2.4245362661989844E-14</v>
      </c>
      <c r="EO7">
        <v>962205</v>
      </c>
      <c r="EP7" t="s">
        <v>3318</v>
      </c>
      <c r="FI7" t="s">
        <v>3207</v>
      </c>
      <c r="FJ7">
        <v>-2.4245362661989844E-14</v>
      </c>
      <c r="FL7">
        <v>-2.4245362661989844E-14</v>
      </c>
      <c r="FM7" t="s">
        <v>1789</v>
      </c>
      <c r="FN7">
        <v>2024</v>
      </c>
      <c r="FO7" t="s">
        <v>3203</v>
      </c>
      <c r="FP7" s="6">
        <v>45721</v>
      </c>
      <c r="FQ7">
        <v>5</v>
      </c>
      <c r="FR7">
        <v>-2.4245362661989844E-14</v>
      </c>
      <c r="FS7">
        <v>20617272</v>
      </c>
      <c r="FT7" t="s">
        <v>3208</v>
      </c>
      <c r="FY7" t="s">
        <v>4230</v>
      </c>
      <c r="FZ7" t="s">
        <v>1777</v>
      </c>
      <c r="GA7">
        <v>26</v>
      </c>
      <c r="GB7">
        <v>2.6673879999999999</v>
      </c>
      <c r="GC7" t="s">
        <v>1789</v>
      </c>
      <c r="GD7">
        <v>2024</v>
      </c>
      <c r="GE7" t="s">
        <v>4231</v>
      </c>
      <c r="GF7" s="6">
        <v>45706</v>
      </c>
      <c r="GG7">
        <v>5</v>
      </c>
      <c r="GH7">
        <v>96332728</v>
      </c>
      <c r="GI7">
        <v>171252</v>
      </c>
      <c r="GJ7" t="s">
        <v>4232</v>
      </c>
      <c r="GM7" t="s">
        <v>3139</v>
      </c>
      <c r="GN7">
        <v>3.1587649999999998</v>
      </c>
      <c r="GO7" t="s">
        <v>1906</v>
      </c>
      <c r="GP7">
        <v>4.0765820000000001</v>
      </c>
      <c r="GQ7" t="s">
        <v>1773</v>
      </c>
      <c r="GR7">
        <v>2025</v>
      </c>
      <c r="GS7" t="s">
        <v>3140</v>
      </c>
      <c r="GT7" s="6">
        <v>45931</v>
      </c>
      <c r="GU7">
        <v>5</v>
      </c>
      <c r="GV7">
        <v>230653024</v>
      </c>
      <c r="GW7">
        <v>100995</v>
      </c>
      <c r="GX7" t="s">
        <v>3141</v>
      </c>
    </row>
    <row r="8" spans="1:600" x14ac:dyDescent="0.25">
      <c r="DQ8" t="s">
        <v>3798</v>
      </c>
      <c r="DS8">
        <v>-2.4245362661989844E-14</v>
      </c>
      <c r="DT8">
        <v>-2.4245362661989844E-14</v>
      </c>
      <c r="DU8" t="s">
        <v>1789</v>
      </c>
      <c r="DV8">
        <v>2021</v>
      </c>
      <c r="DW8" t="s">
        <v>3799</v>
      </c>
      <c r="DX8" s="6">
        <v>44693</v>
      </c>
      <c r="DY8">
        <v>5</v>
      </c>
      <c r="DZ8">
        <v>-2.4245362661989844E-14</v>
      </c>
      <c r="EA8">
        <v>100348</v>
      </c>
      <c r="EB8" t="s">
        <v>3800</v>
      </c>
      <c r="EE8" t="s">
        <v>3319</v>
      </c>
      <c r="EF8">
        <v>-2.4245362661989844E-14</v>
      </c>
      <c r="EH8">
        <v>-2.4245362661989844E-14</v>
      </c>
      <c r="EI8" t="s">
        <v>1789</v>
      </c>
      <c r="EJ8">
        <v>2023</v>
      </c>
      <c r="EK8" t="s">
        <v>3421</v>
      </c>
      <c r="EL8" s="6">
        <v>45359</v>
      </c>
      <c r="EM8">
        <v>5</v>
      </c>
      <c r="EN8">
        <v>-2.4245362661989844E-14</v>
      </c>
      <c r="EO8">
        <v>962190</v>
      </c>
      <c r="EP8" t="s">
        <v>3321</v>
      </c>
      <c r="FI8" t="s">
        <v>3209</v>
      </c>
      <c r="FJ8">
        <v>-2.4245362661989844E-14</v>
      </c>
      <c r="FL8">
        <v>-2.4245362661989844E-14</v>
      </c>
      <c r="FM8" t="s">
        <v>1773</v>
      </c>
      <c r="FN8">
        <v>2025</v>
      </c>
      <c r="FO8" t="s">
        <v>3210</v>
      </c>
      <c r="FP8" s="6">
        <v>45981</v>
      </c>
      <c r="FQ8">
        <v>5</v>
      </c>
      <c r="FR8">
        <v>-2.4245362661989844E-14</v>
      </c>
      <c r="FS8">
        <v>50192811</v>
      </c>
      <c r="FT8" t="s">
        <v>3211</v>
      </c>
      <c r="FY8" t="s">
        <v>3432</v>
      </c>
      <c r="FZ8" t="s">
        <v>1777</v>
      </c>
      <c r="GA8">
        <v>14</v>
      </c>
      <c r="GB8">
        <v>2.5732710000000001</v>
      </c>
      <c r="GC8" t="s">
        <v>1789</v>
      </c>
      <c r="GD8">
        <v>2025</v>
      </c>
      <c r="GE8" t="s">
        <v>4233</v>
      </c>
      <c r="GF8" s="6">
        <v>46077</v>
      </c>
      <c r="GG8">
        <v>5</v>
      </c>
      <c r="GH8">
        <v>93068784</v>
      </c>
      <c r="GI8">
        <v>102417</v>
      </c>
      <c r="GJ8" t="s">
        <v>3434</v>
      </c>
      <c r="GM8" t="s">
        <v>887</v>
      </c>
      <c r="GN8">
        <v>2.5439250000000002</v>
      </c>
      <c r="GO8" t="s">
        <v>1906</v>
      </c>
      <c r="GP8">
        <v>5.2326030000000001</v>
      </c>
      <c r="GQ8" t="s">
        <v>1773</v>
      </c>
      <c r="GR8">
        <v>2025</v>
      </c>
      <c r="GS8" t="s">
        <v>3140</v>
      </c>
      <c r="GT8" s="6">
        <v>45931</v>
      </c>
      <c r="GU8">
        <v>5</v>
      </c>
      <c r="GV8">
        <v>185757408</v>
      </c>
      <c r="GW8">
        <v>101729</v>
      </c>
      <c r="GX8" t="s">
        <v>2656</v>
      </c>
    </row>
    <row r="9" spans="1:600" x14ac:dyDescent="0.25">
      <c r="DQ9" t="s">
        <v>2079</v>
      </c>
      <c r="DS9">
        <v>-2.4245362661989844E-14</v>
      </c>
      <c r="DT9">
        <v>-2.4245362661989844E-14</v>
      </c>
      <c r="DU9" t="s">
        <v>1789</v>
      </c>
      <c r="DV9">
        <v>2021</v>
      </c>
      <c r="DW9" t="s">
        <v>2080</v>
      </c>
      <c r="DX9" s="6">
        <v>44693</v>
      </c>
      <c r="DY9">
        <v>5</v>
      </c>
      <c r="DZ9">
        <v>-2.4245362661989844E-14</v>
      </c>
      <c r="EA9">
        <v>101170</v>
      </c>
      <c r="EB9" t="s">
        <v>2081</v>
      </c>
      <c r="EE9" t="s">
        <v>3422</v>
      </c>
      <c r="EF9">
        <v>-2.4245362661989844E-14</v>
      </c>
      <c r="EH9">
        <v>-2.4245362661989844E-14</v>
      </c>
      <c r="EI9" t="s">
        <v>1789</v>
      </c>
      <c r="EJ9">
        <v>2023</v>
      </c>
      <c r="EK9" t="s">
        <v>3421</v>
      </c>
      <c r="EL9" s="6">
        <v>45359</v>
      </c>
      <c r="EM9">
        <v>5</v>
      </c>
      <c r="EN9">
        <v>-2.4245362661989844E-14</v>
      </c>
      <c r="EO9">
        <v>833705</v>
      </c>
      <c r="EP9" t="s">
        <v>3423</v>
      </c>
      <c r="FI9" t="s">
        <v>3212</v>
      </c>
      <c r="FJ9">
        <v>-2.4245362661989844E-14</v>
      </c>
      <c r="FL9">
        <v>-2.4245362661989844E-14</v>
      </c>
      <c r="FM9" t="s">
        <v>1773</v>
      </c>
      <c r="FN9">
        <v>2024</v>
      </c>
      <c r="FO9" t="s">
        <v>3213</v>
      </c>
      <c r="FP9" s="6">
        <v>45617</v>
      </c>
      <c r="FQ9">
        <v>5</v>
      </c>
      <c r="FR9">
        <v>-2.4245362661989844E-14</v>
      </c>
      <c r="FS9">
        <v>70497143</v>
      </c>
      <c r="FT9" t="s">
        <v>3214</v>
      </c>
      <c r="FY9" t="s">
        <v>4234</v>
      </c>
      <c r="FZ9" t="s">
        <v>1777</v>
      </c>
      <c r="GA9">
        <v>39.222942000000003</v>
      </c>
      <c r="GB9">
        <v>2.5692750000000002</v>
      </c>
      <c r="GC9" t="s">
        <v>1789</v>
      </c>
      <c r="GD9">
        <v>2025</v>
      </c>
      <c r="GE9" t="s">
        <v>4235</v>
      </c>
      <c r="GF9" s="6">
        <v>46073</v>
      </c>
      <c r="GG9">
        <v>5</v>
      </c>
      <c r="GH9">
        <v>92924250</v>
      </c>
      <c r="GI9">
        <v>51018342</v>
      </c>
      <c r="GJ9" t="s">
        <v>4236</v>
      </c>
      <c r="GM9" t="s">
        <v>3142</v>
      </c>
      <c r="GN9">
        <v>1.4184159999999999</v>
      </c>
      <c r="GO9" t="s">
        <v>1906</v>
      </c>
      <c r="GP9">
        <v>3.3443610000000001</v>
      </c>
      <c r="GQ9" t="s">
        <v>1773</v>
      </c>
      <c r="GR9">
        <v>2025</v>
      </c>
      <c r="GS9" t="s">
        <v>3140</v>
      </c>
      <c r="GT9" s="6">
        <v>45931</v>
      </c>
      <c r="GU9">
        <v>5</v>
      </c>
      <c r="GV9">
        <v>103572736</v>
      </c>
      <c r="GW9">
        <v>193974</v>
      </c>
      <c r="GX9" t="s">
        <v>3143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1632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1633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1634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1635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1636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1637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1638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1639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1640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1641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1642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1643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1644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1645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1646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1647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1648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1649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1650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1651</v>
      </c>
      <c r="AE2" s="3" t="s">
        <v>1652</v>
      </c>
      <c r="BI2" s="3" t="s">
        <v>1653</v>
      </c>
      <c r="CM2" s="3" t="s">
        <v>846</v>
      </c>
      <c r="DQ2" s="3" t="s">
        <v>1654</v>
      </c>
      <c r="EU2" s="3" t="s">
        <v>1655</v>
      </c>
      <c r="FY2" s="3" t="s">
        <v>388</v>
      </c>
      <c r="HC2" s="3" t="s">
        <v>1656</v>
      </c>
      <c r="IG2" s="3" t="s">
        <v>278</v>
      </c>
      <c r="JK2" s="3" t="s">
        <v>1657</v>
      </c>
      <c r="KO2" s="3" t="s">
        <v>1658</v>
      </c>
      <c r="LS2" s="3" t="s">
        <v>433</v>
      </c>
      <c r="MW2" s="3" t="s">
        <v>1659</v>
      </c>
      <c r="OA2" s="3" t="s">
        <v>1553</v>
      </c>
      <c r="PE2" s="3" t="s">
        <v>1660</v>
      </c>
      <c r="QI2" s="3" t="s">
        <v>1661</v>
      </c>
      <c r="RM2" s="3" t="s">
        <v>1662</v>
      </c>
      <c r="SQ2" s="3" t="s">
        <v>1492</v>
      </c>
      <c r="TU2" s="3" t="s">
        <v>1663</v>
      </c>
      <c r="UY2" s="3" t="s">
        <v>1524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_xll.BDS("TQNT US Equity","SUPPLY_CHAIN_SUPPLIERS_ALL_DATA")</f>
        <v>#N/A N/A</v>
      </c>
      <c r="O5" t="str">
        <f>_xll.BDS("TQNT US Equity","SUPPLY_CHAIN_CUSTOMERS_ALL_DATA")</f>
        <v>#N/A N/A</v>
      </c>
      <c r="AE5" t="str">
        <f>_xll.BDS("IPAS US Equity","SUPPLY_CHAIN_SUPPLIERS_ALL_DATA")</f>
        <v>#N/A N/A</v>
      </c>
      <c r="AS5" t="str">
        <f>_xll.BDS("IPAS US Equity","SUPPLY_CHAIN_CUSTOMERS_ALL_DATA")</f>
        <v>#N/A N/A</v>
      </c>
      <c r="BI5" t="str">
        <f>_xll.BDS("CTS US Equity","SUPPLY_CHAIN_SUPPLIERS_ALL_DATA","cols=12;rows=5")</f>
        <v>MELE BB Equity</v>
      </c>
      <c r="BJ5" t="s">
        <v>1777</v>
      </c>
      <c r="BK5">
        <v>4.8085999999999997E-2</v>
      </c>
      <c r="BL5">
        <v>0.138042</v>
      </c>
      <c r="BM5" t="s">
        <v>1773</v>
      </c>
      <c r="BN5">
        <v>2025</v>
      </c>
      <c r="BO5" t="s">
        <v>2922</v>
      </c>
      <c r="BP5" s="6">
        <v>45968</v>
      </c>
      <c r="BQ5">
        <v>5</v>
      </c>
      <c r="BR5">
        <v>120987.33</v>
      </c>
      <c r="BS5">
        <v>307033</v>
      </c>
      <c r="BT5" t="s">
        <v>2923</v>
      </c>
      <c r="BW5" t="str">
        <f>_xll.BDS("CTS US Equity","SUPPLY_CHAIN_CUSTOMERS_ALL_DATA","cols=12;rows=5")</f>
        <v>7203 JP Equity</v>
      </c>
      <c r="BX5">
        <v>11.2</v>
      </c>
      <c r="BY5" t="s">
        <v>1777</v>
      </c>
      <c r="BZ5">
        <v>2.1808999999999999E-2</v>
      </c>
      <c r="CA5" t="s">
        <v>1789</v>
      </c>
      <c r="CB5">
        <v>2025</v>
      </c>
      <c r="CC5" t="s">
        <v>3032</v>
      </c>
      <c r="CD5" s="6">
        <v>46077</v>
      </c>
      <c r="CE5">
        <v>5</v>
      </c>
      <c r="CF5">
        <v>15156904</v>
      </c>
      <c r="CG5">
        <v>115114</v>
      </c>
      <c r="CH5" t="s">
        <v>3033</v>
      </c>
      <c r="CM5" t="str">
        <f>_xll.BDS("1255173D US Equity","SUPPLY_CHAIN_SUPPLIERS_ALL_DATA")</f>
        <v>#N/A N/A</v>
      </c>
      <c r="DA5" t="str">
        <f>_xll.BDS("1255173D US Equity","SUPPLY_CHAIN_CUSTOMERS_ALL_DATA")</f>
        <v>#N/A N/A</v>
      </c>
      <c r="DQ5" t="str">
        <f>_xll.BDS("RGS US Equity","SUPPLY_CHAIN_SUPPLIERS_ALL_DATA","cols=12;rows=5")</f>
        <v>OR FP Equity</v>
      </c>
      <c r="DR5" t="s">
        <v>1777</v>
      </c>
      <c r="DS5">
        <v>5.0930000000000003E-3</v>
      </c>
      <c r="DT5">
        <v>1.221649</v>
      </c>
      <c r="DU5" t="s">
        <v>1773</v>
      </c>
      <c r="DV5">
        <v>2025</v>
      </c>
      <c r="DW5" t="s">
        <v>2569</v>
      </c>
      <c r="DX5" s="6">
        <v>45981</v>
      </c>
      <c r="DY5">
        <v>5</v>
      </c>
      <c r="DZ5">
        <v>668829.48</v>
      </c>
      <c r="EA5">
        <v>115414</v>
      </c>
      <c r="EB5" t="s">
        <v>2482</v>
      </c>
      <c r="EE5" t="str">
        <f>_xll.BDS("RGS US Equity","SUPPLY_CHAIN_CUSTOMERS_ALL_DATA","cols=12;rows=5")</f>
        <v>1432638D US Equity</v>
      </c>
      <c r="EF5">
        <v>-2.4245362661989844E-14</v>
      </c>
      <c r="EH5">
        <v>-2.4245362661989844E-14</v>
      </c>
      <c r="EI5" t="s">
        <v>1789</v>
      </c>
      <c r="EJ5">
        <v>2025</v>
      </c>
      <c r="EK5" t="s">
        <v>2476</v>
      </c>
      <c r="EL5" s="6">
        <v>45903</v>
      </c>
      <c r="EM5">
        <v>5</v>
      </c>
      <c r="EN5">
        <v>-2.4245362661989844E-14</v>
      </c>
      <c r="EO5">
        <v>50763674</v>
      </c>
      <c r="EP5" t="s">
        <v>2477</v>
      </c>
      <c r="EU5" t="str">
        <f>_xll.BDS("UMPQ US Equity","SUPPLY_CHAIN_SUPPLIERS_ALL_DATA")</f>
        <v>#N/A N/A</v>
      </c>
      <c r="FI5" t="str">
        <f>_xll.BDS("UMPQ US Equity","SUPPLY_CHAIN_CUSTOMERS_ALL_DATA")</f>
        <v>#N/A N/A</v>
      </c>
      <c r="FY5" t="str">
        <f>_xll.BDS("TCF US Equity","SUPPLY_CHAIN_SUPPLIERS_ALL_DATA")</f>
        <v>#N/A N/A</v>
      </c>
      <c r="GM5" t="str">
        <f>_xll.BDS("TCF US Equity","SUPPLY_CHAIN_CUSTOMERS_ALL_DATA")</f>
        <v>#N/A N/A</v>
      </c>
      <c r="HC5" t="str">
        <f>_xll.BDS("FTAR US Equity","SUPPLY_CHAIN_SUPPLIERS_ALL_DATA")</f>
        <v>#N/A N/A</v>
      </c>
      <c r="HQ5" t="str">
        <f>_xll.BDS("FTAR US Equity","SUPPLY_CHAIN_CUSTOMERS_ALL_DATA")</f>
        <v>#N/A N/A</v>
      </c>
      <c r="IG5" t="str">
        <f>_xll.BDS("MDT US Equity","SUPPLY_CHAIN_SUPPLIERS_ALL_DATA","cols=12;rows=5")</f>
        <v>FLEX US Equity</v>
      </c>
      <c r="IH5" t="s">
        <v>1777</v>
      </c>
      <c r="II5">
        <v>1.2190190000000001</v>
      </c>
      <c r="IJ5">
        <v>2.8758149999999998</v>
      </c>
      <c r="IK5" t="s">
        <v>1773</v>
      </c>
      <c r="IL5">
        <v>2025</v>
      </c>
      <c r="IM5" t="s">
        <v>2136</v>
      </c>
      <c r="IN5" s="6">
        <v>45763</v>
      </c>
      <c r="IO5">
        <v>5</v>
      </c>
      <c r="IP5">
        <v>79918888</v>
      </c>
      <c r="IQ5">
        <v>136547</v>
      </c>
      <c r="IR5" t="s">
        <v>2137</v>
      </c>
      <c r="IU5" t="str">
        <f>_xll.BDS("MDT US Equity","SUPPLY_CHAIN_CUSTOMERS_ALL_DATA","cols=12;rows=5")</f>
        <v>4104 TT Equity</v>
      </c>
      <c r="IV5">
        <v>0.20070099999999999</v>
      </c>
      <c r="IW5" t="s">
        <v>1777</v>
      </c>
      <c r="IX5">
        <v>32.397697000000001</v>
      </c>
      <c r="IY5" t="s">
        <v>1789</v>
      </c>
      <c r="IZ5">
        <v>2024</v>
      </c>
      <c r="JA5" t="s">
        <v>3344</v>
      </c>
      <c r="JB5" s="6">
        <v>45814</v>
      </c>
      <c r="JC5">
        <v>5</v>
      </c>
      <c r="JD5">
        <v>17028014.890000001</v>
      </c>
      <c r="JE5">
        <v>7324380</v>
      </c>
      <c r="JF5" t="s">
        <v>3345</v>
      </c>
      <c r="JK5" t="str">
        <f>_xll.BDS("KFRC US Equity","SUPPLY_CHAIN_SUPPLIERS_ALL_DATA","cols=12;rows=1")</f>
        <v>DHX US Equity</v>
      </c>
      <c r="JM5">
        <v>-2.4245362661989844E-14</v>
      </c>
      <c r="JN5">
        <v>-2.4245362661989844E-14</v>
      </c>
      <c r="JO5" t="s">
        <v>1789</v>
      </c>
      <c r="JP5">
        <v>2025</v>
      </c>
      <c r="JQ5" t="s">
        <v>3329</v>
      </c>
      <c r="JR5" s="6">
        <v>46065</v>
      </c>
      <c r="JS5">
        <v>1</v>
      </c>
      <c r="JT5">
        <v>-2.4245362661989844E-14</v>
      </c>
      <c r="JU5">
        <v>11213545</v>
      </c>
      <c r="JV5" t="s">
        <v>3330</v>
      </c>
      <c r="JY5" t="str">
        <f>_xll.BDS("KFRC US Equity","SUPPLY_CHAIN_CUSTOMERS_ALL_DATA","cols=12;rows=3")</f>
        <v>079960 KS Equity</v>
      </c>
      <c r="JZ5">
        <v>-2.4245362661989844E-14</v>
      </c>
      <c r="KB5">
        <v>-2.4245362661989844E-14</v>
      </c>
      <c r="KC5" t="s">
        <v>1996</v>
      </c>
      <c r="KD5">
        <v>2022</v>
      </c>
      <c r="KE5" t="s">
        <v>3175</v>
      </c>
      <c r="KF5" s="6">
        <v>44785</v>
      </c>
      <c r="KG5">
        <v>3</v>
      </c>
      <c r="KH5">
        <v>-2.4245362661989844E-14</v>
      </c>
      <c r="KI5">
        <v>9330627</v>
      </c>
      <c r="KJ5" t="s">
        <v>3176</v>
      </c>
      <c r="KO5" t="str">
        <f>_xll.BDS("CBFV US Equity","SUPPLY_CHAIN_SUPPLIERS_ALL_DATA","cols=12;rows=1")</f>
        <v>MLNK US Equity</v>
      </c>
      <c r="KQ5">
        <v>-2.4245362661989844E-14</v>
      </c>
      <c r="KR5">
        <v>-2.4245362661989844E-14</v>
      </c>
      <c r="KS5" t="s">
        <v>1781</v>
      </c>
      <c r="KT5">
        <v>2023</v>
      </c>
      <c r="KU5" t="s">
        <v>3531</v>
      </c>
      <c r="KV5" s="6">
        <v>45048</v>
      </c>
      <c r="KW5">
        <v>1</v>
      </c>
      <c r="KX5">
        <v>-2.4245362661989844E-14</v>
      </c>
      <c r="KY5">
        <v>19523261</v>
      </c>
      <c r="KZ5" t="s">
        <v>3532</v>
      </c>
      <c r="LC5" t="str">
        <f>_xll.BDS("CBFV US Equity","SUPPLY_CHAIN_CUSTOMERS_ALL_DATA")</f>
        <v>#N/A N/A</v>
      </c>
      <c r="LS5" t="str">
        <f>_xll.BDS("355488Q US Equity","SUPPLY_CHAIN_SUPPLIERS_ALL_DATA")</f>
        <v>#N/A N/A</v>
      </c>
      <c r="MG5" t="str">
        <f>_xll.BDS("355488Q US Equity","SUPPLY_CHAIN_CUSTOMERS_ALL_DATA")</f>
        <v>#N/A N/A</v>
      </c>
      <c r="MW5" t="str">
        <f>_xll.BDS("9990822D US Equity","SUPPLY_CHAIN_SUPPLIERS_ALL_DATA","cols=12;rows=1")</f>
        <v>AMZN US Equity</v>
      </c>
      <c r="MY5">
        <v>-2.4245362661989844E-14</v>
      </c>
      <c r="MZ5">
        <v>-2.4245362661989844E-14</v>
      </c>
      <c r="NA5" t="s">
        <v>1789</v>
      </c>
      <c r="NB5">
        <v>2025</v>
      </c>
      <c r="NC5" t="s">
        <v>2593</v>
      </c>
      <c r="ND5" s="6">
        <v>45993</v>
      </c>
      <c r="NE5">
        <v>1</v>
      </c>
      <c r="NF5">
        <v>-2.4245362661989844E-14</v>
      </c>
      <c r="NG5">
        <v>216952</v>
      </c>
      <c r="NH5" t="s">
        <v>1815</v>
      </c>
      <c r="NK5" t="str">
        <f>_xll.BDS("9990822D US Equity","SUPPLY_CHAIN_CUSTOMERS_ALL_DATA","cols=12;rows=3")</f>
        <v>0759608D US Equity</v>
      </c>
      <c r="NL5">
        <v>-2.4245362661989844E-14</v>
      </c>
      <c r="NN5">
        <v>-2.4245362661989844E-14</v>
      </c>
      <c r="NO5" t="s">
        <v>1789</v>
      </c>
      <c r="NP5">
        <v>2023</v>
      </c>
      <c r="NQ5" t="s">
        <v>2496</v>
      </c>
      <c r="NR5" s="6">
        <v>44972</v>
      </c>
      <c r="NS5">
        <v>3</v>
      </c>
      <c r="NT5">
        <v>-2.4245362661989844E-14</v>
      </c>
      <c r="NU5">
        <v>22120244</v>
      </c>
      <c r="NV5" t="s">
        <v>2497</v>
      </c>
      <c r="OA5" t="str">
        <f>_xll.BDS("PACW US Equity","SUPPLY_CHAIN_SUPPLIERS_ALL_DATA")</f>
        <v>#N/A N/A</v>
      </c>
      <c r="OO5" t="str">
        <f>_xll.BDS("PACW US Equity","SUPPLY_CHAIN_CUSTOMERS_ALL_DATA","cols=12;rows=1")</f>
        <v>SNX US Equity</v>
      </c>
      <c r="OP5">
        <v>-2.4245362661989844E-14</v>
      </c>
      <c r="OR5">
        <v>-2.4245362661989844E-14</v>
      </c>
      <c r="OS5" t="s">
        <v>1789</v>
      </c>
      <c r="OT5">
        <v>2021</v>
      </c>
      <c r="OU5" t="s">
        <v>2281</v>
      </c>
      <c r="OV5" s="6">
        <v>44656</v>
      </c>
      <c r="OW5">
        <v>1</v>
      </c>
      <c r="OX5">
        <v>-2.4245362661989844E-14</v>
      </c>
      <c r="OY5">
        <v>1499717</v>
      </c>
      <c r="OZ5" t="s">
        <v>1904</v>
      </c>
      <c r="PE5" t="str">
        <f>_xll.BDS("FNBCQ US Equity","SUPPLY_CHAIN_SUPPLIERS_ALL_DATA")</f>
        <v>#N/A N/A</v>
      </c>
      <c r="PS5" t="str">
        <f>_xll.BDS("FNBCQ US Equity","SUPPLY_CHAIN_CUSTOMERS_ALL_DATA")</f>
        <v>#N/A N/A</v>
      </c>
      <c r="QI5" t="str">
        <f>_xll.BDS("SCZC US Equity","SUPPLY_CHAIN_SUPPLIERS_ALL_DATA")</f>
        <v>#N/A N/A</v>
      </c>
      <c r="QW5" t="str">
        <f>_xll.BDS("SCZC US Equity","SUPPLY_CHAIN_CUSTOMERS_ALL_DATA")</f>
        <v>#N/A N/A</v>
      </c>
      <c r="RM5" t="str">
        <f>_xll.BDS("KTOS US Equity","SUPPLY_CHAIN_SUPPLIERS_ALL_DATA","cols=12;rows=5")</f>
        <v>EMKR US Equity</v>
      </c>
      <c r="RN5" t="s">
        <v>1777</v>
      </c>
      <c r="RO5">
        <v>9.3566800000000008</v>
      </c>
      <c r="RP5">
        <v>0.78878000000000004</v>
      </c>
      <c r="RQ5" t="s">
        <v>1781</v>
      </c>
      <c r="RR5">
        <v>2025</v>
      </c>
      <c r="RS5" t="s">
        <v>1984</v>
      </c>
      <c r="RT5" s="6">
        <v>45811</v>
      </c>
      <c r="RU5">
        <v>5</v>
      </c>
      <c r="RV5">
        <v>1806307</v>
      </c>
      <c r="RW5">
        <v>214506</v>
      </c>
      <c r="RX5" t="s">
        <v>1985</v>
      </c>
      <c r="SA5" t="str">
        <f>_xll.BDS("KTOS US Equity","SUPPLY_CHAIN_CUSTOMERS_ALL_DATA","cols=12;rows=5")</f>
        <v>3352Z US Equity</v>
      </c>
      <c r="SB5">
        <v>68</v>
      </c>
      <c r="SD5">
        <v>-2.4245362661989844E-14</v>
      </c>
      <c r="SE5" t="s">
        <v>1789</v>
      </c>
      <c r="SF5">
        <v>2025</v>
      </c>
      <c r="SG5" t="s">
        <v>1818</v>
      </c>
      <c r="SH5" s="6">
        <v>46076</v>
      </c>
      <c r="SI5">
        <v>5</v>
      </c>
      <c r="SJ5">
        <v>229275000</v>
      </c>
      <c r="SK5">
        <v>218252</v>
      </c>
      <c r="SL5" t="s">
        <v>1798</v>
      </c>
      <c r="SQ5" t="str">
        <f>_xll.BDS("PFC US Equity","SUPPLY_CHAIN_SUPPLIERS_ALL_DATA")</f>
        <v>#N/A N/A</v>
      </c>
      <c r="TE5" t="str">
        <f>_xll.BDS("PFC US Equity","SUPPLY_CHAIN_CUSTOMERS_ALL_DATA")</f>
        <v>#N/A N/A</v>
      </c>
      <c r="TU5" t="str">
        <f>_xll.BDS("HTB US Equity","SUPPLY_CHAIN_SUPPLIERS_ALL_DATA")</f>
        <v>#N/A N/A</v>
      </c>
      <c r="UI5" t="str">
        <f>_xll.BDS("HTB US Equity","SUPPLY_CHAIN_CUSTOMERS_ALL_DATA")</f>
        <v>#N/A N/A</v>
      </c>
      <c r="UY5" t="str">
        <f>_xll.BDS("COLB US Equity","SUPPLY_CHAIN_SUPPLIERS_ALL_DATA","cols=12;rows=1")</f>
        <v>INVE US Equity</v>
      </c>
      <c r="VA5">
        <v>-2.4245362661989844E-14</v>
      </c>
      <c r="VB5">
        <v>-2.4245362661989844E-14</v>
      </c>
      <c r="VC5" t="s">
        <v>1773</v>
      </c>
      <c r="VD5">
        <v>2022</v>
      </c>
      <c r="VE5" t="s">
        <v>3424</v>
      </c>
      <c r="VF5" s="6">
        <v>44882</v>
      </c>
      <c r="VG5">
        <v>1</v>
      </c>
      <c r="VH5">
        <v>-2.4245362661989844E-14</v>
      </c>
      <c r="VI5">
        <v>225752</v>
      </c>
      <c r="VJ5" t="s">
        <v>3425</v>
      </c>
      <c r="VM5" t="str">
        <f>_xll.BDS("COLB US Equity","SUPPLY_CHAIN_CUSTOMERS_ALL_DATA")</f>
        <v>#N/A N/A</v>
      </c>
    </row>
    <row r="6" spans="1:600" x14ac:dyDescent="0.25">
      <c r="BI6" t="s">
        <v>4015</v>
      </c>
      <c r="BK6">
        <v>-2.4245362661989844E-14</v>
      </c>
      <c r="BL6">
        <v>-2.4245362661989844E-14</v>
      </c>
      <c r="BM6" t="s">
        <v>1996</v>
      </c>
      <c r="BN6">
        <v>2024</v>
      </c>
      <c r="BO6" t="s">
        <v>4016</v>
      </c>
      <c r="BP6" s="6">
        <v>45547</v>
      </c>
      <c r="BQ6">
        <v>5</v>
      </c>
      <c r="BR6">
        <v>-2.4245362661989844E-14</v>
      </c>
      <c r="BS6">
        <v>37768477</v>
      </c>
      <c r="BT6" t="s">
        <v>4017</v>
      </c>
      <c r="BW6" t="s">
        <v>3034</v>
      </c>
      <c r="BX6">
        <v>8.4</v>
      </c>
      <c r="BY6" t="s">
        <v>1777</v>
      </c>
      <c r="BZ6">
        <v>0.18076900000000001</v>
      </c>
      <c r="CA6" t="s">
        <v>1789</v>
      </c>
      <c r="CB6">
        <v>2025</v>
      </c>
      <c r="CC6" t="s">
        <v>3032</v>
      </c>
      <c r="CD6" s="6">
        <v>46077</v>
      </c>
      <c r="CE6">
        <v>5</v>
      </c>
      <c r="CF6">
        <v>11367678</v>
      </c>
      <c r="CG6">
        <v>100419</v>
      </c>
      <c r="CH6" t="s">
        <v>3035</v>
      </c>
      <c r="DQ6" t="s">
        <v>2478</v>
      </c>
      <c r="DS6">
        <v>-2.4245362661989844E-14</v>
      </c>
      <c r="DT6">
        <v>-2.4245362661989844E-14</v>
      </c>
      <c r="DU6" t="s">
        <v>1789</v>
      </c>
      <c r="DV6">
        <v>2024</v>
      </c>
      <c r="DW6" t="s">
        <v>2570</v>
      </c>
      <c r="DX6" s="6">
        <v>45532</v>
      </c>
      <c r="DY6">
        <v>5</v>
      </c>
      <c r="DZ6">
        <v>-2.4245362661989844E-14</v>
      </c>
      <c r="EA6">
        <v>13993979</v>
      </c>
      <c r="EB6" t="s">
        <v>2479</v>
      </c>
      <c r="EE6" t="s">
        <v>2478</v>
      </c>
      <c r="EF6">
        <v>-2.4245362661989844E-14</v>
      </c>
      <c r="EH6">
        <v>-2.4245362661989844E-14</v>
      </c>
      <c r="EI6" t="s">
        <v>1789</v>
      </c>
      <c r="EJ6">
        <v>2025</v>
      </c>
      <c r="EK6" t="s">
        <v>2476</v>
      </c>
      <c r="EL6" s="6">
        <v>45903</v>
      </c>
      <c r="EM6">
        <v>5</v>
      </c>
      <c r="EN6">
        <v>-2.4245362661989844E-14</v>
      </c>
      <c r="EO6">
        <v>13993979</v>
      </c>
      <c r="EP6" t="s">
        <v>2479</v>
      </c>
      <c r="IG6" t="s">
        <v>3572</v>
      </c>
      <c r="IH6" t="s">
        <v>1777</v>
      </c>
      <c r="II6">
        <v>2.3008839999999999</v>
      </c>
      <c r="IJ6">
        <v>1.9882420000000001</v>
      </c>
      <c r="IK6" t="s">
        <v>1785</v>
      </c>
      <c r="IL6">
        <v>2024</v>
      </c>
      <c r="IM6" t="s">
        <v>3573</v>
      </c>
      <c r="IN6" s="6">
        <v>45694</v>
      </c>
      <c r="IO6">
        <v>5</v>
      </c>
      <c r="IP6">
        <v>58573604</v>
      </c>
      <c r="IQ6">
        <v>349266</v>
      </c>
      <c r="IR6" t="s">
        <v>3574</v>
      </c>
      <c r="IU6" t="s">
        <v>3346</v>
      </c>
      <c r="IV6">
        <v>-2.4245362661989844E-14</v>
      </c>
      <c r="IX6">
        <v>-2.4245362661989844E-14</v>
      </c>
      <c r="IY6" t="s">
        <v>1789</v>
      </c>
      <c r="IZ6">
        <v>2021</v>
      </c>
      <c r="JA6" t="s">
        <v>3347</v>
      </c>
      <c r="JB6" s="6">
        <v>44676</v>
      </c>
      <c r="JC6">
        <v>5</v>
      </c>
      <c r="JD6">
        <v>-2.4245362661989844E-14</v>
      </c>
      <c r="JE6">
        <v>24598477</v>
      </c>
      <c r="JF6" t="s">
        <v>3348</v>
      </c>
      <c r="JY6" t="s">
        <v>1797</v>
      </c>
      <c r="JZ6">
        <v>-2.4245362661989844E-14</v>
      </c>
      <c r="KB6">
        <v>-2.4245362661989844E-14</v>
      </c>
      <c r="KC6" t="s">
        <v>1789</v>
      </c>
      <c r="KD6">
        <v>2025</v>
      </c>
      <c r="KE6" t="s">
        <v>3177</v>
      </c>
      <c r="KF6" s="6">
        <v>46073</v>
      </c>
      <c r="KG6">
        <v>3</v>
      </c>
      <c r="KH6">
        <v>-2.4245362661989844E-14</v>
      </c>
      <c r="KI6">
        <v>218252</v>
      </c>
      <c r="KJ6" t="s">
        <v>1798</v>
      </c>
      <c r="NK6" t="s">
        <v>198</v>
      </c>
      <c r="NL6">
        <v>-2.4245362661989844E-14</v>
      </c>
      <c r="NN6">
        <v>-2.4245362661989844E-14</v>
      </c>
      <c r="NO6" t="s">
        <v>1789</v>
      </c>
      <c r="NP6">
        <v>2023</v>
      </c>
      <c r="NQ6" t="s">
        <v>2496</v>
      </c>
      <c r="NR6" s="6">
        <v>44943</v>
      </c>
      <c r="NS6">
        <v>3</v>
      </c>
      <c r="NT6">
        <v>-2.4245362661989844E-14</v>
      </c>
      <c r="NU6">
        <v>46946968</v>
      </c>
      <c r="NV6" t="s">
        <v>1771</v>
      </c>
      <c r="RM6" t="s">
        <v>1986</v>
      </c>
      <c r="RN6" t="s">
        <v>1777</v>
      </c>
      <c r="RO6">
        <v>4.64039</v>
      </c>
      <c r="RP6">
        <v>0.28101399999999999</v>
      </c>
      <c r="RQ6" t="s">
        <v>1768</v>
      </c>
      <c r="RR6">
        <v>2025</v>
      </c>
      <c r="RS6" t="s">
        <v>1987</v>
      </c>
      <c r="RT6" s="6">
        <v>45967</v>
      </c>
      <c r="RU6">
        <v>5</v>
      </c>
      <c r="RV6">
        <v>760142</v>
      </c>
      <c r="RW6">
        <v>101147</v>
      </c>
      <c r="RX6" t="s">
        <v>1988</v>
      </c>
      <c r="SA6" t="s">
        <v>210</v>
      </c>
      <c r="SB6">
        <v>3.3295330000000001</v>
      </c>
      <c r="SC6" t="s">
        <v>1777</v>
      </c>
      <c r="SD6">
        <v>0.14169699999999999</v>
      </c>
      <c r="SE6" t="s">
        <v>1773</v>
      </c>
      <c r="SF6">
        <v>2025</v>
      </c>
      <c r="SG6" t="s">
        <v>1819</v>
      </c>
      <c r="SH6" s="6">
        <v>45986</v>
      </c>
      <c r="SI6">
        <v>5</v>
      </c>
      <c r="SJ6">
        <v>11573457</v>
      </c>
      <c r="SK6">
        <v>101090</v>
      </c>
      <c r="SL6" t="s">
        <v>1820</v>
      </c>
    </row>
    <row r="7" spans="1:600" x14ac:dyDescent="0.25">
      <c r="BI7" t="s">
        <v>4018</v>
      </c>
      <c r="BK7">
        <v>-2.4245362661989844E-14</v>
      </c>
      <c r="BL7">
        <v>-2.4245362661989844E-14</v>
      </c>
      <c r="BM7" t="s">
        <v>1789</v>
      </c>
      <c r="BN7">
        <v>2021</v>
      </c>
      <c r="BO7" t="s">
        <v>4019</v>
      </c>
      <c r="BP7" s="6">
        <v>44686</v>
      </c>
      <c r="BQ7">
        <v>5</v>
      </c>
      <c r="BR7">
        <v>-2.4245362661989844E-14</v>
      </c>
      <c r="BS7">
        <v>9752530</v>
      </c>
      <c r="BT7" t="s">
        <v>4020</v>
      </c>
      <c r="BW7" t="s">
        <v>3036</v>
      </c>
      <c r="BX7">
        <v>3.652952</v>
      </c>
      <c r="BY7" t="s">
        <v>1777</v>
      </c>
      <c r="BZ7">
        <v>9.9357000000000001E-2</v>
      </c>
      <c r="CA7" t="s">
        <v>1781</v>
      </c>
      <c r="CB7">
        <v>2025</v>
      </c>
      <c r="CC7" t="s">
        <v>3037</v>
      </c>
      <c r="CD7" s="6">
        <v>45787</v>
      </c>
      <c r="CE7">
        <v>5</v>
      </c>
      <c r="CF7">
        <v>4594281</v>
      </c>
      <c r="CG7">
        <v>825197</v>
      </c>
      <c r="CH7" t="s">
        <v>3038</v>
      </c>
      <c r="DQ7" t="s">
        <v>816</v>
      </c>
      <c r="DS7">
        <v>-2.4245362661989844E-14</v>
      </c>
      <c r="DT7">
        <v>-2.4245362661989844E-14</v>
      </c>
      <c r="DU7" t="s">
        <v>1789</v>
      </c>
      <c r="DV7">
        <v>2021</v>
      </c>
      <c r="DW7" t="s">
        <v>2069</v>
      </c>
      <c r="DX7" s="6">
        <v>44693</v>
      </c>
      <c r="DY7">
        <v>5</v>
      </c>
      <c r="DZ7">
        <v>-2.4245362661989844E-14</v>
      </c>
      <c r="EA7">
        <v>100193</v>
      </c>
      <c r="EB7" t="s">
        <v>2070</v>
      </c>
      <c r="EE7" t="s">
        <v>1814</v>
      </c>
      <c r="EF7">
        <v>-2.4245362661989844E-14</v>
      </c>
      <c r="EH7">
        <v>-2.4245362661989844E-14</v>
      </c>
      <c r="EI7" t="s">
        <v>1789</v>
      </c>
      <c r="EJ7">
        <v>2023</v>
      </c>
      <c r="EK7" t="s">
        <v>2480</v>
      </c>
      <c r="EL7" s="6">
        <v>45161</v>
      </c>
      <c r="EM7">
        <v>5</v>
      </c>
      <c r="EN7">
        <v>-2.4245362661989844E-14</v>
      </c>
      <c r="EO7">
        <v>216952</v>
      </c>
      <c r="EP7" t="s">
        <v>1815</v>
      </c>
      <c r="IG7" t="s">
        <v>2423</v>
      </c>
      <c r="IH7" t="s">
        <v>1777</v>
      </c>
      <c r="II7">
        <v>0.23526900000000001</v>
      </c>
      <c r="IJ7">
        <v>0.58521900000000004</v>
      </c>
      <c r="IK7" t="s">
        <v>1773</v>
      </c>
      <c r="IL7">
        <v>2025</v>
      </c>
      <c r="IM7" t="s">
        <v>2424</v>
      </c>
      <c r="IN7" s="6">
        <v>45867</v>
      </c>
      <c r="IO7">
        <v>5</v>
      </c>
      <c r="IP7">
        <v>18416856</v>
      </c>
      <c r="IQ7">
        <v>117092</v>
      </c>
      <c r="IR7" t="s">
        <v>2425</v>
      </c>
      <c r="IU7" t="s">
        <v>3349</v>
      </c>
      <c r="IV7">
        <v>-2.4245362661989844E-14</v>
      </c>
      <c r="IX7">
        <v>-2.4245362661989844E-14</v>
      </c>
      <c r="IY7" t="s">
        <v>1789</v>
      </c>
      <c r="IZ7">
        <v>2023</v>
      </c>
      <c r="JA7" t="s">
        <v>3350</v>
      </c>
      <c r="JB7" s="6">
        <v>45135</v>
      </c>
      <c r="JC7">
        <v>5</v>
      </c>
      <c r="JD7">
        <v>-2.4245362661989844E-14</v>
      </c>
      <c r="JE7">
        <v>103017</v>
      </c>
      <c r="JF7" t="s">
        <v>3351</v>
      </c>
      <c r="JY7" t="s">
        <v>3178</v>
      </c>
      <c r="JZ7">
        <v>-2.4245362661989844E-14</v>
      </c>
      <c r="KB7">
        <v>-2.4245362661989844E-14</v>
      </c>
      <c r="KC7" t="s">
        <v>1773</v>
      </c>
      <c r="KD7">
        <v>2024</v>
      </c>
      <c r="KE7" t="s">
        <v>3179</v>
      </c>
      <c r="KF7" s="6">
        <v>45498</v>
      </c>
      <c r="KG7">
        <v>3</v>
      </c>
      <c r="KH7">
        <v>-2.4245362661989844E-14</v>
      </c>
      <c r="KI7">
        <v>24202859</v>
      </c>
      <c r="KJ7" t="s">
        <v>3180</v>
      </c>
      <c r="NK7" t="s">
        <v>752</v>
      </c>
      <c r="NL7">
        <v>-2.4245362661989844E-14</v>
      </c>
      <c r="NN7">
        <v>-2.4245362661989844E-14</v>
      </c>
      <c r="NO7" t="s">
        <v>1789</v>
      </c>
      <c r="NP7">
        <v>2025</v>
      </c>
      <c r="NQ7" t="s">
        <v>2496</v>
      </c>
      <c r="NR7" s="6">
        <v>46007</v>
      </c>
      <c r="NS7">
        <v>3</v>
      </c>
      <c r="NT7">
        <v>-2.4245362661989844E-14</v>
      </c>
      <c r="NU7">
        <v>107071</v>
      </c>
      <c r="NV7" t="s">
        <v>2498</v>
      </c>
      <c r="RM7" t="s">
        <v>1989</v>
      </c>
      <c r="RN7" t="s">
        <v>1777</v>
      </c>
      <c r="RO7">
        <v>5.3432E-2</v>
      </c>
      <c r="RP7">
        <v>8.8173000000000001E-2</v>
      </c>
      <c r="RQ7" t="s">
        <v>1785</v>
      </c>
      <c r="RR7">
        <v>2025</v>
      </c>
      <c r="RS7" t="s">
        <v>1990</v>
      </c>
      <c r="RT7" s="6">
        <v>45810</v>
      </c>
      <c r="RU7">
        <v>5</v>
      </c>
      <c r="RV7">
        <v>201917</v>
      </c>
      <c r="RW7">
        <v>194484</v>
      </c>
      <c r="RX7" t="s">
        <v>1991</v>
      </c>
      <c r="SA7" t="s">
        <v>1821</v>
      </c>
      <c r="SB7">
        <v>2.267166</v>
      </c>
      <c r="SC7" t="s">
        <v>1777</v>
      </c>
      <c r="SD7">
        <v>4.8143999999999999E-2</v>
      </c>
      <c r="SE7" t="s">
        <v>1773</v>
      </c>
      <c r="SF7">
        <v>2025</v>
      </c>
      <c r="SG7" t="s">
        <v>1819</v>
      </c>
      <c r="SH7" s="6">
        <v>45986</v>
      </c>
      <c r="SI7">
        <v>5</v>
      </c>
      <c r="SJ7">
        <v>7880669</v>
      </c>
      <c r="SK7">
        <v>156923</v>
      </c>
      <c r="SL7" t="s">
        <v>1822</v>
      </c>
    </row>
    <row r="8" spans="1:600" x14ac:dyDescent="0.25">
      <c r="BI8" t="s">
        <v>3651</v>
      </c>
      <c r="BK8">
        <v>-2.4245362661989844E-14</v>
      </c>
      <c r="BL8">
        <v>-2.4245362661989844E-14</v>
      </c>
      <c r="BM8" t="s">
        <v>1789</v>
      </c>
      <c r="BN8">
        <v>2022</v>
      </c>
      <c r="BO8" t="s">
        <v>3652</v>
      </c>
      <c r="BP8" s="6">
        <v>44693</v>
      </c>
      <c r="BQ8">
        <v>5</v>
      </c>
      <c r="BR8">
        <v>-2.4245362661989844E-14</v>
      </c>
      <c r="BS8">
        <v>114991</v>
      </c>
      <c r="BT8" t="s">
        <v>3653</v>
      </c>
      <c r="BW8" t="s">
        <v>3039</v>
      </c>
      <c r="BX8">
        <v>3.5995360000000001</v>
      </c>
      <c r="BY8" t="s">
        <v>1777</v>
      </c>
      <c r="BZ8">
        <v>1.1986999999999999E-2</v>
      </c>
      <c r="CA8" t="s">
        <v>1781</v>
      </c>
      <c r="CB8">
        <v>2025</v>
      </c>
      <c r="CC8" t="s">
        <v>3037</v>
      </c>
      <c r="CD8" s="6">
        <v>45787</v>
      </c>
      <c r="CE8">
        <v>5</v>
      </c>
      <c r="CF8">
        <v>4527100</v>
      </c>
      <c r="CG8">
        <v>16632863</v>
      </c>
      <c r="CH8" t="s">
        <v>3040</v>
      </c>
      <c r="DQ8" t="s">
        <v>2571</v>
      </c>
      <c r="DS8">
        <v>-2.4245362661989844E-14</v>
      </c>
      <c r="DT8">
        <v>-2.4245362661989844E-14</v>
      </c>
      <c r="DU8" t="s">
        <v>1781</v>
      </c>
      <c r="DV8">
        <v>2023</v>
      </c>
      <c r="DW8" t="s">
        <v>2572</v>
      </c>
      <c r="DX8" s="6">
        <v>45093</v>
      </c>
      <c r="DY8">
        <v>5</v>
      </c>
      <c r="DZ8">
        <v>-2.4245362661989844E-14</v>
      </c>
      <c r="EA8">
        <v>71457951</v>
      </c>
      <c r="EB8" t="s">
        <v>2573</v>
      </c>
      <c r="EE8" t="s">
        <v>2481</v>
      </c>
      <c r="EF8">
        <v>-2.4245362661989844E-14</v>
      </c>
      <c r="EH8">
        <v>-2.4245362661989844E-14</v>
      </c>
      <c r="EI8" t="s">
        <v>1789</v>
      </c>
      <c r="EJ8">
        <v>2025</v>
      </c>
      <c r="EK8" t="s">
        <v>2476</v>
      </c>
      <c r="EL8" s="6">
        <v>45903</v>
      </c>
      <c r="EM8">
        <v>5</v>
      </c>
      <c r="EN8">
        <v>-2.4245362661989844E-14</v>
      </c>
      <c r="EO8">
        <v>115414</v>
      </c>
      <c r="EP8" t="s">
        <v>2482</v>
      </c>
      <c r="IG8" t="s">
        <v>3575</v>
      </c>
      <c r="IH8" t="s">
        <v>1777</v>
      </c>
      <c r="II8">
        <v>1.69564</v>
      </c>
      <c r="IJ8">
        <v>0.41697800000000002</v>
      </c>
      <c r="IK8" t="s">
        <v>1773</v>
      </c>
      <c r="IL8">
        <v>2025</v>
      </c>
      <c r="IM8" t="s">
        <v>3576</v>
      </c>
      <c r="IN8" s="6">
        <v>46001</v>
      </c>
      <c r="IO8">
        <v>5</v>
      </c>
      <c r="IP8">
        <v>12763693</v>
      </c>
      <c r="IQ8">
        <v>1182195</v>
      </c>
      <c r="IR8" t="s">
        <v>3577</v>
      </c>
      <c r="IU8" t="s">
        <v>3352</v>
      </c>
      <c r="IV8">
        <v>-2.4245362661989844E-14</v>
      </c>
      <c r="IX8">
        <v>-2.4245362661989844E-14</v>
      </c>
      <c r="IY8" t="s">
        <v>1789</v>
      </c>
      <c r="IZ8">
        <v>2022</v>
      </c>
      <c r="JA8" t="s">
        <v>3353</v>
      </c>
      <c r="JB8" s="6">
        <v>44887</v>
      </c>
      <c r="JC8">
        <v>5</v>
      </c>
      <c r="JD8">
        <v>-2.4245362661989844E-14</v>
      </c>
      <c r="JE8">
        <v>104917</v>
      </c>
      <c r="JF8" t="s">
        <v>3354</v>
      </c>
      <c r="RM8" t="s">
        <v>1918</v>
      </c>
      <c r="RO8">
        <v>-2.4245362661989844E-14</v>
      </c>
      <c r="RP8">
        <v>-2.4245362661989844E-14</v>
      </c>
      <c r="RQ8" t="s">
        <v>1789</v>
      </c>
      <c r="RR8">
        <v>2021</v>
      </c>
      <c r="RS8" t="s">
        <v>1919</v>
      </c>
      <c r="RT8" s="6">
        <v>44693</v>
      </c>
      <c r="RU8">
        <v>5</v>
      </c>
      <c r="RV8">
        <v>-2.4245362661989844E-14</v>
      </c>
      <c r="RW8">
        <v>100060</v>
      </c>
      <c r="RX8" t="s">
        <v>1920</v>
      </c>
      <c r="SA8" t="s">
        <v>208</v>
      </c>
      <c r="SB8">
        <v>2.0591710000000001</v>
      </c>
      <c r="SC8" t="s">
        <v>1777</v>
      </c>
      <c r="SD8">
        <v>3.9990999999999999E-2</v>
      </c>
      <c r="SE8" t="s">
        <v>1773</v>
      </c>
      <c r="SF8">
        <v>2025</v>
      </c>
      <c r="SG8" t="s">
        <v>1819</v>
      </c>
      <c r="SH8" s="6">
        <v>45986</v>
      </c>
      <c r="SI8">
        <v>5</v>
      </c>
      <c r="SJ8">
        <v>7157678</v>
      </c>
      <c r="SK8">
        <v>101555</v>
      </c>
      <c r="SL8" t="s">
        <v>1823</v>
      </c>
    </row>
    <row r="9" spans="1:600" x14ac:dyDescent="0.25">
      <c r="BI9" t="s">
        <v>4021</v>
      </c>
      <c r="BK9">
        <v>-2.4245362661989844E-14</v>
      </c>
      <c r="BL9">
        <v>-2.4245362661989844E-14</v>
      </c>
      <c r="BM9" t="s">
        <v>1781</v>
      </c>
      <c r="BN9">
        <v>2022</v>
      </c>
      <c r="BO9" t="s">
        <v>4022</v>
      </c>
      <c r="BP9" s="6">
        <v>44713</v>
      </c>
      <c r="BQ9">
        <v>5</v>
      </c>
      <c r="BR9">
        <v>-2.4245362661989844E-14</v>
      </c>
      <c r="BS9">
        <v>27905666</v>
      </c>
      <c r="BT9" t="s">
        <v>4023</v>
      </c>
      <c r="BW9" t="s">
        <v>2263</v>
      </c>
      <c r="BX9">
        <v>3.5821610000000002</v>
      </c>
      <c r="BY9" t="s">
        <v>1777</v>
      </c>
      <c r="BZ9">
        <v>7.4626999999999999E-2</v>
      </c>
      <c r="CA9" t="s">
        <v>1781</v>
      </c>
      <c r="CB9">
        <v>2025</v>
      </c>
      <c r="CC9" t="s">
        <v>3037</v>
      </c>
      <c r="CD9" s="6">
        <v>45787</v>
      </c>
      <c r="CE9">
        <v>5</v>
      </c>
      <c r="CF9">
        <v>4505248</v>
      </c>
      <c r="CG9">
        <v>100043</v>
      </c>
      <c r="CH9" t="s">
        <v>2265</v>
      </c>
      <c r="DQ9" t="s">
        <v>1801</v>
      </c>
      <c r="DS9">
        <v>-2.4245362661989844E-14</v>
      </c>
      <c r="DT9">
        <v>-2.4245362661989844E-14</v>
      </c>
      <c r="DU9" t="s">
        <v>1789</v>
      </c>
      <c r="DV9">
        <v>2024</v>
      </c>
      <c r="DW9" t="s">
        <v>2570</v>
      </c>
      <c r="DX9" s="6">
        <v>45532</v>
      </c>
      <c r="DY9">
        <v>5</v>
      </c>
      <c r="DZ9">
        <v>-2.4245362661989844E-14</v>
      </c>
      <c r="EA9">
        <v>101616</v>
      </c>
      <c r="EB9" t="s">
        <v>1803</v>
      </c>
      <c r="EE9" t="s">
        <v>1801</v>
      </c>
      <c r="EF9">
        <v>-2.4245362661989844E-14</v>
      </c>
      <c r="EH9">
        <v>-2.4245362661989844E-14</v>
      </c>
      <c r="EI9" t="s">
        <v>1789</v>
      </c>
      <c r="EJ9">
        <v>2025</v>
      </c>
      <c r="EK9" t="s">
        <v>2476</v>
      </c>
      <c r="EL9" s="6">
        <v>45903</v>
      </c>
      <c r="EM9">
        <v>5</v>
      </c>
      <c r="EN9">
        <v>-2.4245362661989844E-14</v>
      </c>
      <c r="EO9">
        <v>101616</v>
      </c>
      <c r="EP9" t="s">
        <v>1803</v>
      </c>
      <c r="IG9" t="s">
        <v>3578</v>
      </c>
      <c r="IH9" t="s">
        <v>1777</v>
      </c>
      <c r="II9">
        <v>1.749268</v>
      </c>
      <c r="IJ9">
        <v>0.29281299999999999</v>
      </c>
      <c r="IK9" t="s">
        <v>1768</v>
      </c>
      <c r="IL9">
        <v>2025</v>
      </c>
      <c r="IM9" t="s">
        <v>3579</v>
      </c>
      <c r="IN9" s="6">
        <v>45867</v>
      </c>
      <c r="IO9">
        <v>5</v>
      </c>
      <c r="IP9">
        <v>9701879.8399999999</v>
      </c>
      <c r="IQ9">
        <v>157487</v>
      </c>
      <c r="IR9" t="s">
        <v>3580</v>
      </c>
      <c r="IU9" t="s">
        <v>2192</v>
      </c>
      <c r="IV9">
        <v>-2.4245362661989844E-14</v>
      </c>
      <c r="IX9">
        <v>-2.4245362661989844E-14</v>
      </c>
      <c r="IY9" t="s">
        <v>1789</v>
      </c>
      <c r="IZ9">
        <v>2025</v>
      </c>
      <c r="JA9" t="s">
        <v>2193</v>
      </c>
      <c r="JB9" s="6">
        <v>45834</v>
      </c>
      <c r="JC9">
        <v>5</v>
      </c>
      <c r="JD9">
        <v>-2.4245362661989844E-14</v>
      </c>
      <c r="JE9">
        <v>11745327</v>
      </c>
      <c r="JF9" t="s">
        <v>2194</v>
      </c>
      <c r="RM9" t="s">
        <v>1992</v>
      </c>
      <c r="RO9">
        <v>-2.4245362661989844E-14</v>
      </c>
      <c r="RP9">
        <v>-2.4245362661989844E-14</v>
      </c>
      <c r="RQ9" t="s">
        <v>1789</v>
      </c>
      <c r="RR9">
        <v>2021</v>
      </c>
      <c r="RS9" t="s">
        <v>1993</v>
      </c>
      <c r="RT9" s="6">
        <v>44693</v>
      </c>
      <c r="RU9">
        <v>5</v>
      </c>
      <c r="RV9">
        <v>-2.4245362661989844E-14</v>
      </c>
      <c r="RW9">
        <v>101690</v>
      </c>
      <c r="RX9" t="s">
        <v>1994</v>
      </c>
      <c r="SA9" t="s">
        <v>1824</v>
      </c>
      <c r="SB9">
        <v>1.3989849999999999</v>
      </c>
      <c r="SC9" t="s">
        <v>1777</v>
      </c>
      <c r="SD9">
        <v>1.8962E-2</v>
      </c>
      <c r="SE9" t="s">
        <v>1773</v>
      </c>
      <c r="SF9">
        <v>2025</v>
      </c>
      <c r="SG9" t="s">
        <v>1819</v>
      </c>
      <c r="SH9" s="6">
        <v>45986</v>
      </c>
      <c r="SI9">
        <v>5</v>
      </c>
      <c r="SJ9">
        <v>4862872</v>
      </c>
      <c r="SK9">
        <v>100211</v>
      </c>
      <c r="SL9" t="s">
        <v>1825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1665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1666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1667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1668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1669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1670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1671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1672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1673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1674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1675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1676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1677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1678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1679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1680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1681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1682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1683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1684</v>
      </c>
      <c r="AE2" s="3" t="s">
        <v>237</v>
      </c>
      <c r="BI2" s="3" t="s">
        <v>1685</v>
      </c>
      <c r="CM2" s="3" t="s">
        <v>323</v>
      </c>
      <c r="DQ2" s="3" t="s">
        <v>1686</v>
      </c>
      <c r="EU2" s="3" t="s">
        <v>1687</v>
      </c>
      <c r="FY2" s="3" t="s">
        <v>1688</v>
      </c>
      <c r="HC2" s="3" t="s">
        <v>1689</v>
      </c>
      <c r="IG2" s="3" t="s">
        <v>1690</v>
      </c>
      <c r="JK2" s="3" t="s">
        <v>1691</v>
      </c>
      <c r="KO2" s="3" t="s">
        <v>1692</v>
      </c>
      <c r="LS2" s="3" t="s">
        <v>1693</v>
      </c>
      <c r="MW2" s="3" t="s">
        <v>845</v>
      </c>
      <c r="OA2" s="3" t="s">
        <v>571</v>
      </c>
      <c r="PE2" s="3" t="s">
        <v>164</v>
      </c>
      <c r="QI2" s="3" t="s">
        <v>1694</v>
      </c>
      <c r="RM2" s="3" t="s">
        <v>1655</v>
      </c>
      <c r="SQ2" s="3" t="s">
        <v>1695</v>
      </c>
      <c r="TU2" s="3" t="s">
        <v>1696</v>
      </c>
      <c r="UY2" s="3" t="s">
        <v>1662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_xll.BDS("WAL US Equity","SUPPLY_CHAIN_SUPPLIERS_ALL_DATA","cols=12;rows=1")</f>
        <v>CIO US Equity</v>
      </c>
      <c r="C5">
        <v>-2.4245362661989844E-14</v>
      </c>
      <c r="D5">
        <v>-2.4245362661989844E-14</v>
      </c>
      <c r="E5" t="s">
        <v>1781</v>
      </c>
      <c r="F5">
        <v>2025</v>
      </c>
      <c r="G5" t="s">
        <v>2560</v>
      </c>
      <c r="H5" s="6">
        <v>45779</v>
      </c>
      <c r="I5">
        <v>1</v>
      </c>
      <c r="J5">
        <v>-2.4245362661989844E-14</v>
      </c>
      <c r="K5">
        <v>38586704</v>
      </c>
      <c r="L5" t="s">
        <v>2561</v>
      </c>
      <c r="O5" t="str">
        <f>_xll.BDS("WAL US Equity","SUPPLY_CHAIN_CUSTOMERS_ALL_DATA")</f>
        <v>#N/A N/A</v>
      </c>
      <c r="AE5" t="str">
        <f>_xll.BDS("INDB US Equity","SUPPLY_CHAIN_SUPPLIERS_ALL_DATA")</f>
        <v>#N/A N/A</v>
      </c>
      <c r="AS5" t="str">
        <f>_xll.BDS("INDB US Equity","SUPPLY_CHAIN_CUSTOMERS_ALL_DATA")</f>
        <v>#N/A N/A</v>
      </c>
      <c r="BI5" t="str">
        <f>_xll.BDS("PRDO US Equity","SUPPLY_CHAIN_SUPPLIERS_ALL_DATA")</f>
        <v>#N/A N/A</v>
      </c>
      <c r="BW5" t="str">
        <f>_xll.BDS("PRDO US Equity","SUPPLY_CHAIN_CUSTOMERS_ALL_DATA")</f>
        <v>#N/A N/A</v>
      </c>
      <c r="CM5" t="str">
        <f>_xll.BDS("UCB US Equity","SUPPLY_CHAIN_SUPPLIERS_ALL_DATA","cols=12;rows=1")</f>
        <v>3764228Z US Equity</v>
      </c>
      <c r="CO5">
        <v>-2.4245362661989844E-14</v>
      </c>
      <c r="CP5">
        <v>-2.4245362661989844E-14</v>
      </c>
      <c r="CQ5" t="s">
        <v>1789</v>
      </c>
      <c r="CR5">
        <v>2024</v>
      </c>
      <c r="CS5" t="s">
        <v>1892</v>
      </c>
      <c r="CT5" s="6">
        <v>45520</v>
      </c>
      <c r="CU5">
        <v>1</v>
      </c>
      <c r="CV5">
        <v>-2.4245362661989844E-14</v>
      </c>
      <c r="CW5">
        <v>20340995</v>
      </c>
      <c r="CX5" t="s">
        <v>1893</v>
      </c>
      <c r="DA5" t="str">
        <f>_xll.BDS("UCB US Equity","SUPPLY_CHAIN_CUSTOMERS_ALL_DATA")</f>
        <v>#N/A N/A</v>
      </c>
      <c r="DQ5" t="str">
        <f>_xll.BDS("JEFF US Equity","SUPPLY_CHAIN_SUPPLIERS_ALL_DATA")</f>
        <v>#N/A N/A</v>
      </c>
      <c r="EE5" t="str">
        <f>_xll.BDS("JEFF US Equity","SUPPLY_CHAIN_CUSTOMERS_ALL_DATA")</f>
        <v>#N/A N/A</v>
      </c>
      <c r="EU5" t="str">
        <f>_xll.BDS("CDOR US Equity","SUPPLY_CHAIN_SUPPLIERS_ALL_DATA")</f>
        <v>#N/A N/A</v>
      </c>
      <c r="FI5" t="str">
        <f>_xll.BDS("CDOR US Equity","SUPPLY_CHAIN_CUSTOMERS_ALL_DATA")</f>
        <v>#N/A N/A</v>
      </c>
      <c r="FY5" t="str">
        <f>_xll.BDS("MFSF US Equity","SUPPLY_CHAIN_SUPPLIERS_ALL_DATA")</f>
        <v>#N/A N/A</v>
      </c>
      <c r="GM5" t="str">
        <f>_xll.BDS("MFSF US Equity","SUPPLY_CHAIN_CUSTOMERS_ALL_DATA")</f>
        <v>#N/A N/A</v>
      </c>
      <c r="HC5" t="str">
        <f>_xll.BDS("BCIC US Equity","SUPPLY_CHAIN_SUPPLIERS_ALL_DATA")</f>
        <v>#N/A N/A</v>
      </c>
      <c r="HQ5" t="str">
        <f>_xll.BDS("BCIC US Equity","SUPPLY_CHAIN_CUSTOMERS_ALL_DATA")</f>
        <v>#N/A N/A</v>
      </c>
      <c r="IG5" t="str">
        <f>_xll.BDS("CALP US Equity","SUPPLY_CHAIN_SUPPLIERS_ALL_DATA")</f>
        <v>#N/A N/A</v>
      </c>
      <c r="IU5" t="str">
        <f>_xll.BDS("CALP US Equity","SUPPLY_CHAIN_CUSTOMERS_ALL_DATA")</f>
        <v>#N/A N/A</v>
      </c>
      <c r="JK5" t="str">
        <f>_xll.BDS("CFCB US Equity","SUPPLY_CHAIN_SUPPLIERS_ALL_DATA")</f>
        <v>#N/A N/A</v>
      </c>
      <c r="JY5" t="str">
        <f>_xll.BDS("CFCB US Equity","SUPPLY_CHAIN_CUSTOMERS_ALL_DATA")</f>
        <v>#N/A N/A</v>
      </c>
      <c r="KO5" t="str">
        <f>_xll.BDS("ARL US Equity","SUPPLY_CHAIN_SUPPLIERS_ALL_DATA")</f>
        <v>#N/A N/A</v>
      </c>
      <c r="LC5" t="str">
        <f>_xll.BDS("ARL US Equity","SUPPLY_CHAIN_CUSTOMERS_ALL_DATA")</f>
        <v>#N/A N/A</v>
      </c>
      <c r="LS5" t="str">
        <f>_xll.BDS("BF/B US Equity","SUPPLY_CHAIN_SUPPLIERS_ALL_DATA","cols=12;rows=5")</f>
        <v>OI US Equity</v>
      </c>
      <c r="LT5" t="s">
        <v>1777</v>
      </c>
      <c r="LU5">
        <v>1.129972</v>
      </c>
      <c r="LV5">
        <v>4.4366830000000004</v>
      </c>
      <c r="LW5" t="s">
        <v>1773</v>
      </c>
      <c r="LX5">
        <v>2025</v>
      </c>
      <c r="LY5" t="s">
        <v>1913</v>
      </c>
      <c r="LZ5" s="6">
        <v>46048</v>
      </c>
      <c r="MA5">
        <v>5</v>
      </c>
      <c r="MB5">
        <v>18678436</v>
      </c>
      <c r="MC5">
        <v>66766968</v>
      </c>
      <c r="MD5" t="s">
        <v>1914</v>
      </c>
      <c r="MG5" t="str">
        <f>_xll.BDS("BF/B US Equity","SUPPLY_CHAIN_CUSTOMERS_ALL_DATA","cols=12;rows=5")</f>
        <v>CA FP Equity</v>
      </c>
      <c r="MH5">
        <v>3.9000210000000002</v>
      </c>
      <c r="MI5" t="s">
        <v>1777</v>
      </c>
      <c r="MJ5">
        <v>0.18138699999999999</v>
      </c>
      <c r="MK5" t="s">
        <v>1768</v>
      </c>
      <c r="ML5">
        <v>2025</v>
      </c>
      <c r="MM5" t="s">
        <v>1778</v>
      </c>
      <c r="MN5" s="6">
        <v>45919</v>
      </c>
      <c r="MO5">
        <v>5</v>
      </c>
      <c r="MP5">
        <v>35541312.5</v>
      </c>
      <c r="MQ5">
        <v>115268</v>
      </c>
      <c r="MR5" t="s">
        <v>1779</v>
      </c>
      <c r="MW5" t="str">
        <f>_xll.BDS("ZION US Equity","SUPPLY_CHAIN_SUPPLIERS_ALL_DATA","cols=12;rows=2")</f>
        <v>MUST SP Equity</v>
      </c>
      <c r="MY5">
        <v>-2.4245362661989844E-14</v>
      </c>
      <c r="MZ5">
        <v>-2.4245362661989844E-14</v>
      </c>
      <c r="NA5" t="s">
        <v>1789</v>
      </c>
      <c r="NB5">
        <v>2024</v>
      </c>
      <c r="NC5" t="s">
        <v>3017</v>
      </c>
      <c r="ND5" s="6">
        <v>45762</v>
      </c>
      <c r="NE5">
        <v>2</v>
      </c>
      <c r="NF5">
        <v>-2.4245362661989844E-14</v>
      </c>
      <c r="NG5">
        <v>46286147</v>
      </c>
      <c r="NH5" t="s">
        <v>3018</v>
      </c>
      <c r="NK5" t="str">
        <f>_xll.BDS("ZION US Equity","SUPPLY_CHAIN_CUSTOMERS_ALL_DATA")</f>
        <v>#N/A N/A</v>
      </c>
      <c r="OA5" t="str">
        <f>_xll.BDS("CIVB US Equity","SUPPLY_CHAIN_SUPPLIERS_ALL_DATA")</f>
        <v>#N/A N/A</v>
      </c>
      <c r="OO5" t="str">
        <f>_xll.BDS("CIVB US Equity","SUPPLY_CHAIN_CUSTOMERS_ALL_DATA")</f>
        <v>#N/A N/A</v>
      </c>
      <c r="PE5" t="str">
        <f>_xll.BDS("9980328D US Equity","SUPPLY_CHAIN_SUPPLIERS_ALL_DATA","cols=12;rows=5")</f>
        <v>1052024D US Equity</v>
      </c>
      <c r="PG5">
        <v>-2.4245362661989844E-14</v>
      </c>
      <c r="PH5">
        <v>-2.4245362661989844E-14</v>
      </c>
      <c r="PI5" t="s">
        <v>1789</v>
      </c>
      <c r="PJ5">
        <v>2024</v>
      </c>
      <c r="PK5" t="s">
        <v>3107</v>
      </c>
      <c r="PL5" s="6">
        <v>45358</v>
      </c>
      <c r="PM5">
        <v>5</v>
      </c>
      <c r="PN5">
        <v>-2.4245362661989844E-14</v>
      </c>
      <c r="PO5">
        <v>41866638</v>
      </c>
      <c r="PP5" t="s">
        <v>4419</v>
      </c>
      <c r="PS5" t="str">
        <f>_xll.BDS("9980328D US Equity","SUPPLY_CHAIN_CUSTOMERS_ALL_DATA","cols=12;rows=5")</f>
        <v>002630 KS Equity</v>
      </c>
      <c r="PT5">
        <v>-2.4245362661989844E-14</v>
      </c>
      <c r="PV5">
        <v>-2.4245362661989844E-14</v>
      </c>
      <c r="PW5" t="s">
        <v>1894</v>
      </c>
      <c r="PX5">
        <v>2023</v>
      </c>
      <c r="PY5" t="s">
        <v>3104</v>
      </c>
      <c r="PZ5" s="6">
        <v>44971</v>
      </c>
      <c r="QA5">
        <v>5</v>
      </c>
      <c r="QB5">
        <v>-2.4245362661989844E-14</v>
      </c>
      <c r="QC5">
        <v>129294</v>
      </c>
      <c r="QD5" t="s">
        <v>3105</v>
      </c>
      <c r="QI5" t="str">
        <f>_xll.BDS("ALNC US Equity","SUPPLY_CHAIN_SUPPLIERS_ALL_DATA")</f>
        <v>#N/A N/A</v>
      </c>
      <c r="QW5" t="str">
        <f>_xll.BDS("ALNC US Equity","SUPPLY_CHAIN_CUSTOMERS_ALL_DATA")</f>
        <v>#N/A N/A</v>
      </c>
      <c r="RM5" t="str">
        <f>_xll.BDS("UMPQ US Equity","SUPPLY_CHAIN_SUPPLIERS_ALL_DATA")</f>
        <v>#N/A N/A</v>
      </c>
      <c r="SA5" t="str">
        <f>_xll.BDS("UMPQ US Equity","SUPPLY_CHAIN_CUSTOMERS_ALL_DATA")</f>
        <v>#N/A N/A</v>
      </c>
      <c r="SQ5" t="str">
        <f>_xll.BDS("DGIT US Equity","SUPPLY_CHAIN_SUPPLIERS_ALL_DATA")</f>
        <v>#N/A N/A</v>
      </c>
      <c r="TE5" t="str">
        <f>_xll.BDS("DGIT US Equity","SUPPLY_CHAIN_CUSTOMERS_ALL_DATA")</f>
        <v>#N/A N/A</v>
      </c>
      <c r="TU5" t="str">
        <f>_xll.BDS("SBKK US Equity","SUPPLY_CHAIN_SUPPLIERS_ALL_DATA")</f>
        <v>#N/A N/A</v>
      </c>
      <c r="UI5" t="str">
        <f>_xll.BDS("SBKK US Equity","SUPPLY_CHAIN_CUSTOMERS_ALL_DATA")</f>
        <v>#N/A N/A</v>
      </c>
      <c r="UY5" t="str">
        <f>_xll.BDS("KTOS US Equity","SUPPLY_CHAIN_SUPPLIERS_ALL_DATA","cols=12;rows=5")</f>
        <v>EMKR US Equity</v>
      </c>
      <c r="UZ5" t="s">
        <v>1777</v>
      </c>
      <c r="VA5">
        <v>9.3566800000000008</v>
      </c>
      <c r="VB5">
        <v>0.78878000000000004</v>
      </c>
      <c r="VC5" t="s">
        <v>1781</v>
      </c>
      <c r="VD5">
        <v>2025</v>
      </c>
      <c r="VE5" t="s">
        <v>1984</v>
      </c>
      <c r="VF5" s="6">
        <v>45811</v>
      </c>
      <c r="VG5">
        <v>5</v>
      </c>
      <c r="VH5">
        <v>1806307</v>
      </c>
      <c r="VI5">
        <v>214506</v>
      </c>
      <c r="VJ5" t="s">
        <v>1985</v>
      </c>
      <c r="VM5" t="str">
        <f>_xll.BDS("KTOS US Equity","SUPPLY_CHAIN_CUSTOMERS_ALL_DATA","cols=12;rows=5")</f>
        <v>3352Z US Equity</v>
      </c>
      <c r="VN5">
        <v>68</v>
      </c>
      <c r="VP5">
        <v>-2.4245362661989844E-14</v>
      </c>
      <c r="VQ5" t="s">
        <v>1789</v>
      </c>
      <c r="VR5">
        <v>2025</v>
      </c>
      <c r="VS5" t="s">
        <v>1818</v>
      </c>
      <c r="VT5" s="6">
        <v>46076</v>
      </c>
      <c r="VU5">
        <v>5</v>
      </c>
      <c r="VV5">
        <v>229275000</v>
      </c>
      <c r="VW5">
        <v>218252</v>
      </c>
      <c r="VX5" t="s">
        <v>1798</v>
      </c>
    </row>
    <row r="6" spans="1:600" x14ac:dyDescent="0.25">
      <c r="LS6" t="s">
        <v>1915</v>
      </c>
      <c r="LU6">
        <v>-2.4245362661989844E-14</v>
      </c>
      <c r="LV6">
        <v>-2.4245362661989844E-14</v>
      </c>
      <c r="LW6" t="s">
        <v>1789</v>
      </c>
      <c r="LX6">
        <v>2023</v>
      </c>
      <c r="LY6" t="s">
        <v>1916</v>
      </c>
      <c r="LZ6" s="6">
        <v>45093</v>
      </c>
      <c r="MA6">
        <v>5</v>
      </c>
      <c r="MB6">
        <v>-2.4245362661989844E-14</v>
      </c>
      <c r="MC6">
        <v>27529446</v>
      </c>
      <c r="MD6" t="s">
        <v>1917</v>
      </c>
      <c r="MG6" t="s">
        <v>1780</v>
      </c>
      <c r="MH6">
        <v>0.19514999999999999</v>
      </c>
      <c r="MI6" t="s">
        <v>1777</v>
      </c>
      <c r="MJ6">
        <v>8.2500000000000004E-3</v>
      </c>
      <c r="MK6" t="s">
        <v>1781</v>
      </c>
      <c r="ML6">
        <v>2026</v>
      </c>
      <c r="MM6" t="s">
        <v>1782</v>
      </c>
      <c r="MN6" s="6">
        <v>45898</v>
      </c>
      <c r="MO6">
        <v>5</v>
      </c>
      <c r="MP6">
        <v>1750517.76</v>
      </c>
      <c r="MQ6">
        <v>112370</v>
      </c>
      <c r="MR6" t="s">
        <v>1783</v>
      </c>
      <c r="MW6" t="s">
        <v>2976</v>
      </c>
      <c r="MY6">
        <v>-2.4245362661989844E-14</v>
      </c>
      <c r="MZ6">
        <v>-2.4245362661989844E-14</v>
      </c>
      <c r="NA6" t="s">
        <v>1789</v>
      </c>
      <c r="NB6">
        <v>2023</v>
      </c>
      <c r="NC6" t="s">
        <v>3019</v>
      </c>
      <c r="ND6" s="6">
        <v>45336</v>
      </c>
      <c r="NE6">
        <v>2</v>
      </c>
      <c r="NF6">
        <v>-2.4245362661989844E-14</v>
      </c>
      <c r="NG6">
        <v>20828779</v>
      </c>
      <c r="NH6" t="s">
        <v>2978</v>
      </c>
      <c r="PE6" t="s">
        <v>4420</v>
      </c>
      <c r="PG6">
        <v>-2.4245362661989844E-14</v>
      </c>
      <c r="PH6">
        <v>-2.4245362661989844E-14</v>
      </c>
      <c r="PI6" t="s">
        <v>1789</v>
      </c>
      <c r="PJ6">
        <v>2023</v>
      </c>
      <c r="PK6" t="s">
        <v>3107</v>
      </c>
      <c r="PL6" s="6">
        <v>45068</v>
      </c>
      <c r="PM6">
        <v>5</v>
      </c>
      <c r="PN6">
        <v>-2.4245362661989844E-14</v>
      </c>
      <c r="PO6">
        <v>37260707</v>
      </c>
      <c r="PP6" t="s">
        <v>4421</v>
      </c>
      <c r="PS6" t="s">
        <v>3106</v>
      </c>
      <c r="PT6">
        <v>-2.4245362661989844E-14</v>
      </c>
      <c r="PV6">
        <v>-2.4245362661989844E-14</v>
      </c>
      <c r="PW6" t="s">
        <v>1789</v>
      </c>
      <c r="PX6">
        <v>2022</v>
      </c>
      <c r="PY6" t="s">
        <v>3107</v>
      </c>
      <c r="PZ6" s="6">
        <v>44732</v>
      </c>
      <c r="QA6">
        <v>5</v>
      </c>
      <c r="QB6">
        <v>-2.4245362661989844E-14</v>
      </c>
      <c r="QC6">
        <v>69656039</v>
      </c>
      <c r="QD6" t="s">
        <v>3108</v>
      </c>
      <c r="UY6" t="s">
        <v>1986</v>
      </c>
      <c r="UZ6" t="s">
        <v>1777</v>
      </c>
      <c r="VA6">
        <v>4.64039</v>
      </c>
      <c r="VB6">
        <v>0.28101399999999999</v>
      </c>
      <c r="VC6" t="s">
        <v>1768</v>
      </c>
      <c r="VD6">
        <v>2025</v>
      </c>
      <c r="VE6" t="s">
        <v>1987</v>
      </c>
      <c r="VF6" s="6">
        <v>45967</v>
      </c>
      <c r="VG6">
        <v>5</v>
      </c>
      <c r="VH6">
        <v>760142</v>
      </c>
      <c r="VI6">
        <v>101147</v>
      </c>
      <c r="VJ6" t="s">
        <v>1988</v>
      </c>
      <c r="VM6" t="s">
        <v>210</v>
      </c>
      <c r="VN6">
        <v>3.3295330000000001</v>
      </c>
      <c r="VO6" t="s">
        <v>1777</v>
      </c>
      <c r="VP6">
        <v>0.14169699999999999</v>
      </c>
      <c r="VQ6" t="s">
        <v>1773</v>
      </c>
      <c r="VR6">
        <v>2025</v>
      </c>
      <c r="VS6" t="s">
        <v>1819</v>
      </c>
      <c r="VT6" s="6">
        <v>45986</v>
      </c>
      <c r="VU6">
        <v>5</v>
      </c>
      <c r="VV6">
        <v>11573457</v>
      </c>
      <c r="VW6">
        <v>101090</v>
      </c>
      <c r="VX6" t="s">
        <v>1820</v>
      </c>
    </row>
    <row r="7" spans="1:600" x14ac:dyDescent="0.25">
      <c r="LS7" t="s">
        <v>1918</v>
      </c>
      <c r="LU7">
        <v>-2.4245362661989844E-14</v>
      </c>
      <c r="LV7">
        <v>-2.4245362661989844E-14</v>
      </c>
      <c r="LW7" t="s">
        <v>1789</v>
      </c>
      <c r="LX7">
        <v>2021</v>
      </c>
      <c r="LY7" t="s">
        <v>1919</v>
      </c>
      <c r="LZ7" s="6">
        <v>44693</v>
      </c>
      <c r="MA7">
        <v>5</v>
      </c>
      <c r="MB7">
        <v>-2.4245362661989844E-14</v>
      </c>
      <c r="MC7">
        <v>100060</v>
      </c>
      <c r="MD7" t="s">
        <v>1920</v>
      </c>
      <c r="MG7" t="s">
        <v>1784</v>
      </c>
      <c r="MH7">
        <v>6.1876E-2</v>
      </c>
      <c r="MI7" t="s">
        <v>1777</v>
      </c>
      <c r="MJ7">
        <v>2.5722999999999999E-2</v>
      </c>
      <c r="MK7" t="s">
        <v>1785</v>
      </c>
      <c r="ML7">
        <v>2025</v>
      </c>
      <c r="MM7" t="s">
        <v>1786</v>
      </c>
      <c r="MN7" s="6">
        <v>45945</v>
      </c>
      <c r="MO7">
        <v>5</v>
      </c>
      <c r="MP7">
        <v>523582.39</v>
      </c>
      <c r="MQ7">
        <v>116954</v>
      </c>
      <c r="MR7" t="s">
        <v>1787</v>
      </c>
      <c r="PE7" t="s">
        <v>2398</v>
      </c>
      <c r="PG7">
        <v>-2.4245362661989844E-14</v>
      </c>
      <c r="PH7">
        <v>-2.4245362661989844E-14</v>
      </c>
      <c r="PI7" t="s">
        <v>1789</v>
      </c>
      <c r="PJ7">
        <v>2021</v>
      </c>
      <c r="PK7" t="s">
        <v>4422</v>
      </c>
      <c r="PL7" s="6">
        <v>44677</v>
      </c>
      <c r="PM7">
        <v>5</v>
      </c>
      <c r="PN7">
        <v>-2.4245362661989844E-14</v>
      </c>
      <c r="PO7">
        <v>10142668</v>
      </c>
      <c r="PP7" t="s">
        <v>2400</v>
      </c>
      <c r="PS7" t="s">
        <v>3109</v>
      </c>
      <c r="PT7">
        <v>-2.4245362661989844E-14</v>
      </c>
      <c r="PV7">
        <v>-2.4245362661989844E-14</v>
      </c>
      <c r="PW7" t="s">
        <v>1789</v>
      </c>
      <c r="PX7">
        <v>2024</v>
      </c>
      <c r="PY7" t="s">
        <v>3107</v>
      </c>
      <c r="PZ7" s="6">
        <v>45356</v>
      </c>
      <c r="QA7">
        <v>5</v>
      </c>
      <c r="QB7">
        <v>-2.4245362661989844E-14</v>
      </c>
      <c r="QC7">
        <v>70384894</v>
      </c>
      <c r="QD7" t="s">
        <v>3110</v>
      </c>
      <c r="UY7" t="s">
        <v>1989</v>
      </c>
      <c r="UZ7" t="s">
        <v>1777</v>
      </c>
      <c r="VA7">
        <v>5.3432E-2</v>
      </c>
      <c r="VB7">
        <v>8.8173000000000001E-2</v>
      </c>
      <c r="VC7" t="s">
        <v>1785</v>
      </c>
      <c r="VD7">
        <v>2025</v>
      </c>
      <c r="VE7" t="s">
        <v>1990</v>
      </c>
      <c r="VF7" s="6">
        <v>45810</v>
      </c>
      <c r="VG7">
        <v>5</v>
      </c>
      <c r="VH7">
        <v>201917</v>
      </c>
      <c r="VI7">
        <v>194484</v>
      </c>
      <c r="VJ7" t="s">
        <v>1991</v>
      </c>
      <c r="VM7" t="s">
        <v>1821</v>
      </c>
      <c r="VN7">
        <v>2.267166</v>
      </c>
      <c r="VO7" t="s">
        <v>1777</v>
      </c>
      <c r="VP7">
        <v>4.8143999999999999E-2</v>
      </c>
      <c r="VQ7" t="s">
        <v>1773</v>
      </c>
      <c r="VR7">
        <v>2025</v>
      </c>
      <c r="VS7" t="s">
        <v>1819</v>
      </c>
      <c r="VT7" s="6">
        <v>45986</v>
      </c>
      <c r="VU7">
        <v>5</v>
      </c>
      <c r="VV7">
        <v>7880669</v>
      </c>
      <c r="VW7">
        <v>156923</v>
      </c>
      <c r="VX7" t="s">
        <v>1822</v>
      </c>
    </row>
    <row r="8" spans="1:600" x14ac:dyDescent="0.25">
      <c r="LS8" t="s">
        <v>393</v>
      </c>
      <c r="LU8">
        <v>-2.4245362661989844E-14</v>
      </c>
      <c r="LV8">
        <v>-2.4245362661989844E-14</v>
      </c>
      <c r="LW8" t="s">
        <v>1781</v>
      </c>
      <c r="LX8">
        <v>2024</v>
      </c>
      <c r="LY8" t="s">
        <v>1921</v>
      </c>
      <c r="LZ8" s="6">
        <v>45460</v>
      </c>
      <c r="MA8">
        <v>5</v>
      </c>
      <c r="MB8">
        <v>-2.4245362661989844E-14</v>
      </c>
      <c r="MC8">
        <v>117121</v>
      </c>
      <c r="MD8" t="s">
        <v>1922</v>
      </c>
      <c r="MG8" t="s">
        <v>1788</v>
      </c>
      <c r="MH8">
        <v>-2.4245362661989844E-14</v>
      </c>
      <c r="MJ8">
        <v>-2.4245362661989844E-14</v>
      </c>
      <c r="MK8" t="s">
        <v>1789</v>
      </c>
      <c r="ML8">
        <v>2021</v>
      </c>
      <c r="MM8" t="s">
        <v>1790</v>
      </c>
      <c r="MN8" s="6">
        <v>44676</v>
      </c>
      <c r="MO8">
        <v>5</v>
      </c>
      <c r="MP8">
        <v>-2.4245362661989844E-14</v>
      </c>
      <c r="MQ8">
        <v>9299982</v>
      </c>
      <c r="MR8" t="s">
        <v>1791</v>
      </c>
      <c r="PE8" t="s">
        <v>4423</v>
      </c>
      <c r="PG8">
        <v>-2.4245362661989844E-14</v>
      </c>
      <c r="PH8">
        <v>-2.4245362661989844E-14</v>
      </c>
      <c r="PI8" t="s">
        <v>1781</v>
      </c>
      <c r="PJ8">
        <v>2024</v>
      </c>
      <c r="PK8" t="s">
        <v>4424</v>
      </c>
      <c r="PL8" s="6">
        <v>45175</v>
      </c>
      <c r="PM8">
        <v>5</v>
      </c>
      <c r="PN8">
        <v>-2.4245362661989844E-14</v>
      </c>
      <c r="PO8">
        <v>126987</v>
      </c>
      <c r="PP8" t="s">
        <v>4425</v>
      </c>
      <c r="PS8" t="s">
        <v>2856</v>
      </c>
      <c r="PT8">
        <v>-2.4245362661989844E-14</v>
      </c>
      <c r="PV8">
        <v>-2.4245362661989844E-14</v>
      </c>
      <c r="PW8" t="s">
        <v>1789</v>
      </c>
      <c r="PX8">
        <v>2022</v>
      </c>
      <c r="PY8" t="s">
        <v>3111</v>
      </c>
      <c r="PZ8" s="6">
        <v>45055</v>
      </c>
      <c r="QA8">
        <v>5</v>
      </c>
      <c r="QB8">
        <v>-2.4245362661989844E-14</v>
      </c>
      <c r="QC8">
        <v>9152714</v>
      </c>
      <c r="QD8" t="s">
        <v>2858</v>
      </c>
      <c r="UY8" t="s">
        <v>1918</v>
      </c>
      <c r="VA8">
        <v>-2.4245362661989844E-14</v>
      </c>
      <c r="VB8">
        <v>-2.4245362661989844E-14</v>
      </c>
      <c r="VC8" t="s">
        <v>1789</v>
      </c>
      <c r="VD8">
        <v>2021</v>
      </c>
      <c r="VE8" t="s">
        <v>1919</v>
      </c>
      <c r="VF8" s="6">
        <v>44693</v>
      </c>
      <c r="VG8">
        <v>5</v>
      </c>
      <c r="VH8">
        <v>-2.4245362661989844E-14</v>
      </c>
      <c r="VI8">
        <v>100060</v>
      </c>
      <c r="VJ8" t="s">
        <v>1920</v>
      </c>
      <c r="VM8" t="s">
        <v>208</v>
      </c>
      <c r="VN8">
        <v>2.0591710000000001</v>
      </c>
      <c r="VO8" t="s">
        <v>1777</v>
      </c>
      <c r="VP8">
        <v>3.9990999999999999E-2</v>
      </c>
      <c r="VQ8" t="s">
        <v>1773</v>
      </c>
      <c r="VR8">
        <v>2025</v>
      </c>
      <c r="VS8" t="s">
        <v>1819</v>
      </c>
      <c r="VT8" s="6">
        <v>45986</v>
      </c>
      <c r="VU8">
        <v>5</v>
      </c>
      <c r="VV8">
        <v>7157678</v>
      </c>
      <c r="VW8">
        <v>101555</v>
      </c>
      <c r="VX8" t="s">
        <v>1823</v>
      </c>
    </row>
    <row r="9" spans="1:600" x14ac:dyDescent="0.25">
      <c r="LS9" t="s">
        <v>1923</v>
      </c>
      <c r="LU9">
        <v>-2.4245362661989844E-14</v>
      </c>
      <c r="LV9">
        <v>-2.4245362661989844E-14</v>
      </c>
      <c r="LW9" t="s">
        <v>1789</v>
      </c>
      <c r="LX9">
        <v>2021</v>
      </c>
      <c r="LY9" t="s">
        <v>1924</v>
      </c>
      <c r="LZ9" s="6">
        <v>44693</v>
      </c>
      <c r="MA9">
        <v>5</v>
      </c>
      <c r="MB9">
        <v>-2.4245362661989844E-14</v>
      </c>
      <c r="MC9">
        <v>100481</v>
      </c>
      <c r="MD9" t="s">
        <v>1925</v>
      </c>
      <c r="MG9" t="s">
        <v>1792</v>
      </c>
      <c r="MH9">
        <v>-2.4245362661989844E-14</v>
      </c>
      <c r="MJ9">
        <v>-2.4245362661989844E-14</v>
      </c>
      <c r="MK9" t="s">
        <v>1789</v>
      </c>
      <c r="ML9">
        <v>2024</v>
      </c>
      <c r="MM9" t="s">
        <v>1793</v>
      </c>
      <c r="MN9" s="6">
        <v>45728</v>
      </c>
      <c r="MO9">
        <v>5</v>
      </c>
      <c r="MP9">
        <v>-2.4245362661989844E-14</v>
      </c>
      <c r="MQ9">
        <v>8710768</v>
      </c>
      <c r="MR9" t="s">
        <v>1794</v>
      </c>
      <c r="PE9" t="s">
        <v>4426</v>
      </c>
      <c r="PG9">
        <v>-2.4245362661989844E-14</v>
      </c>
      <c r="PH9">
        <v>-2.4245362661989844E-14</v>
      </c>
      <c r="PI9" t="s">
        <v>1789</v>
      </c>
      <c r="PJ9">
        <v>2022</v>
      </c>
      <c r="PK9" t="s">
        <v>4427</v>
      </c>
      <c r="PL9" s="6">
        <v>45033</v>
      </c>
      <c r="PM9">
        <v>5</v>
      </c>
      <c r="PN9">
        <v>-2.4245362661989844E-14</v>
      </c>
      <c r="PO9">
        <v>7360919</v>
      </c>
      <c r="PP9" t="s">
        <v>4428</v>
      </c>
      <c r="PS9" t="s">
        <v>3112</v>
      </c>
      <c r="PT9">
        <v>-2.4245362661989844E-14</v>
      </c>
      <c r="PV9">
        <v>-2.4245362661989844E-14</v>
      </c>
      <c r="PW9" t="s">
        <v>1789</v>
      </c>
      <c r="PX9">
        <v>2022</v>
      </c>
      <c r="PY9" t="s">
        <v>3113</v>
      </c>
      <c r="PZ9" s="6">
        <v>45075</v>
      </c>
      <c r="QA9">
        <v>5</v>
      </c>
      <c r="QB9">
        <v>-2.4245362661989844E-14</v>
      </c>
      <c r="QC9">
        <v>17157811</v>
      </c>
      <c r="QD9" t="s">
        <v>3114</v>
      </c>
      <c r="UY9" t="s">
        <v>1992</v>
      </c>
      <c r="VA9">
        <v>-2.4245362661989844E-14</v>
      </c>
      <c r="VB9">
        <v>-2.4245362661989844E-14</v>
      </c>
      <c r="VC9" t="s">
        <v>1789</v>
      </c>
      <c r="VD9">
        <v>2021</v>
      </c>
      <c r="VE9" t="s">
        <v>1993</v>
      </c>
      <c r="VF9" s="6">
        <v>44693</v>
      </c>
      <c r="VG9">
        <v>5</v>
      </c>
      <c r="VH9">
        <v>-2.4245362661989844E-14</v>
      </c>
      <c r="VI9">
        <v>101690</v>
      </c>
      <c r="VJ9" t="s">
        <v>1994</v>
      </c>
      <c r="VM9" t="s">
        <v>1824</v>
      </c>
      <c r="VN9">
        <v>1.3989849999999999</v>
      </c>
      <c r="VO9" t="s">
        <v>1777</v>
      </c>
      <c r="VP9">
        <v>1.8962E-2</v>
      </c>
      <c r="VQ9" t="s">
        <v>1773</v>
      </c>
      <c r="VR9">
        <v>2025</v>
      </c>
      <c r="VS9" t="s">
        <v>1819</v>
      </c>
      <c r="VT9" s="6">
        <v>45986</v>
      </c>
      <c r="VU9">
        <v>5</v>
      </c>
      <c r="VV9">
        <v>4862872</v>
      </c>
      <c r="VW9">
        <v>100211</v>
      </c>
      <c r="VX9" t="s">
        <v>1825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1697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1698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1699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1700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1701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1702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1703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1704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1705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1706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1707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1708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1709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1710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1711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1712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1713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1714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1715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1716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1717</v>
      </c>
      <c r="AE2" s="3" t="s">
        <v>1718</v>
      </c>
      <c r="BI2" s="3" t="s">
        <v>1719</v>
      </c>
      <c r="CM2" s="3" t="s">
        <v>1720</v>
      </c>
      <c r="DQ2" s="3" t="s">
        <v>1721</v>
      </c>
      <c r="EU2" s="3" t="s">
        <v>1722</v>
      </c>
      <c r="FY2" s="3" t="s">
        <v>1723</v>
      </c>
      <c r="HC2" s="3" t="s">
        <v>1724</v>
      </c>
      <c r="IG2" s="3" t="s">
        <v>1725</v>
      </c>
      <c r="JK2" s="3" t="s">
        <v>1021</v>
      </c>
      <c r="KO2" s="3" t="s">
        <v>1726</v>
      </c>
      <c r="LS2" s="3" t="s">
        <v>1727</v>
      </c>
      <c r="MW2" s="3" t="s">
        <v>1728</v>
      </c>
      <c r="OA2" s="3" t="s">
        <v>1729</v>
      </c>
      <c r="PE2" s="3" t="s">
        <v>1730</v>
      </c>
      <c r="QI2" s="3" t="s">
        <v>1731</v>
      </c>
      <c r="RM2" s="3" t="s">
        <v>235</v>
      </c>
      <c r="SQ2" s="3" t="s">
        <v>602</v>
      </c>
      <c r="TU2" s="3" t="s">
        <v>1732</v>
      </c>
      <c r="UY2" s="3" t="s">
        <v>1583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_xll.BDS("VSB US Equity","SUPPLY_CHAIN_SUPPLIERS_ALL_DATA")</f>
        <v>#N/A N/A</v>
      </c>
      <c r="O5" t="str">
        <f>_xll.BDS("VSB US Equity","SUPPLY_CHAIN_CUSTOMERS_ALL_DATA")</f>
        <v>#N/A N/A</v>
      </c>
      <c r="AE5" t="str">
        <f>_xll.BDS("ABCB US Equity","SUPPLY_CHAIN_SUPPLIERS_ALL_DATA","cols=12;rows=1")</f>
        <v>5158754Z SS Equity</v>
      </c>
      <c r="AG5">
        <v>-2.4245362661989844E-14</v>
      </c>
      <c r="AH5">
        <v>-2.4245362661989844E-14</v>
      </c>
      <c r="AI5" t="s">
        <v>1789</v>
      </c>
      <c r="AJ5">
        <v>2024</v>
      </c>
      <c r="AK5" t="s">
        <v>3327</v>
      </c>
      <c r="AL5" s="6">
        <v>45411</v>
      </c>
      <c r="AM5">
        <v>1</v>
      </c>
      <c r="AN5">
        <v>-2.4245362661989844E-14</v>
      </c>
      <c r="AO5">
        <v>21680435</v>
      </c>
      <c r="AP5" t="s">
        <v>3328</v>
      </c>
      <c r="AS5" t="str">
        <f>_xll.BDS("ABCB US Equity","SUPPLY_CHAIN_CUSTOMERS_ALL_DATA")</f>
        <v>#N/A N/A</v>
      </c>
      <c r="BI5" t="str">
        <f>_xll.BDS("MKTW US Equity","SUPPLY_CHAIN_SUPPLIERS_ALL_DATA")</f>
        <v>#N/A N/A</v>
      </c>
      <c r="BW5" t="str">
        <f>_xll.BDS("MKTW US Equity","SUPPLY_CHAIN_CUSTOMERS_ALL_DATA")</f>
        <v>#N/A N/A</v>
      </c>
      <c r="CM5" t="str">
        <f>_xll.BDS("MCYF US Equity","SUPPLY_CHAIN_SUPPLIERS_ALL_DATA")</f>
        <v>#N/A N/A</v>
      </c>
      <c r="DA5" t="str">
        <f>_xll.BDS("MCYF US Equity","SUPPLY_CHAIN_CUSTOMERS_ALL_DATA")</f>
        <v>#N/A N/A</v>
      </c>
      <c r="DQ5" t="str">
        <f>_xll.BDS("CELPQ US Equity","SUPPLY_CHAIN_SUPPLIERS_ALL_DATA","cols=12;rows=5")</f>
        <v>0287229D US Equity</v>
      </c>
      <c r="DS5">
        <v>-2.4245362661989844E-14</v>
      </c>
      <c r="DT5">
        <v>-2.4245362661989844E-14</v>
      </c>
      <c r="DU5" t="s">
        <v>1768</v>
      </c>
      <c r="DV5">
        <v>2022</v>
      </c>
      <c r="DW5" t="s">
        <v>2643</v>
      </c>
      <c r="DX5" s="6">
        <v>44689</v>
      </c>
      <c r="DY5">
        <v>5</v>
      </c>
      <c r="DZ5">
        <v>-2.4245362661989844E-14</v>
      </c>
      <c r="EA5">
        <v>11498551</v>
      </c>
      <c r="EB5" t="s">
        <v>2644</v>
      </c>
      <c r="EE5" t="str">
        <f>_xll.BDS("CELPQ US Equity","SUPPLY_CHAIN_CUSTOMERS_ALL_DATA")</f>
        <v>#N/A N/A</v>
      </c>
      <c r="EU5" t="str">
        <f>_xll.BDS("ACNB US Equity","SUPPLY_CHAIN_SUPPLIERS_ALL_DATA")</f>
        <v>#N/A N/A</v>
      </c>
      <c r="FI5" t="str">
        <f>_xll.BDS("ACNB US Equity","SUPPLY_CHAIN_CUSTOMERS_ALL_DATA")</f>
        <v>#N/A N/A</v>
      </c>
      <c r="FY5" t="str">
        <f>_xll.BDS("CBF US Equity","SUPPLY_CHAIN_SUPPLIERS_ALL_DATA")</f>
        <v>#N/A N/A</v>
      </c>
      <c r="GM5" t="str">
        <f>_xll.BDS("CBF US Equity","SUPPLY_CHAIN_CUSTOMERS_ALL_DATA")</f>
        <v>#N/A N/A</v>
      </c>
      <c r="HC5" t="str">
        <f>_xll.BDS("BNBN US Equity","SUPPLY_CHAIN_SUPPLIERS_ALL_DATA")</f>
        <v>#N/A N/A</v>
      </c>
      <c r="HQ5" t="str">
        <f>_xll.BDS("BNBN US Equity","SUPPLY_CHAIN_CUSTOMERS_ALL_DATA")</f>
        <v>#N/A N/A</v>
      </c>
      <c r="IG5" t="str">
        <f>_xll.BDS("3029830Q US Equity","SUPPLY_CHAIN_SUPPLIERS_ALL_DATA")</f>
        <v>#N/A N/A</v>
      </c>
      <c r="IU5" t="str">
        <f>_xll.BDS("3029830Q US Equity","SUPPLY_CHAIN_CUSTOMERS_ALL_DATA")</f>
        <v>#N/A N/A</v>
      </c>
      <c r="JK5" t="str">
        <f>_xll.BDS("696119Q US Equity","SUPPLY_CHAIN_SUPPLIERS_ALL_DATA")</f>
        <v>#N/A N/A</v>
      </c>
      <c r="JY5" t="str">
        <f>_xll.BDS("696119Q US Equity","SUPPLY_CHAIN_CUSTOMERS_ALL_DATA")</f>
        <v>#N/A N/A</v>
      </c>
      <c r="KO5" t="str">
        <f>_xll.BDS("TIBX US Equity","SUPPLY_CHAIN_SUPPLIERS_ALL_DATA","cols=12;rows=5")</f>
        <v>ARE US Equity</v>
      </c>
      <c r="KQ5">
        <v>0.67908900000000005</v>
      </c>
      <c r="KR5">
        <v>-2.4245362661989844E-14</v>
      </c>
      <c r="KS5" t="s">
        <v>1789</v>
      </c>
      <c r="KT5">
        <v>2025</v>
      </c>
      <c r="KU5" t="s">
        <v>4203</v>
      </c>
      <c r="KV5" s="6">
        <v>46048</v>
      </c>
      <c r="KW5">
        <v>5</v>
      </c>
      <c r="KX5">
        <v>5138250</v>
      </c>
      <c r="KY5">
        <v>216867</v>
      </c>
      <c r="KZ5" t="s">
        <v>4204</v>
      </c>
      <c r="LC5" t="str">
        <f>_xll.BDS("TIBX US Equity","SUPPLY_CHAIN_CUSTOMERS_ALL_DATA","cols=12;rows=5")</f>
        <v>3565 JP Equity</v>
      </c>
      <c r="LD5">
        <v>-2.4245362661989844E-14</v>
      </c>
      <c r="LF5">
        <v>-2.4245362661989844E-14</v>
      </c>
      <c r="LG5" t="s">
        <v>1773</v>
      </c>
      <c r="LH5">
        <v>2026</v>
      </c>
      <c r="LI5" t="s">
        <v>3091</v>
      </c>
      <c r="LJ5" s="6">
        <v>46006</v>
      </c>
      <c r="LK5">
        <v>5</v>
      </c>
      <c r="LL5">
        <v>-2.4245362661989844E-14</v>
      </c>
      <c r="LM5">
        <v>34983767</v>
      </c>
      <c r="LN5" t="s">
        <v>3092</v>
      </c>
      <c r="LS5" t="str">
        <f>_xll.BDS("SWK US Equity","SUPPLY_CHAIN_SUPPLIERS_ALL_DATA","cols=12;rows=5")</f>
        <v>HCLT IN Equity</v>
      </c>
      <c r="LT5" t="s">
        <v>1808</v>
      </c>
      <c r="LU5">
        <v>1.02416</v>
      </c>
      <c r="LV5">
        <v>5.2262740000000001</v>
      </c>
      <c r="LW5" t="s">
        <v>1768</v>
      </c>
      <c r="LX5">
        <v>2026</v>
      </c>
      <c r="LY5" t="s">
        <v>2627</v>
      </c>
      <c r="LZ5" s="6">
        <v>45986</v>
      </c>
      <c r="MA5">
        <v>5</v>
      </c>
      <c r="MB5">
        <v>37335516.939999998</v>
      </c>
      <c r="MC5">
        <v>995671</v>
      </c>
      <c r="MD5" t="s">
        <v>2628</v>
      </c>
      <c r="MG5" t="str">
        <f>_xll.BDS("SWK US Equity","SUPPLY_CHAIN_CUSTOMERS_ALL_DATA","cols=12;rows=5")</f>
        <v>HD US Equity</v>
      </c>
      <c r="MH5">
        <v>15</v>
      </c>
      <c r="MI5" t="s">
        <v>1777</v>
      </c>
      <c r="MJ5">
        <v>2.066656</v>
      </c>
      <c r="MK5" t="s">
        <v>1789</v>
      </c>
      <c r="ML5">
        <v>2025</v>
      </c>
      <c r="MM5" t="s">
        <v>2845</v>
      </c>
      <c r="MN5" s="6">
        <v>46077</v>
      </c>
      <c r="MO5">
        <v>5</v>
      </c>
      <c r="MP5">
        <v>567390016</v>
      </c>
      <c r="MQ5">
        <v>100743</v>
      </c>
      <c r="MR5" t="s">
        <v>1813</v>
      </c>
      <c r="MW5" t="str">
        <f>_xll.BDS("55148Q US Equity","SUPPLY_CHAIN_SUPPLIERS_ALL_DATA")</f>
        <v>#N/A N/A</v>
      </c>
      <c r="NK5" t="str">
        <f>_xll.BDS("55148Q US Equity","SUPPLY_CHAIN_CUSTOMERS_ALL_DATA")</f>
        <v>#N/A N/A</v>
      </c>
      <c r="OA5" t="str">
        <f>_xll.BDS("TEG US Equity","SUPPLY_CHAIN_SUPPLIERS_ALL_DATA")</f>
        <v>#N/A N/A</v>
      </c>
      <c r="OO5" t="str">
        <f>_xll.BDS("TEG US Equity","SUPPLY_CHAIN_CUSTOMERS_ALL_DATA")</f>
        <v>#N/A N/A</v>
      </c>
      <c r="PE5" t="str">
        <f>_xll.BDS("ALOY US Equity","SUPPLY_CHAIN_SUPPLIERS_ALL_DATA","cols=12;rows=1")</f>
        <v>WHR LN Equity</v>
      </c>
      <c r="PG5">
        <v>1.155824</v>
      </c>
      <c r="PH5">
        <v>-2.4245362661989844E-14</v>
      </c>
      <c r="PI5" t="s">
        <v>1789</v>
      </c>
      <c r="PJ5">
        <v>2025</v>
      </c>
      <c r="PK5" t="s">
        <v>2259</v>
      </c>
      <c r="PL5" s="6">
        <v>45832</v>
      </c>
      <c r="PM5">
        <v>1</v>
      </c>
      <c r="PN5">
        <v>191400</v>
      </c>
      <c r="PO5">
        <v>54635670</v>
      </c>
      <c r="PP5" t="s">
        <v>2260</v>
      </c>
      <c r="PS5" t="str">
        <f>_xll.BDS("ALOY US Equity","SUPPLY_CHAIN_CUSTOMERS_ALL_DATA")</f>
        <v>#N/A N/A</v>
      </c>
      <c r="QI5" t="str">
        <f>_xll.BDS("CRXA US Equity","SUPPLY_CHAIN_SUPPLIERS_ALL_DATA")</f>
        <v>#N/A N/A</v>
      </c>
      <c r="QW5" t="str">
        <f>_xll.BDS("CRXA US Equity","SUPPLY_CHAIN_CUSTOMERS_ALL_DATA")</f>
        <v>#N/A N/A</v>
      </c>
      <c r="RM5" t="str">
        <f>_xll.BDS("1339658D US Equity","SUPPLY_CHAIN_SUPPLIERS_ALL_DATA")</f>
        <v>#N/A N/A</v>
      </c>
      <c r="SA5" t="str">
        <f>_xll.BDS("1339658D US Equity","SUPPLY_CHAIN_CUSTOMERS_ALL_DATA")</f>
        <v>#N/A N/A</v>
      </c>
      <c r="SQ5" t="str">
        <f>_xll.BDS("CBKN US Equity","SUPPLY_CHAIN_SUPPLIERS_ALL_DATA")</f>
        <v>#N/A N/A</v>
      </c>
      <c r="TE5" t="str">
        <f>_xll.BDS("CBKN US Equity","SUPPLY_CHAIN_CUSTOMERS_ALL_DATA")</f>
        <v>#N/A N/A</v>
      </c>
      <c r="TU5" t="str">
        <f>_xll.BDS("MORN US Equity","SUPPLY_CHAIN_SUPPLIERS_ALL_DATA","cols=12;rows=5")</f>
        <v>DLN LN Equity</v>
      </c>
      <c r="TV5" t="s">
        <v>1808</v>
      </c>
      <c r="TW5">
        <v>1.078333</v>
      </c>
      <c r="TX5">
        <v>0.470524</v>
      </c>
      <c r="TY5" t="s">
        <v>2183</v>
      </c>
      <c r="TZ5">
        <v>2025</v>
      </c>
      <c r="UA5" t="s">
        <v>4037</v>
      </c>
      <c r="UB5" s="6">
        <v>45881</v>
      </c>
      <c r="UC5">
        <v>5</v>
      </c>
      <c r="UD5">
        <v>923501.92</v>
      </c>
      <c r="UE5">
        <v>111471</v>
      </c>
      <c r="UF5" t="s">
        <v>4038</v>
      </c>
      <c r="UI5" t="str">
        <f>_xll.BDS("MORN US Equity","SUPPLY_CHAIN_CUSTOMERS_ALL_DATA","cols=12;rows=4")</f>
        <v>0860231D US Equity</v>
      </c>
      <c r="UJ5">
        <v>-2.4245362661989844E-14</v>
      </c>
      <c r="UL5">
        <v>-2.4245362661989844E-14</v>
      </c>
      <c r="UM5" t="s">
        <v>1789</v>
      </c>
      <c r="UN5">
        <v>2022</v>
      </c>
      <c r="UO5" t="s">
        <v>3070</v>
      </c>
      <c r="UP5" s="6">
        <v>44670</v>
      </c>
      <c r="UQ5">
        <v>4</v>
      </c>
      <c r="UR5">
        <v>-2.4245362661989844E-14</v>
      </c>
      <c r="US5">
        <v>36666566</v>
      </c>
      <c r="UT5" t="s">
        <v>3071</v>
      </c>
      <c r="UY5" t="str">
        <f>_xll.BDS("ACAS US Equity","SUPPLY_CHAIN_SUPPLIERS_ALL_DATA")</f>
        <v>#N/A N/A</v>
      </c>
      <c r="VM5" t="str">
        <f>_xll.BDS("ACAS US Equity","SUPPLY_CHAIN_CUSTOMERS_ALL_DATA")</f>
        <v>#N/A N/A</v>
      </c>
    </row>
    <row r="6" spans="1:600" x14ac:dyDescent="0.25">
      <c r="DQ6" t="s">
        <v>2645</v>
      </c>
      <c r="DS6">
        <v>-2.4245362661989844E-14</v>
      </c>
      <c r="DT6">
        <v>-2.4245362661989844E-14</v>
      </c>
      <c r="DU6" t="s">
        <v>1768</v>
      </c>
      <c r="DV6">
        <v>2022</v>
      </c>
      <c r="DW6" t="s">
        <v>2643</v>
      </c>
      <c r="DX6" s="6">
        <v>44689</v>
      </c>
      <c r="DY6">
        <v>5</v>
      </c>
      <c r="DZ6">
        <v>-2.4245362661989844E-14</v>
      </c>
      <c r="EA6">
        <v>34384591</v>
      </c>
      <c r="EB6" t="s">
        <v>2646</v>
      </c>
      <c r="KO6" t="s">
        <v>165</v>
      </c>
      <c r="KQ6">
        <v>-2.4245362661989844E-14</v>
      </c>
      <c r="KR6">
        <v>-2.4245362661989844E-14</v>
      </c>
      <c r="KS6" t="s">
        <v>1789</v>
      </c>
      <c r="KT6">
        <v>2025</v>
      </c>
      <c r="KU6" t="s">
        <v>3093</v>
      </c>
      <c r="KV6" s="6">
        <v>45673</v>
      </c>
      <c r="KW6">
        <v>5</v>
      </c>
      <c r="KX6">
        <v>-2.4245362661989844E-14</v>
      </c>
      <c r="KY6">
        <v>100115</v>
      </c>
      <c r="KZ6" t="s">
        <v>1871</v>
      </c>
      <c r="LC6" t="s">
        <v>165</v>
      </c>
      <c r="LD6">
        <v>-2.4245362661989844E-14</v>
      </c>
      <c r="LF6">
        <v>-2.4245362661989844E-14</v>
      </c>
      <c r="LG6" t="s">
        <v>1789</v>
      </c>
      <c r="LH6">
        <v>2024</v>
      </c>
      <c r="LI6" t="s">
        <v>3093</v>
      </c>
      <c r="LJ6" s="6">
        <v>45533</v>
      </c>
      <c r="LK6">
        <v>5</v>
      </c>
      <c r="LL6">
        <v>-2.4245362661989844E-14</v>
      </c>
      <c r="LM6">
        <v>100115</v>
      </c>
      <c r="LN6" t="s">
        <v>1871</v>
      </c>
      <c r="LS6" t="s">
        <v>2993</v>
      </c>
      <c r="LT6" t="s">
        <v>1777</v>
      </c>
      <c r="LU6">
        <v>38.389999000000003</v>
      </c>
      <c r="LV6">
        <v>0.61032399999999998</v>
      </c>
      <c r="LW6" t="s">
        <v>1789</v>
      </c>
      <c r="LX6">
        <v>2024</v>
      </c>
      <c r="LY6" t="s">
        <v>2994</v>
      </c>
      <c r="LZ6" s="6">
        <v>45807</v>
      </c>
      <c r="MA6">
        <v>5</v>
      </c>
      <c r="MB6">
        <v>16395390.09</v>
      </c>
      <c r="MC6">
        <v>26158262</v>
      </c>
      <c r="MD6" t="s">
        <v>2995</v>
      </c>
      <c r="MG6" t="s">
        <v>1872</v>
      </c>
      <c r="MH6">
        <v>12</v>
      </c>
      <c r="MI6" t="s">
        <v>1777</v>
      </c>
      <c r="MJ6">
        <v>3.2448359999999998</v>
      </c>
      <c r="MK6" t="s">
        <v>1789</v>
      </c>
      <c r="ML6">
        <v>2025</v>
      </c>
      <c r="MM6" t="s">
        <v>2845</v>
      </c>
      <c r="MN6" s="6">
        <v>46077</v>
      </c>
      <c r="MO6">
        <v>5</v>
      </c>
      <c r="MP6">
        <v>453912000</v>
      </c>
      <c r="MQ6">
        <v>100916</v>
      </c>
      <c r="MR6" t="s">
        <v>1874</v>
      </c>
      <c r="TU6" t="s">
        <v>4039</v>
      </c>
      <c r="TV6" t="s">
        <v>1808</v>
      </c>
      <c r="TW6">
        <v>2.2999999999999998</v>
      </c>
      <c r="TX6">
        <v>0.38096200000000002</v>
      </c>
      <c r="TY6" t="s">
        <v>1773</v>
      </c>
      <c r="TZ6">
        <v>2025</v>
      </c>
      <c r="UA6" t="s">
        <v>4040</v>
      </c>
      <c r="UB6" s="6">
        <v>45967</v>
      </c>
      <c r="UC6">
        <v>5</v>
      </c>
      <c r="UD6">
        <v>767406.8</v>
      </c>
      <c r="UE6">
        <v>179603</v>
      </c>
      <c r="UF6" t="s">
        <v>4041</v>
      </c>
      <c r="UI6" t="s">
        <v>3072</v>
      </c>
      <c r="UJ6">
        <v>-2.4245362661989844E-14</v>
      </c>
      <c r="UL6">
        <v>-2.4245362661989844E-14</v>
      </c>
      <c r="UM6" t="s">
        <v>1789</v>
      </c>
      <c r="UN6">
        <v>2025</v>
      </c>
      <c r="UO6" t="s">
        <v>3073</v>
      </c>
      <c r="UP6" s="6">
        <v>45825</v>
      </c>
      <c r="UQ6">
        <v>4</v>
      </c>
      <c r="UR6">
        <v>-2.4245362661989844E-14</v>
      </c>
      <c r="US6">
        <v>1456292</v>
      </c>
      <c r="UT6" t="s">
        <v>3074</v>
      </c>
    </row>
    <row r="7" spans="1:600" x14ac:dyDescent="0.25">
      <c r="DQ7" t="s">
        <v>2647</v>
      </c>
      <c r="DS7">
        <v>-2.4245362661989844E-14</v>
      </c>
      <c r="DT7">
        <v>-2.4245362661989844E-14</v>
      </c>
      <c r="DU7" t="s">
        <v>1768</v>
      </c>
      <c r="DV7">
        <v>2022</v>
      </c>
      <c r="DW7" t="s">
        <v>2643</v>
      </c>
      <c r="DX7" s="6">
        <v>44689</v>
      </c>
      <c r="DY7">
        <v>5</v>
      </c>
      <c r="DZ7">
        <v>-2.4245362661989844E-14</v>
      </c>
      <c r="EA7">
        <v>36951889</v>
      </c>
      <c r="EB7" t="s">
        <v>2648</v>
      </c>
      <c r="KO7" t="s">
        <v>4205</v>
      </c>
      <c r="KQ7">
        <v>-2.4245362661989844E-14</v>
      </c>
      <c r="KR7">
        <v>-2.4245362661989844E-14</v>
      </c>
      <c r="KS7" t="s">
        <v>1789</v>
      </c>
      <c r="KT7">
        <v>2022</v>
      </c>
      <c r="KU7" t="s">
        <v>4206</v>
      </c>
      <c r="KV7" s="6">
        <v>44986</v>
      </c>
      <c r="KW7">
        <v>5</v>
      </c>
      <c r="KX7">
        <v>-2.4245362661989844E-14</v>
      </c>
      <c r="KY7">
        <v>1197519</v>
      </c>
      <c r="KZ7" t="s">
        <v>4207</v>
      </c>
      <c r="LC7" t="s">
        <v>2489</v>
      </c>
      <c r="LD7">
        <v>-2.4245362661989844E-14</v>
      </c>
      <c r="LF7">
        <v>-2.4245362661989844E-14</v>
      </c>
      <c r="LG7" t="s">
        <v>1789</v>
      </c>
      <c r="LH7">
        <v>2021</v>
      </c>
      <c r="LI7" t="s">
        <v>3094</v>
      </c>
      <c r="LJ7" s="6">
        <v>44657</v>
      </c>
      <c r="LK7">
        <v>5</v>
      </c>
      <c r="LL7">
        <v>-2.4245362661989844E-14</v>
      </c>
      <c r="LM7">
        <v>115240</v>
      </c>
      <c r="LN7" t="s">
        <v>2491</v>
      </c>
      <c r="LS7" t="s">
        <v>744</v>
      </c>
      <c r="LT7" t="s">
        <v>1777</v>
      </c>
      <c r="LU7">
        <v>0.42813800000000002</v>
      </c>
      <c r="LV7">
        <v>0.34752</v>
      </c>
      <c r="LW7" t="s">
        <v>1773</v>
      </c>
      <c r="LX7">
        <v>2025</v>
      </c>
      <c r="LY7" t="s">
        <v>2465</v>
      </c>
      <c r="LZ7" s="6">
        <v>46018</v>
      </c>
      <c r="MA7">
        <v>5</v>
      </c>
      <c r="MB7">
        <v>9427599</v>
      </c>
      <c r="MC7">
        <v>126747</v>
      </c>
      <c r="MD7" t="s">
        <v>2466</v>
      </c>
      <c r="MG7" t="s">
        <v>1801</v>
      </c>
      <c r="MH7">
        <v>4.2328729999999997</v>
      </c>
      <c r="MI7" t="s">
        <v>1777</v>
      </c>
      <c r="MJ7">
        <v>0.12246799999999999</v>
      </c>
      <c r="MK7" t="s">
        <v>1768</v>
      </c>
      <c r="ML7">
        <v>2025</v>
      </c>
      <c r="MM7" t="s">
        <v>2367</v>
      </c>
      <c r="MN7" s="6">
        <v>45918</v>
      </c>
      <c r="MO7">
        <v>5</v>
      </c>
      <c r="MP7">
        <v>162602640</v>
      </c>
      <c r="MQ7">
        <v>101616</v>
      </c>
      <c r="MR7" t="s">
        <v>1803</v>
      </c>
      <c r="TU7" t="s">
        <v>3075</v>
      </c>
      <c r="TV7" t="s">
        <v>1777</v>
      </c>
      <c r="TW7">
        <v>5.1110000000000001E-3</v>
      </c>
      <c r="TX7">
        <v>8.25E-4</v>
      </c>
      <c r="TY7" t="s">
        <v>1789</v>
      </c>
      <c r="TZ7">
        <v>2024</v>
      </c>
      <c r="UA7" t="s">
        <v>3076</v>
      </c>
      <c r="UB7" s="6">
        <v>45731</v>
      </c>
      <c r="UC7">
        <v>5</v>
      </c>
      <c r="UD7">
        <v>1848.45</v>
      </c>
      <c r="UE7">
        <v>128445</v>
      </c>
      <c r="UF7" t="s">
        <v>3077</v>
      </c>
      <c r="UI7" t="s">
        <v>3075</v>
      </c>
      <c r="UJ7">
        <v>-2.4245362661989844E-14</v>
      </c>
      <c r="UL7">
        <v>-2.4245362661989844E-14</v>
      </c>
      <c r="UM7" t="s">
        <v>1789</v>
      </c>
      <c r="UN7">
        <v>2024</v>
      </c>
      <c r="UO7" t="s">
        <v>3076</v>
      </c>
      <c r="UP7" s="6">
        <v>45731</v>
      </c>
      <c r="UQ7">
        <v>4</v>
      </c>
      <c r="UR7">
        <v>-2.4245362661989844E-14</v>
      </c>
      <c r="US7">
        <v>128445</v>
      </c>
      <c r="UT7" t="s">
        <v>3077</v>
      </c>
    </row>
    <row r="8" spans="1:600" x14ac:dyDescent="0.25">
      <c r="DQ8" t="s">
        <v>2649</v>
      </c>
      <c r="DS8">
        <v>-2.4245362661989844E-14</v>
      </c>
      <c r="DT8">
        <v>-2.4245362661989844E-14</v>
      </c>
      <c r="DU8" t="s">
        <v>1768</v>
      </c>
      <c r="DV8">
        <v>2022</v>
      </c>
      <c r="DW8" t="s">
        <v>2643</v>
      </c>
      <c r="DX8" s="6">
        <v>44689</v>
      </c>
      <c r="DY8">
        <v>5</v>
      </c>
      <c r="DZ8">
        <v>-2.4245362661989844E-14</v>
      </c>
      <c r="EA8">
        <v>38468581</v>
      </c>
      <c r="EB8" t="s">
        <v>2650</v>
      </c>
      <c r="KO8" t="s">
        <v>4208</v>
      </c>
      <c r="KQ8">
        <v>-2.4245362661989844E-14</v>
      </c>
      <c r="KR8">
        <v>-2.4245362661989844E-14</v>
      </c>
      <c r="KS8" t="s">
        <v>1789</v>
      </c>
      <c r="KT8">
        <v>2021</v>
      </c>
      <c r="KU8" t="s">
        <v>4209</v>
      </c>
      <c r="KV8" s="6">
        <v>44631</v>
      </c>
      <c r="KW8">
        <v>5</v>
      </c>
      <c r="KX8">
        <v>-2.4245362661989844E-14</v>
      </c>
      <c r="KY8">
        <v>7419924</v>
      </c>
      <c r="KZ8" t="s">
        <v>4210</v>
      </c>
      <c r="LC8" t="s">
        <v>1864</v>
      </c>
      <c r="LD8">
        <v>-2.4245362661989844E-14</v>
      </c>
      <c r="LF8">
        <v>-2.4245362661989844E-14</v>
      </c>
      <c r="LG8" t="s">
        <v>1773</v>
      </c>
      <c r="LH8">
        <v>2022</v>
      </c>
      <c r="LI8" t="s">
        <v>3095</v>
      </c>
      <c r="LJ8" s="6">
        <v>44957</v>
      </c>
      <c r="LK8">
        <v>5</v>
      </c>
      <c r="LL8">
        <v>-2.4245362661989844E-14</v>
      </c>
      <c r="LM8">
        <v>12129192</v>
      </c>
      <c r="LN8" t="s">
        <v>1866</v>
      </c>
      <c r="LS8" t="s">
        <v>2996</v>
      </c>
      <c r="LT8" t="s">
        <v>1777</v>
      </c>
      <c r="LU8">
        <v>0.113063</v>
      </c>
      <c r="LV8">
        <v>0.16323099999999999</v>
      </c>
      <c r="LW8" t="s">
        <v>1768</v>
      </c>
      <c r="LX8">
        <v>2025</v>
      </c>
      <c r="LY8" t="s">
        <v>2997</v>
      </c>
      <c r="LZ8" s="6">
        <v>45957</v>
      </c>
      <c r="MA8">
        <v>5</v>
      </c>
      <c r="MB8">
        <v>4428159</v>
      </c>
      <c r="MC8">
        <v>116563</v>
      </c>
      <c r="MD8" t="s">
        <v>2998</v>
      </c>
      <c r="MG8" t="s">
        <v>1814</v>
      </c>
      <c r="MH8">
        <v>4.2264080000000002</v>
      </c>
      <c r="MI8" t="s">
        <v>1777</v>
      </c>
      <c r="MJ8">
        <v>0.20091100000000001</v>
      </c>
      <c r="MK8" t="s">
        <v>1768</v>
      </c>
      <c r="ML8">
        <v>2025</v>
      </c>
      <c r="MM8" t="s">
        <v>2367</v>
      </c>
      <c r="MN8" s="6">
        <v>45918</v>
      </c>
      <c r="MO8">
        <v>5</v>
      </c>
      <c r="MP8">
        <v>162354288</v>
      </c>
      <c r="MQ8">
        <v>216952</v>
      </c>
      <c r="MR8" t="s">
        <v>1815</v>
      </c>
      <c r="TU8" t="s">
        <v>3072</v>
      </c>
      <c r="TW8">
        <v>-2.4245362661989844E-14</v>
      </c>
      <c r="TX8">
        <v>-2.4245362661989844E-14</v>
      </c>
      <c r="TY8" t="s">
        <v>1789</v>
      </c>
      <c r="TZ8">
        <v>2022</v>
      </c>
      <c r="UA8" t="s">
        <v>4042</v>
      </c>
      <c r="UB8" s="6">
        <v>44736</v>
      </c>
      <c r="UC8">
        <v>5</v>
      </c>
      <c r="UD8">
        <v>-2.4245362661989844E-14</v>
      </c>
      <c r="UE8">
        <v>1456292</v>
      </c>
      <c r="UF8" t="s">
        <v>3074</v>
      </c>
      <c r="UI8" t="s">
        <v>3078</v>
      </c>
      <c r="UJ8">
        <v>-2.4245362661989844E-14</v>
      </c>
      <c r="UL8">
        <v>-2.4245362661989844E-14</v>
      </c>
      <c r="UM8" t="s">
        <v>1773</v>
      </c>
      <c r="UN8">
        <v>2023</v>
      </c>
      <c r="UO8" t="s">
        <v>3079</v>
      </c>
      <c r="UP8" s="6">
        <v>45028</v>
      </c>
      <c r="UQ8">
        <v>4</v>
      </c>
      <c r="UR8">
        <v>-2.4245362661989844E-14</v>
      </c>
      <c r="US8">
        <v>154348</v>
      </c>
      <c r="UT8" t="s">
        <v>3080</v>
      </c>
    </row>
    <row r="9" spans="1:600" x14ac:dyDescent="0.25">
      <c r="DQ9" t="s">
        <v>2651</v>
      </c>
      <c r="DS9">
        <v>-2.4245362661989844E-14</v>
      </c>
      <c r="DT9">
        <v>-2.4245362661989844E-14</v>
      </c>
      <c r="DU9" t="s">
        <v>1768</v>
      </c>
      <c r="DV9">
        <v>2022</v>
      </c>
      <c r="DW9" t="s">
        <v>2643</v>
      </c>
      <c r="DX9" s="6">
        <v>44689</v>
      </c>
      <c r="DY9">
        <v>5</v>
      </c>
      <c r="DZ9">
        <v>-2.4245362661989844E-14</v>
      </c>
      <c r="EA9">
        <v>19690149</v>
      </c>
      <c r="EB9" t="s">
        <v>2652</v>
      </c>
      <c r="KO9" t="s">
        <v>4211</v>
      </c>
      <c r="KQ9">
        <v>-2.4245362661989844E-14</v>
      </c>
      <c r="KR9">
        <v>-2.4245362661989844E-14</v>
      </c>
      <c r="KS9" t="s">
        <v>1789</v>
      </c>
      <c r="KT9">
        <v>2024</v>
      </c>
      <c r="KU9" t="s">
        <v>4212</v>
      </c>
      <c r="KV9" s="6">
        <v>45736</v>
      </c>
      <c r="KW9">
        <v>5</v>
      </c>
      <c r="KX9">
        <v>-2.4245362661989844E-14</v>
      </c>
      <c r="KY9">
        <v>125287</v>
      </c>
      <c r="KZ9" t="s">
        <v>4213</v>
      </c>
      <c r="LC9" t="s">
        <v>3096</v>
      </c>
      <c r="LD9">
        <v>-2.4245362661989844E-14</v>
      </c>
      <c r="LF9">
        <v>-2.4245362661989844E-14</v>
      </c>
      <c r="LG9" t="s">
        <v>1789</v>
      </c>
      <c r="LH9">
        <v>2023</v>
      </c>
      <c r="LI9" t="s">
        <v>3097</v>
      </c>
      <c r="LJ9" s="6">
        <v>45329</v>
      </c>
      <c r="LK9">
        <v>5</v>
      </c>
      <c r="LL9">
        <v>-2.4245362661989844E-14</v>
      </c>
      <c r="LM9">
        <v>43152573</v>
      </c>
      <c r="LN9" t="s">
        <v>3098</v>
      </c>
      <c r="LS9" t="s">
        <v>2999</v>
      </c>
      <c r="LT9" t="s">
        <v>1777</v>
      </c>
      <c r="LU9">
        <v>0.175042</v>
      </c>
      <c r="LV9">
        <v>0.14444399999999999</v>
      </c>
      <c r="LW9" t="s">
        <v>1773</v>
      </c>
      <c r="LX9">
        <v>2025</v>
      </c>
      <c r="LY9" t="s">
        <v>3000</v>
      </c>
      <c r="LZ9" s="6">
        <v>46077</v>
      </c>
      <c r="MA9">
        <v>5</v>
      </c>
      <c r="MB9">
        <v>3853629.74</v>
      </c>
      <c r="MC9">
        <v>117928</v>
      </c>
      <c r="MD9" t="s">
        <v>3001</v>
      </c>
      <c r="MG9" t="s">
        <v>2846</v>
      </c>
      <c r="MH9">
        <v>1.6135250000000001</v>
      </c>
      <c r="MI9" t="s">
        <v>1777</v>
      </c>
      <c r="MJ9">
        <v>1.4514400000000001</v>
      </c>
      <c r="MK9" t="s">
        <v>1773</v>
      </c>
      <c r="ML9">
        <v>2025</v>
      </c>
      <c r="MM9" t="s">
        <v>2847</v>
      </c>
      <c r="MN9" s="6">
        <v>45926</v>
      </c>
      <c r="MO9">
        <v>5</v>
      </c>
      <c r="MP9">
        <v>64924871.189999998</v>
      </c>
      <c r="MQ9">
        <v>191315</v>
      </c>
      <c r="MR9" t="s">
        <v>2848</v>
      </c>
      <c r="TU9" t="s">
        <v>4043</v>
      </c>
      <c r="TW9">
        <v>-2.4245362661989844E-14</v>
      </c>
      <c r="TX9">
        <v>-2.4245362661989844E-14</v>
      </c>
      <c r="TY9" t="s">
        <v>1789</v>
      </c>
      <c r="TZ9">
        <v>2022</v>
      </c>
      <c r="UA9" t="s">
        <v>4044</v>
      </c>
      <c r="UB9" s="6">
        <v>44901</v>
      </c>
      <c r="UC9">
        <v>5</v>
      </c>
      <c r="UD9">
        <v>-2.4245362661989844E-14</v>
      </c>
      <c r="UE9">
        <v>25318666</v>
      </c>
      <c r="UF9" t="s">
        <v>4045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B9"/>
  <sheetViews>
    <sheetView workbookViewId="0"/>
  </sheetViews>
  <sheetFormatPr defaultRowHeight="15" x14ac:dyDescent="0.25"/>
  <cols>
    <col min="1" max="600" width="14" customWidth="1"/>
  </cols>
  <sheetData>
    <row r="1" spans="1:600" x14ac:dyDescent="0.25">
      <c r="A1" s="1" t="s">
        <v>1733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1734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 t="s">
        <v>1735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1" t="s">
        <v>1736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1" t="s">
        <v>1737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1" t="s">
        <v>1738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1" t="s">
        <v>1739</v>
      </c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1" t="s">
        <v>1740</v>
      </c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1" t="s">
        <v>1741</v>
      </c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1" t="s">
        <v>1742</v>
      </c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1" t="s">
        <v>1743</v>
      </c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1" t="s">
        <v>1744</v>
      </c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1" t="s">
        <v>1745</v>
      </c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1" t="s">
        <v>1746</v>
      </c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1" t="s">
        <v>1747</v>
      </c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1" t="s">
        <v>1748</v>
      </c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1" t="s">
        <v>1749</v>
      </c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1" t="s">
        <v>1750</v>
      </c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1" t="s">
        <v>1751</v>
      </c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1" t="s">
        <v>1752</v>
      </c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</row>
    <row r="2" spans="1:600" x14ac:dyDescent="0.25">
      <c r="A2" s="3" t="s">
        <v>1753</v>
      </c>
      <c r="AE2" s="3" t="s">
        <v>1754</v>
      </c>
      <c r="BI2" s="3" t="s">
        <v>1755</v>
      </c>
      <c r="CM2" s="3" t="s">
        <v>1756</v>
      </c>
      <c r="DQ2" s="3" t="s">
        <v>1190</v>
      </c>
      <c r="EU2" s="3" t="s">
        <v>614</v>
      </c>
      <c r="FY2" s="3" t="s">
        <v>163</v>
      </c>
      <c r="HC2" s="3" t="s">
        <v>1757</v>
      </c>
      <c r="IG2" s="3" t="s">
        <v>1758</v>
      </c>
      <c r="JK2" s="3" t="s">
        <v>1759</v>
      </c>
      <c r="KO2" s="3" t="s">
        <v>1760</v>
      </c>
      <c r="LS2" s="3" t="s">
        <v>1761</v>
      </c>
      <c r="MW2" s="3" t="s">
        <v>1762</v>
      </c>
      <c r="OA2" s="3" t="s">
        <v>1763</v>
      </c>
      <c r="PE2" s="3" t="s">
        <v>1125</v>
      </c>
      <c r="QI2" s="3" t="s">
        <v>1764</v>
      </c>
      <c r="RM2" s="3" t="s">
        <v>614</v>
      </c>
      <c r="SQ2" s="3" t="s">
        <v>1765</v>
      </c>
      <c r="TU2" s="3" t="s">
        <v>1766</v>
      </c>
      <c r="UY2" s="3" t="s">
        <v>421</v>
      </c>
    </row>
    <row r="3" spans="1:600" x14ac:dyDescent="0.25">
      <c r="A3" s="4" t="s">
        <v>40</v>
      </c>
      <c r="O3" s="4" t="s">
        <v>41</v>
      </c>
      <c r="AE3" s="4" t="s">
        <v>40</v>
      </c>
      <c r="AS3" s="4" t="s">
        <v>41</v>
      </c>
      <c r="BI3" s="4" t="s">
        <v>40</v>
      </c>
      <c r="BW3" s="4" t="s">
        <v>41</v>
      </c>
      <c r="CM3" s="4" t="s">
        <v>40</v>
      </c>
      <c r="DA3" s="4" t="s">
        <v>41</v>
      </c>
      <c r="DQ3" s="4" t="s">
        <v>40</v>
      </c>
      <c r="EE3" s="4" t="s">
        <v>41</v>
      </c>
      <c r="EU3" s="4" t="s">
        <v>40</v>
      </c>
      <c r="FI3" s="4" t="s">
        <v>41</v>
      </c>
      <c r="FY3" s="4" t="s">
        <v>40</v>
      </c>
      <c r="GM3" s="4" t="s">
        <v>41</v>
      </c>
      <c r="HC3" s="4" t="s">
        <v>40</v>
      </c>
      <c r="HQ3" s="4" t="s">
        <v>41</v>
      </c>
      <c r="IG3" s="4" t="s">
        <v>40</v>
      </c>
      <c r="IU3" s="4" t="s">
        <v>41</v>
      </c>
      <c r="JK3" s="4" t="s">
        <v>40</v>
      </c>
      <c r="JY3" s="4" t="s">
        <v>41</v>
      </c>
      <c r="KO3" s="4" t="s">
        <v>40</v>
      </c>
      <c r="LC3" s="4" t="s">
        <v>41</v>
      </c>
      <c r="LS3" s="4" t="s">
        <v>40</v>
      </c>
      <c r="MG3" s="4" t="s">
        <v>41</v>
      </c>
      <c r="MW3" s="4" t="s">
        <v>40</v>
      </c>
      <c r="NK3" s="4" t="s">
        <v>41</v>
      </c>
      <c r="OA3" s="4" t="s">
        <v>40</v>
      </c>
      <c r="OO3" s="4" t="s">
        <v>41</v>
      </c>
      <c r="PE3" s="4" t="s">
        <v>40</v>
      </c>
      <c r="PS3" s="4" t="s">
        <v>41</v>
      </c>
      <c r="QI3" s="4" t="s">
        <v>40</v>
      </c>
      <c r="QW3" s="4" t="s">
        <v>41</v>
      </c>
      <c r="RM3" s="4" t="s">
        <v>40</v>
      </c>
      <c r="SA3" s="4" t="s">
        <v>41</v>
      </c>
      <c r="SQ3" s="4" t="s">
        <v>40</v>
      </c>
      <c r="TE3" s="4" t="s">
        <v>41</v>
      </c>
      <c r="TU3" s="4" t="s">
        <v>40</v>
      </c>
      <c r="UI3" s="4" t="s">
        <v>41</v>
      </c>
      <c r="UY3" s="4" t="s">
        <v>40</v>
      </c>
      <c r="VM3" s="4" t="s">
        <v>41</v>
      </c>
    </row>
    <row r="4" spans="1:600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49</v>
      </c>
      <c r="I4" s="5" t="s">
        <v>50</v>
      </c>
      <c r="J4" s="5" t="s">
        <v>51</v>
      </c>
      <c r="K4" s="5" t="s">
        <v>52</v>
      </c>
      <c r="L4" s="5" t="s">
        <v>53</v>
      </c>
      <c r="O4" s="5" t="s">
        <v>42</v>
      </c>
      <c r="P4" s="5" t="s">
        <v>43</v>
      </c>
      <c r="Q4" s="5" t="s">
        <v>44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E4" s="5" t="s">
        <v>42</v>
      </c>
      <c r="AF4" s="5" t="s">
        <v>43</v>
      </c>
      <c r="AG4" s="5" t="s">
        <v>44</v>
      </c>
      <c r="AH4" s="5" t="s">
        <v>45</v>
      </c>
      <c r="AI4" s="5" t="s">
        <v>46</v>
      </c>
      <c r="AJ4" s="5" t="s">
        <v>47</v>
      </c>
      <c r="AK4" s="5" t="s">
        <v>48</v>
      </c>
      <c r="AL4" s="5" t="s">
        <v>49</v>
      </c>
      <c r="AM4" s="5" t="s">
        <v>50</v>
      </c>
      <c r="AN4" s="5" t="s">
        <v>51</v>
      </c>
      <c r="AO4" s="5" t="s">
        <v>52</v>
      </c>
      <c r="AP4" s="5" t="s">
        <v>53</v>
      </c>
      <c r="AS4" s="5" t="s">
        <v>42</v>
      </c>
      <c r="AT4" s="5" t="s">
        <v>43</v>
      </c>
      <c r="AU4" s="5" t="s">
        <v>44</v>
      </c>
      <c r="AV4" s="5" t="s">
        <v>45</v>
      </c>
      <c r="AW4" s="5" t="s">
        <v>46</v>
      </c>
      <c r="AX4" s="5" t="s">
        <v>47</v>
      </c>
      <c r="AY4" s="5" t="s">
        <v>48</v>
      </c>
      <c r="AZ4" s="5" t="s">
        <v>49</v>
      </c>
      <c r="BA4" s="5" t="s">
        <v>50</v>
      </c>
      <c r="BB4" s="5" t="s">
        <v>51</v>
      </c>
      <c r="BC4" s="5" t="s">
        <v>52</v>
      </c>
      <c r="BD4" s="5" t="s">
        <v>53</v>
      </c>
      <c r="BI4" s="5" t="s">
        <v>42</v>
      </c>
      <c r="BJ4" s="5" t="s">
        <v>43</v>
      </c>
      <c r="BK4" s="5" t="s">
        <v>44</v>
      </c>
      <c r="BL4" s="5" t="s">
        <v>45</v>
      </c>
      <c r="BM4" s="5" t="s">
        <v>46</v>
      </c>
      <c r="BN4" s="5" t="s">
        <v>47</v>
      </c>
      <c r="BO4" s="5" t="s">
        <v>48</v>
      </c>
      <c r="BP4" s="5" t="s">
        <v>49</v>
      </c>
      <c r="BQ4" s="5" t="s">
        <v>50</v>
      </c>
      <c r="BR4" s="5" t="s">
        <v>51</v>
      </c>
      <c r="BS4" s="5" t="s">
        <v>52</v>
      </c>
      <c r="BT4" s="5" t="s">
        <v>53</v>
      </c>
      <c r="BW4" s="5" t="s">
        <v>42</v>
      </c>
      <c r="BX4" s="5" t="s">
        <v>43</v>
      </c>
      <c r="BY4" s="5" t="s">
        <v>44</v>
      </c>
      <c r="BZ4" s="5" t="s">
        <v>45</v>
      </c>
      <c r="CA4" s="5" t="s">
        <v>46</v>
      </c>
      <c r="CB4" s="5" t="s">
        <v>47</v>
      </c>
      <c r="CC4" s="5" t="s">
        <v>48</v>
      </c>
      <c r="CD4" s="5" t="s">
        <v>49</v>
      </c>
      <c r="CE4" s="5" t="s">
        <v>50</v>
      </c>
      <c r="CF4" s="5" t="s">
        <v>51</v>
      </c>
      <c r="CG4" s="5" t="s">
        <v>52</v>
      </c>
      <c r="CH4" s="5" t="s">
        <v>53</v>
      </c>
      <c r="CM4" s="5" t="s">
        <v>42</v>
      </c>
      <c r="CN4" s="5" t="s">
        <v>43</v>
      </c>
      <c r="CO4" s="5" t="s">
        <v>44</v>
      </c>
      <c r="CP4" s="5" t="s">
        <v>45</v>
      </c>
      <c r="CQ4" s="5" t="s">
        <v>46</v>
      </c>
      <c r="CR4" s="5" t="s">
        <v>47</v>
      </c>
      <c r="CS4" s="5" t="s">
        <v>48</v>
      </c>
      <c r="CT4" s="5" t="s">
        <v>49</v>
      </c>
      <c r="CU4" s="5" t="s">
        <v>50</v>
      </c>
      <c r="CV4" s="5" t="s">
        <v>51</v>
      </c>
      <c r="CW4" s="5" t="s">
        <v>52</v>
      </c>
      <c r="CX4" s="5" t="s">
        <v>53</v>
      </c>
      <c r="DA4" s="5" t="s">
        <v>42</v>
      </c>
      <c r="DB4" s="5" t="s">
        <v>43</v>
      </c>
      <c r="DC4" s="5" t="s">
        <v>44</v>
      </c>
      <c r="DD4" s="5" t="s">
        <v>45</v>
      </c>
      <c r="DE4" s="5" t="s">
        <v>46</v>
      </c>
      <c r="DF4" s="5" t="s">
        <v>47</v>
      </c>
      <c r="DG4" s="5" t="s">
        <v>48</v>
      </c>
      <c r="DH4" s="5" t="s">
        <v>49</v>
      </c>
      <c r="DI4" s="5" t="s">
        <v>50</v>
      </c>
      <c r="DJ4" s="5" t="s">
        <v>51</v>
      </c>
      <c r="DK4" s="5" t="s">
        <v>52</v>
      </c>
      <c r="DL4" s="5" t="s">
        <v>53</v>
      </c>
      <c r="DQ4" s="5" t="s">
        <v>42</v>
      </c>
      <c r="DR4" s="5" t="s">
        <v>43</v>
      </c>
      <c r="DS4" s="5" t="s">
        <v>44</v>
      </c>
      <c r="DT4" s="5" t="s">
        <v>45</v>
      </c>
      <c r="DU4" s="5" t="s">
        <v>46</v>
      </c>
      <c r="DV4" s="5" t="s">
        <v>47</v>
      </c>
      <c r="DW4" s="5" t="s">
        <v>48</v>
      </c>
      <c r="DX4" s="5" t="s">
        <v>49</v>
      </c>
      <c r="DY4" s="5" t="s">
        <v>50</v>
      </c>
      <c r="DZ4" s="5" t="s">
        <v>51</v>
      </c>
      <c r="EA4" s="5" t="s">
        <v>52</v>
      </c>
      <c r="EB4" s="5" t="s">
        <v>53</v>
      </c>
      <c r="EE4" s="5" t="s">
        <v>42</v>
      </c>
      <c r="EF4" s="5" t="s">
        <v>43</v>
      </c>
      <c r="EG4" s="5" t="s">
        <v>44</v>
      </c>
      <c r="EH4" s="5" t="s">
        <v>45</v>
      </c>
      <c r="EI4" s="5" t="s">
        <v>46</v>
      </c>
      <c r="EJ4" s="5" t="s">
        <v>47</v>
      </c>
      <c r="EK4" s="5" t="s">
        <v>48</v>
      </c>
      <c r="EL4" s="5" t="s">
        <v>49</v>
      </c>
      <c r="EM4" s="5" t="s">
        <v>50</v>
      </c>
      <c r="EN4" s="5" t="s">
        <v>51</v>
      </c>
      <c r="EO4" s="5" t="s">
        <v>52</v>
      </c>
      <c r="EP4" s="5" t="s">
        <v>53</v>
      </c>
      <c r="EU4" s="5" t="s">
        <v>42</v>
      </c>
      <c r="EV4" s="5" t="s">
        <v>43</v>
      </c>
      <c r="EW4" s="5" t="s">
        <v>44</v>
      </c>
      <c r="EX4" s="5" t="s">
        <v>45</v>
      </c>
      <c r="EY4" s="5" t="s">
        <v>46</v>
      </c>
      <c r="EZ4" s="5" t="s">
        <v>47</v>
      </c>
      <c r="FA4" s="5" t="s">
        <v>48</v>
      </c>
      <c r="FB4" s="5" t="s">
        <v>49</v>
      </c>
      <c r="FC4" s="5" t="s">
        <v>50</v>
      </c>
      <c r="FD4" s="5" t="s">
        <v>51</v>
      </c>
      <c r="FE4" s="5" t="s">
        <v>52</v>
      </c>
      <c r="FF4" s="5" t="s">
        <v>53</v>
      </c>
      <c r="FI4" s="5" t="s">
        <v>42</v>
      </c>
      <c r="FJ4" s="5" t="s">
        <v>43</v>
      </c>
      <c r="FK4" s="5" t="s">
        <v>44</v>
      </c>
      <c r="FL4" s="5" t="s">
        <v>45</v>
      </c>
      <c r="FM4" s="5" t="s">
        <v>46</v>
      </c>
      <c r="FN4" s="5" t="s">
        <v>47</v>
      </c>
      <c r="FO4" s="5" t="s">
        <v>48</v>
      </c>
      <c r="FP4" s="5" t="s">
        <v>49</v>
      </c>
      <c r="FQ4" s="5" t="s">
        <v>50</v>
      </c>
      <c r="FR4" s="5" t="s">
        <v>51</v>
      </c>
      <c r="FS4" s="5" t="s">
        <v>52</v>
      </c>
      <c r="FT4" s="5" t="s">
        <v>53</v>
      </c>
      <c r="FY4" s="5" t="s">
        <v>42</v>
      </c>
      <c r="FZ4" s="5" t="s">
        <v>43</v>
      </c>
      <c r="GA4" s="5" t="s">
        <v>44</v>
      </c>
      <c r="GB4" s="5" t="s">
        <v>45</v>
      </c>
      <c r="GC4" s="5" t="s">
        <v>46</v>
      </c>
      <c r="GD4" s="5" t="s">
        <v>47</v>
      </c>
      <c r="GE4" s="5" t="s">
        <v>48</v>
      </c>
      <c r="GF4" s="5" t="s">
        <v>49</v>
      </c>
      <c r="GG4" s="5" t="s">
        <v>50</v>
      </c>
      <c r="GH4" s="5" t="s">
        <v>51</v>
      </c>
      <c r="GI4" s="5" t="s">
        <v>52</v>
      </c>
      <c r="GJ4" s="5" t="s">
        <v>53</v>
      </c>
      <c r="GM4" s="5" t="s">
        <v>42</v>
      </c>
      <c r="GN4" s="5" t="s">
        <v>43</v>
      </c>
      <c r="GO4" s="5" t="s">
        <v>44</v>
      </c>
      <c r="GP4" s="5" t="s">
        <v>45</v>
      </c>
      <c r="GQ4" s="5" t="s">
        <v>46</v>
      </c>
      <c r="GR4" s="5" t="s">
        <v>47</v>
      </c>
      <c r="GS4" s="5" t="s">
        <v>48</v>
      </c>
      <c r="GT4" s="5" t="s">
        <v>49</v>
      </c>
      <c r="GU4" s="5" t="s">
        <v>50</v>
      </c>
      <c r="GV4" s="5" t="s">
        <v>51</v>
      </c>
      <c r="GW4" s="5" t="s">
        <v>52</v>
      </c>
      <c r="GX4" s="5" t="s">
        <v>53</v>
      </c>
      <c r="HC4" s="5" t="s">
        <v>42</v>
      </c>
      <c r="HD4" s="5" t="s">
        <v>43</v>
      </c>
      <c r="HE4" s="5" t="s">
        <v>44</v>
      </c>
      <c r="HF4" s="5" t="s">
        <v>45</v>
      </c>
      <c r="HG4" s="5" t="s">
        <v>46</v>
      </c>
      <c r="HH4" s="5" t="s">
        <v>47</v>
      </c>
      <c r="HI4" s="5" t="s">
        <v>48</v>
      </c>
      <c r="HJ4" s="5" t="s">
        <v>49</v>
      </c>
      <c r="HK4" s="5" t="s">
        <v>50</v>
      </c>
      <c r="HL4" s="5" t="s">
        <v>51</v>
      </c>
      <c r="HM4" s="5" t="s">
        <v>52</v>
      </c>
      <c r="HN4" s="5" t="s">
        <v>53</v>
      </c>
      <c r="HQ4" s="5" t="s">
        <v>42</v>
      </c>
      <c r="HR4" s="5" t="s">
        <v>43</v>
      </c>
      <c r="HS4" s="5" t="s">
        <v>44</v>
      </c>
      <c r="HT4" s="5" t="s">
        <v>45</v>
      </c>
      <c r="HU4" s="5" t="s">
        <v>46</v>
      </c>
      <c r="HV4" s="5" t="s">
        <v>47</v>
      </c>
      <c r="HW4" s="5" t="s">
        <v>48</v>
      </c>
      <c r="HX4" s="5" t="s">
        <v>49</v>
      </c>
      <c r="HY4" s="5" t="s">
        <v>50</v>
      </c>
      <c r="HZ4" s="5" t="s">
        <v>51</v>
      </c>
      <c r="IA4" s="5" t="s">
        <v>52</v>
      </c>
      <c r="IB4" s="5" t="s">
        <v>53</v>
      </c>
      <c r="IG4" s="5" t="s">
        <v>42</v>
      </c>
      <c r="IH4" s="5" t="s">
        <v>43</v>
      </c>
      <c r="II4" s="5" t="s">
        <v>44</v>
      </c>
      <c r="IJ4" s="5" t="s">
        <v>45</v>
      </c>
      <c r="IK4" s="5" t="s">
        <v>46</v>
      </c>
      <c r="IL4" s="5" t="s">
        <v>47</v>
      </c>
      <c r="IM4" s="5" t="s">
        <v>48</v>
      </c>
      <c r="IN4" s="5" t="s">
        <v>49</v>
      </c>
      <c r="IO4" s="5" t="s">
        <v>50</v>
      </c>
      <c r="IP4" s="5" t="s">
        <v>51</v>
      </c>
      <c r="IQ4" s="5" t="s">
        <v>52</v>
      </c>
      <c r="IR4" s="5" t="s">
        <v>53</v>
      </c>
      <c r="IU4" s="5" t="s">
        <v>42</v>
      </c>
      <c r="IV4" s="5" t="s">
        <v>43</v>
      </c>
      <c r="IW4" s="5" t="s">
        <v>44</v>
      </c>
      <c r="IX4" s="5" t="s">
        <v>45</v>
      </c>
      <c r="IY4" s="5" t="s">
        <v>46</v>
      </c>
      <c r="IZ4" s="5" t="s">
        <v>47</v>
      </c>
      <c r="JA4" s="5" t="s">
        <v>48</v>
      </c>
      <c r="JB4" s="5" t="s">
        <v>49</v>
      </c>
      <c r="JC4" s="5" t="s">
        <v>50</v>
      </c>
      <c r="JD4" s="5" t="s">
        <v>51</v>
      </c>
      <c r="JE4" s="5" t="s">
        <v>52</v>
      </c>
      <c r="JF4" s="5" t="s">
        <v>53</v>
      </c>
      <c r="JK4" s="5" t="s">
        <v>42</v>
      </c>
      <c r="JL4" s="5" t="s">
        <v>43</v>
      </c>
      <c r="JM4" s="5" t="s">
        <v>44</v>
      </c>
      <c r="JN4" s="5" t="s">
        <v>45</v>
      </c>
      <c r="JO4" s="5" t="s">
        <v>46</v>
      </c>
      <c r="JP4" s="5" t="s">
        <v>47</v>
      </c>
      <c r="JQ4" s="5" t="s">
        <v>48</v>
      </c>
      <c r="JR4" s="5" t="s">
        <v>49</v>
      </c>
      <c r="JS4" s="5" t="s">
        <v>50</v>
      </c>
      <c r="JT4" s="5" t="s">
        <v>51</v>
      </c>
      <c r="JU4" s="5" t="s">
        <v>52</v>
      </c>
      <c r="JV4" s="5" t="s">
        <v>53</v>
      </c>
      <c r="JY4" s="5" t="s">
        <v>42</v>
      </c>
      <c r="JZ4" s="5" t="s">
        <v>43</v>
      </c>
      <c r="KA4" s="5" t="s">
        <v>44</v>
      </c>
      <c r="KB4" s="5" t="s">
        <v>45</v>
      </c>
      <c r="KC4" s="5" t="s">
        <v>46</v>
      </c>
      <c r="KD4" s="5" t="s">
        <v>47</v>
      </c>
      <c r="KE4" s="5" t="s">
        <v>48</v>
      </c>
      <c r="KF4" s="5" t="s">
        <v>49</v>
      </c>
      <c r="KG4" s="5" t="s">
        <v>50</v>
      </c>
      <c r="KH4" s="5" t="s">
        <v>51</v>
      </c>
      <c r="KI4" s="5" t="s">
        <v>52</v>
      </c>
      <c r="KJ4" s="5" t="s">
        <v>53</v>
      </c>
      <c r="KO4" s="5" t="s">
        <v>42</v>
      </c>
      <c r="KP4" s="5" t="s">
        <v>43</v>
      </c>
      <c r="KQ4" s="5" t="s">
        <v>44</v>
      </c>
      <c r="KR4" s="5" t="s">
        <v>45</v>
      </c>
      <c r="KS4" s="5" t="s">
        <v>46</v>
      </c>
      <c r="KT4" s="5" t="s">
        <v>47</v>
      </c>
      <c r="KU4" s="5" t="s">
        <v>48</v>
      </c>
      <c r="KV4" s="5" t="s">
        <v>49</v>
      </c>
      <c r="KW4" s="5" t="s">
        <v>50</v>
      </c>
      <c r="KX4" s="5" t="s">
        <v>51</v>
      </c>
      <c r="KY4" s="5" t="s">
        <v>52</v>
      </c>
      <c r="KZ4" s="5" t="s">
        <v>53</v>
      </c>
      <c r="LC4" s="5" t="s">
        <v>42</v>
      </c>
      <c r="LD4" s="5" t="s">
        <v>43</v>
      </c>
      <c r="LE4" s="5" t="s">
        <v>44</v>
      </c>
      <c r="LF4" s="5" t="s">
        <v>45</v>
      </c>
      <c r="LG4" s="5" t="s">
        <v>46</v>
      </c>
      <c r="LH4" s="5" t="s">
        <v>47</v>
      </c>
      <c r="LI4" s="5" t="s">
        <v>48</v>
      </c>
      <c r="LJ4" s="5" t="s">
        <v>49</v>
      </c>
      <c r="LK4" s="5" t="s">
        <v>50</v>
      </c>
      <c r="LL4" s="5" t="s">
        <v>51</v>
      </c>
      <c r="LM4" s="5" t="s">
        <v>52</v>
      </c>
      <c r="LN4" s="5" t="s">
        <v>53</v>
      </c>
      <c r="LS4" s="5" t="s">
        <v>42</v>
      </c>
      <c r="LT4" s="5" t="s">
        <v>43</v>
      </c>
      <c r="LU4" s="5" t="s">
        <v>44</v>
      </c>
      <c r="LV4" s="5" t="s">
        <v>45</v>
      </c>
      <c r="LW4" s="5" t="s">
        <v>46</v>
      </c>
      <c r="LX4" s="5" t="s">
        <v>47</v>
      </c>
      <c r="LY4" s="5" t="s">
        <v>48</v>
      </c>
      <c r="LZ4" s="5" t="s">
        <v>49</v>
      </c>
      <c r="MA4" s="5" t="s">
        <v>50</v>
      </c>
      <c r="MB4" s="5" t="s">
        <v>51</v>
      </c>
      <c r="MC4" s="5" t="s">
        <v>52</v>
      </c>
      <c r="MD4" s="5" t="s">
        <v>53</v>
      </c>
      <c r="MG4" s="5" t="s">
        <v>42</v>
      </c>
      <c r="MH4" s="5" t="s">
        <v>43</v>
      </c>
      <c r="MI4" s="5" t="s">
        <v>44</v>
      </c>
      <c r="MJ4" s="5" t="s">
        <v>45</v>
      </c>
      <c r="MK4" s="5" t="s">
        <v>46</v>
      </c>
      <c r="ML4" s="5" t="s">
        <v>47</v>
      </c>
      <c r="MM4" s="5" t="s">
        <v>48</v>
      </c>
      <c r="MN4" s="5" t="s">
        <v>49</v>
      </c>
      <c r="MO4" s="5" t="s">
        <v>50</v>
      </c>
      <c r="MP4" s="5" t="s">
        <v>51</v>
      </c>
      <c r="MQ4" s="5" t="s">
        <v>52</v>
      </c>
      <c r="MR4" s="5" t="s">
        <v>53</v>
      </c>
      <c r="MW4" s="5" t="s">
        <v>42</v>
      </c>
      <c r="MX4" s="5" t="s">
        <v>43</v>
      </c>
      <c r="MY4" s="5" t="s">
        <v>44</v>
      </c>
      <c r="MZ4" s="5" t="s">
        <v>45</v>
      </c>
      <c r="NA4" s="5" t="s">
        <v>46</v>
      </c>
      <c r="NB4" s="5" t="s">
        <v>47</v>
      </c>
      <c r="NC4" s="5" t="s">
        <v>48</v>
      </c>
      <c r="ND4" s="5" t="s">
        <v>49</v>
      </c>
      <c r="NE4" s="5" t="s">
        <v>50</v>
      </c>
      <c r="NF4" s="5" t="s">
        <v>51</v>
      </c>
      <c r="NG4" s="5" t="s">
        <v>52</v>
      </c>
      <c r="NH4" s="5" t="s">
        <v>53</v>
      </c>
      <c r="NK4" s="5" t="s">
        <v>42</v>
      </c>
      <c r="NL4" s="5" t="s">
        <v>43</v>
      </c>
      <c r="NM4" s="5" t="s">
        <v>44</v>
      </c>
      <c r="NN4" s="5" t="s">
        <v>45</v>
      </c>
      <c r="NO4" s="5" t="s">
        <v>46</v>
      </c>
      <c r="NP4" s="5" t="s">
        <v>47</v>
      </c>
      <c r="NQ4" s="5" t="s">
        <v>48</v>
      </c>
      <c r="NR4" s="5" t="s">
        <v>49</v>
      </c>
      <c r="NS4" s="5" t="s">
        <v>50</v>
      </c>
      <c r="NT4" s="5" t="s">
        <v>51</v>
      </c>
      <c r="NU4" s="5" t="s">
        <v>52</v>
      </c>
      <c r="NV4" s="5" t="s">
        <v>53</v>
      </c>
      <c r="OA4" s="5" t="s">
        <v>42</v>
      </c>
      <c r="OB4" s="5" t="s">
        <v>43</v>
      </c>
      <c r="OC4" s="5" t="s">
        <v>44</v>
      </c>
      <c r="OD4" s="5" t="s">
        <v>45</v>
      </c>
      <c r="OE4" s="5" t="s">
        <v>46</v>
      </c>
      <c r="OF4" s="5" t="s">
        <v>47</v>
      </c>
      <c r="OG4" s="5" t="s">
        <v>48</v>
      </c>
      <c r="OH4" s="5" t="s">
        <v>49</v>
      </c>
      <c r="OI4" s="5" t="s">
        <v>50</v>
      </c>
      <c r="OJ4" s="5" t="s">
        <v>51</v>
      </c>
      <c r="OK4" s="5" t="s">
        <v>52</v>
      </c>
      <c r="OL4" s="5" t="s">
        <v>53</v>
      </c>
      <c r="OO4" s="5" t="s">
        <v>42</v>
      </c>
      <c r="OP4" s="5" t="s">
        <v>43</v>
      </c>
      <c r="OQ4" s="5" t="s">
        <v>44</v>
      </c>
      <c r="OR4" s="5" t="s">
        <v>45</v>
      </c>
      <c r="OS4" s="5" t="s">
        <v>46</v>
      </c>
      <c r="OT4" s="5" t="s">
        <v>47</v>
      </c>
      <c r="OU4" s="5" t="s">
        <v>48</v>
      </c>
      <c r="OV4" s="5" t="s">
        <v>49</v>
      </c>
      <c r="OW4" s="5" t="s">
        <v>50</v>
      </c>
      <c r="OX4" s="5" t="s">
        <v>51</v>
      </c>
      <c r="OY4" s="5" t="s">
        <v>52</v>
      </c>
      <c r="OZ4" s="5" t="s">
        <v>53</v>
      </c>
      <c r="PE4" s="5" t="s">
        <v>42</v>
      </c>
      <c r="PF4" s="5" t="s">
        <v>43</v>
      </c>
      <c r="PG4" s="5" t="s">
        <v>44</v>
      </c>
      <c r="PH4" s="5" t="s">
        <v>45</v>
      </c>
      <c r="PI4" s="5" t="s">
        <v>46</v>
      </c>
      <c r="PJ4" s="5" t="s">
        <v>47</v>
      </c>
      <c r="PK4" s="5" t="s">
        <v>48</v>
      </c>
      <c r="PL4" s="5" t="s">
        <v>49</v>
      </c>
      <c r="PM4" s="5" t="s">
        <v>50</v>
      </c>
      <c r="PN4" s="5" t="s">
        <v>51</v>
      </c>
      <c r="PO4" s="5" t="s">
        <v>52</v>
      </c>
      <c r="PP4" s="5" t="s">
        <v>53</v>
      </c>
      <c r="PS4" s="5" t="s">
        <v>42</v>
      </c>
      <c r="PT4" s="5" t="s">
        <v>43</v>
      </c>
      <c r="PU4" s="5" t="s">
        <v>44</v>
      </c>
      <c r="PV4" s="5" t="s">
        <v>45</v>
      </c>
      <c r="PW4" s="5" t="s">
        <v>46</v>
      </c>
      <c r="PX4" s="5" t="s">
        <v>47</v>
      </c>
      <c r="PY4" s="5" t="s">
        <v>48</v>
      </c>
      <c r="PZ4" s="5" t="s">
        <v>49</v>
      </c>
      <c r="QA4" s="5" t="s">
        <v>50</v>
      </c>
      <c r="QB4" s="5" t="s">
        <v>51</v>
      </c>
      <c r="QC4" s="5" t="s">
        <v>52</v>
      </c>
      <c r="QD4" s="5" t="s">
        <v>53</v>
      </c>
      <c r="QI4" s="5" t="s">
        <v>42</v>
      </c>
      <c r="QJ4" s="5" t="s">
        <v>43</v>
      </c>
      <c r="QK4" s="5" t="s">
        <v>44</v>
      </c>
      <c r="QL4" s="5" t="s">
        <v>45</v>
      </c>
      <c r="QM4" s="5" t="s">
        <v>46</v>
      </c>
      <c r="QN4" s="5" t="s">
        <v>47</v>
      </c>
      <c r="QO4" s="5" t="s">
        <v>48</v>
      </c>
      <c r="QP4" s="5" t="s">
        <v>49</v>
      </c>
      <c r="QQ4" s="5" t="s">
        <v>50</v>
      </c>
      <c r="QR4" s="5" t="s">
        <v>51</v>
      </c>
      <c r="QS4" s="5" t="s">
        <v>52</v>
      </c>
      <c r="QT4" s="5" t="s">
        <v>53</v>
      </c>
      <c r="QW4" s="5" t="s">
        <v>42</v>
      </c>
      <c r="QX4" s="5" t="s">
        <v>43</v>
      </c>
      <c r="QY4" s="5" t="s">
        <v>44</v>
      </c>
      <c r="QZ4" s="5" t="s">
        <v>45</v>
      </c>
      <c r="RA4" s="5" t="s">
        <v>46</v>
      </c>
      <c r="RB4" s="5" t="s">
        <v>47</v>
      </c>
      <c r="RC4" s="5" t="s">
        <v>48</v>
      </c>
      <c r="RD4" s="5" t="s">
        <v>49</v>
      </c>
      <c r="RE4" s="5" t="s">
        <v>50</v>
      </c>
      <c r="RF4" s="5" t="s">
        <v>51</v>
      </c>
      <c r="RG4" s="5" t="s">
        <v>52</v>
      </c>
      <c r="RH4" s="5" t="s">
        <v>53</v>
      </c>
      <c r="RM4" s="5" t="s">
        <v>42</v>
      </c>
      <c r="RN4" s="5" t="s">
        <v>43</v>
      </c>
      <c r="RO4" s="5" t="s">
        <v>44</v>
      </c>
      <c r="RP4" s="5" t="s">
        <v>45</v>
      </c>
      <c r="RQ4" s="5" t="s">
        <v>46</v>
      </c>
      <c r="RR4" s="5" t="s">
        <v>47</v>
      </c>
      <c r="RS4" s="5" t="s">
        <v>48</v>
      </c>
      <c r="RT4" s="5" t="s">
        <v>49</v>
      </c>
      <c r="RU4" s="5" t="s">
        <v>50</v>
      </c>
      <c r="RV4" s="5" t="s">
        <v>51</v>
      </c>
      <c r="RW4" s="5" t="s">
        <v>52</v>
      </c>
      <c r="RX4" s="5" t="s">
        <v>53</v>
      </c>
      <c r="SA4" s="5" t="s">
        <v>42</v>
      </c>
      <c r="SB4" s="5" t="s">
        <v>43</v>
      </c>
      <c r="SC4" s="5" t="s">
        <v>44</v>
      </c>
      <c r="SD4" s="5" t="s">
        <v>45</v>
      </c>
      <c r="SE4" s="5" t="s">
        <v>46</v>
      </c>
      <c r="SF4" s="5" t="s">
        <v>47</v>
      </c>
      <c r="SG4" s="5" t="s">
        <v>48</v>
      </c>
      <c r="SH4" s="5" t="s">
        <v>49</v>
      </c>
      <c r="SI4" s="5" t="s">
        <v>50</v>
      </c>
      <c r="SJ4" s="5" t="s">
        <v>51</v>
      </c>
      <c r="SK4" s="5" t="s">
        <v>52</v>
      </c>
      <c r="SL4" s="5" t="s">
        <v>53</v>
      </c>
      <c r="SQ4" s="5" t="s">
        <v>42</v>
      </c>
      <c r="SR4" s="5" t="s">
        <v>43</v>
      </c>
      <c r="SS4" s="5" t="s">
        <v>44</v>
      </c>
      <c r="ST4" s="5" t="s">
        <v>45</v>
      </c>
      <c r="SU4" s="5" t="s">
        <v>46</v>
      </c>
      <c r="SV4" s="5" t="s">
        <v>47</v>
      </c>
      <c r="SW4" s="5" t="s">
        <v>48</v>
      </c>
      <c r="SX4" s="5" t="s">
        <v>49</v>
      </c>
      <c r="SY4" s="5" t="s">
        <v>50</v>
      </c>
      <c r="SZ4" s="5" t="s">
        <v>51</v>
      </c>
      <c r="TA4" s="5" t="s">
        <v>52</v>
      </c>
      <c r="TB4" s="5" t="s">
        <v>53</v>
      </c>
      <c r="TE4" s="5" t="s">
        <v>42</v>
      </c>
      <c r="TF4" s="5" t="s">
        <v>43</v>
      </c>
      <c r="TG4" s="5" t="s">
        <v>44</v>
      </c>
      <c r="TH4" s="5" t="s">
        <v>45</v>
      </c>
      <c r="TI4" s="5" t="s">
        <v>46</v>
      </c>
      <c r="TJ4" s="5" t="s">
        <v>47</v>
      </c>
      <c r="TK4" s="5" t="s">
        <v>48</v>
      </c>
      <c r="TL4" s="5" t="s">
        <v>49</v>
      </c>
      <c r="TM4" s="5" t="s">
        <v>50</v>
      </c>
      <c r="TN4" s="5" t="s">
        <v>51</v>
      </c>
      <c r="TO4" s="5" t="s">
        <v>52</v>
      </c>
      <c r="TP4" s="5" t="s">
        <v>53</v>
      </c>
      <c r="TU4" s="5" t="s">
        <v>42</v>
      </c>
      <c r="TV4" s="5" t="s">
        <v>43</v>
      </c>
      <c r="TW4" s="5" t="s">
        <v>44</v>
      </c>
      <c r="TX4" s="5" t="s">
        <v>45</v>
      </c>
      <c r="TY4" s="5" t="s">
        <v>46</v>
      </c>
      <c r="TZ4" s="5" t="s">
        <v>47</v>
      </c>
      <c r="UA4" s="5" t="s">
        <v>48</v>
      </c>
      <c r="UB4" s="5" t="s">
        <v>49</v>
      </c>
      <c r="UC4" s="5" t="s">
        <v>50</v>
      </c>
      <c r="UD4" s="5" t="s">
        <v>51</v>
      </c>
      <c r="UE4" s="5" t="s">
        <v>52</v>
      </c>
      <c r="UF4" s="5" t="s">
        <v>53</v>
      </c>
      <c r="UI4" s="5" t="s">
        <v>42</v>
      </c>
      <c r="UJ4" s="5" t="s">
        <v>43</v>
      </c>
      <c r="UK4" s="5" t="s">
        <v>44</v>
      </c>
      <c r="UL4" s="5" t="s">
        <v>45</v>
      </c>
      <c r="UM4" s="5" t="s">
        <v>46</v>
      </c>
      <c r="UN4" s="5" t="s">
        <v>47</v>
      </c>
      <c r="UO4" s="5" t="s">
        <v>48</v>
      </c>
      <c r="UP4" s="5" t="s">
        <v>49</v>
      </c>
      <c r="UQ4" s="5" t="s">
        <v>50</v>
      </c>
      <c r="UR4" s="5" t="s">
        <v>51</v>
      </c>
      <c r="US4" s="5" t="s">
        <v>52</v>
      </c>
      <c r="UT4" s="5" t="s">
        <v>53</v>
      </c>
      <c r="UY4" s="5" t="s">
        <v>42</v>
      </c>
      <c r="UZ4" s="5" t="s">
        <v>43</v>
      </c>
      <c r="VA4" s="5" t="s">
        <v>44</v>
      </c>
      <c r="VB4" s="5" t="s">
        <v>45</v>
      </c>
      <c r="VC4" s="5" t="s">
        <v>46</v>
      </c>
      <c r="VD4" s="5" t="s">
        <v>47</v>
      </c>
      <c r="VE4" s="5" t="s">
        <v>48</v>
      </c>
      <c r="VF4" s="5" t="s">
        <v>49</v>
      </c>
      <c r="VG4" s="5" t="s">
        <v>50</v>
      </c>
      <c r="VH4" s="5" t="s">
        <v>51</v>
      </c>
      <c r="VI4" s="5" t="s">
        <v>52</v>
      </c>
      <c r="VJ4" s="5" t="s">
        <v>53</v>
      </c>
      <c r="VM4" s="5" t="s">
        <v>42</v>
      </c>
      <c r="VN4" s="5" t="s">
        <v>43</v>
      </c>
      <c r="VO4" s="5" t="s">
        <v>44</v>
      </c>
      <c r="VP4" s="5" t="s">
        <v>45</v>
      </c>
      <c r="VQ4" s="5" t="s">
        <v>46</v>
      </c>
      <c r="VR4" s="5" t="s">
        <v>47</v>
      </c>
      <c r="VS4" s="5" t="s">
        <v>48</v>
      </c>
      <c r="VT4" s="5" t="s">
        <v>49</v>
      </c>
      <c r="VU4" s="5" t="s">
        <v>50</v>
      </c>
      <c r="VV4" s="5" t="s">
        <v>51</v>
      </c>
      <c r="VW4" s="5" t="s">
        <v>52</v>
      </c>
      <c r="VX4" s="5" t="s">
        <v>53</v>
      </c>
    </row>
    <row r="5" spans="1:600" x14ac:dyDescent="0.25">
      <c r="A5" t="str">
        <f>_xll.BDS("ESCC US Equity","SUPPLY_CHAIN_SUPPLIERS_ALL_DATA","cols=12;rows=2")</f>
        <v>BRK/A US Equity</v>
      </c>
      <c r="C5">
        <v>-2.4245362661989844E-14</v>
      </c>
      <c r="D5">
        <v>-2.4245362661989844E-14</v>
      </c>
      <c r="E5" t="s">
        <v>1789</v>
      </c>
      <c r="F5">
        <v>2021</v>
      </c>
      <c r="G5" t="s">
        <v>2069</v>
      </c>
      <c r="H5" s="6">
        <v>44693</v>
      </c>
      <c r="I5">
        <v>2</v>
      </c>
      <c r="J5">
        <v>-2.4245362661989844E-14</v>
      </c>
      <c r="K5">
        <v>100193</v>
      </c>
      <c r="L5" t="s">
        <v>2070</v>
      </c>
      <c r="O5" t="str">
        <f>_xll.BDS("ESCC US Equity","SUPPLY_CHAIN_CUSTOMERS_ALL_DATA")</f>
        <v>#N/A N/A</v>
      </c>
      <c r="AE5" t="str">
        <f>_xll.BDS("TUPBQ US Equity","SUPPLY_CHAIN_SUPPLIERS_ALL_DATA","cols=12;rows=5")</f>
        <v>EMN US Equity</v>
      </c>
      <c r="AF5" t="s">
        <v>1777</v>
      </c>
      <c r="AG5">
        <v>1.1691E-2</v>
      </c>
      <c r="AH5">
        <v>0.28300599999999998</v>
      </c>
      <c r="AI5" t="s">
        <v>1781</v>
      </c>
      <c r="AJ5">
        <v>2025</v>
      </c>
      <c r="AK5" t="s">
        <v>2465</v>
      </c>
      <c r="AL5" s="6">
        <v>45790</v>
      </c>
      <c r="AM5">
        <v>5</v>
      </c>
      <c r="AN5">
        <v>267724</v>
      </c>
      <c r="AO5">
        <v>126747</v>
      </c>
      <c r="AP5" t="s">
        <v>2466</v>
      </c>
      <c r="AS5" t="str">
        <f>_xll.BDS("TUPBQ US Equity","SUPPLY_CHAIN_CUSTOMERS_ALL_DATA","cols=12;rows=4")</f>
        <v>CA FP Equity</v>
      </c>
      <c r="AT5">
        <v>0.21562799999999999</v>
      </c>
      <c r="AU5" t="s">
        <v>1777</v>
      </c>
      <c r="AV5">
        <v>2.9759999999999999E-3</v>
      </c>
      <c r="AW5" t="s">
        <v>1768</v>
      </c>
      <c r="AX5">
        <v>2025</v>
      </c>
      <c r="AY5" t="s">
        <v>1778</v>
      </c>
      <c r="AZ5" s="6">
        <v>45919</v>
      </c>
      <c r="BA5">
        <v>4</v>
      </c>
      <c r="BB5">
        <v>583123.65</v>
      </c>
      <c r="BC5">
        <v>115268</v>
      </c>
      <c r="BD5" t="s">
        <v>1779</v>
      </c>
      <c r="BI5" t="str">
        <f>_xll.BDS("RCAPQ US Equity","SUPPLY_CHAIN_SUPPLIERS_ALL_DATA")</f>
        <v>#N/A N/A</v>
      </c>
      <c r="BW5" t="str">
        <f>_xll.BDS("RCAPQ US Equity","SUPPLY_CHAIN_CUSTOMERS_ALL_DATA")</f>
        <v>#N/A N/A</v>
      </c>
      <c r="CM5" t="str">
        <f>_xll.BDS("ESXB US Equity","SUPPLY_CHAIN_SUPPLIERS_ALL_DATA")</f>
        <v>#N/A N/A</v>
      </c>
      <c r="DA5" t="str">
        <f>_xll.BDS("ESXB US Equity","SUPPLY_CHAIN_CUSTOMERS_ALL_DATA")</f>
        <v>#N/A N/A</v>
      </c>
      <c r="DQ5" t="str">
        <f>_xll.BDS("FBMS US Equity","SUPPLY_CHAIN_SUPPLIERS_ALL_DATA")</f>
        <v>#N/A N/A</v>
      </c>
      <c r="EE5" t="str">
        <f>_xll.BDS("FBMS US Equity","SUPPLY_CHAIN_CUSTOMERS_ALL_DATA")</f>
        <v>#N/A N/A</v>
      </c>
      <c r="EU5" t="str">
        <f>_xll.BDS("DVINQ US Equity","SUPPLY_CHAIN_SUPPLIERS_ALL_DATA")</f>
        <v>#N/A N/A</v>
      </c>
      <c r="FI5" t="str">
        <f>_xll.BDS("DVINQ US Equity","SUPPLY_CHAIN_CUSTOMERS_ALL_DATA")</f>
        <v>#N/A N/A</v>
      </c>
      <c r="FY5" t="str">
        <f>_xll.BDS("FNB US Equity","SUPPLY_CHAIN_SUPPLIERS_ALL_DATA","cols=12;rows=1")</f>
        <v>HY US Equity</v>
      </c>
      <c r="GA5">
        <v>-2.4245362661989844E-14</v>
      </c>
      <c r="GB5">
        <v>-2.4245362661989844E-14</v>
      </c>
      <c r="GC5" t="s">
        <v>1789</v>
      </c>
      <c r="GD5">
        <v>2024</v>
      </c>
      <c r="GE5" t="s">
        <v>2269</v>
      </c>
      <c r="GF5" s="6">
        <v>45427</v>
      </c>
      <c r="GG5">
        <v>1</v>
      </c>
      <c r="GH5">
        <v>-2.4245362661989844E-14</v>
      </c>
      <c r="GI5">
        <v>159242</v>
      </c>
      <c r="GJ5" t="s">
        <v>2270</v>
      </c>
      <c r="GM5" t="str">
        <f>_xll.BDS("FNB US Equity","SUPPLY_CHAIN_CUSTOMERS_ALL_DATA")</f>
        <v>#N/A N/A</v>
      </c>
      <c r="HC5" t="str">
        <f>_xll.BDS("DAVLE US Equity","SUPPLY_CHAIN_SUPPLIERS_ALL_DATA")</f>
        <v>#N/A N/A</v>
      </c>
      <c r="HQ5" t="str">
        <f>_xll.BDS("DAVLE US Equity","SUPPLY_CHAIN_CUSTOMERS_ALL_DATA")</f>
        <v>#N/A N/A</v>
      </c>
      <c r="IG5" t="str">
        <f>_xll.BDS("987200Q US Equity","SUPPLY_CHAIN_SUPPLIERS_ALL_DATA")</f>
        <v>#N/A N/A</v>
      </c>
      <c r="IU5" t="str">
        <f>_xll.BDS("987200Q US Equity","SUPPLY_CHAIN_CUSTOMERS_ALL_DATA")</f>
        <v>#N/A N/A</v>
      </c>
      <c r="JK5" t="str">
        <f>_xll.BDS("213339Q US Equity","SUPPLY_CHAIN_SUPPLIERS_ALL_DATA")</f>
        <v>#N/A N/A</v>
      </c>
      <c r="JY5" t="str">
        <f>_xll.BDS("213339Q US Equity","SUPPLY_CHAIN_CUSTOMERS_ALL_DATA")</f>
        <v>#N/A N/A</v>
      </c>
      <c r="KO5" t="str">
        <f>_xll.BDS("FNWD US Equity","SUPPLY_CHAIN_SUPPLIERS_ALL_DATA")</f>
        <v>#N/A N/A</v>
      </c>
      <c r="LC5" t="str">
        <f>_xll.BDS("FNWD US Equity","SUPPLY_CHAIN_CUSTOMERS_ALL_DATA")</f>
        <v>#N/A N/A</v>
      </c>
      <c r="LS5" t="str">
        <f>_xll.BDS("PICM US Equity","SUPPLY_CHAIN_SUPPLIERS_ALL_DATA")</f>
        <v>#N/A N/A</v>
      </c>
      <c r="MG5" t="str">
        <f>_xll.BDS("PICM US Equity","SUPPLY_CHAIN_CUSTOMERS_ALL_DATA")</f>
        <v>#N/A N/A</v>
      </c>
      <c r="MW5" t="str">
        <f>_xll.BDS("GEN US Equity","SUPPLY_CHAIN_SUPPLIERS_ALL_DATA","cols=12;rows=5")</f>
        <v>354 HK Equity</v>
      </c>
      <c r="MX5" t="s">
        <v>1808</v>
      </c>
      <c r="MY5">
        <v>9.7283999999999995E-2</v>
      </c>
      <c r="MZ5">
        <v>0.15382699999999999</v>
      </c>
      <c r="NA5" t="s">
        <v>1768</v>
      </c>
      <c r="NB5">
        <v>2025</v>
      </c>
      <c r="NC5" t="s">
        <v>3538</v>
      </c>
      <c r="ND5" s="6">
        <v>45944</v>
      </c>
      <c r="NE5">
        <v>5</v>
      </c>
      <c r="NF5">
        <v>570196.56999999995</v>
      </c>
      <c r="NG5">
        <v>8157006</v>
      </c>
      <c r="NH5" t="s">
        <v>3539</v>
      </c>
      <c r="NK5" t="str">
        <f>_xll.BDS("GEN US Equity","SUPPLY_CHAIN_CUSTOMERS_ALL_DATA","cols=12;rows=5")</f>
        <v>BABA US Equity</v>
      </c>
      <c r="NL5">
        <v>1.718623</v>
      </c>
      <c r="NM5" t="s">
        <v>1777</v>
      </c>
      <c r="NN5">
        <v>0.10999200000000001</v>
      </c>
      <c r="NO5" t="s">
        <v>1781</v>
      </c>
      <c r="NP5">
        <v>2026</v>
      </c>
      <c r="NQ5" t="s">
        <v>3426</v>
      </c>
      <c r="NR5" s="6">
        <v>45973</v>
      </c>
      <c r="NS5">
        <v>5</v>
      </c>
      <c r="NT5">
        <v>20754987.789999999</v>
      </c>
      <c r="NU5">
        <v>16857643</v>
      </c>
      <c r="NV5" t="s">
        <v>2898</v>
      </c>
      <c r="OA5" t="str">
        <f>_xll.BDS("RLH US Equity","SUPPLY_CHAIN_SUPPLIERS_ALL_DATA")</f>
        <v>#N/A N/A</v>
      </c>
      <c r="OO5" t="str">
        <f>_xll.BDS("RLH US Equity","SUPPLY_CHAIN_CUSTOMERS_ALL_DATA")</f>
        <v>#N/A N/A</v>
      </c>
      <c r="PE5" t="str">
        <f>_xll.BDS("IBKC US Equity","SUPPLY_CHAIN_SUPPLIERS_ALL_DATA")</f>
        <v>#N/A N/A</v>
      </c>
      <c r="PS5" t="str">
        <f>_xll.BDS("IBKC US Equity","SUPPLY_CHAIN_CUSTOMERS_ALL_DATA")</f>
        <v>#N/A N/A</v>
      </c>
      <c r="QI5" t="str">
        <f>_xll.BDS("CKR US Equity","SUPPLY_CHAIN_SUPPLIERS_ALL_DATA","cols=12;rows=1")</f>
        <v>PAR US Equity</v>
      </c>
      <c r="QK5">
        <v>-2.4245362661989844E-14</v>
      </c>
      <c r="QL5">
        <v>-2.4245362661989844E-14</v>
      </c>
      <c r="QM5" t="s">
        <v>1785</v>
      </c>
      <c r="QN5">
        <v>2024</v>
      </c>
      <c r="QO5" t="s">
        <v>2974</v>
      </c>
      <c r="QP5" s="6">
        <v>45621</v>
      </c>
      <c r="QQ5">
        <v>1</v>
      </c>
      <c r="QR5">
        <v>-2.4245362661989844E-14</v>
      </c>
      <c r="QS5">
        <v>101145</v>
      </c>
      <c r="QT5" t="s">
        <v>2975</v>
      </c>
      <c r="QW5" t="str">
        <f>_xll.BDS("CKR US Equity","SUPPLY_CHAIN_CUSTOMERS_ALL_DATA")</f>
        <v>#N/A N/A</v>
      </c>
      <c r="RM5" t="str">
        <f>_xll.BDS("DVINQ US Equity","SUPPLY_CHAIN_SUPPLIERS_ALL_DATA")</f>
        <v>#N/A N/A</v>
      </c>
      <c r="SA5" t="str">
        <f>_xll.BDS("DVINQ US Equity","SUPPLY_CHAIN_CUSTOMERS_ALL_DATA")</f>
        <v>#N/A N/A</v>
      </c>
      <c r="SQ5" t="str">
        <f>_xll.BDS("STND US Equity","SUPPLY_CHAIN_SUPPLIERS_ALL_DATA")</f>
        <v>#N/A N/A</v>
      </c>
      <c r="TE5" t="str">
        <f>_xll.BDS("STND US Equity","SUPPLY_CHAIN_CUSTOMERS_ALL_DATA")</f>
        <v>#N/A N/A</v>
      </c>
      <c r="TU5" t="str">
        <f>_xll.BDS("SBKCQ US Equity","SUPPLY_CHAIN_SUPPLIERS_ALL_DATA")</f>
        <v>#N/A N/A</v>
      </c>
      <c r="UI5" t="str">
        <f>_xll.BDS("SBKCQ US Equity","SUPPLY_CHAIN_CUSTOMERS_ALL_DATA")</f>
        <v>#N/A N/A</v>
      </c>
      <c r="UY5" t="str">
        <f>_xll.BDS("MTCH US Equity","SUPPLY_CHAIN_SUPPLIERS_ALL_DATA","cols=12;rows=5")</f>
        <v>053300 KS Equity</v>
      </c>
      <c r="VA5">
        <v>-2.4245362661989844E-14</v>
      </c>
      <c r="VB5">
        <v>-2.4245362661989844E-14</v>
      </c>
      <c r="VC5" t="s">
        <v>1894</v>
      </c>
      <c r="VD5">
        <v>2025</v>
      </c>
      <c r="VE5" t="s">
        <v>2156</v>
      </c>
      <c r="VF5" s="6">
        <v>45974</v>
      </c>
      <c r="VG5">
        <v>5</v>
      </c>
      <c r="VH5">
        <v>-2.4245362661989844E-14</v>
      </c>
      <c r="VI5">
        <v>23189849</v>
      </c>
      <c r="VJ5" t="s">
        <v>2157</v>
      </c>
      <c r="VM5" t="str">
        <f>_xll.BDS("MTCH US Equity","SUPPLY_CHAIN_CUSTOMERS_ALL_DATA","cols=12;rows=3")</f>
        <v>AAPL US Equity</v>
      </c>
      <c r="VN5">
        <v>-2.4245362661989844E-14</v>
      </c>
      <c r="VP5">
        <v>-2.4245362661989844E-14</v>
      </c>
      <c r="VQ5" t="s">
        <v>1768</v>
      </c>
      <c r="VR5">
        <v>2024</v>
      </c>
      <c r="VS5" t="s">
        <v>1769</v>
      </c>
      <c r="VT5" s="6">
        <v>45505</v>
      </c>
      <c r="VU5">
        <v>3</v>
      </c>
      <c r="VV5">
        <v>-2.4245362661989844E-14</v>
      </c>
      <c r="VW5">
        <v>101695</v>
      </c>
      <c r="VX5" t="s">
        <v>1770</v>
      </c>
    </row>
    <row r="6" spans="1:600" x14ac:dyDescent="0.25">
      <c r="A6" t="s">
        <v>2079</v>
      </c>
      <c r="C6">
        <v>-2.4245362661989844E-14</v>
      </c>
      <c r="D6">
        <v>-2.4245362661989844E-14</v>
      </c>
      <c r="E6" t="s">
        <v>1789</v>
      </c>
      <c r="F6">
        <v>2021</v>
      </c>
      <c r="G6" t="s">
        <v>2080</v>
      </c>
      <c r="H6" s="6">
        <v>44693</v>
      </c>
      <c r="I6">
        <v>2</v>
      </c>
      <c r="J6">
        <v>-2.4245362661989844E-14</v>
      </c>
      <c r="K6">
        <v>101170</v>
      </c>
      <c r="L6" t="s">
        <v>2081</v>
      </c>
      <c r="AE6" t="s">
        <v>2467</v>
      </c>
      <c r="AG6">
        <v>-2.4245362661989844E-14</v>
      </c>
      <c r="AH6">
        <v>-2.4245362661989844E-14</v>
      </c>
      <c r="AI6" t="s">
        <v>1768</v>
      </c>
      <c r="AJ6">
        <v>2024</v>
      </c>
      <c r="AK6" t="s">
        <v>2327</v>
      </c>
      <c r="AL6" s="6">
        <v>45553</v>
      </c>
      <c r="AM6">
        <v>5</v>
      </c>
      <c r="AN6">
        <v>-2.4245362661989844E-14</v>
      </c>
      <c r="AO6">
        <v>20099301</v>
      </c>
      <c r="AP6" t="s">
        <v>2468</v>
      </c>
      <c r="AS6" t="s">
        <v>1814</v>
      </c>
      <c r="AT6">
        <v>-2.4245362661989844E-14</v>
      </c>
      <c r="AV6">
        <v>-2.4245362661989844E-14</v>
      </c>
      <c r="AW6" t="s">
        <v>1768</v>
      </c>
      <c r="AX6">
        <v>2024</v>
      </c>
      <c r="AY6" t="s">
        <v>2327</v>
      </c>
      <c r="AZ6" s="6">
        <v>45553</v>
      </c>
      <c r="BA6">
        <v>4</v>
      </c>
      <c r="BB6">
        <v>-2.4245362661989844E-14</v>
      </c>
      <c r="BC6">
        <v>216952</v>
      </c>
      <c r="BD6" t="s">
        <v>1815</v>
      </c>
      <c r="MW6" t="s">
        <v>3540</v>
      </c>
      <c r="MX6" t="s">
        <v>1906</v>
      </c>
      <c r="MY6">
        <v>1.6036999999999999E-2</v>
      </c>
      <c r="MZ6">
        <v>0.55282200000000004</v>
      </c>
      <c r="NA6" t="s">
        <v>1781</v>
      </c>
      <c r="NB6">
        <v>2026</v>
      </c>
      <c r="NC6" t="s">
        <v>3541</v>
      </c>
      <c r="ND6" s="6">
        <v>46049</v>
      </c>
      <c r="NE6">
        <v>5</v>
      </c>
      <c r="NF6">
        <v>49754</v>
      </c>
      <c r="NG6">
        <v>386537</v>
      </c>
      <c r="NH6" t="s">
        <v>3542</v>
      </c>
      <c r="NK6" t="s">
        <v>1902</v>
      </c>
      <c r="NL6">
        <v>1.134592</v>
      </c>
      <c r="NM6" t="s">
        <v>1777</v>
      </c>
      <c r="NN6">
        <v>8.5527000000000006E-2</v>
      </c>
      <c r="NO6" t="s">
        <v>1785</v>
      </c>
      <c r="NP6">
        <v>2025</v>
      </c>
      <c r="NQ6" t="s">
        <v>1903</v>
      </c>
      <c r="NR6" s="6">
        <v>46056</v>
      </c>
      <c r="NS6">
        <v>5</v>
      </c>
      <c r="NT6">
        <v>13842023</v>
      </c>
      <c r="NU6">
        <v>1499717</v>
      </c>
      <c r="NV6" t="s">
        <v>1904</v>
      </c>
      <c r="UY6" t="s">
        <v>2158</v>
      </c>
      <c r="VA6">
        <v>-2.4245362661989844E-14</v>
      </c>
      <c r="VB6">
        <v>-2.4245362661989844E-14</v>
      </c>
      <c r="VC6" t="s">
        <v>1789</v>
      </c>
      <c r="VD6">
        <v>2023</v>
      </c>
      <c r="VE6" t="s">
        <v>2159</v>
      </c>
      <c r="VF6" s="6">
        <v>45373</v>
      </c>
      <c r="VG6">
        <v>5</v>
      </c>
      <c r="VH6">
        <v>-2.4245362661989844E-14</v>
      </c>
      <c r="VI6">
        <v>1459277</v>
      </c>
      <c r="VJ6" t="s">
        <v>2160</v>
      </c>
      <c r="VM6" t="s">
        <v>198</v>
      </c>
      <c r="VN6">
        <v>-2.4245362661989844E-14</v>
      </c>
      <c r="VP6">
        <v>-2.4245362661989844E-14</v>
      </c>
      <c r="VQ6" t="s">
        <v>1768</v>
      </c>
      <c r="VR6">
        <v>2024</v>
      </c>
      <c r="VS6" t="s">
        <v>1769</v>
      </c>
      <c r="VT6" s="6">
        <v>45505</v>
      </c>
      <c r="VU6">
        <v>3</v>
      </c>
      <c r="VV6">
        <v>-2.4245362661989844E-14</v>
      </c>
      <c r="VW6">
        <v>46946968</v>
      </c>
      <c r="VX6" t="s">
        <v>1771</v>
      </c>
    </row>
    <row r="7" spans="1:600" x14ac:dyDescent="0.25">
      <c r="AE7" t="s">
        <v>2469</v>
      </c>
      <c r="AG7">
        <v>-2.4245362661989844E-14</v>
      </c>
      <c r="AH7">
        <v>-2.4245362661989844E-14</v>
      </c>
      <c r="AI7" t="s">
        <v>1768</v>
      </c>
      <c r="AJ7">
        <v>2024</v>
      </c>
      <c r="AK7" t="s">
        <v>2327</v>
      </c>
      <c r="AL7" s="6">
        <v>45553</v>
      </c>
      <c r="AM7">
        <v>5</v>
      </c>
      <c r="AN7">
        <v>-2.4245362661989844E-14</v>
      </c>
      <c r="AO7">
        <v>42096386</v>
      </c>
      <c r="AP7" t="s">
        <v>2470</v>
      </c>
      <c r="AS7" t="s">
        <v>2328</v>
      </c>
      <c r="AT7">
        <v>-2.4245362661989844E-14</v>
      </c>
      <c r="AV7">
        <v>-2.4245362661989844E-14</v>
      </c>
      <c r="AW7" t="s">
        <v>1768</v>
      </c>
      <c r="AX7">
        <v>2024</v>
      </c>
      <c r="AY7" t="s">
        <v>2327</v>
      </c>
      <c r="AZ7" s="6">
        <v>45553</v>
      </c>
      <c r="BA7">
        <v>4</v>
      </c>
      <c r="BB7">
        <v>-2.4245362661989844E-14</v>
      </c>
      <c r="BC7">
        <v>100562</v>
      </c>
      <c r="BD7" t="s">
        <v>2329</v>
      </c>
      <c r="MW7" t="s">
        <v>3543</v>
      </c>
      <c r="MY7">
        <v>-2.4245362661989844E-14</v>
      </c>
      <c r="MZ7">
        <v>-2.4245362661989844E-14</v>
      </c>
      <c r="NA7" t="s">
        <v>1789</v>
      </c>
      <c r="NB7">
        <v>2024</v>
      </c>
      <c r="NC7" t="s">
        <v>3544</v>
      </c>
      <c r="ND7" s="6">
        <v>45460</v>
      </c>
      <c r="NE7">
        <v>5</v>
      </c>
      <c r="NF7">
        <v>-2.4245362661989844E-14</v>
      </c>
      <c r="NG7">
        <v>866053</v>
      </c>
      <c r="NH7" t="s">
        <v>3545</v>
      </c>
      <c r="NK7" t="s">
        <v>1548</v>
      </c>
      <c r="NL7">
        <v>0.82555699999999999</v>
      </c>
      <c r="NM7" t="s">
        <v>1777</v>
      </c>
      <c r="NN7">
        <v>0.12263</v>
      </c>
      <c r="NO7" t="s">
        <v>1768</v>
      </c>
      <c r="NP7">
        <v>2026</v>
      </c>
      <c r="NQ7" t="s">
        <v>1961</v>
      </c>
      <c r="NR7" s="6">
        <v>45932</v>
      </c>
      <c r="NS7">
        <v>5</v>
      </c>
      <c r="NT7">
        <v>10377257</v>
      </c>
      <c r="NU7">
        <v>100197</v>
      </c>
      <c r="NV7" t="s">
        <v>3427</v>
      </c>
      <c r="UY7" t="s">
        <v>2161</v>
      </c>
      <c r="VA7">
        <v>-2.4245362661989844E-14</v>
      </c>
      <c r="VB7">
        <v>-2.4245362661989844E-14</v>
      </c>
      <c r="VC7" t="s">
        <v>1789</v>
      </c>
      <c r="VD7">
        <v>2022</v>
      </c>
      <c r="VE7" t="s">
        <v>2162</v>
      </c>
      <c r="VF7" s="6">
        <v>44736</v>
      </c>
      <c r="VG7">
        <v>5</v>
      </c>
      <c r="VH7">
        <v>-2.4245362661989844E-14</v>
      </c>
      <c r="VI7">
        <v>114629</v>
      </c>
      <c r="VJ7" t="s">
        <v>2163</v>
      </c>
      <c r="VM7" t="s">
        <v>1772</v>
      </c>
      <c r="VN7">
        <v>-2.4245362661989844E-14</v>
      </c>
      <c r="VP7">
        <v>-2.4245362661989844E-14</v>
      </c>
      <c r="VQ7" t="s">
        <v>1773</v>
      </c>
      <c r="VR7">
        <v>2022</v>
      </c>
      <c r="VS7" t="s">
        <v>1774</v>
      </c>
      <c r="VT7" s="6">
        <v>44870</v>
      </c>
      <c r="VU7">
        <v>3</v>
      </c>
      <c r="VV7">
        <v>-2.4245362661989844E-14</v>
      </c>
      <c r="VW7">
        <v>67335162</v>
      </c>
      <c r="VX7" t="s">
        <v>1775</v>
      </c>
    </row>
    <row r="8" spans="1:600" x14ac:dyDescent="0.25">
      <c r="AE8" t="s">
        <v>2471</v>
      </c>
      <c r="AG8">
        <v>-2.4245362661989844E-14</v>
      </c>
      <c r="AH8">
        <v>-2.4245362661989844E-14</v>
      </c>
      <c r="AI8" t="s">
        <v>1894</v>
      </c>
      <c r="AJ8">
        <v>2025</v>
      </c>
      <c r="AK8" t="s">
        <v>2472</v>
      </c>
      <c r="AL8" s="6">
        <v>45973</v>
      </c>
      <c r="AM8">
        <v>5</v>
      </c>
      <c r="AN8">
        <v>-2.4245362661989844E-14</v>
      </c>
      <c r="AO8">
        <v>117552</v>
      </c>
      <c r="AP8" t="s">
        <v>2473</v>
      </c>
      <c r="AS8" t="s">
        <v>2293</v>
      </c>
      <c r="AT8">
        <v>-2.4245362661989844E-14</v>
      </c>
      <c r="AV8">
        <v>-2.4245362661989844E-14</v>
      </c>
      <c r="AW8" t="s">
        <v>1768</v>
      </c>
      <c r="AX8">
        <v>2024</v>
      </c>
      <c r="AY8" t="s">
        <v>2327</v>
      </c>
      <c r="AZ8" s="6">
        <v>45553</v>
      </c>
      <c r="BA8">
        <v>4</v>
      </c>
      <c r="BB8">
        <v>-2.4245362661989844E-14</v>
      </c>
      <c r="BC8">
        <v>100436</v>
      </c>
      <c r="BD8" t="s">
        <v>2294</v>
      </c>
      <c r="MW8" t="s">
        <v>3546</v>
      </c>
      <c r="MY8">
        <v>-2.4245362661989844E-14</v>
      </c>
      <c r="MZ8">
        <v>-2.4245362661989844E-14</v>
      </c>
      <c r="NA8" t="s">
        <v>1773</v>
      </c>
      <c r="NB8">
        <v>2022</v>
      </c>
      <c r="NC8" t="s">
        <v>3547</v>
      </c>
      <c r="ND8" s="6">
        <v>44880</v>
      </c>
      <c r="NE8">
        <v>5</v>
      </c>
      <c r="NF8">
        <v>-2.4245362661989844E-14</v>
      </c>
      <c r="NG8">
        <v>1425288</v>
      </c>
      <c r="NH8" t="s">
        <v>3548</v>
      </c>
      <c r="NK8" t="s">
        <v>3428</v>
      </c>
      <c r="NL8">
        <v>0.46699600000000002</v>
      </c>
      <c r="NM8" t="s">
        <v>1777</v>
      </c>
      <c r="NN8">
        <v>0.41184700000000002</v>
      </c>
      <c r="NO8" t="s">
        <v>1773</v>
      </c>
      <c r="NP8">
        <v>2025</v>
      </c>
      <c r="NQ8" t="s">
        <v>3429</v>
      </c>
      <c r="NR8" s="6">
        <v>46014</v>
      </c>
      <c r="NS8">
        <v>5</v>
      </c>
      <c r="NT8">
        <v>5696961.8099999996</v>
      </c>
      <c r="NU8">
        <v>9034717</v>
      </c>
      <c r="NV8" t="s">
        <v>3430</v>
      </c>
      <c r="UY8" t="s">
        <v>1767</v>
      </c>
      <c r="VA8">
        <v>-2.4245362661989844E-14</v>
      </c>
      <c r="VB8">
        <v>-2.4245362661989844E-14</v>
      </c>
      <c r="VC8" t="s">
        <v>1773</v>
      </c>
      <c r="VD8">
        <v>2025</v>
      </c>
      <c r="VE8" t="s">
        <v>2164</v>
      </c>
      <c r="VF8" s="6">
        <v>45966</v>
      </c>
      <c r="VG8">
        <v>5</v>
      </c>
      <c r="VH8">
        <v>-2.4245362661989844E-14</v>
      </c>
      <c r="VI8">
        <v>101695</v>
      </c>
      <c r="VJ8" t="s">
        <v>1770</v>
      </c>
    </row>
    <row r="9" spans="1:600" x14ac:dyDescent="0.25">
      <c r="AE9" t="s">
        <v>2474</v>
      </c>
      <c r="AG9">
        <v>-2.4245362661989844E-14</v>
      </c>
      <c r="AH9">
        <v>-2.4245362661989844E-14</v>
      </c>
      <c r="AI9" t="s">
        <v>1768</v>
      </c>
      <c r="AJ9">
        <v>2024</v>
      </c>
      <c r="AK9" t="s">
        <v>2327</v>
      </c>
      <c r="AL9" s="6">
        <v>45553</v>
      </c>
      <c r="AM9">
        <v>5</v>
      </c>
      <c r="AN9">
        <v>-2.4245362661989844E-14</v>
      </c>
      <c r="AO9">
        <v>1413266</v>
      </c>
      <c r="AP9" t="s">
        <v>2475</v>
      </c>
      <c r="MW9" t="s">
        <v>3549</v>
      </c>
      <c r="MY9">
        <v>-2.4245362661989844E-14</v>
      </c>
      <c r="MZ9">
        <v>-2.4245362661989844E-14</v>
      </c>
      <c r="NA9" t="s">
        <v>1789</v>
      </c>
      <c r="NB9">
        <v>2022</v>
      </c>
      <c r="NC9" t="s">
        <v>3550</v>
      </c>
      <c r="ND9" s="6">
        <v>44701</v>
      </c>
      <c r="NE9">
        <v>5</v>
      </c>
      <c r="NF9">
        <v>-2.4245362661989844E-14</v>
      </c>
      <c r="NG9">
        <v>59907412</v>
      </c>
      <c r="NH9" t="s">
        <v>3551</v>
      </c>
      <c r="NK9" t="s">
        <v>2846</v>
      </c>
      <c r="NL9">
        <v>0.45974599999999999</v>
      </c>
      <c r="NM9" t="s">
        <v>1777</v>
      </c>
      <c r="NN9">
        <v>0.12854199999999999</v>
      </c>
      <c r="NO9" t="s">
        <v>1773</v>
      </c>
      <c r="NP9">
        <v>2025</v>
      </c>
      <c r="NQ9" t="s">
        <v>2847</v>
      </c>
      <c r="NR9" s="6">
        <v>45926</v>
      </c>
      <c r="NS9">
        <v>5</v>
      </c>
      <c r="NT9">
        <v>5749857.6100000003</v>
      </c>
      <c r="NU9">
        <v>191315</v>
      </c>
      <c r="NV9" t="s">
        <v>2848</v>
      </c>
      <c r="UY9" t="s">
        <v>2165</v>
      </c>
      <c r="VA9">
        <v>-2.4245362661989844E-14</v>
      </c>
      <c r="VB9">
        <v>-2.4245362661989844E-14</v>
      </c>
      <c r="VC9" t="s">
        <v>1789</v>
      </c>
      <c r="VD9">
        <v>2022</v>
      </c>
      <c r="VE9" t="s">
        <v>2166</v>
      </c>
      <c r="VF9" s="6">
        <v>45016</v>
      </c>
      <c r="VG9">
        <v>5</v>
      </c>
      <c r="VH9">
        <v>-2.4245362661989844E-14</v>
      </c>
      <c r="VI9">
        <v>9840510</v>
      </c>
      <c r="VJ9" t="s">
        <v>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SPLC_151</vt:lpstr>
      <vt:lpstr>SPLC_152</vt:lpstr>
      <vt:lpstr>SPLC_153</vt:lpstr>
      <vt:lpstr>SPLC_154</vt:lpstr>
      <vt:lpstr>SPLC_155</vt:lpstr>
      <vt:lpstr>SPLC_156</vt:lpstr>
      <vt:lpstr>SPLC_157</vt:lpstr>
      <vt:lpstr>SPLC_158</vt:lpstr>
      <vt:lpstr>SPLC_159</vt:lpstr>
      <vt:lpstr>SPLC_160</vt:lpstr>
      <vt:lpstr>SPLC_161</vt:lpstr>
      <vt:lpstr>SPLC_162</vt:lpstr>
      <vt:lpstr>SPLC_163</vt:lpstr>
      <vt:lpstr>SPLC_164</vt:lpstr>
      <vt:lpstr>SPLC_165</vt:lpstr>
      <vt:lpstr>SPLC_166</vt:lpstr>
      <vt:lpstr>SPLC_167</vt:lpstr>
      <vt:lpstr>SPLC_168</vt:lpstr>
      <vt:lpstr>SPLC_169</vt:lpstr>
      <vt:lpstr>SPLC_170</vt:lpstr>
      <vt:lpstr>SPLC_171</vt:lpstr>
      <vt:lpstr>SPLC_172</vt:lpstr>
      <vt:lpstr>SPLC_173</vt:lpstr>
      <vt:lpstr>SPLC_174</vt:lpstr>
      <vt:lpstr>SPLC_175</vt:lpstr>
      <vt:lpstr>SPLC_176</vt:lpstr>
      <vt:lpstr>SPLC_177</vt:lpstr>
      <vt:lpstr>SPLC_178</vt:lpstr>
      <vt:lpstr>SPLC_179</vt:lpstr>
      <vt:lpstr>SPLC_180</vt:lpstr>
      <vt:lpstr>SPLC_181</vt:lpstr>
      <vt:lpstr>SPLC_182</vt:lpstr>
      <vt:lpstr>SPLC_183</vt:lpstr>
      <vt:lpstr>SPLC_184</vt:lpstr>
      <vt:lpstr>SPLC_185</vt:lpstr>
      <vt:lpstr>SPLC_186</vt:lpstr>
      <vt:lpstr>SPLC_187</vt:lpstr>
      <vt:lpstr>SPLC_188</vt:lpstr>
      <vt:lpstr>SPLC_189</vt:lpstr>
      <vt:lpstr>SPLC_190</vt:lpstr>
      <vt:lpstr>SPLC_191</vt:lpstr>
      <vt:lpstr>SPLC_192</vt:lpstr>
      <vt:lpstr>SPLC_193</vt:lpstr>
      <vt:lpstr>SPLC_194</vt:lpstr>
      <vt:lpstr>SPLC_195</vt:lpstr>
      <vt:lpstr>SPLC_196</vt:lpstr>
      <vt:lpstr>SPLC_197</vt:lpstr>
      <vt:lpstr>SPLC_198</vt:lpstr>
      <vt:lpstr>SPLC_199</vt:lpstr>
      <vt:lpstr>SPLC_200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 Brijeshkumar JOSHI</cp:lastModifiedBy>
  <dcterms:created xsi:type="dcterms:W3CDTF">2026-03-10T17:21:08Z</dcterms:created>
  <dcterms:modified xsi:type="dcterms:W3CDTF">2026-03-10T17:27:17Z</dcterms:modified>
</cp:coreProperties>
</file>